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5" documentId="13_ncr:1_{3A16574D-D4D9-4167-90EA-8DBB3499FCCB}" xr6:coauthVersionLast="47" xr6:coauthVersionMax="47" xr10:uidLastSave="{18727B84-7913-49A6-A510-AE319F1FC76A}"/>
  <bookViews>
    <workbookView xWindow="-108" yWindow="-108" windowWidth="23256" windowHeight="12456"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7" i="72" l="1"/>
  <c r="H6" i="72"/>
  <c r="I6" i="72" s="1"/>
  <c r="H7" i="72"/>
  <c r="I7" i="72" s="1"/>
  <c r="H8" i="72"/>
  <c r="I8" i="72"/>
  <c r="H9" i="72"/>
  <c r="I9" i="72" s="1"/>
  <c r="H10" i="72"/>
  <c r="I10" i="72"/>
  <c r="H11" i="72"/>
  <c r="I11" i="72"/>
  <c r="H12" i="72"/>
  <c r="I12" i="72" s="1"/>
  <c r="H13" i="72"/>
  <c r="I13" i="72"/>
  <c r="H14" i="72"/>
  <c r="I14" i="72"/>
  <c r="H15" i="72"/>
  <c r="I15" i="72"/>
  <c r="H16" i="72"/>
  <c r="I16" i="72" s="1"/>
  <c r="H17" i="72"/>
  <c r="I17" i="72"/>
  <c r="H18" i="72"/>
  <c r="I18" i="72"/>
  <c r="H19" i="72"/>
  <c r="I19" i="72" s="1"/>
  <c r="H20" i="72"/>
  <c r="I20" i="72" s="1"/>
  <c r="H21" i="72"/>
  <c r="I21" i="72"/>
  <c r="H22" i="72"/>
  <c r="I22" i="72"/>
  <c r="H23" i="72"/>
  <c r="I23" i="72"/>
  <c r="H24" i="72"/>
  <c r="I24" i="72" s="1"/>
  <c r="H25" i="72"/>
  <c r="I25" i="72"/>
  <c r="H26" i="72"/>
  <c r="H26" i="1" s="1"/>
  <c r="I26" i="72"/>
  <c r="H27" i="72"/>
  <c r="I27" i="72"/>
  <c r="H28" i="72"/>
  <c r="I28" i="72" s="1"/>
  <c r="H29" i="72"/>
  <c r="H29" i="1" s="1"/>
  <c r="I29" i="72"/>
  <c r="H30" i="72"/>
  <c r="H30" i="1" s="1"/>
  <c r="I30" i="72"/>
  <c r="H31" i="72"/>
  <c r="I31" i="72"/>
  <c r="H32" i="72"/>
  <c r="I32" i="72" s="1"/>
  <c r="H33" i="72"/>
  <c r="I33" i="72"/>
  <c r="H34" i="72"/>
  <c r="H34" i="1" s="1"/>
  <c r="I34" i="72"/>
  <c r="H35" i="72"/>
  <c r="I35" i="72"/>
  <c r="H36" i="72"/>
  <c r="I36" i="72" s="1"/>
  <c r="H37" i="72"/>
  <c r="H37" i="1" s="1"/>
  <c r="I37" i="1" s="1"/>
  <c r="I37" i="72"/>
  <c r="H38" i="72"/>
  <c r="H38" i="1" s="1"/>
  <c r="I38" i="72"/>
  <c r="H39" i="72"/>
  <c r="I39" i="72"/>
  <c r="H40" i="72"/>
  <c r="I40" i="72" s="1"/>
  <c r="H41" i="72"/>
  <c r="I41" i="72"/>
  <c r="H42" i="72"/>
  <c r="H42" i="1" s="1"/>
  <c r="I42" i="72"/>
  <c r="H43" i="72"/>
  <c r="I43" i="72"/>
  <c r="H44" i="72"/>
  <c r="I44" i="72" s="1"/>
  <c r="H45" i="72"/>
  <c r="H45" i="1" s="1"/>
  <c r="I45" i="72"/>
  <c r="H46" i="72"/>
  <c r="H46" i="1" s="1"/>
  <c r="I46" i="72"/>
  <c r="H47" i="72"/>
  <c r="I47" i="72"/>
  <c r="H48" i="72"/>
  <c r="I48" i="72" s="1"/>
  <c r="H49" i="72"/>
  <c r="I49" i="72"/>
  <c r="H50" i="72"/>
  <c r="I50" i="72"/>
  <c r="H51" i="72"/>
  <c r="I51" i="72"/>
  <c r="H52" i="72"/>
  <c r="I52" i="72" s="1"/>
  <c r="H53" i="72"/>
  <c r="H53" i="1" s="1"/>
  <c r="I53" i="72"/>
  <c r="H54" i="72"/>
  <c r="H54" i="1" s="1"/>
  <c r="I54" i="72"/>
  <c r="H55" i="72"/>
  <c r="I55" i="72"/>
  <c r="H56" i="72"/>
  <c r="I56" i="72" s="1"/>
  <c r="H57" i="72"/>
  <c r="I57" i="72"/>
  <c r="H58" i="72"/>
  <c r="I58" i="72"/>
  <c r="H59" i="72"/>
  <c r="I59" i="72"/>
  <c r="H60" i="72"/>
  <c r="I60" i="72" s="1"/>
  <c r="H61" i="72"/>
  <c r="H61" i="1" s="1"/>
  <c r="I61" i="72"/>
  <c r="H62" i="72"/>
  <c r="H62" i="1" s="1"/>
  <c r="I62" i="72"/>
  <c r="H63" i="72"/>
  <c r="I63" i="72"/>
  <c r="H64" i="72"/>
  <c r="I64" i="72" s="1"/>
  <c r="H65" i="72"/>
  <c r="I65" i="72"/>
  <c r="H66" i="72"/>
  <c r="I66" i="72"/>
  <c r="H67" i="72"/>
  <c r="I67" i="72"/>
  <c r="H68" i="72"/>
  <c r="I68" i="72" s="1"/>
  <c r="H69" i="72"/>
  <c r="H69" i="1" s="1"/>
  <c r="I69" i="72"/>
  <c r="H70" i="72"/>
  <c r="H70" i="1" s="1"/>
  <c r="I70" i="72"/>
  <c r="H71" i="72"/>
  <c r="I71" i="72"/>
  <c r="H72" i="72"/>
  <c r="I72" i="72" s="1"/>
  <c r="H73" i="72"/>
  <c r="I73" i="72"/>
  <c r="H74" i="72"/>
  <c r="I74" i="72"/>
  <c r="H75" i="72"/>
  <c r="I75" i="72"/>
  <c r="H76" i="72"/>
  <c r="I76" i="72" s="1"/>
  <c r="H77" i="72"/>
  <c r="H77" i="1" s="1"/>
  <c r="I77" i="72"/>
  <c r="H78" i="72"/>
  <c r="I78" i="72"/>
  <c r="H79" i="72"/>
  <c r="I79" i="72"/>
  <c r="H80" i="72"/>
  <c r="I80" i="72" s="1"/>
  <c r="H81" i="72"/>
  <c r="I81" i="72"/>
  <c r="H82" i="72"/>
  <c r="H82" i="1" s="1"/>
  <c r="I82" i="72"/>
  <c r="H83" i="72"/>
  <c r="I83" i="72"/>
  <c r="H84" i="72"/>
  <c r="H84" i="1" s="1"/>
  <c r="I84" i="1" s="1"/>
  <c r="H85" i="72"/>
  <c r="I85" i="72"/>
  <c r="E6" i="72"/>
  <c r="F6" i="72"/>
  <c r="E7" i="72"/>
  <c r="F7" i="72"/>
  <c r="E8" i="72"/>
  <c r="F8" i="72" s="1"/>
  <c r="E9" i="72"/>
  <c r="F9" i="72"/>
  <c r="E10" i="72"/>
  <c r="F10" i="72"/>
  <c r="E11" i="72"/>
  <c r="F11" i="72"/>
  <c r="E12" i="72"/>
  <c r="F12" i="72" s="1"/>
  <c r="E13" i="72"/>
  <c r="F13" i="72"/>
  <c r="E14" i="72"/>
  <c r="F14" i="72"/>
  <c r="E15" i="72"/>
  <c r="F15" i="72"/>
  <c r="E16" i="72"/>
  <c r="F16" i="72" s="1"/>
  <c r="E17" i="72"/>
  <c r="F17" i="72"/>
  <c r="E18" i="72"/>
  <c r="F18" i="72"/>
  <c r="E19" i="72"/>
  <c r="F19" i="72"/>
  <c r="E20" i="72"/>
  <c r="F20" i="72" s="1"/>
  <c r="E21" i="72"/>
  <c r="F21" i="72"/>
  <c r="E22" i="72"/>
  <c r="F22" i="72"/>
  <c r="E23" i="72"/>
  <c r="F23" i="72"/>
  <c r="E24" i="72"/>
  <c r="F24" i="72" s="1"/>
  <c r="E25" i="72"/>
  <c r="F25" i="72"/>
  <c r="E26" i="72"/>
  <c r="F26" i="72"/>
  <c r="E27" i="72"/>
  <c r="F27" i="72"/>
  <c r="E28" i="72"/>
  <c r="F28" i="72" s="1"/>
  <c r="E29" i="72"/>
  <c r="F29" i="72"/>
  <c r="E30" i="72"/>
  <c r="F30" i="72"/>
  <c r="E31" i="72"/>
  <c r="F31" i="72"/>
  <c r="E32" i="72"/>
  <c r="F32" i="72" s="1"/>
  <c r="E33" i="72"/>
  <c r="F33" i="72"/>
  <c r="E34" i="72"/>
  <c r="F34" i="72"/>
  <c r="E35" i="72"/>
  <c r="F35" i="72"/>
  <c r="E36" i="72"/>
  <c r="F36" i="72" s="1"/>
  <c r="E37" i="72"/>
  <c r="F37" i="72"/>
  <c r="E38" i="72"/>
  <c r="F38" i="72"/>
  <c r="E39" i="72"/>
  <c r="F39" i="72"/>
  <c r="E40" i="72"/>
  <c r="F40" i="72" s="1"/>
  <c r="E41" i="72"/>
  <c r="F41" i="72"/>
  <c r="E42" i="72"/>
  <c r="F42" i="72"/>
  <c r="E43" i="72"/>
  <c r="F43" i="72"/>
  <c r="E44" i="72"/>
  <c r="F44" i="72" s="1"/>
  <c r="E45" i="72"/>
  <c r="F45" i="72"/>
  <c r="E46" i="72"/>
  <c r="F46" i="72"/>
  <c r="E47" i="72"/>
  <c r="F47" i="72"/>
  <c r="E48" i="72"/>
  <c r="F48" i="72" s="1"/>
  <c r="E49" i="72"/>
  <c r="F49" i="72"/>
  <c r="E50" i="72"/>
  <c r="F50" i="72"/>
  <c r="E51" i="72"/>
  <c r="F51" i="72"/>
  <c r="E52" i="72"/>
  <c r="F52" i="72" s="1"/>
  <c r="E53" i="72"/>
  <c r="F53" i="72"/>
  <c r="E54" i="72"/>
  <c r="F54" i="72"/>
  <c r="E55" i="72"/>
  <c r="F55" i="72"/>
  <c r="E56" i="72"/>
  <c r="F56" i="72" s="1"/>
  <c r="E57" i="72"/>
  <c r="F57" i="72"/>
  <c r="E58" i="72"/>
  <c r="F58" i="72"/>
  <c r="E59" i="72"/>
  <c r="F59" i="72"/>
  <c r="E60" i="72"/>
  <c r="F60" i="72" s="1"/>
  <c r="E61" i="72"/>
  <c r="F61" i="72"/>
  <c r="E62" i="72"/>
  <c r="F62" i="72"/>
  <c r="E63" i="72"/>
  <c r="F63" i="72"/>
  <c r="E64" i="72"/>
  <c r="F64" i="72" s="1"/>
  <c r="E65" i="72"/>
  <c r="F65" i="72"/>
  <c r="E66" i="72"/>
  <c r="F66" i="72"/>
  <c r="E67" i="72"/>
  <c r="F67" i="72"/>
  <c r="E68" i="72"/>
  <c r="F68" i="72" s="1"/>
  <c r="E69" i="72"/>
  <c r="F69" i="72"/>
  <c r="E70" i="72"/>
  <c r="F70" i="72"/>
  <c r="E71" i="72"/>
  <c r="F71" i="72"/>
  <c r="E72" i="72"/>
  <c r="F72" i="72" s="1"/>
  <c r="E73" i="72"/>
  <c r="F73" i="72"/>
  <c r="E74" i="72"/>
  <c r="F74" i="72"/>
  <c r="E75" i="72"/>
  <c r="F75" i="72"/>
  <c r="E76" i="72"/>
  <c r="F76" i="72" s="1"/>
  <c r="E77" i="72"/>
  <c r="F77" i="72"/>
  <c r="E78" i="72"/>
  <c r="F78" i="72"/>
  <c r="E79" i="72"/>
  <c r="F79" i="72"/>
  <c r="E80" i="72"/>
  <c r="F80" i="72" s="1"/>
  <c r="E81" i="72"/>
  <c r="F81" i="72"/>
  <c r="E82" i="72"/>
  <c r="F82" i="72"/>
  <c r="E83" i="72"/>
  <c r="F83" i="72"/>
  <c r="E84" i="72"/>
  <c r="F84" i="72" s="1"/>
  <c r="E85" i="72"/>
  <c r="F85" i="72"/>
  <c r="C76" i="18"/>
  <c r="D76" i="18"/>
  <c r="E76" i="18"/>
  <c r="F76" i="18" s="1"/>
  <c r="G76" i="18"/>
  <c r="H76" i="18"/>
  <c r="I76" i="18"/>
  <c r="C77" i="18"/>
  <c r="E77" i="18" s="1"/>
  <c r="F77" i="18" s="1"/>
  <c r="D77" i="18"/>
  <c r="G77" i="18"/>
  <c r="I77" i="18" s="1"/>
  <c r="H77" i="18"/>
  <c r="C78" i="18"/>
  <c r="E78" i="18" s="1"/>
  <c r="F78" i="18" s="1"/>
  <c r="D78" i="18"/>
  <c r="G78" i="18"/>
  <c r="H78" i="18"/>
  <c r="I78" i="18"/>
  <c r="C79" i="18"/>
  <c r="E79" i="18" s="1"/>
  <c r="F79" i="18" s="1"/>
  <c r="D79" i="18"/>
  <c r="G79" i="18"/>
  <c r="H79" i="18"/>
  <c r="I79" i="18"/>
  <c r="C80" i="18"/>
  <c r="D80" i="18"/>
  <c r="E80" i="18"/>
  <c r="F80" i="18" s="1"/>
  <c r="G80" i="18"/>
  <c r="I80" i="18" s="1"/>
  <c r="H80" i="18"/>
  <c r="C81" i="18"/>
  <c r="D81" i="18"/>
  <c r="E81" i="18"/>
  <c r="F81" i="18"/>
  <c r="G81" i="18"/>
  <c r="H81" i="18"/>
  <c r="I81" i="18"/>
  <c r="C82" i="18"/>
  <c r="E82" i="18" s="1"/>
  <c r="F82" i="18" s="1"/>
  <c r="D82" i="18"/>
  <c r="G82" i="18"/>
  <c r="H82" i="18"/>
  <c r="I82" i="18"/>
  <c r="C83" i="18"/>
  <c r="D83" i="18"/>
  <c r="E83" i="18" s="1"/>
  <c r="F83" i="18" s="1"/>
  <c r="G83" i="18"/>
  <c r="I83" i="18" s="1"/>
  <c r="H83" i="18"/>
  <c r="C84" i="18"/>
  <c r="D84" i="18"/>
  <c r="E84" i="18"/>
  <c r="F84" i="18" s="1"/>
  <c r="G84" i="18"/>
  <c r="H84" i="18"/>
  <c r="I84" i="18"/>
  <c r="C85" i="18"/>
  <c r="D85" i="18"/>
  <c r="E85" i="18"/>
  <c r="F85" i="18"/>
  <c r="G85" i="18"/>
  <c r="H85" i="18"/>
  <c r="I85" i="18"/>
  <c r="C76" i="1"/>
  <c r="D76" i="1"/>
  <c r="G76" i="1"/>
  <c r="H76" i="1"/>
  <c r="C77" i="1"/>
  <c r="D77" i="1"/>
  <c r="G77" i="1"/>
  <c r="C78" i="1"/>
  <c r="D78" i="1"/>
  <c r="G78" i="1"/>
  <c r="H78" i="1"/>
  <c r="C79" i="1"/>
  <c r="D79" i="1"/>
  <c r="G79" i="1"/>
  <c r="H79" i="1"/>
  <c r="C80" i="1"/>
  <c r="D80" i="1"/>
  <c r="G80" i="1"/>
  <c r="H80" i="1"/>
  <c r="I80" i="1" s="1"/>
  <c r="C81" i="1"/>
  <c r="D81" i="1"/>
  <c r="G81" i="1"/>
  <c r="H81" i="1"/>
  <c r="C82" i="1"/>
  <c r="D82" i="1"/>
  <c r="G82" i="1"/>
  <c r="C83" i="1"/>
  <c r="D83" i="1"/>
  <c r="G83" i="1"/>
  <c r="H83" i="1"/>
  <c r="C84" i="1"/>
  <c r="D84" i="1"/>
  <c r="G84" i="1"/>
  <c r="C85" i="1"/>
  <c r="E85" i="1" s="1"/>
  <c r="F85" i="1" s="1"/>
  <c r="D85" i="1"/>
  <c r="G85" i="1"/>
  <c r="H85" i="1"/>
  <c r="G2" i="31"/>
  <c r="D2" i="31"/>
  <c r="C2" i="31"/>
  <c r="G2" i="32"/>
  <c r="D2" i="32"/>
  <c r="C2" i="32"/>
  <c r="E13" i="33"/>
  <c r="F13" i="33" s="1"/>
  <c r="H13" i="33"/>
  <c r="I13" i="33" s="1"/>
  <c r="E14" i="33"/>
  <c r="F14" i="33" s="1"/>
  <c r="H14" i="33"/>
  <c r="I14" i="33"/>
  <c r="E15" i="33"/>
  <c r="F15" i="33" s="1"/>
  <c r="H15" i="33"/>
  <c r="I15" i="33" s="1"/>
  <c r="E16" i="33"/>
  <c r="F16" i="33" s="1"/>
  <c r="H16" i="33"/>
  <c r="I16" i="33" s="1"/>
  <c r="E17" i="33"/>
  <c r="F17" i="33" s="1"/>
  <c r="H17" i="33"/>
  <c r="I17" i="33"/>
  <c r="E18" i="33"/>
  <c r="F18" i="33" s="1"/>
  <c r="H18" i="33"/>
  <c r="I18" i="33" s="1"/>
  <c r="E19" i="33"/>
  <c r="F19" i="33" s="1"/>
  <c r="H19" i="33"/>
  <c r="I19" i="33"/>
  <c r="E20" i="33"/>
  <c r="F20" i="33" s="1"/>
  <c r="H20" i="33"/>
  <c r="I20" i="33" s="1"/>
  <c r="E21" i="33"/>
  <c r="F21" i="33" s="1"/>
  <c r="H21" i="33"/>
  <c r="I21" i="33"/>
  <c r="E22" i="33"/>
  <c r="F22" i="33" s="1"/>
  <c r="H22" i="33"/>
  <c r="I22" i="33" s="1"/>
  <c r="E23" i="33"/>
  <c r="F23" i="33" s="1"/>
  <c r="H23" i="33"/>
  <c r="I23" i="33"/>
  <c r="E24" i="33"/>
  <c r="F24" i="33" s="1"/>
  <c r="H24" i="33"/>
  <c r="I24" i="33" s="1"/>
  <c r="E25" i="33"/>
  <c r="F25" i="33" s="1"/>
  <c r="H25" i="33"/>
  <c r="I25" i="33"/>
  <c r="E26" i="33"/>
  <c r="F26" i="33" s="1"/>
  <c r="H26" i="33"/>
  <c r="I26" i="33" s="1"/>
  <c r="E27" i="33"/>
  <c r="F27" i="33" s="1"/>
  <c r="H27" i="33"/>
  <c r="I27" i="33" s="1"/>
  <c r="E28" i="33"/>
  <c r="F28" i="33" s="1"/>
  <c r="H28" i="33"/>
  <c r="E29" i="33"/>
  <c r="F29" i="33"/>
  <c r="H29" i="33"/>
  <c r="I29" i="33"/>
  <c r="E30" i="33"/>
  <c r="F30" i="33" s="1"/>
  <c r="H30" i="33"/>
  <c r="I30" i="33" s="1"/>
  <c r="E31" i="33"/>
  <c r="F31" i="33" s="1"/>
  <c r="H31" i="33"/>
  <c r="I31" i="33" s="1"/>
  <c r="E32" i="33"/>
  <c r="F32" i="33" s="1"/>
  <c r="H32" i="33"/>
  <c r="I32" i="33" s="1"/>
  <c r="E33" i="33"/>
  <c r="F33" i="33"/>
  <c r="H33" i="33"/>
  <c r="I33" i="33"/>
  <c r="E34" i="33"/>
  <c r="F34" i="33" s="1"/>
  <c r="H34" i="33"/>
  <c r="I34" i="33" s="1"/>
  <c r="E35" i="33"/>
  <c r="F35" i="33" s="1"/>
  <c r="H35" i="33"/>
  <c r="I35" i="33" s="1"/>
  <c r="E36" i="33"/>
  <c r="F36" i="33" s="1"/>
  <c r="H36" i="33"/>
  <c r="I36" i="33" s="1"/>
  <c r="E37" i="33"/>
  <c r="F37" i="33" s="1"/>
  <c r="H37" i="33"/>
  <c r="E38" i="33"/>
  <c r="F38" i="33" s="1"/>
  <c r="H38" i="33"/>
  <c r="I38" i="33" s="1"/>
  <c r="E39" i="33"/>
  <c r="F39" i="33" s="1"/>
  <c r="H39" i="33"/>
  <c r="I39" i="33" s="1"/>
  <c r="E40" i="33"/>
  <c r="F40" i="33" s="1"/>
  <c r="H40" i="33"/>
  <c r="I40" i="33" s="1"/>
  <c r="E41" i="33"/>
  <c r="F41" i="33" s="1"/>
  <c r="H41" i="33"/>
  <c r="I41" i="33" s="1"/>
  <c r="E42" i="33"/>
  <c r="F42" i="33" s="1"/>
  <c r="H42" i="33"/>
  <c r="I42" i="33" s="1"/>
  <c r="E43" i="33"/>
  <c r="F43" i="33" s="1"/>
  <c r="H43" i="33"/>
  <c r="I43" i="33" s="1"/>
  <c r="E44" i="33"/>
  <c r="F44" i="33" s="1"/>
  <c r="H44" i="33"/>
  <c r="I44" i="33" s="1"/>
  <c r="E45" i="33"/>
  <c r="F45" i="33"/>
  <c r="H45" i="33"/>
  <c r="I45" i="33" s="1"/>
  <c r="E46" i="33"/>
  <c r="F46" i="33"/>
  <c r="H46" i="33"/>
  <c r="I46" i="33" s="1"/>
  <c r="E47" i="33"/>
  <c r="F47" i="33" s="1"/>
  <c r="H47" i="33"/>
  <c r="I47" i="33"/>
  <c r="E48" i="33"/>
  <c r="F48" i="33"/>
  <c r="H48" i="33"/>
  <c r="I48" i="33"/>
  <c r="E49" i="33"/>
  <c r="F49" i="33" s="1"/>
  <c r="H49" i="33"/>
  <c r="I49" i="33" s="1"/>
  <c r="E50" i="33"/>
  <c r="F50" i="33"/>
  <c r="H50" i="33"/>
  <c r="I50" i="33" s="1"/>
  <c r="E51" i="33"/>
  <c r="F51" i="33" s="1"/>
  <c r="H51" i="33"/>
  <c r="I51" i="33" s="1"/>
  <c r="E52" i="33"/>
  <c r="F52" i="33" s="1"/>
  <c r="H52" i="33"/>
  <c r="I52" i="33" s="1"/>
  <c r="E53" i="33"/>
  <c r="F53" i="33"/>
  <c r="H53" i="33"/>
  <c r="E54" i="33"/>
  <c r="F54" i="33" s="1"/>
  <c r="H54" i="33"/>
  <c r="I54" i="33" s="1"/>
  <c r="E55" i="33"/>
  <c r="F55" i="33" s="1"/>
  <c r="H55" i="33"/>
  <c r="I55" i="33" s="1"/>
  <c r="E56" i="33"/>
  <c r="F56" i="33"/>
  <c r="H56" i="33"/>
  <c r="I56" i="33" s="1"/>
  <c r="E57" i="33"/>
  <c r="F57" i="33" s="1"/>
  <c r="H57" i="33"/>
  <c r="I57" i="33" s="1"/>
  <c r="E58" i="33"/>
  <c r="F58" i="33" s="1"/>
  <c r="H58" i="33"/>
  <c r="I58" i="33" s="1"/>
  <c r="E59" i="33"/>
  <c r="F59" i="33" s="1"/>
  <c r="H59" i="33"/>
  <c r="I59" i="33" s="1"/>
  <c r="E60" i="33"/>
  <c r="F60" i="33" s="1"/>
  <c r="H60" i="33"/>
  <c r="I60" i="33" s="1"/>
  <c r="E61" i="33"/>
  <c r="F61" i="33" s="1"/>
  <c r="H61" i="33"/>
  <c r="I61" i="33" s="1"/>
  <c r="E62" i="33"/>
  <c r="F62" i="33" s="1"/>
  <c r="H62" i="33"/>
  <c r="I62" i="33" s="1"/>
  <c r="E63" i="33"/>
  <c r="F63" i="33" s="1"/>
  <c r="H63" i="33"/>
  <c r="I63" i="33" s="1"/>
  <c r="E64" i="33"/>
  <c r="F64" i="33" s="1"/>
  <c r="H64" i="33"/>
  <c r="I64" i="33" s="1"/>
  <c r="E65" i="33"/>
  <c r="F65" i="33" s="1"/>
  <c r="H65" i="33"/>
  <c r="I65" i="33" s="1"/>
  <c r="E66" i="33"/>
  <c r="F66" i="33" s="1"/>
  <c r="H66" i="33"/>
  <c r="I66" i="33" s="1"/>
  <c r="E67" i="33"/>
  <c r="F67" i="33" s="1"/>
  <c r="H67" i="33"/>
  <c r="I67" i="33" s="1"/>
  <c r="E68" i="33"/>
  <c r="F68" i="33" s="1"/>
  <c r="H68" i="33"/>
  <c r="I68" i="33" s="1"/>
  <c r="E69" i="33"/>
  <c r="F69" i="33"/>
  <c r="H69" i="33"/>
  <c r="I69" i="33" s="1"/>
  <c r="E70" i="33"/>
  <c r="F70" i="33" s="1"/>
  <c r="H70" i="33"/>
  <c r="I70" i="33" s="1"/>
  <c r="E71" i="33"/>
  <c r="F71" i="33" s="1"/>
  <c r="H71" i="33"/>
  <c r="I71" i="33" s="1"/>
  <c r="E72" i="33"/>
  <c r="F72" i="33" s="1"/>
  <c r="H72" i="33"/>
  <c r="E73" i="33"/>
  <c r="F73" i="33"/>
  <c r="H73" i="33"/>
  <c r="I73" i="33" s="1"/>
  <c r="E74" i="33"/>
  <c r="F74" i="33" s="1"/>
  <c r="H74" i="33"/>
  <c r="I74" i="33" s="1"/>
  <c r="E75" i="33"/>
  <c r="F75" i="33" s="1"/>
  <c r="H75" i="33"/>
  <c r="I75" i="33" s="1"/>
  <c r="E76" i="33"/>
  <c r="F76" i="33" s="1"/>
  <c r="H76" i="33"/>
  <c r="I76" i="33" s="1"/>
  <c r="E77" i="33"/>
  <c r="F77" i="33" s="1"/>
  <c r="H77" i="33"/>
  <c r="I77" i="33" s="1"/>
  <c r="E78" i="33"/>
  <c r="F78" i="33" s="1"/>
  <c r="H78" i="33"/>
  <c r="E79" i="33"/>
  <c r="F79" i="33" s="1"/>
  <c r="H79" i="33"/>
  <c r="I79" i="33"/>
  <c r="E80" i="33"/>
  <c r="F80" i="33" s="1"/>
  <c r="H80" i="33"/>
  <c r="I80" i="33" s="1"/>
  <c r="E81" i="33"/>
  <c r="F81" i="33" s="1"/>
  <c r="H81" i="33"/>
  <c r="I81" i="33" s="1"/>
  <c r="E82" i="33"/>
  <c r="F82" i="33" s="1"/>
  <c r="H82" i="33"/>
  <c r="I82" i="33" s="1"/>
  <c r="E83" i="33"/>
  <c r="F83" i="33" s="1"/>
  <c r="H83" i="33"/>
  <c r="I83" i="33" s="1"/>
  <c r="E84" i="33"/>
  <c r="F84" i="33" s="1"/>
  <c r="H84" i="33"/>
  <c r="I84" i="33" s="1"/>
  <c r="E85" i="33"/>
  <c r="F85" i="33" s="1"/>
  <c r="H85" i="33"/>
  <c r="I85" i="33" s="1"/>
  <c r="H84" i="32"/>
  <c r="I84" i="32" s="1"/>
  <c r="E53" i="32"/>
  <c r="F53" i="32" s="1"/>
  <c r="E13" i="32"/>
  <c r="F13" i="32" s="1"/>
  <c r="H13" i="32"/>
  <c r="I13" i="32" s="1"/>
  <c r="E14" i="32"/>
  <c r="F14" i="32" s="1"/>
  <c r="H14" i="32"/>
  <c r="I14" i="32" s="1"/>
  <c r="E15" i="32"/>
  <c r="F15" i="32"/>
  <c r="H15" i="32"/>
  <c r="I15" i="32" s="1"/>
  <c r="E16" i="32"/>
  <c r="F16" i="32" s="1"/>
  <c r="H16" i="32"/>
  <c r="I16" i="32" s="1"/>
  <c r="E17" i="32"/>
  <c r="F17" i="32" s="1"/>
  <c r="H17" i="32"/>
  <c r="I17" i="32" s="1"/>
  <c r="E18" i="32"/>
  <c r="F18" i="32" s="1"/>
  <c r="H18" i="32"/>
  <c r="I18" i="32"/>
  <c r="E19" i="32"/>
  <c r="F19" i="32" s="1"/>
  <c r="H19" i="32"/>
  <c r="I19" i="32" s="1"/>
  <c r="E20" i="32"/>
  <c r="F20" i="32"/>
  <c r="H20" i="32"/>
  <c r="I20" i="32" s="1"/>
  <c r="E21" i="32"/>
  <c r="F21" i="32"/>
  <c r="H21" i="32"/>
  <c r="I21" i="32" s="1"/>
  <c r="E22" i="32"/>
  <c r="F22" i="32" s="1"/>
  <c r="H22" i="32"/>
  <c r="I22" i="32" s="1"/>
  <c r="E23" i="32"/>
  <c r="F23" i="32"/>
  <c r="H23" i="32"/>
  <c r="I23" i="32" s="1"/>
  <c r="E24" i="32"/>
  <c r="F24" i="32" s="1"/>
  <c r="H24" i="32"/>
  <c r="I24" i="32"/>
  <c r="E25" i="32"/>
  <c r="F25" i="32" s="1"/>
  <c r="H25" i="32"/>
  <c r="I25" i="32" s="1"/>
  <c r="E26" i="32"/>
  <c r="F26" i="32" s="1"/>
  <c r="H26" i="32"/>
  <c r="I26" i="32" s="1"/>
  <c r="E27" i="32"/>
  <c r="F27" i="32" s="1"/>
  <c r="H27" i="32"/>
  <c r="I27" i="32" s="1"/>
  <c r="E28" i="32"/>
  <c r="F28" i="32" s="1"/>
  <c r="H28" i="32"/>
  <c r="I28" i="32" s="1"/>
  <c r="E29" i="32"/>
  <c r="F29" i="32" s="1"/>
  <c r="H29" i="32"/>
  <c r="I29" i="32" s="1"/>
  <c r="E30" i="32"/>
  <c r="F30" i="32" s="1"/>
  <c r="H30" i="32"/>
  <c r="I30" i="32" s="1"/>
  <c r="E31" i="32"/>
  <c r="F31" i="32" s="1"/>
  <c r="H31" i="32"/>
  <c r="I31" i="32" s="1"/>
  <c r="E32" i="32"/>
  <c r="F32" i="32" s="1"/>
  <c r="H32" i="32"/>
  <c r="I32" i="32" s="1"/>
  <c r="E33" i="32"/>
  <c r="F33" i="32" s="1"/>
  <c r="H33" i="32"/>
  <c r="I33" i="32"/>
  <c r="E34" i="32"/>
  <c r="F34" i="32" s="1"/>
  <c r="H34" i="32"/>
  <c r="I34" i="32" s="1"/>
  <c r="E35" i="32"/>
  <c r="F35" i="32" s="1"/>
  <c r="H35" i="32"/>
  <c r="I35" i="32" s="1"/>
  <c r="E36" i="32"/>
  <c r="F36" i="32" s="1"/>
  <c r="H36" i="32"/>
  <c r="I36" i="32" s="1"/>
  <c r="E37" i="32"/>
  <c r="F37" i="32" s="1"/>
  <c r="H37" i="32"/>
  <c r="I37" i="32" s="1"/>
  <c r="E38" i="32"/>
  <c r="F38" i="32" s="1"/>
  <c r="H38" i="32"/>
  <c r="I38" i="32" s="1"/>
  <c r="E39" i="32"/>
  <c r="F39" i="32"/>
  <c r="H39" i="32"/>
  <c r="I39" i="32" s="1"/>
  <c r="E40" i="32"/>
  <c r="F40" i="32" s="1"/>
  <c r="H40" i="32"/>
  <c r="I40" i="32" s="1"/>
  <c r="E41" i="32"/>
  <c r="F41" i="32" s="1"/>
  <c r="H41" i="32"/>
  <c r="I41" i="32" s="1"/>
  <c r="E42" i="32"/>
  <c r="F42" i="32" s="1"/>
  <c r="H42" i="32"/>
  <c r="I42" i="32" s="1"/>
  <c r="E43" i="32"/>
  <c r="F43" i="32" s="1"/>
  <c r="H43" i="32"/>
  <c r="I43" i="32" s="1"/>
  <c r="E44" i="32"/>
  <c r="F44" i="32"/>
  <c r="H44" i="32"/>
  <c r="I44" i="32" s="1"/>
  <c r="E45" i="32"/>
  <c r="F45" i="32" s="1"/>
  <c r="H45" i="32"/>
  <c r="E46" i="32"/>
  <c r="F46" i="32" s="1"/>
  <c r="H46" i="32"/>
  <c r="I46" i="32" s="1"/>
  <c r="E47" i="32"/>
  <c r="F47" i="32" s="1"/>
  <c r="H47" i="32"/>
  <c r="I47" i="32" s="1"/>
  <c r="E48" i="32"/>
  <c r="F48" i="32" s="1"/>
  <c r="H48" i="32"/>
  <c r="I48" i="32" s="1"/>
  <c r="E49" i="32"/>
  <c r="F49" i="32" s="1"/>
  <c r="H49" i="32"/>
  <c r="I49" i="32" s="1"/>
  <c r="E50" i="32"/>
  <c r="F50" i="32" s="1"/>
  <c r="H50" i="32"/>
  <c r="I50" i="32" s="1"/>
  <c r="E51" i="32"/>
  <c r="F51" i="32" s="1"/>
  <c r="H51" i="32"/>
  <c r="I51" i="32" s="1"/>
  <c r="E52" i="32"/>
  <c r="F52" i="32" s="1"/>
  <c r="H52" i="32"/>
  <c r="I52" i="32" s="1"/>
  <c r="H53" i="32"/>
  <c r="I53" i="32" s="1"/>
  <c r="E54" i="32"/>
  <c r="F54" i="32" s="1"/>
  <c r="H54" i="32"/>
  <c r="I54" i="32" s="1"/>
  <c r="E55" i="32"/>
  <c r="F55" i="32" s="1"/>
  <c r="H55" i="32"/>
  <c r="I55" i="32" s="1"/>
  <c r="E56" i="32"/>
  <c r="F56" i="32" s="1"/>
  <c r="H56" i="32"/>
  <c r="I56" i="32" s="1"/>
  <c r="E57" i="32"/>
  <c r="F57" i="32" s="1"/>
  <c r="H57" i="32"/>
  <c r="I57" i="32" s="1"/>
  <c r="E58" i="32"/>
  <c r="F58" i="32" s="1"/>
  <c r="H58" i="32"/>
  <c r="I58" i="32" s="1"/>
  <c r="E59" i="32"/>
  <c r="F59" i="32" s="1"/>
  <c r="H59" i="32"/>
  <c r="I59" i="32" s="1"/>
  <c r="E60" i="32"/>
  <c r="F60" i="32" s="1"/>
  <c r="H60" i="32"/>
  <c r="I60" i="32" s="1"/>
  <c r="E61" i="32"/>
  <c r="F61" i="32"/>
  <c r="H61" i="32"/>
  <c r="E62" i="32"/>
  <c r="F62" i="32" s="1"/>
  <c r="H62" i="32"/>
  <c r="I62" i="32" s="1"/>
  <c r="E63" i="32"/>
  <c r="F63" i="32" s="1"/>
  <c r="H63" i="32"/>
  <c r="I63" i="32" s="1"/>
  <c r="E64" i="32"/>
  <c r="F64" i="32" s="1"/>
  <c r="H64" i="32"/>
  <c r="I64" i="32" s="1"/>
  <c r="E65" i="32"/>
  <c r="F65" i="32"/>
  <c r="H65" i="32"/>
  <c r="I65" i="32" s="1"/>
  <c r="E66" i="32"/>
  <c r="F66" i="32" s="1"/>
  <c r="H66" i="32"/>
  <c r="I66" i="32" s="1"/>
  <c r="E67" i="32"/>
  <c r="F67" i="32" s="1"/>
  <c r="H67" i="32"/>
  <c r="I67" i="32" s="1"/>
  <c r="E68" i="32"/>
  <c r="F68" i="32" s="1"/>
  <c r="H68" i="32"/>
  <c r="I68" i="32" s="1"/>
  <c r="E69" i="32"/>
  <c r="F69" i="32" s="1"/>
  <c r="H69" i="32"/>
  <c r="I69" i="32" s="1"/>
  <c r="E70" i="32"/>
  <c r="F70" i="32" s="1"/>
  <c r="H70" i="32"/>
  <c r="I70" i="32" s="1"/>
  <c r="E71" i="32"/>
  <c r="F71" i="32" s="1"/>
  <c r="H71" i="32"/>
  <c r="I71" i="32" s="1"/>
  <c r="E72" i="32"/>
  <c r="F72" i="32" s="1"/>
  <c r="H72" i="32"/>
  <c r="I72" i="32" s="1"/>
  <c r="E73" i="32"/>
  <c r="F73" i="32" s="1"/>
  <c r="H73" i="32"/>
  <c r="I73" i="32" s="1"/>
  <c r="E74" i="32"/>
  <c r="F74" i="32" s="1"/>
  <c r="H74" i="32"/>
  <c r="I74" i="32" s="1"/>
  <c r="E75" i="32"/>
  <c r="F75" i="32" s="1"/>
  <c r="H75" i="32"/>
  <c r="I75" i="32" s="1"/>
  <c r="E76" i="32"/>
  <c r="F76" i="32" s="1"/>
  <c r="H76" i="32"/>
  <c r="E77" i="32"/>
  <c r="F77" i="32" s="1"/>
  <c r="H77" i="32"/>
  <c r="I77" i="32" s="1"/>
  <c r="E78" i="32"/>
  <c r="F78" i="32" s="1"/>
  <c r="H78" i="32"/>
  <c r="I78" i="32" s="1"/>
  <c r="E79" i="32"/>
  <c r="F79" i="32" s="1"/>
  <c r="H79" i="32"/>
  <c r="I79" i="32" s="1"/>
  <c r="E80" i="32"/>
  <c r="F80" i="32"/>
  <c r="H80" i="32"/>
  <c r="I80" i="32" s="1"/>
  <c r="E81" i="32"/>
  <c r="F81" i="32" s="1"/>
  <c r="H81" i="32"/>
  <c r="I81" i="32" s="1"/>
  <c r="E82" i="32"/>
  <c r="F82" i="32" s="1"/>
  <c r="H82" i="32"/>
  <c r="I82" i="32" s="1"/>
  <c r="E83" i="32"/>
  <c r="F83" i="32" s="1"/>
  <c r="H83" i="32"/>
  <c r="I83" i="32" s="1"/>
  <c r="E84" i="32"/>
  <c r="F84" i="32" s="1"/>
  <c r="E85" i="32"/>
  <c r="F85" i="32" s="1"/>
  <c r="H85" i="32"/>
  <c r="I85" i="32" s="1"/>
  <c r="I57" i="31"/>
  <c r="I59" i="31"/>
  <c r="H13" i="31"/>
  <c r="I13" i="31" s="1"/>
  <c r="H14" i="31"/>
  <c r="I14" i="31"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H29" i="31"/>
  <c r="I29" i="31" s="1"/>
  <c r="H30" i="31"/>
  <c r="I30" i="31" s="1"/>
  <c r="H31" i="31"/>
  <c r="I31" i="31" s="1"/>
  <c r="H32" i="31"/>
  <c r="I32" i="31" s="1"/>
  <c r="H33" i="31"/>
  <c r="I33" i="31" s="1"/>
  <c r="H34" i="31"/>
  <c r="I34" i="31" s="1"/>
  <c r="H35" i="31"/>
  <c r="H36" i="31"/>
  <c r="H37" i="31"/>
  <c r="I37" i="31" s="1"/>
  <c r="H38" i="31"/>
  <c r="I38" i="31" s="1"/>
  <c r="H39" i="31"/>
  <c r="I39" i="31" s="1"/>
  <c r="H40" i="31"/>
  <c r="I40" i="31" s="1"/>
  <c r="H41" i="31"/>
  <c r="I41" i="31" s="1"/>
  <c r="H42" i="31"/>
  <c r="I42" i="31" s="1"/>
  <c r="H43" i="31"/>
  <c r="I43" i="31" s="1"/>
  <c r="H44" i="31"/>
  <c r="I44" i="31" s="1"/>
  <c r="H45" i="31"/>
  <c r="I45" i="31" s="1"/>
  <c r="H46" i="31"/>
  <c r="I46" i="31" s="1"/>
  <c r="H47" i="31"/>
  <c r="I47" i="31" s="1"/>
  <c r="H48" i="31"/>
  <c r="I48" i="31" s="1"/>
  <c r="H49" i="31"/>
  <c r="I49" i="31" s="1"/>
  <c r="H50" i="31"/>
  <c r="I50" i="31" s="1"/>
  <c r="H51" i="31"/>
  <c r="H52" i="31"/>
  <c r="I52" i="31" s="1"/>
  <c r="H53" i="31"/>
  <c r="I53" i="31" s="1"/>
  <c r="H54" i="31"/>
  <c r="I54" i="31" s="1"/>
  <c r="H55" i="31"/>
  <c r="I55" i="31" s="1"/>
  <c r="H56" i="31"/>
  <c r="I56" i="31" s="1"/>
  <c r="H57" i="31"/>
  <c r="H58" i="31"/>
  <c r="I58" i="31" s="1"/>
  <c r="H59" i="31"/>
  <c r="H60" i="31"/>
  <c r="I60" i="31" s="1"/>
  <c r="H61" i="31"/>
  <c r="I61" i="31" s="1"/>
  <c r="H62" i="31"/>
  <c r="I62" i="31" s="1"/>
  <c r="H63" i="31"/>
  <c r="I63" i="31" s="1"/>
  <c r="H64" i="31"/>
  <c r="H65" i="31"/>
  <c r="I65" i="31" s="1"/>
  <c r="H66" i="31"/>
  <c r="I66" i="31" s="1"/>
  <c r="H67" i="31"/>
  <c r="H68" i="31"/>
  <c r="H69" i="31"/>
  <c r="H70" i="31"/>
  <c r="H71" i="31"/>
  <c r="H72" i="31"/>
  <c r="I72" i="31" s="1"/>
  <c r="H73" i="31"/>
  <c r="H74" i="31"/>
  <c r="I74" i="31" s="1"/>
  <c r="H75" i="31"/>
  <c r="I75" i="31" s="1"/>
  <c r="H76" i="31"/>
  <c r="I76" i="31" s="1"/>
  <c r="H77" i="31"/>
  <c r="I77" i="31" s="1"/>
  <c r="H78" i="31"/>
  <c r="I78" i="31" s="1"/>
  <c r="H79" i="31"/>
  <c r="H80" i="31"/>
  <c r="I80" i="31" s="1"/>
  <c r="H81" i="31"/>
  <c r="I81" i="31" s="1"/>
  <c r="H82" i="31"/>
  <c r="H83" i="31"/>
  <c r="I83" i="31" s="1"/>
  <c r="H84" i="31"/>
  <c r="I84" i="31" s="1"/>
  <c r="H85" i="31"/>
  <c r="F28" i="31"/>
  <c r="F49" i="31"/>
  <c r="F62" i="31"/>
  <c r="F78" i="31"/>
  <c r="F81" i="31"/>
  <c r="F82" i="31"/>
  <c r="E6" i="31"/>
  <c r="F6" i="31" s="1"/>
  <c r="E7" i="31"/>
  <c r="F7" i="31" s="1"/>
  <c r="E8" i="31"/>
  <c r="F8" i="31" s="1"/>
  <c r="E9" i="31"/>
  <c r="F9" i="31" s="1"/>
  <c r="E10" i="31"/>
  <c r="F10" i="31" s="1"/>
  <c r="E11" i="31"/>
  <c r="F11" i="31" s="1"/>
  <c r="E12" i="31"/>
  <c r="F12" i="31" s="1"/>
  <c r="E13" i="31"/>
  <c r="F13" i="31" s="1"/>
  <c r="E14" i="31"/>
  <c r="F14"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E29" i="31"/>
  <c r="F29" i="31" s="1"/>
  <c r="E30" i="31"/>
  <c r="F30" i="31" s="1"/>
  <c r="E31" i="31"/>
  <c r="F31" i="31" s="1"/>
  <c r="E32" i="31"/>
  <c r="F32" i="31" s="1"/>
  <c r="E33" i="31"/>
  <c r="F33" i="31" s="1"/>
  <c r="E34" i="31"/>
  <c r="F34" i="31" s="1"/>
  <c r="E35" i="31"/>
  <c r="F35" i="31" s="1"/>
  <c r="E36" i="31"/>
  <c r="F36" i="31" s="1"/>
  <c r="E37" i="31"/>
  <c r="F37" i="31" s="1"/>
  <c r="E38" i="31"/>
  <c r="F38" i="31" s="1"/>
  <c r="E39" i="31"/>
  <c r="F39" i="31" s="1"/>
  <c r="E40" i="31"/>
  <c r="F40" i="31" s="1"/>
  <c r="E41" i="31"/>
  <c r="F41" i="31" s="1"/>
  <c r="E42" i="31"/>
  <c r="F42" i="31" s="1"/>
  <c r="E43" i="31"/>
  <c r="F43" i="31" s="1"/>
  <c r="E44" i="31"/>
  <c r="F44" i="31" s="1"/>
  <c r="E45" i="31"/>
  <c r="F45" i="31" s="1"/>
  <c r="E46" i="31"/>
  <c r="F46" i="31" s="1"/>
  <c r="E47" i="31"/>
  <c r="F47" i="31" s="1"/>
  <c r="E48" i="31"/>
  <c r="F48" i="31" s="1"/>
  <c r="E49" i="31"/>
  <c r="E50" i="31"/>
  <c r="F50" i="31" s="1"/>
  <c r="E51" i="31"/>
  <c r="F51" i="31" s="1"/>
  <c r="E52" i="31"/>
  <c r="F52" i="31" s="1"/>
  <c r="E53" i="31"/>
  <c r="F53" i="31" s="1"/>
  <c r="E54" i="31"/>
  <c r="F54" i="31" s="1"/>
  <c r="E55" i="31"/>
  <c r="F55" i="31" s="1"/>
  <c r="E56" i="31"/>
  <c r="F56" i="31" s="1"/>
  <c r="E57" i="31"/>
  <c r="F57" i="31" s="1"/>
  <c r="E58" i="31"/>
  <c r="F58" i="31" s="1"/>
  <c r="E59" i="31"/>
  <c r="F59" i="31" s="1"/>
  <c r="E60" i="31"/>
  <c r="F60" i="31" s="1"/>
  <c r="E61" i="31"/>
  <c r="F61" i="31" s="1"/>
  <c r="E62" i="31"/>
  <c r="E63" i="31"/>
  <c r="F63" i="31" s="1"/>
  <c r="E64" i="31"/>
  <c r="F64" i="31" s="1"/>
  <c r="E65" i="31"/>
  <c r="F65" i="31" s="1"/>
  <c r="E66" i="31"/>
  <c r="F66" i="31" s="1"/>
  <c r="E67" i="31"/>
  <c r="F67" i="31" s="1"/>
  <c r="E68" i="31"/>
  <c r="F68" i="31" s="1"/>
  <c r="E69" i="31"/>
  <c r="F69" i="31" s="1"/>
  <c r="E70" i="31"/>
  <c r="F70" i="31" s="1"/>
  <c r="E71" i="31"/>
  <c r="F71" i="31" s="1"/>
  <c r="E72" i="31"/>
  <c r="F72" i="31" s="1"/>
  <c r="E73" i="31"/>
  <c r="F73" i="31" s="1"/>
  <c r="E74" i="31"/>
  <c r="F74" i="31" s="1"/>
  <c r="E75" i="31"/>
  <c r="F75" i="31" s="1"/>
  <c r="E76" i="31"/>
  <c r="F76" i="31" s="1"/>
  <c r="E77" i="31"/>
  <c r="F77" i="31" s="1"/>
  <c r="E78" i="31"/>
  <c r="E79" i="31"/>
  <c r="F79" i="31" s="1"/>
  <c r="E80" i="31"/>
  <c r="F80" i="31" s="1"/>
  <c r="E81" i="31"/>
  <c r="E82" i="31"/>
  <c r="E83" i="31"/>
  <c r="F83" i="31" s="1"/>
  <c r="E84" i="31"/>
  <c r="F84" i="31" s="1"/>
  <c r="E85" i="31"/>
  <c r="F85" i="31" s="1"/>
  <c r="H12" i="28"/>
  <c r="E13" i="28"/>
  <c r="F13" i="28" s="1"/>
  <c r="H13" i="28"/>
  <c r="I13" i="28" s="1"/>
  <c r="E14" i="28"/>
  <c r="F14" i="28"/>
  <c r="H14" i="28"/>
  <c r="E15" i="28"/>
  <c r="F15" i="28"/>
  <c r="H15" i="28"/>
  <c r="I15" i="28" s="1"/>
  <c r="E16" i="28"/>
  <c r="F16" i="28"/>
  <c r="H16" i="28"/>
  <c r="E17" i="28"/>
  <c r="F17" i="28"/>
  <c r="H17" i="28"/>
  <c r="I17" i="28"/>
  <c r="E18" i="28"/>
  <c r="F18" i="28"/>
  <c r="H18" i="28"/>
  <c r="I18" i="28" s="1"/>
  <c r="E19" i="28"/>
  <c r="F19" i="28"/>
  <c r="H19" i="28"/>
  <c r="I19" i="28"/>
  <c r="E20" i="28"/>
  <c r="F20" i="28"/>
  <c r="H20" i="28"/>
  <c r="I20" i="28" s="1"/>
  <c r="E21" i="28"/>
  <c r="F21" i="28"/>
  <c r="H21" i="28"/>
  <c r="I21" i="28"/>
  <c r="E22" i="28"/>
  <c r="F22" i="28"/>
  <c r="H22" i="28"/>
  <c r="E23" i="28"/>
  <c r="F23" i="28"/>
  <c r="H23" i="28"/>
  <c r="I23" i="28"/>
  <c r="E24" i="28"/>
  <c r="F24" i="28"/>
  <c r="H24" i="28"/>
  <c r="I24" i="28" s="1"/>
  <c r="E25" i="28"/>
  <c r="F25" i="28" s="1"/>
  <c r="H25" i="28"/>
  <c r="I25" i="28" s="1"/>
  <c r="E26" i="28"/>
  <c r="F26" i="28"/>
  <c r="H26" i="28"/>
  <c r="E27" i="28"/>
  <c r="F27" i="28"/>
  <c r="H27" i="28"/>
  <c r="E28" i="28"/>
  <c r="F28" i="28" s="1"/>
  <c r="H28" i="28"/>
  <c r="I28" i="28" s="1"/>
  <c r="E29" i="28"/>
  <c r="F29" i="28"/>
  <c r="H29" i="28"/>
  <c r="I29" i="28"/>
  <c r="E30" i="28"/>
  <c r="F30" i="28"/>
  <c r="H30" i="28"/>
  <c r="I30" i="28"/>
  <c r="E31" i="28"/>
  <c r="F31" i="28"/>
  <c r="H31" i="28"/>
  <c r="I31" i="28"/>
  <c r="E32" i="28"/>
  <c r="F32" i="28"/>
  <c r="H32" i="28"/>
  <c r="I32" i="28"/>
  <c r="E33" i="28"/>
  <c r="F33" i="28"/>
  <c r="H33" i="28"/>
  <c r="I33" i="28"/>
  <c r="E34" i="28"/>
  <c r="F34" i="28"/>
  <c r="H34" i="28"/>
  <c r="I34" i="28"/>
  <c r="E35" i="28"/>
  <c r="F35" i="28"/>
  <c r="H35" i="28"/>
  <c r="H35" i="29" s="1"/>
  <c r="I35" i="28"/>
  <c r="E36" i="28"/>
  <c r="F36" i="28"/>
  <c r="H36" i="28"/>
  <c r="E37" i="28"/>
  <c r="F37" i="28" s="1"/>
  <c r="H37" i="28"/>
  <c r="I37" i="28"/>
  <c r="E38" i="28"/>
  <c r="F38" i="28" s="1"/>
  <c r="H38" i="28"/>
  <c r="I38" i="28" s="1"/>
  <c r="E39" i="28"/>
  <c r="F39" i="28"/>
  <c r="H39" i="28"/>
  <c r="I39" i="28" s="1"/>
  <c r="E40" i="28"/>
  <c r="F40" i="28"/>
  <c r="H40" i="28"/>
  <c r="E41" i="28"/>
  <c r="F41" i="28"/>
  <c r="H41" i="28"/>
  <c r="I41" i="28" s="1"/>
  <c r="E42" i="28"/>
  <c r="F42" i="28"/>
  <c r="H42" i="28"/>
  <c r="E43" i="28"/>
  <c r="F43" i="28"/>
  <c r="H43" i="28"/>
  <c r="H43" i="29" s="1"/>
  <c r="E44" i="28"/>
  <c r="F44" i="28"/>
  <c r="H44" i="28"/>
  <c r="E45" i="28"/>
  <c r="F45" i="28"/>
  <c r="H45" i="28"/>
  <c r="I45" i="28" s="1"/>
  <c r="E46" i="28"/>
  <c r="F46" i="28"/>
  <c r="H46" i="28"/>
  <c r="I46" i="28"/>
  <c r="E47" i="28"/>
  <c r="F47" i="28" s="1"/>
  <c r="H47" i="28"/>
  <c r="I47" i="28" s="1"/>
  <c r="E48" i="28"/>
  <c r="F48" i="28"/>
  <c r="H48" i="28"/>
  <c r="I48" i="28"/>
  <c r="E49" i="28"/>
  <c r="F49" i="28"/>
  <c r="H49" i="28"/>
  <c r="I49" i="28"/>
  <c r="E50" i="28"/>
  <c r="F50" i="28"/>
  <c r="H50" i="28"/>
  <c r="I50" i="28"/>
  <c r="E51" i="28"/>
  <c r="F51" i="28" s="1"/>
  <c r="H51" i="28"/>
  <c r="I51" i="28" s="1"/>
  <c r="E52" i="28"/>
  <c r="F52" i="28" s="1"/>
  <c r="H52" i="28"/>
  <c r="E53" i="28"/>
  <c r="F53" i="28"/>
  <c r="H53" i="28"/>
  <c r="I53" i="28"/>
  <c r="E54" i="28"/>
  <c r="F54" i="28"/>
  <c r="H54" i="28"/>
  <c r="I54" i="28"/>
  <c r="E55" i="28"/>
  <c r="F55" i="28" s="1"/>
  <c r="H55" i="28"/>
  <c r="I55" i="28" s="1"/>
  <c r="E56" i="28"/>
  <c r="F56" i="28" s="1"/>
  <c r="H56" i="28"/>
  <c r="I56" i="28" s="1"/>
  <c r="E57" i="28"/>
  <c r="F57" i="28"/>
  <c r="H57" i="28"/>
  <c r="I57" i="28" s="1"/>
  <c r="E58" i="28"/>
  <c r="F58" i="28" s="1"/>
  <c r="H58" i="28"/>
  <c r="I58" i="28" s="1"/>
  <c r="E59" i="28"/>
  <c r="F59" i="28" s="1"/>
  <c r="H59" i="28"/>
  <c r="H59" i="29" s="1"/>
  <c r="I59" i="29" s="1"/>
  <c r="I59" i="28"/>
  <c r="E60" i="28"/>
  <c r="F60" i="28" s="1"/>
  <c r="H60" i="28"/>
  <c r="I60" i="28" s="1"/>
  <c r="E61" i="28"/>
  <c r="F61" i="28" s="1"/>
  <c r="H61" i="28"/>
  <c r="I61" i="28"/>
  <c r="E62" i="28"/>
  <c r="F62" i="28" s="1"/>
  <c r="H62" i="28"/>
  <c r="I62" i="28" s="1"/>
  <c r="E63" i="28"/>
  <c r="F63" i="28" s="1"/>
  <c r="H63" i="28"/>
  <c r="I63" i="28" s="1"/>
  <c r="E64" i="28"/>
  <c r="F64" i="28" s="1"/>
  <c r="H64" i="28"/>
  <c r="I64" i="28" s="1"/>
  <c r="E65" i="28"/>
  <c r="F65" i="28" s="1"/>
  <c r="H65" i="28"/>
  <c r="I65" i="28"/>
  <c r="E66" i="28"/>
  <c r="F66" i="28" s="1"/>
  <c r="H66" i="28"/>
  <c r="I66" i="28" s="1"/>
  <c r="E67" i="28"/>
  <c r="F67" i="28" s="1"/>
  <c r="H67" i="28"/>
  <c r="I67" i="28"/>
  <c r="E68" i="28"/>
  <c r="F68" i="28" s="1"/>
  <c r="H68" i="28"/>
  <c r="I68" i="28" s="1"/>
  <c r="E69" i="28"/>
  <c r="F69" i="28" s="1"/>
  <c r="H69" i="28"/>
  <c r="H69" i="29" s="1"/>
  <c r="I69" i="28"/>
  <c r="E70" i="28"/>
  <c r="F70" i="28" s="1"/>
  <c r="H70" i="28"/>
  <c r="I70" i="28" s="1"/>
  <c r="E71" i="28"/>
  <c r="F71" i="28" s="1"/>
  <c r="H71" i="28"/>
  <c r="I71" i="28" s="1"/>
  <c r="E72" i="28"/>
  <c r="F72" i="28"/>
  <c r="H72" i="28"/>
  <c r="E73" i="28"/>
  <c r="F73" i="28" s="1"/>
  <c r="H73" i="28"/>
  <c r="E74" i="28"/>
  <c r="F74" i="28" s="1"/>
  <c r="H74" i="28"/>
  <c r="E75" i="28"/>
  <c r="F75" i="28" s="1"/>
  <c r="H75" i="28"/>
  <c r="I75" i="28"/>
  <c r="E76" i="28"/>
  <c r="F76" i="28"/>
  <c r="H76" i="28"/>
  <c r="I76" i="28" s="1"/>
  <c r="E77" i="28"/>
  <c r="F77" i="28"/>
  <c r="H77" i="28"/>
  <c r="I77" i="28" s="1"/>
  <c r="E78" i="28"/>
  <c r="F78" i="28" s="1"/>
  <c r="H78" i="28"/>
  <c r="I78" i="28" s="1"/>
  <c r="E79" i="28"/>
  <c r="F79" i="28" s="1"/>
  <c r="H79" i="28"/>
  <c r="I79" i="28" s="1"/>
  <c r="E80" i="28"/>
  <c r="F80" i="28" s="1"/>
  <c r="H80" i="28"/>
  <c r="E81" i="28"/>
  <c r="F81" i="28" s="1"/>
  <c r="H81" i="28"/>
  <c r="I81" i="28" s="1"/>
  <c r="E82" i="28"/>
  <c r="F82" i="28" s="1"/>
  <c r="H82" i="28"/>
  <c r="I82" i="28"/>
  <c r="E83" i="28"/>
  <c r="F83" i="28" s="1"/>
  <c r="H83" i="28"/>
  <c r="I83" i="28" s="1"/>
  <c r="E84" i="28"/>
  <c r="F84" i="28" s="1"/>
  <c r="H84" i="28"/>
  <c r="I84" i="28"/>
  <c r="E85" i="28"/>
  <c r="F85" i="28" s="1"/>
  <c r="H85" i="28"/>
  <c r="I85" i="28" s="1"/>
  <c r="H6" i="27"/>
  <c r="I6" i="27" s="1"/>
  <c r="H7" i="27"/>
  <c r="I7" i="27"/>
  <c r="H8" i="27"/>
  <c r="I8" i="27"/>
  <c r="H9" i="27"/>
  <c r="I9" i="27"/>
  <c r="H10" i="27"/>
  <c r="I10" i="27" s="1"/>
  <c r="H11" i="27"/>
  <c r="I11" i="27"/>
  <c r="H12" i="27"/>
  <c r="I12" i="27"/>
  <c r="H13" i="27"/>
  <c r="I13" i="27"/>
  <c r="H14" i="27"/>
  <c r="I14" i="27" s="1"/>
  <c r="H15" i="27"/>
  <c r="I15" i="27"/>
  <c r="H16" i="27"/>
  <c r="I16" i="27"/>
  <c r="H17" i="27"/>
  <c r="I17" i="27"/>
  <c r="H18" i="27"/>
  <c r="I18" i="27" s="1"/>
  <c r="H19" i="27"/>
  <c r="I19" i="27"/>
  <c r="H20" i="27"/>
  <c r="I20" i="27"/>
  <c r="H21" i="27"/>
  <c r="I21" i="27"/>
  <c r="H22" i="27"/>
  <c r="I22" i="27" s="1"/>
  <c r="H23" i="27"/>
  <c r="I23" i="27"/>
  <c r="H24" i="27"/>
  <c r="I24" i="27"/>
  <c r="H25" i="27"/>
  <c r="I25" i="27"/>
  <c r="H26" i="27"/>
  <c r="I26" i="27" s="1"/>
  <c r="H27" i="27"/>
  <c r="I27" i="27"/>
  <c r="H28" i="27"/>
  <c r="I28" i="27"/>
  <c r="H29" i="27"/>
  <c r="I29" i="27"/>
  <c r="H30" i="27"/>
  <c r="I30" i="27" s="1"/>
  <c r="H31" i="27"/>
  <c r="I31" i="27"/>
  <c r="H32" i="27"/>
  <c r="I32" i="27"/>
  <c r="H33" i="27"/>
  <c r="I33" i="27"/>
  <c r="H34" i="27"/>
  <c r="I34" i="27" s="1"/>
  <c r="H35" i="27"/>
  <c r="I35" i="27"/>
  <c r="H36" i="27"/>
  <c r="I36" i="27"/>
  <c r="H37" i="27"/>
  <c r="I37" i="27"/>
  <c r="H38" i="27"/>
  <c r="I38" i="27" s="1"/>
  <c r="H39" i="27"/>
  <c r="I39" i="27"/>
  <c r="H40" i="27"/>
  <c r="I40" i="27"/>
  <c r="H41" i="27"/>
  <c r="I41" i="27"/>
  <c r="H42" i="27"/>
  <c r="I42" i="27" s="1"/>
  <c r="H43" i="27"/>
  <c r="I43" i="27"/>
  <c r="H44" i="27"/>
  <c r="I44" i="27"/>
  <c r="H45" i="27"/>
  <c r="I45" i="27"/>
  <c r="H46" i="27"/>
  <c r="I46" i="27" s="1"/>
  <c r="H47" i="27"/>
  <c r="I47" i="27"/>
  <c r="H48" i="27"/>
  <c r="I48" i="27"/>
  <c r="H49" i="27"/>
  <c r="I49" i="27"/>
  <c r="H50" i="27"/>
  <c r="I50" i="27" s="1"/>
  <c r="H51" i="27"/>
  <c r="I51" i="27"/>
  <c r="H52" i="27"/>
  <c r="I52" i="27"/>
  <c r="H53" i="27"/>
  <c r="I53" i="27"/>
  <c r="H54" i="27"/>
  <c r="I54" i="27" s="1"/>
  <c r="H55" i="27"/>
  <c r="I55" i="27"/>
  <c r="H56" i="27"/>
  <c r="I56" i="27"/>
  <c r="H57" i="27"/>
  <c r="I57" i="27"/>
  <c r="H58" i="27"/>
  <c r="I58" i="27" s="1"/>
  <c r="H59" i="27"/>
  <c r="I59" i="27"/>
  <c r="H60" i="27"/>
  <c r="I60" i="27"/>
  <c r="H61" i="27"/>
  <c r="I61" i="27"/>
  <c r="H62" i="27"/>
  <c r="I62" i="27" s="1"/>
  <c r="H63" i="27"/>
  <c r="I63" i="27"/>
  <c r="H64" i="27"/>
  <c r="I64" i="27"/>
  <c r="H65" i="27"/>
  <c r="I65" i="27"/>
  <c r="H66" i="27"/>
  <c r="I66" i="27" s="1"/>
  <c r="H67" i="27"/>
  <c r="I67" i="27"/>
  <c r="H68" i="27"/>
  <c r="I68" i="27"/>
  <c r="H69" i="27"/>
  <c r="I69" i="27"/>
  <c r="H70" i="27"/>
  <c r="I70" i="27" s="1"/>
  <c r="H71" i="27"/>
  <c r="I71" i="27"/>
  <c r="H72" i="27"/>
  <c r="I72" i="27"/>
  <c r="H73" i="27"/>
  <c r="I73" i="27"/>
  <c r="H74" i="27"/>
  <c r="I74" i="27" s="1"/>
  <c r="H75" i="27"/>
  <c r="I75" i="27"/>
  <c r="H76" i="27"/>
  <c r="I76" i="27"/>
  <c r="H77" i="27"/>
  <c r="I77" i="27"/>
  <c r="H78" i="27"/>
  <c r="I78" i="27" s="1"/>
  <c r="H79" i="27"/>
  <c r="I79" i="27"/>
  <c r="H80" i="27"/>
  <c r="I80" i="27"/>
  <c r="H81" i="27"/>
  <c r="I81" i="27"/>
  <c r="H82" i="27"/>
  <c r="I82" i="27" s="1"/>
  <c r="H83" i="27"/>
  <c r="I83" i="27"/>
  <c r="H84" i="27"/>
  <c r="I84" i="27"/>
  <c r="H85" i="27"/>
  <c r="I85" i="27"/>
  <c r="E6" i="27"/>
  <c r="F6" i="27"/>
  <c r="E7" i="27"/>
  <c r="F7" i="27"/>
  <c r="E8" i="27"/>
  <c r="F8" i="27"/>
  <c r="E9" i="27"/>
  <c r="F9" i="27"/>
  <c r="E10" i="27"/>
  <c r="F10" i="27"/>
  <c r="E11" i="27"/>
  <c r="F11" i="27"/>
  <c r="E12" i="27"/>
  <c r="F12" i="27"/>
  <c r="E13" i="27"/>
  <c r="F13" i="27"/>
  <c r="E14" i="27"/>
  <c r="F14" i="27"/>
  <c r="E15" i="27"/>
  <c r="F15" i="27"/>
  <c r="E16" i="27"/>
  <c r="F16" i="27"/>
  <c r="E17" i="27"/>
  <c r="F17"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69" i="27"/>
  <c r="F69" i="27"/>
  <c r="E70" i="27"/>
  <c r="F70" i="27"/>
  <c r="E71" i="27"/>
  <c r="F71" i="27"/>
  <c r="E72" i="27"/>
  <c r="F72" i="27"/>
  <c r="E73" i="27"/>
  <c r="F73" i="27"/>
  <c r="E74" i="27"/>
  <c r="F74" i="27"/>
  <c r="E75" i="27"/>
  <c r="F75" i="27"/>
  <c r="E76" i="27"/>
  <c r="F76" i="27"/>
  <c r="E77" i="27"/>
  <c r="F77" i="27"/>
  <c r="E78" i="27"/>
  <c r="F78" i="27"/>
  <c r="E79" i="27"/>
  <c r="F79" i="27"/>
  <c r="E80" i="27"/>
  <c r="F80" i="27"/>
  <c r="E81" i="27"/>
  <c r="F81" i="27"/>
  <c r="E82" i="27"/>
  <c r="F82" i="27"/>
  <c r="E83" i="27"/>
  <c r="F83" i="27"/>
  <c r="E84" i="27"/>
  <c r="F84" i="27"/>
  <c r="E85" i="27"/>
  <c r="F85" i="27"/>
  <c r="E85" i="26"/>
  <c r="F85" i="26" s="1"/>
  <c r="C25" i="30"/>
  <c r="D25" i="30"/>
  <c r="G25" i="30"/>
  <c r="C26" i="30"/>
  <c r="D26" i="30"/>
  <c r="G26" i="30"/>
  <c r="C27" i="30"/>
  <c r="D27" i="30"/>
  <c r="G27" i="30"/>
  <c r="C28" i="30"/>
  <c r="D28" i="30"/>
  <c r="G28" i="30"/>
  <c r="C29" i="30"/>
  <c r="D29" i="30"/>
  <c r="G29" i="30"/>
  <c r="C30" i="30"/>
  <c r="D30" i="30"/>
  <c r="G30" i="30"/>
  <c r="C31" i="30"/>
  <c r="D31" i="30"/>
  <c r="G31" i="30"/>
  <c r="C32" i="30"/>
  <c r="D32" i="30"/>
  <c r="G32" i="30"/>
  <c r="C33" i="30"/>
  <c r="D33" i="30"/>
  <c r="G33" i="30"/>
  <c r="C34" i="30"/>
  <c r="D34" i="30"/>
  <c r="G34" i="30"/>
  <c r="C35" i="30"/>
  <c r="D35" i="30"/>
  <c r="G35" i="30"/>
  <c r="C36" i="30"/>
  <c r="D36" i="30"/>
  <c r="G36" i="30"/>
  <c r="C37" i="30"/>
  <c r="D37" i="30"/>
  <c r="G37" i="30"/>
  <c r="C38" i="30"/>
  <c r="D38" i="30"/>
  <c r="G38" i="30"/>
  <c r="C39" i="30"/>
  <c r="D39" i="30"/>
  <c r="G39" i="30"/>
  <c r="C40" i="30"/>
  <c r="D40" i="30"/>
  <c r="G40" i="30"/>
  <c r="C41" i="30"/>
  <c r="D41" i="30"/>
  <c r="G41" i="30"/>
  <c r="C42" i="30"/>
  <c r="D42" i="30"/>
  <c r="G42" i="30"/>
  <c r="C43" i="30"/>
  <c r="D43" i="30"/>
  <c r="G43" i="30"/>
  <c r="C44" i="30"/>
  <c r="D44" i="30"/>
  <c r="G44" i="30"/>
  <c r="C45" i="30"/>
  <c r="D45" i="30"/>
  <c r="G45" i="30"/>
  <c r="C46" i="30"/>
  <c r="D46" i="30"/>
  <c r="G46" i="30"/>
  <c r="C47" i="30"/>
  <c r="D47" i="30"/>
  <c r="G47" i="30"/>
  <c r="C48" i="30"/>
  <c r="D48" i="30"/>
  <c r="G48" i="30"/>
  <c r="C49" i="30"/>
  <c r="D49" i="30"/>
  <c r="G49" i="30"/>
  <c r="C50" i="30"/>
  <c r="D50" i="30"/>
  <c r="G50" i="30"/>
  <c r="C51" i="30"/>
  <c r="D51" i="30"/>
  <c r="G51" i="30"/>
  <c r="C52" i="30"/>
  <c r="D52" i="30"/>
  <c r="G52" i="30"/>
  <c r="C53" i="30"/>
  <c r="D53" i="30"/>
  <c r="G53" i="30"/>
  <c r="C54" i="30"/>
  <c r="D54" i="30"/>
  <c r="G54" i="30"/>
  <c r="C55" i="30"/>
  <c r="D55" i="30"/>
  <c r="G55" i="30"/>
  <c r="C56" i="30"/>
  <c r="D56" i="30"/>
  <c r="G56" i="30"/>
  <c r="C57" i="30"/>
  <c r="D57" i="30"/>
  <c r="G57" i="30"/>
  <c r="C58" i="30"/>
  <c r="D58" i="30"/>
  <c r="G58" i="30"/>
  <c r="C59" i="30"/>
  <c r="D59" i="30"/>
  <c r="G59" i="30"/>
  <c r="C60" i="30"/>
  <c r="D60" i="30"/>
  <c r="G60" i="30"/>
  <c r="C61" i="30"/>
  <c r="D61" i="30"/>
  <c r="G61" i="30"/>
  <c r="C62" i="30"/>
  <c r="D62" i="30"/>
  <c r="G62" i="30"/>
  <c r="C63" i="30"/>
  <c r="D63" i="30"/>
  <c r="G63" i="30"/>
  <c r="C64" i="30"/>
  <c r="D64" i="30"/>
  <c r="G64" i="30"/>
  <c r="C65" i="30"/>
  <c r="D65" i="30"/>
  <c r="G65" i="30"/>
  <c r="C66" i="30"/>
  <c r="D66" i="30"/>
  <c r="G66" i="30"/>
  <c r="C67" i="30"/>
  <c r="D67" i="30"/>
  <c r="G67" i="30"/>
  <c r="C68" i="30"/>
  <c r="D68" i="30"/>
  <c r="G68" i="30"/>
  <c r="C69" i="30"/>
  <c r="D69" i="30"/>
  <c r="G69" i="30"/>
  <c r="C70" i="30"/>
  <c r="D70" i="30"/>
  <c r="G70" i="30"/>
  <c r="C71" i="30"/>
  <c r="D71" i="30"/>
  <c r="G71" i="30"/>
  <c r="C72" i="30"/>
  <c r="D72" i="30"/>
  <c r="G72" i="30"/>
  <c r="C73" i="30"/>
  <c r="D73" i="30"/>
  <c r="G73" i="30"/>
  <c r="C74" i="30"/>
  <c r="D74" i="30"/>
  <c r="G74" i="30"/>
  <c r="C75" i="30"/>
  <c r="D75" i="30"/>
  <c r="G75" i="30"/>
  <c r="C76" i="30"/>
  <c r="D76" i="30"/>
  <c r="G76" i="30"/>
  <c r="C77" i="30"/>
  <c r="D77" i="30"/>
  <c r="G77" i="30"/>
  <c r="C78" i="30"/>
  <c r="D78" i="30"/>
  <c r="G78" i="30"/>
  <c r="C79" i="30"/>
  <c r="D79" i="30"/>
  <c r="G79" i="30"/>
  <c r="C80" i="30"/>
  <c r="D80" i="30"/>
  <c r="G80" i="30"/>
  <c r="C81" i="30"/>
  <c r="D81" i="30"/>
  <c r="G81" i="30"/>
  <c r="C82" i="30"/>
  <c r="D82" i="30"/>
  <c r="G82" i="30"/>
  <c r="C83" i="30"/>
  <c r="D83" i="30"/>
  <c r="G83" i="30"/>
  <c r="C84" i="30"/>
  <c r="D84" i="30"/>
  <c r="G84" i="30"/>
  <c r="C85" i="30"/>
  <c r="D85" i="30"/>
  <c r="G85" i="30"/>
  <c r="C47" i="29"/>
  <c r="D47" i="29"/>
  <c r="G47" i="29"/>
  <c r="C48" i="29"/>
  <c r="D48" i="29"/>
  <c r="E48" i="29" s="1"/>
  <c r="F48" i="29" s="1"/>
  <c r="G48" i="29"/>
  <c r="C49" i="29"/>
  <c r="E49" i="29" s="1"/>
  <c r="F49" i="29" s="1"/>
  <c r="D49" i="29"/>
  <c r="G49" i="29"/>
  <c r="C50" i="29"/>
  <c r="D50" i="29"/>
  <c r="E50" i="29"/>
  <c r="F50" i="29" s="1"/>
  <c r="G50" i="29"/>
  <c r="C51" i="29"/>
  <c r="D51" i="29"/>
  <c r="G51" i="29"/>
  <c r="C52" i="29"/>
  <c r="D52" i="29"/>
  <c r="G52" i="29"/>
  <c r="C53" i="29"/>
  <c r="D53" i="29"/>
  <c r="E53" i="29" s="1"/>
  <c r="F53" i="29" s="1"/>
  <c r="G53" i="29"/>
  <c r="H53" i="29"/>
  <c r="I53" i="29"/>
  <c r="C54" i="29"/>
  <c r="E54" i="29" s="1"/>
  <c r="F54" i="29" s="1"/>
  <c r="D54" i="29"/>
  <c r="G54" i="29"/>
  <c r="C55" i="29"/>
  <c r="D55" i="29"/>
  <c r="G55" i="29"/>
  <c r="C56" i="29"/>
  <c r="D56" i="29"/>
  <c r="G56" i="29"/>
  <c r="C57" i="29"/>
  <c r="E57" i="29" s="1"/>
  <c r="F57" i="29" s="1"/>
  <c r="D57" i="29"/>
  <c r="G57" i="29"/>
  <c r="C58" i="29"/>
  <c r="D58" i="29"/>
  <c r="G58" i="29"/>
  <c r="C59" i="29"/>
  <c r="D59" i="29"/>
  <c r="G59" i="29"/>
  <c r="C60" i="29"/>
  <c r="D60" i="29"/>
  <c r="G60" i="29"/>
  <c r="C61" i="29"/>
  <c r="E61" i="29" s="1"/>
  <c r="F61" i="29" s="1"/>
  <c r="D61" i="29"/>
  <c r="G61" i="29"/>
  <c r="C62" i="29"/>
  <c r="D62" i="29"/>
  <c r="E62" i="29"/>
  <c r="F62" i="29" s="1"/>
  <c r="G62" i="29"/>
  <c r="C63" i="29"/>
  <c r="D63" i="29"/>
  <c r="E63" i="29" s="1"/>
  <c r="F63" i="29" s="1"/>
  <c r="G63" i="29"/>
  <c r="C64" i="29"/>
  <c r="D64" i="29"/>
  <c r="G64" i="29"/>
  <c r="C65" i="29"/>
  <c r="D65" i="29"/>
  <c r="G65" i="29"/>
  <c r="C66" i="29"/>
  <c r="D66" i="29"/>
  <c r="E66" i="29"/>
  <c r="F66" i="29" s="1"/>
  <c r="G66" i="29"/>
  <c r="C67" i="29"/>
  <c r="D67" i="29"/>
  <c r="E67" i="29" s="1"/>
  <c r="F67" i="29" s="1"/>
  <c r="G67" i="29"/>
  <c r="C68" i="29"/>
  <c r="D68" i="29"/>
  <c r="E68" i="29" s="1"/>
  <c r="F68" i="29" s="1"/>
  <c r="G68" i="29"/>
  <c r="C69" i="29"/>
  <c r="D69" i="29"/>
  <c r="E69" i="29" s="1"/>
  <c r="F69" i="29" s="1"/>
  <c r="G69" i="29"/>
  <c r="C70" i="29"/>
  <c r="D70" i="29"/>
  <c r="G70" i="29"/>
  <c r="C71" i="29"/>
  <c r="D71" i="29"/>
  <c r="G71" i="29"/>
  <c r="C72" i="29"/>
  <c r="D72" i="29"/>
  <c r="G72" i="29"/>
  <c r="C73" i="29"/>
  <c r="D73" i="29"/>
  <c r="G73" i="29"/>
  <c r="C74" i="29"/>
  <c r="D74" i="29"/>
  <c r="G74" i="29"/>
  <c r="C75" i="29"/>
  <c r="D75" i="29"/>
  <c r="G75" i="29"/>
  <c r="C76" i="29"/>
  <c r="D76" i="29"/>
  <c r="G76" i="29"/>
  <c r="C77" i="29"/>
  <c r="D77" i="29"/>
  <c r="G77" i="29"/>
  <c r="C78" i="29"/>
  <c r="D78" i="29"/>
  <c r="G78" i="29"/>
  <c r="C79" i="29"/>
  <c r="D79" i="29"/>
  <c r="E79" i="29" s="1"/>
  <c r="F79" i="29" s="1"/>
  <c r="G79" i="29"/>
  <c r="C80" i="29"/>
  <c r="D80" i="29"/>
  <c r="G80" i="29"/>
  <c r="C81" i="29"/>
  <c r="D81" i="29"/>
  <c r="E81" i="29" s="1"/>
  <c r="F81" i="29" s="1"/>
  <c r="G81" i="29"/>
  <c r="C82" i="29"/>
  <c r="D82" i="29"/>
  <c r="G82" i="29"/>
  <c r="C83" i="29"/>
  <c r="D83" i="29"/>
  <c r="E83" i="29" s="1"/>
  <c r="F83" i="29" s="1"/>
  <c r="G83" i="29"/>
  <c r="C84" i="29"/>
  <c r="E84" i="29" s="1"/>
  <c r="F84" i="29" s="1"/>
  <c r="D84" i="29"/>
  <c r="G84" i="29"/>
  <c r="G84" i="34" s="1"/>
  <c r="C85" i="29"/>
  <c r="D85" i="29"/>
  <c r="G85" i="29"/>
  <c r="H7" i="26"/>
  <c r="I7" i="26" s="1"/>
  <c r="G7" i="29"/>
  <c r="H13" i="26"/>
  <c r="I13" i="26" s="1"/>
  <c r="H14" i="26"/>
  <c r="I14" i="26" s="1"/>
  <c r="H15" i="26"/>
  <c r="I15" i="26" s="1"/>
  <c r="H16" i="26"/>
  <c r="I16" i="26" s="1"/>
  <c r="H17" i="26"/>
  <c r="I17" i="26" s="1"/>
  <c r="H18" i="26"/>
  <c r="I18" i="26" s="1"/>
  <c r="H19" i="26"/>
  <c r="I19" i="26" s="1"/>
  <c r="H20" i="26"/>
  <c r="I20" i="26" s="1"/>
  <c r="H21" i="26"/>
  <c r="I21" i="26" s="1"/>
  <c r="H22" i="26"/>
  <c r="I22" i="26" s="1"/>
  <c r="H23" i="26"/>
  <c r="I23" i="26" s="1"/>
  <c r="H24" i="26"/>
  <c r="H25" i="26"/>
  <c r="I25" i="26" s="1"/>
  <c r="H26" i="26"/>
  <c r="I26" i="26" s="1"/>
  <c r="H27" i="26"/>
  <c r="I27" i="26" s="1"/>
  <c r="H28" i="26"/>
  <c r="I28" i="26" s="1"/>
  <c r="H29" i="26"/>
  <c r="I29" i="26" s="1"/>
  <c r="H30" i="26"/>
  <c r="I30" i="26" s="1"/>
  <c r="H31" i="26"/>
  <c r="H32" i="26"/>
  <c r="I32" i="26" s="1"/>
  <c r="H33" i="26"/>
  <c r="I33" i="26" s="1"/>
  <c r="H34" i="26"/>
  <c r="I34" i="26" s="1"/>
  <c r="H35" i="26"/>
  <c r="I35" i="26" s="1"/>
  <c r="H36" i="26"/>
  <c r="I36" i="26" s="1"/>
  <c r="H37" i="26"/>
  <c r="I37" i="26" s="1"/>
  <c r="H38" i="26"/>
  <c r="I38" i="26" s="1"/>
  <c r="H39" i="26"/>
  <c r="H40" i="26"/>
  <c r="I40" i="26" s="1"/>
  <c r="H41" i="26"/>
  <c r="I41" i="26" s="1"/>
  <c r="H42" i="26"/>
  <c r="I42" i="26" s="1"/>
  <c r="H43" i="26"/>
  <c r="I43" i="26" s="1"/>
  <c r="H44" i="26"/>
  <c r="I44" i="26" s="1"/>
  <c r="H45" i="26"/>
  <c r="I45" i="26" s="1"/>
  <c r="H46" i="26"/>
  <c r="I46" i="26" s="1"/>
  <c r="H47" i="26"/>
  <c r="H48" i="26"/>
  <c r="H49" i="26"/>
  <c r="I49" i="26" s="1"/>
  <c r="H50" i="26"/>
  <c r="I50" i="26" s="1"/>
  <c r="H51" i="26"/>
  <c r="I51" i="26" s="1"/>
  <c r="H52" i="26"/>
  <c r="I52" i="26" s="1"/>
  <c r="H53" i="26"/>
  <c r="I53" i="26" s="1"/>
  <c r="H54" i="26"/>
  <c r="I54" i="26" s="1"/>
  <c r="H55" i="26"/>
  <c r="H56" i="26"/>
  <c r="I56" i="26" s="1"/>
  <c r="H57" i="26"/>
  <c r="I57" i="26" s="1"/>
  <c r="H58" i="26"/>
  <c r="I58" i="26" s="1"/>
  <c r="H59" i="26"/>
  <c r="I59" i="26" s="1"/>
  <c r="H60" i="26"/>
  <c r="I60" i="26" s="1"/>
  <c r="H61" i="26"/>
  <c r="I61" i="26" s="1"/>
  <c r="H62" i="26"/>
  <c r="I62" i="26" s="1"/>
  <c r="H63" i="26"/>
  <c r="I63" i="26" s="1"/>
  <c r="H64" i="26"/>
  <c r="H65" i="26"/>
  <c r="I65" i="26" s="1"/>
  <c r="H66" i="26"/>
  <c r="I66" i="26" s="1"/>
  <c r="H67" i="26"/>
  <c r="I67" i="26" s="1"/>
  <c r="H68" i="26"/>
  <c r="I68" i="26" s="1"/>
  <c r="H69" i="26"/>
  <c r="I69" i="26" s="1"/>
  <c r="H70" i="26"/>
  <c r="I70" i="26" s="1"/>
  <c r="H71" i="26"/>
  <c r="H72" i="26"/>
  <c r="I72" i="26" s="1"/>
  <c r="H73" i="26"/>
  <c r="I73" i="26" s="1"/>
  <c r="H74" i="26"/>
  <c r="I74" i="26" s="1"/>
  <c r="H75" i="26"/>
  <c r="I75" i="26" s="1"/>
  <c r="H76" i="26"/>
  <c r="I76" i="26" s="1"/>
  <c r="H77" i="26"/>
  <c r="I77" i="26" s="1"/>
  <c r="H78" i="26"/>
  <c r="I78" i="26" s="1"/>
  <c r="H79" i="26"/>
  <c r="I79" i="26" s="1"/>
  <c r="H80" i="26"/>
  <c r="I80" i="26" s="1"/>
  <c r="H81" i="26"/>
  <c r="I81" i="26" s="1"/>
  <c r="H82" i="26"/>
  <c r="I82" i="26" s="1"/>
  <c r="H83" i="26"/>
  <c r="I83" i="26" s="1"/>
  <c r="H84" i="26"/>
  <c r="I84" i="26" s="1"/>
  <c r="H85" i="26"/>
  <c r="I85" i="26" s="1"/>
  <c r="E6" i="26"/>
  <c r="F6" i="26" s="1"/>
  <c r="E7" i="26"/>
  <c r="F7" i="26" s="1"/>
  <c r="E8" i="26"/>
  <c r="F8" i="26" s="1"/>
  <c r="E9" i="26"/>
  <c r="F9" i="26" s="1"/>
  <c r="E10" i="26"/>
  <c r="F10" i="26" s="1"/>
  <c r="E11" i="26"/>
  <c r="F11" i="26" s="1"/>
  <c r="E12" i="26"/>
  <c r="F12" i="26" s="1"/>
  <c r="E13" i="26"/>
  <c r="F13" i="26" s="1"/>
  <c r="E14" i="26"/>
  <c r="F14" i="26" s="1"/>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F26" i="26" s="1"/>
  <c r="E27" i="26"/>
  <c r="F27" i="26" s="1"/>
  <c r="E28" i="26"/>
  <c r="F28" i="26" s="1"/>
  <c r="E29" i="26"/>
  <c r="F29" i="26" s="1"/>
  <c r="E30" i="26"/>
  <c r="F30" i="26" s="1"/>
  <c r="E31" i="26"/>
  <c r="F31" i="26" s="1"/>
  <c r="E32" i="26"/>
  <c r="F32" i="26" s="1"/>
  <c r="E33" i="26"/>
  <c r="F33" i="26" s="1"/>
  <c r="E34" i="26"/>
  <c r="F34" i="26" s="1"/>
  <c r="E35" i="26"/>
  <c r="F35" i="26" s="1"/>
  <c r="E36" i="26"/>
  <c r="F36" i="26" s="1"/>
  <c r="E37" i="26"/>
  <c r="F37" i="26" s="1"/>
  <c r="E38" i="26"/>
  <c r="F38" i="26" s="1"/>
  <c r="E39" i="26"/>
  <c r="F39" i="26" s="1"/>
  <c r="E40" i="26"/>
  <c r="F40" i="26" s="1"/>
  <c r="E41" i="26"/>
  <c r="F41" i="26" s="1"/>
  <c r="E42" i="26"/>
  <c r="F42" i="26" s="1"/>
  <c r="E43" i="26"/>
  <c r="F43" i="26" s="1"/>
  <c r="E44" i="26"/>
  <c r="F44" i="26" s="1"/>
  <c r="E45" i="26"/>
  <c r="F45" i="26" s="1"/>
  <c r="E46" i="26"/>
  <c r="F46" i="26" s="1"/>
  <c r="E47" i="26"/>
  <c r="F47" i="26" s="1"/>
  <c r="E48" i="26"/>
  <c r="F48" i="26" s="1"/>
  <c r="E49" i="26"/>
  <c r="F49" i="26" s="1"/>
  <c r="E50" i="26"/>
  <c r="F50" i="26" s="1"/>
  <c r="E51" i="26"/>
  <c r="F51" i="26" s="1"/>
  <c r="E52" i="26"/>
  <c r="F52" i="26" s="1"/>
  <c r="E53" i="26"/>
  <c r="F53" i="26" s="1"/>
  <c r="E54" i="26"/>
  <c r="F54" i="26" s="1"/>
  <c r="E55" i="26"/>
  <c r="F55" i="26" s="1"/>
  <c r="E56" i="26"/>
  <c r="F56" i="26" s="1"/>
  <c r="E57" i="26"/>
  <c r="F57" i="26" s="1"/>
  <c r="E58" i="26"/>
  <c r="F58" i="26" s="1"/>
  <c r="E59" i="26"/>
  <c r="F59" i="26" s="1"/>
  <c r="E60" i="26"/>
  <c r="F60" i="26" s="1"/>
  <c r="E61" i="26"/>
  <c r="F61" i="26" s="1"/>
  <c r="E62" i="26"/>
  <c r="F62" i="26" s="1"/>
  <c r="E63" i="26"/>
  <c r="F63" i="26" s="1"/>
  <c r="E64" i="26"/>
  <c r="F64" i="26" s="1"/>
  <c r="E65" i="26"/>
  <c r="F65" i="26" s="1"/>
  <c r="E66" i="26"/>
  <c r="F66" i="26" s="1"/>
  <c r="E67" i="26"/>
  <c r="F67" i="26" s="1"/>
  <c r="E68" i="26"/>
  <c r="F68" i="26" s="1"/>
  <c r="E69" i="26"/>
  <c r="F69" i="26" s="1"/>
  <c r="E70" i="26"/>
  <c r="F70" i="26" s="1"/>
  <c r="E71" i="26"/>
  <c r="F71" i="26" s="1"/>
  <c r="E72" i="26"/>
  <c r="F72" i="26" s="1"/>
  <c r="E73" i="26"/>
  <c r="F73" i="26" s="1"/>
  <c r="E74" i="26"/>
  <c r="F74" i="26" s="1"/>
  <c r="E75" i="26"/>
  <c r="F75" i="26" s="1"/>
  <c r="E76" i="26"/>
  <c r="F76" i="26" s="1"/>
  <c r="E77" i="26"/>
  <c r="F77" i="26" s="1"/>
  <c r="E78" i="26"/>
  <c r="F78" i="26" s="1"/>
  <c r="E79" i="26"/>
  <c r="F79" i="26" s="1"/>
  <c r="E80" i="26"/>
  <c r="F80" i="26" s="1"/>
  <c r="E81" i="26"/>
  <c r="F81" i="26" s="1"/>
  <c r="E82" i="26"/>
  <c r="F82" i="26" s="1"/>
  <c r="E83" i="26"/>
  <c r="F83" i="26" s="1"/>
  <c r="E84" i="26"/>
  <c r="F84" i="26" s="1"/>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H47" i="1"/>
  <c r="H48" i="1"/>
  <c r="H49" i="1"/>
  <c r="H50" i="1"/>
  <c r="H51" i="1"/>
  <c r="H52" i="1"/>
  <c r="H55" i="1"/>
  <c r="H56" i="1"/>
  <c r="H57" i="1"/>
  <c r="H58" i="1"/>
  <c r="H59" i="1"/>
  <c r="H60" i="1"/>
  <c r="H63" i="1"/>
  <c r="H64" i="1"/>
  <c r="H65" i="1"/>
  <c r="H66" i="1"/>
  <c r="H67" i="1"/>
  <c r="H68" i="1"/>
  <c r="H71" i="1"/>
  <c r="H72" i="1"/>
  <c r="H73" i="1"/>
  <c r="H74" i="1"/>
  <c r="H75"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D75"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H13" i="19"/>
  <c r="I13" i="19" s="1"/>
  <c r="H14" i="19"/>
  <c r="H15" i="19"/>
  <c r="H16" i="19"/>
  <c r="H17" i="19"/>
  <c r="H18" i="19"/>
  <c r="I18" i="19" s="1"/>
  <c r="H19" i="19"/>
  <c r="I19" i="19" s="1"/>
  <c r="H20" i="19"/>
  <c r="I20" i="19" s="1"/>
  <c r="H21" i="19"/>
  <c r="I21" i="19" s="1"/>
  <c r="H22" i="19"/>
  <c r="I22" i="19" s="1"/>
  <c r="H23" i="19"/>
  <c r="I23" i="19" s="1"/>
  <c r="H24" i="19"/>
  <c r="H25" i="19"/>
  <c r="H26" i="19"/>
  <c r="H27" i="19"/>
  <c r="I27" i="19" s="1"/>
  <c r="H28" i="19"/>
  <c r="H29" i="19"/>
  <c r="H30" i="19"/>
  <c r="I30" i="19" s="1"/>
  <c r="H31" i="19"/>
  <c r="I31" i="19" s="1"/>
  <c r="H32" i="19"/>
  <c r="I32" i="19" s="1"/>
  <c r="H33" i="19"/>
  <c r="I33" i="19" s="1"/>
  <c r="H34" i="19"/>
  <c r="I34" i="19" s="1"/>
  <c r="H35" i="19"/>
  <c r="I35" i="19" s="1"/>
  <c r="H36" i="19"/>
  <c r="I36" i="19" s="1"/>
  <c r="H37" i="19"/>
  <c r="I37" i="19" s="1"/>
  <c r="H38" i="19"/>
  <c r="I38" i="19" s="1"/>
  <c r="H39" i="19"/>
  <c r="I39" i="19" s="1"/>
  <c r="H40" i="19"/>
  <c r="H41" i="19"/>
  <c r="H42" i="19"/>
  <c r="H43" i="19"/>
  <c r="I43" i="19" s="1"/>
  <c r="H44" i="19"/>
  <c r="I44" i="19" s="1"/>
  <c r="H45" i="19"/>
  <c r="I45" i="19" s="1"/>
  <c r="H46" i="19"/>
  <c r="I46" i="19" s="1"/>
  <c r="H47" i="19"/>
  <c r="H48" i="19"/>
  <c r="H48" i="18" s="1"/>
  <c r="H49" i="19"/>
  <c r="H49" i="18" s="1"/>
  <c r="H50" i="19"/>
  <c r="H50" i="18" s="1"/>
  <c r="H51" i="19"/>
  <c r="H51" i="18" s="1"/>
  <c r="H52" i="19"/>
  <c r="H52" i="18" s="1"/>
  <c r="H53" i="19"/>
  <c r="H53" i="18" s="1"/>
  <c r="H54" i="19"/>
  <c r="H55" i="19"/>
  <c r="H56" i="19"/>
  <c r="H56" i="18" s="1"/>
  <c r="H57" i="19"/>
  <c r="H57" i="18" s="1"/>
  <c r="H58" i="19"/>
  <c r="H58" i="18" s="1"/>
  <c r="H59" i="19"/>
  <c r="H59" i="18" s="1"/>
  <c r="H60" i="19"/>
  <c r="H60" i="18" s="1"/>
  <c r="H61" i="19"/>
  <c r="H61" i="18" s="1"/>
  <c r="H62" i="19"/>
  <c r="H63" i="19"/>
  <c r="H64" i="19"/>
  <c r="H64" i="18" s="1"/>
  <c r="H65" i="19"/>
  <c r="H65" i="18" s="1"/>
  <c r="H66" i="19"/>
  <c r="H66" i="18" s="1"/>
  <c r="H67" i="19"/>
  <c r="H67" i="18" s="1"/>
  <c r="H68" i="19"/>
  <c r="H68" i="18" s="1"/>
  <c r="H69" i="19"/>
  <c r="H69" i="18" s="1"/>
  <c r="H70" i="19"/>
  <c r="H71" i="19"/>
  <c r="H72" i="19"/>
  <c r="H72" i="18" s="1"/>
  <c r="H73" i="19"/>
  <c r="H73" i="18" s="1"/>
  <c r="H74" i="19"/>
  <c r="H74" i="18" s="1"/>
  <c r="H75" i="19"/>
  <c r="H75" i="18" s="1"/>
  <c r="E13" i="19"/>
  <c r="F13" i="19" s="1"/>
  <c r="E14" i="19"/>
  <c r="F14"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E29" i="19"/>
  <c r="F29" i="19" s="1"/>
  <c r="E30" i="19"/>
  <c r="F30" i="19" s="1"/>
  <c r="E31" i="19"/>
  <c r="F31" i="19" s="1"/>
  <c r="E32" i="19"/>
  <c r="F32" i="19" s="1"/>
  <c r="E33" i="19"/>
  <c r="F33" i="19" s="1"/>
  <c r="E34" i="19"/>
  <c r="F34" i="19" s="1"/>
  <c r="E35" i="19"/>
  <c r="F35" i="19" s="1"/>
  <c r="E36" i="19"/>
  <c r="F36" i="19" s="1"/>
  <c r="E37" i="19"/>
  <c r="F37" i="19" s="1"/>
  <c r="E38" i="19"/>
  <c r="F38" i="19" s="1"/>
  <c r="E39" i="19"/>
  <c r="F39" i="19" s="1"/>
  <c r="E40" i="19"/>
  <c r="F40" i="19" s="1"/>
  <c r="E41" i="19"/>
  <c r="F41" i="19" s="1"/>
  <c r="E42" i="19"/>
  <c r="F42" i="19" s="1"/>
  <c r="E43" i="19"/>
  <c r="F43" i="19" s="1"/>
  <c r="E44" i="19"/>
  <c r="F44" i="19" s="1"/>
  <c r="E45" i="19"/>
  <c r="F45" i="19" s="1"/>
  <c r="E46" i="19"/>
  <c r="F46" i="19" s="1"/>
  <c r="E47" i="19"/>
  <c r="F47" i="19" s="1"/>
  <c r="E48" i="19"/>
  <c r="F48" i="19" s="1"/>
  <c r="E49" i="19"/>
  <c r="F49" i="19" s="1"/>
  <c r="E50" i="19"/>
  <c r="F50" i="19" s="1"/>
  <c r="E51" i="19"/>
  <c r="F51" i="19" s="1"/>
  <c r="E52" i="19"/>
  <c r="F52" i="19" s="1"/>
  <c r="E53" i="19"/>
  <c r="F53" i="19" s="1"/>
  <c r="E54" i="19"/>
  <c r="F54" i="19" s="1"/>
  <c r="E55" i="19"/>
  <c r="F55" i="19" s="1"/>
  <c r="E56" i="19"/>
  <c r="F56" i="19" s="1"/>
  <c r="E57" i="19"/>
  <c r="F57" i="19" s="1"/>
  <c r="E58" i="19"/>
  <c r="F58" i="19" s="1"/>
  <c r="E59" i="19"/>
  <c r="F59" i="19" s="1"/>
  <c r="E60" i="19"/>
  <c r="F60" i="19" s="1"/>
  <c r="E61" i="19"/>
  <c r="F61" i="19" s="1"/>
  <c r="E62" i="19"/>
  <c r="F62" i="19" s="1"/>
  <c r="E63" i="19"/>
  <c r="F63" i="19" s="1"/>
  <c r="E64" i="19"/>
  <c r="F64" i="19" s="1"/>
  <c r="E65" i="19"/>
  <c r="F65" i="19" s="1"/>
  <c r="E66" i="19"/>
  <c r="F66" i="19" s="1"/>
  <c r="E67" i="19"/>
  <c r="F67" i="19" s="1"/>
  <c r="E68" i="19"/>
  <c r="F68" i="19" s="1"/>
  <c r="E69" i="19"/>
  <c r="F69" i="19" s="1"/>
  <c r="E70" i="19"/>
  <c r="F70" i="19" s="1"/>
  <c r="E71" i="19"/>
  <c r="F71" i="19" s="1"/>
  <c r="E72" i="19"/>
  <c r="F72" i="19" s="1"/>
  <c r="E73" i="19"/>
  <c r="F73" i="19" s="1"/>
  <c r="E74" i="19"/>
  <c r="F74" i="19" s="1"/>
  <c r="E75" i="19"/>
  <c r="F75" i="19" s="1"/>
  <c r="I16" i="19"/>
  <c r="I17" i="19"/>
  <c r="I24" i="19"/>
  <c r="I25" i="19"/>
  <c r="I26" i="19"/>
  <c r="I28" i="19"/>
  <c r="I29" i="19"/>
  <c r="I40" i="19"/>
  <c r="I41" i="19"/>
  <c r="I42" i="19"/>
  <c r="I48" i="19"/>
  <c r="I49" i="19"/>
  <c r="I50" i="19"/>
  <c r="I56" i="19"/>
  <c r="I64" i="19"/>
  <c r="I65" i="19"/>
  <c r="I66" i="19"/>
  <c r="I68" i="19"/>
  <c r="H29" i="29"/>
  <c r="H34" i="29"/>
  <c r="G25" i="29"/>
  <c r="G26" i="29"/>
  <c r="G27" i="29"/>
  <c r="G28" i="29"/>
  <c r="G29" i="29"/>
  <c r="G30" i="29"/>
  <c r="G31" i="29"/>
  <c r="G32" i="29"/>
  <c r="G33" i="29"/>
  <c r="G34" i="29"/>
  <c r="G35" i="29"/>
  <c r="G36" i="29"/>
  <c r="G37" i="29"/>
  <c r="G38" i="29"/>
  <c r="G39" i="29"/>
  <c r="G40" i="29"/>
  <c r="G41" i="29"/>
  <c r="G42" i="29"/>
  <c r="G43" i="29"/>
  <c r="G44" i="29"/>
  <c r="G45" i="29"/>
  <c r="G46" i="29"/>
  <c r="D25" i="29"/>
  <c r="D26" i="29"/>
  <c r="D27" i="29"/>
  <c r="D28" i="29"/>
  <c r="D29" i="29"/>
  <c r="D30" i="29"/>
  <c r="D31" i="29"/>
  <c r="D32" i="29"/>
  <c r="D33" i="29"/>
  <c r="D34" i="29"/>
  <c r="D35" i="29"/>
  <c r="D36" i="29"/>
  <c r="D37" i="29"/>
  <c r="D38" i="29"/>
  <c r="D39" i="29"/>
  <c r="D40" i="29"/>
  <c r="D41" i="29"/>
  <c r="D42" i="29"/>
  <c r="D43" i="29"/>
  <c r="D44" i="29"/>
  <c r="D45" i="29"/>
  <c r="D46" i="29"/>
  <c r="C25" i="29"/>
  <c r="C26" i="29"/>
  <c r="C27" i="29"/>
  <c r="C28" i="29"/>
  <c r="C29" i="29"/>
  <c r="C30" i="29"/>
  <c r="C31" i="29"/>
  <c r="C32" i="29"/>
  <c r="C33" i="29"/>
  <c r="C34" i="29"/>
  <c r="C35" i="29"/>
  <c r="C36" i="29"/>
  <c r="C37" i="29"/>
  <c r="C38" i="29"/>
  <c r="C39" i="29"/>
  <c r="C40" i="29"/>
  <c r="C41" i="29"/>
  <c r="C42" i="29"/>
  <c r="C43" i="29"/>
  <c r="C44" i="29"/>
  <c r="C45" i="29"/>
  <c r="C46" i="29"/>
  <c r="H25" i="1"/>
  <c r="I25" i="1" s="1"/>
  <c r="H27" i="1"/>
  <c r="H28" i="1"/>
  <c r="H31" i="1"/>
  <c r="I31" i="1" s="1"/>
  <c r="H32" i="1"/>
  <c r="H33" i="1"/>
  <c r="H35" i="1"/>
  <c r="H36" i="1"/>
  <c r="H39" i="1"/>
  <c r="I39" i="1" s="1"/>
  <c r="H40" i="1"/>
  <c r="H41" i="1"/>
  <c r="H43" i="1"/>
  <c r="H44" i="1"/>
  <c r="G25" i="1"/>
  <c r="G26" i="1"/>
  <c r="G27" i="1"/>
  <c r="G28" i="1"/>
  <c r="G29" i="1"/>
  <c r="G30" i="1"/>
  <c r="G31" i="1"/>
  <c r="G32" i="1"/>
  <c r="G33" i="1"/>
  <c r="G34" i="1"/>
  <c r="G35" i="1"/>
  <c r="G36" i="1"/>
  <c r="G37" i="1"/>
  <c r="G38" i="1"/>
  <c r="G39" i="1"/>
  <c r="G40" i="1"/>
  <c r="G41" i="1"/>
  <c r="G42" i="1"/>
  <c r="G43" i="1"/>
  <c r="G44" i="1"/>
  <c r="G45" i="1"/>
  <c r="G46" i="1"/>
  <c r="D46" i="1"/>
  <c r="C46" i="1"/>
  <c r="E46" i="1" s="1"/>
  <c r="F46" i="1" s="1"/>
  <c r="G25" i="18"/>
  <c r="G26" i="18"/>
  <c r="G27" i="18"/>
  <c r="G28" i="18"/>
  <c r="G29" i="18"/>
  <c r="G30" i="18"/>
  <c r="G31" i="18"/>
  <c r="G32" i="18"/>
  <c r="G33" i="18"/>
  <c r="G34" i="18"/>
  <c r="G35" i="18"/>
  <c r="G36" i="18"/>
  <c r="G37" i="18"/>
  <c r="G38" i="18"/>
  <c r="G39" i="18"/>
  <c r="G40" i="18"/>
  <c r="G41" i="18"/>
  <c r="G42" i="18"/>
  <c r="G43" i="18"/>
  <c r="G44" i="18"/>
  <c r="G45" i="18"/>
  <c r="G46" i="18"/>
  <c r="D25" i="18"/>
  <c r="D26" i="18"/>
  <c r="D27" i="18"/>
  <c r="D28" i="18"/>
  <c r="D29" i="18"/>
  <c r="D30" i="18"/>
  <c r="D31" i="18"/>
  <c r="D32" i="18"/>
  <c r="D33" i="18"/>
  <c r="D34" i="18"/>
  <c r="D35" i="18"/>
  <c r="D36" i="18"/>
  <c r="D37" i="18"/>
  <c r="D38" i="18"/>
  <c r="D39" i="18"/>
  <c r="D40" i="18"/>
  <c r="D41" i="18"/>
  <c r="D42" i="18"/>
  <c r="D43" i="18"/>
  <c r="D44" i="18"/>
  <c r="D45" i="18"/>
  <c r="D46" i="18"/>
  <c r="C25" i="18"/>
  <c r="E25" i="18" s="1"/>
  <c r="F25" i="18" s="1"/>
  <c r="C26" i="18"/>
  <c r="C27" i="18"/>
  <c r="E27" i="18" s="1"/>
  <c r="F27" i="18" s="1"/>
  <c r="C28" i="18"/>
  <c r="C29" i="18"/>
  <c r="C30" i="18"/>
  <c r="C31" i="18"/>
  <c r="C32" i="18"/>
  <c r="C33" i="18"/>
  <c r="E33" i="18" s="1"/>
  <c r="F33" i="18" s="1"/>
  <c r="C34" i="18"/>
  <c r="E34" i="18" s="1"/>
  <c r="F34" i="18" s="1"/>
  <c r="C35" i="18"/>
  <c r="E35" i="18" s="1"/>
  <c r="F35" i="18" s="1"/>
  <c r="C36" i="18"/>
  <c r="C37" i="18"/>
  <c r="C38" i="18"/>
  <c r="E38" i="18" s="1"/>
  <c r="F38" i="18" s="1"/>
  <c r="C39" i="18"/>
  <c r="C40" i="18"/>
  <c r="C41" i="18"/>
  <c r="E41" i="18" s="1"/>
  <c r="F41" i="18" s="1"/>
  <c r="C42" i="18"/>
  <c r="E42" i="18" s="1"/>
  <c r="F42" i="18" s="1"/>
  <c r="C43" i="18"/>
  <c r="E43" i="18" s="1"/>
  <c r="F43" i="18" s="1"/>
  <c r="C44" i="18"/>
  <c r="C45" i="18"/>
  <c r="E45" i="18" s="1"/>
  <c r="F45" i="18" s="1"/>
  <c r="C46" i="18"/>
  <c r="D25" i="1"/>
  <c r="D26" i="1"/>
  <c r="D27" i="1"/>
  <c r="D28" i="1"/>
  <c r="D29" i="1"/>
  <c r="D30" i="1"/>
  <c r="D31" i="1"/>
  <c r="D32" i="1"/>
  <c r="D33" i="1"/>
  <c r="D34" i="1"/>
  <c r="D35" i="1"/>
  <c r="D36" i="1"/>
  <c r="D37" i="1"/>
  <c r="D38" i="1"/>
  <c r="D39" i="1"/>
  <c r="D40" i="1"/>
  <c r="D41" i="1"/>
  <c r="D42" i="1"/>
  <c r="D43" i="1"/>
  <c r="D44" i="1"/>
  <c r="D45" i="1"/>
  <c r="C25" i="1"/>
  <c r="C26" i="1"/>
  <c r="C27" i="1"/>
  <c r="C28" i="1"/>
  <c r="C29" i="1"/>
  <c r="C30" i="1"/>
  <c r="C31" i="1"/>
  <c r="C32" i="1"/>
  <c r="C33" i="1"/>
  <c r="C34" i="1"/>
  <c r="C35" i="1"/>
  <c r="C36" i="1"/>
  <c r="C37" i="1"/>
  <c r="C38" i="1"/>
  <c r="C39" i="1"/>
  <c r="C40" i="1"/>
  <c r="C41" i="1"/>
  <c r="C42" i="1"/>
  <c r="C43" i="1"/>
  <c r="C44" i="1"/>
  <c r="C45" i="1"/>
  <c r="H22" i="20"/>
  <c r="I22" i="20" s="1"/>
  <c r="H23" i="20"/>
  <c r="I23" i="20" s="1"/>
  <c r="F47" i="20"/>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H24" i="20"/>
  <c r="I24" i="20" s="1"/>
  <c r="H25" i="20"/>
  <c r="I25" i="20" s="1"/>
  <c r="H26" i="20"/>
  <c r="I26" i="20" s="1"/>
  <c r="H27" i="20"/>
  <c r="I27" i="20" s="1"/>
  <c r="H28" i="20"/>
  <c r="I28" i="20" s="1"/>
  <c r="H29" i="20"/>
  <c r="I29" i="20" s="1"/>
  <c r="H30" i="20"/>
  <c r="I30" i="20" s="1"/>
  <c r="H31" i="20"/>
  <c r="I31" i="20" s="1"/>
  <c r="H32" i="20"/>
  <c r="H33" i="20"/>
  <c r="I33" i="20" s="1"/>
  <c r="H34" i="20"/>
  <c r="I34" i="20" s="1"/>
  <c r="H35" i="20"/>
  <c r="I35" i="20" s="1"/>
  <c r="H36" i="20"/>
  <c r="I36" i="20" s="1"/>
  <c r="H37" i="20"/>
  <c r="I37" i="20" s="1"/>
  <c r="H38" i="20"/>
  <c r="I38" i="20" s="1"/>
  <c r="H39" i="20"/>
  <c r="I39" i="20" s="1"/>
  <c r="H40" i="20"/>
  <c r="H41" i="20"/>
  <c r="I41" i="20" s="1"/>
  <c r="H42" i="20"/>
  <c r="I42" i="20" s="1"/>
  <c r="H43" i="20"/>
  <c r="I43" i="20" s="1"/>
  <c r="H44" i="20"/>
  <c r="I44" i="20" s="1"/>
  <c r="H45" i="20"/>
  <c r="I45" i="20" s="1"/>
  <c r="H46" i="20"/>
  <c r="I46"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E29" i="20"/>
  <c r="F29" i="20" s="1"/>
  <c r="E30" i="20"/>
  <c r="F30" i="20" s="1"/>
  <c r="E31" i="20"/>
  <c r="F31" i="20" s="1"/>
  <c r="E32" i="20"/>
  <c r="F32" i="20" s="1"/>
  <c r="E33" i="20"/>
  <c r="F33" i="20" s="1"/>
  <c r="E34" i="20"/>
  <c r="F34" i="20" s="1"/>
  <c r="E35" i="20"/>
  <c r="F35" i="20" s="1"/>
  <c r="E36" i="20"/>
  <c r="F36" i="20" s="1"/>
  <c r="E37" i="20"/>
  <c r="F37" i="20" s="1"/>
  <c r="E38" i="20"/>
  <c r="F38" i="20" s="1"/>
  <c r="E39" i="20"/>
  <c r="F39" i="20" s="1"/>
  <c r="E40" i="20"/>
  <c r="F40" i="20" s="1"/>
  <c r="E41" i="20"/>
  <c r="F41" i="20" s="1"/>
  <c r="E42" i="20"/>
  <c r="F42" i="20" s="1"/>
  <c r="E43" i="20"/>
  <c r="F43" i="20" s="1"/>
  <c r="E44" i="20"/>
  <c r="F44" i="20" s="1"/>
  <c r="E45" i="20"/>
  <c r="F45" i="20" s="1"/>
  <c r="E46" i="20"/>
  <c r="F46" i="20" s="1"/>
  <c r="G18" i="18"/>
  <c r="G19" i="18"/>
  <c r="G20" i="18"/>
  <c r="G21" i="18"/>
  <c r="G22" i="18"/>
  <c r="G23" i="18"/>
  <c r="G24" i="18"/>
  <c r="G17" i="18"/>
  <c r="G5" i="18"/>
  <c r="G2" i="18" s="1"/>
  <c r="G6" i="18"/>
  <c r="G7" i="18"/>
  <c r="G8" i="18"/>
  <c r="G4" i="18"/>
  <c r="H13" i="21"/>
  <c r="I13" i="21" s="1"/>
  <c r="H14" i="21"/>
  <c r="H15" i="21"/>
  <c r="H16" i="21"/>
  <c r="H17" i="21"/>
  <c r="I17" i="21" s="1"/>
  <c r="H18" i="21"/>
  <c r="I18" i="21" s="1"/>
  <c r="H19" i="21"/>
  <c r="I19" i="21" s="1"/>
  <c r="H20" i="21"/>
  <c r="I20" i="21" s="1"/>
  <c r="H21" i="21"/>
  <c r="I21" i="21" s="1"/>
  <c r="H22" i="21"/>
  <c r="H23" i="21"/>
  <c r="H24" i="21"/>
  <c r="H24" i="18" s="1"/>
  <c r="I14" i="21"/>
  <c r="I15" i="21"/>
  <c r="H17" i="4"/>
  <c r="H17" i="1" s="1"/>
  <c r="H18" i="4"/>
  <c r="H19" i="4"/>
  <c r="H20" i="4"/>
  <c r="H20" i="1" s="1"/>
  <c r="H21" i="4"/>
  <c r="H22" i="4"/>
  <c r="H23" i="4"/>
  <c r="H23" i="1" s="1"/>
  <c r="G8" i="30"/>
  <c r="G9" i="30"/>
  <c r="G10" i="30"/>
  <c r="G11" i="30"/>
  <c r="G12" i="30"/>
  <c r="G13" i="30"/>
  <c r="G14" i="30"/>
  <c r="G15" i="30"/>
  <c r="G16" i="30"/>
  <c r="G17" i="30"/>
  <c r="G18" i="30"/>
  <c r="G19" i="30"/>
  <c r="G20" i="30"/>
  <c r="G21" i="30"/>
  <c r="G22" i="30"/>
  <c r="G23" i="30"/>
  <c r="G24" i="30"/>
  <c r="D8" i="30"/>
  <c r="D9" i="30"/>
  <c r="D10" i="30"/>
  <c r="D11" i="30"/>
  <c r="D12" i="30"/>
  <c r="D13" i="30"/>
  <c r="D14" i="30"/>
  <c r="D15" i="30"/>
  <c r="D16" i="30"/>
  <c r="D17" i="30"/>
  <c r="D18" i="30"/>
  <c r="D19" i="30"/>
  <c r="D20" i="30"/>
  <c r="D21" i="30"/>
  <c r="D22" i="30"/>
  <c r="D23" i="30"/>
  <c r="D24" i="30"/>
  <c r="C8" i="30"/>
  <c r="C9" i="30"/>
  <c r="C10" i="30"/>
  <c r="E10" i="30" s="1"/>
  <c r="F10" i="30" s="1"/>
  <c r="C11" i="30"/>
  <c r="C12" i="30"/>
  <c r="C13" i="30"/>
  <c r="C14" i="30"/>
  <c r="E14" i="30" s="1"/>
  <c r="F14" i="30" s="1"/>
  <c r="C15" i="30"/>
  <c r="C16" i="30"/>
  <c r="C17" i="30"/>
  <c r="C18" i="30"/>
  <c r="C19" i="30"/>
  <c r="C20" i="30"/>
  <c r="C21" i="30"/>
  <c r="C22" i="30"/>
  <c r="E22" i="30" s="1"/>
  <c r="F22" i="30" s="1"/>
  <c r="C23" i="30"/>
  <c r="C24" i="30"/>
  <c r="C8" i="29"/>
  <c r="C9" i="29"/>
  <c r="C10" i="29"/>
  <c r="C11" i="29"/>
  <c r="C12" i="29"/>
  <c r="C13" i="29"/>
  <c r="C14" i="29"/>
  <c r="C15" i="29"/>
  <c r="C16" i="29"/>
  <c r="C17" i="29"/>
  <c r="C18" i="29"/>
  <c r="C19" i="29"/>
  <c r="C20" i="29"/>
  <c r="C21" i="29"/>
  <c r="C22" i="29"/>
  <c r="C23" i="29"/>
  <c r="C24" i="29"/>
  <c r="H19" i="29"/>
  <c r="H21" i="29"/>
  <c r="H23" i="29"/>
  <c r="G8" i="29"/>
  <c r="G9" i="29"/>
  <c r="G10" i="29"/>
  <c r="G11" i="29"/>
  <c r="G12" i="29"/>
  <c r="G13" i="29"/>
  <c r="G14" i="29"/>
  <c r="G15" i="29"/>
  <c r="G16" i="29"/>
  <c r="G17" i="29"/>
  <c r="G18" i="29"/>
  <c r="G19" i="29"/>
  <c r="G20" i="29"/>
  <c r="G21" i="29"/>
  <c r="G22" i="29"/>
  <c r="G23" i="29"/>
  <c r="G24" i="29"/>
  <c r="D8" i="29"/>
  <c r="D9" i="29"/>
  <c r="D10" i="29"/>
  <c r="D11" i="29"/>
  <c r="D12" i="29"/>
  <c r="D13" i="29"/>
  <c r="D14" i="29"/>
  <c r="D15" i="29"/>
  <c r="D16" i="29"/>
  <c r="D17" i="29"/>
  <c r="D18" i="29"/>
  <c r="D19" i="29"/>
  <c r="D20" i="29"/>
  <c r="D21" i="29"/>
  <c r="D22" i="29"/>
  <c r="D23" i="29"/>
  <c r="D24" i="29"/>
  <c r="G9" i="18"/>
  <c r="G10" i="18"/>
  <c r="G11" i="18"/>
  <c r="G12" i="18"/>
  <c r="G13" i="18"/>
  <c r="G14" i="18"/>
  <c r="G15" i="18"/>
  <c r="G16" i="18"/>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C24" i="18"/>
  <c r="H14" i="1"/>
  <c r="H18" i="1"/>
  <c r="G8" i="1"/>
  <c r="G9" i="1"/>
  <c r="G10" i="1"/>
  <c r="G11" i="1"/>
  <c r="G12" i="1"/>
  <c r="G13" i="1"/>
  <c r="G14" i="1"/>
  <c r="G15" i="1"/>
  <c r="G16" i="1"/>
  <c r="G17" i="1"/>
  <c r="G18" i="1"/>
  <c r="G19" i="1"/>
  <c r="G20" i="1"/>
  <c r="G21" i="1"/>
  <c r="G22" i="1"/>
  <c r="G23" i="1"/>
  <c r="G24" i="1"/>
  <c r="D8" i="1"/>
  <c r="D9" i="1"/>
  <c r="D10" i="1"/>
  <c r="D11" i="1"/>
  <c r="D12" i="1"/>
  <c r="D13" i="1"/>
  <c r="D14" i="1"/>
  <c r="D15" i="1"/>
  <c r="D16" i="1"/>
  <c r="D17" i="1"/>
  <c r="D18" i="1"/>
  <c r="D19" i="1"/>
  <c r="D20" i="1"/>
  <c r="D21" i="1"/>
  <c r="D22" i="1"/>
  <c r="D23" i="1"/>
  <c r="D24" i="1"/>
  <c r="C8" i="1"/>
  <c r="C9" i="1"/>
  <c r="C10" i="1"/>
  <c r="C11" i="1"/>
  <c r="C12" i="1"/>
  <c r="C13" i="1"/>
  <c r="C14" i="1"/>
  <c r="C15" i="1"/>
  <c r="C16" i="1"/>
  <c r="C17" i="1"/>
  <c r="C18" i="1"/>
  <c r="C19" i="1"/>
  <c r="C20" i="1"/>
  <c r="C21" i="1"/>
  <c r="C22" i="1"/>
  <c r="C23" i="1"/>
  <c r="C24" i="1"/>
  <c r="E7" i="3"/>
  <c r="F7" i="3" s="1"/>
  <c r="H7" i="3"/>
  <c r="I7" i="3" s="1"/>
  <c r="E12" i="4"/>
  <c r="F12" i="4" s="1"/>
  <c r="H12" i="4"/>
  <c r="E13" i="4"/>
  <c r="F13" i="4" s="1"/>
  <c r="H13" i="4"/>
  <c r="I13" i="4" s="1"/>
  <c r="E14" i="4"/>
  <c r="F14" i="4" s="1"/>
  <c r="H14" i="4"/>
  <c r="I14" i="4" s="1"/>
  <c r="E15" i="4"/>
  <c r="F15" i="4" s="1"/>
  <c r="H15" i="4"/>
  <c r="I15" i="4" s="1"/>
  <c r="E16" i="4"/>
  <c r="F16" i="4" s="1"/>
  <c r="H16" i="4"/>
  <c r="I16" i="4" s="1"/>
  <c r="E17" i="4"/>
  <c r="F17" i="4"/>
  <c r="E18" i="4"/>
  <c r="F18" i="4" s="1"/>
  <c r="I18" i="4"/>
  <c r="E19" i="4"/>
  <c r="F19" i="4" s="1"/>
  <c r="E20" i="4"/>
  <c r="F20" i="4" s="1"/>
  <c r="E21" i="4"/>
  <c r="F21" i="4" s="1"/>
  <c r="E22" i="4"/>
  <c r="F22" i="4" s="1"/>
  <c r="E23" i="4"/>
  <c r="F23" i="4" s="1"/>
  <c r="E24" i="4"/>
  <c r="F24" i="4" s="1"/>
  <c r="H24" i="4"/>
  <c r="D4" i="18"/>
  <c r="D2" i="18" s="1"/>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E43" i="1" l="1"/>
  <c r="F43" i="1" s="1"/>
  <c r="I40" i="1"/>
  <c r="I73" i="1"/>
  <c r="I65" i="1"/>
  <c r="I57" i="1"/>
  <c r="I49" i="1"/>
  <c r="I84" i="72"/>
  <c r="I28" i="1"/>
  <c r="I72" i="1"/>
  <c r="I64" i="1"/>
  <c r="I56" i="1"/>
  <c r="H22" i="1"/>
  <c r="E69" i="1"/>
  <c r="F69" i="1" s="1"/>
  <c r="E61" i="1"/>
  <c r="F61" i="1" s="1"/>
  <c r="E53" i="1"/>
  <c r="F53" i="1" s="1"/>
  <c r="I68" i="1"/>
  <c r="I60" i="1"/>
  <c r="I52" i="1"/>
  <c r="I44" i="1"/>
  <c r="I75" i="1"/>
  <c r="I51" i="1"/>
  <c r="E77" i="1"/>
  <c r="F77" i="1" s="1"/>
  <c r="I77" i="1"/>
  <c r="E83" i="1"/>
  <c r="F83" i="1" s="1"/>
  <c r="E33" i="1"/>
  <c r="F33" i="1" s="1"/>
  <c r="I71" i="1"/>
  <c r="I55" i="1"/>
  <c r="E52" i="1"/>
  <c r="F52" i="1" s="1"/>
  <c r="E31" i="1"/>
  <c r="F31" i="1" s="1"/>
  <c r="E44" i="1"/>
  <c r="F44" i="1" s="1"/>
  <c r="E28" i="1"/>
  <c r="F28" i="1" s="1"/>
  <c r="I46" i="1"/>
  <c r="I38" i="1"/>
  <c r="I30" i="1"/>
  <c r="I36" i="1"/>
  <c r="E67" i="1"/>
  <c r="F67" i="1" s="1"/>
  <c r="E51" i="1"/>
  <c r="F51" i="1" s="1"/>
  <c r="I66" i="1"/>
  <c r="I58" i="1"/>
  <c r="I50" i="1"/>
  <c r="I78" i="1"/>
  <c r="E42" i="1"/>
  <c r="F42" i="1" s="1"/>
  <c r="E26" i="1"/>
  <c r="F26" i="1" s="1"/>
  <c r="E41" i="1"/>
  <c r="F41" i="1" s="1"/>
  <c r="I63" i="1"/>
  <c r="I47" i="1"/>
  <c r="E68" i="1"/>
  <c r="F68" i="1" s="1"/>
  <c r="I45" i="1"/>
  <c r="I29" i="1"/>
  <c r="I43" i="1"/>
  <c r="I35" i="1"/>
  <c r="I27" i="1"/>
  <c r="I34" i="1"/>
  <c r="E84" i="1"/>
  <c r="F84" i="1" s="1"/>
  <c r="I48" i="1"/>
  <c r="I33" i="1"/>
  <c r="C21" i="34"/>
  <c r="C17" i="34"/>
  <c r="C19" i="34"/>
  <c r="I85" i="1"/>
  <c r="I83" i="1"/>
  <c r="I81" i="1"/>
  <c r="I79" i="1"/>
  <c r="I59" i="1"/>
  <c r="E59" i="1"/>
  <c r="F59" i="1" s="1"/>
  <c r="I76" i="1"/>
  <c r="E76" i="1"/>
  <c r="F76" i="1" s="1"/>
  <c r="E60" i="1"/>
  <c r="F60" i="1" s="1"/>
  <c r="I74" i="1"/>
  <c r="I67" i="1"/>
  <c r="E39" i="1"/>
  <c r="F39" i="1" s="1"/>
  <c r="E36" i="1"/>
  <c r="F36" i="1" s="1"/>
  <c r="E38" i="1"/>
  <c r="F38" i="1" s="1"/>
  <c r="E25" i="1"/>
  <c r="F25" i="1" s="1"/>
  <c r="I82" i="1"/>
  <c r="I26" i="1"/>
  <c r="E79" i="1"/>
  <c r="F79" i="1" s="1"/>
  <c r="I42" i="1"/>
  <c r="I41" i="1"/>
  <c r="E35" i="1"/>
  <c r="F35" i="1" s="1"/>
  <c r="E34" i="1"/>
  <c r="F34" i="1" s="1"/>
  <c r="I32" i="1"/>
  <c r="E30" i="1"/>
  <c r="F30" i="1" s="1"/>
  <c r="E27" i="1"/>
  <c r="F27" i="1" s="1"/>
  <c r="I52" i="19"/>
  <c r="H22" i="29"/>
  <c r="H46" i="29"/>
  <c r="H16" i="18"/>
  <c r="H25" i="29"/>
  <c r="H33" i="29"/>
  <c r="I33" i="29" s="1"/>
  <c r="I53" i="19"/>
  <c r="H21" i="18"/>
  <c r="I21" i="18" s="1"/>
  <c r="H18" i="29"/>
  <c r="H44" i="18"/>
  <c r="I74" i="19"/>
  <c r="H13" i="29"/>
  <c r="I73" i="19"/>
  <c r="I60" i="19"/>
  <c r="H61" i="29"/>
  <c r="I61" i="29" s="1"/>
  <c r="H74" i="29"/>
  <c r="I20" i="4"/>
  <c r="I72" i="19"/>
  <c r="I62" i="1"/>
  <c r="I54" i="1"/>
  <c r="H83" i="29"/>
  <c r="I83" i="29" s="1"/>
  <c r="H78" i="29"/>
  <c r="I78" i="29" s="1"/>
  <c r="I17" i="4"/>
  <c r="H17" i="18"/>
  <c r="H17" i="29"/>
  <c r="H43" i="18"/>
  <c r="I61" i="19"/>
  <c r="H13" i="18"/>
  <c r="H68" i="29"/>
  <c r="H68" i="34" s="1"/>
  <c r="I58" i="19"/>
  <c r="I70" i="1"/>
  <c r="H15" i="1"/>
  <c r="H41" i="29"/>
  <c r="I69" i="19"/>
  <c r="I57" i="19"/>
  <c r="I69" i="1"/>
  <c r="I61" i="1"/>
  <c r="I53" i="1"/>
  <c r="H49" i="29"/>
  <c r="I49" i="29" s="1"/>
  <c r="H73" i="29"/>
  <c r="I22" i="28"/>
  <c r="H16" i="29"/>
  <c r="H72" i="29"/>
  <c r="I72" i="28"/>
  <c r="E58" i="29"/>
  <c r="F58" i="29" s="1"/>
  <c r="H70" i="18"/>
  <c r="I70" i="18" s="1"/>
  <c r="I70" i="19"/>
  <c r="H14" i="18"/>
  <c r="I14" i="19"/>
  <c r="I40" i="20"/>
  <c r="H40" i="18"/>
  <c r="H54" i="18"/>
  <c r="I54" i="18" s="1"/>
  <c r="I54" i="19"/>
  <c r="H36" i="18"/>
  <c r="I36" i="18" s="1"/>
  <c r="I23" i="4"/>
  <c r="H35" i="18"/>
  <c r="I35" i="18" s="1"/>
  <c r="H80" i="29"/>
  <c r="I80" i="29" s="1"/>
  <c r="I80" i="28"/>
  <c r="H42" i="29"/>
  <c r="I42" i="28"/>
  <c r="I14" i="28"/>
  <c r="H14" i="29"/>
  <c r="I14" i="29" s="1"/>
  <c r="I12" i="4"/>
  <c r="H12" i="1"/>
  <c r="I12" i="1" s="1"/>
  <c r="I32" i="20"/>
  <c r="H32" i="18"/>
  <c r="H63" i="18"/>
  <c r="I63" i="19"/>
  <c r="H55" i="18"/>
  <c r="I55" i="19"/>
  <c r="H15" i="18"/>
  <c r="I15" i="18" s="1"/>
  <c r="I15" i="19"/>
  <c r="H53" i="30"/>
  <c r="I53" i="30" s="1"/>
  <c r="I53" i="33"/>
  <c r="H62" i="18"/>
  <c r="I62" i="19"/>
  <c r="H40" i="29"/>
  <c r="I40" i="29" s="1"/>
  <c r="I40" i="28"/>
  <c r="C2" i="18"/>
  <c r="H28" i="18"/>
  <c r="I28" i="18" s="1"/>
  <c r="I64" i="26"/>
  <c r="H64" i="29"/>
  <c r="I48" i="26"/>
  <c r="H48" i="29"/>
  <c r="I48" i="29" s="1"/>
  <c r="I24" i="26"/>
  <c r="H24" i="29"/>
  <c r="I24" i="29" s="1"/>
  <c r="H47" i="18"/>
  <c r="I47" i="18" s="1"/>
  <c r="I47" i="19"/>
  <c r="I16" i="21"/>
  <c r="H27" i="18"/>
  <c r="I27" i="18" s="1"/>
  <c r="I71" i="26"/>
  <c r="H71" i="29"/>
  <c r="I71" i="29" s="1"/>
  <c r="I55" i="26"/>
  <c r="H55" i="29"/>
  <c r="I55" i="29" s="1"/>
  <c r="I47" i="26"/>
  <c r="H47" i="29"/>
  <c r="I47" i="29" s="1"/>
  <c r="I39" i="26"/>
  <c r="H39" i="29"/>
  <c r="I31" i="26"/>
  <c r="H31" i="29"/>
  <c r="I31" i="29" s="1"/>
  <c r="H44" i="29"/>
  <c r="I44" i="29" s="1"/>
  <c r="I44" i="28"/>
  <c r="H27" i="29"/>
  <c r="I27" i="29" s="1"/>
  <c r="I27" i="28"/>
  <c r="H71" i="18"/>
  <c r="I71" i="19"/>
  <c r="H13" i="1"/>
  <c r="I13" i="1" s="1"/>
  <c r="H42" i="18"/>
  <c r="H34" i="18"/>
  <c r="I34" i="18" s="1"/>
  <c r="H26" i="18"/>
  <c r="I26" i="18" s="1"/>
  <c r="I41" i="29"/>
  <c r="H82" i="29"/>
  <c r="H63" i="29"/>
  <c r="H37" i="29"/>
  <c r="E82" i="1"/>
  <c r="F82" i="1" s="1"/>
  <c r="H18" i="18"/>
  <c r="I18" i="18" s="1"/>
  <c r="C10" i="34"/>
  <c r="E11" i="30"/>
  <c r="F11" i="30" s="1"/>
  <c r="E31" i="18"/>
  <c r="F31" i="18" s="1"/>
  <c r="H41" i="18"/>
  <c r="H33" i="18"/>
  <c r="H25" i="18"/>
  <c r="H45" i="29"/>
  <c r="I45" i="29" s="1"/>
  <c r="H30" i="29"/>
  <c r="I30" i="29" s="1"/>
  <c r="E75" i="1"/>
  <c r="F75" i="1" s="1"/>
  <c r="E71" i="1"/>
  <c r="F71" i="1" s="1"/>
  <c r="E63" i="1"/>
  <c r="F63" i="1" s="1"/>
  <c r="E55" i="1"/>
  <c r="F55" i="1" s="1"/>
  <c r="E47" i="1"/>
  <c r="F47" i="1" s="1"/>
  <c r="H84" i="29"/>
  <c r="I84" i="29" s="1"/>
  <c r="H81" i="29"/>
  <c r="I81" i="29" s="1"/>
  <c r="H79" i="29"/>
  <c r="I79" i="29" s="1"/>
  <c r="I73" i="28"/>
  <c r="H50" i="29"/>
  <c r="I43" i="28"/>
  <c r="H26" i="29"/>
  <c r="E80" i="1"/>
  <c r="F80" i="1" s="1"/>
  <c r="E78" i="1"/>
  <c r="F78" i="1" s="1"/>
  <c r="E66" i="1"/>
  <c r="F66" i="1" s="1"/>
  <c r="I22" i="4"/>
  <c r="C8" i="34"/>
  <c r="H23" i="18"/>
  <c r="H39" i="18"/>
  <c r="H31" i="18"/>
  <c r="I31" i="18" s="1"/>
  <c r="E73" i="1"/>
  <c r="F73" i="1" s="1"/>
  <c r="E65" i="1"/>
  <c r="F65" i="1" s="1"/>
  <c r="E57" i="1"/>
  <c r="F57" i="1" s="1"/>
  <c r="E49" i="1"/>
  <c r="F49" i="1" s="1"/>
  <c r="H77" i="29"/>
  <c r="I77" i="29" s="1"/>
  <c r="H75" i="29"/>
  <c r="I75" i="29" s="1"/>
  <c r="H67" i="29"/>
  <c r="I67" i="29" s="1"/>
  <c r="E48" i="30"/>
  <c r="F48" i="30" s="1"/>
  <c r="H36" i="29"/>
  <c r="H32" i="29"/>
  <c r="I32" i="29" s="1"/>
  <c r="I39" i="29"/>
  <c r="E58" i="1"/>
  <c r="F58" i="1" s="1"/>
  <c r="E70" i="1"/>
  <c r="F70" i="1" s="1"/>
  <c r="E54" i="1"/>
  <c r="F54" i="1" s="1"/>
  <c r="E24" i="30"/>
  <c r="F24" i="30" s="1"/>
  <c r="H22" i="18"/>
  <c r="I22" i="18" s="1"/>
  <c r="I40" i="18"/>
  <c r="H46" i="18"/>
  <c r="H38" i="18"/>
  <c r="I38" i="18" s="1"/>
  <c r="H30" i="18"/>
  <c r="I30" i="18" s="1"/>
  <c r="H38" i="29"/>
  <c r="I75" i="19"/>
  <c r="I67" i="19"/>
  <c r="I59" i="19"/>
  <c r="I51" i="19"/>
  <c r="E72" i="1"/>
  <c r="F72" i="1" s="1"/>
  <c r="E64" i="1"/>
  <c r="F64" i="1" s="1"/>
  <c r="E56" i="1"/>
  <c r="F56" i="1" s="1"/>
  <c r="E48" i="1"/>
  <c r="F48" i="1" s="1"/>
  <c r="H66" i="29"/>
  <c r="H62" i="29"/>
  <c r="H60" i="29"/>
  <c r="H52" i="29"/>
  <c r="E81" i="1"/>
  <c r="F81" i="1" s="1"/>
  <c r="E74" i="1"/>
  <c r="F74" i="1" s="1"/>
  <c r="E50" i="1"/>
  <c r="F50" i="1" s="1"/>
  <c r="E62" i="1"/>
  <c r="F62" i="1" s="1"/>
  <c r="H15" i="29"/>
  <c r="H16" i="1"/>
  <c r="H20" i="29"/>
  <c r="E23" i="30"/>
  <c r="F23" i="30" s="1"/>
  <c r="E40" i="1"/>
  <c r="F40" i="1" s="1"/>
  <c r="E32" i="1"/>
  <c r="F32" i="1" s="1"/>
  <c r="E45" i="1"/>
  <c r="F45" i="1" s="1"/>
  <c r="E37" i="1"/>
  <c r="F37" i="1" s="1"/>
  <c r="E29" i="1"/>
  <c r="F29" i="1" s="1"/>
  <c r="H45" i="18"/>
  <c r="H37" i="18"/>
  <c r="H29" i="18"/>
  <c r="H70" i="29"/>
  <c r="I70" i="29" s="1"/>
  <c r="H65" i="29"/>
  <c r="I65" i="29" s="1"/>
  <c r="H54" i="29"/>
  <c r="I54" i="29" s="1"/>
  <c r="D53" i="34"/>
  <c r="D29" i="34"/>
  <c r="H48" i="30"/>
  <c r="I48" i="30" s="1"/>
  <c r="H61" i="30"/>
  <c r="H76" i="30"/>
  <c r="I76" i="30" s="1"/>
  <c r="H68" i="30"/>
  <c r="I68" i="30" s="1"/>
  <c r="H67" i="30"/>
  <c r="I67" i="30" s="1"/>
  <c r="I28" i="33"/>
  <c r="H28" i="30"/>
  <c r="I28" i="30" s="1"/>
  <c r="I37" i="33"/>
  <c r="H37" i="30"/>
  <c r="I37" i="30" s="1"/>
  <c r="I72" i="33"/>
  <c r="H72" i="30"/>
  <c r="I72" i="30" s="1"/>
  <c r="I78" i="33"/>
  <c r="H78" i="30"/>
  <c r="I78" i="30" s="1"/>
  <c r="E67" i="30"/>
  <c r="F67" i="30" s="1"/>
  <c r="D71" i="34"/>
  <c r="C71" i="34"/>
  <c r="D74" i="34"/>
  <c r="E36" i="30"/>
  <c r="F36" i="30" s="1"/>
  <c r="C9" i="34"/>
  <c r="H45" i="30"/>
  <c r="I45" i="30" s="1"/>
  <c r="H41" i="30"/>
  <c r="H41" i="34" s="1"/>
  <c r="D41" i="34"/>
  <c r="E27" i="30"/>
  <c r="F27" i="30" s="1"/>
  <c r="G44" i="34"/>
  <c r="E51" i="30"/>
  <c r="F51" i="30" s="1"/>
  <c r="H42" i="30"/>
  <c r="H56" i="30"/>
  <c r="I56" i="30" s="1"/>
  <c r="C27" i="34"/>
  <c r="H40" i="30"/>
  <c r="H40" i="34" s="1"/>
  <c r="H51" i="30"/>
  <c r="I51" i="30" s="1"/>
  <c r="I61" i="32"/>
  <c r="C61" i="34"/>
  <c r="G57" i="34"/>
  <c r="C39" i="34"/>
  <c r="D57" i="34"/>
  <c r="H59" i="30"/>
  <c r="H59" i="34" s="1"/>
  <c r="H34" i="30"/>
  <c r="H34" i="34" s="1"/>
  <c r="D35" i="34"/>
  <c r="C57" i="34"/>
  <c r="E8" i="30"/>
  <c r="F8" i="30" s="1"/>
  <c r="H44" i="30"/>
  <c r="E18" i="30"/>
  <c r="F18" i="30" s="1"/>
  <c r="H35" i="30"/>
  <c r="H75" i="30"/>
  <c r="H75" i="34" s="1"/>
  <c r="E9" i="30"/>
  <c r="F9" i="30" s="1"/>
  <c r="E20" i="30"/>
  <c r="F20" i="30" s="1"/>
  <c r="H53" i="34"/>
  <c r="H73" i="30"/>
  <c r="I73" i="30" s="1"/>
  <c r="G61" i="34"/>
  <c r="H82" i="30"/>
  <c r="I82" i="30" s="1"/>
  <c r="E85" i="30"/>
  <c r="F85" i="30" s="1"/>
  <c r="E77" i="30"/>
  <c r="F77" i="30" s="1"/>
  <c r="E61" i="30"/>
  <c r="F61" i="30" s="1"/>
  <c r="E58" i="30"/>
  <c r="F58" i="30" s="1"/>
  <c r="E53" i="30"/>
  <c r="F53" i="30" s="1"/>
  <c r="E43" i="30"/>
  <c r="F43" i="30" s="1"/>
  <c r="E29" i="30"/>
  <c r="F29" i="30" s="1"/>
  <c r="E59" i="30"/>
  <c r="F59" i="30" s="1"/>
  <c r="H58" i="30"/>
  <c r="I58" i="30" s="1"/>
  <c r="I76" i="32"/>
  <c r="E60" i="30"/>
  <c r="F60" i="30" s="1"/>
  <c r="E68" i="30"/>
  <c r="F68" i="30" s="1"/>
  <c r="H69" i="30"/>
  <c r="H70" i="30"/>
  <c r="H71" i="30"/>
  <c r="I71" i="30" s="1"/>
  <c r="E72" i="30"/>
  <c r="F72" i="30" s="1"/>
  <c r="E49" i="30"/>
  <c r="F49" i="30" s="1"/>
  <c r="C49" i="34"/>
  <c r="H62" i="30"/>
  <c r="H62" i="34" s="1"/>
  <c r="E64" i="30"/>
  <c r="F64" i="30" s="1"/>
  <c r="H64" i="30"/>
  <c r="I64" i="30" s="1"/>
  <c r="D55" i="34"/>
  <c r="E63" i="30"/>
  <c r="F63" i="30" s="1"/>
  <c r="E56" i="30"/>
  <c r="F56" i="30" s="1"/>
  <c r="E39" i="30"/>
  <c r="F39" i="30" s="1"/>
  <c r="H39" i="30"/>
  <c r="I39" i="30" s="1"/>
  <c r="E37" i="30"/>
  <c r="F37" i="30" s="1"/>
  <c r="H36" i="30"/>
  <c r="I36" i="30" s="1"/>
  <c r="H38" i="30"/>
  <c r="D25" i="34"/>
  <c r="E40" i="30"/>
  <c r="F40" i="30" s="1"/>
  <c r="H57" i="30"/>
  <c r="I57" i="30" s="1"/>
  <c r="E78" i="30"/>
  <c r="F78" i="30" s="1"/>
  <c r="H79" i="30"/>
  <c r="C13" i="34"/>
  <c r="E80" i="30"/>
  <c r="F80" i="30" s="1"/>
  <c r="H85" i="30"/>
  <c r="I85" i="30" s="1"/>
  <c r="I45" i="32"/>
  <c r="H43" i="30"/>
  <c r="H43" i="34" s="1"/>
  <c r="I35" i="30"/>
  <c r="E32" i="30"/>
  <c r="F32" i="30" s="1"/>
  <c r="D32" i="34"/>
  <c r="E31" i="30"/>
  <c r="F31" i="30" s="1"/>
  <c r="H30" i="30"/>
  <c r="I30" i="30" s="1"/>
  <c r="H27" i="30"/>
  <c r="I27" i="30" s="1"/>
  <c r="C85" i="34"/>
  <c r="D50" i="34"/>
  <c r="C22" i="34"/>
  <c r="G71" i="34"/>
  <c r="G53" i="34"/>
  <c r="E84" i="30"/>
  <c r="F84" i="30" s="1"/>
  <c r="G73" i="34"/>
  <c r="D61" i="34"/>
  <c r="E21" i="30"/>
  <c r="F21" i="30" s="1"/>
  <c r="E13" i="30"/>
  <c r="F13" i="30" s="1"/>
  <c r="E66" i="30"/>
  <c r="F66" i="30" s="1"/>
  <c r="E35" i="30"/>
  <c r="F35" i="30" s="1"/>
  <c r="C18" i="34"/>
  <c r="E19" i="30"/>
  <c r="F19" i="30" s="1"/>
  <c r="E74" i="30"/>
  <c r="F74" i="30" s="1"/>
  <c r="E70" i="30"/>
  <c r="F70" i="30" s="1"/>
  <c r="E46" i="30"/>
  <c r="F46" i="30" s="1"/>
  <c r="E26" i="30"/>
  <c r="F26" i="30" s="1"/>
  <c r="E76" i="30"/>
  <c r="F76" i="30" s="1"/>
  <c r="D34" i="34"/>
  <c r="H14" i="30"/>
  <c r="G79" i="34"/>
  <c r="E33" i="30"/>
  <c r="F33" i="30" s="1"/>
  <c r="I79" i="31"/>
  <c r="G22" i="34"/>
  <c r="E54" i="30"/>
  <c r="F54" i="30" s="1"/>
  <c r="D79" i="34"/>
  <c r="H74" i="30"/>
  <c r="I74" i="30" s="1"/>
  <c r="H63" i="30"/>
  <c r="I63" i="30" s="1"/>
  <c r="H46" i="30"/>
  <c r="I46" i="30" s="1"/>
  <c r="D18" i="34"/>
  <c r="D45" i="34"/>
  <c r="I40" i="30"/>
  <c r="D17" i="34"/>
  <c r="E17" i="34" s="1"/>
  <c r="F17" i="34" s="1"/>
  <c r="G18" i="34"/>
  <c r="D44" i="34"/>
  <c r="D28" i="34"/>
  <c r="D85" i="34"/>
  <c r="G52" i="34"/>
  <c r="H80" i="30"/>
  <c r="I80" i="30" s="1"/>
  <c r="H77" i="30"/>
  <c r="I77" i="30" s="1"/>
  <c r="E71" i="30"/>
  <c r="F71" i="30" s="1"/>
  <c r="H66" i="30"/>
  <c r="I66" i="30" s="1"/>
  <c r="I35" i="31"/>
  <c r="H83" i="30"/>
  <c r="I83" i="30" s="1"/>
  <c r="E38" i="30"/>
  <c r="F38" i="30" s="1"/>
  <c r="E25" i="30"/>
  <c r="F25" i="30" s="1"/>
  <c r="E52" i="30"/>
  <c r="F52" i="30" s="1"/>
  <c r="G65" i="34"/>
  <c r="D65" i="34"/>
  <c r="E41" i="30"/>
  <c r="F41" i="30" s="1"/>
  <c r="H15" i="30"/>
  <c r="I15" i="30" s="1"/>
  <c r="C80" i="34"/>
  <c r="G83" i="34"/>
  <c r="E30" i="30"/>
  <c r="F30" i="30" s="1"/>
  <c r="D21" i="34"/>
  <c r="E21" i="34" s="1"/>
  <c r="F21" i="34" s="1"/>
  <c r="H32" i="30"/>
  <c r="I32" i="30" s="1"/>
  <c r="G21" i="34"/>
  <c r="H29" i="30"/>
  <c r="I29" i="30" s="1"/>
  <c r="G20" i="34"/>
  <c r="E81" i="30"/>
  <c r="F81" i="30" s="1"/>
  <c r="G19" i="34"/>
  <c r="H60" i="30"/>
  <c r="H60" i="34" s="1"/>
  <c r="H26" i="30"/>
  <c r="I26" i="30" s="1"/>
  <c r="I73" i="31"/>
  <c r="D16" i="34"/>
  <c r="G17" i="34"/>
  <c r="D27" i="34"/>
  <c r="G33" i="34"/>
  <c r="D63" i="34"/>
  <c r="E62" i="30"/>
  <c r="F62" i="30" s="1"/>
  <c r="E28" i="30"/>
  <c r="F28" i="30" s="1"/>
  <c r="H16" i="30"/>
  <c r="H16" i="34" s="1"/>
  <c r="C45" i="34"/>
  <c r="C65" i="34"/>
  <c r="H47" i="30"/>
  <c r="G23" i="34"/>
  <c r="D33" i="34"/>
  <c r="H13" i="30"/>
  <c r="I13" i="30" s="1"/>
  <c r="C42" i="34"/>
  <c r="H50" i="30"/>
  <c r="I50" i="30" s="1"/>
  <c r="D20" i="34"/>
  <c r="E47" i="30"/>
  <c r="F47" i="30" s="1"/>
  <c r="D19" i="34"/>
  <c r="E19" i="34" s="1"/>
  <c r="F19" i="34" s="1"/>
  <c r="C53" i="34"/>
  <c r="E53" i="34" s="1"/>
  <c r="F53" i="34" s="1"/>
  <c r="I36" i="31"/>
  <c r="C11" i="34"/>
  <c r="E12" i="30"/>
  <c r="F12" i="30" s="1"/>
  <c r="C36" i="34"/>
  <c r="C63" i="34"/>
  <c r="H31" i="30"/>
  <c r="G16" i="34"/>
  <c r="D46" i="34"/>
  <c r="G56" i="34"/>
  <c r="D11" i="34"/>
  <c r="I70" i="31"/>
  <c r="D43" i="34"/>
  <c r="D24" i="34"/>
  <c r="H24" i="30"/>
  <c r="D42" i="34"/>
  <c r="C67" i="34"/>
  <c r="H52" i="30"/>
  <c r="H33" i="30"/>
  <c r="I33" i="30" s="1"/>
  <c r="I68" i="31"/>
  <c r="D15" i="34"/>
  <c r="G34" i="34"/>
  <c r="H55" i="30"/>
  <c r="I55" i="30" s="1"/>
  <c r="E50" i="30"/>
  <c r="F50" i="30" s="1"/>
  <c r="I51" i="31"/>
  <c r="G8" i="34"/>
  <c r="H23" i="30"/>
  <c r="I23" i="30" s="1"/>
  <c r="G31" i="34"/>
  <c r="G59" i="34"/>
  <c r="G48" i="34"/>
  <c r="H65" i="30"/>
  <c r="I65" i="30" s="1"/>
  <c r="E55" i="30"/>
  <c r="F55" i="30" s="1"/>
  <c r="H49" i="30"/>
  <c r="I49" i="30" s="1"/>
  <c r="I67" i="31"/>
  <c r="I71" i="31"/>
  <c r="D9" i="34"/>
  <c r="I69" i="31"/>
  <c r="H22" i="30"/>
  <c r="I22" i="30" s="1"/>
  <c r="C34" i="34"/>
  <c r="D40" i="34"/>
  <c r="G46" i="34"/>
  <c r="D59" i="34"/>
  <c r="D51" i="34"/>
  <c r="H84" i="30"/>
  <c r="I84" i="30" s="1"/>
  <c r="H54" i="30"/>
  <c r="I54" i="30" s="1"/>
  <c r="I85" i="31"/>
  <c r="G14" i="34"/>
  <c r="G37" i="34"/>
  <c r="G75" i="34"/>
  <c r="D10" i="34"/>
  <c r="H21" i="30"/>
  <c r="I21" i="30" s="1"/>
  <c r="G45" i="34"/>
  <c r="G29" i="34"/>
  <c r="C59" i="34"/>
  <c r="H81" i="30"/>
  <c r="I81" i="30" s="1"/>
  <c r="E79" i="30"/>
  <c r="F79" i="30" s="1"/>
  <c r="E65" i="30"/>
  <c r="F65" i="30" s="1"/>
  <c r="G15" i="34"/>
  <c r="D13" i="34"/>
  <c r="D83" i="34"/>
  <c r="E83" i="30"/>
  <c r="F83" i="30" s="1"/>
  <c r="C38" i="34"/>
  <c r="C56" i="34"/>
  <c r="C37" i="34"/>
  <c r="E17" i="30"/>
  <c r="F17" i="30" s="1"/>
  <c r="H19" i="30"/>
  <c r="C32" i="34"/>
  <c r="D38" i="34"/>
  <c r="G77" i="34"/>
  <c r="C73" i="34"/>
  <c r="D69" i="34"/>
  <c r="G58" i="34"/>
  <c r="G50" i="34"/>
  <c r="D48" i="34"/>
  <c r="I82" i="31"/>
  <c r="I64" i="31"/>
  <c r="D67" i="34"/>
  <c r="E16" i="30"/>
  <c r="F16" i="30" s="1"/>
  <c r="H18" i="30"/>
  <c r="D37" i="34"/>
  <c r="D84" i="34"/>
  <c r="C81" i="34"/>
  <c r="D77" i="34"/>
  <c r="C69" i="34"/>
  <c r="C48" i="34"/>
  <c r="D30" i="34"/>
  <c r="C14" i="34"/>
  <c r="E15" i="30"/>
  <c r="F15" i="30" s="1"/>
  <c r="H17" i="30"/>
  <c r="I17" i="30" s="1"/>
  <c r="C46" i="34"/>
  <c r="G42" i="34"/>
  <c r="C84" i="34"/>
  <c r="C20" i="34"/>
  <c r="H20" i="30"/>
  <c r="I20" i="30" s="1"/>
  <c r="C23" i="34"/>
  <c r="C24" i="34"/>
  <c r="H25" i="30"/>
  <c r="I25" i="30" s="1"/>
  <c r="E44" i="30"/>
  <c r="F44" i="30" s="1"/>
  <c r="I41" i="30"/>
  <c r="D58" i="34"/>
  <c r="C58" i="34"/>
  <c r="G76" i="34"/>
  <c r="D76" i="34"/>
  <c r="D60" i="34"/>
  <c r="C68" i="34"/>
  <c r="G69" i="34"/>
  <c r="E69" i="30"/>
  <c r="F69" i="30" s="1"/>
  <c r="G70" i="34"/>
  <c r="D70" i="34"/>
  <c r="C70" i="34"/>
  <c r="G72" i="34"/>
  <c r="D72" i="34"/>
  <c r="D73" i="34"/>
  <c r="E73" i="30"/>
  <c r="F73" i="30" s="1"/>
  <c r="G74" i="34"/>
  <c r="E75" i="30"/>
  <c r="F75" i="30" s="1"/>
  <c r="D75" i="34"/>
  <c r="G67" i="34"/>
  <c r="G47" i="34"/>
  <c r="D47" i="34"/>
  <c r="C47" i="34"/>
  <c r="G49" i="34"/>
  <c r="D49" i="34"/>
  <c r="C50" i="34"/>
  <c r="G51" i="34"/>
  <c r="C51" i="34"/>
  <c r="G62" i="34"/>
  <c r="D62" i="34"/>
  <c r="C62" i="34"/>
  <c r="D52" i="34"/>
  <c r="D64" i="34"/>
  <c r="G54" i="34"/>
  <c r="D54" i="34"/>
  <c r="C54" i="34"/>
  <c r="D66" i="34"/>
  <c r="C66" i="34"/>
  <c r="D39" i="34"/>
  <c r="D36" i="34"/>
  <c r="G25" i="34"/>
  <c r="C25" i="34"/>
  <c r="C40" i="34"/>
  <c r="G82" i="34"/>
  <c r="E82" i="30"/>
  <c r="F82" i="30" s="1"/>
  <c r="D82" i="34"/>
  <c r="C82" i="34"/>
  <c r="G26" i="34"/>
  <c r="D26" i="34"/>
  <c r="C26" i="34"/>
  <c r="E57" i="30"/>
  <c r="F57" i="30" s="1"/>
  <c r="D78" i="34"/>
  <c r="C79" i="34"/>
  <c r="C16" i="34"/>
  <c r="C15" i="34"/>
  <c r="G13" i="34"/>
  <c r="G9" i="34"/>
  <c r="G12" i="34"/>
  <c r="C12" i="34"/>
  <c r="G11" i="34"/>
  <c r="G10" i="34"/>
  <c r="G80" i="34"/>
  <c r="D80" i="34"/>
  <c r="G85" i="34"/>
  <c r="E45" i="30"/>
  <c r="F45" i="30" s="1"/>
  <c r="G43" i="34"/>
  <c r="C43" i="34"/>
  <c r="C83" i="34"/>
  <c r="E42" i="30"/>
  <c r="F42" i="30" s="1"/>
  <c r="C41" i="34"/>
  <c r="G81" i="34"/>
  <c r="D81" i="34"/>
  <c r="G35" i="34"/>
  <c r="C35" i="34"/>
  <c r="E34" i="30"/>
  <c r="F34" i="30" s="1"/>
  <c r="G32" i="34"/>
  <c r="D31" i="34"/>
  <c r="C31" i="34"/>
  <c r="G30" i="34"/>
  <c r="C30" i="34"/>
  <c r="G28" i="34"/>
  <c r="C28" i="34"/>
  <c r="G27" i="34"/>
  <c r="H37" i="34"/>
  <c r="E59" i="29"/>
  <c r="F59" i="29" s="1"/>
  <c r="H58" i="29"/>
  <c r="H76" i="29"/>
  <c r="I69" i="29"/>
  <c r="E70" i="29"/>
  <c r="F70" i="29" s="1"/>
  <c r="I72" i="29"/>
  <c r="H73" i="34"/>
  <c r="I73" i="29"/>
  <c r="I74" i="28"/>
  <c r="I74" i="29"/>
  <c r="E47" i="29"/>
  <c r="F47" i="29" s="1"/>
  <c r="I50" i="29"/>
  <c r="H51" i="29"/>
  <c r="E51" i="29"/>
  <c r="F51" i="29" s="1"/>
  <c r="I52" i="28"/>
  <c r="H56" i="29"/>
  <c r="I36" i="28"/>
  <c r="I36" i="29"/>
  <c r="I38" i="29"/>
  <c r="H82" i="34"/>
  <c r="I82" i="29"/>
  <c r="I26" i="28"/>
  <c r="H57" i="29"/>
  <c r="I16" i="28"/>
  <c r="E85" i="29"/>
  <c r="F85" i="29" s="1"/>
  <c r="H85" i="29"/>
  <c r="H28" i="29"/>
  <c r="H28" i="34" s="1"/>
  <c r="E12" i="29"/>
  <c r="F12" i="29" s="1"/>
  <c r="D12" i="34"/>
  <c r="E8" i="29"/>
  <c r="F8" i="29" s="1"/>
  <c r="D8" i="34"/>
  <c r="E8" i="34" s="1"/>
  <c r="F8" i="34" s="1"/>
  <c r="E23" i="29"/>
  <c r="F23" i="29" s="1"/>
  <c r="D23" i="34"/>
  <c r="E22" i="29"/>
  <c r="F22" i="29" s="1"/>
  <c r="D22" i="34"/>
  <c r="E14" i="29"/>
  <c r="F14" i="29" s="1"/>
  <c r="D14" i="34"/>
  <c r="G24" i="34"/>
  <c r="E44" i="29"/>
  <c r="F44" i="29" s="1"/>
  <c r="C44" i="34"/>
  <c r="E33" i="29"/>
  <c r="F33" i="29" s="1"/>
  <c r="C33" i="34"/>
  <c r="E29" i="29"/>
  <c r="F29" i="29" s="1"/>
  <c r="C29" i="34"/>
  <c r="E29" i="34" s="1"/>
  <c r="F29" i="34" s="1"/>
  <c r="E78" i="29"/>
  <c r="F78" i="29" s="1"/>
  <c r="E77" i="29"/>
  <c r="F77" i="29" s="1"/>
  <c r="E74" i="29"/>
  <c r="F74" i="29" s="1"/>
  <c r="C74" i="34"/>
  <c r="E71" i="34"/>
  <c r="F71" i="34" s="1"/>
  <c r="I66" i="29"/>
  <c r="I64" i="29"/>
  <c r="G64" i="34"/>
  <c r="I63" i="29"/>
  <c r="I60" i="29"/>
  <c r="G60" i="34"/>
  <c r="E56" i="29"/>
  <c r="F56" i="29" s="1"/>
  <c r="D56" i="34"/>
  <c r="E76" i="29"/>
  <c r="F76" i="29" s="1"/>
  <c r="C76" i="34"/>
  <c r="E60" i="29"/>
  <c r="F60" i="29" s="1"/>
  <c r="C60" i="34"/>
  <c r="G68" i="34"/>
  <c r="D68" i="34"/>
  <c r="E71" i="29"/>
  <c r="F71" i="29" s="1"/>
  <c r="E72" i="29"/>
  <c r="F72" i="29" s="1"/>
  <c r="C72" i="34"/>
  <c r="E73" i="29"/>
  <c r="F73" i="29" s="1"/>
  <c r="E75" i="29"/>
  <c r="F75" i="29" s="1"/>
  <c r="C75" i="34"/>
  <c r="E65" i="29"/>
  <c r="F65" i="29" s="1"/>
  <c r="I62" i="29"/>
  <c r="I52" i="29"/>
  <c r="E52" i="29"/>
  <c r="F52" i="29" s="1"/>
  <c r="C52" i="34"/>
  <c r="E64" i="29"/>
  <c r="F64" i="29" s="1"/>
  <c r="C64" i="34"/>
  <c r="G55" i="34"/>
  <c r="E55" i="29"/>
  <c r="F55" i="29" s="1"/>
  <c r="C55" i="34"/>
  <c r="G66" i="34"/>
  <c r="G63" i="34"/>
  <c r="G39" i="34"/>
  <c r="G36" i="34"/>
  <c r="G38" i="34"/>
  <c r="C77" i="34"/>
  <c r="G40" i="34"/>
  <c r="E40" i="29"/>
  <c r="F40" i="29" s="1"/>
  <c r="E82" i="29"/>
  <c r="F82" i="29" s="1"/>
  <c r="G78" i="34"/>
  <c r="C78" i="34"/>
  <c r="E13" i="29"/>
  <c r="F13" i="29" s="1"/>
  <c r="E9" i="29"/>
  <c r="F9" i="29" s="1"/>
  <c r="E11" i="29"/>
  <c r="F11" i="29" s="1"/>
  <c r="E10" i="29"/>
  <c r="F10" i="29" s="1"/>
  <c r="E80" i="29"/>
  <c r="F80" i="29" s="1"/>
  <c r="G41" i="34"/>
  <c r="E35" i="29"/>
  <c r="F35" i="29" s="1"/>
  <c r="I23" i="29"/>
  <c r="I22" i="29"/>
  <c r="I21" i="29"/>
  <c r="I20" i="29"/>
  <c r="I19" i="29"/>
  <c r="I18" i="29"/>
  <c r="I17" i="29"/>
  <c r="E46" i="29"/>
  <c r="F46" i="29" s="1"/>
  <c r="E30" i="29"/>
  <c r="F30" i="29" s="1"/>
  <c r="E28" i="29"/>
  <c r="F28" i="29" s="1"/>
  <c r="E27" i="29"/>
  <c r="F27" i="29" s="1"/>
  <c r="I37" i="29"/>
  <c r="I34" i="29"/>
  <c r="I29" i="29"/>
  <c r="I25" i="29"/>
  <c r="E24" i="29"/>
  <c r="F24" i="29" s="1"/>
  <c r="E21" i="29"/>
  <c r="F21" i="29" s="1"/>
  <c r="E20" i="29"/>
  <c r="F20" i="29" s="1"/>
  <c r="E19" i="29"/>
  <c r="F19" i="29" s="1"/>
  <c r="E18" i="29"/>
  <c r="F18" i="29" s="1"/>
  <c r="E17" i="29"/>
  <c r="F17" i="29" s="1"/>
  <c r="E16" i="29"/>
  <c r="F16" i="29" s="1"/>
  <c r="E15" i="29"/>
  <c r="F15" i="29" s="1"/>
  <c r="I46" i="29"/>
  <c r="E39" i="29"/>
  <c r="F39" i="29" s="1"/>
  <c r="E37" i="29"/>
  <c r="F37" i="29" s="1"/>
  <c r="E36" i="29"/>
  <c r="F36" i="29" s="1"/>
  <c r="E38" i="29"/>
  <c r="F38" i="29" s="1"/>
  <c r="I26" i="29"/>
  <c r="E26" i="29"/>
  <c r="F26" i="29" s="1"/>
  <c r="I16" i="29"/>
  <c r="I15" i="29"/>
  <c r="I13" i="29"/>
  <c r="E45" i="29"/>
  <c r="F45" i="29" s="1"/>
  <c r="I43" i="29"/>
  <c r="I42" i="29"/>
  <c r="E41" i="29"/>
  <c r="F41" i="29" s="1"/>
  <c r="I35" i="29"/>
  <c r="E34" i="29"/>
  <c r="F34" i="29" s="1"/>
  <c r="E32" i="29"/>
  <c r="F32" i="29" s="1"/>
  <c r="E31" i="29"/>
  <c r="F31" i="29" s="1"/>
  <c r="E43" i="29"/>
  <c r="F43" i="29" s="1"/>
  <c r="E42" i="29"/>
  <c r="F42" i="29" s="1"/>
  <c r="E25" i="29"/>
  <c r="F25" i="29" s="1"/>
  <c r="E40" i="18"/>
  <c r="F40" i="18" s="1"/>
  <c r="E39" i="18"/>
  <c r="F39" i="18" s="1"/>
  <c r="E37" i="18"/>
  <c r="F37" i="18" s="1"/>
  <c r="E36" i="18"/>
  <c r="F36" i="18" s="1"/>
  <c r="E30" i="18"/>
  <c r="F30" i="18" s="1"/>
  <c r="E28" i="18"/>
  <c r="F28" i="18" s="1"/>
  <c r="I25" i="18"/>
  <c r="I43" i="18"/>
  <c r="I42" i="18"/>
  <c r="I41" i="18"/>
  <c r="I39" i="18"/>
  <c r="I75" i="18"/>
  <c r="I74" i="18"/>
  <c r="I73" i="18"/>
  <c r="I72" i="18"/>
  <c r="I71" i="18"/>
  <c r="I69" i="18"/>
  <c r="I68" i="18"/>
  <c r="I67" i="18"/>
  <c r="I66" i="18"/>
  <c r="I65" i="18"/>
  <c r="I64" i="18"/>
  <c r="I63" i="18"/>
  <c r="I62" i="18"/>
  <c r="I61" i="18"/>
  <c r="I60" i="18"/>
  <c r="I59" i="18"/>
  <c r="I58" i="18"/>
  <c r="I57" i="18"/>
  <c r="I56" i="18"/>
  <c r="I55" i="18"/>
  <c r="I52" i="18"/>
  <c r="I51" i="18"/>
  <c r="I50" i="18"/>
  <c r="I49" i="18"/>
  <c r="E75" i="18"/>
  <c r="F75" i="18" s="1"/>
  <c r="E74" i="18"/>
  <c r="F74" i="18" s="1"/>
  <c r="E73" i="18"/>
  <c r="F73" i="18" s="1"/>
  <c r="E72" i="18"/>
  <c r="F72"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2" i="18"/>
  <c r="F52" i="18" s="1"/>
  <c r="E51" i="18"/>
  <c r="F51" i="18" s="1"/>
  <c r="E50" i="18"/>
  <c r="F50" i="18" s="1"/>
  <c r="E49" i="18"/>
  <c r="F49" i="18" s="1"/>
  <c r="I53" i="18"/>
  <c r="E53" i="18"/>
  <c r="F53" i="18" s="1"/>
  <c r="I48" i="18"/>
  <c r="E48" i="18"/>
  <c r="F48" i="18" s="1"/>
  <c r="E47" i="18"/>
  <c r="F47" i="18" s="1"/>
  <c r="E29" i="18"/>
  <c r="F29" i="18" s="1"/>
  <c r="E44" i="18"/>
  <c r="F44" i="18" s="1"/>
  <c r="I46" i="18"/>
  <c r="I45" i="18"/>
  <c r="I44" i="18"/>
  <c r="I37" i="18"/>
  <c r="I33" i="18"/>
  <c r="I32" i="18"/>
  <c r="I29" i="18"/>
  <c r="E46" i="18"/>
  <c r="F46" i="18" s="1"/>
  <c r="E26" i="18"/>
  <c r="F26" i="18" s="1"/>
  <c r="E32" i="18"/>
  <c r="F32" i="18" s="1"/>
  <c r="I23" i="18"/>
  <c r="I17" i="18"/>
  <c r="I24" i="18"/>
  <c r="I14" i="18"/>
  <c r="I13" i="18"/>
  <c r="E23" i="18"/>
  <c r="F23" i="18" s="1"/>
  <c r="I16" i="18"/>
  <c r="E24" i="18"/>
  <c r="F24" i="18" s="1"/>
  <c r="E8" i="18"/>
  <c r="F8" i="18" s="1"/>
  <c r="H20" i="18"/>
  <c r="I20" i="18" s="1"/>
  <c r="E22" i="18"/>
  <c r="F22" i="18" s="1"/>
  <c r="E13" i="18"/>
  <c r="F13" i="18" s="1"/>
  <c r="E12" i="18"/>
  <c r="F12" i="18" s="1"/>
  <c r="E16" i="18"/>
  <c r="F16" i="18" s="1"/>
  <c r="H19" i="18"/>
  <c r="I19" i="18" s="1"/>
  <c r="I24" i="21"/>
  <c r="I23" i="21"/>
  <c r="I22" i="21"/>
  <c r="E24" i="1"/>
  <c r="F24" i="1" s="1"/>
  <c r="E23" i="1"/>
  <c r="F23" i="1" s="1"/>
  <c r="E22" i="1"/>
  <c r="F22" i="1" s="1"/>
  <c r="E21" i="1"/>
  <c r="F21" i="1" s="1"/>
  <c r="E20" i="1"/>
  <c r="F20" i="1" s="1"/>
  <c r="E19" i="1"/>
  <c r="F19" i="1" s="1"/>
  <c r="E18" i="1"/>
  <c r="F18" i="1" s="1"/>
  <c r="E17" i="1"/>
  <c r="F17" i="1" s="1"/>
  <c r="I16" i="1"/>
  <c r="I15" i="1"/>
  <c r="I14" i="1"/>
  <c r="E8" i="1"/>
  <c r="F8" i="1" s="1"/>
  <c r="I18" i="1"/>
  <c r="I17" i="1"/>
  <c r="I22" i="1"/>
  <c r="I21" i="4"/>
  <c r="H21" i="1"/>
  <c r="I20" i="1"/>
  <c r="I19" i="4"/>
  <c r="H19" i="1"/>
  <c r="I24" i="4"/>
  <c r="H24" i="1"/>
  <c r="I23" i="1"/>
  <c r="E16" i="1"/>
  <c r="F16" i="1" s="1"/>
  <c r="E15" i="1"/>
  <c r="F15" i="1" s="1"/>
  <c r="E14" i="1"/>
  <c r="F14" i="1" s="1"/>
  <c r="E13" i="1"/>
  <c r="F13" i="1" s="1"/>
  <c r="E12" i="1"/>
  <c r="F12" i="1" s="1"/>
  <c r="E11" i="1"/>
  <c r="F11" i="1" s="1"/>
  <c r="E10" i="1"/>
  <c r="F10" i="1" s="1"/>
  <c r="E9" i="1"/>
  <c r="F9" i="1" s="1"/>
  <c r="G6" i="30"/>
  <c r="G7" i="30"/>
  <c r="G5" i="30"/>
  <c r="G4" i="30"/>
  <c r="E5" i="28"/>
  <c r="F5" i="28" s="1"/>
  <c r="E5" i="27"/>
  <c r="G5" i="29"/>
  <c r="G6" i="29"/>
  <c r="G4" i="29"/>
  <c r="G2" i="29" s="1"/>
  <c r="E12" i="19"/>
  <c r="F12" i="19" s="1"/>
  <c r="E5" i="20"/>
  <c r="E4" i="4"/>
  <c r="F4" i="4"/>
  <c r="H4" i="4"/>
  <c r="I4" i="4" s="1"/>
  <c r="E5" i="4"/>
  <c r="F5" i="4"/>
  <c r="H5" i="4"/>
  <c r="I5" i="4" s="1"/>
  <c r="E6" i="4"/>
  <c r="F6" i="4"/>
  <c r="H6" i="4"/>
  <c r="I6" i="4" s="1"/>
  <c r="E7" i="4"/>
  <c r="F7" i="4"/>
  <c r="H7" i="4"/>
  <c r="I7" i="4" s="1"/>
  <c r="E8" i="4"/>
  <c r="F8" i="4"/>
  <c r="H8" i="4"/>
  <c r="H8" i="1" s="1"/>
  <c r="I8" i="1" s="1"/>
  <c r="E9" i="4"/>
  <c r="F9" i="4" s="1"/>
  <c r="H9" i="4"/>
  <c r="E10" i="4"/>
  <c r="F10" i="4" s="1"/>
  <c r="H10" i="4"/>
  <c r="E11" i="4"/>
  <c r="F11" i="4" s="1"/>
  <c r="H11" i="4"/>
  <c r="E57" i="34" l="1"/>
  <c r="F57" i="34" s="1"/>
  <c r="E74" i="34"/>
  <c r="F74" i="34" s="1"/>
  <c r="E9" i="34"/>
  <c r="F9" i="34" s="1"/>
  <c r="E10" i="34"/>
  <c r="F10" i="34" s="1"/>
  <c r="H67" i="34"/>
  <c r="H42" i="34"/>
  <c r="H61" i="34"/>
  <c r="H78" i="34"/>
  <c r="I78" i="34" s="1"/>
  <c r="I59" i="30"/>
  <c r="I68" i="29"/>
  <c r="H44" i="34"/>
  <c r="I44" i="34" s="1"/>
  <c r="H21" i="34"/>
  <c r="H70" i="34"/>
  <c r="H38" i="34"/>
  <c r="I28" i="29"/>
  <c r="H72" i="34"/>
  <c r="I72" i="34" s="1"/>
  <c r="H20" i="34"/>
  <c r="I20" i="34" s="1"/>
  <c r="I8" i="4"/>
  <c r="H48" i="34"/>
  <c r="I48" i="34" s="1"/>
  <c r="E20" i="34"/>
  <c r="F20" i="34" s="1"/>
  <c r="H79" i="34"/>
  <c r="I79" i="34" s="1"/>
  <c r="I61" i="30"/>
  <c r="H35" i="34"/>
  <c r="I35" i="34" s="1"/>
  <c r="H24" i="34"/>
  <c r="I24" i="34" s="1"/>
  <c r="H47" i="34"/>
  <c r="I47" i="34" s="1"/>
  <c r="H45" i="34"/>
  <c r="I9" i="4"/>
  <c r="H9" i="1"/>
  <c r="I9" i="1" s="1"/>
  <c r="H30" i="34"/>
  <c r="I11" i="4"/>
  <c r="H11" i="1"/>
  <c r="I11" i="1" s="1"/>
  <c r="I10" i="4"/>
  <c r="H10" i="1"/>
  <c r="I10" i="1" s="1"/>
  <c r="E55" i="34"/>
  <c r="F55" i="34" s="1"/>
  <c r="E16" i="34"/>
  <c r="F16" i="34" s="1"/>
  <c r="E84" i="34"/>
  <c r="F84" i="34" s="1"/>
  <c r="E48" i="34"/>
  <c r="F48" i="34" s="1"/>
  <c r="E27" i="34"/>
  <c r="F27" i="34" s="1"/>
  <c r="H69" i="34"/>
  <c r="I69" i="34" s="1"/>
  <c r="I69" i="30"/>
  <c r="E34" i="34"/>
  <c r="F34" i="34" s="1"/>
  <c r="E41" i="34"/>
  <c r="F41" i="34" s="1"/>
  <c r="E76" i="34"/>
  <c r="F76" i="34" s="1"/>
  <c r="I68" i="34"/>
  <c r="H14" i="34"/>
  <c r="I14" i="34" s="1"/>
  <c r="I14" i="30"/>
  <c r="I31" i="30"/>
  <c r="H31" i="34"/>
  <c r="I31" i="34" s="1"/>
  <c r="I52" i="30"/>
  <c r="H52" i="34"/>
  <c r="I52" i="34" s="1"/>
  <c r="E68" i="34"/>
  <c r="F68" i="34" s="1"/>
  <c r="E47" i="34"/>
  <c r="F47" i="34" s="1"/>
  <c r="I62" i="34"/>
  <c r="I38" i="30"/>
  <c r="E82" i="34"/>
  <c r="F82" i="34" s="1"/>
  <c r="I79" i="30"/>
  <c r="I42" i="30"/>
  <c r="H27" i="34"/>
  <c r="I27" i="34" s="1"/>
  <c r="E25" i="34"/>
  <c r="F25" i="34" s="1"/>
  <c r="E32" i="34"/>
  <c r="F32" i="34" s="1"/>
  <c r="E28" i="34"/>
  <c r="F28" i="34" s="1"/>
  <c r="I62" i="30"/>
  <c r="H46" i="34"/>
  <c r="I46" i="34" s="1"/>
  <c r="E61" i="34"/>
  <c r="F61" i="34" s="1"/>
  <c r="H50" i="34"/>
  <c r="I50" i="34" s="1"/>
  <c r="I75" i="30"/>
  <c r="I40" i="34"/>
  <c r="E22" i="34"/>
  <c r="F22" i="34" s="1"/>
  <c r="E35" i="34"/>
  <c r="F35" i="34" s="1"/>
  <c r="E50" i="34"/>
  <c r="F50" i="34" s="1"/>
  <c r="H65" i="34"/>
  <c r="I65" i="34" s="1"/>
  <c r="E79" i="34"/>
  <c r="F79" i="34" s="1"/>
  <c r="H83" i="34"/>
  <c r="I83" i="34" s="1"/>
  <c r="I34" i="34"/>
  <c r="E77" i="34"/>
  <c r="F77" i="34" s="1"/>
  <c r="E49" i="34"/>
  <c r="F49" i="34" s="1"/>
  <c r="E69" i="34"/>
  <c r="F69" i="34" s="1"/>
  <c r="E39" i="34"/>
  <c r="F39" i="34" s="1"/>
  <c r="I43" i="30"/>
  <c r="H71" i="34"/>
  <c r="I71" i="34" s="1"/>
  <c r="E85" i="34"/>
  <c r="F85" i="34" s="1"/>
  <c r="I60" i="30"/>
  <c r="I53" i="34"/>
  <c r="G2" i="30"/>
  <c r="E60" i="34"/>
  <c r="F60" i="34" s="1"/>
  <c r="E43" i="34"/>
  <c r="F43" i="34" s="1"/>
  <c r="E15" i="34"/>
  <c r="F15" i="34" s="1"/>
  <c r="I61" i="34"/>
  <c r="H15" i="34"/>
  <c r="I15" i="34" s="1"/>
  <c r="H36" i="34"/>
  <c r="I36" i="34" s="1"/>
  <c r="H22" i="34"/>
  <c r="I22" i="34" s="1"/>
  <c r="I44" i="30"/>
  <c r="E33" i="34"/>
  <c r="F33" i="34" s="1"/>
  <c r="I70" i="30"/>
  <c r="I34" i="30"/>
  <c r="H39" i="34"/>
  <c r="I39" i="34" s="1"/>
  <c r="H26" i="34"/>
  <c r="I26" i="34" s="1"/>
  <c r="E23" i="34"/>
  <c r="F23" i="34" s="1"/>
  <c r="E65" i="34"/>
  <c r="F65" i="34" s="1"/>
  <c r="E12" i="34"/>
  <c r="F12" i="34" s="1"/>
  <c r="E66" i="34"/>
  <c r="F66" i="34" s="1"/>
  <c r="I18" i="30"/>
  <c r="H18" i="34"/>
  <c r="I18" i="34" s="1"/>
  <c r="I19" i="30"/>
  <c r="H19" i="34"/>
  <c r="I19" i="34" s="1"/>
  <c r="E11" i="34"/>
  <c r="F11" i="34" s="1"/>
  <c r="E59" i="34"/>
  <c r="F59" i="34" s="1"/>
  <c r="I59" i="34"/>
  <c r="E58" i="34"/>
  <c r="F58" i="34" s="1"/>
  <c r="I75" i="34"/>
  <c r="I47" i="30"/>
  <c r="E51" i="34"/>
  <c r="F51" i="34" s="1"/>
  <c r="H64" i="34"/>
  <c r="I64" i="34" s="1"/>
  <c r="H54" i="34"/>
  <c r="I54" i="34" s="1"/>
  <c r="H55" i="34"/>
  <c r="I55" i="34" s="1"/>
  <c r="E63" i="34"/>
  <c r="F63" i="34" s="1"/>
  <c r="I16" i="34"/>
  <c r="H13" i="34"/>
  <c r="I13" i="34" s="1"/>
  <c r="E80" i="34"/>
  <c r="F80" i="34" s="1"/>
  <c r="H80" i="34"/>
  <c r="I80" i="34" s="1"/>
  <c r="E45" i="34"/>
  <c r="F45" i="34" s="1"/>
  <c r="E44" i="34"/>
  <c r="F44" i="34" s="1"/>
  <c r="I41" i="34"/>
  <c r="E70" i="34"/>
  <c r="F70" i="34" s="1"/>
  <c r="E14" i="34"/>
  <c r="F14" i="34" s="1"/>
  <c r="I70" i="34"/>
  <c r="I37" i="34"/>
  <c r="H33" i="34"/>
  <c r="I33" i="34" s="1"/>
  <c r="I43" i="34"/>
  <c r="E26" i="34"/>
  <c r="F26" i="34" s="1"/>
  <c r="H25" i="34"/>
  <c r="I25" i="34" s="1"/>
  <c r="E36" i="34"/>
  <c r="F36" i="34" s="1"/>
  <c r="E13" i="34"/>
  <c r="F13" i="34" s="1"/>
  <c r="E18" i="34"/>
  <c r="F18" i="34" s="1"/>
  <c r="I30" i="34"/>
  <c r="E62" i="34"/>
  <c r="F62" i="34" s="1"/>
  <c r="E67" i="34"/>
  <c r="F67" i="34" s="1"/>
  <c r="I73" i="34"/>
  <c r="E31" i="34"/>
  <c r="F31" i="34" s="1"/>
  <c r="E73" i="34"/>
  <c r="F73" i="34" s="1"/>
  <c r="E38" i="34"/>
  <c r="F38" i="34" s="1"/>
  <c r="E81" i="34"/>
  <c r="F81" i="34" s="1"/>
  <c r="H66" i="34"/>
  <c r="I66" i="34" s="1"/>
  <c r="I16" i="30"/>
  <c r="E40" i="34"/>
  <c r="F40" i="34" s="1"/>
  <c r="H81" i="34"/>
  <c r="I81" i="34" s="1"/>
  <c r="H63" i="34"/>
  <c r="I63" i="34" s="1"/>
  <c r="I42" i="34"/>
  <c r="I21" i="34"/>
  <c r="I45" i="34"/>
  <c r="H84" i="34"/>
  <c r="I84" i="34" s="1"/>
  <c r="H74" i="34"/>
  <c r="I74" i="34" s="1"/>
  <c r="H32" i="34"/>
  <c r="I32" i="34" s="1"/>
  <c r="E46" i="34"/>
  <c r="F46" i="34" s="1"/>
  <c r="E37" i="34"/>
  <c r="F37" i="34" s="1"/>
  <c r="H29" i="34"/>
  <c r="I29" i="34" s="1"/>
  <c r="E30" i="34"/>
  <c r="F30" i="34" s="1"/>
  <c r="H77" i="34"/>
  <c r="I77" i="34" s="1"/>
  <c r="E72" i="34"/>
  <c r="F72" i="34" s="1"/>
  <c r="I24" i="30"/>
  <c r="E83" i="34"/>
  <c r="F83" i="34" s="1"/>
  <c r="E54" i="34"/>
  <c r="F54" i="34" s="1"/>
  <c r="I67" i="34"/>
  <c r="E42" i="34"/>
  <c r="F42" i="34" s="1"/>
  <c r="I60" i="34"/>
  <c r="E24" i="34"/>
  <c r="F24" i="34" s="1"/>
  <c r="I38" i="34"/>
  <c r="E52" i="34"/>
  <c r="F52" i="34" s="1"/>
  <c r="H49" i="34"/>
  <c r="I49" i="34" s="1"/>
  <c r="E75" i="34"/>
  <c r="F75" i="34" s="1"/>
  <c r="H17" i="34"/>
  <c r="I17" i="34" s="1"/>
  <c r="E78" i="34"/>
  <c r="F78" i="34" s="1"/>
  <c r="E56" i="34"/>
  <c r="F56" i="34" s="1"/>
  <c r="I28" i="34"/>
  <c r="E64" i="34"/>
  <c r="F64" i="34" s="1"/>
  <c r="H23" i="34"/>
  <c r="I23" i="34" s="1"/>
  <c r="I82" i="34"/>
  <c r="H58" i="34"/>
  <c r="I58" i="34" s="1"/>
  <c r="I58" i="29"/>
  <c r="H76" i="34"/>
  <c r="I76" i="34" s="1"/>
  <c r="I76" i="29"/>
  <c r="H51" i="34"/>
  <c r="I51" i="34" s="1"/>
  <c r="I51" i="29"/>
  <c r="H56" i="34"/>
  <c r="I56" i="34" s="1"/>
  <c r="I56" i="29"/>
  <c r="H57" i="34"/>
  <c r="I57" i="34" s="1"/>
  <c r="I57" i="29"/>
  <c r="H85" i="34"/>
  <c r="I85" i="34" s="1"/>
  <c r="I85" i="29"/>
  <c r="I21" i="1"/>
  <c r="I19" i="1"/>
  <c r="I24" i="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6" i="34" s="1"/>
  <c r="G7" i="1"/>
  <c r="G7" i="34" s="1"/>
  <c r="G5" i="1"/>
  <c r="G5" i="34" s="1"/>
  <c r="G4" i="1"/>
  <c r="B4" i="34" a="1"/>
  <c r="B4" i="34" s="1"/>
  <c r="A4" i="34" a="1"/>
  <c r="A4" i="34" s="1"/>
  <c r="A1" i="34" a="1"/>
  <c r="A1" i="34" s="1"/>
  <c r="D7" i="30"/>
  <c r="C7" i="30"/>
  <c r="D6" i="30"/>
  <c r="C6" i="30"/>
  <c r="D5" i="30"/>
  <c r="C5" i="30"/>
  <c r="D4" i="30"/>
  <c r="C4" i="30"/>
  <c r="D7" i="29"/>
  <c r="C7" i="29"/>
  <c r="D6" i="29"/>
  <c r="C6" i="29"/>
  <c r="D5" i="29"/>
  <c r="C5" i="29"/>
  <c r="D4" i="29"/>
  <c r="C4" i="29"/>
  <c r="B4" i="30" a="1"/>
  <c r="B4" i="30" s="1"/>
  <c r="A1" i="30" a="1"/>
  <c r="A1" i="30" s="1"/>
  <c r="B4" i="29" a="1"/>
  <c r="B4" i="29" s="1"/>
  <c r="A4" i="29" a="1"/>
  <c r="A4" i="29" s="1"/>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A1" i="32" a="1"/>
  <c r="A1" i="32" s="1"/>
  <c r="H12" i="31"/>
  <c r="H11" i="31"/>
  <c r="H10" i="31"/>
  <c r="H9" i="31"/>
  <c r="H8" i="31"/>
  <c r="H7" i="31"/>
  <c r="I7" i="31" s="1"/>
  <c r="H6" i="31"/>
  <c r="I6" i="31" s="1"/>
  <c r="H5" i="31"/>
  <c r="I5" i="31" s="1"/>
  <c r="E5" i="31"/>
  <c r="F5" i="31" s="1"/>
  <c r="H4" i="31"/>
  <c r="I4" i="31" s="1"/>
  <c r="E4" i="31"/>
  <c r="F4" i="31" s="1"/>
  <c r="A1" i="31" a="1"/>
  <c r="A1" i="31" s="1"/>
  <c r="I12" i="28"/>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5" i="27"/>
  <c r="I5" i="27" s="1"/>
  <c r="F5" i="27"/>
  <c r="H4" i="27"/>
  <c r="I4" i="27" s="1"/>
  <c r="E4" i="27"/>
  <c r="F4" i="27" s="1"/>
  <c r="G2" i="27"/>
  <c r="D2" i="27"/>
  <c r="C2" i="27"/>
  <c r="A1" i="27" a="1"/>
  <c r="A1" i="27" s="1"/>
  <c r="H12" i="26"/>
  <c r="H12" i="29" s="1"/>
  <c r="H11" i="26"/>
  <c r="H10" i="26"/>
  <c r="H9" i="26"/>
  <c r="H8" i="26"/>
  <c r="H6" i="26"/>
  <c r="H5" i="26"/>
  <c r="I5" i="26" s="1"/>
  <c r="E5" i="26"/>
  <c r="F5" i="26" s="1"/>
  <c r="H4" i="26"/>
  <c r="I4" i="26" s="1"/>
  <c r="E4" i="26"/>
  <c r="F4" i="26" s="1"/>
  <c r="G2" i="26"/>
  <c r="D2" i="26"/>
  <c r="C2" i="26"/>
  <c r="A1" i="26" a="1"/>
  <c r="A1" i="26" s="1"/>
  <c r="H12" i="19"/>
  <c r="I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5" i="72"/>
  <c r="I5" i="72" s="1"/>
  <c r="H4" i="72"/>
  <c r="I4" i="72" s="1"/>
  <c r="G2" i="72"/>
  <c r="D2" i="72"/>
  <c r="C2" i="72"/>
  <c r="J2" i="72" s="1"/>
  <c r="A1" i="72" a="1"/>
  <c r="A1" i="72" s="1"/>
  <c r="G4" i="34" l="1"/>
  <c r="G2" i="1"/>
  <c r="D2" i="1"/>
  <c r="C2" i="29"/>
  <c r="D2" i="29"/>
  <c r="C2" i="1"/>
  <c r="G2" i="34"/>
  <c r="C2" i="30"/>
  <c r="D2" i="30"/>
  <c r="C6" i="34"/>
  <c r="D6" i="34"/>
  <c r="C7" i="34"/>
  <c r="D7" i="34"/>
  <c r="I8" i="31"/>
  <c r="H8" i="30"/>
  <c r="I8" i="30" s="1"/>
  <c r="I9" i="31"/>
  <c r="H9" i="30"/>
  <c r="I9" i="30" s="1"/>
  <c r="I10" i="31"/>
  <c r="H10" i="30"/>
  <c r="I10" i="30" s="1"/>
  <c r="I11" i="31"/>
  <c r="H11" i="30"/>
  <c r="I11" i="30" s="1"/>
  <c r="I12" i="31"/>
  <c r="H12" i="30"/>
  <c r="I12" i="30" s="1"/>
  <c r="H9" i="29"/>
  <c r="I12" i="29"/>
  <c r="I8" i="26"/>
  <c r="H8" i="29"/>
  <c r="I11" i="26"/>
  <c r="H11" i="29"/>
  <c r="I10" i="26"/>
  <c r="H10" i="29"/>
  <c r="I8" i="21"/>
  <c r="H8" i="18"/>
  <c r="I9" i="21"/>
  <c r="H9" i="18"/>
  <c r="I12" i="21"/>
  <c r="H12" i="18"/>
  <c r="I11" i="21"/>
  <c r="H11" i="18"/>
  <c r="I10" i="21"/>
  <c r="H10" i="18"/>
  <c r="C5" i="34"/>
  <c r="D5" i="34"/>
  <c r="H6" i="29"/>
  <c r="E7" i="18"/>
  <c r="F7" i="18" s="1"/>
  <c r="D4" i="34"/>
  <c r="H6" i="30"/>
  <c r="H7" i="29"/>
  <c r="E4" i="18"/>
  <c r="F4" i="18" s="1"/>
  <c r="E4" i="30"/>
  <c r="F4" i="30" s="1"/>
  <c r="E5" i="18"/>
  <c r="F5" i="18" s="1"/>
  <c r="E5" i="29"/>
  <c r="F5" i="29" s="1"/>
  <c r="E5" i="30"/>
  <c r="F5" i="30" s="1"/>
  <c r="E6" i="18"/>
  <c r="F6" i="18" s="1"/>
  <c r="E6" i="29"/>
  <c r="F6" i="29" s="1"/>
  <c r="E6" i="30"/>
  <c r="F6" i="30"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E5" i="1"/>
  <c r="F5" i="1" s="1"/>
  <c r="E6" i="1"/>
  <c r="F6" i="1" s="1"/>
  <c r="H4" i="30"/>
  <c r="I4" i="30" s="1"/>
  <c r="E7" i="30"/>
  <c r="F7" i="30" s="1"/>
  <c r="H7" i="30"/>
  <c r="H5" i="30"/>
  <c r="E7" i="29"/>
  <c r="F7" i="29" s="1"/>
  <c r="I6" i="26"/>
  <c r="I9" i="26"/>
  <c r="I12" i="26"/>
  <c r="H4" i="29"/>
  <c r="I4" i="29" s="1"/>
  <c r="H5" i="29"/>
  <c r="I5" i="29" s="1"/>
  <c r="H6" i="18"/>
  <c r="I6" i="18" s="1"/>
  <c r="H4" i="18"/>
  <c r="I4" i="18" s="1"/>
  <c r="H7" i="18"/>
  <c r="I7" i="18" s="1"/>
  <c r="C4" i="34"/>
  <c r="H5" i="18"/>
  <c r="I5" i="18" s="1"/>
  <c r="E4" i="29"/>
  <c r="F4" i="29" s="1"/>
  <c r="H7" i="1"/>
  <c r="I7" i="1" s="1"/>
  <c r="H4" i="1"/>
  <c r="H5" i="1"/>
  <c r="I5" i="1" s="1"/>
  <c r="H6" i="1"/>
  <c r="I6" i="1" s="1"/>
  <c r="E2" i="3"/>
  <c r="F2" i="3" s="1"/>
  <c r="E4" i="1"/>
  <c r="F4" i="1" s="1"/>
  <c r="E2" i="33"/>
  <c r="F2" i="33" s="1"/>
  <c r="E2" i="32"/>
  <c r="F2" i="32" s="1"/>
  <c r="E2" i="31"/>
  <c r="F2" i="31" s="1"/>
  <c r="E2" i="27"/>
  <c r="F2" i="27" s="1"/>
  <c r="E2" i="26"/>
  <c r="F2" i="26" s="1"/>
  <c r="E2" i="19"/>
  <c r="F2" i="19" s="1"/>
  <c r="E2" i="21"/>
  <c r="F2" i="21" s="1"/>
  <c r="E2" i="4"/>
  <c r="F2" i="4" s="1"/>
  <c r="H2" i="72"/>
  <c r="C2" i="34" l="1"/>
  <c r="D2" i="34"/>
  <c r="E7" i="34"/>
  <c r="F7" i="34" s="1"/>
  <c r="H12" i="34"/>
  <c r="I12" i="34" s="1"/>
  <c r="E6" i="34"/>
  <c r="F6" i="34" s="1"/>
  <c r="I7" i="29"/>
  <c r="H7" i="34"/>
  <c r="I7" i="34" s="1"/>
  <c r="I6" i="29"/>
  <c r="H6" i="34"/>
  <c r="I6" i="34" s="1"/>
  <c r="I8" i="29"/>
  <c r="H8" i="34"/>
  <c r="I8" i="34" s="1"/>
  <c r="I9" i="29"/>
  <c r="H9" i="34"/>
  <c r="I9" i="34" s="1"/>
  <c r="I11" i="29"/>
  <c r="H11" i="34"/>
  <c r="I11" i="34" s="1"/>
  <c r="I10" i="29"/>
  <c r="H10" i="34"/>
  <c r="I10" i="34" s="1"/>
  <c r="I8" i="18"/>
  <c r="I9" i="18"/>
  <c r="I12" i="18"/>
  <c r="I11" i="18"/>
  <c r="I10" i="18"/>
  <c r="E5" i="34"/>
  <c r="F5" i="34" s="1"/>
  <c r="I5" i="30"/>
  <c r="H5" i="34"/>
  <c r="I5" i="34" s="1"/>
  <c r="I7" i="30"/>
  <c r="I6" i="30"/>
  <c r="E2" i="29"/>
  <c r="F2" i="29" s="1"/>
  <c r="E4" i="34"/>
  <c r="F4" i="34" s="1"/>
  <c r="H2" i="1"/>
  <c r="I2" i="1" s="1"/>
  <c r="I4" i="1"/>
  <c r="H4" i="34"/>
  <c r="I4" i="34" s="1"/>
  <c r="H2" i="29"/>
  <c r="I2" i="29" s="1"/>
  <c r="H2" i="30"/>
  <c r="I2" i="30" s="1"/>
  <c r="E2" i="30"/>
  <c r="F2" i="30" s="1"/>
  <c r="H2" i="18"/>
  <c r="I2" i="18" s="1"/>
  <c r="E2" i="18"/>
  <c r="F2" i="18" s="1"/>
  <c r="E2" i="1"/>
  <c r="F2" i="1" s="1"/>
  <c r="I2" i="72"/>
  <c r="E2" i="72"/>
  <c r="F2" i="72" s="1"/>
  <c r="I2" i="34" l="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<sst xmlns="http://schemas.openxmlformats.org/spreadsheetml/2006/main" count="933" uniqueCount="479">
  <si>
    <t>Year to Date Actual v. Expected</t>
  </si>
  <si>
    <t>Year to Date Actual v. Forecasted</t>
  </si>
  <si>
    <t>Total</t>
  </si>
  <si>
    <t>n</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</si>
  <si>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</si>
  <si>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</si>
  <si>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</si>
  <si>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</si>
  <si>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</si>
  <si>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</si>
  <si>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</si>
  <si>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</si>
  <si>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</si>
  <si>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</si>
  <si>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</si>
  <si>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</si>
  <si>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</si>
  <si>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</si>
  <si>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</si>
  <si>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</si>
  <si>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</si>
  <si>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</si>
  <si>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</si>
  <si>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Ststus</t>
  </si>
  <si>
    <t>N/A</t>
  </si>
  <si>
    <t>1. Inverter 12 was significantly affected by shading, resulting in a 6 kW reduction in output. This issue is more likely to occur on high irradiance days throughout the month.
2.  Inverters 3, 4, 8, 9, 10, 13 have heavy shading in morning hours.</t>
  </si>
  <si>
    <t>1. SR099290</t>
  </si>
  <si>
    <t>1. Closed</t>
  </si>
  <si>
    <t>1.  Inverter I was offline for whole month.
2. Inverters N, P and O were offline for whole month.
3. Inverter 4 1 string was down for whole month.</t>
  </si>
  <si>
    <t>1.  SR105924
2. SR105701
3. SR105688</t>
  </si>
  <si>
    <t>1.Pending
2.Denied
3.Pending</t>
  </si>
  <si>
    <t>SR105701</t>
  </si>
  <si>
    <t>SR105688</t>
  </si>
  <si>
    <t>1. Site production was low from 01/01 to 01/06, 01/11, 01/09 to 01/21, 01/25 to 01/31 due to snow.</t>
  </si>
  <si>
    <t>1.Site is not producing since 01/26 till end of the month due to snow and inverter without communication cannot confirm production.</t>
  </si>
  <si>
    <t>1.SR115692</t>
  </si>
  <si>
    <t>1.Pending</t>
  </si>
  <si>
    <t>1. Site was barely producing from 01/25 to 01/31 due to snow.
2. Inverter 1 was offline from 07:00 to 17:00 on 01/15.
3.3 Modules need to be replaced.</t>
  </si>
  <si>
    <t>2. SR114624
3.SR110158</t>
  </si>
  <si>
    <t>2. pending
3.Pending</t>
  </si>
  <si>
    <t>SR110158</t>
  </si>
  <si>
    <t>1. All inverters have heavy seasonal shading which impacting production.</t>
  </si>
  <si>
    <t>1. All inverters have heavy seasonal shading which impacting production.
2. Site production was low due to snow</t>
  </si>
  <si>
    <t>1. Inverters 3 and 4 have heavey shading in the morning.</t>
  </si>
  <si>
    <t>1. Site production was low due to snow</t>
  </si>
  <si>
    <t>1. All inverters have heavy seasonal shading which impacting production.
2. Site production was low due to snow
3.Inverter 3 was derating at 40kW for whole month.</t>
  </si>
  <si>
    <t xml:space="preserve">
3. SR108311</t>
  </si>
  <si>
    <t xml:space="preserve">
3. Closed</t>
  </si>
  <si>
    <t xml:space="preserve">                   N/A</t>
  </si>
  <si>
    <t>1. Inverter 16 was offline for whole month.
2. Inverter 34 was offline for whole month.</t>
  </si>
  <si>
    <t>1. SR109222
2. SR108705</t>
  </si>
  <si>
    <t>1. Pending
2. Pending</t>
  </si>
  <si>
    <t>SR108705</t>
  </si>
  <si>
    <t>1. Inverter 6 has heavy shading in the morning.</t>
  </si>
  <si>
    <t>1.Inverters 9, 12, &amp; 18 were offline for whole month.
2. Inverter 6 was offline for whole month.
3. Inverter 5 was offline for whole month.</t>
  </si>
  <si>
    <t xml:space="preserve">1. SR098076
2. SR110133
3. SR107579
</t>
  </si>
  <si>
    <t xml:space="preserve">1. closed
2. Closed
3. closed
</t>
  </si>
  <si>
    <t>SR110133</t>
  </si>
  <si>
    <t>SR107579</t>
  </si>
  <si>
    <t xml:space="preserve">1. Inverters 5 and 7 are derating at 10kW during Peak hours for whole month.
</t>
  </si>
  <si>
    <t>1. SR108704</t>
  </si>
  <si>
    <t>1. Pending</t>
  </si>
  <si>
    <t>1. Inverters 1 and 7 were offline for whole month.
2. Inverter 3 one string was down for whole month.
3. Inverters 4 and 10 were offline for whole month.
4. Meter data was back filled  from last communicated to till now in January.Actual values are taken from total inverters production data.</t>
  </si>
  <si>
    <t>1.SR106483, SR106514
2. SR104354
3. SR106806
4. SR107509</t>
  </si>
  <si>
    <t>1. Pending
2. Closed
3. Pending
4. Closed</t>
  </si>
  <si>
    <t>SR106514</t>
  </si>
  <si>
    <t>SR104354</t>
  </si>
  <si>
    <t>SR106806</t>
  </si>
  <si>
    <t>SR107509</t>
  </si>
  <si>
    <t>1. Inverter 3 RCD board being RMA'd.
2. Inverter 2 6 fuse holders were damaged.
3. Inverter 1 6 fuse holders were damaged.</t>
  </si>
  <si>
    <t>1. SR109147
2.,SR112641
3. SE112640</t>
  </si>
  <si>
    <t xml:space="preserve">1. Closed
2. Pending
3. Pending
</t>
  </si>
  <si>
    <t>SR112641</t>
  </si>
  <si>
    <t xml:space="preserve">                                                                                                                                                                                                                                                                                                                                                                                                                                                                                                                                                                                                                                                                                      </t>
  </si>
  <si>
    <t xml:space="preserve">1. Meter was not communicated for whole month but, production was verified at inverters.Actual values are taken from total inverters production data.
</t>
  </si>
  <si>
    <t xml:space="preserve">1. SR105489
</t>
  </si>
  <si>
    <t xml:space="preserve">1. Pending
</t>
  </si>
  <si>
    <t>1.Inverter 2  was offline from 12/18 and back online at 14:45 on 01/07.</t>
  </si>
  <si>
    <t>1.SR113188</t>
  </si>
  <si>
    <t>1.Closed</t>
  </si>
  <si>
    <t>1. Actual vs expected delta is showing 16% due to expected energy recording low possibly due to data glitch (similar event observe last 2 years).</t>
  </si>
  <si>
    <t>1. Multiple broken modules need to be replaced.</t>
  </si>
  <si>
    <t>1. SR104781</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</si>
  <si>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</si>
  <si>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 xml:space="preserve">1. 2 Modules need to be replaced.
</t>
  </si>
  <si>
    <t>1. SR106508</t>
  </si>
  <si>
    <t>1. 22 modules need to be replaced.</t>
  </si>
  <si>
    <t>1. SR105762</t>
  </si>
  <si>
    <t>1.Site production was low on 01/08 &amp; 01/09</t>
  </si>
  <si>
    <t>1. Inverter 2 was offline from 12/31 to 13:15 on 01/28.
2. CB1  2 strings were offline for whole moth.</t>
  </si>
  <si>
    <t>1. SR113922
2. SR114083</t>
  </si>
  <si>
    <t>1. closed
2. Pending</t>
  </si>
  <si>
    <t>SR114083</t>
  </si>
  <si>
    <t>1. Both inverters were underproducing due to multiple modules were burnt out and broken.</t>
  </si>
  <si>
    <t>1. SR101818</t>
  </si>
  <si>
    <t>1. Inverter B started underperforming by 1/3rd on 11/19 to end of the month.
2. The POA has been reading 0 W/m2 since 08/01/23 to end of the month.</t>
  </si>
  <si>
    <t>1. SR111395
2. SR101034</t>
  </si>
  <si>
    <t>SR101034</t>
  </si>
  <si>
    <t xml:space="preserve">1.  The anemometer SE 03 has stopped communicating from 10/14/23.
</t>
  </si>
  <si>
    <t xml:space="preserve">1. SR101021
</t>
  </si>
  <si>
    <t>1. Weather station was not communicated for whole month.
2. 4 modules need to be replaced.</t>
  </si>
  <si>
    <t>1. SR100915
2. SR104930</t>
  </si>
  <si>
    <t>1. Closed
2. Pending</t>
  </si>
  <si>
    <t>SR104930</t>
  </si>
  <si>
    <t>1. CB 1.2 has 2 strings down.
2. 10 modules need to be replaced.</t>
  </si>
  <si>
    <t>1. SR105369
2. SR105366</t>
  </si>
  <si>
    <t>1. Work in progress
2. Pending</t>
  </si>
  <si>
    <t>SR105366</t>
  </si>
  <si>
    <t>1.  Inverters E2, E4, and G4 were offline for whole month and  inverter A3, 2 strings down 0 voltage since 07/25. Inverter A2 1 string down 0 voltage.
2. Inverter B1 has a history of late starts most of the days in month
3. Inverter D2 was underproducing by about 5kw for whole month.</t>
  </si>
  <si>
    <t>1. SR105192
2. SR106435, SR106650
3. SR113923</t>
  </si>
  <si>
    <t>1. Pending
2. Pending 
3. Pending</t>
  </si>
  <si>
    <t>SR106435</t>
  </si>
  <si>
    <t>SR106650</t>
  </si>
  <si>
    <t>SR113923</t>
  </si>
  <si>
    <t>1. Inverter 3 offline from 3/19/25 and LOTOd.  inverter 1 offline from 3/18/25. inverter 2 offline from 3/18/25. inverter 4 was offline since 8/28/25.</t>
  </si>
  <si>
    <t>1. SR102419, SR105494, SR107209</t>
  </si>
  <si>
    <t>1. Closed, Closed,  Pending</t>
  </si>
  <si>
    <t>SR105494</t>
  </si>
  <si>
    <t>SR107209</t>
  </si>
  <si>
    <t>1. Inverter A was offline for almost for whole month.
2. Inverter G was offline almost for whole month.
3. Inverter E was offline for whole month.
4. Inverter F has late starting issue.</t>
  </si>
  <si>
    <t>1. SR108846
2. SR109533
3. SR102283</t>
  </si>
  <si>
    <t>1. Pending
2. Pending
3. Denied</t>
  </si>
  <si>
    <t>SR109533</t>
  </si>
  <si>
    <t>SR102283</t>
  </si>
  <si>
    <t>1.  Inverter C and E offline and LOTOd during PM on 11/18/24. Inverters A,B,D are not communicating from 3/6/25 according to the meter 1 of these inverters is offline.</t>
  </si>
  <si>
    <t>1. SR102418</t>
  </si>
  <si>
    <t>1. Denied</t>
  </si>
  <si>
    <t>1. Inverters F and H were LOTOd from 06/14 and Inverters A,B,C,D,E,G not communicating from 9/19/24  according to meter 3 of these inverters are offline.</t>
  </si>
  <si>
    <t>1. SR102416, SR105908</t>
  </si>
  <si>
    <t>1. pending</t>
  </si>
  <si>
    <t>SR105908</t>
  </si>
  <si>
    <t>1.Inverters A, C and D were offline for whole month.</t>
  </si>
  <si>
    <t>1. SR102392</t>
  </si>
  <si>
    <t>1. Inverter B-2 offline from 2/28/25 and LOTO'd ". Inverter D-4 offline from 2/28/25 and LOTO'd. Inverter  8 offline 5/6/25 was replaced but not communicating. inverter I-9 offline from 5/17/25. inverter 10 underperforming by 10 kW. Inverter F-6 was offline.
2.Inverter C3 was offline throughout the month.
3.POA data inaccurate. Reading a constant 1237.82 W/m2 intermittently.
4.Inverter K11 was offline since  07/23.</t>
  </si>
  <si>
    <t>1.SR102321
2.SR103636
3.SR102539
4.SR104882</t>
  </si>
  <si>
    <t>1. Denied
2. Denied
3. Denied
4. pending</t>
  </si>
  <si>
    <t>SR103636</t>
  </si>
  <si>
    <t>SR102539</t>
  </si>
  <si>
    <t>SR104882</t>
  </si>
  <si>
    <t xml:space="preserve">1. Inverters A, D, C were offline and LOTO'd for whole month. </t>
  </si>
  <si>
    <t>1.SR102320</t>
  </si>
  <si>
    <t>1.  inverter B,E offline (LOTO'd from 9/27/24) no faults reported. Inverter D offline (unknown reason) no faults reported. Inverter C underperforming by 8kW.</t>
  </si>
  <si>
    <t>1. SR102317</t>
  </si>
  <si>
    <t>1. Inverter J tripped offline at 14:00 on 09/18 and reporting "arc fault" and remained offline through out the month.
2. Inverter F was offline at 07:00 on 09/20 and remained offline through out the month.
3. Inverters M, L, and D are starting late throughout the month.
4. Inverter A was offline from 02:45 on 12/17 to end of the month.
5. Inverter G tripped offline at 10:30 on 01/06 to end of the month.
6. Inverter E was offline at 07:00 on 01/14 and back online at 07:00 on 01/15.</t>
  </si>
  <si>
    <t>1. SR108297, SR108307
2. SR108307
3. SR109599
4. SR113148
5. SR114305
6. SR114561</t>
  </si>
  <si>
    <t>1. pending
2. Pending
3. Pending
4. Pending
5. Pending
6. Pending</t>
  </si>
  <si>
    <t>SR108307</t>
  </si>
  <si>
    <t>SR109599</t>
  </si>
  <si>
    <t>SR113148</t>
  </si>
  <si>
    <t>SR114305</t>
  </si>
  <si>
    <t>SR114561</t>
  </si>
  <si>
    <t>1.Inverter 14 tripped offline at 12:45 on 07/03.  Inverters 2, 3, 15,17, 20, 24, 26, 27, were offline and LOTO'd. Inverter 2 underperforming by 13kW. Inverter 8 underperforming by 17kW. Inverter 5 underperforming by 10kW. Inverter 6 underperforming by 9 kW. Inverter 11, 14 underperforming by 5kW. and remaining inverters are under RMA'd.
2. Inverter 6 was tripping on and Off throughout the month.
3. Inverter 16 has tripped offline 11:00 on 01/18 and remained offline for rest of the month.</t>
  </si>
  <si>
    <t>1. SR102286, SR111280
2. SR107512
3. SR115327</t>
  </si>
  <si>
    <t>1. pending
2. pending 
3. Pending</t>
  </si>
  <si>
    <t>SR111280</t>
  </si>
  <si>
    <t>SR107512</t>
  </si>
  <si>
    <t>SR115327</t>
  </si>
  <si>
    <t xml:space="preserve">1. Inverter 3 was underperforming by 5kW, likely down a string. Inverter 4, 5 derating by 8kW and reporting external fan error for whole month.  
</t>
  </si>
  <si>
    <t>1. SR102281</t>
  </si>
  <si>
    <t>1.  Inverter 3 is underperforming by 10 kW for whole month.</t>
  </si>
  <si>
    <t>1. SR109629</t>
  </si>
  <si>
    <t>1. Inverter E2.04 was derating due to a fan fault for whole month.</t>
  </si>
  <si>
    <t>1. SR101986, SR102503</t>
  </si>
  <si>
    <t>SR102503</t>
  </si>
  <si>
    <t>1.  Inverter A, B, G offline from 2/20/25 and LOTOd.  Inverter D, E, F, I offline from 2/20/25 and LOTOd.</t>
  </si>
  <si>
    <t>1. SR102451</t>
  </si>
  <si>
    <t>1. Inverter B-2 offline from 2/28/25 and LOTO'd ". Inverter D-4 offline from 2/28/25 and LOTO'd. Inverter  8 offline 5/6/25 was replaced but not communicating. inverter I-9 offline from 5/17/25. inverter 10 underperforming by 10 kW. Inverter F-6 was offline.
2. Inverter C3 was  tripped offline at 15:45, reporting "Arc Fault" and remained  throughout the month.
3. POA data inaccurate. Reading a constant 1237.82 W/m2 intermittently.
4. Inverter K11 was offline since  07/23 and remained throughout the month.
5. Inverter 12 has tripped offline at 07:00 on 01/30  and remained throughout the month.</t>
  </si>
  <si>
    <t>1. SR102321, SR108902
2. SR103636
3. SR102539
4. SR104882</t>
  </si>
  <si>
    <t xml:space="preserve">1. Closed
2. Denied
3. Denied
4. Pending </t>
  </si>
  <si>
    <t>SR108902</t>
  </si>
  <si>
    <t>1. Inverter 17, H 21, I 22, L 25, O 28, 30, R 31, S 32  were offline and LOTO'd. Inverter 26 underperforming by 12kW for whole month. Inverter J - 23 underperforming by 4 kW. 
2. Inverters G and P were undeperforming by 4kw each throughout the month.
3. Inverter J23 tripped offline at 12:45 on 10/07 and remained offline for the rest of the months.
4. Inverter M26 is offline at 17:00 on 01/03, reporting "insulation resistance low" later self resolved and back online at 09:15 on 01/05.
5. Inverter 14 was tripped offline at 13:00 on 01/06, Reporting "arc fault" and remained offline for rest of the month.
6. Inverter 25 was tripped offline at 15:00 on 01/18, Reporting "arc fault" and remained offline for rest of the month.</t>
  </si>
  <si>
    <t>1. SR102329, SR108904, SR112399
2. SR106828
3. SR109164, SR108904
4. SR114119
5. SR114307
6. SR114833</t>
  </si>
  <si>
    <t>1. pending
2. pending
3. Closed
4. Closed
5. Pending
6. Pending</t>
  </si>
  <si>
    <t>SR108904</t>
  </si>
  <si>
    <t>SR112399</t>
  </si>
  <si>
    <t>SR106828</t>
  </si>
  <si>
    <t>SR109164</t>
  </si>
  <si>
    <t>SR114119</t>
  </si>
  <si>
    <t>SR114307</t>
  </si>
  <si>
    <t>SR114833</t>
  </si>
  <si>
    <t xml:space="preserve">1. Inverter 30 offline for whole month. Inverter 33 underperforming by 7 kW each for whole month. Inverter 31 underperforming by 18 kW for whole month.
</t>
  </si>
  <si>
    <t xml:space="preserve">1. SR102303, SR111390
</t>
  </si>
  <si>
    <t xml:space="preserve">1. Pending 
</t>
  </si>
  <si>
    <t>SR111390</t>
  </si>
  <si>
    <t>1. Inverters 1, 7, 8, 10, 11, 12, 13 were offline and LOTO'd. Inverter 4 underperforming by 5 kW. inverter 3 underperforming by 10kW.Inverter 9 was offline since 07/23.
2. Inverter D has tripped offline at 12:00 on 01/22, reporting "Arc Fault" and remained offline for the rest of the month.</t>
  </si>
  <si>
    <t>1. SR102411, SR111741
2. SR115085</t>
  </si>
  <si>
    <t xml:space="preserve">1. Closed
2. pending </t>
  </si>
  <si>
    <t>SR111741</t>
  </si>
  <si>
    <t>SR115085</t>
  </si>
  <si>
    <t>1. Inverter 4 is underproducing by approximately 12kW  and inverter 3 is underproducing by 3kW compared to it peer inverters whole month.
2. Inverter B has tripped offline at 12:00 on 11/19 due to grid undervoltage and remained offline for the rest of the month.
3. Inverter A went offline at 07:00 on 01/01 and later self-resolved, coming back online at 07:00 on 01/02. and again tripped offline at 07:00 on 01/07 and remained offline for the rest of the month.</t>
  </si>
  <si>
    <t>1. SR106531
2. SR111359
3. SR112903, SR114900</t>
  </si>
  <si>
    <t>SR111359</t>
  </si>
  <si>
    <t>SR112903</t>
  </si>
  <si>
    <t>SR114900</t>
  </si>
  <si>
    <t>1. Inverter D tripped offline at 12:45pdt on 09/24 reporting "Arc Fault".
2. Inverters A,C,D,E,F,G, H were offline and LOTO'd.</t>
  </si>
  <si>
    <t>1. SR108501
2. SR107991,
SR102310</t>
  </si>
  <si>
    <t>1. pending
2. Closed</t>
  </si>
  <si>
    <t>SR107991</t>
  </si>
  <si>
    <t>SR102310</t>
  </si>
  <si>
    <t>1. Inverter 1 underperforming by 4kW from 07/10 due to 1 string down.</t>
  </si>
  <si>
    <t>1. SR104289</t>
  </si>
  <si>
    <t xml:space="preserve">1. Inverters A,C,J,  were offline and LOTO'd. Inverter I was offline for whole month.  Inverter B,D,E,F,G,H are not communicating from 6/14/24; meter indicates 5 of these inverters are offline.
2. Weather station reading erroneous values since 10/07.
</t>
  </si>
  <si>
    <t>1. SR102450, SR112667
2. SR110375</t>
  </si>
  <si>
    <t>SR112667</t>
  </si>
  <si>
    <t>SR110375</t>
  </si>
  <si>
    <t>1. Inverters 19, 20,21, 26 were offline for whole month and LOTO'd . Inverter 22,23 underperforming by 13 kW each through out the month.</t>
  </si>
  <si>
    <t>1.SR102413, SR108898,SR113594</t>
  </si>
  <si>
    <t>SR108898</t>
  </si>
  <si>
    <t>SR113594</t>
  </si>
  <si>
    <t>1.Inverters A, B, C are underperforming by 50% and  Inverter G is underperforming by 3 kW - possibly soiling.
2.Inverters D, F, H were offline. for whole month.</t>
  </si>
  <si>
    <t>1. SR106842
2. SR102425</t>
  </si>
  <si>
    <t xml:space="preserve">1. pending
2. Denied
</t>
  </si>
  <si>
    <t>SR102425</t>
  </si>
  <si>
    <t>1. Zone 1.6, 2.13, 2.14 are reporting -50 amps. Zone 1.7 is reporting 30 amps higher than expected. Zone 2.9 is reporting 70 amps higher than expected. Possible CT issues reached out to Also Energy.
2. Zone 1.1 has been operating at 3 kW since 09:00 on 07/10.
3. Site was offline at 11:00 on 01/12 due to fire at the site and remained offline for the rest of the month.</t>
  </si>
  <si>
    <t>1. SR102820
2. SR104290
3. SR114471, SR114639</t>
  </si>
  <si>
    <t xml:space="preserve">1. Denied
2. pending 
3. pending </t>
  </si>
  <si>
    <t>SR104290</t>
  </si>
  <si>
    <t>SR114471</t>
  </si>
  <si>
    <t>SR114639</t>
  </si>
  <si>
    <t xml:space="preserve">1. Inverters B, C, and E have been offline due to "Arc Fault" and LOTO'd since 08/30/24. Inverter D has been offline due to "Arc Fault" since 06/19/24.
</t>
  </si>
  <si>
    <t xml:space="preserve">1. SR102424, SR112051
</t>
  </si>
  <si>
    <t xml:space="preserve">1. Closed
</t>
  </si>
  <si>
    <t>SR112051</t>
  </si>
  <si>
    <t>1. Inverter A has been offline and LOTO'd since 06/14/2024. Inverter D has been offline since 05/30/2025 due to an 'Arc Fault.
2. Inverter B was starting late on most days throughout the month. Additionally, Inverter B tripped offline at 11:40 on 01/03 due to an Arc Fault and remained offline for the rest of the month.</t>
  </si>
  <si>
    <t>1. SR102423
2. SR108298</t>
  </si>
  <si>
    <t xml:space="preserve">1. Denied
2. pending </t>
  </si>
  <si>
    <t>SR108298</t>
  </si>
  <si>
    <t xml:space="preserve">1. Inverters A, B, E, and G are offline due to "Arc Fault" and have been LOTO'd since 11/26. Inverter C is also offline and LOTO'd since 11/26/24.
</t>
  </si>
  <si>
    <t xml:space="preserve">1. SR102421, SR108404
</t>
  </si>
  <si>
    <t>SR108404</t>
  </si>
  <si>
    <t>1. Inverter D,H,K were underperforming by 6 kW each since 06/03; possible string down.
2. Inverter F started late on most days during the month.</t>
  </si>
  <si>
    <t xml:space="preserve">1. SR102420, SR109601
2. SR109601
</t>
  </si>
  <si>
    <t xml:space="preserve">1. pending
2. Pending
</t>
  </si>
  <si>
    <t>SR109601</t>
  </si>
  <si>
    <t>1. Inverter 9 was derating by 30kw since 09/23 and reporting external fan error.
2. Inverter 3 was derating at 40kw since 11:00 on 08/20 reporting "external fan error".
3. Inverter 12 has been derating by 40 kW due to an 'External Fan Fault' since 08/30 and futher trobleshooting is required.
4. inverter 5 derating midday by 20kW and reporting "external fan error" from 10/26.</t>
  </si>
  <si>
    <t>1. SR108494
2. SR106851
3. SR107231
4. SR110121</t>
  </si>
  <si>
    <t xml:space="preserve">1. pending
2. Pending
3. Pending
4. Pending
</t>
  </si>
  <si>
    <t>SR106851</t>
  </si>
  <si>
    <t>SR107231</t>
  </si>
  <si>
    <t>SR110121</t>
  </si>
  <si>
    <t>1. Inverter 1 was derating by 50 kW and reporting a ‘Real Time Clock Error’ after the technician replaced the fan. The inverter is now producing as expected.
2. Inverter 3 and meter 3 was offline at 13:00 on 01/01 and back online at 16:00 on 01/02.</t>
  </si>
  <si>
    <t>1. SR108282,
SR103868
2. SR114048</t>
  </si>
  <si>
    <t>1. Closed
2. Closed</t>
  </si>
  <si>
    <t>SR103868</t>
  </si>
  <si>
    <t>SR114048</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</si>
  <si>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
2. Inverter 19 tripped offline at 10:45 on 10/27 and reported an ‘Interlock Fail.’ It remained offline throughout the month, and the inverter is currently under RMA.</t>
  </si>
  <si>
    <t>1. SR103867
2. SR110350, SR114316</t>
  </si>
  <si>
    <t>SR110350</t>
  </si>
  <si>
    <t>SR114316</t>
  </si>
  <si>
    <t>1. Inverter 1 has been offline due to a 'Ground Fault' throughout the month. Additionally, Inverters 2 to 4 and 7 have not been communicating throughout the month, and according to meter data, one of these inverters is offline.</t>
  </si>
  <si>
    <t>1. SR103866</t>
  </si>
  <si>
    <t>1. Inverter 1 is down 30 kW, Inverter 4 is down 30 kW, Inverter 5 is down 36 kW, Inverter 6 is down 30 kW, Inverter 7 is down 36 kW, and Inverter 8 is down 30 kW throughout the month. Additionally, the relay boards of Inverters 1 and 4 are currently being RMA'd.</t>
  </si>
  <si>
    <t>1. SR104456, SR112258</t>
  </si>
  <si>
    <t>SR112258</t>
  </si>
  <si>
    <t>1. Inverter 3 is experiencing multiple trippings throughout the month due to increased C-N line voltages.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</si>
  <si>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SR110610, SR112837</t>
  </si>
  <si>
    <t>SR112837</t>
  </si>
  <si>
    <t>1. The production was low on 01/07,01/17, 01/18 and 01/26 to 01/29 due to snow.</t>
  </si>
  <si>
    <t>1. The site was offline at 07:15 on 01/08 due to the recloser opening. After the technician closed the recloser, the site came back online at 09:15 on 01/09.
2. The production was low on 01/03 to 01/06,01/14,01/17 to 01/20 and 01/26 to 01/31 due to snow.</t>
  </si>
  <si>
    <t>1. SR114291
2. SR114927</t>
  </si>
  <si>
    <t>1. Closed
2. Work in progree</t>
  </si>
  <si>
    <t>SR114927</t>
  </si>
  <si>
    <t>1. Inverters 4 and 5 are capping at 15 kW.Quote has expired 
2. Inverter 5 is constantly producing 16kW since 01/31 and reporting "External Fan Err - ExtFanerr".</t>
  </si>
  <si>
    <t>1. SR106885, SR102281 
2. SR115525</t>
  </si>
  <si>
    <t>1. Closed
2. pending</t>
  </si>
  <si>
    <t>SR102281</t>
  </si>
  <si>
    <t>SR115525</t>
  </si>
  <si>
    <t>1. The Site production was low most days during this month due to snow.</t>
  </si>
  <si>
    <t>February Actual v. Expected</t>
  </si>
  <si>
    <t>February Actual v. Forecasted</t>
  </si>
  <si>
    <t>March Actual v. Expected</t>
  </si>
  <si>
    <t>March Actual v. Forecasted</t>
  </si>
  <si>
    <t>Notes</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</si>
  <si>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</si>
  <si>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</si>
  <si>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</si>
  <si>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</si>
  <si>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</si>
  <si>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</si>
  <si>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</si>
  <si>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</si>
  <si>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</si>
  <si>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</si>
  <si>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</si>
  <si>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</si>
  <si>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</si>
  <si>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</si>
  <si>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Status</t>
  </si>
  <si>
    <t>November Actual v. Expected</t>
  </si>
  <si>
    <t>November Actual v. Forecasted</t>
  </si>
  <si>
    <t>December Actual v. Expected</t>
  </si>
  <si>
    <t>December Actual v. Forecasted</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</si>
  <si>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</si>
  <si>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</si>
  <si>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</si>
  <si>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</si>
  <si>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</si>
  <si>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</si>
  <si>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</si>
  <si>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</si>
  <si>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</si>
  <si>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</si>
  <si>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</si>
  <si>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</si>
  <si>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</si>
  <si>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</si>
  <si>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</si>
  <si>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</si>
  <si>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</si>
  <si>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</si>
  <si>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</si>
  <si>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</si>
  <si>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</si>
  <si>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</si>
  <si>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</si>
  <si>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</si>
  <si>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</si>
  <si>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</si>
  <si>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</si>
  <si>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</si>
  <si>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</si>
  <si>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</si>
  <si>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</si>
  <si>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</si>
  <si>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</si>
  <si>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</si>
  <si>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</si>
  <si>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</si>
  <si>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</si>
  <si>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</si>
  <si>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</si>
  <si>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</si>
  <si>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</si>
  <si>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</si>
  <si>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</si>
  <si>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</si>
  <si>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</si>
  <si>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</si>
  <si>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</si>
  <si>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</si>
  <si>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</si>
  <si>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</si>
  <si>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</si>
  <si>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</si>
  <si>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</si>
  <si>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</si>
  <si>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</si>
  <si>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</si>
  <si>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</si>
  <si>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</si>
  <si>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</si>
  <si>
    <t>PG&amp;E - Enerparc CA1</t>
  </si>
  <si>
    <t>Hollister - PG&amp;E (Enerparc)</t>
  </si>
  <si>
    <t>AEF</t>
  </si>
  <si>
    <t>Also Energy</t>
  </si>
  <si>
    <t>Kit Carson Electric Co-Op - Blue Sky One</t>
  </si>
  <si>
    <t>Taos County - Kit Carson Electric Co-Op</t>
  </si>
  <si>
    <t>NM</t>
  </si>
  <si>
    <t>Adams County - Adams City High School</t>
  </si>
  <si>
    <t>Commerce City - Adams City HS</t>
  </si>
  <si>
    <t>CO</t>
  </si>
  <si>
    <t>Adams County - Adams City Middle School</t>
  </si>
  <si>
    <t>Commerce City - Adams City MS</t>
  </si>
  <si>
    <t>Adams County - Adams Central Elementary School</t>
  </si>
  <si>
    <t>Commerce City - Central ES</t>
  </si>
  <si>
    <t>Adams County - Dupont Elementary School</t>
  </si>
  <si>
    <t>Commerce City - Dupont ES</t>
  </si>
  <si>
    <t>Adams County - Educational Support Services</t>
  </si>
  <si>
    <t>Commerce City - Educational Support Services</t>
  </si>
  <si>
    <t>Adams County - Hanson Elementary School</t>
  </si>
  <si>
    <t>Commerce City - Hanson ES</t>
  </si>
  <si>
    <t>Adams County -Kemp Elementary School</t>
  </si>
  <si>
    <t>Commerce City - Kemp ES</t>
  </si>
  <si>
    <t>Adams County - Lester Arnold High School</t>
  </si>
  <si>
    <t>Commerce City -  Lester Arnold HS</t>
  </si>
  <si>
    <t>Adams County - Monaco Elementary School</t>
  </si>
  <si>
    <t>Commerce City - Monaco ES</t>
  </si>
  <si>
    <t>Sheridan School Dist. - Northgate / Old Fort Logan</t>
  </si>
  <si>
    <t>Denver - Northgate / Old Fort Logan ES</t>
  </si>
  <si>
    <t>Sheridan School Dist. - Sheridan High School</t>
  </si>
  <si>
    <t>Denver - Sheridan High School</t>
  </si>
  <si>
    <t>Sheridan School Dist. - Alice Terry Elementary</t>
  </si>
  <si>
    <t>Englewood -  Alice Terry Elementary</t>
  </si>
  <si>
    <t>Sheridan School Dist. - Sheridan Middle School</t>
  </si>
  <si>
    <t>Englewood - Sheridan Middle School</t>
  </si>
  <si>
    <t>NIPSCO (Goshen) - MR Realty</t>
  </si>
  <si>
    <t>Goshen - NIPSCO</t>
  </si>
  <si>
    <t>IN</t>
  </si>
  <si>
    <t>City of Alamogordo - Effluent</t>
  </si>
  <si>
    <t>Alamogordo - City of Alamogordo - Effluent</t>
  </si>
  <si>
    <t>City of Alamogordo - WWTP</t>
  </si>
  <si>
    <t>Alamogordo - City of Alamogordo - WWTP</t>
  </si>
  <si>
    <t>City of Deming - Bilbo Booster</t>
  </si>
  <si>
    <t>Deming - Bilbo Booster</t>
  </si>
  <si>
    <t>City of Deming - Bilbo Well</t>
  </si>
  <si>
    <t>Deming - Bilbo Well</t>
  </si>
  <si>
    <t>City of Deming - WWTP</t>
  </si>
  <si>
    <t>Deming - WWTP</t>
  </si>
  <si>
    <t>WalMart Truth or Consequences</t>
  </si>
  <si>
    <t>Truth or Consequences - Walmart</t>
  </si>
  <si>
    <t>Stockton Unified School Dist. - Merlo</t>
  </si>
  <si>
    <t>CA: Stockton - SUSD - Merlo</t>
  </si>
  <si>
    <t>CA: Stockton - SUSD - Bush ES</t>
  </si>
  <si>
    <t>Stockton Unified School Dist. - Bush Elementary</t>
  </si>
  <si>
    <t>Stockton Unified School Dist. - Marshall Junior High</t>
  </si>
  <si>
    <t>CA: Stockton - SUSD - Marshall JHS</t>
  </si>
  <si>
    <t>Stockton Unified School Dist. - Hong-Kingston Elementary School</t>
  </si>
  <si>
    <t>CA: Stockton - SUSD - Hong-Kingston ES</t>
  </si>
  <si>
    <t>Stockton Unified School Dist. - Hamilton Elementary School</t>
  </si>
  <si>
    <t>CA: Stockton - SUSD - Hamilton ES</t>
  </si>
  <si>
    <t>Stockton Unified School Dist. - Franklin (North)</t>
  </si>
  <si>
    <t>CA: Stockton - SUSD - Franklin - North</t>
  </si>
  <si>
    <t>CA: Stockton - SUSD - Fillmore ES</t>
  </si>
  <si>
    <t>Stockton Unified School Dist. - Fillmore Elementary</t>
  </si>
  <si>
    <t>Stockton Unified School Dist. - El Dorado Elementary</t>
  </si>
  <si>
    <t>CA: Stockton - SUSD - El Dorado ES</t>
  </si>
  <si>
    <t>Stockton Unified School Dist. - Edison High School</t>
  </si>
  <si>
    <t>CA: Stockton - SUSD - Edison HS</t>
  </si>
  <si>
    <t>Stockton Unified School Dist. - Chavez High School (Large)</t>
  </si>
  <si>
    <t>CA: Stockton - SUSD - Chavez HS - Large</t>
  </si>
  <si>
    <t>GE Mobile Water - San Jose, CA</t>
  </si>
  <si>
    <t>CA: San Jose - GE Mobile Water</t>
  </si>
  <si>
    <t>Vallecitos Water District - Lift Station</t>
  </si>
  <si>
    <t>CA: San Marcos - Vallecitos Water - Lift Station</t>
  </si>
  <si>
    <t>Vallecitos Water District - Twin Oaks Reservoir</t>
  </si>
  <si>
    <t>CA: San Marcos - Vallecitos Water - Twin Oaks Reservoir</t>
  </si>
  <si>
    <t>Stockton Unified School Dist. - Wilhelmina Henry Elm.</t>
  </si>
  <si>
    <t>CA: Stockton - SUSD - Wilhelmina Henry ES</t>
  </si>
  <si>
    <t>Stockton Unified School Dist. - Franklin (South)</t>
  </si>
  <si>
    <t>CA: Stockton - SUSD - Franklin - South</t>
  </si>
  <si>
    <t>Stockton Unified School Dist. - Chavez High School (Small)</t>
  </si>
  <si>
    <t>CA: Stockton - SUSD - Chavez HS - Small</t>
  </si>
  <si>
    <t>Stockton Unified School Dist. - Facilities</t>
  </si>
  <si>
    <t>CA: Stockton - SUSD - Facilities</t>
  </si>
  <si>
    <t>Stockton Unified School Dist. - Harrison</t>
  </si>
  <si>
    <t>CA: Stockton - SUSD - Harrison</t>
  </si>
  <si>
    <t>Stockton Unified School Dist. - Commodore Stockton Skills School</t>
  </si>
  <si>
    <t>CA: Stockton - SUSD - Commodore Skills School</t>
  </si>
  <si>
    <t>Stockton Unified School Dist. - Nightingale Elementary School</t>
  </si>
  <si>
    <t>CA: Stockton - SUSD - Nightingale ES</t>
  </si>
  <si>
    <t>Stockton Unified School Dist. - Weber Institute</t>
  </si>
  <si>
    <t>CA: Stockton - SUSD - Weber Institute</t>
  </si>
  <si>
    <t>Stockton Unified School Dist. - Warehouse</t>
  </si>
  <si>
    <t>CA: Stockton - SUSD - Warehouse</t>
  </si>
  <si>
    <t>Stockton Unified School Dist. - Walton Special Center</t>
  </si>
  <si>
    <t>CA: Stockton - SUSD - Walton Special Center</t>
  </si>
  <si>
    <t>Stockton Unified School Dist. - Stagg High School</t>
  </si>
  <si>
    <t>CA: Stockton - SUSD - Stagg HS</t>
  </si>
  <si>
    <t>Stockton Unified School Dist. - School for Adults</t>
  </si>
  <si>
    <t>CA: Stockton - SUSD - School for Adults</t>
  </si>
  <si>
    <t>Stockton Unified School Dist. - San Joaquin</t>
  </si>
  <si>
    <t>CA: Stockton - SUSD - San Joaquin</t>
  </si>
  <si>
    <t>Stockton Unified School Dist. - Rio Calaveras</t>
  </si>
  <si>
    <t>CA: Stockton - SUSD - Rio Calaveras</t>
  </si>
  <si>
    <t>Stockton Unified School Dist. - Peyton</t>
  </si>
  <si>
    <t>CA: Stockton - SUSD - Peyton</t>
  </si>
  <si>
    <t>The Agnes Project - Concho Valley Electric</t>
  </si>
  <si>
    <t>TX: Barnhart - 42917 Ranch RD 2469</t>
  </si>
  <si>
    <t>TX</t>
  </si>
  <si>
    <t>San Manuel Sr &amp; Jr High School</t>
  </si>
  <si>
    <t>AZ: San Manuel - Senior &amp; Junior HS</t>
  </si>
  <si>
    <t>AZ</t>
  </si>
  <si>
    <t>A</t>
  </si>
  <si>
    <t>Fort Huachuca - Colonel Smith</t>
  </si>
  <si>
    <t>AZ: Sierra Vista - Colonel Smith MS</t>
  </si>
  <si>
    <t>Fort Huachuca - Colonel Johnston</t>
  </si>
  <si>
    <t>AZ: Sierra Vista - Colonel Johnston ES</t>
  </si>
  <si>
    <t>Dover High School</t>
  </si>
  <si>
    <t>NH: Dover - Dover HS</t>
  </si>
  <si>
    <t>NH</t>
  </si>
  <si>
    <t>Brandeis University - 30 Inner Belt</t>
  </si>
  <si>
    <t>MA: Somerville - 30 Inner Belt Rd</t>
  </si>
  <si>
    <t>Littleton Boxborough</t>
  </si>
  <si>
    <t>MA: Boxborough - 1414 Massachusetts Ave</t>
  </si>
  <si>
    <t>City of Amsterdam - Route 67</t>
  </si>
  <si>
    <t>NY: Amsterdam - 153 NY Route 67</t>
  </si>
  <si>
    <t>NY</t>
  </si>
  <si>
    <t>City of Rome NY - Tannery Road</t>
  </si>
  <si>
    <t>NY: Rome - 7776 Tannery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</si>
</sst>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sz val="11"/>
      <name val="Calibri"/>
      <family val="2"/>
      <scheme val="minor"/>
    </font>
    <font>
      <b/>
      <sz val="11"/>
      <name val="Calibri"/>
      <family val="2"/>
      <scheme val="minor"/>
    </font>
    <font>
      <b/>
      <sz val="11"/>
      <color rgb="FFFF0000"/>
      <name val="Calibri"/>
      <family val="2"/>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25">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24"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49" fontId="29" fillId="0" borderId="1" xfId="0" applyNumberFormat="1" applyFont="1" applyBorder="1" applyAlignment="1">
      <alignmen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top" wrapText="1"/>
    </xf>
    <xf numFmtId="49" fontId="38" fillId="0" borderId="1" xfId="45" applyNumberFormat="1" applyBorder="1" applyAlignment="1">
      <alignment vertical="center" wrapText="1"/>
    </xf>
    <xf numFmtId="0" fontId="3" fillId="0" borderId="0" xfId="0" applyFont="1"/>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0" borderId="1" xfId="45" applyNumberFormat="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38" fillId="38" borderId="1" xfId="45" applyNumberFormat="1" applyFill="1" applyBorder="1" applyAlignment="1">
      <alignment horizontal="left" vertical="top" wrapText="1"/>
    </xf>
    <xf numFmtId="49" fontId="38" fillId="38" borderId="1" xfId="45" applyNumberFormat="1" applyFill="1" applyBorder="1" applyAlignment="1">
      <alignment horizontal="left" wrapText="1"/>
    </xf>
    <xf numFmtId="49" fontId="38" fillId="0" borderId="1" xfId="45" applyNumberFormat="1" applyBorder="1" applyAlignment="1">
      <alignment horizontal="left" wrapText="1"/>
    </xf>
    <xf numFmtId="14" fontId="0" fillId="0" borderId="0" xfId="0" applyNumberFormat="1" applyAlignment="1">
      <alignment horizontal="left" vertical="top"/>
    </xf>
    <xf numFmtId="14" fontId="38" fillId="0" borderId="0" xfId="45" applyNumberFormat="1" applyAlignment="1">
      <alignment horizontal="left" vertical="top"/>
    </xf>
    <xf numFmtId="3" fontId="31" fillId="0" borderId="1" xfId="1" applyNumberFormat="1" applyFont="1" applyFill="1" applyBorder="1" applyAlignment="1">
      <alignment horizontal="right"/>
    </xf>
    <xf numFmtId="3" fontId="31" fillId="4" borderId="1" xfId="1" applyNumberFormat="1" applyFont="1" applyFill="1" applyBorder="1" applyAlignment="1">
      <alignment horizontal="right"/>
    </xf>
    <xf numFmtId="0" fontId="35" fillId="40"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9" fontId="31" fillId="0" borderId="0" xfId="2" applyFont="1" applyFill="1" applyBorder="1" applyAlignment="1">
      <alignment horizontal="center" vertical="center"/>
    </xf>
    <xf numFmtId="9" fontId="31" fillId="3" borderId="12" xfId="2" applyFont="1" applyFill="1" applyBorder="1" applyAlignment="1">
      <alignment horizontal="center" vertical="center"/>
    </xf>
    <xf numFmtId="3" fontId="31" fillId="3" borderId="13" xfId="0" applyNumberFormat="1" applyFont="1" applyFill="1" applyBorder="1" applyAlignment="1">
      <alignment horizontal="right" vertical="center"/>
    </xf>
    <xf numFmtId="3" fontId="31" fillId="4" borderId="14" xfId="1" applyNumberFormat="1" applyFont="1" applyFill="1" applyBorder="1" applyAlignment="1">
      <alignment vertical="center"/>
    </xf>
    <xf numFmtId="9" fontId="31" fillId="0" borderId="11" xfId="2" applyFont="1" applyFill="1" applyBorder="1" applyAlignment="1">
      <alignment horizontal="center" vertical="center"/>
    </xf>
    <xf numFmtId="0" fontId="33" fillId="0" borderId="0" xfId="0" applyFont="1" applyAlignment="1">
      <alignment horizontal="left" vertical="top"/>
    </xf>
    <xf numFmtId="0" fontId="38" fillId="0" borderId="0" xfId="45" applyAlignment="1">
      <alignment vertical="top"/>
    </xf>
    <xf numFmtId="3" fontId="37" fillId="0" borderId="0" xfId="0" applyNumberFormat="1" applyFont="1" applyAlignment="1">
      <alignment horizontal="right"/>
    </xf>
    <xf numFmtId="3" fontId="31" fillId="3" borderId="1" xfId="0" applyNumberFormat="1" applyFont="1" applyFill="1" applyBorder="1" applyAlignment="1">
      <alignment horizontal="right"/>
    </xf>
    <xf numFmtId="3" fontId="37" fillId="0" borderId="0" xfId="0" applyNumberFormat="1" applyFont="1" applyAlignment="1">
      <alignment horizontal="right" vertical="center"/>
    </xf>
    <xf numFmtId="0" fontId="31" fillId="0" borderId="0" xfId="0" applyFont="1" applyAlignment="1">
      <alignment wrapText="1"/>
    </xf>
    <xf numFmtId="3" fontId="31" fillId="0" borderId="1" xfId="1" applyNumberFormat="1" applyFont="1" applyBorder="1" applyAlignment="1">
      <alignment horizontal="right" vertical="center"/>
    </xf>
    <xf numFmtId="0" fontId="38" fillId="0" borderId="0" xfId="45"/>
    <xf numFmtId="0" fontId="0" fillId="0" borderId="0" xfId="0" applyAlignment="1">
      <alignment vertical="top"/>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39" fillId="0" borderId="0" xfId="0" applyFont="1" applyAlignment="1">
      <alignment horizontal="left" vertical="top"/>
    </xf>
    <xf numFmtId="0" fontId="40" fillId="0" borderId="0" xfId="0" applyFont="1" applyAlignment="1">
      <alignment vertical="center"/>
    </xf>
    <xf numFmtId="0" fontId="41" fillId="0" borderId="0" xfId="0" applyFont="1" applyAlignment="1">
      <alignment vertical="center"/>
    </xf>
    <xf numFmtId="0" fontId="40" fillId="45" borderId="1" xfId="0" applyFont="1" applyFill="1" applyBorder="1" applyAlignment="1">
      <alignment horizontal="center" vertical="center"/>
    </xf>
    <xf numFmtId="0" fontId="39" fillId="0" borderId="0" xfId="0" applyFont="1"/>
    <xf numFmtId="0" fontId="38" fillId="0" borderId="0" xfId="45" applyAlignment="1">
      <alignment horizontal="left" vertical="top" wrapText="1"/>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center" wrapText="1"/>
    </xf>
    <xf numFmtId="0" fontId="24" fillId="0" borderId="0" xfId="0" applyFont="1"/>
    <xf numFmtId="0" fontId="36" fillId="0" borderId="0" xfId="0" applyFont="1" applyAlignment="1">
      <alignment horizontal="left" vertical="top"/>
    </xf>
    <xf numFmtId="0" fontId="36" fillId="0" borderId="0" xfId="0" applyFont="1" applyAlignment="1">
      <alignment horizontal="left" vertical="top" wrapText="1"/>
    </xf>
    <xf numFmtId="0" fontId="37" fillId="0" borderId="0" xfId="0" applyFont="1" applyAlignment="1">
      <alignment horizontal="left" vertical="top"/>
    </xf>
    <xf numFmtId="0" fontId="36" fillId="0" borderId="0" xfId="0" applyFont="1"/>
    <xf numFmtId="4" fontId="33" fillId="0" borderId="0" xfId="0" applyNumberFormat="1" applyFont="1"/>
    <xf numFmtId="43" fontId="33" fillId="0" borderId="0" xfId="0" applyNumberFormat="1" applyFo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5" totalsRowShown="0">
  <autoFilter ref="A3:E8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17" Type="http://schemas.openxmlformats.org/officeDocument/2006/relationships/hyperlink" Target="https://us3.assetplanner.com/service_request?ID=108404" TargetMode="External"/><Relationship Id="rId21" Type="http://schemas.openxmlformats.org/officeDocument/2006/relationships/hyperlink" Target="https://us3.assetplanner.com/service_request?ID=112641" TargetMode="External"/><Relationship Id="rId42" Type="http://schemas.openxmlformats.org/officeDocument/2006/relationships/hyperlink" Target="https://us3.assetplanner.com/service_request?ID=105494" TargetMode="External"/><Relationship Id="rId63" Type="http://schemas.openxmlformats.org/officeDocument/2006/relationships/hyperlink" Target="https://us3.assetplanner.com/service_request?ID=114561" TargetMode="External"/><Relationship Id="rId84" Type="http://schemas.openxmlformats.org/officeDocument/2006/relationships/hyperlink" Target="https://us3.assetplanner.com/service_request?ID=114119" TargetMode="External"/><Relationship Id="rId138" Type="http://schemas.openxmlformats.org/officeDocument/2006/relationships/hyperlink" Target="https://us3.assetplanner.com/service_request?ID=106885" TargetMode="External"/><Relationship Id="rId107" Type="http://schemas.openxmlformats.org/officeDocument/2006/relationships/hyperlink" Target="https://us3.assetplanner.com/service_request?ID=102425" TargetMode="External"/><Relationship Id="rId11" Type="http://schemas.openxmlformats.org/officeDocument/2006/relationships/hyperlink" Target="https://us3.assetplanner.com/service_request?ID=098076" TargetMode="External"/><Relationship Id="rId32" Type="http://schemas.openxmlformats.org/officeDocument/2006/relationships/hyperlink" Target="https://us3.assetplanner.com/service_request?ID=101021" TargetMode="External"/><Relationship Id="rId37" Type="http://schemas.openxmlformats.org/officeDocument/2006/relationships/hyperlink" Target="https://us3.assetplanner.com/service_request?ID=105192" TargetMode="External"/><Relationship Id="rId53" Type="http://schemas.openxmlformats.org/officeDocument/2006/relationships/hyperlink" Target="https://us3.assetplanner.com/service_request?ID=102539" TargetMode="External"/><Relationship Id="rId58" Type="http://schemas.openxmlformats.org/officeDocument/2006/relationships/hyperlink" Target="https://us3.assetplanner.com/service_request?ID=108307" TargetMode="External"/><Relationship Id="rId74" Type="http://schemas.openxmlformats.org/officeDocument/2006/relationships/hyperlink" Target="https://us3.assetplanner.com/service_request?ID=108902" TargetMode="External"/><Relationship Id="rId79" Type="http://schemas.openxmlformats.org/officeDocument/2006/relationships/hyperlink" Target="https://us3.assetplanner.com/service_request?ID=108904" TargetMode="External"/><Relationship Id="rId102" Type="http://schemas.openxmlformats.org/officeDocument/2006/relationships/hyperlink" Target="https://us3.assetplanner.com/service_request?ID=110375" TargetMode="External"/><Relationship Id="rId123" Type="http://schemas.openxmlformats.org/officeDocument/2006/relationships/hyperlink" Target="https://us3.assetplanner.com/service_request?ID=107231" TargetMode="External"/><Relationship Id="rId128" Type="http://schemas.openxmlformats.org/officeDocument/2006/relationships/hyperlink" Target="https://us3.assetplanner.com/service_request?ID=103867" TargetMode="External"/><Relationship Id="rId5" Type="http://schemas.openxmlformats.org/officeDocument/2006/relationships/hyperlink" Target="https://us3.assetplanner.com/service_request?ID=115692" TargetMode="External"/><Relationship Id="rId90" Type="http://schemas.openxmlformats.org/officeDocument/2006/relationships/hyperlink" Target="https://us3.assetplanner.com/service_request?ID=111741" TargetMode="External"/><Relationship Id="rId95" Type="http://schemas.openxmlformats.org/officeDocument/2006/relationships/hyperlink" Target="https://us3.assetplanner.com/service_request?ID=114900" TargetMode="External"/><Relationship Id="rId22" Type="http://schemas.openxmlformats.org/officeDocument/2006/relationships/hyperlink" Target="https://us3.assetplanner.com/service_request?ID=105489" TargetMode="External"/><Relationship Id="rId27" Type="http://schemas.openxmlformats.org/officeDocument/2006/relationships/hyperlink" Target="https://us3.assetplanner.com/service_request?ID=113922" TargetMode="External"/><Relationship Id="rId43" Type="http://schemas.openxmlformats.org/officeDocument/2006/relationships/hyperlink" Target="https://us3.assetplanner.com/service_request?ID=107209" TargetMode="External"/><Relationship Id="rId48" Type="http://schemas.openxmlformats.org/officeDocument/2006/relationships/hyperlink" Target="https://us3.assetplanner.com/service_request?ID=102416" TargetMode="External"/><Relationship Id="rId64" Type="http://schemas.openxmlformats.org/officeDocument/2006/relationships/hyperlink" Target="https://us3.assetplanner.com/service_request?ID=102286" TargetMode="External"/><Relationship Id="rId69" Type="http://schemas.openxmlformats.org/officeDocument/2006/relationships/hyperlink" Target="https://us3.assetplanner.com/service_request?ID=109629" TargetMode="External"/><Relationship Id="rId113" Type="http://schemas.openxmlformats.org/officeDocument/2006/relationships/hyperlink" Target="https://us3.assetplanner.com/service_request?ID=112051" TargetMode="External"/><Relationship Id="rId118" Type="http://schemas.openxmlformats.org/officeDocument/2006/relationships/hyperlink" Target="https://us3.assetplanner.com/service_request?ID=102420" TargetMode="External"/><Relationship Id="rId134" Type="http://schemas.openxmlformats.org/officeDocument/2006/relationships/hyperlink" Target="https://us3.assetplanner.com/service_request?ID=110610" TargetMode="External"/><Relationship Id="rId139" Type="http://schemas.openxmlformats.org/officeDocument/2006/relationships/hyperlink" Target="https://us3.assetplanner.com/service_request?ID=102281" TargetMode="External"/><Relationship Id="rId80" Type="http://schemas.openxmlformats.org/officeDocument/2006/relationships/hyperlink" Target="https://us3.assetplanner.com/service_request?ID=112399" TargetMode="External"/><Relationship Id="rId85" Type="http://schemas.openxmlformats.org/officeDocument/2006/relationships/hyperlink" Target="https://us3.assetplanner.com/service_request?ID=114307" TargetMode="External"/><Relationship Id="rId12" Type="http://schemas.openxmlformats.org/officeDocument/2006/relationships/hyperlink" Target="https://us3.assetplanner.com/service_request?ID=110133" TargetMode="External"/><Relationship Id="rId17" Type="http://schemas.openxmlformats.org/officeDocument/2006/relationships/hyperlink" Target="https://us3.assetplanner.com/service_request?ID=104354" TargetMode="External"/><Relationship Id="rId33" Type="http://schemas.openxmlformats.org/officeDocument/2006/relationships/hyperlink" Target="https://us3.assetplanner.com/service_request?ID=100915" TargetMode="External"/><Relationship Id="rId38" Type="http://schemas.openxmlformats.org/officeDocument/2006/relationships/hyperlink" Target="https://us3.assetplanner.com/service_request?ID=106435" TargetMode="External"/><Relationship Id="rId59" Type="http://schemas.openxmlformats.org/officeDocument/2006/relationships/hyperlink" Target="https://us3.assetplanner.com/service_request?ID=108307" TargetMode="External"/><Relationship Id="rId103" Type="http://schemas.openxmlformats.org/officeDocument/2006/relationships/hyperlink" Target="https://us3.assetplanner.com/service_request?ID=102413" TargetMode="External"/><Relationship Id="rId108" Type="http://schemas.openxmlformats.org/officeDocument/2006/relationships/hyperlink" Target="https://us3.assetplanner.com/service_request?ID=102820" TargetMode="External"/><Relationship Id="rId124" Type="http://schemas.openxmlformats.org/officeDocument/2006/relationships/hyperlink" Target="https://us3.assetplanner.com/service_request?ID=110121" TargetMode="External"/><Relationship Id="rId129" Type="http://schemas.openxmlformats.org/officeDocument/2006/relationships/hyperlink" Target="https://us3.assetplanner.com/service_request?ID=110350" TargetMode="External"/><Relationship Id="rId54" Type="http://schemas.openxmlformats.org/officeDocument/2006/relationships/hyperlink" Target="https://us3.assetplanner.com/service_request?ID=104882" TargetMode="External"/><Relationship Id="rId70" Type="http://schemas.openxmlformats.org/officeDocument/2006/relationships/hyperlink" Target="https://us3.assetplanner.com/service_request?ID=101986" TargetMode="External"/><Relationship Id="rId75" Type="http://schemas.openxmlformats.org/officeDocument/2006/relationships/hyperlink" Target="https://us3.assetplanner.com/service_request?ID=103636" TargetMode="External"/><Relationship Id="rId91" Type="http://schemas.openxmlformats.org/officeDocument/2006/relationships/hyperlink" Target="https://us3.assetplanner.com/service_request?ID=115085" TargetMode="External"/><Relationship Id="rId96" Type="http://schemas.openxmlformats.org/officeDocument/2006/relationships/hyperlink" Target="https://us3.assetplanner.com/service_request?ID=108501" TargetMode="External"/><Relationship Id="rId140" Type="http://schemas.openxmlformats.org/officeDocument/2006/relationships/hyperlink" Target="https://us3.assetplanner.com/service_request?ID=115525"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14624" TargetMode="External"/><Relationship Id="rId23" Type="http://schemas.openxmlformats.org/officeDocument/2006/relationships/hyperlink" Target="https://us3.assetplanner.com/service_request?ID=113188" TargetMode="External"/><Relationship Id="rId28" Type="http://schemas.openxmlformats.org/officeDocument/2006/relationships/hyperlink" Target="https://us3.assetplanner.com/service_request?ID=114083" TargetMode="External"/><Relationship Id="rId49" Type="http://schemas.openxmlformats.org/officeDocument/2006/relationships/hyperlink" Target="https://us3.assetplanner.com/service_request?ID=105908" TargetMode="External"/><Relationship Id="rId114" Type="http://schemas.openxmlformats.org/officeDocument/2006/relationships/hyperlink" Target="https://us3.assetplanner.com/service_request?ID=102423" TargetMode="External"/><Relationship Id="rId119" Type="http://schemas.openxmlformats.org/officeDocument/2006/relationships/hyperlink" Target="https://us3.assetplanner.com/service_request?ID=109601" TargetMode="External"/><Relationship Id="rId44" Type="http://schemas.openxmlformats.org/officeDocument/2006/relationships/hyperlink" Target="https://us3.assetplanner.com/service_request?ID=108846" TargetMode="External"/><Relationship Id="rId60" Type="http://schemas.openxmlformats.org/officeDocument/2006/relationships/hyperlink" Target="https://us3.assetplanner.com/service_request?ID=109599" TargetMode="External"/><Relationship Id="rId65" Type="http://schemas.openxmlformats.org/officeDocument/2006/relationships/hyperlink" Target="https://us3.assetplanner.com/service_request?ID=111280" TargetMode="External"/><Relationship Id="rId81" Type="http://schemas.openxmlformats.org/officeDocument/2006/relationships/hyperlink" Target="https://us3.assetplanner.com/service_request?ID=106828" TargetMode="External"/><Relationship Id="rId86" Type="http://schemas.openxmlformats.org/officeDocument/2006/relationships/hyperlink" Target="https://us3.assetplanner.com/service_request?ID=114833" TargetMode="External"/><Relationship Id="rId130" Type="http://schemas.openxmlformats.org/officeDocument/2006/relationships/hyperlink" Target="https://us3.assetplanner.com/service_request?ID=114316" TargetMode="External"/><Relationship Id="rId135" Type="http://schemas.openxmlformats.org/officeDocument/2006/relationships/hyperlink" Target="https://us3.assetplanner.com/service_request?ID=112837" TargetMode="External"/><Relationship Id="rId13" Type="http://schemas.openxmlformats.org/officeDocument/2006/relationships/hyperlink" Target="https://us3.assetplanner.com/service_request?ID=107579" TargetMode="External"/><Relationship Id="rId18" Type="http://schemas.openxmlformats.org/officeDocument/2006/relationships/hyperlink" Target="https://us3.assetplanner.com/service_request?ID=106806" TargetMode="External"/><Relationship Id="rId39" Type="http://schemas.openxmlformats.org/officeDocument/2006/relationships/hyperlink" Target="https://us3.assetplanner.com/service_request?ID=106650" TargetMode="External"/><Relationship Id="rId109" Type="http://schemas.openxmlformats.org/officeDocument/2006/relationships/hyperlink" Target="https://us3.assetplanner.com/service_request?ID=104290" TargetMode="External"/><Relationship Id="rId34" Type="http://schemas.openxmlformats.org/officeDocument/2006/relationships/hyperlink" Target="https://us3.assetplanner.com/service_request?ID=104930" TargetMode="External"/><Relationship Id="rId50" Type="http://schemas.openxmlformats.org/officeDocument/2006/relationships/hyperlink" Target="https://us3.assetplanner.com/service_request?ID=102392" TargetMode="External"/><Relationship Id="rId55" Type="http://schemas.openxmlformats.org/officeDocument/2006/relationships/hyperlink" Target="https://us3.assetplanner.com/service_request?ID=102320" TargetMode="External"/><Relationship Id="rId76" Type="http://schemas.openxmlformats.org/officeDocument/2006/relationships/hyperlink" Target="https://us3.assetplanner.com/service_request?ID=102539" TargetMode="External"/><Relationship Id="rId97" Type="http://schemas.openxmlformats.org/officeDocument/2006/relationships/hyperlink" Target="https://us3.assetplanner.com/service_request?ID=107991" TargetMode="External"/><Relationship Id="rId104" Type="http://schemas.openxmlformats.org/officeDocument/2006/relationships/hyperlink" Target="https://us3.assetplanner.com/service_request?ID=108898" TargetMode="External"/><Relationship Id="rId120" Type="http://schemas.openxmlformats.org/officeDocument/2006/relationships/hyperlink" Target="https://us3.assetplanner.com/service_request?ID=109601" TargetMode="External"/><Relationship Id="rId125" Type="http://schemas.openxmlformats.org/officeDocument/2006/relationships/hyperlink" Target="https://us3.assetplanner.com/service_request?ID=108282" TargetMode="External"/><Relationship Id="rId141" Type="http://schemas.openxmlformats.org/officeDocument/2006/relationships/printerSettings" Target="../printerSettings/printerSettings3.bin"/><Relationship Id="rId7" Type="http://schemas.openxmlformats.org/officeDocument/2006/relationships/hyperlink" Target="https://us3.assetplanner.com/service_request?ID=110158" TargetMode="External"/><Relationship Id="rId71" Type="http://schemas.openxmlformats.org/officeDocument/2006/relationships/hyperlink" Target="https://us3.assetplanner.com/service_request?ID=102503" TargetMode="External"/><Relationship Id="rId92" Type="http://schemas.openxmlformats.org/officeDocument/2006/relationships/hyperlink" Target="https://us3.assetplanner.com/service_request?ID=106531" TargetMode="External"/><Relationship Id="rId2" Type="http://schemas.openxmlformats.org/officeDocument/2006/relationships/hyperlink" Target="https://us3.assetplanner.com/service_request?ID=105924" TargetMode="External"/><Relationship Id="rId29" Type="http://schemas.openxmlformats.org/officeDocument/2006/relationships/hyperlink" Target="https://us3.assetplanner.com/service_request?ID=101818" TargetMode="External"/><Relationship Id="rId24" Type="http://schemas.openxmlformats.org/officeDocument/2006/relationships/hyperlink" Target="https://us3.assetplanner.com/service_request?ID=104781" TargetMode="External"/><Relationship Id="rId40" Type="http://schemas.openxmlformats.org/officeDocument/2006/relationships/hyperlink" Target="https://us3.assetplanner.com/service_request?ID=113923" TargetMode="External"/><Relationship Id="rId45" Type="http://schemas.openxmlformats.org/officeDocument/2006/relationships/hyperlink" Target="https://us3.assetplanner.com/service_request?ID=109533" TargetMode="External"/><Relationship Id="rId66" Type="http://schemas.openxmlformats.org/officeDocument/2006/relationships/hyperlink" Target="https://us3.assetplanner.com/service_request?ID=107512" TargetMode="External"/><Relationship Id="rId87" Type="http://schemas.openxmlformats.org/officeDocument/2006/relationships/hyperlink" Target="https://us3.assetplanner.com/service_request?ID=102303" TargetMode="External"/><Relationship Id="rId110" Type="http://schemas.openxmlformats.org/officeDocument/2006/relationships/hyperlink" Target="https://us3.assetplanner.com/service_request?ID=114471" TargetMode="External"/><Relationship Id="rId115" Type="http://schemas.openxmlformats.org/officeDocument/2006/relationships/hyperlink" Target="https://us3.assetplanner.com/service_request?ID=108298" TargetMode="External"/><Relationship Id="rId131" Type="http://schemas.openxmlformats.org/officeDocument/2006/relationships/hyperlink" Target="https://us3.assetplanner.com/service_request?ID=103866" TargetMode="External"/><Relationship Id="rId136" Type="http://schemas.openxmlformats.org/officeDocument/2006/relationships/hyperlink" Target="https://us3.assetplanner.com/service_request?ID=114291" TargetMode="External"/><Relationship Id="rId61" Type="http://schemas.openxmlformats.org/officeDocument/2006/relationships/hyperlink" Target="https://us3.assetplanner.com/service_request?ID=113148" TargetMode="External"/><Relationship Id="rId82" Type="http://schemas.openxmlformats.org/officeDocument/2006/relationships/hyperlink" Target="https://us3.assetplanner.com/service_request?ID=109164" TargetMode="External"/><Relationship Id="rId19" Type="http://schemas.openxmlformats.org/officeDocument/2006/relationships/hyperlink" Target="https://us3.assetplanner.com/service_request?ID=107509" TargetMode="External"/><Relationship Id="rId14" Type="http://schemas.openxmlformats.org/officeDocument/2006/relationships/hyperlink" Target="https://us3.assetplanner.com/service_request?ID=108704" TargetMode="External"/><Relationship Id="rId30" Type="http://schemas.openxmlformats.org/officeDocument/2006/relationships/hyperlink" Target="https://us3.assetplanner.com/service_request?ID=111395" TargetMode="External"/><Relationship Id="rId35" Type="http://schemas.openxmlformats.org/officeDocument/2006/relationships/hyperlink" Target="https://us3.assetplanner.com/service_request?ID=105369" TargetMode="External"/><Relationship Id="rId56" Type="http://schemas.openxmlformats.org/officeDocument/2006/relationships/hyperlink" Target="https://us3.assetplanner.com/service_request?ID=102317" TargetMode="External"/><Relationship Id="rId77" Type="http://schemas.openxmlformats.org/officeDocument/2006/relationships/hyperlink" Target="https://us3.assetplanner.com/service_request?ID=104882" TargetMode="External"/><Relationship Id="rId100" Type="http://schemas.openxmlformats.org/officeDocument/2006/relationships/hyperlink" Target="https://us3.assetplanner.com/service_request?ID=102450" TargetMode="External"/><Relationship Id="rId105" Type="http://schemas.openxmlformats.org/officeDocument/2006/relationships/hyperlink" Target="https://us3.assetplanner.com/service_request?ID=113594" TargetMode="External"/><Relationship Id="rId126" Type="http://schemas.openxmlformats.org/officeDocument/2006/relationships/hyperlink" Target="https://us3.assetplanner.com/service_request?ID=103868" TargetMode="External"/><Relationship Id="rId8" Type="http://schemas.openxmlformats.org/officeDocument/2006/relationships/hyperlink" Target="https://us3.assetplanner.com/service_request?ID=108311" TargetMode="External"/><Relationship Id="rId51" Type="http://schemas.openxmlformats.org/officeDocument/2006/relationships/hyperlink" Target="https://us3.assetplanner.com/service_request?ID=102321" TargetMode="External"/><Relationship Id="rId72" Type="http://schemas.openxmlformats.org/officeDocument/2006/relationships/hyperlink" Target="https://us3.assetplanner.com/service_request?ID=102451" TargetMode="External"/><Relationship Id="rId93" Type="http://schemas.openxmlformats.org/officeDocument/2006/relationships/hyperlink" Target="https://us3.assetplanner.com/service_request?ID=111359" TargetMode="External"/><Relationship Id="rId98" Type="http://schemas.openxmlformats.org/officeDocument/2006/relationships/hyperlink" Target="https://us3.assetplanner.com/service_request?ID=102310" TargetMode="External"/><Relationship Id="rId121" Type="http://schemas.openxmlformats.org/officeDocument/2006/relationships/hyperlink" Target="https://us3.assetplanner.com/service_request?ID=108494" TargetMode="External"/><Relationship Id="rId3" Type="http://schemas.openxmlformats.org/officeDocument/2006/relationships/hyperlink" Target="https://us3.assetplanner.com/service_request?ID=105701" TargetMode="External"/><Relationship Id="rId25" Type="http://schemas.openxmlformats.org/officeDocument/2006/relationships/hyperlink" Target="https://us3.assetplanner.com/service_request?ID=106508" TargetMode="External"/><Relationship Id="rId46" Type="http://schemas.openxmlformats.org/officeDocument/2006/relationships/hyperlink" Target="https://us3.assetplanner.com/service_request?ID=102283" TargetMode="External"/><Relationship Id="rId67" Type="http://schemas.openxmlformats.org/officeDocument/2006/relationships/hyperlink" Target="https://us3.assetplanner.com/service_request?ID=115327" TargetMode="External"/><Relationship Id="rId116" Type="http://schemas.openxmlformats.org/officeDocument/2006/relationships/hyperlink" Target="https://us3.assetplanner.com/service_request?ID=102421" TargetMode="External"/><Relationship Id="rId137" Type="http://schemas.openxmlformats.org/officeDocument/2006/relationships/hyperlink" Target="https://us3.assetplanner.com/service_request?ID=114927" TargetMode="External"/><Relationship Id="rId20" Type="http://schemas.openxmlformats.org/officeDocument/2006/relationships/hyperlink" Target="https://us3.assetplanner.com/service_request?ID=109147" TargetMode="External"/><Relationship Id="rId41" Type="http://schemas.openxmlformats.org/officeDocument/2006/relationships/hyperlink" Target="https://us3.assetplanner.com/service_request?ID=102419" TargetMode="External"/><Relationship Id="rId62" Type="http://schemas.openxmlformats.org/officeDocument/2006/relationships/hyperlink" Target="https://us3.assetplanner.com/service_request?ID=114305" TargetMode="External"/><Relationship Id="rId83" Type="http://schemas.openxmlformats.org/officeDocument/2006/relationships/hyperlink" Target="https://us3.assetplanner.com/service_request?ID=108904" TargetMode="External"/><Relationship Id="rId88" Type="http://schemas.openxmlformats.org/officeDocument/2006/relationships/hyperlink" Target="https://us3.assetplanner.com/service_request?ID=111390" TargetMode="External"/><Relationship Id="rId111" Type="http://schemas.openxmlformats.org/officeDocument/2006/relationships/hyperlink" Target="https://us3.assetplanner.com/service_request?ID=114639" TargetMode="External"/><Relationship Id="rId132" Type="http://schemas.openxmlformats.org/officeDocument/2006/relationships/hyperlink" Target="https://us3.assetplanner.com/service_request?ID=104456" TargetMode="External"/><Relationship Id="rId15" Type="http://schemas.openxmlformats.org/officeDocument/2006/relationships/hyperlink" Target="https://us3.assetplanner.com/service_request?ID=106483" TargetMode="External"/><Relationship Id="rId36" Type="http://schemas.openxmlformats.org/officeDocument/2006/relationships/hyperlink" Target="https://us3.assetplanner.com/service_request?ID=105366" TargetMode="External"/><Relationship Id="rId57" Type="http://schemas.openxmlformats.org/officeDocument/2006/relationships/hyperlink" Target="https://us3.assetplanner.com/service_request?ID=108297" TargetMode="External"/><Relationship Id="rId106" Type="http://schemas.openxmlformats.org/officeDocument/2006/relationships/hyperlink" Target="https://us3.assetplanner.com/service_request?ID=106842" TargetMode="External"/><Relationship Id="rId127" Type="http://schemas.openxmlformats.org/officeDocument/2006/relationships/hyperlink" Target="https://us3.assetplanner.com/service_request?ID=114048" TargetMode="External"/><Relationship Id="rId10" Type="http://schemas.openxmlformats.org/officeDocument/2006/relationships/hyperlink" Target="https://us3.assetplanner.com/service_request?ID=108705" TargetMode="External"/><Relationship Id="rId31" Type="http://schemas.openxmlformats.org/officeDocument/2006/relationships/hyperlink" Target="https://us3.assetplanner.com/service_request?ID=101034" TargetMode="External"/><Relationship Id="rId52" Type="http://schemas.openxmlformats.org/officeDocument/2006/relationships/hyperlink" Target="https://us3.assetplanner.com/service_request?ID=103636" TargetMode="External"/><Relationship Id="rId73" Type="http://schemas.openxmlformats.org/officeDocument/2006/relationships/hyperlink" Target="https://us3.assetplanner.com/service_request?ID=102321" TargetMode="External"/><Relationship Id="rId78" Type="http://schemas.openxmlformats.org/officeDocument/2006/relationships/hyperlink" Target="https://us3.assetplanner.com/service_request?ID=102329" TargetMode="External"/><Relationship Id="rId94" Type="http://schemas.openxmlformats.org/officeDocument/2006/relationships/hyperlink" Target="https://us3.assetplanner.com/service_request?ID=112903" TargetMode="External"/><Relationship Id="rId99" Type="http://schemas.openxmlformats.org/officeDocument/2006/relationships/hyperlink" Target="https://us3.assetplanner.com/service_request?ID=104289" TargetMode="External"/><Relationship Id="rId101" Type="http://schemas.openxmlformats.org/officeDocument/2006/relationships/hyperlink" Target="https://us3.assetplanner.com/service_request?ID=112667" TargetMode="External"/><Relationship Id="rId122" Type="http://schemas.openxmlformats.org/officeDocument/2006/relationships/hyperlink" Target="https://us3.assetplanner.com/service_request?ID=106851" TargetMode="External"/><Relationship Id="rId4" Type="http://schemas.openxmlformats.org/officeDocument/2006/relationships/hyperlink" Target="https://us3.assetplanner.com/service_request?ID=105688" TargetMode="External"/><Relationship Id="rId9" Type="http://schemas.openxmlformats.org/officeDocument/2006/relationships/hyperlink" Target="https://us3.assetplanner.com/service_request?ID=109222" TargetMode="External"/><Relationship Id="rId26" Type="http://schemas.openxmlformats.org/officeDocument/2006/relationships/hyperlink" Target="https://us3.assetplanner.com/service_request?ID=105762" TargetMode="External"/><Relationship Id="rId47" Type="http://schemas.openxmlformats.org/officeDocument/2006/relationships/hyperlink" Target="https://us3.assetplanner.com/service_request?ID=102418" TargetMode="External"/><Relationship Id="rId68" Type="http://schemas.openxmlformats.org/officeDocument/2006/relationships/hyperlink" Target="https://us3.assetplanner.com/service_request?ID=102281" TargetMode="External"/><Relationship Id="rId89" Type="http://schemas.openxmlformats.org/officeDocument/2006/relationships/hyperlink" Target="https://us3.assetplanner.com/service_request?ID=102411" TargetMode="External"/><Relationship Id="rId112" Type="http://schemas.openxmlformats.org/officeDocument/2006/relationships/hyperlink" Target="https://us3.assetplanner.com/service_request?ID=102424" TargetMode="External"/><Relationship Id="rId133" Type="http://schemas.openxmlformats.org/officeDocument/2006/relationships/hyperlink" Target="https://us3.assetplanner.com/service_request?ID=112258" TargetMode="External"/><Relationship Id="rId16" Type="http://schemas.openxmlformats.org/officeDocument/2006/relationships/hyperlink" Target="https://us3.assetplanner.com/service_request?ID=10651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44" activePane="bottomRight" state="frozen"/>
      <selection pane="bottomRight" activeCell="C86" sqref="C86"/>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2" t="str" cm="1">
        <f t="array" ref="A1">portfolio</f>
        <v>Clean Capital</v>
      </c>
      <c r="B1" s="122"/>
      <c r="C1" s="122"/>
      <c r="D1" s="123" t="s">
        <v>0</v>
      </c>
      <c r="E1" s="123"/>
      <c r="F1" s="123"/>
      <c r="G1" s="121" t="s">
        <v>1</v>
      </c>
      <c r="H1" s="121"/>
      <c r="I1" s="121"/>
    </row>
    <row r="2" spans="1:9" ht="19.5" customHeight="1">
      <c r="A2" s="124" t="s">
        <v>2</v>
      </c>
      <c r="B2" s="124"/>
      <c r="C2" s="5">
        <f>SUM(C4:C171)</f>
        <v>2583593.8934600004</v>
      </c>
      <c r="D2" s="5">
        <f>SUM(D4:D171)</f>
        <v>2408969.7280000006</v>
      </c>
      <c r="E2" s="5">
        <f>C2-D2</f>
        <v>174624.16545999981</v>
      </c>
      <c r="F2" s="6">
        <f>IFERROR(E2/D2, 0)</f>
        <v>7.2489148962854785E-2</v>
      </c>
      <c r="G2" s="5">
        <f>SUM(G4:G171)</f>
        <v>3112416.0249999999</v>
      </c>
      <c r="H2" s="7" t="s">
        <v>3</v>
      </c>
      <c r="I2" s="6">
        <f>IFERROR(H2/G2, 0)</f>
        <v>0</v>
      </c>
    </row>
    <row r="3" spans="1:9" ht="14.25" customHeight="1">
      <c r="A3" s="12" t="s">
        <v>4</v>
      </c>
      <c r="B3" s="12" t="s">
        <v>5</v>
      </c>
      <c r="C3" s="19" t="s">
        <v>6</v>
      </c>
      <c r="D3" s="20" t="s">
        <v>7</v>
      </c>
      <c r="E3" s="20" t="s">
        <v>8</v>
      </c>
      <c r="F3" s="21" t="s">
        <v>9</v>
      </c>
      <c r="G3" s="22" t="s">
        <v>10</v>
      </c>
      <c r="H3" s="23" t="s">
        <v>8</v>
      </c>
      <c r="I3" s="24" t="s">
        <v>9</v>
      </c>
    </row>
    <row r="4" spans="1:9" ht="15.6">
      <c r="A4" s="26" t="str" cm="1">
        <f t="array" ref="A4:A85">Sites[Site]</f>
        <v>Lexington - Cotting School</v>
      </c>
      <c r="B4" s="27" t="str" cm="1">
        <f t="array" ref="B4:B85">Sites[State]</f>
        <v>MA</v>
      </c>
      <c r="C4" s="28">
        <f>SUM('1st Qtr'!C4, '2nd Qtr'!C4, '3rd Qtr'!C4, '4th Qtr'!C4)</f>
        <v>7117.28</v>
      </c>
      <c r="D4" s="29">
        <f>SUM('1st Qtr'!D4, '2nd Qtr'!D4, '3rd Qtr'!D4, '4th Qtr'!D4)</f>
        <v>0</v>
      </c>
      <c r="E4" s="29">
        <f>IF(AND(ISNUMBER(C4),ISNUMBER(D4)), C4-D4, "")</f>
        <v>7117.28</v>
      </c>
      <c r="F4" s="30" t="str">
        <f>IFERROR(E4/D4, "")</f>
        <v/>
      </c>
      <c r="G4" s="31">
        <f>SUM('1st Qtr'!G4, '2nd Qtr'!G4, '3rd Qtr'!G4, '4th Qtr'!G4)</f>
        <v>0</v>
      </c>
      <c r="H4" s="31">
        <f>SUM('1st Qtr'!H4, '2nd Qtr'!H4, '3rd Qtr'!H4, '4th Qtr'!H4)</f>
        <v>0</v>
      </c>
      <c r="I4" s="32" t="str">
        <f>IFERROR(H4/G4, "")</f>
        <v/>
      </c>
    </row>
    <row r="5" spans="1:9" ht="15.6">
      <c r="A5" s="33" t="str">
        <v>Pacoima - Whiteman Airport</v>
      </c>
      <c r="B5" s="34" t="str">
        <v>CA</v>
      </c>
      <c r="C5" s="35">
        <f>SUM('1st Qtr'!C5, '2nd Qtr'!C5, '3rd Qtr'!C5, '4th Qtr'!C5)</f>
        <v>20016.3</v>
      </c>
      <c r="D5" s="35">
        <f>SUM('1st Qtr'!D5, '2nd Qtr'!D5, '3rd Qtr'!D5, '4th Qtr'!D5)</f>
        <v>0</v>
      </c>
      <c r="E5" s="36">
        <f t="shared" ref="E5:E6" si="0">IF(AND(ISNUMBER(C5),ISNUMBER(D5)), C5-D5, "")</f>
        <v>20016.3</v>
      </c>
      <c r="F5" s="37" t="str">
        <f>IFERROR(E5/D5, "")</f>
        <v/>
      </c>
      <c r="G5" s="38">
        <f>SUM('1st Qtr'!G5, '2nd Qtr'!G5, '3rd Qtr'!G5, '4th Qtr'!G5)</f>
        <v>34320</v>
      </c>
      <c r="H5" s="38">
        <f>SUM('1st Qtr'!H5, '2nd Qtr'!H5, '3rd Qtr'!H5, '4th Qtr'!H5)</f>
        <v>-14303.7</v>
      </c>
      <c r="I5" s="37">
        <f>IFERROR(H5/G5, "")</f>
        <v>-0.41677447552447555</v>
      </c>
    </row>
    <row r="6" spans="1:9" ht="15.6">
      <c r="A6" s="26" t="str">
        <v>Hyannis - Sturgis Charter School</v>
      </c>
      <c r="B6" s="27" t="str">
        <v>MA</v>
      </c>
      <c r="C6" s="28">
        <f>SUM('1st Qtr'!C6, '2nd Qtr'!C6, '3rd Qtr'!C6, '4th Qtr'!C6)</f>
        <v>5497.3850000000002</v>
      </c>
      <c r="D6" s="29">
        <f>SUM('1st Qtr'!D6, '2nd Qtr'!D6, '3rd Qtr'!D6, '4th Qtr'!D6)</f>
        <v>0</v>
      </c>
      <c r="E6" s="29">
        <f t="shared" si="0"/>
        <v>5497.3850000000002</v>
      </c>
      <c r="F6" s="30" t="str">
        <f t="shared" ref="F6:F69" si="1">IFERROR(E6/D6, "")</f>
        <v/>
      </c>
      <c r="G6" s="31">
        <f>SUM('1st Qtr'!G6, '2nd Qtr'!G6, '3rd Qtr'!G6, '4th Qtr'!G6)</f>
        <v>12393.7</v>
      </c>
      <c r="H6" s="31">
        <f>SUM('1st Qtr'!H6, '2nd Qtr'!H6, '3rd Qtr'!H6, '4th Qtr'!H6)</f>
        <v>-6896.3150000000005</v>
      </c>
      <c r="I6" s="32">
        <f t="shared" ref="I6:I69" si="2">IFERROR(H6/G6, "")</f>
        <v>-0.5564371414508984</v>
      </c>
    </row>
    <row r="7" spans="1:9" ht="15.6">
      <c r="A7" s="33" t="str">
        <v>South Dennis - Tony Kent Arena</v>
      </c>
      <c r="B7" s="34" t="str">
        <v>MA</v>
      </c>
      <c r="C7" s="35">
        <f>SUM('1st Qtr'!C7, '2nd Qtr'!C7, '3rd Qtr'!C7, '4th Qtr'!C7)</f>
        <v>6813.92</v>
      </c>
      <c r="D7" s="35">
        <f>SUM('1st Qtr'!D7, '2nd Qtr'!D7, '3rd Qtr'!D7, '4th Qtr'!D7)</f>
        <v>0</v>
      </c>
      <c r="E7" s="36">
        <f t="shared" ref="E7:E70" si="3">IF(AND(ISNUMBER(C7),ISNUMBER(D7)), C7-D7, "")</f>
        <v>6813.92</v>
      </c>
      <c r="F7" s="37" t="str">
        <f t="shared" si="1"/>
        <v/>
      </c>
      <c r="G7" s="38">
        <f>SUM('1st Qtr'!G7, '2nd Qtr'!G7, '3rd Qtr'!G7, '4th Qtr'!G7)</f>
        <v>0</v>
      </c>
      <c r="H7" s="38">
        <f>SUM('1st Qtr'!H7, '2nd Qtr'!H7, '3rd Qtr'!H7, '4th Qtr'!H7)</f>
        <v>0</v>
      </c>
      <c r="I7" s="37" t="str">
        <f t="shared" si="2"/>
        <v/>
      </c>
    </row>
    <row r="8" spans="1:9" ht="15.6">
      <c r="A8" s="26" t="str">
        <v xml:space="preserve"> Caropolis - Felician Sisters</v>
      </c>
      <c r="B8" s="27" t="str">
        <v>PA</v>
      </c>
      <c r="C8" s="28">
        <f>SUM('1st Qtr'!C8, '2nd Qtr'!C8, '3rd Qtr'!C8, '4th Qtr'!C8)</f>
        <v>14772</v>
      </c>
      <c r="D8" s="29">
        <f>SUM('1st Qtr'!D8, '2nd Qtr'!D8, '3rd Qtr'!D8, '4th Qtr'!D8)</f>
        <v>0</v>
      </c>
      <c r="E8" s="29">
        <f t="shared" si="3"/>
        <v>14772</v>
      </c>
      <c r="F8" s="30" t="str">
        <f t="shared" si="1"/>
        <v/>
      </c>
      <c r="G8" s="31">
        <f>SUM('1st Qtr'!G8, '2nd Qtr'!G8, '3rd Qtr'!G8, '4th Qtr'!G8)</f>
        <v>0</v>
      </c>
      <c r="H8" s="31">
        <f>SUM('1st Qtr'!H8, '2nd Qtr'!H8, '3rd Qtr'!H8, '4th Qtr'!H8)</f>
        <v>0</v>
      </c>
      <c r="I8" s="32" t="str">
        <f t="shared" si="2"/>
        <v/>
      </c>
    </row>
    <row r="9" spans="1:9" ht="15.6">
      <c r="A9" s="33" t="str">
        <v>Clear Lake - Eastlake Gohman</v>
      </c>
      <c r="B9" s="34" t="str">
        <v>MN</v>
      </c>
      <c r="C9" s="35">
        <f>SUM('1st Qtr'!C9, '2nd Qtr'!C9, '3rd Qtr'!C9, '4th Qtr'!C9)</f>
        <v>100260</v>
      </c>
      <c r="D9" s="35">
        <f>SUM('1st Qtr'!D9, '2nd Qtr'!D9, '3rd Qtr'!D9, '4th Qtr'!D9)</f>
        <v>0</v>
      </c>
      <c r="E9" s="36">
        <f t="shared" si="3"/>
        <v>100260</v>
      </c>
      <c r="F9" s="37" t="str">
        <f t="shared" si="1"/>
        <v/>
      </c>
      <c r="G9" s="38">
        <f>SUM('1st Qtr'!G9, '2nd Qtr'!G9, '3rd Qtr'!G9, '4th Qtr'!G9)</f>
        <v>90704.34</v>
      </c>
      <c r="H9" s="38">
        <f>SUM('1st Qtr'!H9, '2nd Qtr'!H9, '3rd Qtr'!H9, '4th Qtr'!H9)</f>
        <v>9555.6600000000035</v>
      </c>
      <c r="I9" s="37">
        <f t="shared" si="2"/>
        <v>0.10534953454266911</v>
      </c>
    </row>
    <row r="10" spans="1:9" ht="15.6">
      <c r="A10" s="26" t="str">
        <v>Zumbrota - Eastlake Brenda Luhman</v>
      </c>
      <c r="B10" s="27" t="str">
        <v>MN</v>
      </c>
      <c r="C10" s="28">
        <f>SUM('1st Qtr'!C10, '2nd Qtr'!C10, '3rd Qtr'!C10, '4th Qtr'!C10)</f>
        <v>98665</v>
      </c>
      <c r="D10" s="29">
        <f>SUM('1st Qtr'!D10, '2nd Qtr'!D10, '3rd Qtr'!D10, '4th Qtr'!D10)</f>
        <v>0</v>
      </c>
      <c r="E10" s="29">
        <f t="shared" si="3"/>
        <v>98665</v>
      </c>
      <c r="F10" s="30" t="str">
        <f t="shared" si="1"/>
        <v/>
      </c>
      <c r="G10" s="31">
        <f>SUM('1st Qtr'!G10, '2nd Qtr'!G10, '3rd Qtr'!G10, '4th Qtr'!G10)</f>
        <v>114650</v>
      </c>
      <c r="H10" s="31">
        <f>SUM('1st Qtr'!H10, '2nd Qtr'!H10, '3rd Qtr'!H10, '4th Qtr'!H10)</f>
        <v>-15985</v>
      </c>
      <c r="I10" s="32">
        <f t="shared" si="2"/>
        <v>-0.13942433493240297</v>
      </c>
    </row>
    <row r="11" spans="1:9" ht="15.6">
      <c r="A11" s="33" t="str">
        <v>Cokato - Eastlake Carlson</v>
      </c>
      <c r="B11" s="34" t="str">
        <v>MN</v>
      </c>
      <c r="C11" s="35">
        <f>SUM('1st Qtr'!C11, '2nd Qtr'!C11, '3rd Qtr'!C11, '4th Qtr'!C11)</f>
        <v>92635</v>
      </c>
      <c r="D11" s="35">
        <f>SUM('1st Qtr'!D11, '2nd Qtr'!D11, '3rd Qtr'!D11, '4th Qtr'!D11)</f>
        <v>0</v>
      </c>
      <c r="E11" s="36">
        <f t="shared" si="3"/>
        <v>92635</v>
      </c>
      <c r="F11" s="37" t="str">
        <f t="shared" si="1"/>
        <v/>
      </c>
      <c r="G11" s="38">
        <f>SUM('1st Qtr'!G11, '2nd Qtr'!G11, '3rd Qtr'!G11, '4th Qtr'!G11)</f>
        <v>118503.8</v>
      </c>
      <c r="H11" s="38">
        <f>SUM('1st Qtr'!H11, '2nd Qtr'!H11, '3rd Qtr'!H11, '4th Qtr'!H11)</f>
        <v>-25868.800000000003</v>
      </c>
      <c r="I11" s="37">
        <f t="shared" si="2"/>
        <v>-0.21829510952391401</v>
      </c>
    </row>
    <row r="12" spans="1:9" ht="15.6">
      <c r="A12" s="26" t="str">
        <v>North Branch - Cornille 2</v>
      </c>
      <c r="B12" s="27" t="str">
        <v>MN</v>
      </c>
      <c r="C12" s="28">
        <f>SUM('1st Qtr'!C12, '2nd Qtr'!C12, '3rd Qtr'!C12, '4th Qtr'!C12)</f>
        <v>85685.583920000005</v>
      </c>
      <c r="D12" s="29">
        <f>SUM('1st Qtr'!D12, '2nd Qtr'!D12, '3rd Qtr'!D12, '4th Qtr'!D12)</f>
        <v>0</v>
      </c>
      <c r="E12" s="29">
        <f t="shared" si="3"/>
        <v>85685.583920000005</v>
      </c>
      <c r="F12" s="30" t="str">
        <f t="shared" si="1"/>
        <v/>
      </c>
      <c r="G12" s="31">
        <f>SUM('1st Qtr'!G12, '2nd Qtr'!G12, '3rd Qtr'!G12, '4th Qtr'!G12)</f>
        <v>102177</v>
      </c>
      <c r="H12" s="31">
        <f>SUM('1st Qtr'!H12, '2nd Qtr'!H12, '3rd Qtr'!H12, '4th Qtr'!H12)</f>
        <v>-16491.416079999995</v>
      </c>
      <c r="I12" s="32">
        <f t="shared" si="2"/>
        <v>-0.1614004725133836</v>
      </c>
    </row>
    <row r="13" spans="1:9" ht="15.6">
      <c r="A13" s="33" t="str">
        <v>Clear Lake - Eastlake Hammer</v>
      </c>
      <c r="B13" s="34" t="str">
        <v>MN</v>
      </c>
      <c r="C13" s="35">
        <f>SUM('1st Qtr'!C13, '2nd Qtr'!C13, '3rd Qtr'!C13, '4th Qtr'!C13)</f>
        <v>98222</v>
      </c>
      <c r="D13" s="35">
        <f>SUM('1st Qtr'!D13, '2nd Qtr'!D13, '3rd Qtr'!D13, '4th Qtr'!D13)</f>
        <v>0</v>
      </c>
      <c r="E13" s="36">
        <f t="shared" si="3"/>
        <v>98222</v>
      </c>
      <c r="F13" s="37" t="str">
        <f t="shared" si="1"/>
        <v/>
      </c>
      <c r="G13" s="38">
        <f>SUM('1st Qtr'!G13, '2nd Qtr'!G13, '3rd Qtr'!G13, '4th Qtr'!G13)</f>
        <v>99053.53</v>
      </c>
      <c r="H13" s="38">
        <f>SUM('1st Qtr'!H13, '2nd Qtr'!H13, '3rd Qtr'!H13, '4th Qtr'!H13)</f>
        <v>-831.52999999999884</v>
      </c>
      <c r="I13" s="37">
        <f t="shared" si="2"/>
        <v>-8.3947538265420618E-3</v>
      </c>
    </row>
    <row r="14" spans="1:9" ht="15.6">
      <c r="A14" s="26" t="str">
        <v>Eastlake - Hertzberg CSG 1</v>
      </c>
      <c r="B14" s="27" t="str">
        <v>MN</v>
      </c>
      <c r="C14" s="28">
        <f>SUM('1st Qtr'!C14, '2nd Qtr'!C14, '3rd Qtr'!C14, '4th Qtr'!C14)</f>
        <v>85984</v>
      </c>
      <c r="D14" s="29">
        <f>SUM('1st Qtr'!D14, '2nd Qtr'!D14, '3rd Qtr'!D14, '4th Qtr'!D14)</f>
        <v>0</v>
      </c>
      <c r="E14" s="29">
        <f t="shared" si="3"/>
        <v>85984</v>
      </c>
      <c r="F14" s="30" t="str">
        <f t="shared" si="1"/>
        <v/>
      </c>
      <c r="G14" s="31">
        <f>SUM('1st Qtr'!G14, '2nd Qtr'!G14, '3rd Qtr'!G14, '4th Qtr'!G14)</f>
        <v>104254.1</v>
      </c>
      <c r="H14" s="31">
        <f>SUM('1st Qtr'!H14, '2nd Qtr'!H14, '3rd Qtr'!H14, '4th Qtr'!H14)</f>
        <v>-18270.100000000006</v>
      </c>
      <c r="I14" s="32">
        <f t="shared" si="2"/>
        <v>-0.17524586563022465</v>
      </c>
    </row>
    <row r="15" spans="1:9" ht="15.6">
      <c r="A15" s="33" t="str">
        <v>Cokato - Eastlake Laurel Village</v>
      </c>
      <c r="B15" s="34" t="str">
        <v>MN</v>
      </c>
      <c r="C15" s="35">
        <f>SUM('1st Qtr'!C15, '2nd Qtr'!C15, '3rd Qtr'!C15, '4th Qtr'!C15)</f>
        <v>73449.135680000007</v>
      </c>
      <c r="D15" s="35">
        <f>SUM('1st Qtr'!D15, '2nd Qtr'!D15, '3rd Qtr'!D15, '4th Qtr'!D15)</f>
        <v>0</v>
      </c>
      <c r="E15" s="36">
        <f t="shared" si="3"/>
        <v>73449.135680000007</v>
      </c>
      <c r="F15" s="37" t="str">
        <f t="shared" si="1"/>
        <v/>
      </c>
      <c r="G15" s="38">
        <f>SUM('1st Qtr'!G15, '2nd Qtr'!G15, '3rd Qtr'!G15, '4th Qtr'!G15)</f>
        <v>92786.05</v>
      </c>
      <c r="H15" s="38">
        <f>SUM('1st Qtr'!H15, '2nd Qtr'!H15, '3rd Qtr'!H15, '4th Qtr'!H15)</f>
        <v>-19336.914319999996</v>
      </c>
      <c r="I15" s="37">
        <f t="shared" si="2"/>
        <v>-0.20840324941087585</v>
      </c>
    </row>
    <row r="16" spans="1:9" ht="15.6">
      <c r="A16" s="26" t="str">
        <v>St. Peter - Eastlake Paulson</v>
      </c>
      <c r="B16" s="27" t="str">
        <v>MN</v>
      </c>
      <c r="C16" s="28">
        <f>SUM('1st Qtr'!C16, '2nd Qtr'!C16, '3rd Qtr'!C16, '4th Qtr'!C16)</f>
        <v>78437.838910000006</v>
      </c>
      <c r="D16" s="29">
        <f>SUM('1st Qtr'!D16, '2nd Qtr'!D16, '3rd Qtr'!D16, '4th Qtr'!D16)</f>
        <v>0</v>
      </c>
      <c r="E16" s="29">
        <f t="shared" si="3"/>
        <v>78437.838910000006</v>
      </c>
      <c r="F16" s="30" t="str">
        <f t="shared" si="1"/>
        <v/>
      </c>
      <c r="G16" s="31">
        <f>SUM('1st Qtr'!G16, '2nd Qtr'!G16, '3rd Qtr'!G16, '4th Qtr'!G16)</f>
        <v>115834.5</v>
      </c>
      <c r="H16" s="31">
        <f>SUM('1st Qtr'!H16, '2nd Qtr'!H16, '3rd Qtr'!H16, '4th Qtr'!H16)</f>
        <v>-37396.661089999994</v>
      </c>
      <c r="I16" s="32">
        <f t="shared" si="2"/>
        <v>-0.32284562103691039</v>
      </c>
    </row>
    <row r="17" spans="1:9" ht="15.6">
      <c r="A17" s="33" t="str">
        <v>Felician Sisters Convent</v>
      </c>
      <c r="B17" s="34" t="str">
        <v>NJ</v>
      </c>
      <c r="C17" s="35">
        <f>SUM('1st Qtr'!C17, '2nd Qtr'!C17, '3rd Qtr'!C17, '4th Qtr'!C17)</f>
        <v>6359.9</v>
      </c>
      <c r="D17" s="35">
        <f>SUM('1st Qtr'!D17, '2nd Qtr'!D17, '3rd Qtr'!D17, '4th Qtr'!D17)</f>
        <v>0</v>
      </c>
      <c r="E17" s="36">
        <f t="shared" si="3"/>
        <v>6359.9</v>
      </c>
      <c r="F17" s="37" t="str">
        <f t="shared" si="1"/>
        <v/>
      </c>
      <c r="G17" s="38">
        <f>SUM('1st Qtr'!G17, '2nd Qtr'!G17, '3rd Qtr'!G17, '4th Qtr'!G17)</f>
        <v>0</v>
      </c>
      <c r="H17" s="38">
        <f>SUM('1st Qtr'!H17, '2nd Qtr'!H17, '3rd Qtr'!H17, '4th Qtr'!H17)</f>
        <v>0</v>
      </c>
      <c r="I17" s="37" t="str">
        <f t="shared" si="2"/>
        <v/>
      </c>
    </row>
    <row r="18" spans="1:9" ht="15.6">
      <c r="A18" s="26" t="str">
        <v>Sussex County Fairgrounds</v>
      </c>
      <c r="B18" s="27" t="str">
        <v>NJ</v>
      </c>
      <c r="C18" s="28">
        <f>SUM('1st Qtr'!C18, '2nd Qtr'!C18, '3rd Qtr'!C18, '4th Qtr'!C18)</f>
        <v>13739.56</v>
      </c>
      <c r="D18" s="29">
        <f>SUM('1st Qtr'!D18, '2nd Qtr'!D18, '3rd Qtr'!D18, '4th Qtr'!D18)</f>
        <v>0</v>
      </c>
      <c r="E18" s="29">
        <f t="shared" si="3"/>
        <v>13739.56</v>
      </c>
      <c r="F18" s="30" t="str">
        <f t="shared" si="1"/>
        <v/>
      </c>
      <c r="G18" s="31">
        <f>SUM('1st Qtr'!G18, '2nd Qtr'!G18, '3rd Qtr'!G18, '4th Qtr'!G18)</f>
        <v>0</v>
      </c>
      <c r="H18" s="31">
        <f>SUM('1st Qtr'!H18, '2nd Qtr'!H18, '3rd Qtr'!H18, '4th Qtr'!H18)</f>
        <v>0</v>
      </c>
      <c r="I18" s="32" t="str">
        <f t="shared" si="2"/>
        <v/>
      </c>
    </row>
    <row r="19" spans="1:9" ht="15.6">
      <c r="A19" s="33" t="str">
        <v>Gateway Church</v>
      </c>
      <c r="B19" s="34" t="str">
        <v>NJ</v>
      </c>
      <c r="C19" s="35">
        <f>SUM('1st Qtr'!C19, '2nd Qtr'!C19, '3rd Qtr'!C19, '4th Qtr'!C19)</f>
        <v>3705</v>
      </c>
      <c r="D19" s="35">
        <f>SUM('1st Qtr'!D19, '2nd Qtr'!D19, '3rd Qtr'!D19, '4th Qtr'!D19)</f>
        <v>0</v>
      </c>
      <c r="E19" s="36">
        <f t="shared" si="3"/>
        <v>3705</v>
      </c>
      <c r="F19" s="37" t="str">
        <f t="shared" si="1"/>
        <v/>
      </c>
      <c r="G19" s="38">
        <f>SUM('1st Qtr'!G19, '2nd Qtr'!G19, '3rd Qtr'!G19, '4th Qtr'!G19)</f>
        <v>0</v>
      </c>
      <c r="H19" s="38">
        <f>SUM('1st Qtr'!H19, '2nd Qtr'!H19, '3rd Qtr'!H19, '4th Qtr'!H19)</f>
        <v>0</v>
      </c>
      <c r="I19" s="37" t="str">
        <f t="shared" si="2"/>
        <v/>
      </c>
    </row>
    <row r="20" spans="1:9" ht="15.6">
      <c r="A20" s="26" t="str">
        <v>Beaver Falls - Felician Sisters</v>
      </c>
      <c r="B20" s="27" t="str">
        <v>PA</v>
      </c>
      <c r="C20" s="28">
        <f>SUM('1st Qtr'!C20, '2nd Qtr'!C20, '3rd Qtr'!C20, '4th Qtr'!C20)</f>
        <v>9199</v>
      </c>
      <c r="D20" s="29">
        <f>SUM('1st Qtr'!D20, '2nd Qtr'!D20, '3rd Qtr'!D20, '4th Qtr'!D20)</f>
        <v>0</v>
      </c>
      <c r="E20" s="29">
        <f t="shared" si="3"/>
        <v>9199</v>
      </c>
      <c r="F20" s="30" t="str">
        <f t="shared" si="1"/>
        <v/>
      </c>
      <c r="G20" s="31">
        <f>SUM('1st Qtr'!G20, '2nd Qtr'!G20, '3rd Qtr'!G20, '4th Qtr'!G20)</f>
        <v>0</v>
      </c>
      <c r="H20" s="31">
        <f>SUM('1st Qtr'!H20, '2nd Qtr'!H20, '3rd Qtr'!H20, '4th Qtr'!H20)</f>
        <v>0</v>
      </c>
      <c r="I20" s="32" t="str">
        <f t="shared" si="2"/>
        <v/>
      </c>
    </row>
    <row r="21" spans="1:9" ht="15.6">
      <c r="A21" s="33" t="str">
        <v>Livonia - Felician Sisters Ground</v>
      </c>
      <c r="B21" s="34" t="str">
        <v>MI</v>
      </c>
      <c r="C21" s="35">
        <f>SUM('1st Qtr'!C21, '2nd Qtr'!C21, '3rd Qtr'!C21, '4th Qtr'!C21)</f>
        <v>1173</v>
      </c>
      <c r="D21" s="35">
        <f>SUM('1st Qtr'!D21, '2nd Qtr'!D21, '3rd Qtr'!D21, '4th Qtr'!D21)</f>
        <v>0</v>
      </c>
      <c r="E21" s="36">
        <f t="shared" si="3"/>
        <v>1173</v>
      </c>
      <c r="F21" s="37" t="str">
        <f t="shared" si="1"/>
        <v/>
      </c>
      <c r="G21" s="38">
        <f>SUM('1st Qtr'!G21, '2nd Qtr'!G21, '3rd Qtr'!G21, '4th Qtr'!G21)</f>
        <v>0</v>
      </c>
      <c r="H21" s="38">
        <f>SUM('1st Qtr'!H21, '2nd Qtr'!H21, '3rd Qtr'!H21, '4th Qtr'!H21)</f>
        <v>0</v>
      </c>
      <c r="I21" s="37" t="str">
        <f t="shared" si="2"/>
        <v/>
      </c>
    </row>
    <row r="22" spans="1:9" ht="15.6">
      <c r="A22" s="26" t="str">
        <v>Livonia - Felician Sisters Roof</v>
      </c>
      <c r="B22" s="27" t="str">
        <v>MI</v>
      </c>
      <c r="C22" s="28">
        <f>SUM('1st Qtr'!C22, '2nd Qtr'!C22, '3rd Qtr'!C22, '4th Qtr'!C22)</f>
        <v>2263</v>
      </c>
      <c r="D22" s="29">
        <f>SUM('1st Qtr'!D22, '2nd Qtr'!D22, '3rd Qtr'!D22, '4th Qtr'!D22)</f>
        <v>0</v>
      </c>
      <c r="E22" s="29">
        <f t="shared" si="3"/>
        <v>2263</v>
      </c>
      <c r="F22" s="30" t="str">
        <f t="shared" si="1"/>
        <v/>
      </c>
      <c r="G22" s="31">
        <f>SUM('1st Qtr'!G22, '2nd Qtr'!G22, '3rd Qtr'!G22, '4th Qtr'!G22)</f>
        <v>0</v>
      </c>
      <c r="H22" s="31">
        <f>SUM('1st Qtr'!H22, '2nd Qtr'!H22, '3rd Qtr'!H22, '4th Qtr'!H22)</f>
        <v>0</v>
      </c>
      <c r="I22" s="32" t="str">
        <f t="shared" si="2"/>
        <v/>
      </c>
    </row>
    <row r="23" spans="1:9" ht="15.6">
      <c r="A23" s="33" t="str">
        <v>Monmouth Worship Ctr</v>
      </c>
      <c r="B23" s="34" t="str">
        <v>NJ</v>
      </c>
      <c r="C23" s="35">
        <f>SUM('1st Qtr'!C23, '2nd Qtr'!C23, '3rd Qtr'!C23, '4th Qtr'!C23)</f>
        <v>3056.09</v>
      </c>
      <c r="D23" s="35">
        <f>SUM('1st Qtr'!D23, '2nd Qtr'!D23, '3rd Qtr'!D23, '4th Qtr'!D23)</f>
        <v>0</v>
      </c>
      <c r="E23" s="36">
        <f t="shared" si="3"/>
        <v>3056.09</v>
      </c>
      <c r="F23" s="37" t="str">
        <f t="shared" si="1"/>
        <v/>
      </c>
      <c r="G23" s="38">
        <f>SUM('1st Qtr'!G23, '2nd Qtr'!G23, '3rd Qtr'!G23, '4th Qtr'!G23)</f>
        <v>0</v>
      </c>
      <c r="H23" s="38">
        <f>SUM('1st Qtr'!H23, '2nd Qtr'!H23, '3rd Qtr'!H23, '4th Qtr'!H23)</f>
        <v>0</v>
      </c>
      <c r="I23" s="37" t="str">
        <f t="shared" si="2"/>
        <v/>
      </c>
    </row>
    <row r="24" spans="1:9" ht="15.6">
      <c r="A24" s="26" t="str">
        <v xml:space="preserve"> Audubon - Senior Citizens United</v>
      </c>
      <c r="B24" s="27" t="str">
        <v>NJ</v>
      </c>
      <c r="C24" s="28">
        <f>SUM('1st Qtr'!C24, '2nd Qtr'!C24, '3rd Qtr'!C24, '4th Qtr'!C24)</f>
        <v>3584.3</v>
      </c>
      <c r="D24" s="29">
        <f>SUM('1st Qtr'!D24, '2nd Qtr'!D24, '3rd Qtr'!D24, '4th Qtr'!D24)</f>
        <v>0</v>
      </c>
      <c r="E24" s="29">
        <f t="shared" si="3"/>
        <v>3584.3</v>
      </c>
      <c r="F24" s="30" t="str">
        <f t="shared" si="1"/>
        <v/>
      </c>
      <c r="G24" s="31">
        <f>SUM('1st Qtr'!G24, '2nd Qtr'!G24, '3rd Qtr'!G24, '4th Qtr'!G24)</f>
        <v>0</v>
      </c>
      <c r="H24" s="31">
        <f>SUM('1st Qtr'!H24, '2nd Qtr'!H24, '3rd Qtr'!H24, '4th Qtr'!H24)</f>
        <v>0</v>
      </c>
      <c r="I24" s="32" t="str">
        <f t="shared" si="2"/>
        <v/>
      </c>
    </row>
    <row r="25" spans="1:9" ht="15.6">
      <c r="A25" s="33" t="str">
        <v>Hollister - PG&amp;E (Enerparc)</v>
      </c>
      <c r="B25" s="34" t="str">
        <v>CA</v>
      </c>
      <c r="C25" s="35">
        <f>SUM('1st Qtr'!C25, '2nd Qtr'!C25, '3rd Qtr'!C25, '4th Qtr'!C25)</f>
        <v>234442.20300000001</v>
      </c>
      <c r="D25" s="35">
        <f>SUM('1st Qtr'!D25, '2nd Qtr'!D25, '3rd Qtr'!D25, '4th Qtr'!D25)</f>
        <v>193200.2</v>
      </c>
      <c r="E25" s="36">
        <f t="shared" si="3"/>
        <v>41242.002999999997</v>
      </c>
      <c r="F25" s="37">
        <f t="shared" si="1"/>
        <v>0.21346770344958232</v>
      </c>
      <c r="G25" s="38">
        <f>SUM('1st Qtr'!G25, '2nd Qtr'!G25, '3rd Qtr'!G25, '4th Qtr'!G25)</f>
        <v>182348.9</v>
      </c>
      <c r="H25" s="38">
        <f>SUM('1st Qtr'!H25, '2nd Qtr'!H25, '3rd Qtr'!H25, '4th Qtr'!H25)</f>
        <v>52093.303000000014</v>
      </c>
      <c r="I25" s="37">
        <f t="shared" si="2"/>
        <v>0.28567928295701273</v>
      </c>
    </row>
    <row r="26" spans="1:9" ht="15.6">
      <c r="A26" s="26" t="str">
        <v>Taos County - Kit Carson Electric Co-Op</v>
      </c>
      <c r="B26" s="27" t="str">
        <v>NM</v>
      </c>
      <c r="C26" s="28">
        <f>SUM('1st Qtr'!C26, '2nd Qtr'!C26, '3rd Qtr'!C26, '4th Qtr'!C26)</f>
        <v>157571</v>
      </c>
      <c r="D26" s="29">
        <f>SUM('1st Qtr'!D26, '2nd Qtr'!D26, '3rd Qtr'!D26, '4th Qtr'!D26)</f>
        <v>126147.7</v>
      </c>
      <c r="E26" s="29">
        <f t="shared" si="3"/>
        <v>31423.300000000003</v>
      </c>
      <c r="F26" s="30">
        <f t="shared" si="1"/>
        <v>0.24909927014127092</v>
      </c>
      <c r="G26" s="31">
        <f>SUM('1st Qtr'!G26, '2nd Qtr'!G26, '3rd Qtr'!G26, '4th Qtr'!G26)</f>
        <v>96766.3</v>
      </c>
      <c r="H26" s="31">
        <f>SUM('1st Qtr'!H26, '2nd Qtr'!H26, '3rd Qtr'!H26, '4th Qtr'!H26)</f>
        <v>60804.7</v>
      </c>
      <c r="I26" s="32">
        <f t="shared" si="2"/>
        <v>0.62836648709313048</v>
      </c>
    </row>
    <row r="27" spans="1:9" ht="15.6">
      <c r="A27" s="33" t="str">
        <v>Commerce City - Adams City HS</v>
      </c>
      <c r="B27" s="34" t="str">
        <v>CO</v>
      </c>
      <c r="C27" s="35">
        <f>SUM('1st Qtr'!C27, '2nd Qtr'!C27, '3rd Qtr'!C27, '4th Qtr'!C27)</f>
        <v>8504</v>
      </c>
      <c r="D27" s="35">
        <f>SUM('1st Qtr'!D27, '2nd Qtr'!D27, '3rd Qtr'!D27, '4th Qtr'!D27)</f>
        <v>7306.2920000000004</v>
      </c>
      <c r="E27" s="36">
        <f t="shared" si="3"/>
        <v>1197.7079999999996</v>
      </c>
      <c r="F27" s="37">
        <f t="shared" si="1"/>
        <v>0.16392829632322381</v>
      </c>
      <c r="G27" s="38">
        <f>SUM('1st Qtr'!G27, '2nd Qtr'!G27, '3rd Qtr'!G27, '4th Qtr'!G27)</f>
        <v>7831.9780000000001</v>
      </c>
      <c r="H27" s="38">
        <f>SUM('1st Qtr'!H27, '2nd Qtr'!H27, '3rd Qtr'!H27, '4th Qtr'!H27)</f>
        <v>672.02199999999993</v>
      </c>
      <c r="I27" s="37">
        <f t="shared" si="2"/>
        <v>8.5804888624559456E-2</v>
      </c>
    </row>
    <row r="28" spans="1:9" ht="15.6">
      <c r="A28" s="26" t="str">
        <v>Commerce City - Adams City MS</v>
      </c>
      <c r="B28" s="27" t="str">
        <v>CO</v>
      </c>
      <c r="C28" s="28">
        <f>SUM('1st Qtr'!C28, '2nd Qtr'!C28, '3rd Qtr'!C28, '4th Qtr'!C28)</f>
        <v>6640</v>
      </c>
      <c r="D28" s="29">
        <f>SUM('1st Qtr'!D28, '2nd Qtr'!D28, '3rd Qtr'!D28, '4th Qtr'!D28)</f>
        <v>6639.37</v>
      </c>
      <c r="E28" s="29">
        <f t="shared" si="3"/>
        <v>0.63000000000010914</v>
      </c>
      <c r="F28" s="30">
        <f t="shared" si="1"/>
        <v>9.4888521049453357E-5</v>
      </c>
      <c r="G28" s="31">
        <f>SUM('1st Qtr'!G28, '2nd Qtr'!G28, '3rd Qtr'!G28, '4th Qtr'!G28)</f>
        <v>6896.15</v>
      </c>
      <c r="H28" s="31">
        <f>SUM('1st Qtr'!H28, '2nd Qtr'!H28, '3rd Qtr'!H28, '4th Qtr'!H28)</f>
        <v>-256.14999999999964</v>
      </c>
      <c r="I28" s="32">
        <f t="shared" si="2"/>
        <v>-3.7143913632969067E-2</v>
      </c>
    </row>
    <row r="29" spans="1:9" ht="15.6">
      <c r="A29" s="33" t="str">
        <v>Commerce City - Central ES</v>
      </c>
      <c r="B29" s="34" t="str">
        <v>CO</v>
      </c>
      <c r="C29" s="35">
        <f>SUM('1st Qtr'!C29, '2nd Qtr'!C29, '3rd Qtr'!C29, '4th Qtr'!C29)</f>
        <v>1633</v>
      </c>
      <c r="D29" s="35">
        <f>SUM('1st Qtr'!D29, '2nd Qtr'!D29, '3rd Qtr'!D29, '4th Qtr'!D29)</f>
        <v>1830.559</v>
      </c>
      <c r="E29" s="36">
        <f t="shared" si="3"/>
        <v>-197.55899999999997</v>
      </c>
      <c r="F29" s="37">
        <f t="shared" si="1"/>
        <v>-0.10792277113165977</v>
      </c>
      <c r="G29" s="38">
        <f>SUM('1st Qtr'!G29, '2nd Qtr'!G29, '3rd Qtr'!G29, '4th Qtr'!G29)</f>
        <v>1937.3209999999999</v>
      </c>
      <c r="H29" s="38">
        <f>SUM('1st Qtr'!H29, '2nd Qtr'!H29, '3rd Qtr'!H29, '4th Qtr'!H29)</f>
        <v>-304.32099999999991</v>
      </c>
      <c r="I29" s="37">
        <f t="shared" si="2"/>
        <v>-0.15708341570653492</v>
      </c>
    </row>
    <row r="30" spans="1:9" ht="15.6">
      <c r="A30" s="26" t="str">
        <v>Commerce City - Dupont ES</v>
      </c>
      <c r="B30" s="27" t="str">
        <v>CO</v>
      </c>
      <c r="C30" s="28">
        <f>SUM('1st Qtr'!C30, '2nd Qtr'!C30, '3rd Qtr'!C30, '4th Qtr'!C30)</f>
        <v>5065</v>
      </c>
      <c r="D30" s="29">
        <f>SUM('1st Qtr'!D30, '2nd Qtr'!D30, '3rd Qtr'!D30, '4th Qtr'!D30)</f>
        <v>4930.7920000000004</v>
      </c>
      <c r="E30" s="29">
        <f t="shared" si="3"/>
        <v>134.20799999999963</v>
      </c>
      <c r="F30" s="30">
        <f t="shared" si="1"/>
        <v>2.7218345450385987E-2</v>
      </c>
      <c r="G30" s="31">
        <f>SUM('1st Qtr'!G30, '2nd Qtr'!G30, '3rd Qtr'!G30, '4th Qtr'!G30)</f>
        <v>5313.3059999999996</v>
      </c>
      <c r="H30" s="31">
        <f>SUM('1st Qtr'!H30, '2nd Qtr'!H30, '3rd Qtr'!H30, '4th Qtr'!H30)</f>
        <v>-248.30599999999959</v>
      </c>
      <c r="I30" s="32">
        <f t="shared" si="2"/>
        <v>-4.6732862741200976E-2</v>
      </c>
    </row>
    <row r="31" spans="1:9" ht="15.6">
      <c r="A31" s="33" t="str">
        <v>Commerce City - Educational Support Services</v>
      </c>
      <c r="B31" s="34" t="str">
        <v>CO</v>
      </c>
      <c r="C31" s="35">
        <f>SUM('1st Qtr'!C31, '2nd Qtr'!C31, '3rd Qtr'!C31, '4th Qtr'!C31)</f>
        <v>5195</v>
      </c>
      <c r="D31" s="35">
        <f>SUM('1st Qtr'!D31, '2nd Qtr'!D31, '3rd Qtr'!D31, '4th Qtr'!D31)</f>
        <v>5626.2690000000002</v>
      </c>
      <c r="E31" s="36">
        <f t="shared" si="3"/>
        <v>-431.26900000000023</v>
      </c>
      <c r="F31" s="37">
        <f t="shared" si="1"/>
        <v>-7.6652751583687201E-2</v>
      </c>
      <c r="G31" s="38">
        <f>SUM('1st Qtr'!G31, '2nd Qtr'!G31, '3rd Qtr'!G31, '4th Qtr'!G31)</f>
        <v>5960.0249999999996</v>
      </c>
      <c r="H31" s="38">
        <f>SUM('1st Qtr'!H31, '2nd Qtr'!H31, '3rd Qtr'!H31, '4th Qtr'!H31)</f>
        <v>-765.02499999999964</v>
      </c>
      <c r="I31" s="37">
        <f t="shared" si="2"/>
        <v>-0.12835936090872097</v>
      </c>
    </row>
    <row r="32" spans="1:9" ht="15.6">
      <c r="A32" s="26" t="str">
        <v>Commerce City - Hanson ES</v>
      </c>
      <c r="B32" s="27" t="str">
        <v>CO</v>
      </c>
      <c r="C32" s="28">
        <f>SUM('1st Qtr'!C32, '2nd Qtr'!C32, '3rd Qtr'!C32, '4th Qtr'!C32)</f>
        <v>7110</v>
      </c>
      <c r="D32" s="29">
        <f>SUM('1st Qtr'!D32, '2nd Qtr'!D32, '3rd Qtr'!D32, '4th Qtr'!D32)</f>
        <v>7337.6729999999998</v>
      </c>
      <c r="E32" s="29">
        <f t="shared" si="3"/>
        <v>-227.67299999999977</v>
      </c>
      <c r="F32" s="30">
        <f t="shared" si="1"/>
        <v>-3.1027956683269992E-2</v>
      </c>
      <c r="G32" s="31">
        <f>SUM('1st Qtr'!G32, '2nd Qtr'!G32, '3rd Qtr'!G32, '4th Qtr'!G32)</f>
        <v>7793.8789999999999</v>
      </c>
      <c r="H32" s="31">
        <f>SUM('1st Qtr'!H32, '2nd Qtr'!H32, '3rd Qtr'!H32, '4th Qtr'!H32)</f>
        <v>-683.87899999999991</v>
      </c>
      <c r="I32" s="32">
        <f t="shared" si="2"/>
        <v>-8.7745652710287128E-2</v>
      </c>
    </row>
    <row r="33" spans="1:9" ht="15.6">
      <c r="A33" s="33" t="str">
        <v>Commerce City - Kemp ES</v>
      </c>
      <c r="B33" s="34" t="str">
        <v>CO</v>
      </c>
      <c r="C33" s="35">
        <f>SUM('1st Qtr'!C33, '2nd Qtr'!C33, '3rd Qtr'!C33, '4th Qtr'!C33)</f>
        <v>7007</v>
      </c>
      <c r="D33" s="35">
        <f>SUM('1st Qtr'!D33, '2nd Qtr'!D33, '3rd Qtr'!D33, '4th Qtr'!D33)</f>
        <v>7333.6260000000002</v>
      </c>
      <c r="E33" s="36">
        <f t="shared" si="3"/>
        <v>-326.6260000000002</v>
      </c>
      <c r="F33" s="37">
        <f t="shared" si="1"/>
        <v>-4.4538131614565588E-2</v>
      </c>
      <c r="G33" s="38">
        <f>SUM('1st Qtr'!G33, '2nd Qtr'!G33, '3rd Qtr'!G33, '4th Qtr'!G33)</f>
        <v>7811.5309999999999</v>
      </c>
      <c r="H33" s="38">
        <f>SUM('1st Qtr'!H33, '2nd Qtr'!H33, '3rd Qtr'!H33, '4th Qtr'!H33)</f>
        <v>-804.53099999999995</v>
      </c>
      <c r="I33" s="37">
        <f t="shared" si="2"/>
        <v>-0.10299274239582483</v>
      </c>
    </row>
    <row r="34" spans="1:9" ht="15.6">
      <c r="A34" s="26" t="str">
        <v>Commerce City -  Lester Arnold HS</v>
      </c>
      <c r="B34" s="27" t="str">
        <v>CO</v>
      </c>
      <c r="C34" s="28">
        <f>SUM('1st Qtr'!C34, '2nd Qtr'!C34, '3rd Qtr'!C34, '4th Qtr'!C34)</f>
        <v>6390</v>
      </c>
      <c r="D34" s="29">
        <f>SUM('1st Qtr'!D34, '2nd Qtr'!D34, '3rd Qtr'!D34, '4th Qtr'!D34)</f>
        <v>7089.6180000000004</v>
      </c>
      <c r="E34" s="29">
        <f t="shared" si="3"/>
        <v>-699.61800000000039</v>
      </c>
      <c r="F34" s="30">
        <f t="shared" si="1"/>
        <v>-9.8682044646129077E-2</v>
      </c>
      <c r="G34" s="31">
        <f>SUM('1st Qtr'!G34, '2nd Qtr'!G34, '3rd Qtr'!G34, '4th Qtr'!G34)</f>
        <v>7555.0969999999998</v>
      </c>
      <c r="H34" s="31">
        <f>SUM('1st Qtr'!H34, '2nd Qtr'!H34, '3rd Qtr'!H34, '4th Qtr'!H34)</f>
        <v>-1165.0969999999998</v>
      </c>
      <c r="I34" s="32">
        <f t="shared" si="2"/>
        <v>-0.15421337409698377</v>
      </c>
    </row>
    <row r="35" spans="1:9" ht="15.6">
      <c r="A35" s="33" t="str">
        <v>Commerce City - Monaco ES</v>
      </c>
      <c r="B35" s="34" t="str">
        <v>CO</v>
      </c>
      <c r="C35" s="35">
        <f>SUM('1st Qtr'!C35, '2nd Qtr'!C35, '3rd Qtr'!C35, '4th Qtr'!C35)</f>
        <v>7468</v>
      </c>
      <c r="D35" s="35">
        <f>SUM('1st Qtr'!D35, '2nd Qtr'!D35, '3rd Qtr'!D35, '4th Qtr'!D35)</f>
        <v>7337.9160000000002</v>
      </c>
      <c r="E35" s="36">
        <f t="shared" si="3"/>
        <v>130.08399999999983</v>
      </c>
      <c r="F35" s="37">
        <f t="shared" si="1"/>
        <v>1.7727649103641937E-2</v>
      </c>
      <c r="G35" s="38">
        <f>SUM('1st Qtr'!G35, '2nd Qtr'!G35, '3rd Qtr'!G35, '4th Qtr'!G35)</f>
        <v>7793.8789999999999</v>
      </c>
      <c r="H35" s="38">
        <f>SUM('1st Qtr'!H35, '2nd Qtr'!H35, '3rd Qtr'!H35, '4th Qtr'!H35)</f>
        <v>-325.87899999999991</v>
      </c>
      <c r="I35" s="37">
        <f t="shared" si="2"/>
        <v>-4.181217080737331E-2</v>
      </c>
    </row>
    <row r="36" spans="1:9" ht="15.6">
      <c r="A36" s="26" t="str">
        <v>Denver - Northgate / Old Fort Logan ES</v>
      </c>
      <c r="B36" s="27" t="str">
        <v>CO</v>
      </c>
      <c r="C36" s="28">
        <f>SUM('1st Qtr'!C36, '2nd Qtr'!C36, '3rd Qtr'!C36, '4th Qtr'!C36)</f>
        <v>6724</v>
      </c>
      <c r="D36" s="29">
        <f>SUM('1st Qtr'!D36, '2nd Qtr'!D36, '3rd Qtr'!D36, '4th Qtr'!D36)</f>
        <v>6313.5969999999998</v>
      </c>
      <c r="E36" s="29">
        <f t="shared" si="3"/>
        <v>410.40300000000025</v>
      </c>
      <c r="F36" s="30">
        <f t="shared" si="1"/>
        <v>6.5003040263735601E-2</v>
      </c>
      <c r="G36" s="31">
        <f>SUM('1st Qtr'!G36, '2nd Qtr'!G36, '3rd Qtr'!G36, '4th Qtr'!G36)</f>
        <v>7134.8379999999997</v>
      </c>
      <c r="H36" s="31">
        <f>SUM('1st Qtr'!H36, '2nd Qtr'!H36, '3rd Qtr'!H36, '4th Qtr'!H36)</f>
        <v>-410.83799999999974</v>
      </c>
      <c r="I36" s="32">
        <f t="shared" si="2"/>
        <v>-5.7581966121725503E-2</v>
      </c>
    </row>
    <row r="37" spans="1:9" ht="15.6">
      <c r="A37" s="33" t="str">
        <v>Denver - Sheridan High School</v>
      </c>
      <c r="B37" s="34" t="str">
        <v>CO</v>
      </c>
      <c r="C37" s="35">
        <f>SUM('1st Qtr'!C37, '2nd Qtr'!C37, '3rd Qtr'!C37, '4th Qtr'!C37)</f>
        <v>7585</v>
      </c>
      <c r="D37" s="35">
        <f>SUM('1st Qtr'!D37, '2nd Qtr'!D37, '3rd Qtr'!D37, '4th Qtr'!D37)</f>
        <v>7300.2120000000004</v>
      </c>
      <c r="E37" s="36">
        <f t="shared" si="3"/>
        <v>284.78799999999956</v>
      </c>
      <c r="F37" s="37">
        <f t="shared" si="1"/>
        <v>3.9010921874597551E-2</v>
      </c>
      <c r="G37" s="38">
        <f>SUM('1st Qtr'!G37, '2nd Qtr'!G37, '3rd Qtr'!G37, '4th Qtr'!G37)</f>
        <v>7096.6329999999998</v>
      </c>
      <c r="H37" s="38">
        <f>SUM('1st Qtr'!H37, '2nd Qtr'!H37, '3rd Qtr'!H37, '4th Qtr'!H37)</f>
        <v>488.36700000000019</v>
      </c>
      <c r="I37" s="37">
        <f t="shared" si="2"/>
        <v>6.8816719139907639E-2</v>
      </c>
    </row>
    <row r="38" spans="1:9" ht="15.6">
      <c r="A38" s="26" t="str">
        <v>Englewood -  Alice Terry Elementary</v>
      </c>
      <c r="B38" s="27" t="str">
        <v>CO</v>
      </c>
      <c r="C38" s="28">
        <f>SUM('1st Qtr'!C38, '2nd Qtr'!C38, '3rd Qtr'!C38, '4th Qtr'!C38)</f>
        <v>7465</v>
      </c>
      <c r="D38" s="29">
        <f>SUM('1st Qtr'!D38, '2nd Qtr'!D38, '3rd Qtr'!D38, '4th Qtr'!D38)</f>
        <v>7300.69</v>
      </c>
      <c r="E38" s="29">
        <f t="shared" si="3"/>
        <v>164.3100000000004</v>
      </c>
      <c r="F38" s="30">
        <f t="shared" si="1"/>
        <v>2.2506091889944704E-2</v>
      </c>
      <c r="G38" s="31">
        <f>SUM('1st Qtr'!G38, '2nd Qtr'!G38, '3rd Qtr'!G38, '4th Qtr'!G38)</f>
        <v>7134.8379999999997</v>
      </c>
      <c r="H38" s="31">
        <f>SUM('1st Qtr'!H38, '2nd Qtr'!H38, '3rd Qtr'!H38, '4th Qtr'!H38)</f>
        <v>330.16200000000026</v>
      </c>
      <c r="I38" s="32">
        <f t="shared" si="2"/>
        <v>4.6274631603408556E-2</v>
      </c>
    </row>
    <row r="39" spans="1:9" ht="15.6">
      <c r="A39" s="33" t="str">
        <v>Englewood - Sheridan Middle School</v>
      </c>
      <c r="B39" s="34" t="str">
        <v>CO</v>
      </c>
      <c r="C39" s="35">
        <f>SUM('1st Qtr'!C39, '2nd Qtr'!C39, '3rd Qtr'!C39, '4th Qtr'!C39)</f>
        <v>4256</v>
      </c>
      <c r="D39" s="35">
        <f>SUM('1st Qtr'!D39, '2nd Qtr'!D39, '3rd Qtr'!D39, '4th Qtr'!D39)</f>
        <v>3496.8249999999998</v>
      </c>
      <c r="E39" s="36">
        <f t="shared" si="3"/>
        <v>759.17500000000018</v>
      </c>
      <c r="F39" s="37">
        <f t="shared" si="1"/>
        <v>0.21710408727917474</v>
      </c>
      <c r="G39" s="38">
        <f>SUM('1st Qtr'!G39, '2nd Qtr'!G39, '3rd Qtr'!G39, '4th Qtr'!G39)</f>
        <v>4187.4719999999998</v>
      </c>
      <c r="H39" s="38">
        <f>SUM('1st Qtr'!H39, '2nd Qtr'!H39, '3rd Qtr'!H39, '4th Qtr'!H39)</f>
        <v>68.528000000000247</v>
      </c>
      <c r="I39" s="37">
        <f t="shared" si="2"/>
        <v>1.6365004948092846E-2</v>
      </c>
    </row>
    <row r="40" spans="1:9" ht="15.6">
      <c r="A40" s="26" t="str">
        <v>Goshen - NIPSCO</v>
      </c>
      <c r="B40" s="27" t="str">
        <v>IN</v>
      </c>
      <c r="C40" s="28">
        <f>SUM('1st Qtr'!C40, '2nd Qtr'!C40, '3rd Qtr'!C40, '4th Qtr'!C40)</f>
        <v>8557</v>
      </c>
      <c r="D40" s="29">
        <f>SUM('1st Qtr'!D40, '2nd Qtr'!D40, '3rd Qtr'!D40, '4th Qtr'!D40)</f>
        <v>18140.25</v>
      </c>
      <c r="E40" s="29">
        <f t="shared" si="3"/>
        <v>-9583.25</v>
      </c>
      <c r="F40" s="30">
        <f t="shared" si="1"/>
        <v>-0.52828654511376638</v>
      </c>
      <c r="G40" s="31">
        <f>SUM('1st Qtr'!G40, '2nd Qtr'!G40, '3rd Qtr'!G40, '4th Qtr'!G40)</f>
        <v>22590.74</v>
      </c>
      <c r="H40" s="31">
        <f>SUM('1st Qtr'!H40, '2nd Qtr'!H40, '3rd Qtr'!H40, '4th Qtr'!H40)</f>
        <v>-14033.740000000002</v>
      </c>
      <c r="I40" s="32">
        <f t="shared" si="2"/>
        <v>-0.62121648073502689</v>
      </c>
    </row>
    <row r="41" spans="1:9" ht="15.6">
      <c r="A41" s="33" t="str">
        <v>Alamogordo - City of Alamogordo - Effluent</v>
      </c>
      <c r="B41" s="34" t="str">
        <v>NM</v>
      </c>
      <c r="C41" s="35">
        <f>SUM('1st Qtr'!C41, '2nd Qtr'!C41, '3rd Qtr'!C41, '4th Qtr'!C41)</f>
        <v>20572</v>
      </c>
      <c r="D41" s="35">
        <f>SUM('1st Qtr'!D41, '2nd Qtr'!D41, '3rd Qtr'!D41, '4th Qtr'!D41)</f>
        <v>24391.65</v>
      </c>
      <c r="E41" s="36">
        <f t="shared" si="3"/>
        <v>-3819.6500000000015</v>
      </c>
      <c r="F41" s="37">
        <f t="shared" si="1"/>
        <v>-0.15659662220472995</v>
      </c>
      <c r="G41" s="38">
        <f>SUM('1st Qtr'!G41, '2nd Qtr'!G41, '3rd Qtr'!G41, '4th Qtr'!G41)</f>
        <v>16362.16</v>
      </c>
      <c r="H41" s="38">
        <f>SUM('1st Qtr'!H41, '2nd Qtr'!H41, '3rd Qtr'!H41, '4th Qtr'!H41)</f>
        <v>4209.84</v>
      </c>
      <c r="I41" s="37">
        <f t="shared" si="2"/>
        <v>0.25729121338502986</v>
      </c>
    </row>
    <row r="42" spans="1:9" ht="15.6">
      <c r="A42" s="26" t="str">
        <v>Alamogordo - City of Alamogordo - WWTP</v>
      </c>
      <c r="B42" s="27" t="str">
        <v>NM</v>
      </c>
      <c r="C42" s="28">
        <f>SUM('1st Qtr'!C42, '2nd Qtr'!C42, '3rd Qtr'!C42, '4th Qtr'!C42)</f>
        <v>72975</v>
      </c>
      <c r="D42" s="29">
        <f>SUM('1st Qtr'!D42, '2nd Qtr'!D42, '3rd Qtr'!D42, '4th Qtr'!D42)</f>
        <v>0</v>
      </c>
      <c r="E42" s="29">
        <f t="shared" si="3"/>
        <v>72975</v>
      </c>
      <c r="F42" s="30" t="str">
        <f t="shared" si="1"/>
        <v/>
      </c>
      <c r="G42" s="31">
        <f>SUM('1st Qtr'!G42, '2nd Qtr'!G42, '3rd Qtr'!G42, '4th Qtr'!G42)</f>
        <v>69394.080000000002</v>
      </c>
      <c r="H42" s="31">
        <f>SUM('1st Qtr'!H42, '2nd Qtr'!H42, '3rd Qtr'!H42, '4th Qtr'!H42)</f>
        <v>3580.9199999999983</v>
      </c>
      <c r="I42" s="32">
        <f t="shared" si="2"/>
        <v>5.160267273519583E-2</v>
      </c>
    </row>
    <row r="43" spans="1:9" ht="15.6">
      <c r="A43" s="33" t="str">
        <v>Deming - Bilbo Booster</v>
      </c>
      <c r="B43" s="34" t="str">
        <v>NM</v>
      </c>
      <c r="C43" s="35">
        <f>SUM('1st Qtr'!C43, '2nd Qtr'!C43, '3rd Qtr'!C43, '4th Qtr'!C43)</f>
        <v>11010</v>
      </c>
      <c r="D43" s="35">
        <f>SUM('1st Qtr'!D43, '2nd Qtr'!D43, '3rd Qtr'!D43, '4th Qtr'!D43)</f>
        <v>0</v>
      </c>
      <c r="E43" s="36">
        <f t="shared" si="3"/>
        <v>11010</v>
      </c>
      <c r="F43" s="37" t="str">
        <f t="shared" si="1"/>
        <v/>
      </c>
      <c r="G43" s="38">
        <f>SUM('1st Qtr'!G43, '2nd Qtr'!G43, '3rd Qtr'!G43, '4th Qtr'!G43)</f>
        <v>6555.2709999999997</v>
      </c>
      <c r="H43" s="38">
        <f>SUM('1st Qtr'!H43, '2nd Qtr'!H43, '3rd Qtr'!H43, '4th Qtr'!H43)</f>
        <v>4454.7290000000003</v>
      </c>
      <c r="I43" s="37">
        <f t="shared" si="2"/>
        <v>0.67956442990686439</v>
      </c>
    </row>
    <row r="44" spans="1:9" ht="15.6">
      <c r="A44" s="26" t="str">
        <v>Deming - Bilbo Well</v>
      </c>
      <c r="B44" s="27" t="str">
        <v>NM</v>
      </c>
      <c r="C44" s="28">
        <f>SUM('1st Qtr'!C44, '2nd Qtr'!C44, '3rd Qtr'!C44, '4th Qtr'!C44)</f>
        <v>19892</v>
      </c>
      <c r="D44" s="29">
        <f>SUM('1st Qtr'!D44, '2nd Qtr'!D44, '3rd Qtr'!D44, '4th Qtr'!D44)</f>
        <v>0</v>
      </c>
      <c r="E44" s="29">
        <f t="shared" si="3"/>
        <v>19892</v>
      </c>
      <c r="F44" s="30" t="str">
        <f t="shared" si="1"/>
        <v/>
      </c>
      <c r="G44" s="31">
        <f>SUM('1st Qtr'!G44, '2nd Qtr'!G44, '3rd Qtr'!G44, '4th Qtr'!G44)</f>
        <v>11849.44</v>
      </c>
      <c r="H44" s="31">
        <f>SUM('1st Qtr'!H44, '2nd Qtr'!H44, '3rd Qtr'!H44, '4th Qtr'!H44)</f>
        <v>8042.5599999999995</v>
      </c>
      <c r="I44" s="32">
        <f t="shared" si="2"/>
        <v>0.67872912137620001</v>
      </c>
    </row>
    <row r="45" spans="1:9" ht="15.6">
      <c r="A45" s="33" t="str">
        <v>Deming - WWTP</v>
      </c>
      <c r="B45" s="34" t="str">
        <v>NM</v>
      </c>
      <c r="C45" s="35">
        <f>SUM('1st Qtr'!C45, '2nd Qtr'!C45, '3rd Qtr'!C45, '4th Qtr'!C45)</f>
        <v>65925</v>
      </c>
      <c r="D45" s="35">
        <f>SUM('1st Qtr'!D45, '2nd Qtr'!D45, '3rd Qtr'!D45, '4th Qtr'!D45)</f>
        <v>66265.039999999994</v>
      </c>
      <c r="E45" s="36">
        <f t="shared" si="3"/>
        <v>-340.0399999999936</v>
      </c>
      <c r="F45" s="37">
        <f t="shared" si="1"/>
        <v>-5.1315142947169975E-3</v>
      </c>
      <c r="G45" s="38">
        <f>SUM('1st Qtr'!G45, '2nd Qtr'!G45, '3rd Qtr'!G45, '4th Qtr'!G45)</f>
        <v>63574.21</v>
      </c>
      <c r="H45" s="38">
        <f>SUM('1st Qtr'!H45, '2nd Qtr'!H45, '3rd Qtr'!H45, '4th Qtr'!H45)</f>
        <v>2350.7900000000009</v>
      </c>
      <c r="I45" s="37">
        <f t="shared" si="2"/>
        <v>3.6977101249075703E-2</v>
      </c>
    </row>
    <row r="46" spans="1:9" ht="15.6">
      <c r="A46" s="26" t="str">
        <v>Truth or Consequences - Walmart</v>
      </c>
      <c r="B46" s="27" t="str">
        <v>NM</v>
      </c>
      <c r="C46" s="28">
        <f>SUM('1st Qtr'!C46, '2nd Qtr'!C46, '3rd Qtr'!C46, '4th Qtr'!C46)</f>
        <v>91500</v>
      </c>
      <c r="D46" s="29">
        <f>SUM('1st Qtr'!D46, '2nd Qtr'!D46, '3rd Qtr'!D46, '4th Qtr'!D46)</f>
        <v>260284.1</v>
      </c>
      <c r="E46" s="29">
        <f t="shared" si="3"/>
        <v>-168784.1</v>
      </c>
      <c r="F46" s="30">
        <f t="shared" si="1"/>
        <v>-0.6484610469867349</v>
      </c>
      <c r="G46" s="31">
        <f>SUM('1st Qtr'!G46, '2nd Qtr'!G46, '3rd Qtr'!G46, '4th Qtr'!G46)</f>
        <v>108415.6</v>
      </c>
      <c r="H46" s="31">
        <f>SUM('1st Qtr'!H46, '2nd Qtr'!H46, '3rd Qtr'!H46, '4th Qtr'!H46)</f>
        <v>-16915.600000000006</v>
      </c>
      <c r="I46" s="32">
        <f t="shared" si="2"/>
        <v>-0.15602551662306904</v>
      </c>
    </row>
    <row r="47" spans="1:9" ht="15.6">
      <c r="A47" s="33" t="str">
        <v>CA: Stockton - SUSD - Merlo</v>
      </c>
      <c r="B47" s="34" t="str">
        <v>CA</v>
      </c>
      <c r="C47" s="35">
        <f>SUM('1st Qtr'!C47, '2nd Qtr'!C47, '3rd Qtr'!C47, '4th Qtr'!C47)</f>
        <v>0</v>
      </c>
      <c r="D47" s="35">
        <f>SUM('1st Qtr'!D47, '2nd Qtr'!D47, '3rd Qtr'!D47, '4th Qtr'!D47)</f>
        <v>5390.8649999999998</v>
      </c>
      <c r="E47" s="36">
        <f t="shared" si="3"/>
        <v>-5390.8649999999998</v>
      </c>
      <c r="F47" s="37">
        <f t="shared" si="1"/>
        <v>-1</v>
      </c>
      <c r="G47" s="38">
        <f>SUM('1st Qtr'!G47, '2nd Qtr'!G47, '3rd Qtr'!G47, '4th Qtr'!G47)</f>
        <v>6003.7259999999997</v>
      </c>
      <c r="H47" s="38">
        <f>SUM('1st Qtr'!H47, '2nd Qtr'!H47, '3rd Qtr'!H47, '4th Qtr'!H47)</f>
        <v>-6003.7259999999997</v>
      </c>
      <c r="I47" s="37">
        <f t="shared" si="2"/>
        <v>-1</v>
      </c>
    </row>
    <row r="48" spans="1:9" ht="15.6">
      <c r="A48" s="26" t="str">
        <v>Stockton Unified School Dist. - Bush Elementary</v>
      </c>
      <c r="B48" s="27" t="str">
        <v>CA</v>
      </c>
      <c r="C48" s="28">
        <f>SUM('1st Qtr'!C48, '2nd Qtr'!C48, '3rd Qtr'!C48, '4th Qtr'!C48)</f>
        <v>7905.75</v>
      </c>
      <c r="D48" s="29">
        <f>SUM('1st Qtr'!D48, '2nd Qtr'!D48, '3rd Qtr'!D48, '4th Qtr'!D48)</f>
        <v>12887.094999999999</v>
      </c>
      <c r="E48" s="29">
        <f t="shared" si="3"/>
        <v>-4981.3449999999993</v>
      </c>
      <c r="F48" s="30">
        <f t="shared" si="1"/>
        <v>-0.38653746247699733</v>
      </c>
      <c r="G48" s="31">
        <f>SUM('1st Qtr'!G48, '2nd Qtr'!G48, '3rd Qtr'!G48, '4th Qtr'!G48)</f>
        <v>10934.314</v>
      </c>
      <c r="H48" s="31">
        <f>SUM('1st Qtr'!H48, '2nd Qtr'!H48, '3rd Qtr'!H48, '4th Qtr'!H48)</f>
        <v>-3028.5640000000003</v>
      </c>
      <c r="I48" s="32">
        <f t="shared" si="2"/>
        <v>-0.27697796130603164</v>
      </c>
    </row>
    <row r="49" spans="1:9" ht="15.6">
      <c r="A49" s="33" t="str">
        <v>CA: Stockton - SUSD - Marshall JHS</v>
      </c>
      <c r="B49" s="34" t="str">
        <v>CA</v>
      </c>
      <c r="C49" s="35">
        <f>SUM('1st Qtr'!C49, '2nd Qtr'!C49, '3rd Qtr'!C49, '4th Qtr'!C49)</f>
        <v>2776.25</v>
      </c>
      <c r="D49" s="35">
        <f>SUM('1st Qtr'!D49, '2nd Qtr'!D49, '3rd Qtr'!D49, '4th Qtr'!D49)</f>
        <v>7364.02</v>
      </c>
      <c r="E49" s="36">
        <f t="shared" si="3"/>
        <v>-4587.7700000000004</v>
      </c>
      <c r="F49" s="37">
        <f t="shared" si="1"/>
        <v>-0.62299803639859752</v>
      </c>
      <c r="G49" s="38">
        <f>SUM('1st Qtr'!G49, '2nd Qtr'!G49, '3rd Qtr'!G49, '4th Qtr'!G49)</f>
        <v>6365.99</v>
      </c>
      <c r="H49" s="38">
        <f>SUM('1st Qtr'!H49, '2nd Qtr'!H49, '3rd Qtr'!H49, '4th Qtr'!H49)</f>
        <v>-3589.74</v>
      </c>
      <c r="I49" s="37">
        <f t="shared" si="2"/>
        <v>-0.56389343998341179</v>
      </c>
    </row>
    <row r="50" spans="1:9" ht="15.6">
      <c r="A50" s="26" t="str">
        <v>CA: Stockton - SUSD - Hong-Kingston ES</v>
      </c>
      <c r="B50" s="27" t="str">
        <v>CA</v>
      </c>
      <c r="C50" s="28">
        <f>SUM('1st Qtr'!C50, '2nd Qtr'!C50, '3rd Qtr'!C50, '4th Qtr'!C50)</f>
        <v>1776.5</v>
      </c>
      <c r="D50" s="29">
        <f>SUM('1st Qtr'!D50, '2nd Qtr'!D50, '3rd Qtr'!D50, '4th Qtr'!D50)</f>
        <v>13230.34</v>
      </c>
      <c r="E50" s="29">
        <f t="shared" si="3"/>
        <v>-11453.84</v>
      </c>
      <c r="F50" s="30">
        <f t="shared" si="1"/>
        <v>-0.86572529504154849</v>
      </c>
      <c r="G50" s="31">
        <f>SUM('1st Qtr'!G50, '2nd Qtr'!G50, '3rd Qtr'!G50, '4th Qtr'!G50)</f>
        <v>10471.01</v>
      </c>
      <c r="H50" s="31">
        <f>SUM('1st Qtr'!H50, '2nd Qtr'!H50, '3rd Qtr'!H50, '4th Qtr'!H50)</f>
        <v>-8694.51</v>
      </c>
      <c r="I50" s="32">
        <f t="shared" si="2"/>
        <v>-0.83034110367576763</v>
      </c>
    </row>
    <row r="51" spans="1:9" ht="15.6">
      <c r="A51" s="33" t="str">
        <v>CA: Stockton - SUSD - Hamilton ES</v>
      </c>
      <c r="B51" s="34" t="str">
        <v>CA</v>
      </c>
      <c r="C51" s="35">
        <f>SUM('1st Qtr'!C51, '2nd Qtr'!C51, '3rd Qtr'!C51, '4th Qtr'!C51)</f>
        <v>2442.875</v>
      </c>
      <c r="D51" s="35">
        <f>SUM('1st Qtr'!D51, '2nd Qtr'!D51, '3rd Qtr'!D51, '4th Qtr'!D51)</f>
        <v>6552.509</v>
      </c>
      <c r="E51" s="36">
        <f t="shared" si="3"/>
        <v>-4109.634</v>
      </c>
      <c r="F51" s="37">
        <f t="shared" si="1"/>
        <v>-0.6271847928785752</v>
      </c>
      <c r="G51" s="38">
        <f>SUM('1st Qtr'!G51, '2nd Qtr'!G51, '3rd Qtr'!G51, '4th Qtr'!G51)</f>
        <v>5619.52</v>
      </c>
      <c r="H51" s="38">
        <f>SUM('1st Qtr'!H51, '2nd Qtr'!H51, '3rd Qtr'!H51, '4th Qtr'!H51)</f>
        <v>-3176.6450000000004</v>
      </c>
      <c r="I51" s="37">
        <f t="shared" si="2"/>
        <v>-0.56528760463527139</v>
      </c>
    </row>
    <row r="52" spans="1:9" ht="15.6">
      <c r="A52" s="26" t="str">
        <v>CA: Stockton - SUSD - Franklin - North</v>
      </c>
      <c r="B52" s="27" t="str">
        <v>CA</v>
      </c>
      <c r="C52" s="28">
        <f>SUM('1st Qtr'!C52, '2nd Qtr'!C52, '3rd Qtr'!C52, '4th Qtr'!C52)</f>
        <v>9874.5</v>
      </c>
      <c r="D52" s="29">
        <f>SUM('1st Qtr'!D52, '2nd Qtr'!D52, '3rd Qtr'!D52, '4th Qtr'!D52)</f>
        <v>48146.73</v>
      </c>
      <c r="E52" s="29">
        <f t="shared" si="3"/>
        <v>-38272.230000000003</v>
      </c>
      <c r="F52" s="30">
        <f t="shared" si="1"/>
        <v>-0.79490819002661239</v>
      </c>
      <c r="G52" s="31">
        <f>SUM('1st Qtr'!G52, '2nd Qtr'!G52, '3rd Qtr'!G52, '4th Qtr'!G52)</f>
        <v>14727.8</v>
      </c>
      <c r="H52" s="31">
        <f>SUM('1st Qtr'!H52, '2nd Qtr'!H52, '3rd Qtr'!H52, '4th Qtr'!H52)</f>
        <v>-4853.2999999999993</v>
      </c>
      <c r="I52" s="32">
        <f t="shared" si="2"/>
        <v>-0.3295332636238949</v>
      </c>
    </row>
    <row r="53" spans="1:9" ht="15.6">
      <c r="A53" s="33" t="str">
        <v>Stockton Unified School Dist. - Fillmore Elementary</v>
      </c>
      <c r="B53" s="34" t="str">
        <v>CA</v>
      </c>
      <c r="C53" s="35">
        <f>SUM('1st Qtr'!C53, '2nd Qtr'!C53, '3rd Qtr'!C53, '4th Qtr'!C53)</f>
        <v>1891.0940000000001</v>
      </c>
      <c r="D53" s="35">
        <f>SUM('1st Qtr'!D53, '2nd Qtr'!D53, '3rd Qtr'!D53, '4th Qtr'!D53)</f>
        <v>5996.8720000000003</v>
      </c>
      <c r="E53" s="36">
        <f t="shared" si="3"/>
        <v>-4105.7780000000002</v>
      </c>
      <c r="F53" s="37">
        <f t="shared" si="1"/>
        <v>-0.68465326590262388</v>
      </c>
      <c r="G53" s="38">
        <f>SUM('1st Qtr'!G53, '2nd Qtr'!G53, '3rd Qtr'!G53, '4th Qtr'!G53)</f>
        <v>5247.4219999999996</v>
      </c>
      <c r="H53" s="38">
        <f>SUM('1st Qtr'!H53, '2nd Qtr'!H53, '3rd Qtr'!H53, '4th Qtr'!H53)</f>
        <v>-3356.3279999999995</v>
      </c>
      <c r="I53" s="37">
        <f t="shared" si="2"/>
        <v>-0.63961465268087836</v>
      </c>
    </row>
    <row r="54" spans="1:9" ht="15.6">
      <c r="A54" s="26" t="str">
        <v>CA: Stockton - SUSD - El Dorado ES</v>
      </c>
      <c r="B54" s="27" t="str">
        <v>CA</v>
      </c>
      <c r="C54" s="28">
        <f>SUM('1st Qtr'!C54, '2nd Qtr'!C54, '3rd Qtr'!C54, '4th Qtr'!C54)</f>
        <v>2145.375</v>
      </c>
      <c r="D54" s="29">
        <f>SUM('1st Qtr'!D54, '2nd Qtr'!D54, '3rd Qtr'!D54, '4th Qtr'!D54)</f>
        <v>7422.96</v>
      </c>
      <c r="E54" s="29">
        <f t="shared" si="3"/>
        <v>-5277.585</v>
      </c>
      <c r="F54" s="30">
        <f t="shared" si="1"/>
        <v>-0.71098119887484235</v>
      </c>
      <c r="G54" s="31">
        <f>SUM('1st Qtr'!G54, '2nd Qtr'!G54, '3rd Qtr'!G54, '4th Qtr'!G54)</f>
        <v>0</v>
      </c>
      <c r="H54" s="31">
        <f>SUM('1st Qtr'!H54, '2nd Qtr'!H54, '3rd Qtr'!H54, '4th Qtr'!H54)</f>
        <v>2145.375</v>
      </c>
      <c r="I54" s="32" t="str">
        <f t="shared" si="2"/>
        <v/>
      </c>
    </row>
    <row r="55" spans="1:9" ht="15.6">
      <c r="A55" s="33" t="str">
        <v>CA: Stockton - SUSD - Edison HS</v>
      </c>
      <c r="B55" s="34" t="str">
        <v>CA</v>
      </c>
      <c r="C55" s="35">
        <f>SUM('1st Qtr'!C55, '2nd Qtr'!C55, '3rd Qtr'!C55, '4th Qtr'!C55)</f>
        <v>6713.5</v>
      </c>
      <c r="D55" s="35">
        <f>SUM('1st Qtr'!D55, '2nd Qtr'!D55, '3rd Qtr'!D55, '4th Qtr'!D55)</f>
        <v>18406.009999999998</v>
      </c>
      <c r="E55" s="36">
        <f t="shared" si="3"/>
        <v>-11692.509999999998</v>
      </c>
      <c r="F55" s="37">
        <f t="shared" si="1"/>
        <v>-0.63525500638106791</v>
      </c>
      <c r="G55" s="38">
        <f>SUM('1st Qtr'!G55, '2nd Qtr'!G55, '3rd Qtr'!G55, '4th Qtr'!G55)</f>
        <v>15437.38</v>
      </c>
      <c r="H55" s="38">
        <f>SUM('1st Qtr'!H55, '2nd Qtr'!H55, '3rd Qtr'!H55, '4th Qtr'!H55)</f>
        <v>-8723.8799999999992</v>
      </c>
      <c r="I55" s="37">
        <f t="shared" si="2"/>
        <v>-0.56511402841673908</v>
      </c>
    </row>
    <row r="56" spans="1:9" ht="15.6">
      <c r="A56" s="26" t="str">
        <v>CA: Stockton - SUSD - Chavez HS - Large</v>
      </c>
      <c r="B56" s="27" t="str">
        <v>CA</v>
      </c>
      <c r="C56" s="28">
        <f>SUM('1st Qtr'!C56, '2nd Qtr'!C56, '3rd Qtr'!C56, '4th Qtr'!C56)</f>
        <v>18017</v>
      </c>
      <c r="D56" s="29">
        <f>SUM('1st Qtr'!D56, '2nd Qtr'!D56, '3rd Qtr'!D56, '4th Qtr'!D56)</f>
        <v>45615.67</v>
      </c>
      <c r="E56" s="29">
        <f t="shared" si="3"/>
        <v>-27598.67</v>
      </c>
      <c r="F56" s="30">
        <f t="shared" si="1"/>
        <v>-0.60502607985369938</v>
      </c>
      <c r="G56" s="31">
        <f>SUM('1st Qtr'!G56, '2nd Qtr'!G56, '3rd Qtr'!G56, '4th Qtr'!G56)</f>
        <v>31766</v>
      </c>
      <c r="H56" s="31">
        <f>SUM('1st Qtr'!H56, '2nd Qtr'!H56, '3rd Qtr'!H56, '4th Qtr'!H56)</f>
        <v>-13749</v>
      </c>
      <c r="I56" s="32">
        <f t="shared" si="2"/>
        <v>-0.43282125543033434</v>
      </c>
    </row>
    <row r="57" spans="1:9" ht="15.6">
      <c r="A57" s="33" t="str">
        <v>CA: San Jose - GE Mobile Water</v>
      </c>
      <c r="B57" s="34" t="str">
        <v>CA</v>
      </c>
      <c r="C57" s="35">
        <f>SUM('1st Qtr'!C57, '2nd Qtr'!C57, '3rd Qtr'!C57, '4th Qtr'!C57)</f>
        <v>13800</v>
      </c>
      <c r="D57" s="35">
        <f>SUM('1st Qtr'!D57, '2nd Qtr'!D57, '3rd Qtr'!D57, '4th Qtr'!D57)</f>
        <v>14212.76</v>
      </c>
      <c r="E57" s="36">
        <f t="shared" si="3"/>
        <v>-412.76000000000022</v>
      </c>
      <c r="F57" s="37">
        <f t="shared" si="1"/>
        <v>-2.904150917907572E-2</v>
      </c>
      <c r="G57" s="38">
        <f>SUM('1st Qtr'!G57, '2nd Qtr'!G57, '3rd Qtr'!G57, '4th Qtr'!G57)</f>
        <v>12214.53</v>
      </c>
      <c r="H57" s="38">
        <f>SUM('1st Qtr'!H57, '2nd Qtr'!H57, '3rd Qtr'!H57, '4th Qtr'!H57)</f>
        <v>1585.4699999999993</v>
      </c>
      <c r="I57" s="37">
        <f t="shared" si="2"/>
        <v>0.12980196536420144</v>
      </c>
    </row>
    <row r="58" spans="1:9" ht="15.6">
      <c r="A58" s="26" t="str">
        <v>CA: San Marcos - Vallecitos Water - Lift Station</v>
      </c>
      <c r="B58" s="27" t="str">
        <v>CA</v>
      </c>
      <c r="C58" s="28">
        <f>SUM('1st Qtr'!C58, '2nd Qtr'!C58, '3rd Qtr'!C58, '4th Qtr'!C58)</f>
        <v>19809.25</v>
      </c>
      <c r="D58" s="29">
        <f>SUM('1st Qtr'!D58, '2nd Qtr'!D58, '3rd Qtr'!D58, '4th Qtr'!D58)</f>
        <v>21186.48</v>
      </c>
      <c r="E58" s="29">
        <f t="shared" si="3"/>
        <v>-1377.2299999999996</v>
      </c>
      <c r="F58" s="30">
        <f t="shared" si="1"/>
        <v>-6.5005135350468771E-2</v>
      </c>
      <c r="G58" s="31">
        <f>SUM('1st Qtr'!G58, '2nd Qtr'!G58, '3rd Qtr'!G58, '4th Qtr'!G58)</f>
        <v>21469.94</v>
      </c>
      <c r="H58" s="31">
        <f>SUM('1st Qtr'!H58, '2nd Qtr'!H58, '3rd Qtr'!H58, '4th Qtr'!H58)</f>
        <v>-1660.6899999999987</v>
      </c>
      <c r="I58" s="32">
        <f t="shared" si="2"/>
        <v>-7.7349540799834499E-2</v>
      </c>
    </row>
    <row r="59" spans="1:9" ht="15.6">
      <c r="A59" s="33" t="str">
        <v>CA: San Marcos - Vallecitos Water - Twin Oaks Reservoir</v>
      </c>
      <c r="B59" s="34" t="str">
        <v>CA</v>
      </c>
      <c r="C59" s="35">
        <f>SUM('1st Qtr'!C59, '2nd Qtr'!C59, '3rd Qtr'!C59, '4th Qtr'!C59)</f>
        <v>196395</v>
      </c>
      <c r="D59" s="35">
        <f>SUM('1st Qtr'!D59, '2nd Qtr'!D59, '3rd Qtr'!D59, '4th Qtr'!D59)</f>
        <v>266582.5</v>
      </c>
      <c r="E59" s="36">
        <f t="shared" si="3"/>
        <v>-70187.5</v>
      </c>
      <c r="F59" s="37">
        <f t="shared" si="1"/>
        <v>-0.26328622471467555</v>
      </c>
      <c r="G59" s="38">
        <f>SUM('1st Qtr'!G59, '2nd Qtr'!G59, '3rd Qtr'!G59, '4th Qtr'!G59)</f>
        <v>153324</v>
      </c>
      <c r="H59" s="38">
        <f>SUM('1st Qtr'!H59, '2nd Qtr'!H59, '3rd Qtr'!H59, '4th Qtr'!H59)</f>
        <v>43071</v>
      </c>
      <c r="I59" s="37">
        <f t="shared" si="2"/>
        <v>0.28091492525631995</v>
      </c>
    </row>
    <row r="60" spans="1:9" ht="15.6">
      <c r="A60" s="26" t="str">
        <v>CA: Stockton - SUSD - Wilhelmina Henry ES</v>
      </c>
      <c r="B60" s="27" t="str">
        <v>CA</v>
      </c>
      <c r="C60" s="28">
        <f>SUM('1st Qtr'!C60, '2nd Qtr'!C60, '3rd Qtr'!C60, '4th Qtr'!C60)</f>
        <v>2995</v>
      </c>
      <c r="D60" s="29">
        <f>SUM('1st Qtr'!D60, '2nd Qtr'!D60, '3rd Qtr'!D60, '4th Qtr'!D60)</f>
        <v>16599.400000000001</v>
      </c>
      <c r="E60" s="29">
        <f t="shared" si="3"/>
        <v>-13604.400000000001</v>
      </c>
      <c r="F60" s="30">
        <f t="shared" si="1"/>
        <v>-0.81957179175150907</v>
      </c>
      <c r="G60" s="31">
        <f>SUM('1st Qtr'!G60, '2nd Qtr'!G60, '3rd Qtr'!G60, '4th Qtr'!G60)</f>
        <v>10351.459999999999</v>
      </c>
      <c r="H60" s="31">
        <f>SUM('1st Qtr'!H60, '2nd Qtr'!H60, '3rd Qtr'!H60, '4th Qtr'!H60)</f>
        <v>-7356.4599999999991</v>
      </c>
      <c r="I60" s="32">
        <f t="shared" si="2"/>
        <v>-0.71066883318874818</v>
      </c>
    </row>
    <row r="61" spans="1:9" ht="15.6">
      <c r="A61" s="33" t="str">
        <v>Stockton Unified School Dist. - Franklin (North)</v>
      </c>
      <c r="B61" s="34" t="str">
        <v>CA</v>
      </c>
      <c r="C61" s="35">
        <f>SUM('1st Qtr'!C61, '2nd Qtr'!C61, '3rd Qtr'!C61, '4th Qtr'!C61)</f>
        <v>9874.5</v>
      </c>
      <c r="D61" s="35">
        <f>SUM('1st Qtr'!D61, '2nd Qtr'!D61, '3rd Qtr'!D61, '4th Qtr'!D61)</f>
        <v>48146.728999999999</v>
      </c>
      <c r="E61" s="36">
        <f t="shared" si="3"/>
        <v>-38272.228999999999</v>
      </c>
      <c r="F61" s="37">
        <f t="shared" si="1"/>
        <v>-0.79490818576688771</v>
      </c>
      <c r="G61" s="38">
        <f>SUM('1st Qtr'!G61, '2nd Qtr'!G61, '3rd Qtr'!G61, '4th Qtr'!G61)</f>
        <v>16605.293000000001</v>
      </c>
      <c r="H61" s="38">
        <f>SUM('1st Qtr'!H61, '2nd Qtr'!H61, '3rd Qtr'!H61, '4th Qtr'!H61)</f>
        <v>-6730.7930000000015</v>
      </c>
      <c r="I61" s="37">
        <f t="shared" si="2"/>
        <v>-0.40534021290681238</v>
      </c>
    </row>
    <row r="62" spans="1:9" ht="15.6">
      <c r="A62" s="26" t="str">
        <v>CA: Stockton - SUSD - Franklin - South</v>
      </c>
      <c r="B62" s="27" t="str">
        <v>CA</v>
      </c>
      <c r="C62" s="28">
        <f>SUM('1st Qtr'!C62, '2nd Qtr'!C62, '3rd Qtr'!C62, '4th Qtr'!C62)</f>
        <v>13422</v>
      </c>
      <c r="D62" s="29">
        <f>SUM('1st Qtr'!D62, '2nd Qtr'!D62, '3rd Qtr'!D62, '4th Qtr'!D62)</f>
        <v>31578.77</v>
      </c>
      <c r="E62" s="29">
        <f t="shared" si="3"/>
        <v>-18156.77</v>
      </c>
      <c r="F62" s="30">
        <f t="shared" si="1"/>
        <v>-0.57496761273475816</v>
      </c>
      <c r="G62" s="31">
        <f>SUM('1st Qtr'!G62, '2nd Qtr'!G62, '3rd Qtr'!G62, '4th Qtr'!G62)</f>
        <v>24055.5</v>
      </c>
      <c r="H62" s="31">
        <f>SUM('1st Qtr'!H62, '2nd Qtr'!H62, '3rd Qtr'!H62, '4th Qtr'!H62)</f>
        <v>-10633.5</v>
      </c>
      <c r="I62" s="32">
        <f t="shared" si="2"/>
        <v>-0.44204028184822597</v>
      </c>
    </row>
    <row r="63" spans="1:9" ht="15.6">
      <c r="A63" s="33" t="str">
        <v>CA: Stockton - SUSD - Chavez HS - Small</v>
      </c>
      <c r="B63" s="34" t="str">
        <v>CA</v>
      </c>
      <c r="C63" s="35">
        <f>SUM('1st Qtr'!C63, '2nd Qtr'!C63, '3rd Qtr'!C63, '4th Qtr'!C63)</f>
        <v>9548.5</v>
      </c>
      <c r="D63" s="35">
        <f>SUM('1st Qtr'!D63, '2nd Qtr'!D63, '3rd Qtr'!D63, '4th Qtr'!D63)</f>
        <v>10479.09</v>
      </c>
      <c r="E63" s="36">
        <f t="shared" si="3"/>
        <v>-930.59000000000015</v>
      </c>
      <c r="F63" s="37">
        <f t="shared" si="1"/>
        <v>-8.8804466800075213E-2</v>
      </c>
      <c r="G63" s="38">
        <f>SUM('1st Qtr'!G63, '2nd Qtr'!G63, '3rd Qtr'!G63, '4th Qtr'!G63)</f>
        <v>9028.7289999999994</v>
      </c>
      <c r="H63" s="38">
        <f>SUM('1st Qtr'!H63, '2nd Qtr'!H63, '3rd Qtr'!H63, '4th Qtr'!H63)</f>
        <v>519.77100000000064</v>
      </c>
      <c r="I63" s="37">
        <f t="shared" si="2"/>
        <v>5.7568568067554213E-2</v>
      </c>
    </row>
    <row r="64" spans="1:9" ht="15.6">
      <c r="A64" s="26" t="str">
        <v>CA: Stockton - SUSD - Facilities</v>
      </c>
      <c r="B64" s="27" t="str">
        <v>CA</v>
      </c>
      <c r="C64" s="28">
        <f>SUM('1st Qtr'!C64, '2nd Qtr'!C64, '3rd Qtr'!C64, '4th Qtr'!C64)</f>
        <v>8731.5</v>
      </c>
      <c r="D64" s="29">
        <f>SUM('1st Qtr'!D64, '2nd Qtr'!D64, '3rd Qtr'!D64, '4th Qtr'!D64)</f>
        <v>20380.88</v>
      </c>
      <c r="E64" s="29">
        <f t="shared" si="3"/>
        <v>-11649.380000000001</v>
      </c>
      <c r="F64" s="30">
        <f t="shared" si="1"/>
        <v>-0.57158375889559232</v>
      </c>
      <c r="G64" s="31">
        <f>SUM('1st Qtr'!G64, '2nd Qtr'!G64, '3rd Qtr'!G64, '4th Qtr'!G64)</f>
        <v>15721.25</v>
      </c>
      <c r="H64" s="31">
        <f>SUM('1st Qtr'!H64, '2nd Qtr'!H64, '3rd Qtr'!H64, '4th Qtr'!H64)</f>
        <v>-6989.75</v>
      </c>
      <c r="I64" s="32">
        <f t="shared" si="2"/>
        <v>-0.44460523177228273</v>
      </c>
    </row>
    <row r="65" spans="1:9" ht="15.6">
      <c r="A65" s="33" t="str">
        <v>CA: Stockton - SUSD - Harrison</v>
      </c>
      <c r="B65" s="34" t="str">
        <v>CA</v>
      </c>
      <c r="C65" s="35">
        <f>SUM('1st Qtr'!C65, '2nd Qtr'!C65, '3rd Qtr'!C65, '4th Qtr'!C65)</f>
        <v>3023.875</v>
      </c>
      <c r="D65" s="35">
        <f>SUM('1st Qtr'!D65, '2nd Qtr'!D65, '3rd Qtr'!D65, '4th Qtr'!D65)</f>
        <v>7253.951</v>
      </c>
      <c r="E65" s="36">
        <f t="shared" si="3"/>
        <v>-4230.076</v>
      </c>
      <c r="F65" s="37">
        <f t="shared" si="1"/>
        <v>-0.58314096690203721</v>
      </c>
      <c r="G65" s="38">
        <f>SUM('1st Qtr'!G65, '2nd Qtr'!G65, '3rd Qtr'!G65, '4th Qtr'!G65)</f>
        <v>5557.2359999999999</v>
      </c>
      <c r="H65" s="38">
        <f>SUM('1st Qtr'!H65, '2nd Qtr'!H65, '3rd Qtr'!H65, '4th Qtr'!H65)</f>
        <v>-2533.3609999999999</v>
      </c>
      <c r="I65" s="37">
        <f t="shared" si="2"/>
        <v>-0.45586708932282161</v>
      </c>
    </row>
    <row r="66" spans="1:9" ht="15.6">
      <c r="A66" s="26" t="str">
        <v>CA: Stockton - SUSD - Commodore Skills School</v>
      </c>
      <c r="B66" s="27" t="str">
        <v>CA</v>
      </c>
      <c r="C66" s="28">
        <f>SUM('1st Qtr'!C66, '2nd Qtr'!C66, '3rd Qtr'!C66, '4th Qtr'!C66)</f>
        <v>4257.25</v>
      </c>
      <c r="D66" s="29">
        <f>SUM('1st Qtr'!D66, '2nd Qtr'!D66, '3rd Qtr'!D66, '4th Qtr'!D66)</f>
        <v>15302.58</v>
      </c>
      <c r="E66" s="29">
        <f t="shared" si="3"/>
        <v>-11045.33</v>
      </c>
      <c r="F66" s="30">
        <f t="shared" si="1"/>
        <v>-0.72179527896603057</v>
      </c>
      <c r="G66" s="31">
        <f>SUM('1st Qtr'!G66, '2nd Qtr'!G66, '3rd Qtr'!G66, '4th Qtr'!G66)</f>
        <v>12327.39</v>
      </c>
      <c r="H66" s="31">
        <f>SUM('1st Qtr'!H66, '2nd Qtr'!H66, '3rd Qtr'!H66, '4th Qtr'!H66)</f>
        <v>-8070.1399999999994</v>
      </c>
      <c r="I66" s="32">
        <f t="shared" si="2"/>
        <v>-0.65465114675531477</v>
      </c>
    </row>
    <row r="67" spans="1:9" ht="15.6">
      <c r="A67" s="33" t="str">
        <v>CA: Stockton - SUSD - Nightingale ES</v>
      </c>
      <c r="B67" s="34" t="str">
        <v>CA</v>
      </c>
      <c r="C67" s="35">
        <f>SUM('1st Qtr'!C67, '2nd Qtr'!C67, '3rd Qtr'!C67, '4th Qtr'!C67)</f>
        <v>7590</v>
      </c>
      <c r="D67" s="35">
        <f>SUM('1st Qtr'!D67, '2nd Qtr'!D67, '3rd Qtr'!D67, '4th Qtr'!D67)</f>
        <v>7446.7759999999998</v>
      </c>
      <c r="E67" s="36">
        <f t="shared" si="3"/>
        <v>143.22400000000016</v>
      </c>
      <c r="F67" s="37">
        <f t="shared" si="1"/>
        <v>1.9233021108732175E-2</v>
      </c>
      <c r="G67" s="38">
        <f>SUM('1st Qtr'!G67, '2nd Qtr'!G67, '3rd Qtr'!G67, '4th Qtr'!G67)</f>
        <v>5692.5020000000004</v>
      </c>
      <c r="H67" s="38">
        <f>SUM('1st Qtr'!H67, '2nd Qtr'!H67, '3rd Qtr'!H67, '4th Qtr'!H67)</f>
        <v>1897.4979999999996</v>
      </c>
      <c r="I67" s="37">
        <f t="shared" si="2"/>
        <v>0.33333286488085545</v>
      </c>
    </row>
    <row r="68" spans="1:9" ht="15.6">
      <c r="A68" s="26" t="str">
        <v>CA: Stockton - SUSD - Weber Institute</v>
      </c>
      <c r="B68" s="27" t="str">
        <v>CA</v>
      </c>
      <c r="C68" s="28">
        <f>SUM('1st Qtr'!C68, '2nd Qtr'!C68, '3rd Qtr'!C68, '4th Qtr'!C68)</f>
        <v>3285</v>
      </c>
      <c r="D68" s="29">
        <f>SUM('1st Qtr'!D68, '2nd Qtr'!D68, '3rd Qtr'!D68, '4th Qtr'!D68)</f>
        <v>44904.47</v>
      </c>
      <c r="E68" s="29">
        <f t="shared" si="3"/>
        <v>-41619.47</v>
      </c>
      <c r="F68" s="30">
        <f t="shared" si="1"/>
        <v>-0.9268446994252465</v>
      </c>
      <c r="G68" s="31">
        <f>SUM('1st Qtr'!G68, '2nd Qtr'!G68, '3rd Qtr'!G68, '4th Qtr'!G68)</f>
        <v>11967.91</v>
      </c>
      <c r="H68" s="31">
        <f>SUM('1st Qtr'!H68, '2nd Qtr'!H68, '3rd Qtr'!H68, '4th Qtr'!H68)</f>
        <v>-8682.91</v>
      </c>
      <c r="I68" s="32">
        <f t="shared" si="2"/>
        <v>-0.72551598399386363</v>
      </c>
    </row>
    <row r="69" spans="1:9" ht="15.6">
      <c r="A69" s="33" t="str">
        <v>CA: Stockton - SUSD - Warehouse</v>
      </c>
      <c r="B69" s="34" t="str">
        <v>CA</v>
      </c>
      <c r="C69" s="35">
        <f>SUM('1st Qtr'!C69, '2nd Qtr'!C69, '3rd Qtr'!C69, '4th Qtr'!C69)</f>
        <v>5518.75</v>
      </c>
      <c r="D69" s="35">
        <f>SUM('1st Qtr'!D69, '2nd Qtr'!D69, '3rd Qtr'!D69, '4th Qtr'!D69)</f>
        <v>11714.82</v>
      </c>
      <c r="E69" s="36">
        <f t="shared" si="3"/>
        <v>-6196.07</v>
      </c>
      <c r="F69" s="37">
        <f t="shared" si="1"/>
        <v>-0.52890868148208847</v>
      </c>
      <c r="G69" s="38">
        <f>SUM('1st Qtr'!G69, '2nd Qtr'!G69, '3rd Qtr'!G69, '4th Qtr'!G69)</f>
        <v>11039.29</v>
      </c>
      <c r="H69" s="38">
        <f>SUM('1st Qtr'!H69, '2nd Qtr'!H69, '3rd Qtr'!H69, '4th Qtr'!H69)</f>
        <v>-5520.5400000000009</v>
      </c>
      <c r="I69" s="37">
        <f t="shared" si="2"/>
        <v>-0.50008107405458146</v>
      </c>
    </row>
    <row r="70" spans="1:9" ht="15.6">
      <c r="A70" s="26" t="str">
        <v>CA: Stockton - SUSD - Walton Special Center</v>
      </c>
      <c r="B70" s="27" t="str">
        <v>CA</v>
      </c>
      <c r="C70" s="28">
        <f>SUM('1st Qtr'!C70, '2nd Qtr'!C70, '3rd Qtr'!C70, '4th Qtr'!C70)</f>
        <v>5775.5</v>
      </c>
      <c r="D70" s="29">
        <f>SUM('1st Qtr'!D70, '2nd Qtr'!D70, '3rd Qtr'!D70, '4th Qtr'!D70)</f>
        <v>10031.34</v>
      </c>
      <c r="E70" s="29">
        <f t="shared" si="3"/>
        <v>-4255.84</v>
      </c>
      <c r="F70" s="30">
        <f t="shared" ref="F70:F85" si="4">IFERROR(E70/D70, "")</f>
        <v>-0.42425438675191951</v>
      </c>
      <c r="G70" s="31">
        <f>SUM('1st Qtr'!G70, '2nd Qtr'!G70, '3rd Qtr'!G70, '4th Qtr'!G70)</f>
        <v>7933.4390000000003</v>
      </c>
      <c r="H70" s="31">
        <f>SUM('1st Qtr'!H70, '2nd Qtr'!H70, '3rd Qtr'!H70, '4th Qtr'!H70)</f>
        <v>-2157.9390000000003</v>
      </c>
      <c r="I70" s="32">
        <f t="shared" ref="I70:I85" si="5">IFERROR(H70/G70, "")</f>
        <v>-0.27200549471673008</v>
      </c>
    </row>
    <row r="71" spans="1:9" ht="15.6">
      <c r="A71" s="33" t="str">
        <v>CA: Stockton - SUSD - Stagg HS</v>
      </c>
      <c r="B71" s="34" t="str">
        <v>CA</v>
      </c>
      <c r="C71" s="35">
        <f>SUM('1st Qtr'!C71, '2nd Qtr'!C71, '3rd Qtr'!C71, '4th Qtr'!C71)</f>
        <v>11505</v>
      </c>
      <c r="D71" s="35">
        <f>SUM('1st Qtr'!D71, '2nd Qtr'!D71, '3rd Qtr'!D71, '4th Qtr'!D71)</f>
        <v>14555.3</v>
      </c>
      <c r="E71" s="36">
        <f t="shared" ref="E71:E85" si="6">IF(AND(ISNUMBER(C71),ISNUMBER(D71)), C71-D71, "")</f>
        <v>-3050.2999999999993</v>
      </c>
      <c r="F71" s="37">
        <f t="shared" si="4"/>
        <v>-0.20956627482772594</v>
      </c>
      <c r="G71" s="38">
        <f>SUM('1st Qtr'!G71, '2nd Qtr'!G71, '3rd Qtr'!G71, '4th Qtr'!G71)</f>
        <v>31280.84</v>
      </c>
      <c r="H71" s="38">
        <f>SUM('1st Qtr'!H71, '2nd Qtr'!H71, '3rd Qtr'!H71, '4th Qtr'!H71)</f>
        <v>-19775.84</v>
      </c>
      <c r="I71" s="37">
        <f t="shared" si="5"/>
        <v>-0.63220297153145499</v>
      </c>
    </row>
    <row r="72" spans="1:9" ht="15.6">
      <c r="A72" s="26" t="str">
        <v>CA: Stockton - SUSD - School for Adults</v>
      </c>
      <c r="B72" s="27" t="str">
        <v>CA</v>
      </c>
      <c r="C72" s="28">
        <f>SUM('1st Qtr'!C72, '2nd Qtr'!C72, '3rd Qtr'!C72, '4th Qtr'!C72)</f>
        <v>-169</v>
      </c>
      <c r="D72" s="29">
        <f>SUM('1st Qtr'!D72, '2nd Qtr'!D72, '3rd Qtr'!D72, '4th Qtr'!D72)</f>
        <v>7464.1710000000003</v>
      </c>
      <c r="E72" s="29">
        <f t="shared" si="6"/>
        <v>-7633.1710000000003</v>
      </c>
      <c r="F72" s="30">
        <f t="shared" si="4"/>
        <v>-1.022641496289407</v>
      </c>
      <c r="G72" s="31">
        <f>SUM('1st Qtr'!G72, '2nd Qtr'!G72, '3rd Qtr'!G72, '4th Qtr'!G72)</f>
        <v>6819.3540000000003</v>
      </c>
      <c r="H72" s="31">
        <f>SUM('1st Qtr'!H72, '2nd Qtr'!H72, '3rd Qtr'!H72, '4th Qtr'!H72)</f>
        <v>-6988.3540000000003</v>
      </c>
      <c r="I72" s="32">
        <f t="shared" si="5"/>
        <v>-1.0247824060754143</v>
      </c>
    </row>
    <row r="73" spans="1:9" ht="15.6">
      <c r="A73" s="33" t="str">
        <v>CA: Stockton - SUSD - San Joaquin</v>
      </c>
      <c r="B73" s="34" t="str">
        <v>CA</v>
      </c>
      <c r="C73" s="35">
        <f>SUM('1st Qtr'!C73, '2nd Qtr'!C73, '3rd Qtr'!C73, '4th Qtr'!C73)</f>
        <v>3183.125</v>
      </c>
      <c r="D73" s="35">
        <f>SUM('1st Qtr'!D73, '2nd Qtr'!D73, '3rd Qtr'!D73, '4th Qtr'!D73)</f>
        <v>6938.59</v>
      </c>
      <c r="E73" s="36">
        <f t="shared" si="6"/>
        <v>-3755.4650000000001</v>
      </c>
      <c r="F73" s="37">
        <f t="shared" si="4"/>
        <v>-0.54124324970923487</v>
      </c>
      <c r="G73" s="38">
        <f>SUM('1st Qtr'!G73, '2nd Qtr'!G73, '3rd Qtr'!G73, '4th Qtr'!G73)</f>
        <v>6105.2969999999996</v>
      </c>
      <c r="H73" s="38">
        <f>SUM('1st Qtr'!H73, '2nd Qtr'!H73, '3rd Qtr'!H73, '4th Qtr'!H73)</f>
        <v>-2922.1719999999996</v>
      </c>
      <c r="I73" s="37">
        <f t="shared" si="5"/>
        <v>-0.47862896759977441</v>
      </c>
    </row>
    <row r="74" spans="1:9" ht="15.6">
      <c r="A74" s="26" t="str">
        <v>CA: Stockton - SUSD - Rio Calaveras</v>
      </c>
      <c r="B74" s="27" t="str">
        <v>CA</v>
      </c>
      <c r="C74" s="28">
        <f>SUM('1st Qtr'!C74, '2nd Qtr'!C74, '3rd Qtr'!C74, '4th Qtr'!C74)</f>
        <v>944.5</v>
      </c>
      <c r="D74" s="29">
        <f>SUM('1st Qtr'!D74, '2nd Qtr'!D74, '3rd Qtr'!D74, '4th Qtr'!D74)</f>
        <v>8325.5849999999991</v>
      </c>
      <c r="E74" s="29">
        <f t="shared" si="6"/>
        <v>-7381.0849999999991</v>
      </c>
      <c r="F74" s="30">
        <f t="shared" si="4"/>
        <v>-0.88655451839120014</v>
      </c>
      <c r="G74" s="31">
        <f>SUM('1st Qtr'!G74, '2nd Qtr'!G74, '3rd Qtr'!G74, '4th Qtr'!G74)</f>
        <v>0</v>
      </c>
      <c r="H74" s="31">
        <f>SUM('1st Qtr'!H74, '2nd Qtr'!H74, '3rd Qtr'!H74, '4th Qtr'!H74)</f>
        <v>944.5</v>
      </c>
      <c r="I74" s="32" t="str">
        <f t="shared" si="5"/>
        <v/>
      </c>
    </row>
    <row r="75" spans="1:9" ht="15.6">
      <c r="A75" s="33" t="str">
        <v>CA: Stockton - SUSD - Peyton</v>
      </c>
      <c r="B75" s="34" t="str">
        <v>CA</v>
      </c>
      <c r="C75" s="35">
        <f>SUM('1st Qtr'!C75, '2nd Qtr'!C75, '3rd Qtr'!C75, '4th Qtr'!C75)</f>
        <v>15140</v>
      </c>
      <c r="D75" s="35">
        <f>SUM('1st Qtr'!D75, '2nd Qtr'!D75, '3rd Qtr'!D75, '4th Qtr'!D75)</f>
        <v>20240.599999999999</v>
      </c>
      <c r="E75" s="36">
        <f t="shared" si="6"/>
        <v>-5100.5999999999985</v>
      </c>
      <c r="F75" s="37">
        <f t="shared" si="4"/>
        <v>-0.251998458543719</v>
      </c>
      <c r="G75" s="38">
        <f>SUM('1st Qtr'!G75, '2nd Qtr'!G75, '3rd Qtr'!G75, '4th Qtr'!G75)</f>
        <v>13586.38</v>
      </c>
      <c r="H75" s="38">
        <f>SUM('1st Qtr'!H75, '2nd Qtr'!H75, '3rd Qtr'!H75, '4th Qtr'!H75)</f>
        <v>1553.6200000000008</v>
      </c>
      <c r="I75" s="37">
        <f t="shared" si="5"/>
        <v>0.11435128415368928</v>
      </c>
    </row>
    <row r="76" spans="1:9" ht="15.6">
      <c r="A76" s="26" t="str">
        <v>TX: Barnhart - 42917 Ranch RD 2469</v>
      </c>
      <c r="B76" s="27" t="str">
        <v>TX</v>
      </c>
      <c r="C76" s="28">
        <f>SUM('1st Qtr'!C76, '2nd Qtr'!C76, '3rd Qtr'!C76, '4th Qtr'!C76)</f>
        <v>165900</v>
      </c>
      <c r="D76" s="29">
        <f>SUM('1st Qtr'!D76, '2nd Qtr'!D76, '3rd Qtr'!D76, '4th Qtr'!D76)</f>
        <v>171704.4</v>
      </c>
      <c r="E76" s="29">
        <f t="shared" si="6"/>
        <v>-5804.3999999999942</v>
      </c>
      <c r="F76" s="30">
        <f t="shared" si="4"/>
        <v>-3.3804608385108327E-2</v>
      </c>
      <c r="G76" s="31">
        <f>SUM('1st Qtr'!G76, '2nd Qtr'!G76, '3rd Qtr'!G76, '4th Qtr'!G76)</f>
        <v>155957.4</v>
      </c>
      <c r="H76" s="31">
        <f>SUM('1st Qtr'!H76, '2nd Qtr'!H76, '3rd Qtr'!H76, '4th Qtr'!H76)</f>
        <v>9942.6000000000058</v>
      </c>
      <c r="I76" s="32">
        <f t="shared" si="5"/>
        <v>6.3752024591330753E-2</v>
      </c>
    </row>
    <row r="77" spans="1:9" ht="15.6">
      <c r="A77" s="33" t="str">
        <v>AZ: San Manuel - Senior &amp; Junior HS</v>
      </c>
      <c r="B77" s="34" t="str">
        <v>AZ</v>
      </c>
      <c r="C77" s="35">
        <f>SUM('1st Qtr'!C77, '2nd Qtr'!C77, '3rd Qtr'!C77, '4th Qtr'!C77)</f>
        <v>31206</v>
      </c>
      <c r="D77" s="35">
        <f>SUM('1st Qtr'!D77, '2nd Qtr'!D77, '3rd Qtr'!D77, '4th Qtr'!D77)</f>
        <v>0</v>
      </c>
      <c r="E77" s="36">
        <f t="shared" si="6"/>
        <v>31206</v>
      </c>
      <c r="F77" s="37" t="str">
        <f t="shared" si="4"/>
        <v/>
      </c>
      <c r="G77" s="38">
        <f>SUM('1st Qtr'!G77, '2nd Qtr'!G77, '3rd Qtr'!G77, '4th Qtr'!G77)</f>
        <v>25830</v>
      </c>
      <c r="H77" s="38">
        <f>SUM('1st Qtr'!H77, '2nd Qtr'!H77, '3rd Qtr'!H77, '4th Qtr'!H77)</f>
        <v>5376</v>
      </c>
      <c r="I77" s="37">
        <f t="shared" si="5"/>
        <v>0.20813008130081301</v>
      </c>
    </row>
    <row r="78" spans="1:9" ht="15.6">
      <c r="A78" s="26" t="str">
        <v>AZ: Sierra Vista - Colonel Smith MS</v>
      </c>
      <c r="B78" s="27" t="str">
        <v>AZ</v>
      </c>
      <c r="C78" s="28">
        <f>SUM('1st Qtr'!C78, '2nd Qtr'!C78, '3rd Qtr'!C78, '4th Qtr'!C78)</f>
        <v>24700</v>
      </c>
      <c r="D78" s="29">
        <f>SUM('1st Qtr'!D78, '2nd Qtr'!D78, '3rd Qtr'!D78, '4th Qtr'!D78)</f>
        <v>49500.07</v>
      </c>
      <c r="E78" s="29">
        <f t="shared" si="6"/>
        <v>-24800.07</v>
      </c>
      <c r="F78" s="30">
        <f t="shared" si="4"/>
        <v>-0.50101080665138453</v>
      </c>
      <c r="G78" s="31">
        <f>SUM('1st Qtr'!G78, '2nd Qtr'!G78, '3rd Qtr'!G78, '4th Qtr'!G78)</f>
        <v>38553.15</v>
      </c>
      <c r="H78" s="31">
        <f>SUM('1st Qtr'!H78, '2nd Qtr'!H78, '3rd Qtr'!H78, '4th Qtr'!H78)</f>
        <v>-13853.150000000001</v>
      </c>
      <c r="I78" s="32">
        <f t="shared" si="5"/>
        <v>-0.35932602134974706</v>
      </c>
    </row>
    <row r="79" spans="1:9" ht="15.6">
      <c r="A79" s="33" t="str">
        <v>AZ: Sierra Vista - Colonel Johnston ES</v>
      </c>
      <c r="B79" s="34" t="str">
        <v>AZ</v>
      </c>
      <c r="C79" s="35">
        <f>SUM('1st Qtr'!C79, '2nd Qtr'!C79, '3rd Qtr'!C79, '4th Qtr'!C79)</f>
        <v>9940</v>
      </c>
      <c r="D79" s="35">
        <f>SUM('1st Qtr'!D79, '2nd Qtr'!D79, '3rd Qtr'!D79, '4th Qtr'!D79)</f>
        <v>16895.189999999999</v>
      </c>
      <c r="E79" s="36">
        <f t="shared" si="6"/>
        <v>-6955.1899999999987</v>
      </c>
      <c r="F79" s="37">
        <f t="shared" si="4"/>
        <v>-0.41166687086679693</v>
      </c>
      <c r="G79" s="38">
        <f>SUM('1st Qtr'!G79, '2nd Qtr'!G79, '3rd Qtr'!G79, '4th Qtr'!G79)</f>
        <v>13185.89</v>
      </c>
      <c r="H79" s="38">
        <f>SUM('1st Qtr'!H79, '2nd Qtr'!H79, '3rd Qtr'!H79, '4th Qtr'!H79)</f>
        <v>-3245.8899999999994</v>
      </c>
      <c r="I79" s="37">
        <f t="shared" si="5"/>
        <v>-0.24616389185712906</v>
      </c>
    </row>
    <row r="80" spans="1:9" ht="15.6">
      <c r="A80" s="26" t="str">
        <v>NH: Dover - Dover HS</v>
      </c>
      <c r="B80" s="27" t="str">
        <v>NH</v>
      </c>
      <c r="C80" s="28">
        <f>SUM('1st Qtr'!C80, '2nd Qtr'!C80, '3rd Qtr'!C80, '4th Qtr'!C80)</f>
        <v>12899.5</v>
      </c>
      <c r="D80" s="29">
        <f>SUM('1st Qtr'!D80, '2nd Qtr'!D80, '3rd Qtr'!D80, '4th Qtr'!D80)</f>
        <v>49976.95</v>
      </c>
      <c r="E80" s="29">
        <f t="shared" si="6"/>
        <v>-37077.449999999997</v>
      </c>
      <c r="F80" s="30">
        <f t="shared" si="4"/>
        <v>-0.74189101175641969</v>
      </c>
      <c r="G80" s="31">
        <f>SUM('1st Qtr'!G80, '2nd Qtr'!G80, '3rd Qtr'!G80, '4th Qtr'!G80)</f>
        <v>40959.82</v>
      </c>
      <c r="H80" s="31">
        <f>SUM('1st Qtr'!H80, '2nd Qtr'!H80, '3rd Qtr'!H80, '4th Qtr'!H80)</f>
        <v>-28060.32</v>
      </c>
      <c r="I80" s="32">
        <f t="shared" si="5"/>
        <v>-0.68506941680896061</v>
      </c>
    </row>
    <row r="81" spans="1:9" ht="15.6">
      <c r="A81" s="33" t="str">
        <v>MA: Somerville - 30 Inner Belt Rd</v>
      </c>
      <c r="B81" s="34" t="str">
        <v>MA</v>
      </c>
      <c r="C81" s="35">
        <f>SUM('1st Qtr'!C81, '2nd Qtr'!C81, '3rd Qtr'!C81, '4th Qtr'!C81)</f>
        <v>19220</v>
      </c>
      <c r="D81" s="35">
        <f>SUM('1st Qtr'!D81, '2nd Qtr'!D81, '3rd Qtr'!D81, '4th Qtr'!D81)</f>
        <v>37730.82</v>
      </c>
      <c r="E81" s="36">
        <f t="shared" si="6"/>
        <v>-18510.82</v>
      </c>
      <c r="F81" s="37">
        <f t="shared" si="4"/>
        <v>-0.49060211254353869</v>
      </c>
      <c r="G81" s="38">
        <f>SUM('1st Qtr'!G81, '2nd Qtr'!G81, '3rd Qtr'!G81, '4th Qtr'!G81)</f>
        <v>47812.13</v>
      </c>
      <c r="H81" s="38">
        <f>SUM('1st Qtr'!H81, '2nd Qtr'!H81, '3rd Qtr'!H81, '4th Qtr'!H81)</f>
        <v>-28592.129999999997</v>
      </c>
      <c r="I81" s="37">
        <f t="shared" si="5"/>
        <v>-0.59800996107054838</v>
      </c>
    </row>
    <row r="82" spans="1:9" ht="15.6">
      <c r="A82" s="26" t="str">
        <v>MA: Boxborough - 1414 Massachusetts Ave</v>
      </c>
      <c r="B82" s="27" t="str">
        <v>MA</v>
      </c>
      <c r="C82" s="28">
        <f>SUM('1st Qtr'!C82, '2nd Qtr'!C82, '3rd Qtr'!C82, '4th Qtr'!C82)</f>
        <v>236262.0092</v>
      </c>
      <c r="D82" s="29">
        <f>SUM('1st Qtr'!D82, '2nd Qtr'!D82, '3rd Qtr'!D82, '4th Qtr'!D82)</f>
        <v>255634.2</v>
      </c>
      <c r="E82" s="29">
        <f t="shared" si="6"/>
        <v>-19372.190800000011</v>
      </c>
      <c r="F82" s="30">
        <f t="shared" si="4"/>
        <v>-7.5780904120027803E-2</v>
      </c>
      <c r="G82" s="31">
        <f>SUM('1st Qtr'!G82, '2nd Qtr'!G82, '3rd Qtr'!G82, '4th Qtr'!G82)</f>
        <v>401700</v>
      </c>
      <c r="H82" s="31">
        <f>SUM('1st Qtr'!H82, '2nd Qtr'!H82, '3rd Qtr'!H82, '4th Qtr'!H82)</f>
        <v>-165437.9908</v>
      </c>
      <c r="I82" s="32">
        <f t="shared" si="5"/>
        <v>-0.41184463729151105</v>
      </c>
    </row>
    <row r="83" spans="1:9" ht="15.6">
      <c r="A83" s="33" t="str">
        <v>NY: Amsterdam - 153 NY Route 67</v>
      </c>
      <c r="B83" s="34" t="str">
        <v>NY</v>
      </c>
      <c r="C83" s="35">
        <f>SUM('1st Qtr'!C83, '2nd Qtr'!C83, '3rd Qtr'!C83, '4th Qtr'!C83)</f>
        <v>64050</v>
      </c>
      <c r="D83" s="35">
        <f>SUM('1st Qtr'!D83, '2nd Qtr'!D83, '3rd Qtr'!D83, '4th Qtr'!D83)</f>
        <v>152191.70000000001</v>
      </c>
      <c r="E83" s="36">
        <f t="shared" si="6"/>
        <v>-88141.700000000012</v>
      </c>
      <c r="F83" s="37">
        <f t="shared" si="4"/>
        <v>-0.57914919144736543</v>
      </c>
      <c r="G83" s="38">
        <f>SUM('1st Qtr'!G83, '2nd Qtr'!G83, '3rd Qtr'!G83, '4th Qtr'!G83)</f>
        <v>151137</v>
      </c>
      <c r="H83" s="38">
        <f>SUM('1st Qtr'!H83, '2nd Qtr'!H83, '3rd Qtr'!H83, '4th Qtr'!H83)</f>
        <v>-87087</v>
      </c>
      <c r="I83" s="37">
        <f t="shared" si="5"/>
        <v>-0.57621231068500767</v>
      </c>
    </row>
    <row r="84" spans="1:9" ht="15.6">
      <c r="A84" s="26" t="str">
        <v>CA: San Jose - GE Mobile Water</v>
      </c>
      <c r="B84" s="27" t="str">
        <v>CA</v>
      </c>
      <c r="C84" s="28">
        <f>SUM('1st Qtr'!C84, '2nd Qtr'!C84, '3rd Qtr'!C84, '4th Qtr'!C84)</f>
        <v>13800</v>
      </c>
      <c r="D84" s="29">
        <f>SUM('1st Qtr'!D84, '2nd Qtr'!D84, '3rd Qtr'!D84, '4th Qtr'!D84)</f>
        <v>14212.755999999999</v>
      </c>
      <c r="E84" s="29">
        <f t="shared" si="6"/>
        <v>-412.7559999999994</v>
      </c>
      <c r="F84" s="30">
        <f t="shared" si="4"/>
        <v>-2.9041235915117338E-2</v>
      </c>
      <c r="G84" s="31">
        <f>SUM('1st Qtr'!G84, '2nd Qtr'!G84, '3rd Qtr'!G84, '4th Qtr'!G84)</f>
        <v>12577.264999999999</v>
      </c>
      <c r="H84" s="31">
        <f>SUM('1st Qtr'!H84, '2nd Qtr'!H84, '3rd Qtr'!H84, '4th Qtr'!H84)</f>
        <v>1222.7350000000006</v>
      </c>
      <c r="I84" s="32">
        <f t="shared" si="5"/>
        <v>9.7217876859555769E-2</v>
      </c>
    </row>
    <row r="85" spans="1:9" ht="15.6">
      <c r="A85" s="33" t="str">
        <v>NY: Rome - 7776 Tannery RD</v>
      </c>
      <c r="B85" s="34" t="str">
        <v>NY</v>
      </c>
      <c r="C85" s="35">
        <f>SUM('1st Qtr'!C85, '2nd Qtr'!C85, '3rd Qtr'!C85, '4th Qtr'!C85)</f>
        <v>43322.293749999997</v>
      </c>
      <c r="D85" s="35">
        <f>SUM('1st Qtr'!D85, '2nd Qtr'!D85, '3rd Qtr'!D85, '4th Qtr'!D85)</f>
        <v>138493.4</v>
      </c>
      <c r="E85" s="36">
        <f t="shared" si="6"/>
        <v>-95171.106249999997</v>
      </c>
      <c r="F85" s="37">
        <f t="shared" si="4"/>
        <v>-0.68718874870571456</v>
      </c>
      <c r="G85" s="38">
        <f>SUM('1st Qtr'!G85, '2nd Qtr'!G85, '3rd Qtr'!G85, '4th Qtr'!G85)</f>
        <v>196069.2</v>
      </c>
      <c r="H85" s="38">
        <f>SUM('1st Qtr'!H85, '2nd Qtr'!H85, '3rd Qtr'!H85, '4th Qtr'!H85)</f>
        <v>-152746.90625</v>
      </c>
      <c r="I85" s="37">
        <f t="shared" si="5"/>
        <v>-0.7790458993559416</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85 I4:I8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4" activePane="bottomRight" state="frozen"/>
      <selection pane="bottomRight" activeCell="G2" sqref="G2"/>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2" t="str" cm="1">
        <f t="array" ref="A1">portfolio</f>
        <v>Clean Capital</v>
      </c>
      <c r="B1" s="122"/>
      <c r="C1" s="122"/>
      <c r="D1" s="123" t="s">
        <v>11</v>
      </c>
      <c r="E1" s="123"/>
      <c r="F1" s="123"/>
      <c r="G1" s="121" t="s">
        <v>12</v>
      </c>
      <c r="H1" s="121"/>
      <c r="I1" s="121"/>
    </row>
    <row r="2" spans="1:9" ht="19.5" customHeight="1">
      <c r="A2" s="124" t="s">
        <v>2</v>
      </c>
      <c r="B2" s="124"/>
      <c r="C2" s="5">
        <f>SUM(C4:C179)</f>
        <v>2583593.8934600004</v>
      </c>
      <c r="D2" s="5">
        <f>SUM(D4:D179)</f>
        <v>2408969.7280000006</v>
      </c>
      <c r="E2" s="5">
        <f>C2-D2</f>
        <v>174624.16545999981</v>
      </c>
      <c r="F2" s="6">
        <f>IFERROR(E2/D2, 0)</f>
        <v>7.2489148962854785E-2</v>
      </c>
      <c r="G2" s="5">
        <f>SUM(G4:G179)</f>
        <v>3112416.0249999999</v>
      </c>
      <c r="H2" s="7">
        <f>C2-G2</f>
        <v>-528822.13153999951</v>
      </c>
      <c r="I2" s="6">
        <f>IFERROR(H2/G2, 0)</f>
        <v>-0.16990727694894178</v>
      </c>
    </row>
    <row r="3" spans="1:9" ht="14.25" customHeight="1">
      <c r="A3" s="12" t="s">
        <v>4</v>
      </c>
      <c r="B3" s="12" t="s">
        <v>5</v>
      </c>
      <c r="C3" s="19" t="s">
        <v>6</v>
      </c>
      <c r="D3" s="20" t="s">
        <v>7</v>
      </c>
      <c r="E3" s="20" t="s">
        <v>8</v>
      </c>
      <c r="F3" s="21" t="s">
        <v>9</v>
      </c>
      <c r="G3" s="22" t="s">
        <v>10</v>
      </c>
      <c r="H3" s="23" t="s">
        <v>8</v>
      </c>
      <c r="I3" s="24" t="s">
        <v>9</v>
      </c>
    </row>
    <row r="4" spans="1:9" ht="15.6">
      <c r="A4" s="47" t="str" cm="1">
        <f t="array" ref="A4:A85">Sites[Site]</f>
        <v>Lexington - Cotting School</v>
      </c>
      <c r="B4" s="27" t="str" cm="1">
        <f t="array" ref="B4:B85">Sites[State]</f>
        <v>MA</v>
      </c>
      <c r="C4" s="28">
        <f>SUM(Jan!C4, Feb!C4, Mar!C4)</f>
        <v>7117.28</v>
      </c>
      <c r="D4" s="29">
        <f>SUM(Jan!D4, Feb!D4, Mar!D4)</f>
        <v>0</v>
      </c>
      <c r="E4" s="29">
        <f>IF(AND(ISNUMBER(C4),ISNUMBER(D4)), C4-D4, "")</f>
        <v>7117.28</v>
      </c>
      <c r="F4" s="30" t="str">
        <f>IFERROR(E4/D4, "")</f>
        <v/>
      </c>
      <c r="G4" s="31">
        <f>SUM(Jan!G4, Feb!G4, Mar!G4)</f>
        <v>0</v>
      </c>
      <c r="H4" s="31">
        <f>SUM(Jan!H4, Feb!H4, Mar!H4)</f>
        <v>0</v>
      </c>
      <c r="I4" s="32" t="str">
        <f>IFERROR(H4/G4, "")</f>
        <v/>
      </c>
    </row>
    <row r="5" spans="1:9" ht="15.6">
      <c r="A5" s="48" t="str">
        <v>Pacoima - Whiteman Airport</v>
      </c>
      <c r="B5" s="34" t="str">
        <v>CA</v>
      </c>
      <c r="C5" s="35">
        <f>SUM(Jan!C5, Feb!C5, Mar!C5)</f>
        <v>20016.3</v>
      </c>
      <c r="D5" s="36">
        <f>SUM(Jan!D5, Feb!D5, Mar!D5)</f>
        <v>0</v>
      </c>
      <c r="E5" s="36">
        <f t="shared" ref="E5:E7" si="0">IF(AND(ISNUMBER(C5),ISNUMBER(D5)), C5-D5, "")</f>
        <v>20016.3</v>
      </c>
      <c r="F5" s="37" t="str">
        <f>IFERROR(E5/D5, "")</f>
        <v/>
      </c>
      <c r="G5" s="38">
        <f>SUM(Jan!G5, Feb!G5, Mar!G5)</f>
        <v>34320</v>
      </c>
      <c r="H5" s="38">
        <f>SUM(Jan!H5, Feb!H5, Mar!H5)</f>
        <v>-14303.7</v>
      </c>
      <c r="I5" s="37">
        <f>IFERROR(H5/G5, "")</f>
        <v>-0.41677447552447555</v>
      </c>
    </row>
    <row r="6" spans="1:9" ht="15.6">
      <c r="A6" s="47" t="str">
        <v>Hyannis - Sturgis Charter School</v>
      </c>
      <c r="B6" s="27" t="str">
        <v>MA</v>
      </c>
      <c r="C6" s="28">
        <f>SUM(Jan!C6, Feb!C6, Mar!C6)</f>
        <v>5497.3850000000002</v>
      </c>
      <c r="D6" s="29">
        <f>SUM(Jan!D6, Feb!D6, Mar!D6)</f>
        <v>0</v>
      </c>
      <c r="E6" s="29">
        <f t="shared" si="0"/>
        <v>5497.3850000000002</v>
      </c>
      <c r="F6" s="30" t="str">
        <f t="shared" ref="F6:F7" si="1">IFERROR(E6/D6, "")</f>
        <v/>
      </c>
      <c r="G6" s="31">
        <f>SUM(Jan!G6, Feb!G6, Mar!G6)</f>
        <v>12393.7</v>
      </c>
      <c r="H6" s="31">
        <f>SUM(Jan!H6, Feb!H6, Mar!H6)</f>
        <v>-6896.3150000000005</v>
      </c>
      <c r="I6" s="32">
        <f t="shared" ref="I6:I7" si="2">IFERROR(H6/G6, "")</f>
        <v>-0.5564371414508984</v>
      </c>
    </row>
    <row r="7" spans="1:9" ht="15.6">
      <c r="A7" s="48" t="str">
        <v>South Dennis - Tony Kent Arena</v>
      </c>
      <c r="B7" s="34" t="str">
        <v>MA</v>
      </c>
      <c r="C7" s="35">
        <f>SUM(Jan!C7, Feb!C7, Mar!C7)</f>
        <v>6813.92</v>
      </c>
      <c r="D7" s="36">
        <f>SUM(Jan!D7, Feb!D7, Mar!D7)</f>
        <v>0</v>
      </c>
      <c r="E7" s="36">
        <f t="shared" si="0"/>
        <v>6813.92</v>
      </c>
      <c r="F7" s="37" t="str">
        <f t="shared" si="1"/>
        <v/>
      </c>
      <c r="G7" s="38">
        <f>SUM(Jan!G7, Feb!G7, Mar!G7)</f>
        <v>0</v>
      </c>
      <c r="H7" s="38">
        <f>SUM(Jan!H7, Feb!H7, Mar!H7)</f>
        <v>0</v>
      </c>
      <c r="I7" s="37" t="str">
        <f t="shared" si="2"/>
        <v/>
      </c>
    </row>
    <row r="8" spans="1:9" ht="15.6">
      <c r="A8" s="47" t="str">
        <v xml:space="preserve"> Caropolis - Felician Sisters</v>
      </c>
      <c r="B8" s="27" t="str">
        <v>PA</v>
      </c>
      <c r="C8" s="28">
        <f>SUM(Jan!C8, Feb!C8, Mar!C8)</f>
        <v>14772</v>
      </c>
      <c r="D8" s="29">
        <f>SUM(Jan!D8, Feb!D8, Mar!D8)</f>
        <v>0</v>
      </c>
      <c r="E8" s="29">
        <f t="shared" ref="E8:E46" si="3">IF(AND(ISNUMBER(C8),ISNUMBER(D8)), C8-D8, "")</f>
        <v>14772</v>
      </c>
      <c r="F8" s="30" t="str">
        <f t="shared" ref="F8:F46" si="4">IFERROR(E8/D8, "")</f>
        <v/>
      </c>
      <c r="G8" s="31">
        <f>SUM(Jan!G8, Feb!G8, Mar!G8)</f>
        <v>0</v>
      </c>
      <c r="H8" s="31">
        <f>SUM(Jan!H8, Feb!H8, Mar!H8)</f>
        <v>0</v>
      </c>
      <c r="I8" s="32" t="str">
        <f t="shared" ref="I8:I46" si="5">IFERROR(H8/G8, "")</f>
        <v/>
      </c>
    </row>
    <row r="9" spans="1:9" ht="15.6">
      <c r="A9" s="48" t="str">
        <v>Clear Lake - Eastlake Gohman</v>
      </c>
      <c r="B9" s="34" t="str">
        <v>MN</v>
      </c>
      <c r="C9" s="35">
        <f>SUM(Jan!C9, Feb!C9, Mar!C9)</f>
        <v>100260</v>
      </c>
      <c r="D9" s="36">
        <f>SUM(Jan!D9, Feb!D9, Mar!D9)</f>
        <v>0</v>
      </c>
      <c r="E9" s="36">
        <f t="shared" si="3"/>
        <v>100260</v>
      </c>
      <c r="F9" s="71" t="str">
        <f t="shared" si="4"/>
        <v/>
      </c>
      <c r="G9" s="72">
        <f>SUM(Jan!G9, Feb!G9, Mar!G9)</f>
        <v>90704.34</v>
      </c>
      <c r="H9" s="72">
        <f>SUM(Jan!H9, Feb!H9, Mar!H9)</f>
        <v>9555.6600000000035</v>
      </c>
      <c r="I9" s="71">
        <f t="shared" si="5"/>
        <v>0.10534953454266911</v>
      </c>
    </row>
    <row r="10" spans="1:9" ht="15.6">
      <c r="A10" s="47" t="str">
        <v>Zumbrota - Eastlake Brenda Luhman</v>
      </c>
      <c r="B10" s="27" t="str">
        <v>MN</v>
      </c>
      <c r="C10" s="28">
        <f>SUM(Jan!C10, Feb!C10, Mar!C10)</f>
        <v>98665</v>
      </c>
      <c r="D10" s="29">
        <f>SUM(Jan!D10, Feb!D10, Mar!D10)</f>
        <v>0</v>
      </c>
      <c r="E10" s="29">
        <f t="shared" si="3"/>
        <v>98665</v>
      </c>
      <c r="F10" s="30" t="str">
        <f t="shared" si="4"/>
        <v/>
      </c>
      <c r="G10" s="31">
        <f>SUM(Jan!G10, Feb!G10, Mar!G10)</f>
        <v>114650</v>
      </c>
      <c r="H10" s="31">
        <f>SUM(Jan!H10, Feb!H10, Mar!H10)</f>
        <v>-15985</v>
      </c>
      <c r="I10" s="32">
        <f t="shared" si="5"/>
        <v>-0.13942433493240297</v>
      </c>
    </row>
    <row r="11" spans="1:9" ht="15.6">
      <c r="A11" s="48" t="str">
        <v>Cokato - Eastlake Carlson</v>
      </c>
      <c r="B11" s="34" t="str">
        <v>MN</v>
      </c>
      <c r="C11" s="35">
        <f>SUM(Jan!C11, Feb!C11, Mar!C11)</f>
        <v>92635</v>
      </c>
      <c r="D11" s="36">
        <f>SUM(Jan!D11, Feb!D11, Mar!D11)</f>
        <v>0</v>
      </c>
      <c r="E11" s="36">
        <f t="shared" si="3"/>
        <v>92635</v>
      </c>
      <c r="F11" s="71" t="str">
        <f t="shared" si="4"/>
        <v/>
      </c>
      <c r="G11" s="72">
        <f>SUM(Jan!G11, Feb!G11, Mar!G11)</f>
        <v>118503.8</v>
      </c>
      <c r="H11" s="72">
        <f>SUM(Jan!H11, Feb!H11, Mar!H11)</f>
        <v>-25868.800000000003</v>
      </c>
      <c r="I11" s="71">
        <f t="shared" si="5"/>
        <v>-0.21829510952391401</v>
      </c>
    </row>
    <row r="12" spans="1:9" ht="15.6">
      <c r="A12" s="47" t="str">
        <v>North Branch - Cornille 2</v>
      </c>
      <c r="B12" s="27" t="str">
        <v>MN</v>
      </c>
      <c r="C12" s="28">
        <f>SUM(Jan!C12, Feb!C12, Mar!C12)</f>
        <v>85685.583920000005</v>
      </c>
      <c r="D12" s="29">
        <f>SUM(Jan!D12, Feb!D12, Mar!D12)</f>
        <v>0</v>
      </c>
      <c r="E12" s="29">
        <f t="shared" si="3"/>
        <v>85685.583920000005</v>
      </c>
      <c r="F12" s="30" t="str">
        <f t="shared" si="4"/>
        <v/>
      </c>
      <c r="G12" s="31">
        <f>SUM(Jan!G12, Feb!G12, Mar!G12)</f>
        <v>102177</v>
      </c>
      <c r="H12" s="31">
        <f>SUM(Jan!H12, Feb!H12, Mar!H12)</f>
        <v>-16491.416079999995</v>
      </c>
      <c r="I12" s="32">
        <f t="shared" si="5"/>
        <v>-0.1614004725133836</v>
      </c>
    </row>
    <row r="13" spans="1:9" ht="15.6">
      <c r="A13" s="48" t="str">
        <v>Clear Lake - Eastlake Hammer</v>
      </c>
      <c r="B13" s="34" t="str">
        <v>MN</v>
      </c>
      <c r="C13" s="35">
        <f>SUM(Jan!C13, Feb!C13, Mar!C13)</f>
        <v>98222</v>
      </c>
      <c r="D13" s="36">
        <f>SUM(Jan!D13, Feb!D13, Mar!D13)</f>
        <v>0</v>
      </c>
      <c r="E13" s="36">
        <f t="shared" si="3"/>
        <v>98222</v>
      </c>
      <c r="F13" s="71" t="str">
        <f t="shared" si="4"/>
        <v/>
      </c>
      <c r="G13" s="72">
        <f>SUM(Jan!G13, Feb!G13, Mar!G13)</f>
        <v>99053.53</v>
      </c>
      <c r="H13" s="72">
        <f>SUM(Jan!H13, Feb!H13, Mar!H13)</f>
        <v>-831.52999999999884</v>
      </c>
      <c r="I13" s="71">
        <f t="shared" si="5"/>
        <v>-8.3947538265420618E-3</v>
      </c>
    </row>
    <row r="14" spans="1:9" ht="15.6">
      <c r="A14" s="47" t="str">
        <v>Eastlake - Hertzberg CSG 1</v>
      </c>
      <c r="B14" s="27" t="str">
        <v>MN</v>
      </c>
      <c r="C14" s="28">
        <f>SUM(Jan!C14, Feb!C14, Mar!C14)</f>
        <v>85984</v>
      </c>
      <c r="D14" s="29">
        <f>SUM(Jan!D14, Feb!D14, Mar!D14)</f>
        <v>0</v>
      </c>
      <c r="E14" s="29">
        <f t="shared" si="3"/>
        <v>85984</v>
      </c>
      <c r="F14" s="30" t="str">
        <f t="shared" si="4"/>
        <v/>
      </c>
      <c r="G14" s="31">
        <f>SUM(Jan!G14, Feb!G14, Mar!G14)</f>
        <v>104254.1</v>
      </c>
      <c r="H14" s="31">
        <f>SUM(Jan!H14, Feb!H14, Mar!H14)</f>
        <v>-18270.100000000006</v>
      </c>
      <c r="I14" s="32">
        <f t="shared" si="5"/>
        <v>-0.17524586563022465</v>
      </c>
    </row>
    <row r="15" spans="1:9" ht="15.6">
      <c r="A15" s="48" t="str">
        <v>Cokato - Eastlake Laurel Village</v>
      </c>
      <c r="B15" s="34" t="str">
        <v>MN</v>
      </c>
      <c r="C15" s="35">
        <f>SUM(Jan!C15, Feb!C15, Mar!C15)</f>
        <v>73449.135680000007</v>
      </c>
      <c r="D15" s="36">
        <f>SUM(Jan!D15, Feb!D15, Mar!D15)</f>
        <v>0</v>
      </c>
      <c r="E15" s="36">
        <f t="shared" si="3"/>
        <v>73449.135680000007</v>
      </c>
      <c r="F15" s="71" t="str">
        <f t="shared" si="4"/>
        <v/>
      </c>
      <c r="G15" s="72">
        <f>SUM(Jan!G15, Feb!G15, Mar!G15)</f>
        <v>92786.05</v>
      </c>
      <c r="H15" s="72">
        <f>SUM(Jan!H15, Feb!H15, Mar!H15)</f>
        <v>-19336.914319999996</v>
      </c>
      <c r="I15" s="71">
        <f t="shared" si="5"/>
        <v>-0.20840324941087585</v>
      </c>
    </row>
    <row r="16" spans="1:9" ht="15.6">
      <c r="A16" s="47" t="str">
        <v>St. Peter - Eastlake Paulson</v>
      </c>
      <c r="B16" s="27" t="str">
        <v>MN</v>
      </c>
      <c r="C16" s="28">
        <f>SUM(Jan!C16, Feb!C16, Mar!C16)</f>
        <v>78437.838910000006</v>
      </c>
      <c r="D16" s="29">
        <f>SUM(Jan!D16, Feb!D16, Mar!D16)</f>
        <v>0</v>
      </c>
      <c r="E16" s="29">
        <f t="shared" si="3"/>
        <v>78437.838910000006</v>
      </c>
      <c r="F16" s="30" t="str">
        <f t="shared" si="4"/>
        <v/>
      </c>
      <c r="G16" s="31">
        <f>SUM(Jan!G16, Feb!G16, Mar!G16)</f>
        <v>115834.5</v>
      </c>
      <c r="H16" s="31">
        <f>SUM(Jan!H16, Feb!H16, Mar!H16)</f>
        <v>-37396.661089999994</v>
      </c>
      <c r="I16" s="32">
        <f t="shared" si="5"/>
        <v>-0.32284562103691039</v>
      </c>
    </row>
    <row r="17" spans="1:9" ht="15.6">
      <c r="A17" s="48" t="str">
        <v>Felician Sisters Convent</v>
      </c>
      <c r="B17" s="34" t="str">
        <v>NJ</v>
      </c>
      <c r="C17" s="35">
        <f>SUM(Jan!C17, Feb!C17, Mar!C17)</f>
        <v>6359.9</v>
      </c>
      <c r="D17" s="36">
        <f>SUM(Jan!D17, Feb!D17, Mar!D17)</f>
        <v>0</v>
      </c>
      <c r="E17" s="36">
        <f t="shared" si="3"/>
        <v>6359.9</v>
      </c>
      <c r="F17" s="71" t="str">
        <f t="shared" si="4"/>
        <v/>
      </c>
      <c r="G17" s="72">
        <f>SUM(Jan!G17, Feb!G17, Mar!G17)</f>
        <v>0</v>
      </c>
      <c r="H17" s="72">
        <f>SUM(Jan!H17, Feb!H17, Mar!H17)</f>
        <v>0</v>
      </c>
      <c r="I17" s="71" t="str">
        <f t="shared" si="5"/>
        <v/>
      </c>
    </row>
    <row r="18" spans="1:9" ht="15.6">
      <c r="A18" s="47" t="str">
        <v>Sussex County Fairgrounds</v>
      </c>
      <c r="B18" s="27" t="str">
        <v>NJ</v>
      </c>
      <c r="C18" s="28">
        <f>SUM(Jan!C18, Feb!C18, Mar!C18)</f>
        <v>13739.56</v>
      </c>
      <c r="D18" s="29">
        <f>SUM(Jan!D18, Feb!D18, Mar!D18)</f>
        <v>0</v>
      </c>
      <c r="E18" s="29">
        <f t="shared" si="3"/>
        <v>13739.56</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3705</v>
      </c>
      <c r="D19" s="36">
        <f>SUM(Jan!D19, Feb!D19, Mar!D19)</f>
        <v>0</v>
      </c>
      <c r="E19" s="36">
        <f t="shared" si="3"/>
        <v>3705</v>
      </c>
      <c r="F19" s="71" t="str">
        <f t="shared" si="4"/>
        <v/>
      </c>
      <c r="G19" s="72">
        <f>SUM(Jan!G19, Feb!G19, Mar!G19)</f>
        <v>0</v>
      </c>
      <c r="H19" s="72">
        <f>SUM(Jan!H19, Feb!H19, Mar!H19)</f>
        <v>0</v>
      </c>
      <c r="I19" s="71" t="str">
        <f t="shared" si="5"/>
        <v/>
      </c>
    </row>
    <row r="20" spans="1:9" ht="15.6">
      <c r="A20" s="47" t="str">
        <v>Beaver Falls - Felician Sisters</v>
      </c>
      <c r="B20" s="27" t="str">
        <v>PA</v>
      </c>
      <c r="C20" s="28">
        <f>SUM(Jan!C20, Feb!C20, Mar!C20)</f>
        <v>9199</v>
      </c>
      <c r="D20" s="29">
        <f>SUM(Jan!D20, Feb!D20, Mar!D20)</f>
        <v>0</v>
      </c>
      <c r="E20" s="29">
        <f t="shared" si="3"/>
        <v>9199</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1173</v>
      </c>
      <c r="D21" s="36">
        <f>SUM(Jan!D21, Feb!D21, Mar!D21)</f>
        <v>0</v>
      </c>
      <c r="E21" s="36">
        <f t="shared" si="3"/>
        <v>1173</v>
      </c>
      <c r="F21" s="71" t="str">
        <f t="shared" si="4"/>
        <v/>
      </c>
      <c r="G21" s="72">
        <f>SUM(Jan!G21, Feb!G21, Mar!G21)</f>
        <v>0</v>
      </c>
      <c r="H21" s="72">
        <f>SUM(Jan!H21, Feb!H21, Mar!H21)</f>
        <v>0</v>
      </c>
      <c r="I21" s="71" t="str">
        <f t="shared" si="5"/>
        <v/>
      </c>
    </row>
    <row r="22" spans="1:9" ht="15.6">
      <c r="A22" s="47" t="str">
        <v>Livonia - Felician Sisters Roof</v>
      </c>
      <c r="B22" s="27" t="str">
        <v>MI</v>
      </c>
      <c r="C22" s="28">
        <f>SUM(Jan!C22, Feb!C22, Mar!C22)</f>
        <v>2263</v>
      </c>
      <c r="D22" s="29">
        <f>SUM(Jan!D22, Feb!D22, Mar!D22)</f>
        <v>0</v>
      </c>
      <c r="E22" s="29">
        <f t="shared" si="3"/>
        <v>2263</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3056.09</v>
      </c>
      <c r="D23" s="36">
        <f>SUM(Jan!D23, Feb!D23, Mar!D23)</f>
        <v>0</v>
      </c>
      <c r="E23" s="36">
        <f t="shared" si="3"/>
        <v>3056.09</v>
      </c>
      <c r="F23" s="71" t="str">
        <f t="shared" si="4"/>
        <v/>
      </c>
      <c r="G23" s="72">
        <f>SUM(Jan!G23, Feb!G23, Mar!G23)</f>
        <v>0</v>
      </c>
      <c r="H23" s="72">
        <f>SUM(Jan!H23, Feb!H23, Mar!H23)</f>
        <v>0</v>
      </c>
      <c r="I23" s="71" t="str">
        <f t="shared" si="5"/>
        <v/>
      </c>
    </row>
    <row r="24" spans="1:9" ht="15.6">
      <c r="A24" s="47" t="str">
        <v xml:space="preserve"> Audubon - Senior Citizens United</v>
      </c>
      <c r="B24" s="27" t="str">
        <v>NJ</v>
      </c>
      <c r="C24" s="28">
        <f>SUM(Jan!C24, Feb!C24, Mar!C24)</f>
        <v>3584.3</v>
      </c>
      <c r="D24" s="29">
        <f>SUM(Jan!D24, Feb!D24, Mar!D24)</f>
        <v>0</v>
      </c>
      <c r="E24" s="29">
        <f t="shared" si="3"/>
        <v>3584.3</v>
      </c>
      <c r="F24" s="30" t="str">
        <f t="shared" si="4"/>
        <v/>
      </c>
      <c r="G24" s="31">
        <f>SUM(Jan!G24, Feb!G24, Mar!G24)</f>
        <v>0</v>
      </c>
      <c r="H24" s="31">
        <f>SUM(Jan!H24, Feb!H24, Mar!H24)</f>
        <v>0</v>
      </c>
      <c r="I24" s="32" t="str">
        <f t="shared" si="5"/>
        <v/>
      </c>
    </row>
    <row r="25" spans="1:9" ht="15.6">
      <c r="A25" s="48" t="str">
        <v>Hollister - PG&amp;E (Enerparc)</v>
      </c>
      <c r="B25" s="34" t="str">
        <v>CA</v>
      </c>
      <c r="C25" s="35">
        <f>SUM(Jan!C25, Feb!C25, Mar!C25)</f>
        <v>234442.20300000001</v>
      </c>
      <c r="D25" s="36">
        <f>SUM(Jan!D25, Feb!D25, Mar!D25)</f>
        <v>193200.2</v>
      </c>
      <c r="E25" s="36">
        <f t="shared" si="3"/>
        <v>41242.002999999997</v>
      </c>
      <c r="F25" s="71">
        <f t="shared" si="4"/>
        <v>0.21346770344958232</v>
      </c>
      <c r="G25" s="72">
        <f>SUM(Jan!G25, Feb!G25, Mar!G25)</f>
        <v>182348.9</v>
      </c>
      <c r="H25" s="72">
        <f>SUM(Jan!H25, Feb!H25, Mar!H25)</f>
        <v>52093.303000000014</v>
      </c>
      <c r="I25" s="71">
        <f t="shared" si="5"/>
        <v>0.28567928295701273</v>
      </c>
    </row>
    <row r="26" spans="1:9" ht="15.6">
      <c r="A26" s="47" t="str">
        <v>Taos County - Kit Carson Electric Co-Op</v>
      </c>
      <c r="B26" s="27" t="str">
        <v>NM</v>
      </c>
      <c r="C26" s="28">
        <f>SUM(Jan!C26, Feb!C26, Mar!C26)</f>
        <v>157571</v>
      </c>
      <c r="D26" s="29">
        <f>SUM(Jan!D26, Feb!D26, Mar!D26)</f>
        <v>126147.7</v>
      </c>
      <c r="E26" s="29">
        <f t="shared" si="3"/>
        <v>31423.300000000003</v>
      </c>
      <c r="F26" s="30">
        <f t="shared" si="4"/>
        <v>0.24909927014127092</v>
      </c>
      <c r="G26" s="31">
        <f>SUM(Jan!G26, Feb!G26, Mar!G26)</f>
        <v>96766.3</v>
      </c>
      <c r="H26" s="31">
        <f>SUM(Jan!H26, Feb!H26, Mar!H26)</f>
        <v>60804.7</v>
      </c>
      <c r="I26" s="32">
        <f t="shared" si="5"/>
        <v>0.62836648709313048</v>
      </c>
    </row>
    <row r="27" spans="1:9" ht="15.6">
      <c r="A27" s="48" t="str">
        <v>Commerce City - Adams City HS</v>
      </c>
      <c r="B27" s="34" t="str">
        <v>CO</v>
      </c>
      <c r="C27" s="35">
        <f>SUM(Jan!C27, Feb!C27, Mar!C27)</f>
        <v>8504</v>
      </c>
      <c r="D27" s="36">
        <f>SUM(Jan!D27, Feb!D27, Mar!D27)</f>
        <v>7306.2920000000004</v>
      </c>
      <c r="E27" s="36">
        <f t="shared" si="3"/>
        <v>1197.7079999999996</v>
      </c>
      <c r="F27" s="71">
        <f t="shared" si="4"/>
        <v>0.16392829632322381</v>
      </c>
      <c r="G27" s="72">
        <f>SUM(Jan!G27, Feb!G27, Mar!G27)</f>
        <v>7831.9780000000001</v>
      </c>
      <c r="H27" s="72">
        <f>SUM(Jan!H27, Feb!H27, Mar!H27)</f>
        <v>672.02199999999993</v>
      </c>
      <c r="I27" s="71">
        <f t="shared" si="5"/>
        <v>8.5804888624559456E-2</v>
      </c>
    </row>
    <row r="28" spans="1:9" ht="15.6">
      <c r="A28" s="47" t="str">
        <v>Commerce City - Adams City MS</v>
      </c>
      <c r="B28" s="27" t="str">
        <v>CO</v>
      </c>
      <c r="C28" s="28">
        <f>SUM(Jan!C28, Feb!C28, Mar!C28)</f>
        <v>6640</v>
      </c>
      <c r="D28" s="29">
        <f>SUM(Jan!D28, Feb!D28, Mar!D28)</f>
        <v>6639.37</v>
      </c>
      <c r="E28" s="29">
        <f t="shared" si="3"/>
        <v>0.63000000000010914</v>
      </c>
      <c r="F28" s="30">
        <f t="shared" si="4"/>
        <v>9.4888521049453357E-5</v>
      </c>
      <c r="G28" s="31">
        <f>SUM(Jan!G28, Feb!G28, Mar!G28)</f>
        <v>6896.15</v>
      </c>
      <c r="H28" s="31">
        <f>SUM(Jan!H28, Feb!H28, Mar!H28)</f>
        <v>-256.14999999999964</v>
      </c>
      <c r="I28" s="32">
        <f t="shared" si="5"/>
        <v>-3.7143913632969067E-2</v>
      </c>
    </row>
    <row r="29" spans="1:9" ht="15.6">
      <c r="A29" s="48" t="str">
        <v>Commerce City - Central ES</v>
      </c>
      <c r="B29" s="34" t="str">
        <v>CO</v>
      </c>
      <c r="C29" s="35">
        <f>SUM(Jan!C29, Feb!C29, Mar!C29)</f>
        <v>1633</v>
      </c>
      <c r="D29" s="36">
        <f>SUM(Jan!D29, Feb!D29, Mar!D29)</f>
        <v>1830.559</v>
      </c>
      <c r="E29" s="36">
        <f t="shared" si="3"/>
        <v>-197.55899999999997</v>
      </c>
      <c r="F29" s="71">
        <f t="shared" si="4"/>
        <v>-0.10792277113165977</v>
      </c>
      <c r="G29" s="72">
        <f>SUM(Jan!G29, Feb!G29, Mar!G29)</f>
        <v>1937.3209999999999</v>
      </c>
      <c r="H29" s="72">
        <f>SUM(Jan!H29, Feb!H29, Mar!H29)</f>
        <v>-304.32099999999991</v>
      </c>
      <c r="I29" s="71">
        <f t="shared" si="5"/>
        <v>-0.15708341570653492</v>
      </c>
    </row>
    <row r="30" spans="1:9" ht="15.6">
      <c r="A30" s="47" t="str">
        <v>Commerce City - Dupont ES</v>
      </c>
      <c r="B30" s="27" t="str">
        <v>CO</v>
      </c>
      <c r="C30" s="28">
        <f>SUM(Jan!C30, Feb!C30, Mar!C30)</f>
        <v>5065</v>
      </c>
      <c r="D30" s="29">
        <f>SUM(Jan!D30, Feb!D30, Mar!D30)</f>
        <v>4930.7920000000004</v>
      </c>
      <c r="E30" s="29">
        <f t="shared" si="3"/>
        <v>134.20799999999963</v>
      </c>
      <c r="F30" s="30">
        <f t="shared" si="4"/>
        <v>2.7218345450385987E-2</v>
      </c>
      <c r="G30" s="31">
        <f>SUM(Jan!G30, Feb!G30, Mar!G30)</f>
        <v>5313.3059999999996</v>
      </c>
      <c r="H30" s="31">
        <f>SUM(Jan!H30, Feb!H30, Mar!H30)</f>
        <v>-248.30599999999959</v>
      </c>
      <c r="I30" s="32">
        <f t="shared" si="5"/>
        <v>-4.6732862741200976E-2</v>
      </c>
    </row>
    <row r="31" spans="1:9" ht="15.6">
      <c r="A31" s="48" t="str">
        <v>Commerce City - Educational Support Services</v>
      </c>
      <c r="B31" s="34" t="str">
        <v>CO</v>
      </c>
      <c r="C31" s="35">
        <f>SUM(Jan!C31, Feb!C31, Mar!C31)</f>
        <v>5195</v>
      </c>
      <c r="D31" s="36">
        <f>SUM(Jan!D31, Feb!D31, Mar!D31)</f>
        <v>5626.2690000000002</v>
      </c>
      <c r="E31" s="36">
        <f t="shared" si="3"/>
        <v>-431.26900000000023</v>
      </c>
      <c r="F31" s="71">
        <f t="shared" si="4"/>
        <v>-7.6652751583687201E-2</v>
      </c>
      <c r="G31" s="72">
        <f>SUM(Jan!G31, Feb!G31, Mar!G31)</f>
        <v>5960.0249999999996</v>
      </c>
      <c r="H31" s="72">
        <f>SUM(Jan!H31, Feb!H31, Mar!H31)</f>
        <v>-765.02499999999964</v>
      </c>
      <c r="I31" s="71">
        <f t="shared" si="5"/>
        <v>-0.12835936090872097</v>
      </c>
    </row>
    <row r="32" spans="1:9" ht="15.6">
      <c r="A32" s="47" t="str">
        <v>Commerce City - Hanson ES</v>
      </c>
      <c r="B32" s="27" t="str">
        <v>CO</v>
      </c>
      <c r="C32" s="28">
        <f>SUM(Jan!C32, Feb!C32, Mar!C32)</f>
        <v>7110</v>
      </c>
      <c r="D32" s="29">
        <f>SUM(Jan!D32, Feb!D32, Mar!D32)</f>
        <v>7337.6729999999998</v>
      </c>
      <c r="E32" s="29">
        <f t="shared" si="3"/>
        <v>-227.67299999999977</v>
      </c>
      <c r="F32" s="30">
        <f t="shared" si="4"/>
        <v>-3.1027956683269992E-2</v>
      </c>
      <c r="G32" s="31">
        <f>SUM(Jan!G32, Feb!G32, Mar!G32)</f>
        <v>7793.8789999999999</v>
      </c>
      <c r="H32" s="31">
        <f>SUM(Jan!H32, Feb!H32, Mar!H32)</f>
        <v>-683.87899999999991</v>
      </c>
      <c r="I32" s="32">
        <f t="shared" si="5"/>
        <v>-8.7745652710287128E-2</v>
      </c>
    </row>
    <row r="33" spans="1:9" ht="15.6">
      <c r="A33" s="48" t="str">
        <v>Commerce City - Kemp ES</v>
      </c>
      <c r="B33" s="34" t="str">
        <v>CO</v>
      </c>
      <c r="C33" s="35">
        <f>SUM(Jan!C33, Feb!C33, Mar!C33)</f>
        <v>7007</v>
      </c>
      <c r="D33" s="36">
        <f>SUM(Jan!D33, Feb!D33, Mar!D33)</f>
        <v>7333.6260000000002</v>
      </c>
      <c r="E33" s="36">
        <f t="shared" si="3"/>
        <v>-326.6260000000002</v>
      </c>
      <c r="F33" s="71">
        <f t="shared" si="4"/>
        <v>-4.4538131614565588E-2</v>
      </c>
      <c r="G33" s="72">
        <f>SUM(Jan!G33, Feb!G33, Mar!G33)</f>
        <v>7811.5309999999999</v>
      </c>
      <c r="H33" s="72">
        <f>SUM(Jan!H33, Feb!H33, Mar!H33)</f>
        <v>-804.53099999999995</v>
      </c>
      <c r="I33" s="71">
        <f t="shared" si="5"/>
        <v>-0.10299274239582483</v>
      </c>
    </row>
    <row r="34" spans="1:9" ht="15.6">
      <c r="A34" s="47" t="str">
        <v>Commerce City -  Lester Arnold HS</v>
      </c>
      <c r="B34" s="27" t="str">
        <v>CO</v>
      </c>
      <c r="C34" s="28">
        <f>SUM(Jan!C34, Feb!C34, Mar!C34)</f>
        <v>6390</v>
      </c>
      <c r="D34" s="29">
        <f>SUM(Jan!D34, Feb!D34, Mar!D34)</f>
        <v>7089.6180000000004</v>
      </c>
      <c r="E34" s="29">
        <f t="shared" si="3"/>
        <v>-699.61800000000039</v>
      </c>
      <c r="F34" s="30">
        <f t="shared" si="4"/>
        <v>-9.8682044646129077E-2</v>
      </c>
      <c r="G34" s="31">
        <f>SUM(Jan!G34, Feb!G34, Mar!G34)</f>
        <v>7555.0969999999998</v>
      </c>
      <c r="H34" s="31">
        <f>SUM(Jan!H34, Feb!H34, Mar!H34)</f>
        <v>-1165.0969999999998</v>
      </c>
      <c r="I34" s="32">
        <f t="shared" si="5"/>
        <v>-0.15421337409698377</v>
      </c>
    </row>
    <row r="35" spans="1:9" ht="15.6">
      <c r="A35" s="48" t="str">
        <v>Commerce City - Monaco ES</v>
      </c>
      <c r="B35" s="34" t="str">
        <v>CO</v>
      </c>
      <c r="C35" s="35">
        <f>SUM(Jan!C35, Feb!C35, Mar!C35)</f>
        <v>7468</v>
      </c>
      <c r="D35" s="36">
        <f>SUM(Jan!D35, Feb!D35, Mar!D35)</f>
        <v>7337.9160000000002</v>
      </c>
      <c r="E35" s="36">
        <f t="shared" si="3"/>
        <v>130.08399999999983</v>
      </c>
      <c r="F35" s="71">
        <f t="shared" si="4"/>
        <v>1.7727649103641937E-2</v>
      </c>
      <c r="G35" s="72">
        <f>SUM(Jan!G35, Feb!G35, Mar!G35)</f>
        <v>7793.8789999999999</v>
      </c>
      <c r="H35" s="72">
        <f>SUM(Jan!H35, Feb!H35, Mar!H35)</f>
        <v>-325.87899999999991</v>
      </c>
      <c r="I35" s="71">
        <f t="shared" si="5"/>
        <v>-4.181217080737331E-2</v>
      </c>
    </row>
    <row r="36" spans="1:9" ht="15.6">
      <c r="A36" s="47" t="str">
        <v>Denver - Northgate / Old Fort Logan ES</v>
      </c>
      <c r="B36" s="27" t="str">
        <v>CO</v>
      </c>
      <c r="C36" s="28">
        <f>SUM(Jan!C36, Feb!C36, Mar!C36)</f>
        <v>6724</v>
      </c>
      <c r="D36" s="29">
        <f>SUM(Jan!D36, Feb!D36, Mar!D36)</f>
        <v>6313.5969999999998</v>
      </c>
      <c r="E36" s="29">
        <f t="shared" si="3"/>
        <v>410.40300000000025</v>
      </c>
      <c r="F36" s="30">
        <f t="shared" si="4"/>
        <v>6.5003040263735601E-2</v>
      </c>
      <c r="G36" s="31">
        <f>SUM(Jan!G36, Feb!G36, Mar!G36)</f>
        <v>7134.8379999999997</v>
      </c>
      <c r="H36" s="31">
        <f>SUM(Jan!H36, Feb!H36, Mar!H36)</f>
        <v>-410.83799999999974</v>
      </c>
      <c r="I36" s="32">
        <f t="shared" si="5"/>
        <v>-5.7581966121725503E-2</v>
      </c>
    </row>
    <row r="37" spans="1:9" ht="15.6">
      <c r="A37" s="48" t="str">
        <v>Denver - Sheridan High School</v>
      </c>
      <c r="B37" s="34" t="str">
        <v>CO</v>
      </c>
      <c r="C37" s="35">
        <f>SUM(Jan!C37, Feb!C37, Mar!C37)</f>
        <v>7585</v>
      </c>
      <c r="D37" s="36">
        <f>SUM(Jan!D37, Feb!D37, Mar!D37)</f>
        <v>7300.2120000000004</v>
      </c>
      <c r="E37" s="36">
        <f t="shared" si="3"/>
        <v>284.78799999999956</v>
      </c>
      <c r="F37" s="71">
        <f t="shared" si="4"/>
        <v>3.9010921874597551E-2</v>
      </c>
      <c r="G37" s="72">
        <f>SUM(Jan!G37, Feb!G37, Mar!G37)</f>
        <v>7096.6329999999998</v>
      </c>
      <c r="H37" s="72">
        <f>SUM(Jan!H37, Feb!H37, Mar!H37)</f>
        <v>488.36700000000019</v>
      </c>
      <c r="I37" s="71">
        <f t="shared" si="5"/>
        <v>6.8816719139907639E-2</v>
      </c>
    </row>
    <row r="38" spans="1:9" ht="15.6">
      <c r="A38" s="47" t="str">
        <v>Englewood -  Alice Terry Elementary</v>
      </c>
      <c r="B38" s="27" t="str">
        <v>CO</v>
      </c>
      <c r="C38" s="28">
        <f>SUM(Jan!C38, Feb!C38, Mar!C38)</f>
        <v>7465</v>
      </c>
      <c r="D38" s="29">
        <f>SUM(Jan!D38, Feb!D38, Mar!D38)</f>
        <v>7300.69</v>
      </c>
      <c r="E38" s="29">
        <f t="shared" si="3"/>
        <v>164.3100000000004</v>
      </c>
      <c r="F38" s="30">
        <f t="shared" si="4"/>
        <v>2.2506091889944704E-2</v>
      </c>
      <c r="G38" s="31">
        <f>SUM(Jan!G38, Feb!G38, Mar!G38)</f>
        <v>7134.8379999999997</v>
      </c>
      <c r="H38" s="31">
        <f>SUM(Jan!H38, Feb!H38, Mar!H38)</f>
        <v>330.16200000000026</v>
      </c>
      <c r="I38" s="32">
        <f t="shared" si="5"/>
        <v>4.6274631603408556E-2</v>
      </c>
    </row>
    <row r="39" spans="1:9" ht="15.6">
      <c r="A39" s="48" t="str">
        <v>Englewood - Sheridan Middle School</v>
      </c>
      <c r="B39" s="34" t="str">
        <v>CO</v>
      </c>
      <c r="C39" s="35">
        <f>SUM(Jan!C39, Feb!C39, Mar!C39)</f>
        <v>4256</v>
      </c>
      <c r="D39" s="36">
        <f>SUM(Jan!D39, Feb!D39, Mar!D39)</f>
        <v>3496.8249999999998</v>
      </c>
      <c r="E39" s="36">
        <f t="shared" si="3"/>
        <v>759.17500000000018</v>
      </c>
      <c r="F39" s="71">
        <f t="shared" si="4"/>
        <v>0.21710408727917474</v>
      </c>
      <c r="G39" s="72">
        <f>SUM(Jan!G39, Feb!G39, Mar!G39)</f>
        <v>4187.4719999999998</v>
      </c>
      <c r="H39" s="72">
        <f>SUM(Jan!H39, Feb!H39, Mar!H39)</f>
        <v>68.528000000000247</v>
      </c>
      <c r="I39" s="71">
        <f t="shared" si="5"/>
        <v>1.6365004948092846E-2</v>
      </c>
    </row>
    <row r="40" spans="1:9" ht="15.6">
      <c r="A40" s="47" t="str">
        <v>Goshen - NIPSCO</v>
      </c>
      <c r="B40" s="27" t="str">
        <v>IN</v>
      </c>
      <c r="C40" s="28">
        <f>SUM(Jan!C40, Feb!C40, Mar!C40)</f>
        <v>8557</v>
      </c>
      <c r="D40" s="29">
        <f>SUM(Jan!D40, Feb!D40, Mar!D40)</f>
        <v>18140.25</v>
      </c>
      <c r="E40" s="29">
        <f t="shared" si="3"/>
        <v>-9583.25</v>
      </c>
      <c r="F40" s="30">
        <f t="shared" si="4"/>
        <v>-0.52828654511376638</v>
      </c>
      <c r="G40" s="31">
        <f>SUM(Jan!G40, Feb!G40, Mar!G40)</f>
        <v>22590.74</v>
      </c>
      <c r="H40" s="31">
        <f>SUM(Jan!H40, Feb!H40, Mar!H40)</f>
        <v>-14033.740000000002</v>
      </c>
      <c r="I40" s="32">
        <f t="shared" si="5"/>
        <v>-0.62121648073502689</v>
      </c>
    </row>
    <row r="41" spans="1:9" ht="15.6">
      <c r="A41" s="48" t="str">
        <v>Alamogordo - City of Alamogordo - Effluent</v>
      </c>
      <c r="B41" s="34" t="str">
        <v>NM</v>
      </c>
      <c r="C41" s="35">
        <f>SUM(Jan!C41, Feb!C41, Mar!C41)</f>
        <v>20572</v>
      </c>
      <c r="D41" s="36">
        <f>SUM(Jan!D41, Feb!D41, Mar!D41)</f>
        <v>24391.65</v>
      </c>
      <c r="E41" s="36">
        <f t="shared" si="3"/>
        <v>-3819.6500000000015</v>
      </c>
      <c r="F41" s="71">
        <f t="shared" si="4"/>
        <v>-0.15659662220472995</v>
      </c>
      <c r="G41" s="72">
        <f>SUM(Jan!G41, Feb!G41, Mar!G41)</f>
        <v>16362.16</v>
      </c>
      <c r="H41" s="72">
        <f>SUM(Jan!H41, Feb!H41, Mar!H41)</f>
        <v>4209.84</v>
      </c>
      <c r="I41" s="71">
        <f t="shared" si="5"/>
        <v>0.25729121338502986</v>
      </c>
    </row>
    <row r="42" spans="1:9" ht="15.6">
      <c r="A42" s="47" t="str">
        <v>Alamogordo - City of Alamogordo - WWTP</v>
      </c>
      <c r="B42" s="27" t="str">
        <v>NM</v>
      </c>
      <c r="C42" s="28">
        <f>SUM(Jan!C42, Feb!C42, Mar!C42)</f>
        <v>72975</v>
      </c>
      <c r="D42" s="29">
        <f>SUM(Jan!D42, Feb!D42, Mar!D42)</f>
        <v>0</v>
      </c>
      <c r="E42" s="29">
        <f t="shared" si="3"/>
        <v>72975</v>
      </c>
      <c r="F42" s="30" t="str">
        <f t="shared" si="4"/>
        <v/>
      </c>
      <c r="G42" s="31">
        <f>SUM(Jan!G42, Feb!G42, Mar!G42)</f>
        <v>69394.080000000002</v>
      </c>
      <c r="H42" s="31">
        <f>SUM(Jan!H42, Feb!H42, Mar!H42)</f>
        <v>3580.9199999999983</v>
      </c>
      <c r="I42" s="32">
        <f t="shared" si="5"/>
        <v>5.160267273519583E-2</v>
      </c>
    </row>
    <row r="43" spans="1:9" ht="15.6">
      <c r="A43" s="48" t="str">
        <v>Deming - Bilbo Booster</v>
      </c>
      <c r="B43" s="34" t="str">
        <v>NM</v>
      </c>
      <c r="C43" s="35">
        <f>SUM(Jan!C43, Feb!C43, Mar!C43)</f>
        <v>11010</v>
      </c>
      <c r="D43" s="36">
        <f>SUM(Jan!D43, Feb!D43, Mar!D43)</f>
        <v>0</v>
      </c>
      <c r="E43" s="36">
        <f t="shared" si="3"/>
        <v>11010</v>
      </c>
      <c r="F43" s="71" t="str">
        <f t="shared" si="4"/>
        <v/>
      </c>
      <c r="G43" s="72">
        <f>SUM(Jan!G43, Feb!G43, Mar!G43)</f>
        <v>6555.2709999999997</v>
      </c>
      <c r="H43" s="72">
        <f>SUM(Jan!H43, Feb!H43, Mar!H43)</f>
        <v>4454.7290000000003</v>
      </c>
      <c r="I43" s="71">
        <f t="shared" si="5"/>
        <v>0.67956442990686439</v>
      </c>
    </row>
    <row r="44" spans="1:9" ht="15.6">
      <c r="A44" s="47" t="str">
        <v>Deming - Bilbo Well</v>
      </c>
      <c r="B44" s="27" t="str">
        <v>NM</v>
      </c>
      <c r="C44" s="28">
        <f>SUM(Jan!C44, Feb!C44, Mar!C44)</f>
        <v>19892</v>
      </c>
      <c r="D44" s="29">
        <f>SUM(Jan!D44, Feb!D44, Mar!D44)</f>
        <v>0</v>
      </c>
      <c r="E44" s="29">
        <f t="shared" si="3"/>
        <v>19892</v>
      </c>
      <c r="F44" s="30" t="str">
        <f t="shared" si="4"/>
        <v/>
      </c>
      <c r="G44" s="31">
        <f>SUM(Jan!G44, Feb!G44, Mar!G44)</f>
        <v>11849.44</v>
      </c>
      <c r="H44" s="31">
        <f>SUM(Jan!H44, Feb!H44, Mar!H44)</f>
        <v>8042.5599999999995</v>
      </c>
      <c r="I44" s="32">
        <f t="shared" si="5"/>
        <v>0.67872912137620001</v>
      </c>
    </row>
    <row r="45" spans="1:9" ht="15.6">
      <c r="A45" s="48" t="str">
        <v>Deming - WWTP</v>
      </c>
      <c r="B45" s="34" t="str">
        <v>NM</v>
      </c>
      <c r="C45" s="35">
        <f>SUM(Jan!C45, Feb!C45, Mar!C45)</f>
        <v>65925</v>
      </c>
      <c r="D45" s="36">
        <f>SUM(Jan!D45, Feb!D45, Mar!D45)</f>
        <v>66265.039999999994</v>
      </c>
      <c r="E45" s="36">
        <f t="shared" si="3"/>
        <v>-340.0399999999936</v>
      </c>
      <c r="F45" s="71">
        <f t="shared" si="4"/>
        <v>-5.1315142947169975E-3</v>
      </c>
      <c r="G45" s="72">
        <f>SUM(Jan!G45, Feb!G45, Mar!G45)</f>
        <v>63574.21</v>
      </c>
      <c r="H45" s="72">
        <f>SUM(Jan!H45, Feb!H45, Mar!H45)</f>
        <v>2350.7900000000009</v>
      </c>
      <c r="I45" s="71">
        <f t="shared" si="5"/>
        <v>3.6977101249075703E-2</v>
      </c>
    </row>
    <row r="46" spans="1:9" ht="15.6">
      <c r="A46" s="47" t="str">
        <v>Truth or Consequences - Walmart</v>
      </c>
      <c r="B46" s="27" t="str">
        <v>NM</v>
      </c>
      <c r="C46" s="28">
        <f>SUM(Jan!C46, Feb!C46, Mar!C46)</f>
        <v>91500</v>
      </c>
      <c r="D46" s="29">
        <f>SUM(Jan!D46, Feb!D46, Mar!D46)</f>
        <v>260284.1</v>
      </c>
      <c r="E46" s="29">
        <f t="shared" si="3"/>
        <v>-168784.1</v>
      </c>
      <c r="F46" s="30">
        <f t="shared" si="4"/>
        <v>-0.6484610469867349</v>
      </c>
      <c r="G46" s="31">
        <f>SUM(Jan!G46, Feb!G46, Mar!G46)</f>
        <v>108415.6</v>
      </c>
      <c r="H46" s="31">
        <f>SUM(Jan!H46, Feb!H46, Mar!H46)</f>
        <v>-16915.600000000006</v>
      </c>
      <c r="I46" s="32">
        <f t="shared" si="5"/>
        <v>-0.15602551662306904</v>
      </c>
    </row>
    <row r="47" spans="1:9" ht="15.6">
      <c r="A47" s="48" t="str">
        <v>CA: Stockton - SUSD - Merlo</v>
      </c>
      <c r="B47" s="34" t="str">
        <v>CA</v>
      </c>
      <c r="C47" s="35">
        <f>SUM(Jan!C47, Feb!C47, Mar!C47)</f>
        <v>0</v>
      </c>
      <c r="D47" s="36">
        <f>SUM(Jan!D47, Feb!D47, Mar!D47)</f>
        <v>5390.8649999999998</v>
      </c>
      <c r="E47" s="36">
        <f t="shared" ref="E47:E75" si="6">IF(AND(ISNUMBER(C47),ISNUMBER(D47)), C47-D47, "")</f>
        <v>-5390.8649999999998</v>
      </c>
      <c r="F47" s="71">
        <f t="shared" ref="F47:F75" si="7">IFERROR(E47/D47, "")</f>
        <v>-1</v>
      </c>
      <c r="G47" s="72">
        <f>SUM(Jan!G47, Feb!G47, Mar!G47)</f>
        <v>6003.7259999999997</v>
      </c>
      <c r="H47" s="72">
        <f>SUM(Jan!H47, Feb!H47, Mar!H47)</f>
        <v>-6003.7259999999997</v>
      </c>
      <c r="I47" s="71">
        <f t="shared" ref="I47:I75" si="8">IFERROR(H47/G47, "")</f>
        <v>-1</v>
      </c>
    </row>
    <row r="48" spans="1:9" ht="15.6">
      <c r="A48" s="47" t="str">
        <v>Stockton Unified School Dist. - Bush Elementary</v>
      </c>
      <c r="B48" s="27" t="str">
        <v>CA</v>
      </c>
      <c r="C48" s="28">
        <f>SUM(Jan!C48, Feb!C48, Mar!C48)</f>
        <v>7905.75</v>
      </c>
      <c r="D48" s="29">
        <f>SUM(Jan!D48, Feb!D48, Mar!D48)</f>
        <v>12887.094999999999</v>
      </c>
      <c r="E48" s="29">
        <f t="shared" si="6"/>
        <v>-4981.3449999999993</v>
      </c>
      <c r="F48" s="30">
        <f t="shared" si="7"/>
        <v>-0.38653746247699733</v>
      </c>
      <c r="G48" s="31">
        <f>SUM(Jan!G48, Feb!G48, Mar!G48)</f>
        <v>10934.314</v>
      </c>
      <c r="H48" s="31">
        <f>SUM(Jan!H48, Feb!H48, Mar!H48)</f>
        <v>-3028.5640000000003</v>
      </c>
      <c r="I48" s="32">
        <f t="shared" si="8"/>
        <v>-0.27697796130603164</v>
      </c>
    </row>
    <row r="49" spans="1:9" ht="15.6">
      <c r="A49" s="48" t="str">
        <v>CA: Stockton - SUSD - Marshall JHS</v>
      </c>
      <c r="B49" s="34" t="str">
        <v>CA</v>
      </c>
      <c r="C49" s="35">
        <f>SUM(Jan!C49, Feb!C49, Mar!C49)</f>
        <v>2776.25</v>
      </c>
      <c r="D49" s="36">
        <f>SUM(Jan!D49, Feb!D49, Mar!D49)</f>
        <v>7364.02</v>
      </c>
      <c r="E49" s="36">
        <f t="shared" si="6"/>
        <v>-4587.7700000000004</v>
      </c>
      <c r="F49" s="71">
        <f t="shared" si="7"/>
        <v>-0.62299803639859752</v>
      </c>
      <c r="G49" s="72">
        <f>SUM(Jan!G49, Feb!G49, Mar!G49)</f>
        <v>6365.99</v>
      </c>
      <c r="H49" s="72">
        <f>SUM(Jan!H49, Feb!H49, Mar!H49)</f>
        <v>-3589.74</v>
      </c>
      <c r="I49" s="71">
        <f t="shared" si="8"/>
        <v>-0.56389343998341179</v>
      </c>
    </row>
    <row r="50" spans="1:9" ht="15.6">
      <c r="A50" s="47" t="str">
        <v>CA: Stockton - SUSD - Hong-Kingston ES</v>
      </c>
      <c r="B50" s="27" t="str">
        <v>CA</v>
      </c>
      <c r="C50" s="28">
        <f>SUM(Jan!C50, Feb!C50, Mar!C50)</f>
        <v>1776.5</v>
      </c>
      <c r="D50" s="29">
        <f>SUM(Jan!D50, Feb!D50, Mar!D50)</f>
        <v>13230.34</v>
      </c>
      <c r="E50" s="29">
        <f t="shared" si="6"/>
        <v>-11453.84</v>
      </c>
      <c r="F50" s="30">
        <f t="shared" si="7"/>
        <v>-0.86572529504154849</v>
      </c>
      <c r="G50" s="31">
        <f>SUM(Jan!G50, Feb!G50, Mar!G50)</f>
        <v>10471.01</v>
      </c>
      <c r="H50" s="31">
        <f>SUM(Jan!H50, Feb!H50, Mar!H50)</f>
        <v>-8694.51</v>
      </c>
      <c r="I50" s="32">
        <f t="shared" si="8"/>
        <v>-0.83034110367576763</v>
      </c>
    </row>
    <row r="51" spans="1:9" ht="15.6">
      <c r="A51" s="48" t="str">
        <v>CA: Stockton - SUSD - Hamilton ES</v>
      </c>
      <c r="B51" s="34" t="str">
        <v>CA</v>
      </c>
      <c r="C51" s="35">
        <f>SUM(Jan!C51, Feb!C51, Mar!C51)</f>
        <v>2442.875</v>
      </c>
      <c r="D51" s="36">
        <f>SUM(Jan!D51, Feb!D51, Mar!D51)</f>
        <v>6552.509</v>
      </c>
      <c r="E51" s="36">
        <f t="shared" si="6"/>
        <v>-4109.634</v>
      </c>
      <c r="F51" s="71">
        <f t="shared" si="7"/>
        <v>-0.6271847928785752</v>
      </c>
      <c r="G51" s="72">
        <f>SUM(Jan!G51, Feb!G51, Mar!G51)</f>
        <v>5619.52</v>
      </c>
      <c r="H51" s="72">
        <f>SUM(Jan!H51, Feb!H51, Mar!H51)</f>
        <v>-3176.6450000000004</v>
      </c>
      <c r="I51" s="71">
        <f t="shared" si="8"/>
        <v>-0.56528760463527139</v>
      </c>
    </row>
    <row r="52" spans="1:9" ht="15.6">
      <c r="A52" s="47" t="str">
        <v>CA: Stockton - SUSD - Franklin - North</v>
      </c>
      <c r="B52" s="27" t="str">
        <v>CA</v>
      </c>
      <c r="C52" s="28">
        <f>SUM(Jan!C52, Feb!C52, Mar!C52)</f>
        <v>9874.5</v>
      </c>
      <c r="D52" s="29">
        <f>SUM(Jan!D52, Feb!D52, Mar!D52)</f>
        <v>48146.73</v>
      </c>
      <c r="E52" s="29">
        <f t="shared" si="6"/>
        <v>-38272.230000000003</v>
      </c>
      <c r="F52" s="30">
        <f t="shared" si="7"/>
        <v>-0.79490819002661239</v>
      </c>
      <c r="G52" s="31">
        <f>SUM(Jan!G52, Feb!G52, Mar!G52)</f>
        <v>14727.8</v>
      </c>
      <c r="H52" s="31">
        <f>SUM(Jan!H52, Feb!H52, Mar!H52)</f>
        <v>-4853.2999999999993</v>
      </c>
      <c r="I52" s="32">
        <f t="shared" si="8"/>
        <v>-0.3295332636238949</v>
      </c>
    </row>
    <row r="53" spans="1:9" ht="15.6">
      <c r="A53" s="48" t="str">
        <v>Stockton Unified School Dist. - Fillmore Elementary</v>
      </c>
      <c r="B53" s="34" t="str">
        <v>CA</v>
      </c>
      <c r="C53" s="35">
        <f>SUM(Jan!C53, Feb!C53, Mar!C53)</f>
        <v>1891.0940000000001</v>
      </c>
      <c r="D53" s="36">
        <f>SUM(Jan!D53, Feb!D53, Mar!D53)</f>
        <v>5996.8720000000003</v>
      </c>
      <c r="E53" s="36">
        <f t="shared" si="6"/>
        <v>-4105.7780000000002</v>
      </c>
      <c r="F53" s="71">
        <f t="shared" si="7"/>
        <v>-0.68465326590262388</v>
      </c>
      <c r="G53" s="72">
        <f>SUM(Jan!G53, Feb!G53, Mar!G53)</f>
        <v>5247.4219999999996</v>
      </c>
      <c r="H53" s="72">
        <f>SUM(Jan!H53, Feb!H53, Mar!H53)</f>
        <v>-3356.3279999999995</v>
      </c>
      <c r="I53" s="71">
        <f t="shared" si="8"/>
        <v>-0.63961465268087836</v>
      </c>
    </row>
    <row r="54" spans="1:9" ht="15.6">
      <c r="A54" s="47" t="str">
        <v>CA: Stockton - SUSD - El Dorado ES</v>
      </c>
      <c r="B54" s="27" t="str">
        <v>CA</v>
      </c>
      <c r="C54" s="28">
        <f>SUM(Jan!C54, Feb!C54, Mar!C54)</f>
        <v>2145.375</v>
      </c>
      <c r="D54" s="29">
        <f>SUM(Jan!D54, Feb!D54, Mar!D54)</f>
        <v>7422.96</v>
      </c>
      <c r="E54" s="29">
        <f t="shared" si="6"/>
        <v>-5277.585</v>
      </c>
      <c r="F54" s="30">
        <f t="shared" si="7"/>
        <v>-0.71098119887484235</v>
      </c>
      <c r="G54" s="31">
        <f>SUM(Jan!G54, Feb!G54, Mar!G54)</f>
        <v>0</v>
      </c>
      <c r="H54" s="31">
        <f>SUM(Jan!H54, Feb!H54, Mar!H54)</f>
        <v>2145.375</v>
      </c>
      <c r="I54" s="32" t="str">
        <f t="shared" si="8"/>
        <v/>
      </c>
    </row>
    <row r="55" spans="1:9" ht="15.6">
      <c r="A55" s="48" t="str">
        <v>CA: Stockton - SUSD - Edison HS</v>
      </c>
      <c r="B55" s="34" t="str">
        <v>CA</v>
      </c>
      <c r="C55" s="35">
        <f>SUM(Jan!C55, Feb!C55, Mar!C55)</f>
        <v>6713.5</v>
      </c>
      <c r="D55" s="36">
        <f>SUM(Jan!D55, Feb!D55, Mar!D55)</f>
        <v>18406.009999999998</v>
      </c>
      <c r="E55" s="36">
        <f t="shared" si="6"/>
        <v>-11692.509999999998</v>
      </c>
      <c r="F55" s="71">
        <f t="shared" si="7"/>
        <v>-0.63525500638106791</v>
      </c>
      <c r="G55" s="72">
        <f>SUM(Jan!G55, Feb!G55, Mar!G55)</f>
        <v>15437.38</v>
      </c>
      <c r="H55" s="72">
        <f>SUM(Jan!H55, Feb!H55, Mar!H55)</f>
        <v>-8723.8799999999992</v>
      </c>
      <c r="I55" s="71">
        <f t="shared" si="8"/>
        <v>-0.56511402841673908</v>
      </c>
    </row>
    <row r="56" spans="1:9" ht="15.6">
      <c r="A56" s="47" t="str">
        <v>CA: Stockton - SUSD - Chavez HS - Large</v>
      </c>
      <c r="B56" s="27" t="str">
        <v>CA</v>
      </c>
      <c r="C56" s="28">
        <f>SUM(Jan!C56, Feb!C56, Mar!C56)</f>
        <v>18017</v>
      </c>
      <c r="D56" s="29">
        <f>SUM(Jan!D56, Feb!D56, Mar!D56)</f>
        <v>45615.67</v>
      </c>
      <c r="E56" s="29">
        <f t="shared" si="6"/>
        <v>-27598.67</v>
      </c>
      <c r="F56" s="30">
        <f t="shared" si="7"/>
        <v>-0.60502607985369938</v>
      </c>
      <c r="G56" s="31">
        <f>SUM(Jan!G56, Feb!G56, Mar!G56)</f>
        <v>31766</v>
      </c>
      <c r="H56" s="31">
        <f>SUM(Jan!H56, Feb!H56, Mar!H56)</f>
        <v>-13749</v>
      </c>
      <c r="I56" s="32">
        <f t="shared" si="8"/>
        <v>-0.43282125543033434</v>
      </c>
    </row>
    <row r="57" spans="1:9" ht="15.6">
      <c r="A57" s="48" t="str">
        <v>CA: San Jose - GE Mobile Water</v>
      </c>
      <c r="B57" s="34" t="str">
        <v>CA</v>
      </c>
      <c r="C57" s="35">
        <f>SUM(Jan!C57, Feb!C57, Mar!C57)</f>
        <v>13800</v>
      </c>
      <c r="D57" s="36">
        <f>SUM(Jan!D57, Feb!D57, Mar!D57)</f>
        <v>14212.76</v>
      </c>
      <c r="E57" s="36">
        <f t="shared" si="6"/>
        <v>-412.76000000000022</v>
      </c>
      <c r="F57" s="71">
        <f t="shared" si="7"/>
        <v>-2.904150917907572E-2</v>
      </c>
      <c r="G57" s="72">
        <f>SUM(Jan!G57, Feb!G57, Mar!G57)</f>
        <v>12214.53</v>
      </c>
      <c r="H57" s="72">
        <f>SUM(Jan!H57, Feb!H57, Mar!H57)</f>
        <v>1585.4699999999993</v>
      </c>
      <c r="I57" s="71">
        <f t="shared" si="8"/>
        <v>0.12980196536420144</v>
      </c>
    </row>
    <row r="58" spans="1:9" ht="15.6">
      <c r="A58" s="47" t="str">
        <v>CA: San Marcos - Vallecitos Water - Lift Station</v>
      </c>
      <c r="B58" s="27" t="str">
        <v>CA</v>
      </c>
      <c r="C58" s="28">
        <f>SUM(Jan!C58, Feb!C58, Mar!C58)</f>
        <v>19809.25</v>
      </c>
      <c r="D58" s="29">
        <f>SUM(Jan!D58, Feb!D58, Mar!D58)</f>
        <v>21186.48</v>
      </c>
      <c r="E58" s="29">
        <f t="shared" si="6"/>
        <v>-1377.2299999999996</v>
      </c>
      <c r="F58" s="30">
        <f t="shared" si="7"/>
        <v>-6.5005135350468771E-2</v>
      </c>
      <c r="G58" s="31">
        <f>SUM(Jan!G58, Feb!G58, Mar!G58)</f>
        <v>21469.94</v>
      </c>
      <c r="H58" s="31">
        <f>SUM(Jan!H58, Feb!H58, Mar!H58)</f>
        <v>-1660.6899999999987</v>
      </c>
      <c r="I58" s="32">
        <f t="shared" si="8"/>
        <v>-7.7349540799834499E-2</v>
      </c>
    </row>
    <row r="59" spans="1:9" ht="15.6">
      <c r="A59" s="48" t="str">
        <v>CA: San Marcos - Vallecitos Water - Twin Oaks Reservoir</v>
      </c>
      <c r="B59" s="34" t="str">
        <v>CA</v>
      </c>
      <c r="C59" s="35">
        <f>SUM(Jan!C59, Feb!C59, Mar!C59)</f>
        <v>196395</v>
      </c>
      <c r="D59" s="36">
        <f>SUM(Jan!D59, Feb!D59, Mar!D59)</f>
        <v>266582.5</v>
      </c>
      <c r="E59" s="36">
        <f t="shared" si="6"/>
        <v>-70187.5</v>
      </c>
      <c r="F59" s="71">
        <f t="shared" si="7"/>
        <v>-0.26328622471467555</v>
      </c>
      <c r="G59" s="72">
        <f>SUM(Jan!G59, Feb!G59, Mar!G59)</f>
        <v>153324</v>
      </c>
      <c r="H59" s="72">
        <f>SUM(Jan!H59, Feb!H59, Mar!H59)</f>
        <v>43071</v>
      </c>
      <c r="I59" s="71">
        <f t="shared" si="8"/>
        <v>0.28091492525631995</v>
      </c>
    </row>
    <row r="60" spans="1:9" ht="15.6">
      <c r="A60" s="47" t="str">
        <v>CA: Stockton - SUSD - Wilhelmina Henry ES</v>
      </c>
      <c r="B60" s="27" t="str">
        <v>CA</v>
      </c>
      <c r="C60" s="28">
        <f>SUM(Jan!C60, Feb!C60, Mar!C60)</f>
        <v>2995</v>
      </c>
      <c r="D60" s="29">
        <f>SUM(Jan!D60, Feb!D60, Mar!D60)</f>
        <v>16599.400000000001</v>
      </c>
      <c r="E60" s="29">
        <f t="shared" si="6"/>
        <v>-13604.400000000001</v>
      </c>
      <c r="F60" s="30">
        <f t="shared" si="7"/>
        <v>-0.81957179175150907</v>
      </c>
      <c r="G60" s="31">
        <f>SUM(Jan!G60, Feb!G60, Mar!G60)</f>
        <v>10351.459999999999</v>
      </c>
      <c r="H60" s="31">
        <f>SUM(Jan!H60, Feb!H60, Mar!H60)</f>
        <v>-7356.4599999999991</v>
      </c>
      <c r="I60" s="32">
        <f t="shared" si="8"/>
        <v>-0.71066883318874818</v>
      </c>
    </row>
    <row r="61" spans="1:9" ht="15.6">
      <c r="A61" s="48" t="str">
        <v>Stockton Unified School Dist. - Franklin (North)</v>
      </c>
      <c r="B61" s="34" t="str">
        <v>CA</v>
      </c>
      <c r="C61" s="35">
        <f>SUM(Jan!C61, Feb!C61, Mar!C61)</f>
        <v>9874.5</v>
      </c>
      <c r="D61" s="36">
        <f>SUM(Jan!D61, Feb!D61, Mar!D61)</f>
        <v>48146.728999999999</v>
      </c>
      <c r="E61" s="36">
        <f t="shared" si="6"/>
        <v>-38272.228999999999</v>
      </c>
      <c r="F61" s="71">
        <f t="shared" si="7"/>
        <v>-0.79490818576688771</v>
      </c>
      <c r="G61" s="72">
        <f>SUM(Jan!G61, Feb!G61, Mar!G61)</f>
        <v>16605.293000000001</v>
      </c>
      <c r="H61" s="72">
        <f>SUM(Jan!H61, Feb!H61, Mar!H61)</f>
        <v>-6730.7930000000015</v>
      </c>
      <c r="I61" s="71">
        <f t="shared" si="8"/>
        <v>-0.40534021290681238</v>
      </c>
    </row>
    <row r="62" spans="1:9" ht="15.6">
      <c r="A62" s="47" t="str">
        <v>CA: Stockton - SUSD - Franklin - South</v>
      </c>
      <c r="B62" s="27" t="str">
        <v>CA</v>
      </c>
      <c r="C62" s="28">
        <f>SUM(Jan!C62, Feb!C62, Mar!C62)</f>
        <v>13422</v>
      </c>
      <c r="D62" s="29">
        <f>SUM(Jan!D62, Feb!D62, Mar!D62)</f>
        <v>31578.77</v>
      </c>
      <c r="E62" s="29">
        <f t="shared" si="6"/>
        <v>-18156.77</v>
      </c>
      <c r="F62" s="30">
        <f t="shared" si="7"/>
        <v>-0.57496761273475816</v>
      </c>
      <c r="G62" s="31">
        <f>SUM(Jan!G62, Feb!G62, Mar!G62)</f>
        <v>24055.5</v>
      </c>
      <c r="H62" s="31">
        <f>SUM(Jan!H62, Feb!H62, Mar!H62)</f>
        <v>-10633.5</v>
      </c>
      <c r="I62" s="32">
        <f t="shared" si="8"/>
        <v>-0.44204028184822597</v>
      </c>
    </row>
    <row r="63" spans="1:9" ht="15.6">
      <c r="A63" s="48" t="str">
        <v>CA: Stockton - SUSD - Chavez HS - Small</v>
      </c>
      <c r="B63" s="34" t="str">
        <v>CA</v>
      </c>
      <c r="C63" s="35">
        <f>SUM(Jan!C63, Feb!C63, Mar!C63)</f>
        <v>9548.5</v>
      </c>
      <c r="D63" s="36">
        <f>SUM(Jan!D63, Feb!D63, Mar!D63)</f>
        <v>10479.09</v>
      </c>
      <c r="E63" s="36">
        <f t="shared" si="6"/>
        <v>-930.59000000000015</v>
      </c>
      <c r="F63" s="71">
        <f t="shared" si="7"/>
        <v>-8.8804466800075213E-2</v>
      </c>
      <c r="G63" s="72">
        <f>SUM(Jan!G63, Feb!G63, Mar!G63)</f>
        <v>9028.7289999999994</v>
      </c>
      <c r="H63" s="72">
        <f>SUM(Jan!H63, Feb!H63, Mar!H63)</f>
        <v>519.77100000000064</v>
      </c>
      <c r="I63" s="71">
        <f t="shared" si="8"/>
        <v>5.7568568067554213E-2</v>
      </c>
    </row>
    <row r="64" spans="1:9" ht="15.6">
      <c r="A64" s="47" t="str">
        <v>CA: Stockton - SUSD - Facilities</v>
      </c>
      <c r="B64" s="27" t="str">
        <v>CA</v>
      </c>
      <c r="C64" s="28">
        <f>SUM(Jan!C64, Feb!C64, Mar!C64)</f>
        <v>8731.5</v>
      </c>
      <c r="D64" s="29">
        <f>SUM(Jan!D64, Feb!D64, Mar!D64)</f>
        <v>20380.88</v>
      </c>
      <c r="E64" s="29">
        <f t="shared" si="6"/>
        <v>-11649.380000000001</v>
      </c>
      <c r="F64" s="30">
        <f t="shared" si="7"/>
        <v>-0.57158375889559232</v>
      </c>
      <c r="G64" s="31">
        <f>SUM(Jan!G64, Feb!G64, Mar!G64)</f>
        <v>15721.25</v>
      </c>
      <c r="H64" s="31">
        <f>SUM(Jan!H64, Feb!H64, Mar!H64)</f>
        <v>-6989.75</v>
      </c>
      <c r="I64" s="32">
        <f t="shared" si="8"/>
        <v>-0.44460523177228273</v>
      </c>
    </row>
    <row r="65" spans="1:9" ht="15.6">
      <c r="A65" s="48" t="str">
        <v>CA: Stockton - SUSD - Harrison</v>
      </c>
      <c r="B65" s="34" t="str">
        <v>CA</v>
      </c>
      <c r="C65" s="35">
        <f>SUM(Jan!C65, Feb!C65, Mar!C65)</f>
        <v>3023.875</v>
      </c>
      <c r="D65" s="36">
        <f>SUM(Jan!D65, Feb!D65, Mar!D65)</f>
        <v>7253.951</v>
      </c>
      <c r="E65" s="36">
        <f t="shared" si="6"/>
        <v>-4230.076</v>
      </c>
      <c r="F65" s="71">
        <f t="shared" si="7"/>
        <v>-0.58314096690203721</v>
      </c>
      <c r="G65" s="72">
        <f>SUM(Jan!G65, Feb!G65, Mar!G65)</f>
        <v>5557.2359999999999</v>
      </c>
      <c r="H65" s="72">
        <f>SUM(Jan!H65, Feb!H65, Mar!H65)</f>
        <v>-2533.3609999999999</v>
      </c>
      <c r="I65" s="71">
        <f t="shared" si="8"/>
        <v>-0.45586708932282161</v>
      </c>
    </row>
    <row r="66" spans="1:9" ht="15.6">
      <c r="A66" s="47" t="str">
        <v>CA: Stockton - SUSD - Commodore Skills School</v>
      </c>
      <c r="B66" s="27" t="str">
        <v>CA</v>
      </c>
      <c r="C66" s="28">
        <f>SUM(Jan!C66, Feb!C66, Mar!C66)</f>
        <v>4257.25</v>
      </c>
      <c r="D66" s="29">
        <f>SUM(Jan!D66, Feb!D66, Mar!D66)</f>
        <v>15302.58</v>
      </c>
      <c r="E66" s="29">
        <f t="shared" si="6"/>
        <v>-11045.33</v>
      </c>
      <c r="F66" s="30">
        <f t="shared" si="7"/>
        <v>-0.72179527896603057</v>
      </c>
      <c r="G66" s="31">
        <f>SUM(Jan!G66, Feb!G66, Mar!G66)</f>
        <v>12327.39</v>
      </c>
      <c r="H66" s="31">
        <f>SUM(Jan!H66, Feb!H66, Mar!H66)</f>
        <v>-8070.1399999999994</v>
      </c>
      <c r="I66" s="32">
        <f t="shared" si="8"/>
        <v>-0.65465114675531477</v>
      </c>
    </row>
    <row r="67" spans="1:9" ht="15.6">
      <c r="A67" s="48" t="str">
        <v>CA: Stockton - SUSD - Nightingale ES</v>
      </c>
      <c r="B67" s="34" t="str">
        <v>CA</v>
      </c>
      <c r="C67" s="35">
        <f>SUM(Jan!C67, Feb!C67, Mar!C67)</f>
        <v>7590</v>
      </c>
      <c r="D67" s="36">
        <f>SUM(Jan!D67, Feb!D67, Mar!D67)</f>
        <v>7446.7759999999998</v>
      </c>
      <c r="E67" s="36">
        <f t="shared" si="6"/>
        <v>143.22400000000016</v>
      </c>
      <c r="F67" s="71">
        <f t="shared" si="7"/>
        <v>1.9233021108732175E-2</v>
      </c>
      <c r="G67" s="72">
        <f>SUM(Jan!G67, Feb!G67, Mar!G67)</f>
        <v>5692.5020000000004</v>
      </c>
      <c r="H67" s="72">
        <f>SUM(Jan!H67, Feb!H67, Mar!H67)</f>
        <v>1897.4979999999996</v>
      </c>
      <c r="I67" s="71">
        <f t="shared" si="8"/>
        <v>0.33333286488085545</v>
      </c>
    </row>
    <row r="68" spans="1:9" ht="15.6">
      <c r="A68" s="47" t="str">
        <v>CA: Stockton - SUSD - Weber Institute</v>
      </c>
      <c r="B68" s="27" t="str">
        <v>CA</v>
      </c>
      <c r="C68" s="28">
        <f>SUM(Jan!C68, Feb!C68, Mar!C68)</f>
        <v>3285</v>
      </c>
      <c r="D68" s="29">
        <f>SUM(Jan!D68, Feb!D68, Mar!D68)</f>
        <v>44904.47</v>
      </c>
      <c r="E68" s="29">
        <f t="shared" si="6"/>
        <v>-41619.47</v>
      </c>
      <c r="F68" s="30">
        <f t="shared" si="7"/>
        <v>-0.9268446994252465</v>
      </c>
      <c r="G68" s="31">
        <f>SUM(Jan!G68, Feb!G68, Mar!G68)</f>
        <v>11967.91</v>
      </c>
      <c r="H68" s="31">
        <f>SUM(Jan!H68, Feb!H68, Mar!H68)</f>
        <v>-8682.91</v>
      </c>
      <c r="I68" s="32">
        <f t="shared" si="8"/>
        <v>-0.72551598399386363</v>
      </c>
    </row>
    <row r="69" spans="1:9" ht="15.6">
      <c r="A69" s="48" t="str">
        <v>CA: Stockton - SUSD - Warehouse</v>
      </c>
      <c r="B69" s="34" t="str">
        <v>CA</v>
      </c>
      <c r="C69" s="35">
        <f>SUM(Jan!C69, Feb!C69, Mar!C69)</f>
        <v>5518.75</v>
      </c>
      <c r="D69" s="36">
        <f>SUM(Jan!D69, Feb!D69, Mar!D69)</f>
        <v>11714.82</v>
      </c>
      <c r="E69" s="36">
        <f t="shared" si="6"/>
        <v>-6196.07</v>
      </c>
      <c r="F69" s="71">
        <f t="shared" si="7"/>
        <v>-0.52890868148208847</v>
      </c>
      <c r="G69" s="72">
        <f>SUM(Jan!G69, Feb!G69, Mar!G69)</f>
        <v>11039.29</v>
      </c>
      <c r="H69" s="72">
        <f>SUM(Jan!H69, Feb!H69, Mar!H69)</f>
        <v>-5520.5400000000009</v>
      </c>
      <c r="I69" s="71">
        <f t="shared" si="8"/>
        <v>-0.50008107405458146</v>
      </c>
    </row>
    <row r="70" spans="1:9" ht="15.6">
      <c r="A70" s="47" t="str">
        <v>CA: Stockton - SUSD - Walton Special Center</v>
      </c>
      <c r="B70" s="27" t="str">
        <v>CA</v>
      </c>
      <c r="C70" s="28">
        <f>SUM(Jan!C70, Feb!C70, Mar!C70)</f>
        <v>5775.5</v>
      </c>
      <c r="D70" s="29">
        <f>SUM(Jan!D70, Feb!D70, Mar!D70)</f>
        <v>10031.34</v>
      </c>
      <c r="E70" s="29">
        <f t="shared" si="6"/>
        <v>-4255.84</v>
      </c>
      <c r="F70" s="30">
        <f t="shared" si="7"/>
        <v>-0.42425438675191951</v>
      </c>
      <c r="G70" s="31">
        <f>SUM(Jan!G70, Feb!G70, Mar!G70)</f>
        <v>7933.4390000000003</v>
      </c>
      <c r="H70" s="31">
        <f>SUM(Jan!H70, Feb!H70, Mar!H70)</f>
        <v>-2157.9390000000003</v>
      </c>
      <c r="I70" s="32">
        <f t="shared" si="8"/>
        <v>-0.27200549471673008</v>
      </c>
    </row>
    <row r="71" spans="1:9" ht="15.6">
      <c r="A71" s="48" t="str">
        <v>CA: Stockton - SUSD - Stagg HS</v>
      </c>
      <c r="B71" s="34" t="str">
        <v>CA</v>
      </c>
      <c r="C71" s="35">
        <f>SUM(Jan!C71, Feb!C71, Mar!C71)</f>
        <v>11505</v>
      </c>
      <c r="D71" s="36">
        <f>SUM(Jan!D71, Feb!D71, Mar!D71)</f>
        <v>14555.3</v>
      </c>
      <c r="E71" s="36">
        <f t="shared" si="6"/>
        <v>-3050.2999999999993</v>
      </c>
      <c r="F71" s="71">
        <f t="shared" si="7"/>
        <v>-0.20956627482772594</v>
      </c>
      <c r="G71" s="72">
        <f>SUM(Jan!G71, Feb!G71, Mar!G71)</f>
        <v>31280.84</v>
      </c>
      <c r="H71" s="72">
        <f>SUM(Jan!H71, Feb!H71, Mar!H71)</f>
        <v>-19775.84</v>
      </c>
      <c r="I71" s="71">
        <f t="shared" si="8"/>
        <v>-0.63220297153145499</v>
      </c>
    </row>
    <row r="72" spans="1:9" ht="15.6">
      <c r="A72" s="47" t="str">
        <v>CA: Stockton - SUSD - School for Adults</v>
      </c>
      <c r="B72" s="27" t="str">
        <v>CA</v>
      </c>
      <c r="C72" s="28">
        <f>SUM(Jan!C72, Feb!C72, Mar!C72)</f>
        <v>-169</v>
      </c>
      <c r="D72" s="29">
        <f>SUM(Jan!D72, Feb!D72, Mar!D72)</f>
        <v>7464.1710000000003</v>
      </c>
      <c r="E72" s="29">
        <f t="shared" si="6"/>
        <v>-7633.1710000000003</v>
      </c>
      <c r="F72" s="30">
        <f t="shared" si="7"/>
        <v>-1.022641496289407</v>
      </c>
      <c r="G72" s="31">
        <f>SUM(Jan!G72, Feb!G72, Mar!G72)</f>
        <v>6819.3540000000003</v>
      </c>
      <c r="H72" s="31">
        <f>SUM(Jan!H72, Feb!H72, Mar!H72)</f>
        <v>-6988.3540000000003</v>
      </c>
      <c r="I72" s="32">
        <f t="shared" si="8"/>
        <v>-1.0247824060754143</v>
      </c>
    </row>
    <row r="73" spans="1:9" ht="15.6">
      <c r="A73" s="48" t="str">
        <v>CA: Stockton - SUSD - San Joaquin</v>
      </c>
      <c r="B73" s="34" t="str">
        <v>CA</v>
      </c>
      <c r="C73" s="35">
        <f>SUM(Jan!C73, Feb!C73, Mar!C73)</f>
        <v>3183.125</v>
      </c>
      <c r="D73" s="36">
        <f>SUM(Jan!D73, Feb!D73, Mar!D73)</f>
        <v>6938.59</v>
      </c>
      <c r="E73" s="36">
        <f t="shared" si="6"/>
        <v>-3755.4650000000001</v>
      </c>
      <c r="F73" s="71">
        <f t="shared" si="7"/>
        <v>-0.54124324970923487</v>
      </c>
      <c r="G73" s="72">
        <f>SUM(Jan!G73, Feb!G73, Mar!G73)</f>
        <v>6105.2969999999996</v>
      </c>
      <c r="H73" s="72">
        <f>SUM(Jan!H73, Feb!H73, Mar!H73)</f>
        <v>-2922.1719999999996</v>
      </c>
      <c r="I73" s="71">
        <f t="shared" si="8"/>
        <v>-0.47862896759977441</v>
      </c>
    </row>
    <row r="74" spans="1:9" ht="15.6">
      <c r="A74" s="47" t="str">
        <v>CA: Stockton - SUSD - Rio Calaveras</v>
      </c>
      <c r="B74" s="27" t="str">
        <v>CA</v>
      </c>
      <c r="C74" s="28">
        <f>SUM(Jan!C74, Feb!C74, Mar!C74)</f>
        <v>944.5</v>
      </c>
      <c r="D74" s="29">
        <f>SUM(Jan!D74, Feb!D74, Mar!D74)</f>
        <v>8325.5849999999991</v>
      </c>
      <c r="E74" s="29">
        <f t="shared" si="6"/>
        <v>-7381.0849999999991</v>
      </c>
      <c r="F74" s="30">
        <f t="shared" si="7"/>
        <v>-0.88655451839120014</v>
      </c>
      <c r="G74" s="31">
        <f>SUM(Jan!G74, Feb!G74, Mar!G74)</f>
        <v>0</v>
      </c>
      <c r="H74" s="31">
        <f>SUM(Jan!H74, Feb!H74, Mar!H74)</f>
        <v>944.5</v>
      </c>
      <c r="I74" s="32" t="str">
        <f t="shared" si="8"/>
        <v/>
      </c>
    </row>
    <row r="75" spans="1:9" ht="15.6">
      <c r="A75" s="48" t="str">
        <v>CA: Stockton - SUSD - Peyton</v>
      </c>
      <c r="B75" s="34" t="str">
        <v>CA</v>
      </c>
      <c r="C75" s="35">
        <f>SUM(Jan!C75, Feb!C75, Mar!C75)</f>
        <v>15140</v>
      </c>
      <c r="D75" s="36">
        <f>SUM(Jan!D75, Feb!D75, Mar!D75)</f>
        <v>20240.599999999999</v>
      </c>
      <c r="E75" s="36">
        <f t="shared" si="6"/>
        <v>-5100.5999999999985</v>
      </c>
      <c r="F75" s="71">
        <f t="shared" si="7"/>
        <v>-0.251998458543719</v>
      </c>
      <c r="G75" s="72">
        <f>SUM(Jan!G75, Feb!G75, Mar!G75)</f>
        <v>13586.38</v>
      </c>
      <c r="H75" s="72">
        <f>SUM(Jan!H75, Feb!H75, Mar!H75)</f>
        <v>1553.6200000000008</v>
      </c>
      <c r="I75" s="71">
        <f t="shared" si="8"/>
        <v>0.11435128415368928</v>
      </c>
    </row>
    <row r="76" spans="1:9" ht="15.6">
      <c r="A76" s="47" t="str">
        <v>TX: Barnhart - 42917 Ranch RD 2469</v>
      </c>
      <c r="B76" s="27" t="str">
        <v>TX</v>
      </c>
      <c r="C76" s="28">
        <f>SUM(Jan!C76, Feb!C76, Mar!C76)</f>
        <v>165900</v>
      </c>
      <c r="D76" s="29">
        <f>SUM(Jan!D76, Feb!D76, Mar!D76)</f>
        <v>171704.4</v>
      </c>
      <c r="E76" s="29">
        <f t="shared" ref="E76:E85" si="9">IF(AND(ISNUMBER(C76),ISNUMBER(D76)), C76-D76, "")</f>
        <v>-5804.3999999999942</v>
      </c>
      <c r="F76" s="30">
        <f t="shared" ref="F76:F85" si="10">IFERROR(E76/D76, "")</f>
        <v>-3.3804608385108327E-2</v>
      </c>
      <c r="G76" s="31">
        <f>SUM(Jan!G76, Feb!G76, Mar!G76)</f>
        <v>155957.4</v>
      </c>
      <c r="H76" s="31">
        <f>SUM(Jan!H76, Feb!H76, Mar!H76)</f>
        <v>9942.6000000000058</v>
      </c>
      <c r="I76" s="32">
        <f t="shared" ref="I76:I85" si="11">IFERROR(H76/G76, "")</f>
        <v>6.3752024591330753E-2</v>
      </c>
    </row>
    <row r="77" spans="1:9" ht="15.6">
      <c r="A77" s="48" t="str">
        <v>AZ: San Manuel - Senior &amp; Junior HS</v>
      </c>
      <c r="B77" s="34" t="str">
        <v>AZ</v>
      </c>
      <c r="C77" s="35">
        <f>SUM(Jan!C77, Feb!C77, Mar!C77)</f>
        <v>31206</v>
      </c>
      <c r="D77" s="36">
        <f>SUM(Jan!D77, Feb!D77, Mar!D77)</f>
        <v>0</v>
      </c>
      <c r="E77" s="36">
        <f t="shared" si="9"/>
        <v>31206</v>
      </c>
      <c r="F77" s="71" t="str">
        <f t="shared" si="10"/>
        <v/>
      </c>
      <c r="G77" s="72">
        <f>SUM(Jan!G77, Feb!G77, Mar!G77)</f>
        <v>25830</v>
      </c>
      <c r="H77" s="72">
        <f>SUM(Jan!H77, Feb!H77, Mar!H77)</f>
        <v>5376</v>
      </c>
      <c r="I77" s="71">
        <f t="shared" si="11"/>
        <v>0.20813008130081301</v>
      </c>
    </row>
    <row r="78" spans="1:9" ht="15.6">
      <c r="A78" s="47" t="str">
        <v>AZ: Sierra Vista - Colonel Smith MS</v>
      </c>
      <c r="B78" s="27" t="str">
        <v>AZ</v>
      </c>
      <c r="C78" s="28">
        <f>SUM(Jan!C78, Feb!C78, Mar!C78)</f>
        <v>24700</v>
      </c>
      <c r="D78" s="29">
        <f>SUM(Jan!D78, Feb!D78, Mar!D78)</f>
        <v>49500.07</v>
      </c>
      <c r="E78" s="29">
        <f t="shared" si="9"/>
        <v>-24800.07</v>
      </c>
      <c r="F78" s="30">
        <f t="shared" si="10"/>
        <v>-0.50101080665138453</v>
      </c>
      <c r="G78" s="31">
        <f>SUM(Jan!G78, Feb!G78, Mar!G78)</f>
        <v>38553.15</v>
      </c>
      <c r="H78" s="31">
        <f>SUM(Jan!H78, Feb!H78, Mar!H78)</f>
        <v>-13853.150000000001</v>
      </c>
      <c r="I78" s="32">
        <f t="shared" si="11"/>
        <v>-0.35932602134974706</v>
      </c>
    </row>
    <row r="79" spans="1:9" ht="15.6">
      <c r="A79" s="48" t="str">
        <v>AZ: Sierra Vista - Colonel Johnston ES</v>
      </c>
      <c r="B79" s="34" t="str">
        <v>AZ</v>
      </c>
      <c r="C79" s="35">
        <f>SUM(Jan!C79, Feb!C79, Mar!C79)</f>
        <v>9940</v>
      </c>
      <c r="D79" s="36">
        <f>SUM(Jan!D79, Feb!D79, Mar!D79)</f>
        <v>16895.189999999999</v>
      </c>
      <c r="E79" s="36">
        <f t="shared" si="9"/>
        <v>-6955.1899999999987</v>
      </c>
      <c r="F79" s="71">
        <f t="shared" si="10"/>
        <v>-0.41166687086679693</v>
      </c>
      <c r="G79" s="72">
        <f>SUM(Jan!G79, Feb!G79, Mar!G79)</f>
        <v>13185.89</v>
      </c>
      <c r="H79" s="72">
        <f>SUM(Jan!H79, Feb!H79, Mar!H79)</f>
        <v>-3245.8899999999994</v>
      </c>
      <c r="I79" s="71">
        <f t="shared" si="11"/>
        <v>-0.24616389185712906</v>
      </c>
    </row>
    <row r="80" spans="1:9" ht="15.6">
      <c r="A80" s="47" t="str">
        <v>NH: Dover - Dover HS</v>
      </c>
      <c r="B80" s="27" t="str">
        <v>NH</v>
      </c>
      <c r="C80" s="28">
        <f>SUM(Jan!C80, Feb!C80, Mar!C80)</f>
        <v>12899.5</v>
      </c>
      <c r="D80" s="29">
        <f>SUM(Jan!D80, Feb!D80, Mar!D80)</f>
        <v>49976.95</v>
      </c>
      <c r="E80" s="29">
        <f t="shared" si="9"/>
        <v>-37077.449999999997</v>
      </c>
      <c r="F80" s="30">
        <f t="shared" si="10"/>
        <v>-0.74189101175641969</v>
      </c>
      <c r="G80" s="31">
        <f>SUM(Jan!G80, Feb!G80, Mar!G80)</f>
        <v>40959.82</v>
      </c>
      <c r="H80" s="31">
        <f>SUM(Jan!H80, Feb!H80, Mar!H80)</f>
        <v>-28060.32</v>
      </c>
      <c r="I80" s="32">
        <f t="shared" si="11"/>
        <v>-0.68506941680896061</v>
      </c>
    </row>
    <row r="81" spans="1:9" ht="15.6">
      <c r="A81" s="48" t="str">
        <v>MA: Somerville - 30 Inner Belt Rd</v>
      </c>
      <c r="B81" s="34" t="str">
        <v>MA</v>
      </c>
      <c r="C81" s="35">
        <f>SUM(Jan!C81, Feb!C81, Mar!C81)</f>
        <v>19220</v>
      </c>
      <c r="D81" s="36">
        <f>SUM(Jan!D81, Feb!D81, Mar!D81)</f>
        <v>37730.82</v>
      </c>
      <c r="E81" s="36">
        <f t="shared" si="9"/>
        <v>-18510.82</v>
      </c>
      <c r="F81" s="71">
        <f t="shared" si="10"/>
        <v>-0.49060211254353869</v>
      </c>
      <c r="G81" s="72">
        <f>SUM(Jan!G81, Feb!G81, Mar!G81)</f>
        <v>47812.13</v>
      </c>
      <c r="H81" s="72">
        <f>SUM(Jan!H81, Feb!H81, Mar!H81)</f>
        <v>-28592.129999999997</v>
      </c>
      <c r="I81" s="71">
        <f t="shared" si="11"/>
        <v>-0.59800996107054838</v>
      </c>
    </row>
    <row r="82" spans="1:9" ht="15.6">
      <c r="A82" s="47" t="str">
        <v>MA: Boxborough - 1414 Massachusetts Ave</v>
      </c>
      <c r="B82" s="27" t="str">
        <v>MA</v>
      </c>
      <c r="C82" s="28">
        <f>SUM(Jan!C82, Feb!C82, Mar!C82)</f>
        <v>236262.0092</v>
      </c>
      <c r="D82" s="29">
        <f>SUM(Jan!D82, Feb!D82, Mar!D82)</f>
        <v>255634.2</v>
      </c>
      <c r="E82" s="29">
        <f t="shared" si="9"/>
        <v>-19372.190800000011</v>
      </c>
      <c r="F82" s="30">
        <f t="shared" si="10"/>
        <v>-7.5780904120027803E-2</v>
      </c>
      <c r="G82" s="31">
        <f>SUM(Jan!G82, Feb!G82, Mar!G82)</f>
        <v>401700</v>
      </c>
      <c r="H82" s="31">
        <f>SUM(Jan!H82, Feb!H82, Mar!H82)</f>
        <v>-165437.9908</v>
      </c>
      <c r="I82" s="32">
        <f t="shared" si="11"/>
        <v>-0.41184463729151105</v>
      </c>
    </row>
    <row r="83" spans="1:9" ht="15.6">
      <c r="A83" s="48" t="str">
        <v>NY: Amsterdam - 153 NY Route 67</v>
      </c>
      <c r="B83" s="34" t="str">
        <v>NY</v>
      </c>
      <c r="C83" s="35">
        <f>SUM(Jan!C83, Feb!C83, Mar!C83)</f>
        <v>64050</v>
      </c>
      <c r="D83" s="36">
        <f>SUM(Jan!D83, Feb!D83, Mar!D83)</f>
        <v>152191.70000000001</v>
      </c>
      <c r="E83" s="36">
        <f t="shared" si="9"/>
        <v>-88141.700000000012</v>
      </c>
      <c r="F83" s="71">
        <f t="shared" si="10"/>
        <v>-0.57914919144736543</v>
      </c>
      <c r="G83" s="72">
        <f>SUM(Jan!G83, Feb!G83, Mar!G83)</f>
        <v>151137</v>
      </c>
      <c r="H83" s="72">
        <f>SUM(Jan!H83, Feb!H83, Mar!H83)</f>
        <v>-87087</v>
      </c>
      <c r="I83" s="71">
        <f t="shared" si="11"/>
        <v>-0.57621231068500767</v>
      </c>
    </row>
    <row r="84" spans="1:9" ht="15.6">
      <c r="A84" s="47" t="str">
        <v>CA: San Jose - GE Mobile Water</v>
      </c>
      <c r="B84" s="27" t="str">
        <v>CA</v>
      </c>
      <c r="C84" s="28">
        <f>SUM(Jan!C84, Feb!C84, Mar!C84)</f>
        <v>13800</v>
      </c>
      <c r="D84" s="29">
        <f>SUM(Jan!D84, Feb!D84, Mar!D84)</f>
        <v>14212.755999999999</v>
      </c>
      <c r="E84" s="29">
        <f t="shared" si="9"/>
        <v>-412.7559999999994</v>
      </c>
      <c r="F84" s="30">
        <f t="shared" si="10"/>
        <v>-2.9041235915117338E-2</v>
      </c>
      <c r="G84" s="31">
        <f>SUM(Jan!G84, Feb!G84, Mar!G84)</f>
        <v>12577.264999999999</v>
      </c>
      <c r="H84" s="31">
        <f>SUM(Jan!H84, Feb!H84, Mar!H84)</f>
        <v>1222.7350000000006</v>
      </c>
      <c r="I84" s="32">
        <f t="shared" si="11"/>
        <v>9.7217876859555769E-2</v>
      </c>
    </row>
    <row r="85" spans="1:9" ht="15.6">
      <c r="A85" s="48" t="str">
        <v>NY: Rome - 7776 Tannery RD</v>
      </c>
      <c r="B85" s="34" t="str">
        <v>NY</v>
      </c>
      <c r="C85" s="35">
        <f>SUM(Jan!C85, Feb!C85, Mar!C85)</f>
        <v>43322.293749999997</v>
      </c>
      <c r="D85" s="36">
        <f>SUM(Jan!D85, Feb!D85, Mar!D85)</f>
        <v>138493.4</v>
      </c>
      <c r="E85" s="36">
        <f t="shared" si="9"/>
        <v>-95171.106249999997</v>
      </c>
      <c r="F85" s="71">
        <f t="shared" si="10"/>
        <v>-0.68718874870571456</v>
      </c>
      <c r="G85" s="72">
        <f>SUM(Jan!G85, Feb!G85, Mar!G85)</f>
        <v>196069.2</v>
      </c>
      <c r="H85" s="72">
        <f>SUM(Jan!H85, Feb!H85, Mar!H85)</f>
        <v>-152746.90625</v>
      </c>
      <c r="I85" s="71">
        <f t="shared" si="11"/>
        <v>-0.7790458993559416</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85 I4:I85">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32" activePane="bottomRight" state="frozen"/>
      <selection pane="bottomRight" activeCell="M73" sqref="M73"/>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2" t="str" cm="1">
        <f t="array" ref="A1">portfolio</f>
        <v>Clean Capital</v>
      </c>
      <c r="B1" s="122"/>
      <c r="C1" s="122"/>
      <c r="D1" s="123" t="s">
        <v>13</v>
      </c>
      <c r="E1" s="123"/>
      <c r="F1" s="123"/>
      <c r="G1" s="121" t="s">
        <v>14</v>
      </c>
      <c r="H1" s="121"/>
      <c r="I1" s="121"/>
    </row>
    <row r="2" spans="1:9" ht="19.5" customHeight="1">
      <c r="A2" s="124" t="s">
        <v>2</v>
      </c>
      <c r="B2" s="124"/>
      <c r="C2" s="5">
        <f>SUM(C4:C179)</f>
        <v>0</v>
      </c>
      <c r="D2" s="5">
        <f>SUM(D4:D179)</f>
        <v>0</v>
      </c>
      <c r="E2" s="5">
        <f>C2-D2</f>
        <v>0</v>
      </c>
      <c r="F2" s="6">
        <f>IFERROR(E2/D2, 0)</f>
        <v>0</v>
      </c>
      <c r="G2" s="5">
        <f>SUM(G4:G179)</f>
        <v>0</v>
      </c>
      <c r="H2" s="7">
        <f>C2-G2</f>
        <v>0</v>
      </c>
      <c r="I2" s="6">
        <f>IFERROR(H2/G2, 0)</f>
        <v>0</v>
      </c>
    </row>
    <row r="3" spans="1:9" ht="14.25" customHeight="1">
      <c r="A3" s="12" t="s">
        <v>4</v>
      </c>
      <c r="B3" s="12" t="s">
        <v>5</v>
      </c>
      <c r="C3" s="19" t="s">
        <v>6</v>
      </c>
      <c r="D3" s="20" t="s">
        <v>7</v>
      </c>
      <c r="E3" s="20" t="s">
        <v>8</v>
      </c>
      <c r="F3" s="21" t="s">
        <v>9</v>
      </c>
      <c r="G3" s="22" t="s">
        <v>10</v>
      </c>
      <c r="H3" s="23" t="s">
        <v>8</v>
      </c>
      <c r="I3" s="24" t="s">
        <v>9</v>
      </c>
    </row>
    <row r="4" spans="1:9" ht="15.6">
      <c r="A4" s="47" t="str" cm="1">
        <f t="array" ref="A4:A85">Sites[Site]</f>
        <v>Lexington - Cotting School</v>
      </c>
      <c r="B4" s="27" t="str" cm="1">
        <f t="array" ref="B4:B85">Sites[State]</f>
        <v>MA</v>
      </c>
      <c r="C4" s="28">
        <f>SUM(Apr!C4, May!C4, Jun!C4)</f>
        <v>0</v>
      </c>
      <c r="D4" s="29">
        <f>SUM(Apr!D4, May!D4, Jun!D4)</f>
        <v>0</v>
      </c>
      <c r="E4" s="29">
        <f>IF(AND(ISNUMBER(C4),ISNUMBER(D4)), C4-D4, "")</f>
        <v>0</v>
      </c>
      <c r="F4" s="30" t="str">
        <f>IFERROR(E4/D4, "")</f>
        <v/>
      </c>
      <c r="G4" s="31">
        <f>SUM(Apr!G4,May!G4,Jun!G4)</f>
        <v>0</v>
      </c>
      <c r="H4" s="31">
        <f>SUM(Apr!H4, May!H4, Jun!H4)</f>
        <v>0</v>
      </c>
      <c r="I4" s="32" t="str">
        <f>IFERROR(H4/G4, "")</f>
        <v/>
      </c>
    </row>
    <row r="5" spans="1:9" ht="15.6">
      <c r="A5" s="48" t="str">
        <v>Pacoima - Whiteman Airport</v>
      </c>
      <c r="B5" s="34" t="str">
        <v>CA</v>
      </c>
      <c r="C5" s="35">
        <f>SUM(Apr!C5, May!C5, Jun!C5)</f>
        <v>0</v>
      </c>
      <c r="D5" s="36">
        <f>SUM(Apr!D5, May!D5, Jun!D5)</f>
        <v>0</v>
      </c>
      <c r="E5" s="36">
        <f t="shared" ref="E5:E7" si="0">IF(AND(ISNUMBER(C5),ISNUMBER(D5)), C5-D5, "")</f>
        <v>0</v>
      </c>
      <c r="F5" s="71" t="str">
        <f>IFERROR(E5/D5, "")</f>
        <v/>
      </c>
      <c r="G5" s="72">
        <f>SUM(Apr!G5,May!G5,Jun!G5)</f>
        <v>0</v>
      </c>
      <c r="H5" s="72">
        <f>SUM(Apr!H5, May!H5, Jun!H5)</f>
        <v>0</v>
      </c>
      <c r="I5" s="71" t="str">
        <f>IFERROR(H5/G5, "")</f>
        <v/>
      </c>
    </row>
    <row r="6" spans="1:9" ht="15.6">
      <c r="A6" s="47" t="str">
        <v>Hyannis - Sturgis Charter School</v>
      </c>
      <c r="B6" s="27" t="str">
        <v>MA</v>
      </c>
      <c r="C6" s="28">
        <f>SUM(Apr!C6, May!C6, Jun!C6)</f>
        <v>0</v>
      </c>
      <c r="D6" s="29">
        <f>SUM(Apr!D6, May!D6, Jun!D6)</f>
        <v>0</v>
      </c>
      <c r="E6" s="29">
        <f t="shared" si="0"/>
        <v>0</v>
      </c>
      <c r="F6" s="30" t="str">
        <f t="shared" ref="F6:F7" si="1">IFERROR(E6/D6, "")</f>
        <v/>
      </c>
      <c r="G6" s="31">
        <f>SUM(Apr!G6,May!G6,Jun!G6)</f>
        <v>0</v>
      </c>
      <c r="H6" s="31">
        <f>SUM(Apr!H6, May!H6, Jun!H6)</f>
        <v>0</v>
      </c>
      <c r="I6" s="32" t="str">
        <f t="shared" ref="I6:I7" si="2">IFERROR(H6/G6, "")</f>
        <v/>
      </c>
    </row>
    <row r="7" spans="1:9" ht="15.6">
      <c r="A7" s="48" t="str">
        <v>South Dennis - Tony Kent Arena</v>
      </c>
      <c r="B7" s="34" t="str">
        <v>MA</v>
      </c>
      <c r="C7" s="35">
        <f>SUM(Apr!C7, May!C7, Jun!C7)</f>
        <v>0</v>
      </c>
      <c r="D7" s="36">
        <f>SUM(Apr!D7, May!D7, Jun!D7)</f>
        <v>0</v>
      </c>
      <c r="E7" s="36">
        <f t="shared" si="0"/>
        <v>0</v>
      </c>
      <c r="F7" s="71" t="str">
        <f t="shared" si="1"/>
        <v/>
      </c>
      <c r="G7" s="72">
        <f>SUM(Apr!G7,May!G7,Jun!G7)</f>
        <v>0</v>
      </c>
      <c r="H7" s="72">
        <f>SUM(Apr!H7, May!H7, Jun!H7)</f>
        <v>0</v>
      </c>
      <c r="I7" s="71" t="str">
        <f t="shared" si="2"/>
        <v/>
      </c>
    </row>
    <row r="8" spans="1:9" ht="15.6">
      <c r="A8" s="47" t="str">
        <v xml:space="preserve"> Caropolis - Felician Sisters</v>
      </c>
      <c r="B8" s="27" t="str">
        <v>PA</v>
      </c>
      <c r="C8" s="28">
        <f>SUM(Apr!C8, May!C8, Jun!C8)</f>
        <v>0</v>
      </c>
      <c r="D8" s="29">
        <f>SUM(Apr!D8, May!D8, Jun!D8)</f>
        <v>0</v>
      </c>
      <c r="E8" s="29">
        <f t="shared" ref="E8:E46" si="3">IF(AND(ISNUMBER(C8),ISNUMBER(D8)), C8-D8, "")</f>
        <v>0</v>
      </c>
      <c r="F8" s="30" t="str">
        <f t="shared" ref="F8:F46" si="4">IFERROR(E8/D8, "")</f>
        <v/>
      </c>
      <c r="G8" s="31">
        <f>SUM(Apr!G8,May!G8,Jun!G8)</f>
        <v>0</v>
      </c>
      <c r="H8" s="31">
        <f>SUM(Apr!H8, May!H8, Jun!H8)</f>
        <v>0</v>
      </c>
      <c r="I8" s="32" t="str">
        <f t="shared" ref="I8:I46" si="5">IFERROR(H8/G8, "")</f>
        <v/>
      </c>
    </row>
    <row r="9" spans="1:9" ht="15.6">
      <c r="A9" s="48" t="str">
        <v>Clear Lake - Eastlake Gohman</v>
      </c>
      <c r="B9" s="34" t="str">
        <v>MN</v>
      </c>
      <c r="C9" s="35">
        <f>SUM(Apr!C9, May!C9, Jun!C9)</f>
        <v>0</v>
      </c>
      <c r="D9" s="36">
        <f>SUM(Apr!D9, May!D9, Jun!D9)</f>
        <v>0</v>
      </c>
      <c r="E9" s="36">
        <f t="shared" si="3"/>
        <v>0</v>
      </c>
      <c r="F9" s="71" t="str">
        <f t="shared" si="4"/>
        <v/>
      </c>
      <c r="G9" s="72">
        <f>SUM(Apr!G9+May!G9+Jun!G9)</f>
        <v>0</v>
      </c>
      <c r="H9" s="72">
        <f>SUM(Apr!H9, May!H9, Jun!H9)</f>
        <v>0</v>
      </c>
      <c r="I9" s="71" t="str">
        <f t="shared" si="5"/>
        <v/>
      </c>
    </row>
    <row r="10" spans="1:9" ht="15.6">
      <c r="A10" s="47" t="str">
        <v>Zumbrota - Eastlake Brenda Luhman</v>
      </c>
      <c r="B10" s="27" t="str">
        <v>MN</v>
      </c>
      <c r="C10" s="28">
        <f>SUM(Apr!C10, May!C10, Jun!C10)</f>
        <v>0</v>
      </c>
      <c r="D10" s="29">
        <f>SUM(Apr!D10, May!D10, Jun!D10)</f>
        <v>0</v>
      </c>
      <c r="E10" s="29">
        <f t="shared" si="3"/>
        <v>0</v>
      </c>
      <c r="F10" s="30" t="str">
        <f t="shared" si="4"/>
        <v/>
      </c>
      <c r="G10" s="31">
        <f>SUM(Apr!G10+May!G10+Jun!G10)</f>
        <v>0</v>
      </c>
      <c r="H10" s="31">
        <f>SUM(Apr!H10, May!H10, Jun!H10)</f>
        <v>0</v>
      </c>
      <c r="I10" s="32" t="str">
        <f t="shared" si="5"/>
        <v/>
      </c>
    </row>
    <row r="11" spans="1:9" ht="15.6">
      <c r="A11" s="48" t="str">
        <v>Cokato - Eastlake Carlson</v>
      </c>
      <c r="B11" s="34" t="str">
        <v>MN</v>
      </c>
      <c r="C11" s="35">
        <f>SUM(Apr!C11, May!C11, Jun!C11)</f>
        <v>0</v>
      </c>
      <c r="D11" s="36">
        <f>SUM(Apr!D11, May!D11, Jun!D11)</f>
        <v>0</v>
      </c>
      <c r="E11" s="36">
        <f t="shared" si="3"/>
        <v>0</v>
      </c>
      <c r="F11" s="71" t="str">
        <f t="shared" si="4"/>
        <v/>
      </c>
      <c r="G11" s="72">
        <f>SUM(Apr!G11+May!G11+Jun!G11)</f>
        <v>0</v>
      </c>
      <c r="H11" s="72">
        <f>SUM(Apr!H11, May!H11, Jun!H11)</f>
        <v>0</v>
      </c>
      <c r="I11" s="71" t="str">
        <f t="shared" si="5"/>
        <v/>
      </c>
    </row>
    <row r="12" spans="1:9" ht="15.6">
      <c r="A12" s="47" t="str">
        <v>North Branch - Cornille 2</v>
      </c>
      <c r="B12" s="27" t="str">
        <v>MN</v>
      </c>
      <c r="C12" s="28">
        <f>SUM(Apr!C12, May!C12, Jun!C12)</f>
        <v>0</v>
      </c>
      <c r="D12" s="29">
        <f>SUM(Apr!D12, May!D12, Jun!D12)</f>
        <v>0</v>
      </c>
      <c r="E12" s="29">
        <f t="shared" si="3"/>
        <v>0</v>
      </c>
      <c r="F12" s="30" t="str">
        <f t="shared" si="4"/>
        <v/>
      </c>
      <c r="G12" s="31">
        <f>SUM(Apr!G12+May!G12+Jun!G12)</f>
        <v>0</v>
      </c>
      <c r="H12" s="31">
        <f>SUM(Apr!H12, May!H12, Jun!H12)</f>
        <v>0</v>
      </c>
      <c r="I12" s="32" t="str">
        <f t="shared" si="5"/>
        <v/>
      </c>
    </row>
    <row r="13" spans="1:9" ht="15.6">
      <c r="A13" s="48" t="str">
        <v>Clear Lake - Eastlake Hammer</v>
      </c>
      <c r="B13" s="34" t="str">
        <v>MN</v>
      </c>
      <c r="C13" s="35">
        <f>SUM(Apr!C13, May!C13, Jun!C13)</f>
        <v>0</v>
      </c>
      <c r="D13" s="36">
        <f>SUM(Apr!D13, May!D13, Jun!D13)</f>
        <v>0</v>
      </c>
      <c r="E13" s="36">
        <f t="shared" si="3"/>
        <v>0</v>
      </c>
      <c r="F13" s="71" t="str">
        <f t="shared" si="4"/>
        <v/>
      </c>
      <c r="G13" s="72">
        <f>SUM(Apr!G13+May!G13+Jun!G13)</f>
        <v>0</v>
      </c>
      <c r="H13" s="72">
        <f>SUM(Apr!H13, May!H13, Jun!H13)</f>
        <v>0</v>
      </c>
      <c r="I13" s="71" t="str">
        <f t="shared" si="5"/>
        <v/>
      </c>
    </row>
    <row r="14" spans="1:9" ht="15.6">
      <c r="A14" s="47" t="str">
        <v>Eastlake - Hertzberg CSG 1</v>
      </c>
      <c r="B14" s="27" t="str">
        <v>MN</v>
      </c>
      <c r="C14" s="28">
        <f>SUM(Apr!C14, May!C14, Jun!C14)</f>
        <v>0</v>
      </c>
      <c r="D14" s="29">
        <f>SUM(Apr!D14, May!D14, Jun!D14)</f>
        <v>0</v>
      </c>
      <c r="E14" s="29">
        <f t="shared" si="3"/>
        <v>0</v>
      </c>
      <c r="F14" s="30" t="str">
        <f t="shared" si="4"/>
        <v/>
      </c>
      <c r="G14" s="31">
        <f>SUM(Apr!G14+May!G14+Jun!G14)</f>
        <v>0</v>
      </c>
      <c r="H14" s="31">
        <f>SUM(Apr!H14, May!H14, Jun!H14)</f>
        <v>0</v>
      </c>
      <c r="I14" s="32" t="str">
        <f t="shared" si="5"/>
        <v/>
      </c>
    </row>
    <row r="15" spans="1:9" ht="15.6">
      <c r="A15" s="48" t="str">
        <v>Cokato - Eastlake Laurel Village</v>
      </c>
      <c r="B15" s="34" t="str">
        <v>MN</v>
      </c>
      <c r="C15" s="35">
        <f>SUM(Apr!C15, May!C15, Jun!C15)</f>
        <v>0</v>
      </c>
      <c r="D15" s="36">
        <f>SUM(Apr!D15, May!D15, Jun!D15)</f>
        <v>0</v>
      </c>
      <c r="E15" s="36">
        <f t="shared" si="3"/>
        <v>0</v>
      </c>
      <c r="F15" s="71" t="str">
        <f t="shared" si="4"/>
        <v/>
      </c>
      <c r="G15" s="72">
        <f>SUM(Apr!G15+May!G15+Jun!G15)</f>
        <v>0</v>
      </c>
      <c r="H15" s="72">
        <f>SUM(Apr!H15, May!H15, Jun!H15)</f>
        <v>0</v>
      </c>
      <c r="I15" s="71" t="str">
        <f t="shared" si="5"/>
        <v/>
      </c>
    </row>
    <row r="16" spans="1:9" ht="15.6">
      <c r="A16" s="47" t="str">
        <v>St. Peter - Eastlake Paulson</v>
      </c>
      <c r="B16" s="27" t="str">
        <v>MN</v>
      </c>
      <c r="C16" s="28">
        <f>SUM(Apr!C16, May!C16, Jun!C16)</f>
        <v>0</v>
      </c>
      <c r="D16" s="29">
        <f>SUM(Apr!D16, May!D16, Jun!D16)</f>
        <v>0</v>
      </c>
      <c r="E16" s="29">
        <f t="shared" si="3"/>
        <v>0</v>
      </c>
      <c r="F16" s="30" t="str">
        <f t="shared" si="4"/>
        <v/>
      </c>
      <c r="G16" s="31">
        <f>SUM(Apr!G16+May!G16+Jun!G16)</f>
        <v>0</v>
      </c>
      <c r="H16" s="31">
        <f>SUM(Apr!H16, May!H16, Jun!H16)</f>
        <v>0</v>
      </c>
      <c r="I16" s="32" t="str">
        <f t="shared" si="5"/>
        <v/>
      </c>
    </row>
    <row r="17" spans="1:9" ht="15.6">
      <c r="A17" s="48" t="str">
        <v>Felician Sisters Convent</v>
      </c>
      <c r="B17" s="34" t="str">
        <v>NJ</v>
      </c>
      <c r="C17" s="35">
        <f>SUM(Apr!C17, May!C17, Jun!C17)</f>
        <v>0</v>
      </c>
      <c r="D17" s="36">
        <f>SUM(Apr!D17, May!D17, Jun!D17)</f>
        <v>0</v>
      </c>
      <c r="E17" s="36">
        <f t="shared" si="3"/>
        <v>0</v>
      </c>
      <c r="F17" s="71" t="str">
        <f t="shared" si="4"/>
        <v/>
      </c>
      <c r="G17" s="72">
        <f>SUM(Apr!G17,May!G17,Jun!G17)</f>
        <v>0</v>
      </c>
      <c r="H17" s="72">
        <f>SUM(Apr!H17, May!H17, Jun!H17)</f>
        <v>0</v>
      </c>
      <c r="I17" s="71" t="str">
        <f t="shared" si="5"/>
        <v/>
      </c>
    </row>
    <row r="18" spans="1:9" ht="15.6">
      <c r="A18" s="47" t="str">
        <v>Sussex County Fairgrounds</v>
      </c>
      <c r="B18" s="27" t="str">
        <v>NJ</v>
      </c>
      <c r="C18" s="28">
        <f>SUM(Apr!C18, May!C18, Jun!C18)</f>
        <v>0</v>
      </c>
      <c r="D18" s="29">
        <f>SUM(Apr!D18, May!D18, Jun!D18)</f>
        <v>0</v>
      </c>
      <c r="E18" s="29">
        <f t="shared" si="3"/>
        <v>0</v>
      </c>
      <c r="F18" s="30" t="str">
        <f t="shared" si="4"/>
        <v/>
      </c>
      <c r="G18" s="31">
        <f>SUM(Apr!G18,May!G18,Jun!G18)</f>
        <v>0</v>
      </c>
      <c r="H18" s="31">
        <f>SUM(Apr!H18, May!H18, Jun!H18)</f>
        <v>0</v>
      </c>
      <c r="I18" s="32" t="str">
        <f t="shared" si="5"/>
        <v/>
      </c>
    </row>
    <row r="19" spans="1:9" ht="15.6">
      <c r="A19" s="48" t="str">
        <v>Gateway Church</v>
      </c>
      <c r="B19" s="34" t="str">
        <v>NJ</v>
      </c>
      <c r="C19" s="35">
        <f>SUM(Apr!C19, May!C19, Jun!C19)</f>
        <v>0</v>
      </c>
      <c r="D19" s="36">
        <f>SUM(Apr!D19, May!D19, Jun!D19)</f>
        <v>0</v>
      </c>
      <c r="E19" s="36">
        <f t="shared" si="3"/>
        <v>0</v>
      </c>
      <c r="F19" s="71" t="str">
        <f t="shared" si="4"/>
        <v/>
      </c>
      <c r="G19" s="72">
        <f>SUM(Apr!G19,May!G19,Jun!G19)</f>
        <v>0</v>
      </c>
      <c r="H19" s="72">
        <f>SUM(Apr!H19, May!H19, Jun!H19)</f>
        <v>0</v>
      </c>
      <c r="I19" s="71" t="str">
        <f t="shared" si="5"/>
        <v/>
      </c>
    </row>
    <row r="20" spans="1:9" ht="15.6">
      <c r="A20" s="47" t="str">
        <v>Beaver Falls - Felician Sisters</v>
      </c>
      <c r="B20" s="27" t="str">
        <v>PA</v>
      </c>
      <c r="C20" s="28">
        <f>SUM(Apr!C20, May!C20, Jun!C20)</f>
        <v>0</v>
      </c>
      <c r="D20" s="29">
        <f>SUM(Apr!D20, May!D20, Jun!D20)</f>
        <v>0</v>
      </c>
      <c r="E20" s="29">
        <f t="shared" si="3"/>
        <v>0</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1" t="str">
        <f t="shared" si="4"/>
        <v/>
      </c>
      <c r="G21" s="72">
        <f>SUM(Apr!G21,May!G21,Jun!G21)</f>
        <v>0</v>
      </c>
      <c r="H21" s="72">
        <f>SUM(Apr!H21, May!H21, Jun!H21)</f>
        <v>0</v>
      </c>
      <c r="I21" s="71" t="str">
        <f t="shared" si="5"/>
        <v/>
      </c>
    </row>
    <row r="22" spans="1:9" ht="15.6">
      <c r="A22" s="47" t="str">
        <v>Livonia - Felician Sisters Roof</v>
      </c>
      <c r="B22" s="27" t="str">
        <v>MI</v>
      </c>
      <c r="C22" s="28">
        <f>SUM(Apr!C22, May!C22, Jun!C22)</f>
        <v>0</v>
      </c>
      <c r="D22" s="29">
        <f>SUM(Apr!D22, May!D22, Jun!D22)</f>
        <v>0</v>
      </c>
      <c r="E22" s="29">
        <f t="shared" si="3"/>
        <v>0</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0</v>
      </c>
      <c r="D23" s="36">
        <f>SUM(Apr!D23, May!D23, Jun!D23)</f>
        <v>0</v>
      </c>
      <c r="E23" s="36">
        <f t="shared" si="3"/>
        <v>0</v>
      </c>
      <c r="F23" s="71" t="str">
        <f t="shared" si="4"/>
        <v/>
      </c>
      <c r="G23" s="72">
        <f>SUM(Apr!G23,May!G23,Jun!G23)</f>
        <v>0</v>
      </c>
      <c r="H23" s="72">
        <f>SUM(Apr!H23, May!H23, Jun!H23)</f>
        <v>0</v>
      </c>
      <c r="I23" s="71" t="str">
        <f t="shared" si="5"/>
        <v/>
      </c>
    </row>
    <row r="24" spans="1:9" ht="15.6">
      <c r="A24" s="47" t="str">
        <v xml:space="preserve"> Audubon - Senior Citizens United</v>
      </c>
      <c r="B24" s="27" t="str">
        <v>NJ</v>
      </c>
      <c r="C24" s="28">
        <f>SUM(Apr!C24, May!C24, Jun!C24)</f>
        <v>0</v>
      </c>
      <c r="D24" s="29">
        <f>SUM(Apr!D24, May!D24, Jun!D24)</f>
        <v>0</v>
      </c>
      <c r="E24" s="29">
        <f t="shared" si="3"/>
        <v>0</v>
      </c>
      <c r="F24" s="30" t="str">
        <f t="shared" si="4"/>
        <v/>
      </c>
      <c r="G24" s="31">
        <f>SUM(Apr!G24,May!G24,Jun!G24)</f>
        <v>0</v>
      </c>
      <c r="H24" s="31">
        <f>SUM(Apr!H24, May!H24, Jun!H24)</f>
        <v>0</v>
      </c>
      <c r="I24" s="32" t="str">
        <f t="shared" si="5"/>
        <v/>
      </c>
    </row>
    <row r="25" spans="1:9" ht="15.6">
      <c r="A25" s="48" t="str">
        <v>Hollister - PG&amp;E (Enerparc)</v>
      </c>
      <c r="B25" s="34" t="str">
        <v>CA</v>
      </c>
      <c r="C25" s="35">
        <f>SUM(Apr!C25, May!C25, Jun!C25)</f>
        <v>0</v>
      </c>
      <c r="D25" s="36">
        <f>SUM(Apr!D25, May!D25, Jun!D25)</f>
        <v>0</v>
      </c>
      <c r="E25" s="36">
        <f t="shared" si="3"/>
        <v>0</v>
      </c>
      <c r="F25" s="71" t="str">
        <f t="shared" si="4"/>
        <v/>
      </c>
      <c r="G25" s="72">
        <f>SUM(Apr!G25,May!G25,Jun!G25)</f>
        <v>0</v>
      </c>
      <c r="H25" s="72">
        <f>SUM(Apr!H25, May!H25, Jun!H25)</f>
        <v>0</v>
      </c>
      <c r="I25" s="71" t="str">
        <f t="shared" si="5"/>
        <v/>
      </c>
    </row>
    <row r="26" spans="1:9" ht="15.6">
      <c r="A26" s="47" t="str">
        <v>Taos County - Kit Carson Electric Co-Op</v>
      </c>
      <c r="B26" s="27" t="str">
        <v>NM</v>
      </c>
      <c r="C26" s="28">
        <f>SUM(Apr!C26, May!C26, Jun!C26)</f>
        <v>0</v>
      </c>
      <c r="D26" s="29">
        <f>SUM(Apr!D26, May!D26, Jun!D26)</f>
        <v>0</v>
      </c>
      <c r="E26" s="29">
        <f t="shared" si="3"/>
        <v>0</v>
      </c>
      <c r="F26" s="30" t="str">
        <f t="shared" si="4"/>
        <v/>
      </c>
      <c r="G26" s="31">
        <f>SUM(Apr!G26,May!G26,Jun!G26)</f>
        <v>0</v>
      </c>
      <c r="H26" s="31">
        <f>SUM(Apr!H26, May!H26, Jun!H26)</f>
        <v>0</v>
      </c>
      <c r="I26" s="32" t="str">
        <f t="shared" si="5"/>
        <v/>
      </c>
    </row>
    <row r="27" spans="1:9" ht="15.6">
      <c r="A27" s="48" t="str">
        <v>Commerce City - Adams City HS</v>
      </c>
      <c r="B27" s="34" t="str">
        <v>CO</v>
      </c>
      <c r="C27" s="35">
        <f>SUM(Apr!C27, May!C27, Jun!C27)</f>
        <v>0</v>
      </c>
      <c r="D27" s="36">
        <f>SUM(Apr!D27, May!D27, Jun!D27)</f>
        <v>0</v>
      </c>
      <c r="E27" s="36">
        <f t="shared" si="3"/>
        <v>0</v>
      </c>
      <c r="F27" s="71" t="str">
        <f t="shared" si="4"/>
        <v/>
      </c>
      <c r="G27" s="72">
        <f>SUM(Apr!G27,May!G27,Jun!G27)</f>
        <v>0</v>
      </c>
      <c r="H27" s="72">
        <f>SUM(Apr!H27, May!H27, Jun!H27)</f>
        <v>0</v>
      </c>
      <c r="I27" s="71" t="str">
        <f t="shared" si="5"/>
        <v/>
      </c>
    </row>
    <row r="28" spans="1:9" ht="15.6">
      <c r="A28" s="47" t="str">
        <v>Commerce City - Adams City MS</v>
      </c>
      <c r="B28" s="27" t="str">
        <v>CO</v>
      </c>
      <c r="C28" s="28">
        <f>SUM(Apr!C28, May!C28, Jun!C28)</f>
        <v>0</v>
      </c>
      <c r="D28" s="29">
        <f>SUM(Apr!D28, May!D28, Jun!D28)</f>
        <v>0</v>
      </c>
      <c r="E28" s="29">
        <f t="shared" si="3"/>
        <v>0</v>
      </c>
      <c r="F28" s="30" t="str">
        <f t="shared" si="4"/>
        <v/>
      </c>
      <c r="G28" s="31">
        <f>SUM(Apr!G28,May!G28,Jun!G28)</f>
        <v>0</v>
      </c>
      <c r="H28" s="31">
        <f>SUM(Apr!H28, May!H28, Jun!H28)</f>
        <v>0</v>
      </c>
      <c r="I28" s="32" t="str">
        <f t="shared" si="5"/>
        <v/>
      </c>
    </row>
    <row r="29" spans="1:9" ht="15.6">
      <c r="A29" s="48" t="str">
        <v>Commerce City - Central ES</v>
      </c>
      <c r="B29" s="34" t="str">
        <v>CO</v>
      </c>
      <c r="C29" s="35">
        <f>SUM(Apr!C29, May!C29, Jun!C29)</f>
        <v>0</v>
      </c>
      <c r="D29" s="36">
        <f>SUM(Apr!D29, May!D29, Jun!D29)</f>
        <v>0</v>
      </c>
      <c r="E29" s="36">
        <f t="shared" si="3"/>
        <v>0</v>
      </c>
      <c r="F29" s="71" t="str">
        <f t="shared" si="4"/>
        <v/>
      </c>
      <c r="G29" s="72">
        <f>SUM(Apr!G29,May!G29,Jun!G29)</f>
        <v>0</v>
      </c>
      <c r="H29" s="72">
        <f>SUM(Apr!H29, May!H29, Jun!H29)</f>
        <v>0</v>
      </c>
      <c r="I29" s="71" t="str">
        <f t="shared" si="5"/>
        <v/>
      </c>
    </row>
    <row r="30" spans="1:9" ht="15.6">
      <c r="A30" s="47" t="str">
        <v>Commerce City - Dupont ES</v>
      </c>
      <c r="B30" s="27" t="str">
        <v>CO</v>
      </c>
      <c r="C30" s="28">
        <f>SUM(Apr!C30, May!C30, Jun!C30)</f>
        <v>0</v>
      </c>
      <c r="D30" s="29">
        <f>SUM(Apr!D30, May!D30, Jun!D30)</f>
        <v>0</v>
      </c>
      <c r="E30" s="29">
        <f t="shared" si="3"/>
        <v>0</v>
      </c>
      <c r="F30" s="30" t="str">
        <f t="shared" si="4"/>
        <v/>
      </c>
      <c r="G30" s="31">
        <f>SUM(Apr!G30,May!G30,Jun!G30)</f>
        <v>0</v>
      </c>
      <c r="H30" s="31">
        <f>SUM(Apr!H30, May!H30, Jun!H30)</f>
        <v>0</v>
      </c>
      <c r="I30" s="32" t="str">
        <f t="shared" si="5"/>
        <v/>
      </c>
    </row>
    <row r="31" spans="1:9" ht="15.6">
      <c r="A31" s="48" t="str">
        <v>Commerce City - Educational Support Services</v>
      </c>
      <c r="B31" s="34" t="str">
        <v>CO</v>
      </c>
      <c r="C31" s="35">
        <f>SUM(Apr!C31, May!C31, Jun!C31)</f>
        <v>0</v>
      </c>
      <c r="D31" s="36">
        <f>SUM(Apr!D31, May!D31, Jun!D31)</f>
        <v>0</v>
      </c>
      <c r="E31" s="36">
        <f t="shared" si="3"/>
        <v>0</v>
      </c>
      <c r="F31" s="71" t="str">
        <f t="shared" si="4"/>
        <v/>
      </c>
      <c r="G31" s="72">
        <f>SUM(Apr!G31,May!G31,Jun!G31)</f>
        <v>0</v>
      </c>
      <c r="H31" s="72">
        <f>SUM(Apr!H31, May!H31, Jun!H31)</f>
        <v>0</v>
      </c>
      <c r="I31" s="71" t="str">
        <f t="shared" si="5"/>
        <v/>
      </c>
    </row>
    <row r="32" spans="1:9" ht="15.6">
      <c r="A32" s="47" t="str">
        <v>Commerce City - Hanson ES</v>
      </c>
      <c r="B32" s="27" t="str">
        <v>CO</v>
      </c>
      <c r="C32" s="28">
        <f>SUM(Apr!C32, May!C32, Jun!C32)</f>
        <v>0</v>
      </c>
      <c r="D32" s="29">
        <f>SUM(Apr!D32, May!D32, Jun!D32)</f>
        <v>0</v>
      </c>
      <c r="E32" s="29">
        <f t="shared" si="3"/>
        <v>0</v>
      </c>
      <c r="F32" s="30" t="str">
        <f t="shared" si="4"/>
        <v/>
      </c>
      <c r="G32" s="31">
        <f>SUM(Apr!G32,May!G32,Jun!G32)</f>
        <v>0</v>
      </c>
      <c r="H32" s="31">
        <f>SUM(Apr!H32, May!H32, Jun!H32)</f>
        <v>0</v>
      </c>
      <c r="I32" s="32" t="str">
        <f t="shared" si="5"/>
        <v/>
      </c>
    </row>
    <row r="33" spans="1:9" ht="15.6">
      <c r="A33" s="48" t="str">
        <v>Commerce City - Kemp ES</v>
      </c>
      <c r="B33" s="34" t="str">
        <v>CO</v>
      </c>
      <c r="C33" s="35">
        <f>SUM(Apr!C33, May!C33, Jun!C33)</f>
        <v>0</v>
      </c>
      <c r="D33" s="36">
        <f>SUM(Apr!D33, May!D33, Jun!D33)</f>
        <v>0</v>
      </c>
      <c r="E33" s="36">
        <f t="shared" si="3"/>
        <v>0</v>
      </c>
      <c r="F33" s="71" t="str">
        <f t="shared" si="4"/>
        <v/>
      </c>
      <c r="G33" s="72">
        <f>SUM(Apr!G33,May!G33,Jun!G33)</f>
        <v>0</v>
      </c>
      <c r="H33" s="72">
        <f>SUM(Apr!H33, May!H33, Jun!H33)</f>
        <v>0</v>
      </c>
      <c r="I33" s="71" t="str">
        <f t="shared" si="5"/>
        <v/>
      </c>
    </row>
    <row r="34" spans="1:9" ht="15.6">
      <c r="A34" s="47" t="str">
        <v>Commerce City -  Lester Arnold HS</v>
      </c>
      <c r="B34" s="27" t="str">
        <v>CO</v>
      </c>
      <c r="C34" s="28">
        <f>SUM(Apr!C34, May!C34, Jun!C34)</f>
        <v>0</v>
      </c>
      <c r="D34" s="29">
        <f>SUM(Apr!D34, May!D34, Jun!D34)</f>
        <v>0</v>
      </c>
      <c r="E34" s="29">
        <f t="shared" si="3"/>
        <v>0</v>
      </c>
      <c r="F34" s="30" t="str">
        <f t="shared" si="4"/>
        <v/>
      </c>
      <c r="G34" s="31">
        <f>SUM(Apr!G34,May!G34,Jun!G34)</f>
        <v>0</v>
      </c>
      <c r="H34" s="31">
        <f>SUM(Apr!H34, May!H34, Jun!H34)</f>
        <v>0</v>
      </c>
      <c r="I34" s="32" t="str">
        <f t="shared" si="5"/>
        <v/>
      </c>
    </row>
    <row r="35" spans="1:9" ht="15.6">
      <c r="A35" s="48" t="str">
        <v>Commerce City - Monaco ES</v>
      </c>
      <c r="B35" s="34" t="str">
        <v>CO</v>
      </c>
      <c r="C35" s="35">
        <f>SUM(Apr!C35, May!C35, Jun!C35)</f>
        <v>0</v>
      </c>
      <c r="D35" s="36">
        <f>SUM(Apr!D35, May!D35, Jun!D35)</f>
        <v>0</v>
      </c>
      <c r="E35" s="36">
        <f t="shared" si="3"/>
        <v>0</v>
      </c>
      <c r="F35" s="71" t="str">
        <f t="shared" si="4"/>
        <v/>
      </c>
      <c r="G35" s="72">
        <f>SUM(Apr!G35,May!G35,Jun!G35)</f>
        <v>0</v>
      </c>
      <c r="H35" s="72">
        <f>SUM(Apr!H35, May!H35, Jun!H35)</f>
        <v>0</v>
      </c>
      <c r="I35" s="71" t="str">
        <f t="shared" si="5"/>
        <v/>
      </c>
    </row>
    <row r="36" spans="1:9" ht="15.6">
      <c r="A36" s="47" t="str">
        <v>Denver - Northgate / Old Fort Logan ES</v>
      </c>
      <c r="B36" s="27" t="str">
        <v>CO</v>
      </c>
      <c r="C36" s="28">
        <f>SUM(Apr!C36, May!C36, Jun!C36)</f>
        <v>0</v>
      </c>
      <c r="D36" s="29">
        <f>SUM(Apr!D36, May!D36, Jun!D36)</f>
        <v>0</v>
      </c>
      <c r="E36" s="29">
        <f t="shared" si="3"/>
        <v>0</v>
      </c>
      <c r="F36" s="30" t="str">
        <f t="shared" si="4"/>
        <v/>
      </c>
      <c r="G36" s="31">
        <f>SUM(Apr!G36,May!G36,Jun!G36)</f>
        <v>0</v>
      </c>
      <c r="H36" s="31">
        <f>SUM(Apr!H36, May!H36, Jun!H36)</f>
        <v>0</v>
      </c>
      <c r="I36" s="32" t="str">
        <f t="shared" si="5"/>
        <v/>
      </c>
    </row>
    <row r="37" spans="1:9" ht="15.6">
      <c r="A37" s="48" t="str">
        <v>Denver - Sheridan High School</v>
      </c>
      <c r="B37" s="34" t="str">
        <v>CO</v>
      </c>
      <c r="C37" s="35">
        <f>SUM(Apr!C37, May!C37, Jun!C37)</f>
        <v>0</v>
      </c>
      <c r="D37" s="36">
        <f>SUM(Apr!D37, May!D37, Jun!D37)</f>
        <v>0</v>
      </c>
      <c r="E37" s="36">
        <f t="shared" si="3"/>
        <v>0</v>
      </c>
      <c r="F37" s="71" t="str">
        <f t="shared" si="4"/>
        <v/>
      </c>
      <c r="G37" s="72">
        <f>SUM(Apr!G37,May!G37,Jun!G37)</f>
        <v>0</v>
      </c>
      <c r="H37" s="72">
        <f>SUM(Apr!H37, May!H37, Jun!H37)</f>
        <v>0</v>
      </c>
      <c r="I37" s="71" t="str">
        <f t="shared" si="5"/>
        <v/>
      </c>
    </row>
    <row r="38" spans="1:9" ht="15.6">
      <c r="A38" s="47" t="str">
        <v>Englewood -  Alice Terry Elementary</v>
      </c>
      <c r="B38" s="27" t="str">
        <v>CO</v>
      </c>
      <c r="C38" s="28">
        <f>SUM(Apr!C38, May!C38, Jun!C38)</f>
        <v>0</v>
      </c>
      <c r="D38" s="29">
        <f>SUM(Apr!D38, May!D38, Jun!D38)</f>
        <v>0</v>
      </c>
      <c r="E38" s="29">
        <f t="shared" si="3"/>
        <v>0</v>
      </c>
      <c r="F38" s="30" t="str">
        <f t="shared" si="4"/>
        <v/>
      </c>
      <c r="G38" s="31">
        <f>SUM(Apr!G38,May!G38,Jun!G38)</f>
        <v>0</v>
      </c>
      <c r="H38" s="31">
        <f>SUM(Apr!H38, May!H38, Jun!H38)</f>
        <v>0</v>
      </c>
      <c r="I38" s="32" t="str">
        <f t="shared" si="5"/>
        <v/>
      </c>
    </row>
    <row r="39" spans="1:9" ht="15.6">
      <c r="A39" s="48" t="str">
        <v>Englewood - Sheridan Middle School</v>
      </c>
      <c r="B39" s="34" t="str">
        <v>CO</v>
      </c>
      <c r="C39" s="35">
        <f>SUM(Apr!C39, May!C39, Jun!C39)</f>
        <v>0</v>
      </c>
      <c r="D39" s="36">
        <f>SUM(Apr!D39, May!D39, Jun!D39)</f>
        <v>0</v>
      </c>
      <c r="E39" s="36">
        <f t="shared" si="3"/>
        <v>0</v>
      </c>
      <c r="F39" s="71" t="str">
        <f t="shared" si="4"/>
        <v/>
      </c>
      <c r="G39" s="72">
        <f>SUM(Apr!G39,May!G39,Jun!G39)</f>
        <v>0</v>
      </c>
      <c r="H39" s="72">
        <f>SUM(Apr!H39, May!H39, Jun!H39)</f>
        <v>0</v>
      </c>
      <c r="I39" s="71" t="str">
        <f t="shared" si="5"/>
        <v/>
      </c>
    </row>
    <row r="40" spans="1:9" ht="15.6">
      <c r="A40" s="47" t="str">
        <v>Goshen - NIPSCO</v>
      </c>
      <c r="B40" s="27" t="str">
        <v>IN</v>
      </c>
      <c r="C40" s="28">
        <f>SUM(Apr!C40, May!C40, Jun!C40)</f>
        <v>0</v>
      </c>
      <c r="D40" s="29">
        <f>SUM(Apr!D40, May!D40, Jun!D40)</f>
        <v>0</v>
      </c>
      <c r="E40" s="29">
        <f t="shared" si="3"/>
        <v>0</v>
      </c>
      <c r="F40" s="30" t="str">
        <f t="shared" si="4"/>
        <v/>
      </c>
      <c r="G40" s="31">
        <f>SUM(Apr!G40,May!G40,Jun!G40)</f>
        <v>0</v>
      </c>
      <c r="H40" s="31">
        <f>SUM(Apr!H40, May!H40, Jun!H40)</f>
        <v>0</v>
      </c>
      <c r="I40" s="32" t="str">
        <f t="shared" si="5"/>
        <v/>
      </c>
    </row>
    <row r="41" spans="1:9" ht="15.6">
      <c r="A41" s="48" t="str">
        <v>Alamogordo - City of Alamogordo - Effluent</v>
      </c>
      <c r="B41" s="34" t="str">
        <v>NM</v>
      </c>
      <c r="C41" s="35">
        <f>SUM(Apr!C41, May!C41, Jun!C41)</f>
        <v>0</v>
      </c>
      <c r="D41" s="36">
        <f>SUM(Apr!D41, May!D41, Jun!D41)</f>
        <v>0</v>
      </c>
      <c r="E41" s="36">
        <f t="shared" si="3"/>
        <v>0</v>
      </c>
      <c r="F41" s="71" t="str">
        <f t="shared" si="4"/>
        <v/>
      </c>
      <c r="G41" s="72">
        <f>SUM(Apr!G41,May!G41,Jun!G41)</f>
        <v>0</v>
      </c>
      <c r="H41" s="72">
        <f>SUM(Apr!H41, May!H41, Jun!H41)</f>
        <v>0</v>
      </c>
      <c r="I41" s="71" t="str">
        <f t="shared" si="5"/>
        <v/>
      </c>
    </row>
    <row r="42" spans="1:9" ht="15.6">
      <c r="A42" s="47" t="str">
        <v>Alamogordo - City of Alamogordo - WWTP</v>
      </c>
      <c r="B42" s="27" t="str">
        <v>NM</v>
      </c>
      <c r="C42" s="28">
        <f>SUM(Apr!C42, May!C42, Jun!C42)</f>
        <v>0</v>
      </c>
      <c r="D42" s="29">
        <f>SUM(Apr!D42, May!D42, Jun!D42)</f>
        <v>0</v>
      </c>
      <c r="E42" s="29">
        <f t="shared" si="3"/>
        <v>0</v>
      </c>
      <c r="F42" s="30" t="str">
        <f t="shared" si="4"/>
        <v/>
      </c>
      <c r="G42" s="31">
        <f>SUM(Apr!G42,May!G42,Jun!G42)</f>
        <v>0</v>
      </c>
      <c r="H42" s="31">
        <f>SUM(Apr!H42, May!H42, Jun!H42)</f>
        <v>0</v>
      </c>
      <c r="I42" s="32" t="str">
        <f t="shared" si="5"/>
        <v/>
      </c>
    </row>
    <row r="43" spans="1:9" ht="15.6">
      <c r="A43" s="48" t="str">
        <v>Deming - Bilbo Booster</v>
      </c>
      <c r="B43" s="34" t="str">
        <v>NM</v>
      </c>
      <c r="C43" s="35">
        <f>SUM(Apr!C43, May!C43, Jun!C43)</f>
        <v>0</v>
      </c>
      <c r="D43" s="36">
        <f>SUM(Apr!D43, May!D43, Jun!D43)</f>
        <v>0</v>
      </c>
      <c r="E43" s="36">
        <f t="shared" si="3"/>
        <v>0</v>
      </c>
      <c r="F43" s="71" t="str">
        <f t="shared" si="4"/>
        <v/>
      </c>
      <c r="G43" s="72">
        <f>SUM(Apr!G43,May!G43,Jun!G43)</f>
        <v>0</v>
      </c>
      <c r="H43" s="72">
        <f>SUM(Apr!H43, May!H43, Jun!H43)</f>
        <v>0</v>
      </c>
      <c r="I43" s="71" t="str">
        <f t="shared" si="5"/>
        <v/>
      </c>
    </row>
    <row r="44" spans="1:9" ht="15.6">
      <c r="A44" s="47" t="str">
        <v>Deming - Bilbo Well</v>
      </c>
      <c r="B44" s="27" t="str">
        <v>NM</v>
      </c>
      <c r="C44" s="28">
        <f>SUM(Apr!C44, May!C44, Jun!C44)</f>
        <v>0</v>
      </c>
      <c r="D44" s="29">
        <f>SUM(Apr!D44, May!D44, Jun!D44)</f>
        <v>0</v>
      </c>
      <c r="E44" s="29">
        <f t="shared" si="3"/>
        <v>0</v>
      </c>
      <c r="F44" s="30" t="str">
        <f t="shared" si="4"/>
        <v/>
      </c>
      <c r="G44" s="31">
        <f>SUM(Apr!G44,May!G44,Jun!G44)</f>
        <v>0</v>
      </c>
      <c r="H44" s="31">
        <f>SUM(Apr!H44, May!H44, Jun!H44)</f>
        <v>0</v>
      </c>
      <c r="I44" s="32" t="str">
        <f t="shared" si="5"/>
        <v/>
      </c>
    </row>
    <row r="45" spans="1:9" ht="15.6">
      <c r="A45" s="48" t="str">
        <v>Deming - WWTP</v>
      </c>
      <c r="B45" s="34" t="str">
        <v>NM</v>
      </c>
      <c r="C45" s="35">
        <f>SUM(Apr!C45, May!C45, Jun!C45)</f>
        <v>0</v>
      </c>
      <c r="D45" s="36">
        <f>SUM(Apr!D45, May!D45, Jun!D45)</f>
        <v>0</v>
      </c>
      <c r="E45" s="36">
        <f t="shared" si="3"/>
        <v>0</v>
      </c>
      <c r="F45" s="71" t="str">
        <f t="shared" si="4"/>
        <v/>
      </c>
      <c r="G45" s="72">
        <f>SUM(Apr!G45,May!G45,Jun!G45)</f>
        <v>0</v>
      </c>
      <c r="H45" s="72">
        <f>SUM(Apr!H45, May!H45, Jun!H45)</f>
        <v>0</v>
      </c>
      <c r="I45" s="71" t="str">
        <f t="shared" si="5"/>
        <v/>
      </c>
    </row>
    <row r="46" spans="1:9" ht="15.6">
      <c r="A46" s="47" t="str">
        <v>Truth or Consequences - Walmart</v>
      </c>
      <c r="B46" s="27" t="str">
        <v>NM</v>
      </c>
      <c r="C46" s="28">
        <f>SUM(Apr!C46, May!C46, Jun!C46)</f>
        <v>0</v>
      </c>
      <c r="D46" s="29">
        <f>SUM(Apr!D46, May!D46, Jun!D46)</f>
        <v>0</v>
      </c>
      <c r="E46" s="29">
        <f t="shared" si="3"/>
        <v>0</v>
      </c>
      <c r="F46" s="30" t="str">
        <f t="shared" si="4"/>
        <v/>
      </c>
      <c r="G46" s="31">
        <f>SUM(Apr!G46,May!G46,Jun!G46)</f>
        <v>0</v>
      </c>
      <c r="H46" s="31">
        <f>SUM(Apr!H46, May!H46, Jun!H46)</f>
        <v>0</v>
      </c>
      <c r="I46" s="32" t="str">
        <f t="shared" si="5"/>
        <v/>
      </c>
    </row>
    <row r="47" spans="1:9" ht="15.6">
      <c r="A47" s="48" t="str">
        <v>CA: Stockton - SUSD - Merlo</v>
      </c>
      <c r="B47" s="34" t="str">
        <v>CA</v>
      </c>
      <c r="C47" s="35">
        <f>SUM(Apr!C47, May!C47, Jun!C47)</f>
        <v>0</v>
      </c>
      <c r="D47" s="36">
        <f>SUM(Apr!D47, May!D47, Jun!D47)</f>
        <v>0</v>
      </c>
      <c r="E47" s="36">
        <f t="shared" ref="E47:E75" si="6">IF(AND(ISNUMBER(C47),ISNUMBER(D47)), C47-D47, "")</f>
        <v>0</v>
      </c>
      <c r="F47" s="71" t="str">
        <f t="shared" ref="F47:F75" si="7">IFERROR(E47/D47, "")</f>
        <v/>
      </c>
      <c r="G47" s="72">
        <f>SUM(Apr!G47,May!G47,Jun!G47)</f>
        <v>0</v>
      </c>
      <c r="H47" s="72">
        <f>SUM(Apr!H47, May!H47, Jun!H47)</f>
        <v>0</v>
      </c>
      <c r="I47" s="71" t="str">
        <f t="shared" ref="I47:I75" si="8">IFERROR(H47/G47, "")</f>
        <v/>
      </c>
    </row>
    <row r="48" spans="1:9" ht="15.6">
      <c r="A48" s="47" t="str">
        <v>Stockton Unified School Dist. - Bush Elementary</v>
      </c>
      <c r="B48" s="27" t="str">
        <v>CA</v>
      </c>
      <c r="C48" s="28">
        <f>SUM(Apr!C48, May!C48, Jun!C48)</f>
        <v>0</v>
      </c>
      <c r="D48" s="29">
        <f>SUM(Apr!D48, May!D48, Jun!D48)</f>
        <v>0</v>
      </c>
      <c r="E48" s="29">
        <f t="shared" si="6"/>
        <v>0</v>
      </c>
      <c r="F48" s="30" t="str">
        <f t="shared" si="7"/>
        <v/>
      </c>
      <c r="G48" s="31">
        <f>SUM(Apr!G48,May!G48,Jun!G48)</f>
        <v>0</v>
      </c>
      <c r="H48" s="31">
        <f>SUM(Apr!H48, May!H48, Jun!H48)</f>
        <v>0</v>
      </c>
      <c r="I48" s="32" t="str">
        <f t="shared" si="8"/>
        <v/>
      </c>
    </row>
    <row r="49" spans="1:9" ht="15.6">
      <c r="A49" s="48" t="str">
        <v>CA: Stockton - SUSD - Marshall JHS</v>
      </c>
      <c r="B49" s="34" t="str">
        <v>CA</v>
      </c>
      <c r="C49" s="35">
        <f>SUM(Apr!C49, May!C49, Jun!C49)</f>
        <v>0</v>
      </c>
      <c r="D49" s="36">
        <f>SUM(Apr!D49, May!D49, Jun!D49)</f>
        <v>0</v>
      </c>
      <c r="E49" s="36">
        <f t="shared" si="6"/>
        <v>0</v>
      </c>
      <c r="F49" s="71" t="str">
        <f t="shared" si="7"/>
        <v/>
      </c>
      <c r="G49" s="72">
        <f>SUM(Apr!G49,May!G49,Jun!G49)</f>
        <v>0</v>
      </c>
      <c r="H49" s="72">
        <f>SUM(Apr!H49, May!H49, Jun!H49)</f>
        <v>0</v>
      </c>
      <c r="I49" s="71" t="str">
        <f t="shared" si="8"/>
        <v/>
      </c>
    </row>
    <row r="50" spans="1:9" ht="15.6">
      <c r="A50" s="47" t="str">
        <v>CA: Stockton - SUSD - Hong-Kingston ES</v>
      </c>
      <c r="B50" s="27" t="str">
        <v>CA</v>
      </c>
      <c r="C50" s="28">
        <f>SUM(Apr!C50, May!C50, Jun!C50)</f>
        <v>0</v>
      </c>
      <c r="D50" s="29">
        <f>SUM(Apr!D50, May!D50, Jun!D50)</f>
        <v>0</v>
      </c>
      <c r="E50" s="29">
        <f t="shared" si="6"/>
        <v>0</v>
      </c>
      <c r="F50" s="30" t="str">
        <f t="shared" si="7"/>
        <v/>
      </c>
      <c r="G50" s="31">
        <f>SUM(Apr!G50,May!G50,Jun!G50)</f>
        <v>0</v>
      </c>
      <c r="H50" s="31">
        <f>SUM(Apr!H50, May!H50, Jun!H50)</f>
        <v>0</v>
      </c>
      <c r="I50" s="32" t="str">
        <f t="shared" si="8"/>
        <v/>
      </c>
    </row>
    <row r="51" spans="1:9" ht="15.6">
      <c r="A51" s="48" t="str">
        <v>CA: Stockton - SUSD - Hamilton ES</v>
      </c>
      <c r="B51" s="34" t="str">
        <v>CA</v>
      </c>
      <c r="C51" s="35">
        <f>SUM(Apr!C51, May!C51, Jun!C51)</f>
        <v>0</v>
      </c>
      <c r="D51" s="36">
        <f>SUM(Apr!D51, May!D51, Jun!D51)</f>
        <v>0</v>
      </c>
      <c r="E51" s="36">
        <f t="shared" si="6"/>
        <v>0</v>
      </c>
      <c r="F51" s="71" t="str">
        <f t="shared" si="7"/>
        <v/>
      </c>
      <c r="G51" s="72">
        <f>SUM(Apr!G51,May!G51,Jun!G51)</f>
        <v>0</v>
      </c>
      <c r="H51" s="72">
        <f>SUM(Apr!H51, May!H51, Jun!H51)</f>
        <v>0</v>
      </c>
      <c r="I51" s="71" t="str">
        <f t="shared" si="8"/>
        <v/>
      </c>
    </row>
    <row r="52" spans="1:9" ht="15.6">
      <c r="A52" s="47" t="str">
        <v>CA: Stockton - SUSD - Franklin - North</v>
      </c>
      <c r="B52" s="27" t="str">
        <v>CA</v>
      </c>
      <c r="C52" s="28">
        <f>SUM(Apr!C52, May!C52, Jun!C52)</f>
        <v>0</v>
      </c>
      <c r="D52" s="29">
        <f>SUM(Apr!D52, May!D52, Jun!D52)</f>
        <v>0</v>
      </c>
      <c r="E52" s="29">
        <f t="shared" si="6"/>
        <v>0</v>
      </c>
      <c r="F52" s="30" t="str">
        <f t="shared" si="7"/>
        <v/>
      </c>
      <c r="G52" s="31">
        <f>SUM(Apr!G52,May!G52,Jun!G52)</f>
        <v>0</v>
      </c>
      <c r="H52" s="31">
        <f>SUM(Apr!H52, May!H52, Jun!H52)</f>
        <v>0</v>
      </c>
      <c r="I52" s="32" t="str">
        <f t="shared" si="8"/>
        <v/>
      </c>
    </row>
    <row r="53" spans="1:9" ht="15.6">
      <c r="A53" s="48" t="str">
        <v>Stockton Unified School Dist. - Fillmore Elementary</v>
      </c>
      <c r="B53" s="34" t="str">
        <v>CA</v>
      </c>
      <c r="C53" s="35">
        <f>SUM(Apr!C53, May!C53, Jun!C53)</f>
        <v>0</v>
      </c>
      <c r="D53" s="36">
        <f>SUM(Apr!D53, May!D53, Jun!D53)</f>
        <v>0</v>
      </c>
      <c r="E53" s="36">
        <f t="shared" si="6"/>
        <v>0</v>
      </c>
      <c r="F53" s="71" t="str">
        <f t="shared" si="7"/>
        <v/>
      </c>
      <c r="G53" s="72">
        <f>SUM(Apr!G53,May!G53,Jun!G53)</f>
        <v>0</v>
      </c>
      <c r="H53" s="72">
        <f>SUM(Apr!H53, May!H53, Jun!H53)</f>
        <v>0</v>
      </c>
      <c r="I53" s="71" t="str">
        <f t="shared" si="8"/>
        <v/>
      </c>
    </row>
    <row r="54" spans="1:9" ht="15.6">
      <c r="A54" s="47" t="str">
        <v>CA: Stockton - SUSD - El Dorado ES</v>
      </c>
      <c r="B54" s="27" t="str">
        <v>CA</v>
      </c>
      <c r="C54" s="28">
        <f>SUM(Apr!C54, May!C54, Jun!C54)</f>
        <v>0</v>
      </c>
      <c r="D54" s="29">
        <f>SUM(Apr!D54, May!D54, Jun!D54)</f>
        <v>0</v>
      </c>
      <c r="E54" s="29">
        <f t="shared" si="6"/>
        <v>0</v>
      </c>
      <c r="F54" s="30" t="str">
        <f t="shared" si="7"/>
        <v/>
      </c>
      <c r="G54" s="31">
        <f>SUM(Apr!G54,May!G54,Jun!G54)</f>
        <v>0</v>
      </c>
      <c r="H54" s="31">
        <f>SUM(Apr!H54, May!H54, Jun!H54)</f>
        <v>0</v>
      </c>
      <c r="I54" s="32" t="str">
        <f t="shared" si="8"/>
        <v/>
      </c>
    </row>
    <row r="55" spans="1:9" ht="15.6">
      <c r="A55" s="48" t="str">
        <v>CA: Stockton - SUSD - Edison HS</v>
      </c>
      <c r="B55" s="34" t="str">
        <v>CA</v>
      </c>
      <c r="C55" s="35">
        <f>SUM(Apr!C55, May!C55, Jun!C55)</f>
        <v>0</v>
      </c>
      <c r="D55" s="36">
        <f>SUM(Apr!D55, May!D55, Jun!D55)</f>
        <v>0</v>
      </c>
      <c r="E55" s="36">
        <f t="shared" si="6"/>
        <v>0</v>
      </c>
      <c r="F55" s="71" t="str">
        <f t="shared" si="7"/>
        <v/>
      </c>
      <c r="G55" s="72">
        <f>SUM(Apr!G55,May!G55,Jun!G55)</f>
        <v>0</v>
      </c>
      <c r="H55" s="72">
        <f>SUM(Apr!H55, May!H55, Jun!H55)</f>
        <v>0</v>
      </c>
      <c r="I55" s="71" t="str">
        <f t="shared" si="8"/>
        <v/>
      </c>
    </row>
    <row r="56" spans="1:9" ht="15.6">
      <c r="A56" s="47" t="str">
        <v>CA: Stockton - SUSD - Chavez HS - Large</v>
      </c>
      <c r="B56" s="27" t="str">
        <v>CA</v>
      </c>
      <c r="C56" s="28">
        <f>SUM(Apr!C56, May!C56, Jun!C56)</f>
        <v>0</v>
      </c>
      <c r="D56" s="29">
        <f>SUM(Apr!D56, May!D56, Jun!D56)</f>
        <v>0</v>
      </c>
      <c r="E56" s="29">
        <f t="shared" si="6"/>
        <v>0</v>
      </c>
      <c r="F56" s="30" t="str">
        <f t="shared" si="7"/>
        <v/>
      </c>
      <c r="G56" s="31">
        <f>SUM(Apr!G56,May!G56,Jun!G56)</f>
        <v>0</v>
      </c>
      <c r="H56" s="31">
        <f>SUM(Apr!H56, May!H56, Jun!H56)</f>
        <v>0</v>
      </c>
      <c r="I56" s="32" t="str">
        <f t="shared" si="8"/>
        <v/>
      </c>
    </row>
    <row r="57" spans="1:9" ht="15.6">
      <c r="A57" s="48" t="str">
        <v>CA: San Jose - GE Mobile Water</v>
      </c>
      <c r="B57" s="34" t="str">
        <v>CA</v>
      </c>
      <c r="C57" s="35">
        <f>SUM(Apr!C57, May!C57, Jun!C57)</f>
        <v>0</v>
      </c>
      <c r="D57" s="36">
        <f>SUM(Apr!D57, May!D57, Jun!D57)</f>
        <v>0</v>
      </c>
      <c r="E57" s="36">
        <f t="shared" si="6"/>
        <v>0</v>
      </c>
      <c r="F57" s="71" t="str">
        <f t="shared" si="7"/>
        <v/>
      </c>
      <c r="G57" s="72">
        <f>SUM(Apr!G57,May!G57,Jun!G57)</f>
        <v>0</v>
      </c>
      <c r="H57" s="72">
        <f>SUM(Apr!H57, May!H57, Jun!H57)</f>
        <v>0</v>
      </c>
      <c r="I57" s="71" t="str">
        <f t="shared" si="8"/>
        <v/>
      </c>
    </row>
    <row r="58" spans="1:9" ht="15.6">
      <c r="A58" s="47" t="str">
        <v>CA: San Marcos - Vallecitos Water - Lift Station</v>
      </c>
      <c r="B58" s="27" t="str">
        <v>CA</v>
      </c>
      <c r="C58" s="28">
        <f>SUM(Apr!C58, May!C58, Jun!C58)</f>
        <v>0</v>
      </c>
      <c r="D58" s="29">
        <f>SUM(Apr!D58, May!D58, Jun!D58)</f>
        <v>0</v>
      </c>
      <c r="E58" s="29">
        <f t="shared" si="6"/>
        <v>0</v>
      </c>
      <c r="F58" s="30" t="str">
        <f t="shared" si="7"/>
        <v/>
      </c>
      <c r="G58" s="31">
        <f>SUM(Apr!G58,May!G58,Jun!G58)</f>
        <v>0</v>
      </c>
      <c r="H58" s="31">
        <f>SUM(Apr!H58, May!H58, Jun!H58)</f>
        <v>0</v>
      </c>
      <c r="I58" s="32" t="str">
        <f t="shared" si="8"/>
        <v/>
      </c>
    </row>
    <row r="59" spans="1:9" ht="15.6">
      <c r="A59" s="48" t="str">
        <v>CA: San Marcos - Vallecitos Water - Twin Oaks Reservoir</v>
      </c>
      <c r="B59" s="34" t="str">
        <v>CA</v>
      </c>
      <c r="C59" s="35">
        <f>SUM(Apr!C59, May!C59, Jun!C59)</f>
        <v>0</v>
      </c>
      <c r="D59" s="36">
        <f>SUM(Apr!D59, May!D59, Jun!D59)</f>
        <v>0</v>
      </c>
      <c r="E59" s="36">
        <f t="shared" si="6"/>
        <v>0</v>
      </c>
      <c r="F59" s="71" t="str">
        <f t="shared" si="7"/>
        <v/>
      </c>
      <c r="G59" s="72">
        <f>SUM(Apr!G59,May!G59,Jun!G59)</f>
        <v>0</v>
      </c>
      <c r="H59" s="72">
        <f>SUM(Apr!H59, May!H59, Jun!H59)</f>
        <v>0</v>
      </c>
      <c r="I59" s="71" t="str">
        <f t="shared" si="8"/>
        <v/>
      </c>
    </row>
    <row r="60" spans="1:9" ht="15.6">
      <c r="A60" s="47" t="str">
        <v>CA: Stockton - SUSD - Wilhelmina Henry ES</v>
      </c>
      <c r="B60" s="27" t="str">
        <v>CA</v>
      </c>
      <c r="C60" s="28">
        <f>SUM(Apr!C60, May!C60, Jun!C60)</f>
        <v>0</v>
      </c>
      <c r="D60" s="29">
        <f>SUM(Apr!D60, May!D60, Jun!D60)</f>
        <v>0</v>
      </c>
      <c r="E60" s="29">
        <f t="shared" si="6"/>
        <v>0</v>
      </c>
      <c r="F60" s="30" t="str">
        <f t="shared" si="7"/>
        <v/>
      </c>
      <c r="G60" s="31">
        <f>SUM(Apr!G60,May!G60,Jun!G60)</f>
        <v>0</v>
      </c>
      <c r="H60" s="31">
        <f>SUM(Apr!H60, May!H60, Jun!H60)</f>
        <v>0</v>
      </c>
      <c r="I60" s="32" t="str">
        <f t="shared" si="8"/>
        <v/>
      </c>
    </row>
    <row r="61" spans="1:9" ht="15.6">
      <c r="A61" s="48" t="str">
        <v>Stockton Unified School Dist. - Franklin (North)</v>
      </c>
      <c r="B61" s="34" t="str">
        <v>CA</v>
      </c>
      <c r="C61" s="35">
        <f>SUM(Apr!C61, May!C61, Jun!C61)</f>
        <v>0</v>
      </c>
      <c r="D61" s="36">
        <f>SUM(Apr!D61, May!D61, Jun!D61)</f>
        <v>0</v>
      </c>
      <c r="E61" s="36">
        <f t="shared" si="6"/>
        <v>0</v>
      </c>
      <c r="F61" s="71" t="str">
        <f t="shared" si="7"/>
        <v/>
      </c>
      <c r="G61" s="72">
        <f>SUM(Apr!G61,May!G61,Jun!G61)</f>
        <v>0</v>
      </c>
      <c r="H61" s="72">
        <f>SUM(Apr!H61, May!H61, Jun!H61)</f>
        <v>0</v>
      </c>
      <c r="I61" s="71" t="str">
        <f t="shared" si="8"/>
        <v/>
      </c>
    </row>
    <row r="62" spans="1:9" ht="15.6">
      <c r="A62" s="47" t="str">
        <v>CA: Stockton - SUSD - Franklin - South</v>
      </c>
      <c r="B62" s="27" t="str">
        <v>CA</v>
      </c>
      <c r="C62" s="28">
        <f>SUM(Apr!C62, May!C62, Jun!C62)</f>
        <v>0</v>
      </c>
      <c r="D62" s="29">
        <f>SUM(Apr!D62, May!D62, Jun!D62)</f>
        <v>0</v>
      </c>
      <c r="E62" s="29">
        <f t="shared" si="6"/>
        <v>0</v>
      </c>
      <c r="F62" s="30" t="str">
        <f t="shared" si="7"/>
        <v/>
      </c>
      <c r="G62" s="31">
        <f>SUM(Apr!G62,May!G62,Jun!G62)</f>
        <v>0</v>
      </c>
      <c r="H62" s="31">
        <f>SUM(Apr!H62, May!H62, Jun!H62)</f>
        <v>0</v>
      </c>
      <c r="I62" s="32" t="str">
        <f t="shared" si="8"/>
        <v/>
      </c>
    </row>
    <row r="63" spans="1:9" ht="15.6">
      <c r="A63" s="48" t="str">
        <v>CA: Stockton - SUSD - Chavez HS - Small</v>
      </c>
      <c r="B63" s="34" t="str">
        <v>CA</v>
      </c>
      <c r="C63" s="35">
        <f>SUM(Apr!C63, May!C63, Jun!C63)</f>
        <v>0</v>
      </c>
      <c r="D63" s="36">
        <f>SUM(Apr!D63, May!D63, Jun!D63)</f>
        <v>0</v>
      </c>
      <c r="E63" s="36">
        <f t="shared" si="6"/>
        <v>0</v>
      </c>
      <c r="F63" s="71" t="str">
        <f t="shared" si="7"/>
        <v/>
      </c>
      <c r="G63" s="72">
        <f>SUM(Apr!G63,May!G63,Jun!G63)</f>
        <v>0</v>
      </c>
      <c r="H63" s="72">
        <f>SUM(Apr!H63, May!H63, Jun!H63)</f>
        <v>0</v>
      </c>
      <c r="I63" s="71" t="str">
        <f t="shared" si="8"/>
        <v/>
      </c>
    </row>
    <row r="64" spans="1:9" ht="15.6">
      <c r="A64" s="47" t="str">
        <v>CA: Stockton - SUSD - Facilities</v>
      </c>
      <c r="B64" s="27" t="str">
        <v>CA</v>
      </c>
      <c r="C64" s="28">
        <f>SUM(Apr!C64, May!C64, Jun!C64)</f>
        <v>0</v>
      </c>
      <c r="D64" s="29">
        <f>SUM(Apr!D64, May!D64, Jun!D64)</f>
        <v>0</v>
      </c>
      <c r="E64" s="29">
        <f t="shared" si="6"/>
        <v>0</v>
      </c>
      <c r="F64" s="30" t="str">
        <f t="shared" si="7"/>
        <v/>
      </c>
      <c r="G64" s="31">
        <f>SUM(Apr!G64,May!G64,Jun!G64)</f>
        <v>0</v>
      </c>
      <c r="H64" s="31">
        <f>SUM(Apr!H64, May!H64, Jun!H64)</f>
        <v>0</v>
      </c>
      <c r="I64" s="32" t="str">
        <f t="shared" si="8"/>
        <v/>
      </c>
    </row>
    <row r="65" spans="1:9" ht="15.6">
      <c r="A65" s="48" t="str">
        <v>CA: Stockton - SUSD - Harrison</v>
      </c>
      <c r="B65" s="34" t="str">
        <v>CA</v>
      </c>
      <c r="C65" s="35">
        <f>SUM(Apr!C65, May!C65, Jun!C65)</f>
        <v>0</v>
      </c>
      <c r="D65" s="36">
        <f>SUM(Apr!D65, May!D65, Jun!D65)</f>
        <v>0</v>
      </c>
      <c r="E65" s="36">
        <f t="shared" si="6"/>
        <v>0</v>
      </c>
      <c r="F65" s="71" t="str">
        <f t="shared" si="7"/>
        <v/>
      </c>
      <c r="G65" s="72">
        <f>SUM(Apr!G65,May!G65,Jun!G65)</f>
        <v>0</v>
      </c>
      <c r="H65" s="72">
        <f>SUM(Apr!H65, May!H65, Jun!H65)</f>
        <v>0</v>
      </c>
      <c r="I65" s="71" t="str">
        <f t="shared" si="8"/>
        <v/>
      </c>
    </row>
    <row r="66" spans="1:9" ht="15.6">
      <c r="A66" s="47" t="str">
        <v>CA: Stockton - SUSD - Commodore Skills School</v>
      </c>
      <c r="B66" s="27" t="str">
        <v>CA</v>
      </c>
      <c r="C66" s="28">
        <f>SUM(Apr!C66, May!C66, Jun!C66)</f>
        <v>0</v>
      </c>
      <c r="D66" s="29">
        <f>SUM(Apr!D66, May!D66, Jun!D66)</f>
        <v>0</v>
      </c>
      <c r="E66" s="29">
        <f t="shared" si="6"/>
        <v>0</v>
      </c>
      <c r="F66" s="30" t="str">
        <f t="shared" si="7"/>
        <v/>
      </c>
      <c r="G66" s="31">
        <f>SUM(Apr!G66,May!G66,Jun!G66)</f>
        <v>0</v>
      </c>
      <c r="H66" s="31">
        <f>SUM(Apr!H66, May!H66, Jun!H66)</f>
        <v>0</v>
      </c>
      <c r="I66" s="32" t="str">
        <f t="shared" si="8"/>
        <v/>
      </c>
    </row>
    <row r="67" spans="1:9" ht="15.6">
      <c r="A67" s="48" t="str">
        <v>CA: Stockton - SUSD - Nightingale ES</v>
      </c>
      <c r="B67" s="34" t="str">
        <v>CA</v>
      </c>
      <c r="C67" s="35">
        <f>SUM(Apr!C67, May!C67, Jun!C67)</f>
        <v>0</v>
      </c>
      <c r="D67" s="36">
        <f>SUM(Apr!D67, May!D67, Jun!D67)</f>
        <v>0</v>
      </c>
      <c r="E67" s="36">
        <f t="shared" si="6"/>
        <v>0</v>
      </c>
      <c r="F67" s="71" t="str">
        <f t="shared" si="7"/>
        <v/>
      </c>
      <c r="G67" s="72">
        <f>SUM(Apr!G67,May!G67,Jun!G67)</f>
        <v>0</v>
      </c>
      <c r="H67" s="72">
        <f>SUM(Apr!H67, May!H67, Jun!H67)</f>
        <v>0</v>
      </c>
      <c r="I67" s="71" t="str">
        <f t="shared" si="8"/>
        <v/>
      </c>
    </row>
    <row r="68" spans="1:9" ht="15.6">
      <c r="A68" s="47" t="str">
        <v>CA: Stockton - SUSD - Weber Institute</v>
      </c>
      <c r="B68" s="27" t="str">
        <v>CA</v>
      </c>
      <c r="C68" s="28">
        <f>SUM(Apr!C68, May!C68, Jun!C68)</f>
        <v>0</v>
      </c>
      <c r="D68" s="29">
        <f>SUM(Apr!D68, May!D68, Jun!D68)</f>
        <v>0</v>
      </c>
      <c r="E68" s="29">
        <f t="shared" si="6"/>
        <v>0</v>
      </c>
      <c r="F68" s="30" t="str">
        <f t="shared" si="7"/>
        <v/>
      </c>
      <c r="G68" s="31">
        <f>SUM(Apr!G68,May!G68,Jun!G68)</f>
        <v>0</v>
      </c>
      <c r="H68" s="31">
        <f>SUM(Apr!H68, May!H68, Jun!H68)</f>
        <v>0</v>
      </c>
      <c r="I68" s="32" t="str">
        <f t="shared" si="8"/>
        <v/>
      </c>
    </row>
    <row r="69" spans="1:9" ht="15.6">
      <c r="A69" s="48" t="str">
        <v>CA: Stockton - SUSD - Warehouse</v>
      </c>
      <c r="B69" s="34" t="str">
        <v>CA</v>
      </c>
      <c r="C69" s="35">
        <f>SUM(Apr!C69, May!C69, Jun!C69)</f>
        <v>0</v>
      </c>
      <c r="D69" s="36">
        <f>SUM(Apr!D69, May!D69, Jun!D69)</f>
        <v>0</v>
      </c>
      <c r="E69" s="36">
        <f t="shared" si="6"/>
        <v>0</v>
      </c>
      <c r="F69" s="71" t="str">
        <f t="shared" si="7"/>
        <v/>
      </c>
      <c r="G69" s="72">
        <f>SUM(Apr!G69,May!G69,Jun!G69)</f>
        <v>0</v>
      </c>
      <c r="H69" s="72">
        <f>SUM(Apr!H69, May!H69, Jun!H69)</f>
        <v>0</v>
      </c>
      <c r="I69" s="71" t="str">
        <f t="shared" si="8"/>
        <v/>
      </c>
    </row>
    <row r="70" spans="1:9" ht="15.6">
      <c r="A70" s="47" t="str">
        <v>CA: Stockton - SUSD - Walton Special Center</v>
      </c>
      <c r="B70" s="27" t="str">
        <v>CA</v>
      </c>
      <c r="C70" s="28">
        <f>SUM(Apr!C70, May!C70, Jun!C70)</f>
        <v>0</v>
      </c>
      <c r="D70" s="29">
        <f>SUM(Apr!D70, May!D70, Jun!D70)</f>
        <v>0</v>
      </c>
      <c r="E70" s="29">
        <f t="shared" si="6"/>
        <v>0</v>
      </c>
      <c r="F70" s="30" t="str">
        <f t="shared" si="7"/>
        <v/>
      </c>
      <c r="G70" s="31">
        <f>SUM(Apr!G70,May!G70,Jun!G70)</f>
        <v>0</v>
      </c>
      <c r="H70" s="31">
        <f>SUM(Apr!H70, May!H70, Jun!H70)</f>
        <v>0</v>
      </c>
      <c r="I70" s="32" t="str">
        <f t="shared" si="8"/>
        <v/>
      </c>
    </row>
    <row r="71" spans="1:9" ht="15.6">
      <c r="A71" s="48" t="str">
        <v>CA: Stockton - SUSD - Stagg HS</v>
      </c>
      <c r="B71" s="34" t="str">
        <v>CA</v>
      </c>
      <c r="C71" s="35">
        <f>SUM(Apr!C71, May!C71, Jun!C71)</f>
        <v>0</v>
      </c>
      <c r="D71" s="36">
        <f>SUM(Apr!D71, May!D71, Jun!D71)</f>
        <v>0</v>
      </c>
      <c r="E71" s="36">
        <f t="shared" si="6"/>
        <v>0</v>
      </c>
      <c r="F71" s="71" t="str">
        <f t="shared" si="7"/>
        <v/>
      </c>
      <c r="G71" s="72">
        <f>SUM(Apr!G71,May!G71,Jun!G71)</f>
        <v>0</v>
      </c>
      <c r="H71" s="72">
        <f>SUM(Apr!H71, May!H71, Jun!H71)</f>
        <v>0</v>
      </c>
      <c r="I71" s="71" t="str">
        <f t="shared" si="8"/>
        <v/>
      </c>
    </row>
    <row r="72" spans="1:9" ht="15.6">
      <c r="A72" s="47" t="str">
        <v>CA: Stockton - SUSD - School for Adults</v>
      </c>
      <c r="B72" s="27" t="str">
        <v>CA</v>
      </c>
      <c r="C72" s="28">
        <f>SUM(Apr!C72, May!C72, Jun!C72)</f>
        <v>0</v>
      </c>
      <c r="D72" s="29">
        <f>SUM(Apr!D72, May!D72, Jun!D72)</f>
        <v>0</v>
      </c>
      <c r="E72" s="29">
        <f t="shared" si="6"/>
        <v>0</v>
      </c>
      <c r="F72" s="30" t="str">
        <f t="shared" si="7"/>
        <v/>
      </c>
      <c r="G72" s="31">
        <f>SUM(Apr!G72,May!G72,Jun!G72)</f>
        <v>0</v>
      </c>
      <c r="H72" s="31">
        <f>SUM(Apr!H72, May!H72, Jun!H72)</f>
        <v>0</v>
      </c>
      <c r="I72" s="32" t="str">
        <f t="shared" si="8"/>
        <v/>
      </c>
    </row>
    <row r="73" spans="1:9" ht="15.6">
      <c r="A73" s="48" t="str">
        <v>CA: Stockton - SUSD - San Joaquin</v>
      </c>
      <c r="B73" s="34" t="str">
        <v>CA</v>
      </c>
      <c r="C73" s="35">
        <f>SUM(Apr!C73, May!C73, Jun!C73)</f>
        <v>0</v>
      </c>
      <c r="D73" s="36">
        <f>SUM(Apr!D73, May!D73, Jun!D73)</f>
        <v>0</v>
      </c>
      <c r="E73" s="36">
        <f t="shared" si="6"/>
        <v>0</v>
      </c>
      <c r="F73" s="71" t="str">
        <f t="shared" si="7"/>
        <v/>
      </c>
      <c r="G73" s="72">
        <f>SUM(Apr!G73,May!G73,Jun!G73)</f>
        <v>0</v>
      </c>
      <c r="H73" s="72">
        <f>SUM(Apr!H73, May!H73, Jun!H73)</f>
        <v>0</v>
      </c>
      <c r="I73" s="71" t="str">
        <f t="shared" si="8"/>
        <v/>
      </c>
    </row>
    <row r="74" spans="1:9" ht="15.6">
      <c r="A74" s="47" t="str">
        <v>CA: Stockton - SUSD - Rio Calaveras</v>
      </c>
      <c r="B74" s="27" t="str">
        <v>CA</v>
      </c>
      <c r="C74" s="28">
        <f>SUM(Apr!C74, May!C74, Jun!C74)</f>
        <v>0</v>
      </c>
      <c r="D74" s="29">
        <f>SUM(Apr!D74, May!D74, Jun!D74)</f>
        <v>0</v>
      </c>
      <c r="E74" s="29">
        <f t="shared" si="6"/>
        <v>0</v>
      </c>
      <c r="F74" s="30" t="str">
        <f t="shared" si="7"/>
        <v/>
      </c>
      <c r="G74" s="31">
        <f>SUM(Apr!G74,May!G74,Jun!G74)</f>
        <v>0</v>
      </c>
      <c r="H74" s="31">
        <f>SUM(Apr!H74, May!H74, Jun!H74)</f>
        <v>0</v>
      </c>
      <c r="I74" s="32" t="str">
        <f t="shared" si="8"/>
        <v/>
      </c>
    </row>
    <row r="75" spans="1:9" ht="15.6">
      <c r="A75" s="48" t="str">
        <v>CA: Stockton - SUSD - Peyton</v>
      </c>
      <c r="B75" s="34" t="str">
        <v>CA</v>
      </c>
      <c r="C75" s="35">
        <f>SUM(Apr!C75, May!C75, Jun!C75)</f>
        <v>0</v>
      </c>
      <c r="D75" s="36">
        <f>SUM(Apr!D75, May!D75, Jun!D75)</f>
        <v>0</v>
      </c>
      <c r="E75" s="36">
        <f t="shared" si="6"/>
        <v>0</v>
      </c>
      <c r="F75" s="71" t="str">
        <f t="shared" si="7"/>
        <v/>
      </c>
      <c r="G75" s="72">
        <f>SUM(Apr!G75,May!G75,Jun!G75)</f>
        <v>0</v>
      </c>
      <c r="H75" s="72">
        <f>SUM(Apr!H75, May!H75, Jun!H75)</f>
        <v>0</v>
      </c>
      <c r="I75" s="71" t="str">
        <f t="shared" si="8"/>
        <v/>
      </c>
    </row>
    <row r="76" spans="1:9" ht="15.6">
      <c r="A76" s="47" t="str">
        <v>TX: Barnhart - 42917 Ranch RD 2469</v>
      </c>
      <c r="B76" s="27" t="str">
        <v>TX</v>
      </c>
      <c r="C76" s="28">
        <f>SUM(Apr!C76, May!C76, Jun!C76)</f>
        <v>0</v>
      </c>
      <c r="D76" s="29">
        <f>SUM(Apr!D76, May!D76, Jun!D76)</f>
        <v>0</v>
      </c>
      <c r="E76" s="29">
        <f t="shared" ref="E76:E85" si="9">IF(AND(ISNUMBER(C76),ISNUMBER(D76)), C76-D76, "")</f>
        <v>0</v>
      </c>
      <c r="F76" s="30" t="str">
        <f t="shared" ref="F76:F85" si="10">IFERROR(E76/D76, "")</f>
        <v/>
      </c>
      <c r="G76" s="31">
        <f>SUM(Apr!G76,May!G76,Jun!G76)</f>
        <v>0</v>
      </c>
      <c r="H76" s="31">
        <f>SUM(Apr!H76, May!H76, Jun!H76)</f>
        <v>0</v>
      </c>
      <c r="I76" s="32" t="str">
        <f t="shared" ref="I76:I85" si="11">IFERROR(H76/G76, "")</f>
        <v/>
      </c>
    </row>
    <row r="77" spans="1:9" ht="15.6">
      <c r="A77" s="48" t="str">
        <v>AZ: San Manuel - Senior &amp; Junior HS</v>
      </c>
      <c r="B77" s="34" t="str">
        <v>AZ</v>
      </c>
      <c r="C77" s="35">
        <f>SUM(Apr!C77, May!C77, Jun!C77)</f>
        <v>0</v>
      </c>
      <c r="D77" s="36">
        <f>SUM(Apr!D77, May!D77, Jun!D77)</f>
        <v>0</v>
      </c>
      <c r="E77" s="36">
        <f t="shared" si="9"/>
        <v>0</v>
      </c>
      <c r="F77" s="71" t="str">
        <f t="shared" si="10"/>
        <v/>
      </c>
      <c r="G77" s="72">
        <f>SUM(Apr!G77,May!G77,Jun!G77)</f>
        <v>0</v>
      </c>
      <c r="H77" s="72">
        <f>SUM(Apr!H77, May!H77, Jun!H77)</f>
        <v>0</v>
      </c>
      <c r="I77" s="71" t="str">
        <f t="shared" si="11"/>
        <v/>
      </c>
    </row>
    <row r="78" spans="1:9" ht="15.6">
      <c r="A78" s="47" t="str">
        <v>AZ: Sierra Vista - Colonel Smith MS</v>
      </c>
      <c r="B78" s="27" t="str">
        <v>AZ</v>
      </c>
      <c r="C78" s="28">
        <f>SUM(Apr!C78, May!C78, Jun!C78)</f>
        <v>0</v>
      </c>
      <c r="D78" s="29">
        <f>SUM(Apr!D78, May!D78, Jun!D78)</f>
        <v>0</v>
      </c>
      <c r="E78" s="29">
        <f t="shared" si="9"/>
        <v>0</v>
      </c>
      <c r="F78" s="30" t="str">
        <f t="shared" si="10"/>
        <v/>
      </c>
      <c r="G78" s="31">
        <f>SUM(Apr!G78,May!G78,Jun!G78)</f>
        <v>0</v>
      </c>
      <c r="H78" s="31">
        <f>SUM(Apr!H78, May!H78, Jun!H78)</f>
        <v>0</v>
      </c>
      <c r="I78" s="32" t="str">
        <f t="shared" si="11"/>
        <v/>
      </c>
    </row>
    <row r="79" spans="1:9" ht="15.6">
      <c r="A79" s="48" t="str">
        <v>AZ: Sierra Vista - Colonel Johnston ES</v>
      </c>
      <c r="B79" s="34" t="str">
        <v>AZ</v>
      </c>
      <c r="C79" s="35">
        <f>SUM(Apr!C79, May!C79, Jun!C79)</f>
        <v>0</v>
      </c>
      <c r="D79" s="36">
        <f>SUM(Apr!D79, May!D79, Jun!D79)</f>
        <v>0</v>
      </c>
      <c r="E79" s="36">
        <f t="shared" si="9"/>
        <v>0</v>
      </c>
      <c r="F79" s="71" t="str">
        <f t="shared" si="10"/>
        <v/>
      </c>
      <c r="G79" s="72">
        <f>SUM(Apr!G79,May!G79,Jun!G79)</f>
        <v>0</v>
      </c>
      <c r="H79" s="72">
        <f>SUM(Apr!H79, May!H79, Jun!H79)</f>
        <v>0</v>
      </c>
      <c r="I79" s="71" t="str">
        <f t="shared" si="11"/>
        <v/>
      </c>
    </row>
    <row r="80" spans="1:9" ht="15.6">
      <c r="A80" s="47" t="str">
        <v>NH: Dover - Dover HS</v>
      </c>
      <c r="B80" s="27" t="str">
        <v>NH</v>
      </c>
      <c r="C80" s="28">
        <f>SUM(Apr!C80, May!C80, Jun!C80)</f>
        <v>0</v>
      </c>
      <c r="D80" s="29">
        <f>SUM(Apr!D80, May!D80, Jun!D80)</f>
        <v>0</v>
      </c>
      <c r="E80" s="29">
        <f t="shared" si="9"/>
        <v>0</v>
      </c>
      <c r="F80" s="30" t="str">
        <f t="shared" si="10"/>
        <v/>
      </c>
      <c r="G80" s="31">
        <f>SUM(Apr!G80,May!G80,Jun!G80)</f>
        <v>0</v>
      </c>
      <c r="H80" s="31">
        <f>SUM(Apr!H80, May!H80, Jun!H80)</f>
        <v>0</v>
      </c>
      <c r="I80" s="32" t="str">
        <f t="shared" si="11"/>
        <v/>
      </c>
    </row>
    <row r="81" spans="1:9" ht="15.6">
      <c r="A81" s="48" t="str">
        <v>MA: Somerville - 30 Inner Belt Rd</v>
      </c>
      <c r="B81" s="34" t="str">
        <v>MA</v>
      </c>
      <c r="C81" s="35">
        <f>SUM(Apr!C81, May!C81, Jun!C81)</f>
        <v>0</v>
      </c>
      <c r="D81" s="36">
        <f>SUM(Apr!D81, May!D81, Jun!D81)</f>
        <v>0</v>
      </c>
      <c r="E81" s="36">
        <f t="shared" si="9"/>
        <v>0</v>
      </c>
      <c r="F81" s="71" t="str">
        <f t="shared" si="10"/>
        <v/>
      </c>
      <c r="G81" s="72">
        <f>SUM(Apr!G81,May!G81,Jun!G81)</f>
        <v>0</v>
      </c>
      <c r="H81" s="72">
        <f>SUM(Apr!H81, May!H81, Jun!H81)</f>
        <v>0</v>
      </c>
      <c r="I81" s="71" t="str">
        <f t="shared" si="11"/>
        <v/>
      </c>
    </row>
    <row r="82" spans="1:9" ht="15.6">
      <c r="A82" s="47" t="str">
        <v>MA: Boxborough - 1414 Massachusetts Ave</v>
      </c>
      <c r="B82" s="27" t="str">
        <v>MA</v>
      </c>
      <c r="C82" s="28">
        <f>SUM(Apr!C82, May!C82, Jun!C82)</f>
        <v>0</v>
      </c>
      <c r="D82" s="29">
        <f>SUM(Apr!D82, May!D82, Jun!D82)</f>
        <v>0</v>
      </c>
      <c r="E82" s="29">
        <f t="shared" si="9"/>
        <v>0</v>
      </c>
      <c r="F82" s="30" t="str">
        <f t="shared" si="10"/>
        <v/>
      </c>
      <c r="G82" s="31">
        <f>SUM(Apr!G82,May!G82,Jun!G82)</f>
        <v>0</v>
      </c>
      <c r="H82" s="31">
        <f>SUM(Apr!H82, May!H82, Jun!H82)</f>
        <v>0</v>
      </c>
      <c r="I82" s="32" t="str">
        <f t="shared" si="11"/>
        <v/>
      </c>
    </row>
    <row r="83" spans="1:9" ht="15.6">
      <c r="A83" s="48" t="str">
        <v>NY: Amsterdam - 153 NY Route 67</v>
      </c>
      <c r="B83" s="34" t="str">
        <v>NY</v>
      </c>
      <c r="C83" s="35">
        <f>SUM(Apr!C83, May!C83, Jun!C83)</f>
        <v>0</v>
      </c>
      <c r="D83" s="36">
        <f>SUM(Apr!D83, May!D83, Jun!D83)</f>
        <v>0</v>
      </c>
      <c r="E83" s="36">
        <f t="shared" si="9"/>
        <v>0</v>
      </c>
      <c r="F83" s="71" t="str">
        <f t="shared" si="10"/>
        <v/>
      </c>
      <c r="G83" s="72">
        <f>SUM(Apr!G83,May!G83,Jun!G83)</f>
        <v>0</v>
      </c>
      <c r="H83" s="72">
        <f>SUM(Apr!H83, May!H83, Jun!H83)</f>
        <v>0</v>
      </c>
      <c r="I83" s="71" t="str">
        <f t="shared" si="11"/>
        <v/>
      </c>
    </row>
    <row r="84" spans="1:9" ht="15.6">
      <c r="A84" s="47" t="str">
        <v>CA: San Jose - GE Mobile Water</v>
      </c>
      <c r="B84" s="27" t="str">
        <v>CA</v>
      </c>
      <c r="C84" s="28">
        <f>SUM(Apr!C84, May!C84, Jun!C84)</f>
        <v>0</v>
      </c>
      <c r="D84" s="29">
        <f>SUM(Apr!D84, May!D84, Jun!D84)</f>
        <v>0</v>
      </c>
      <c r="E84" s="29">
        <f t="shared" si="9"/>
        <v>0</v>
      </c>
      <c r="F84" s="30" t="str">
        <f t="shared" si="10"/>
        <v/>
      </c>
      <c r="G84" s="31">
        <f>SUM(Apr!G84,May!G84,Jun!G84)</f>
        <v>0</v>
      </c>
      <c r="H84" s="31">
        <f>SUM(Apr!H84, May!H84, Jun!H84)</f>
        <v>0</v>
      </c>
      <c r="I84" s="32" t="str">
        <f t="shared" si="11"/>
        <v/>
      </c>
    </row>
    <row r="85" spans="1:9" ht="15.6">
      <c r="A85" s="48" t="str">
        <v>NY: Rome - 7776 Tannery RD</v>
      </c>
      <c r="B85" s="34" t="str">
        <v>NY</v>
      </c>
      <c r="C85" s="35">
        <f>SUM(Apr!C85, May!C85, Jun!C85)</f>
        <v>0</v>
      </c>
      <c r="D85" s="36">
        <f>SUM(Apr!D85, May!D85, Jun!D85)</f>
        <v>0</v>
      </c>
      <c r="E85" s="36">
        <f t="shared" si="9"/>
        <v>0</v>
      </c>
      <c r="F85" s="71" t="str">
        <f t="shared" si="10"/>
        <v/>
      </c>
      <c r="G85" s="72">
        <f>SUM(Apr!G85,May!G85,Jun!G85)</f>
        <v>0</v>
      </c>
      <c r="H85" s="72">
        <f>SUM(Apr!H85, May!H85, Jun!H85)</f>
        <v>0</v>
      </c>
      <c r="I85" s="71" t="str">
        <f t="shared" si="11"/>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85 I4:I85">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52" activePane="bottomRight" state="frozen"/>
      <selection pane="bottomRight" activeCell="K57" sqref="K5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2" t="str" cm="1">
        <f t="array" ref="A1">portfolio</f>
        <v>Clean Capital</v>
      </c>
      <c r="B1" s="122"/>
      <c r="C1" s="122"/>
      <c r="D1" s="123" t="s">
        <v>15</v>
      </c>
      <c r="E1" s="123"/>
      <c r="F1" s="123"/>
      <c r="G1" s="121" t="s">
        <v>16</v>
      </c>
      <c r="H1" s="121"/>
      <c r="I1" s="121"/>
    </row>
    <row r="2" spans="1:9" ht="19.5" customHeight="1">
      <c r="A2" s="124" t="s">
        <v>2</v>
      </c>
      <c r="B2" s="124"/>
      <c r="C2" s="5">
        <f>SUM(C4:C179)</f>
        <v>0</v>
      </c>
      <c r="D2" s="5">
        <f>SUM(D4:D179)</f>
        <v>0</v>
      </c>
      <c r="E2" s="5">
        <f>C2-D2</f>
        <v>0</v>
      </c>
      <c r="F2" s="6">
        <f>IFERROR(E2/D2, 0)</f>
        <v>0</v>
      </c>
      <c r="G2" s="5">
        <f>SUM(G4:G179)</f>
        <v>0</v>
      </c>
      <c r="H2" s="7">
        <f>C2-G2</f>
        <v>0</v>
      </c>
      <c r="I2" s="6">
        <f>IFERROR(H2/G2, 0)</f>
        <v>0</v>
      </c>
    </row>
    <row r="3" spans="1:9" ht="14.25" customHeight="1">
      <c r="A3" s="12" t="s">
        <v>4</v>
      </c>
      <c r="B3" s="12" t="s">
        <v>5</v>
      </c>
      <c r="C3" s="19" t="s">
        <v>6</v>
      </c>
      <c r="D3" s="20" t="s">
        <v>7</v>
      </c>
      <c r="E3" s="20" t="s">
        <v>8</v>
      </c>
      <c r="F3" s="21" t="s">
        <v>9</v>
      </c>
      <c r="G3" s="22" t="s">
        <v>10</v>
      </c>
      <c r="H3" s="23" t="s">
        <v>8</v>
      </c>
      <c r="I3" s="24" t="s">
        <v>9</v>
      </c>
    </row>
    <row r="4" spans="1:9" ht="15.6">
      <c r="A4" s="47" t="str" cm="1">
        <f t="array" ref="A4:A85">Sites[Site]</f>
        <v>Lexington - Cotting School</v>
      </c>
      <c r="B4" s="27" t="str" cm="1">
        <f t="array" ref="B4:B85">Sites[State]</f>
        <v>MA</v>
      </c>
      <c r="C4" s="28">
        <f>SUM(Jul!C4, Aug!C4, Sep!C4)</f>
        <v>0</v>
      </c>
      <c r="D4" s="29">
        <f>SUM(Jul!D4, Aug!D4, Sep!D4)</f>
        <v>0</v>
      </c>
      <c r="E4" s="29">
        <f>IF(AND(ISNUMBER(C4),ISNUMBER(D4)), C4-D4, "")</f>
        <v>0</v>
      </c>
      <c r="F4" s="30" t="str">
        <f>IFERROR(E4/D4, "")</f>
        <v/>
      </c>
      <c r="G4" s="31">
        <f>SUM(Jul!G4,Aug!G4,Sep!G4)</f>
        <v>0</v>
      </c>
      <c r="H4" s="31">
        <f>SUM(Jul!H4, Aug!H4, Sep!H4)</f>
        <v>0</v>
      </c>
      <c r="I4" s="32" t="str">
        <f>IFERROR(H4/G4, "")</f>
        <v/>
      </c>
    </row>
    <row r="5" spans="1:9" ht="15.6">
      <c r="A5" s="48" t="str">
        <v>Pacoima - Whiteman Airport</v>
      </c>
      <c r="B5" s="34" t="str">
        <v>CA</v>
      </c>
      <c r="C5" s="35">
        <f>SUM(Jul!C5, Aug!C5, Sep!C5)</f>
        <v>0</v>
      </c>
      <c r="D5" s="36">
        <f>SUM(Jul!D5, Aug!D5, Sep!D5)</f>
        <v>0</v>
      </c>
      <c r="E5" s="36">
        <f t="shared" ref="E5:E7" si="0">IF(AND(ISNUMBER(C5),ISNUMBER(D5)), C5-D5, "")</f>
        <v>0</v>
      </c>
      <c r="F5" s="37" t="str">
        <f>IFERROR(E5/D5, "")</f>
        <v/>
      </c>
      <c r="G5" s="38">
        <f>SUM(Jul!G5,Aug!G5,Sep!G5)</f>
        <v>0</v>
      </c>
      <c r="H5" s="38">
        <f>SUM(Jul!H5, Aug!H5, Sep!H5)</f>
        <v>0</v>
      </c>
      <c r="I5" s="37" t="str">
        <f>IFERROR(H5/G5, "")</f>
        <v/>
      </c>
    </row>
    <row r="6" spans="1:9" ht="15.6">
      <c r="A6" s="47" t="str">
        <v>Hyannis - Sturgis Charter School</v>
      </c>
      <c r="B6" s="27" t="str">
        <v>MA</v>
      </c>
      <c r="C6" s="28">
        <f>SUM(Jul!C6, Aug!C6, Sep!C6)</f>
        <v>0</v>
      </c>
      <c r="D6" s="29">
        <f>SUM(Jul!D6, Aug!D6, Sep!D6)</f>
        <v>0</v>
      </c>
      <c r="E6" s="29">
        <f t="shared" si="0"/>
        <v>0</v>
      </c>
      <c r="F6" s="30" t="str">
        <f t="shared" ref="F6:F7" si="1">IFERROR(E6/D6, "")</f>
        <v/>
      </c>
      <c r="G6" s="31">
        <f>SUM(Jul!G6,Aug!G6,Sep!G6)</f>
        <v>0</v>
      </c>
      <c r="H6" s="31">
        <f>SUM(Jul!H6, Aug!H6, Sep!H6)</f>
        <v>0</v>
      </c>
      <c r="I6" s="32" t="str">
        <f t="shared" ref="I6:I7" si="2">IFERROR(H6/G6, "")</f>
        <v/>
      </c>
    </row>
    <row r="7" spans="1:9" ht="15.6">
      <c r="A7" s="48" t="str">
        <v>South Dennis - Tony Kent Arena</v>
      </c>
      <c r="B7" s="34" t="str">
        <v>MA</v>
      </c>
      <c r="C7" s="35">
        <f>SUM(Jul!C7, Aug!C7, Sep!C7)</f>
        <v>0</v>
      </c>
      <c r="D7" s="36">
        <f>SUM(Jul!D7, Aug!D7, Sep!D7)</f>
        <v>0</v>
      </c>
      <c r="E7" s="36">
        <f t="shared" si="0"/>
        <v>0</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0</v>
      </c>
      <c r="D8" s="29">
        <f>SUM(Jul!D8, Aug!D8, Sep!D8)</f>
        <v>0</v>
      </c>
      <c r="E8" s="29">
        <f t="shared" ref="E8:E46" si="3">IF(AND(ISNUMBER(C8),ISNUMBER(D8)), C8-D8, "")</f>
        <v>0</v>
      </c>
      <c r="F8" s="30" t="str">
        <f t="shared" ref="F8:F46" si="4">IFERROR(E8/D8, "")</f>
        <v/>
      </c>
      <c r="G8" s="31">
        <f>SUM(Jul!G8,Aug!G8,Sep!G8)</f>
        <v>0</v>
      </c>
      <c r="H8" s="31">
        <f>SUM(Jul!H8, Aug!H8, Sep!H8)</f>
        <v>0</v>
      </c>
      <c r="I8" s="32" t="str">
        <f t="shared" ref="I8:I46" si="5">IFERROR(H8/G8, "")</f>
        <v/>
      </c>
    </row>
    <row r="9" spans="1:9" ht="15.6">
      <c r="A9" s="48" t="str">
        <v>Clear Lake - Eastlake Gohman</v>
      </c>
      <c r="B9" s="34" t="str">
        <v>MN</v>
      </c>
      <c r="C9" s="35">
        <f>SUM(Jul!C9, Aug!C9, Sep!C9)</f>
        <v>0</v>
      </c>
      <c r="D9" s="36">
        <f>SUM(Jul!D9, Aug!D9, Sep!D9)</f>
        <v>0</v>
      </c>
      <c r="E9" s="36">
        <f t="shared" si="3"/>
        <v>0</v>
      </c>
      <c r="F9" s="71" t="str">
        <f t="shared" si="4"/>
        <v/>
      </c>
      <c r="G9" s="72">
        <f>SUM(Jul!G9,Aug!G9,Sep!G9)</f>
        <v>0</v>
      </c>
      <c r="H9" s="72">
        <f>SUM(Jul!H9, Aug!H9, Sep!H9)</f>
        <v>0</v>
      </c>
      <c r="I9" s="71" t="str">
        <f t="shared" si="5"/>
        <v/>
      </c>
    </row>
    <row r="10" spans="1:9" ht="15.6">
      <c r="A10" s="47" t="str">
        <v>Zumbrota - Eastlake Brenda Luhman</v>
      </c>
      <c r="B10" s="27" t="str">
        <v>MN</v>
      </c>
      <c r="C10" s="28">
        <f>SUM(Jul!C10, Aug!C10, Sep!C10)</f>
        <v>0</v>
      </c>
      <c r="D10" s="29">
        <f>SUM(Jul!D10, Aug!D10, Sep!D10)</f>
        <v>0</v>
      </c>
      <c r="E10" s="29">
        <f t="shared" si="3"/>
        <v>0</v>
      </c>
      <c r="F10" s="30" t="str">
        <f t="shared" si="4"/>
        <v/>
      </c>
      <c r="G10" s="31">
        <f>SUM(Jul!G10,Aug!G10,Sep!G10)</f>
        <v>0</v>
      </c>
      <c r="H10" s="31">
        <f>SUM(Jul!H10, Aug!H10, Sep!H10)</f>
        <v>0</v>
      </c>
      <c r="I10" s="32" t="str">
        <f t="shared" si="5"/>
        <v/>
      </c>
    </row>
    <row r="11" spans="1:9" ht="15.6">
      <c r="A11" s="48" t="str">
        <v>Cokato - Eastlake Carlson</v>
      </c>
      <c r="B11" s="34" t="str">
        <v>MN</v>
      </c>
      <c r="C11" s="35">
        <f>SUM(Jul!C11, Aug!C11, Sep!C11)</f>
        <v>0</v>
      </c>
      <c r="D11" s="36">
        <f>SUM(Jul!D11, Aug!D11, Sep!D11)</f>
        <v>0</v>
      </c>
      <c r="E11" s="36">
        <f t="shared" si="3"/>
        <v>0</v>
      </c>
      <c r="F11" s="71" t="str">
        <f t="shared" si="4"/>
        <v/>
      </c>
      <c r="G11" s="72">
        <f>SUM(Jul!G11,Aug!G11,Sep!G11)</f>
        <v>0</v>
      </c>
      <c r="H11" s="72">
        <f>SUM(Jul!H11, Aug!H11, Sep!H11)</f>
        <v>0</v>
      </c>
      <c r="I11" s="71" t="str">
        <f t="shared" si="5"/>
        <v/>
      </c>
    </row>
    <row r="12" spans="1:9" ht="15.6">
      <c r="A12" s="47" t="str">
        <v>North Branch - Cornille 2</v>
      </c>
      <c r="B12" s="27" t="str">
        <v>MN</v>
      </c>
      <c r="C12" s="28">
        <f>SUM(Jul!C12, Aug!C12, Sep!C12)</f>
        <v>0</v>
      </c>
      <c r="D12" s="29">
        <f>SUM(Jul!D12, Aug!D12, Sep!D12)</f>
        <v>0</v>
      </c>
      <c r="E12" s="29">
        <f t="shared" si="3"/>
        <v>0</v>
      </c>
      <c r="F12" s="30" t="str">
        <f t="shared" si="4"/>
        <v/>
      </c>
      <c r="G12" s="31">
        <f>SUM(Jul!G12,Aug!G12,Sep!G12)</f>
        <v>0</v>
      </c>
      <c r="H12" s="31">
        <f>SUM(Jul!H12, Aug!H12, Sep!H12)</f>
        <v>0</v>
      </c>
      <c r="I12" s="32" t="str">
        <f t="shared" si="5"/>
        <v/>
      </c>
    </row>
    <row r="13" spans="1:9" ht="15.6">
      <c r="A13" s="48" t="str">
        <v>Clear Lake - Eastlake Hammer</v>
      </c>
      <c r="B13" s="34" t="str">
        <v>MN</v>
      </c>
      <c r="C13" s="35">
        <f>SUM(Jul!C13, Aug!C13, Sep!C13)</f>
        <v>0</v>
      </c>
      <c r="D13" s="36">
        <f>SUM(Jul!D13, Aug!D13, Sep!D13)</f>
        <v>0</v>
      </c>
      <c r="E13" s="36">
        <f t="shared" si="3"/>
        <v>0</v>
      </c>
      <c r="F13" s="71" t="str">
        <f t="shared" si="4"/>
        <v/>
      </c>
      <c r="G13" s="72">
        <f>SUM(Jul!G13,Aug!G13,Sep!G13)</f>
        <v>0</v>
      </c>
      <c r="H13" s="72">
        <f>SUM(Jul!H13, Aug!H13, Sep!H13)</f>
        <v>0</v>
      </c>
      <c r="I13" s="71" t="str">
        <f t="shared" si="5"/>
        <v/>
      </c>
    </row>
    <row r="14" spans="1:9" ht="15.6">
      <c r="A14" s="47" t="str">
        <v>Eastlake - Hertzberg CSG 1</v>
      </c>
      <c r="B14" s="27" t="str">
        <v>MN</v>
      </c>
      <c r="C14" s="28">
        <f>SUM(Jul!C14, Aug!C14, Sep!C14)</f>
        <v>0</v>
      </c>
      <c r="D14" s="29">
        <f>SUM(Jul!D14, Aug!D14, Sep!D14)</f>
        <v>0</v>
      </c>
      <c r="E14" s="29">
        <f t="shared" si="3"/>
        <v>0</v>
      </c>
      <c r="F14" s="30" t="str">
        <f t="shared" si="4"/>
        <v/>
      </c>
      <c r="G14" s="31">
        <f>SUM(Jul!G14,Aug!G14,Sep!G14)</f>
        <v>0</v>
      </c>
      <c r="H14" s="31">
        <f>SUM(Jul!H14, Aug!H14, Sep!H14)</f>
        <v>0</v>
      </c>
      <c r="I14" s="32" t="str">
        <f t="shared" si="5"/>
        <v/>
      </c>
    </row>
    <row r="15" spans="1:9" ht="15.6">
      <c r="A15" s="48" t="str">
        <v>Cokato - Eastlake Laurel Village</v>
      </c>
      <c r="B15" s="34" t="str">
        <v>MN</v>
      </c>
      <c r="C15" s="35">
        <f>SUM(Jul!C15, Aug!C15, Sep!C15)</f>
        <v>0</v>
      </c>
      <c r="D15" s="36">
        <f>SUM(Jul!D15, Aug!D15, Sep!D15)</f>
        <v>0</v>
      </c>
      <c r="E15" s="36">
        <f t="shared" si="3"/>
        <v>0</v>
      </c>
      <c r="F15" s="71" t="str">
        <f t="shared" si="4"/>
        <v/>
      </c>
      <c r="G15" s="72">
        <f>SUM(Jul!G15,Aug!G15,Sep!G15)</f>
        <v>0</v>
      </c>
      <c r="H15" s="72">
        <f>SUM(Jul!H15, Aug!H15, Sep!H15)</f>
        <v>0</v>
      </c>
      <c r="I15" s="71" t="str">
        <f t="shared" si="5"/>
        <v/>
      </c>
    </row>
    <row r="16" spans="1:9" ht="15.6">
      <c r="A16" s="47" t="str">
        <v>St. Peter - Eastlake Paulson</v>
      </c>
      <c r="B16" s="27" t="str">
        <v>MN</v>
      </c>
      <c r="C16" s="28">
        <f>SUM(Jul!C16, Aug!C16, Sep!C16)</f>
        <v>0</v>
      </c>
      <c r="D16" s="29">
        <f>SUM(Jul!D16, Aug!D16, Sep!D16)</f>
        <v>0</v>
      </c>
      <c r="E16" s="29">
        <f t="shared" si="3"/>
        <v>0</v>
      </c>
      <c r="F16" s="30" t="str">
        <f t="shared" si="4"/>
        <v/>
      </c>
      <c r="G16" s="31">
        <f>SUM(Jul!G16,Aug!G16,Sep!G16)</f>
        <v>0</v>
      </c>
      <c r="H16" s="31">
        <f>SUM(Jul!H16, Aug!H16, Sep!H16)</f>
        <v>0</v>
      </c>
      <c r="I16" s="32" t="str">
        <f t="shared" si="5"/>
        <v/>
      </c>
    </row>
    <row r="17" spans="1:9" ht="15.6">
      <c r="A17" s="48" t="str">
        <v>Felician Sisters Convent</v>
      </c>
      <c r="B17" s="34" t="str">
        <v>NJ</v>
      </c>
      <c r="C17" s="35">
        <f>SUM(Jul!C17, Aug!C17, Sep!C17)</f>
        <v>0</v>
      </c>
      <c r="D17" s="36">
        <f>SUM(Jul!D17, Aug!D17, Sep!D17)</f>
        <v>0</v>
      </c>
      <c r="E17" s="36">
        <f t="shared" si="3"/>
        <v>0</v>
      </c>
      <c r="F17" s="71" t="str">
        <f t="shared" si="4"/>
        <v/>
      </c>
      <c r="G17" s="72">
        <f>SUM(Jul!G17,Aug!G17,Sep!G17)</f>
        <v>0</v>
      </c>
      <c r="H17" s="72">
        <f>SUM(Jul!H17, Aug!H17, Sep!H17)</f>
        <v>0</v>
      </c>
      <c r="I17" s="71" t="str">
        <f t="shared" si="5"/>
        <v/>
      </c>
    </row>
    <row r="18" spans="1:9" ht="15.6">
      <c r="A18" s="47" t="str">
        <v>Sussex County Fairgrounds</v>
      </c>
      <c r="B18" s="27" t="str">
        <v>NJ</v>
      </c>
      <c r="C18" s="28">
        <f>SUM(Jul!C18, Aug!C18, Sep!C18)</f>
        <v>0</v>
      </c>
      <c r="D18" s="29">
        <f>SUM(Jul!D18, Aug!D18, Sep!D18)</f>
        <v>0</v>
      </c>
      <c r="E18" s="29">
        <f t="shared" si="3"/>
        <v>0</v>
      </c>
      <c r="F18" s="30" t="str">
        <f t="shared" si="4"/>
        <v/>
      </c>
      <c r="G18" s="31">
        <f>SUM(Jul!G18,Aug!G18,Sep!G18)</f>
        <v>0</v>
      </c>
      <c r="H18" s="31">
        <f>SUM(Jul!H18, Aug!H18, Sep!H18)</f>
        <v>0</v>
      </c>
      <c r="I18" s="32" t="str">
        <f t="shared" si="5"/>
        <v/>
      </c>
    </row>
    <row r="19" spans="1:9" ht="15.6">
      <c r="A19" s="48" t="str">
        <v>Gateway Church</v>
      </c>
      <c r="B19" s="34" t="str">
        <v>NJ</v>
      </c>
      <c r="C19" s="35">
        <f>SUM(Jul!C19, Aug!C19, Sep!C19)</f>
        <v>0</v>
      </c>
      <c r="D19" s="36">
        <f>SUM(Jul!D19, Aug!D19, Sep!D19)</f>
        <v>0</v>
      </c>
      <c r="E19" s="36">
        <f t="shared" si="3"/>
        <v>0</v>
      </c>
      <c r="F19" s="71" t="str">
        <f t="shared" si="4"/>
        <v/>
      </c>
      <c r="G19" s="72">
        <f>SUM(Jul!G19,Aug!G19,Sep!G19)</f>
        <v>0</v>
      </c>
      <c r="H19" s="72">
        <f>SUM(Jul!H19, Aug!H19, Sep!H19)</f>
        <v>0</v>
      </c>
      <c r="I19" s="71" t="str">
        <f t="shared" si="5"/>
        <v/>
      </c>
    </row>
    <row r="20" spans="1:9" ht="15.6">
      <c r="A20" s="47" t="str">
        <v>Beaver Falls - Felician Sisters</v>
      </c>
      <c r="B20" s="27" t="str">
        <v>PA</v>
      </c>
      <c r="C20" s="28">
        <f>SUM(Jul!C20, Aug!C20, Sep!C20)</f>
        <v>0</v>
      </c>
      <c r="D20" s="29">
        <f>SUM(Jul!D20, Aug!D20, Sep!D20)</f>
        <v>0</v>
      </c>
      <c r="E20" s="29">
        <f t="shared" si="3"/>
        <v>0</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0</v>
      </c>
      <c r="D21" s="36">
        <f>SUM(Jul!D21, Aug!D21, Sep!D21)</f>
        <v>0</v>
      </c>
      <c r="E21" s="36">
        <f t="shared" si="3"/>
        <v>0</v>
      </c>
      <c r="F21" s="71" t="str">
        <f t="shared" si="4"/>
        <v/>
      </c>
      <c r="G21" s="72">
        <f>SUM(Jul!G21,Aug!G21,Sep!G21)</f>
        <v>0</v>
      </c>
      <c r="H21" s="72">
        <f>SUM(Jul!H21, Aug!H21, Sep!H21)</f>
        <v>0</v>
      </c>
      <c r="I21" s="71" t="str">
        <f t="shared" si="5"/>
        <v/>
      </c>
    </row>
    <row r="22" spans="1:9" ht="15.6">
      <c r="A22" s="47" t="str">
        <v>Livonia - Felician Sisters Roof</v>
      </c>
      <c r="B22" s="27" t="str">
        <v>MI</v>
      </c>
      <c r="C22" s="28">
        <f>SUM(Jul!C22, Aug!C22, Sep!C22)</f>
        <v>0</v>
      </c>
      <c r="D22" s="29">
        <f>SUM(Jul!D22, Aug!D22, Sep!D22)</f>
        <v>0</v>
      </c>
      <c r="E22" s="29">
        <f t="shared" si="3"/>
        <v>0</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0</v>
      </c>
      <c r="D23" s="36">
        <f>SUM(Jul!D23, Aug!D23, Sep!D23)</f>
        <v>0</v>
      </c>
      <c r="E23" s="36">
        <f t="shared" si="3"/>
        <v>0</v>
      </c>
      <c r="F23" s="71" t="str">
        <f t="shared" si="4"/>
        <v/>
      </c>
      <c r="G23" s="72">
        <f>SUM(Jul!G23,Aug!G23,Sep!G23)</f>
        <v>0</v>
      </c>
      <c r="H23" s="72">
        <f>SUM(Jul!H23, Aug!H23, Sep!H23)</f>
        <v>0</v>
      </c>
      <c r="I23" s="71" t="str">
        <f t="shared" si="5"/>
        <v/>
      </c>
    </row>
    <row r="24" spans="1:9" ht="15.6">
      <c r="A24" s="47" t="str">
        <v xml:space="preserve"> Audubon - Senior Citizens United</v>
      </c>
      <c r="B24" s="27" t="str">
        <v>NJ</v>
      </c>
      <c r="C24" s="28">
        <f>SUM(Jul!C24, Aug!C24, Sep!C24)</f>
        <v>0</v>
      </c>
      <c r="D24" s="29">
        <f>SUM(Jul!D24, Aug!D24, Sep!D24)</f>
        <v>0</v>
      </c>
      <c r="E24" s="29">
        <f t="shared" si="3"/>
        <v>0</v>
      </c>
      <c r="F24" s="30" t="str">
        <f t="shared" si="4"/>
        <v/>
      </c>
      <c r="G24" s="31">
        <f>SUM(Jul!G24,Aug!G24,Sep!G24)</f>
        <v>0</v>
      </c>
      <c r="H24" s="31">
        <f>SUM(Jul!H24, Aug!H24, Sep!H24)</f>
        <v>0</v>
      </c>
      <c r="I24" s="32" t="str">
        <f t="shared" si="5"/>
        <v/>
      </c>
    </row>
    <row r="25" spans="1:9" ht="15.6">
      <c r="A25" s="48" t="str">
        <v>Hollister - PG&amp;E (Enerparc)</v>
      </c>
      <c r="B25" s="34" t="str">
        <v>CA</v>
      </c>
      <c r="C25" s="35">
        <f>SUM(Jul!C25, Aug!C25, Sep!C25)</f>
        <v>0</v>
      </c>
      <c r="D25" s="36">
        <f>SUM(Jul!D25, Aug!D25, Sep!D25)</f>
        <v>0</v>
      </c>
      <c r="E25" s="36">
        <f t="shared" si="3"/>
        <v>0</v>
      </c>
      <c r="F25" s="71" t="str">
        <f t="shared" si="4"/>
        <v/>
      </c>
      <c r="G25" s="72">
        <f>SUM(Jul!G25,Aug!G25,Sep!G25)</f>
        <v>0</v>
      </c>
      <c r="H25" s="72">
        <f>SUM(Jul!H25, Aug!H25, Sep!H25)</f>
        <v>0</v>
      </c>
      <c r="I25" s="71" t="str">
        <f t="shared" si="5"/>
        <v/>
      </c>
    </row>
    <row r="26" spans="1:9" ht="15.6">
      <c r="A26" s="47" t="str">
        <v>Taos County - Kit Carson Electric Co-Op</v>
      </c>
      <c r="B26" s="27" t="str">
        <v>NM</v>
      </c>
      <c r="C26" s="28">
        <f>SUM(Jul!C26, Aug!C26, Sep!C26)</f>
        <v>0</v>
      </c>
      <c r="D26" s="29">
        <f>SUM(Jul!D26, Aug!D26, Sep!D26)</f>
        <v>0</v>
      </c>
      <c r="E26" s="29">
        <f t="shared" si="3"/>
        <v>0</v>
      </c>
      <c r="F26" s="30" t="str">
        <f t="shared" si="4"/>
        <v/>
      </c>
      <c r="G26" s="31">
        <f>SUM(Jul!G26,Aug!G26,Sep!G26)</f>
        <v>0</v>
      </c>
      <c r="H26" s="31">
        <f>SUM(Jul!H26, Aug!H26, Sep!H26)</f>
        <v>0</v>
      </c>
      <c r="I26" s="32" t="str">
        <f t="shared" si="5"/>
        <v/>
      </c>
    </row>
    <row r="27" spans="1:9" ht="15.6">
      <c r="A27" s="48" t="str">
        <v>Commerce City - Adams City HS</v>
      </c>
      <c r="B27" s="34" t="str">
        <v>CO</v>
      </c>
      <c r="C27" s="35">
        <f>SUM(Jul!C27, Aug!C27, Sep!C27)</f>
        <v>0</v>
      </c>
      <c r="D27" s="36">
        <f>SUM(Jul!D27, Aug!D27, Sep!D27)</f>
        <v>0</v>
      </c>
      <c r="E27" s="36">
        <f t="shared" si="3"/>
        <v>0</v>
      </c>
      <c r="F27" s="71" t="str">
        <f t="shared" si="4"/>
        <v/>
      </c>
      <c r="G27" s="72">
        <f>SUM(Jul!G27,Aug!G27,Sep!G27)</f>
        <v>0</v>
      </c>
      <c r="H27" s="72">
        <f>SUM(Jul!H27, Aug!H27, Sep!H27)</f>
        <v>0</v>
      </c>
      <c r="I27" s="71" t="str">
        <f t="shared" si="5"/>
        <v/>
      </c>
    </row>
    <row r="28" spans="1:9" ht="15.6">
      <c r="A28" s="47" t="str">
        <v>Commerce City - Adams City MS</v>
      </c>
      <c r="B28" s="27" t="str">
        <v>CO</v>
      </c>
      <c r="C28" s="28">
        <f>SUM(Jul!C28, Aug!C28, Sep!C28)</f>
        <v>0</v>
      </c>
      <c r="D28" s="29">
        <f>SUM(Jul!D28, Aug!D28, Sep!D28)</f>
        <v>0</v>
      </c>
      <c r="E28" s="29">
        <f t="shared" si="3"/>
        <v>0</v>
      </c>
      <c r="F28" s="30" t="str">
        <f t="shared" si="4"/>
        <v/>
      </c>
      <c r="G28" s="31">
        <f>SUM(Jul!G28,Aug!G28,Sep!G28)</f>
        <v>0</v>
      </c>
      <c r="H28" s="31">
        <f>SUM(Jul!H28, Aug!H28, Sep!H28)</f>
        <v>0</v>
      </c>
      <c r="I28" s="32" t="str">
        <f t="shared" si="5"/>
        <v/>
      </c>
    </row>
    <row r="29" spans="1:9" ht="15.6">
      <c r="A29" s="48" t="str">
        <v>Commerce City - Central ES</v>
      </c>
      <c r="B29" s="34" t="str">
        <v>CO</v>
      </c>
      <c r="C29" s="35">
        <f>SUM(Jul!C29, Aug!C29, Sep!C29)</f>
        <v>0</v>
      </c>
      <c r="D29" s="36">
        <f>SUM(Jul!D29, Aug!D29, Sep!D29)</f>
        <v>0</v>
      </c>
      <c r="E29" s="36">
        <f t="shared" si="3"/>
        <v>0</v>
      </c>
      <c r="F29" s="71" t="str">
        <f t="shared" si="4"/>
        <v/>
      </c>
      <c r="G29" s="72">
        <f>SUM(Jul!G29,Aug!G29,Sep!G29)</f>
        <v>0</v>
      </c>
      <c r="H29" s="72">
        <f>SUM(Jul!H29, Aug!H29, Sep!H29)</f>
        <v>0</v>
      </c>
      <c r="I29" s="71" t="str">
        <f t="shared" si="5"/>
        <v/>
      </c>
    </row>
    <row r="30" spans="1:9" ht="15.6">
      <c r="A30" s="47" t="str">
        <v>Commerce City - Dupont ES</v>
      </c>
      <c r="B30" s="27" t="str">
        <v>CO</v>
      </c>
      <c r="C30" s="28">
        <f>SUM(Jul!C30, Aug!C30, Sep!C30)</f>
        <v>0</v>
      </c>
      <c r="D30" s="29">
        <f>SUM(Jul!D30, Aug!D30, Sep!D30)</f>
        <v>0</v>
      </c>
      <c r="E30" s="29">
        <f t="shared" si="3"/>
        <v>0</v>
      </c>
      <c r="F30" s="30" t="str">
        <f t="shared" si="4"/>
        <v/>
      </c>
      <c r="G30" s="31">
        <f>SUM(Jul!G30,Aug!G30,Sep!G30)</f>
        <v>0</v>
      </c>
      <c r="H30" s="31">
        <f>SUM(Jul!H30, Aug!H30, Sep!H30)</f>
        <v>0</v>
      </c>
      <c r="I30" s="32" t="str">
        <f t="shared" si="5"/>
        <v/>
      </c>
    </row>
    <row r="31" spans="1:9" ht="15.6">
      <c r="A31" s="48" t="str">
        <v>Commerce City - Educational Support Services</v>
      </c>
      <c r="B31" s="34" t="str">
        <v>CO</v>
      </c>
      <c r="C31" s="35">
        <f>SUM(Jul!C31, Aug!C31, Sep!C31)</f>
        <v>0</v>
      </c>
      <c r="D31" s="36">
        <f>SUM(Jul!D31, Aug!D31, Sep!D31)</f>
        <v>0</v>
      </c>
      <c r="E31" s="36">
        <f t="shared" si="3"/>
        <v>0</v>
      </c>
      <c r="F31" s="71" t="str">
        <f t="shared" si="4"/>
        <v/>
      </c>
      <c r="G31" s="72">
        <f>SUM(Jul!G31,Aug!G31,Sep!G31)</f>
        <v>0</v>
      </c>
      <c r="H31" s="72">
        <f>SUM(Jul!H31, Aug!H31, Sep!H31)</f>
        <v>0</v>
      </c>
      <c r="I31" s="71" t="str">
        <f t="shared" si="5"/>
        <v/>
      </c>
    </row>
    <row r="32" spans="1:9" ht="15.6">
      <c r="A32" s="47" t="str">
        <v>Commerce City - Hanson ES</v>
      </c>
      <c r="B32" s="27" t="str">
        <v>CO</v>
      </c>
      <c r="C32" s="28">
        <f>SUM(Jul!C32, Aug!C32, Sep!C32)</f>
        <v>0</v>
      </c>
      <c r="D32" s="29">
        <f>SUM(Jul!D32, Aug!D32, Sep!D32)</f>
        <v>0</v>
      </c>
      <c r="E32" s="29">
        <f t="shared" si="3"/>
        <v>0</v>
      </c>
      <c r="F32" s="30" t="str">
        <f t="shared" si="4"/>
        <v/>
      </c>
      <c r="G32" s="31">
        <f>SUM(Jul!G32,Aug!G32,Sep!G32)</f>
        <v>0</v>
      </c>
      <c r="H32" s="31">
        <f>SUM(Jul!H32, Aug!H32, Sep!H32)</f>
        <v>0</v>
      </c>
      <c r="I32" s="32" t="str">
        <f t="shared" si="5"/>
        <v/>
      </c>
    </row>
    <row r="33" spans="1:9" ht="15.6">
      <c r="A33" s="48" t="str">
        <v>Commerce City - Kemp ES</v>
      </c>
      <c r="B33" s="34" t="str">
        <v>CO</v>
      </c>
      <c r="C33" s="35">
        <f>SUM(Jul!C33, Aug!C33, Sep!C33)</f>
        <v>0</v>
      </c>
      <c r="D33" s="36">
        <f>SUM(Jul!D33, Aug!D33, Sep!D33)</f>
        <v>0</v>
      </c>
      <c r="E33" s="36">
        <f t="shared" si="3"/>
        <v>0</v>
      </c>
      <c r="F33" s="71" t="str">
        <f t="shared" si="4"/>
        <v/>
      </c>
      <c r="G33" s="72">
        <f>SUM(Jul!G33,Aug!G33,Sep!G33)</f>
        <v>0</v>
      </c>
      <c r="H33" s="72">
        <f>SUM(Jul!H33, Aug!H33, Sep!H33)</f>
        <v>0</v>
      </c>
      <c r="I33" s="71" t="str">
        <f t="shared" si="5"/>
        <v/>
      </c>
    </row>
    <row r="34" spans="1:9" ht="15.6">
      <c r="A34" s="47" t="str">
        <v>Commerce City -  Lester Arnold HS</v>
      </c>
      <c r="B34" s="27" t="str">
        <v>CO</v>
      </c>
      <c r="C34" s="28">
        <f>SUM(Jul!C34, Aug!C34, Sep!C34)</f>
        <v>0</v>
      </c>
      <c r="D34" s="29">
        <f>SUM(Jul!D34, Aug!D34, Sep!D34)</f>
        <v>0</v>
      </c>
      <c r="E34" s="29">
        <f t="shared" si="3"/>
        <v>0</v>
      </c>
      <c r="F34" s="30" t="str">
        <f t="shared" si="4"/>
        <v/>
      </c>
      <c r="G34" s="31">
        <f>SUM(Jul!G34,Aug!G34,Sep!G34)</f>
        <v>0</v>
      </c>
      <c r="H34" s="31">
        <f>SUM(Jul!H34, Aug!H34, Sep!H34)</f>
        <v>0</v>
      </c>
      <c r="I34" s="32" t="str">
        <f t="shared" si="5"/>
        <v/>
      </c>
    </row>
    <row r="35" spans="1:9" ht="15.6">
      <c r="A35" s="48" t="str">
        <v>Commerce City - Monaco ES</v>
      </c>
      <c r="B35" s="34" t="str">
        <v>CO</v>
      </c>
      <c r="C35" s="35">
        <f>SUM(Jul!C35, Aug!C35, Sep!C35)</f>
        <v>0</v>
      </c>
      <c r="D35" s="36">
        <f>SUM(Jul!D35, Aug!D35, Sep!D35)</f>
        <v>0</v>
      </c>
      <c r="E35" s="36">
        <f t="shared" si="3"/>
        <v>0</v>
      </c>
      <c r="F35" s="71" t="str">
        <f t="shared" si="4"/>
        <v/>
      </c>
      <c r="G35" s="72">
        <f>SUM(Jul!G35,Aug!G35,Sep!G35)</f>
        <v>0</v>
      </c>
      <c r="H35" s="72">
        <f>SUM(Jul!H35, Aug!H35, Sep!H35)</f>
        <v>0</v>
      </c>
      <c r="I35" s="71" t="str">
        <f t="shared" si="5"/>
        <v/>
      </c>
    </row>
    <row r="36" spans="1:9" ht="15.6">
      <c r="A36" s="47" t="str">
        <v>Denver - Northgate / Old Fort Logan ES</v>
      </c>
      <c r="B36" s="27" t="str">
        <v>CO</v>
      </c>
      <c r="C36" s="28">
        <f>SUM(Jul!C36, Aug!C36, Sep!C36)</f>
        <v>0</v>
      </c>
      <c r="D36" s="29">
        <f>SUM(Jul!D36, Aug!D36, Sep!D36)</f>
        <v>0</v>
      </c>
      <c r="E36" s="29">
        <f t="shared" si="3"/>
        <v>0</v>
      </c>
      <c r="F36" s="30" t="str">
        <f t="shared" si="4"/>
        <v/>
      </c>
      <c r="G36" s="31">
        <f>SUM(Jul!G36,Aug!G36,Sep!G36)</f>
        <v>0</v>
      </c>
      <c r="H36" s="31">
        <f>SUM(Jul!H36, Aug!H36, Sep!H36)</f>
        <v>0</v>
      </c>
      <c r="I36" s="32" t="str">
        <f t="shared" si="5"/>
        <v/>
      </c>
    </row>
    <row r="37" spans="1:9" ht="15.6">
      <c r="A37" s="48" t="str">
        <v>Denver - Sheridan High School</v>
      </c>
      <c r="B37" s="34" t="str">
        <v>CO</v>
      </c>
      <c r="C37" s="35">
        <f>SUM(Jul!C37, Aug!C37, Sep!C37)</f>
        <v>0</v>
      </c>
      <c r="D37" s="36">
        <f>SUM(Jul!D37, Aug!D37, Sep!D37)</f>
        <v>0</v>
      </c>
      <c r="E37" s="36">
        <f t="shared" si="3"/>
        <v>0</v>
      </c>
      <c r="F37" s="71" t="str">
        <f t="shared" si="4"/>
        <v/>
      </c>
      <c r="G37" s="72">
        <f>SUM(Jul!G37,Aug!G37,Sep!G37)</f>
        <v>0</v>
      </c>
      <c r="H37" s="72">
        <f>SUM(Jul!H37, Aug!H37, Sep!H37)</f>
        <v>0</v>
      </c>
      <c r="I37" s="71" t="str">
        <f t="shared" si="5"/>
        <v/>
      </c>
    </row>
    <row r="38" spans="1:9" ht="15.6">
      <c r="A38" s="47" t="str">
        <v>Englewood -  Alice Terry Elementary</v>
      </c>
      <c r="B38" s="27" t="str">
        <v>CO</v>
      </c>
      <c r="C38" s="28">
        <f>SUM(Jul!C38, Aug!C38, Sep!C38)</f>
        <v>0</v>
      </c>
      <c r="D38" s="29">
        <f>SUM(Jul!D38, Aug!D38, Sep!D38)</f>
        <v>0</v>
      </c>
      <c r="E38" s="29">
        <f t="shared" si="3"/>
        <v>0</v>
      </c>
      <c r="F38" s="30" t="str">
        <f t="shared" si="4"/>
        <v/>
      </c>
      <c r="G38" s="31">
        <f>SUM(Jul!G38,Aug!G38,Sep!G38)</f>
        <v>0</v>
      </c>
      <c r="H38" s="31">
        <f>SUM(Jul!H38, Aug!H38, Sep!H38)</f>
        <v>0</v>
      </c>
      <c r="I38" s="32" t="str">
        <f t="shared" si="5"/>
        <v/>
      </c>
    </row>
    <row r="39" spans="1:9" ht="15.6">
      <c r="A39" s="48" t="str">
        <v>Englewood - Sheridan Middle School</v>
      </c>
      <c r="B39" s="34" t="str">
        <v>CO</v>
      </c>
      <c r="C39" s="35">
        <f>SUM(Jul!C39, Aug!C39, Sep!C39)</f>
        <v>0</v>
      </c>
      <c r="D39" s="36">
        <f>SUM(Jul!D39, Aug!D39, Sep!D39)</f>
        <v>0</v>
      </c>
      <c r="E39" s="36">
        <f t="shared" si="3"/>
        <v>0</v>
      </c>
      <c r="F39" s="71" t="str">
        <f t="shared" si="4"/>
        <v/>
      </c>
      <c r="G39" s="72">
        <f>SUM(Jul!G39,Aug!G39,Sep!G39)</f>
        <v>0</v>
      </c>
      <c r="H39" s="72">
        <f>SUM(Jul!H39, Aug!H39, Sep!H39)</f>
        <v>0</v>
      </c>
      <c r="I39" s="71" t="str">
        <f t="shared" si="5"/>
        <v/>
      </c>
    </row>
    <row r="40" spans="1:9" ht="15.6">
      <c r="A40" s="47" t="str">
        <v>Goshen - NIPSCO</v>
      </c>
      <c r="B40" s="27" t="str">
        <v>IN</v>
      </c>
      <c r="C40" s="28">
        <f>SUM(Jul!C40, Aug!C40, Sep!C40)</f>
        <v>0</v>
      </c>
      <c r="D40" s="29">
        <f>SUM(Jul!D40, Aug!D40, Sep!D40)</f>
        <v>0</v>
      </c>
      <c r="E40" s="29">
        <f t="shared" si="3"/>
        <v>0</v>
      </c>
      <c r="F40" s="30" t="str">
        <f t="shared" si="4"/>
        <v/>
      </c>
      <c r="G40" s="31">
        <f>SUM(Jul!G40,Aug!G40,Sep!G40)</f>
        <v>0</v>
      </c>
      <c r="H40" s="31">
        <f>SUM(Jul!H40, Aug!H40, Sep!H40)</f>
        <v>0</v>
      </c>
      <c r="I40" s="32" t="str">
        <f t="shared" si="5"/>
        <v/>
      </c>
    </row>
    <row r="41" spans="1:9" ht="15.6">
      <c r="A41" s="48" t="str">
        <v>Alamogordo - City of Alamogordo - Effluent</v>
      </c>
      <c r="B41" s="34" t="str">
        <v>NM</v>
      </c>
      <c r="C41" s="35">
        <f>SUM(Jul!C41, Aug!C41, Sep!C41)</f>
        <v>0</v>
      </c>
      <c r="D41" s="36">
        <f>SUM(Jul!D41, Aug!D41, Sep!D41)</f>
        <v>0</v>
      </c>
      <c r="E41" s="36">
        <f t="shared" si="3"/>
        <v>0</v>
      </c>
      <c r="F41" s="71" t="str">
        <f t="shared" si="4"/>
        <v/>
      </c>
      <c r="G41" s="72">
        <f>SUM(Jul!G41,Aug!G41,Sep!G41)</f>
        <v>0</v>
      </c>
      <c r="H41" s="72">
        <f>SUM(Jul!H41, Aug!H41, Sep!H41)</f>
        <v>0</v>
      </c>
      <c r="I41" s="71" t="str">
        <f t="shared" si="5"/>
        <v/>
      </c>
    </row>
    <row r="42" spans="1:9" ht="15.6">
      <c r="A42" s="47" t="str">
        <v>Alamogordo - City of Alamogordo - WWTP</v>
      </c>
      <c r="B42" s="27" t="str">
        <v>NM</v>
      </c>
      <c r="C42" s="28">
        <f>SUM(Jul!C42, Aug!C42, Sep!C42)</f>
        <v>0</v>
      </c>
      <c r="D42" s="29">
        <f>SUM(Jul!D42, Aug!D42, Sep!D42)</f>
        <v>0</v>
      </c>
      <c r="E42" s="29">
        <f t="shared" si="3"/>
        <v>0</v>
      </c>
      <c r="F42" s="30" t="str">
        <f t="shared" si="4"/>
        <v/>
      </c>
      <c r="G42" s="31">
        <f>SUM(Jul!G42,Aug!G42,Sep!G42)</f>
        <v>0</v>
      </c>
      <c r="H42" s="31">
        <f>SUM(Jul!H42, Aug!H42, Sep!H42)</f>
        <v>0</v>
      </c>
      <c r="I42" s="32" t="str">
        <f t="shared" si="5"/>
        <v/>
      </c>
    </row>
    <row r="43" spans="1:9" ht="15.6">
      <c r="A43" s="48" t="str">
        <v>Deming - Bilbo Booster</v>
      </c>
      <c r="B43" s="34" t="str">
        <v>NM</v>
      </c>
      <c r="C43" s="35">
        <f>SUM(Jul!C43, Aug!C43, Sep!C43)</f>
        <v>0</v>
      </c>
      <c r="D43" s="36">
        <f>SUM(Jul!D43, Aug!D43, Sep!D43)</f>
        <v>0</v>
      </c>
      <c r="E43" s="36">
        <f t="shared" si="3"/>
        <v>0</v>
      </c>
      <c r="F43" s="71" t="str">
        <f t="shared" si="4"/>
        <v/>
      </c>
      <c r="G43" s="72">
        <f>SUM(Jul!G43,Aug!G43,Sep!G43)</f>
        <v>0</v>
      </c>
      <c r="H43" s="72">
        <f>SUM(Jul!H43, Aug!H43, Sep!H43)</f>
        <v>0</v>
      </c>
      <c r="I43" s="71" t="str">
        <f t="shared" si="5"/>
        <v/>
      </c>
    </row>
    <row r="44" spans="1:9" ht="15.6">
      <c r="A44" s="47" t="str">
        <v>Deming - Bilbo Well</v>
      </c>
      <c r="B44" s="27" t="str">
        <v>NM</v>
      </c>
      <c r="C44" s="28">
        <f>SUM(Jul!C44, Aug!C44, Sep!C44)</f>
        <v>0</v>
      </c>
      <c r="D44" s="29">
        <f>SUM(Jul!D44, Aug!D44, Sep!D44)</f>
        <v>0</v>
      </c>
      <c r="E44" s="29">
        <f t="shared" si="3"/>
        <v>0</v>
      </c>
      <c r="F44" s="30" t="str">
        <f t="shared" si="4"/>
        <v/>
      </c>
      <c r="G44" s="31">
        <f>SUM(Jul!G44,Aug!G44,Sep!G44)</f>
        <v>0</v>
      </c>
      <c r="H44" s="31">
        <f>SUM(Jul!H44, Aug!H44, Sep!H44)</f>
        <v>0</v>
      </c>
      <c r="I44" s="32" t="str">
        <f t="shared" si="5"/>
        <v/>
      </c>
    </row>
    <row r="45" spans="1:9" ht="15.6">
      <c r="A45" s="48" t="str">
        <v>Deming - WWTP</v>
      </c>
      <c r="B45" s="34" t="str">
        <v>NM</v>
      </c>
      <c r="C45" s="35">
        <f>SUM(Jul!C45, Aug!C45, Sep!C45)</f>
        <v>0</v>
      </c>
      <c r="D45" s="36">
        <f>SUM(Jul!D45, Aug!D45, Sep!D45)</f>
        <v>0</v>
      </c>
      <c r="E45" s="36">
        <f t="shared" si="3"/>
        <v>0</v>
      </c>
      <c r="F45" s="71" t="str">
        <f t="shared" si="4"/>
        <v/>
      </c>
      <c r="G45" s="72">
        <f>SUM(Jul!G45,Aug!G45,Sep!G45)</f>
        <v>0</v>
      </c>
      <c r="H45" s="72">
        <f>SUM(Jul!H45, Aug!H45, Sep!H45)</f>
        <v>0</v>
      </c>
      <c r="I45" s="71" t="str">
        <f t="shared" si="5"/>
        <v/>
      </c>
    </row>
    <row r="46" spans="1:9" ht="15.6">
      <c r="A46" s="47" t="str">
        <v>Truth or Consequences - Walmart</v>
      </c>
      <c r="B46" s="27" t="str">
        <v>NM</v>
      </c>
      <c r="C46" s="28">
        <f>SUM(Jul!C46, Aug!C46, Sep!C46)</f>
        <v>0</v>
      </c>
      <c r="D46" s="29">
        <f>SUM(Jul!D46, Aug!D46, Sep!D46)</f>
        <v>0</v>
      </c>
      <c r="E46" s="29">
        <f t="shared" si="3"/>
        <v>0</v>
      </c>
      <c r="F46" s="30" t="str">
        <f t="shared" si="4"/>
        <v/>
      </c>
      <c r="G46" s="31">
        <f>SUM(Jul!G46,Aug!G46,Sep!G46)</f>
        <v>0</v>
      </c>
      <c r="H46" s="31">
        <f>SUM(Jul!H46, Aug!H46, Sep!H46)</f>
        <v>0</v>
      </c>
      <c r="I46" s="32" t="str">
        <f t="shared" si="5"/>
        <v/>
      </c>
    </row>
    <row r="47" spans="1:9" ht="15.6">
      <c r="A47" s="48" t="str">
        <v>CA: Stockton - SUSD - Merlo</v>
      </c>
      <c r="B47" s="34" t="str">
        <v>CA</v>
      </c>
      <c r="C47" s="35">
        <f>SUM(Jul!C47, Aug!C47, Sep!C47)</f>
        <v>0</v>
      </c>
      <c r="D47" s="36">
        <f>SUM(Jul!D47, Aug!D47, Sep!D47)</f>
        <v>0</v>
      </c>
      <c r="E47" s="36">
        <f t="shared" ref="E47:E85" si="6">IF(AND(ISNUMBER(C47),ISNUMBER(D47)), C47-D47, "")</f>
        <v>0</v>
      </c>
      <c r="F47" s="71" t="str">
        <f t="shared" ref="F47:F85" si="7">IFERROR(E47/D47, "")</f>
        <v/>
      </c>
      <c r="G47" s="72">
        <f>SUM(Jul!G47,Aug!G47,Sep!G47)</f>
        <v>0</v>
      </c>
      <c r="H47" s="72">
        <f>SUM(Jul!H47, Aug!H47, Sep!H47)</f>
        <v>0</v>
      </c>
      <c r="I47" s="71" t="str">
        <f t="shared" ref="I47:I85" si="8">IFERROR(H47/G47, "")</f>
        <v/>
      </c>
    </row>
    <row r="48" spans="1:9" ht="15.6">
      <c r="A48" s="47" t="str">
        <v>Stockton Unified School Dist. - Bush Elementary</v>
      </c>
      <c r="B48" s="27" t="str">
        <v>CA</v>
      </c>
      <c r="C48" s="28">
        <f>SUM(Jul!C48, Aug!C48, Sep!C48)</f>
        <v>0</v>
      </c>
      <c r="D48" s="29">
        <f>SUM(Jul!D48, Aug!D48, Sep!D48)</f>
        <v>0</v>
      </c>
      <c r="E48" s="29">
        <f t="shared" si="6"/>
        <v>0</v>
      </c>
      <c r="F48" s="30" t="str">
        <f t="shared" si="7"/>
        <v/>
      </c>
      <c r="G48" s="31">
        <f>SUM(Jul!G48,Aug!G48,Sep!G48)</f>
        <v>0</v>
      </c>
      <c r="H48" s="31">
        <f>SUM(Jul!H48, Aug!H48, Sep!H48)</f>
        <v>0</v>
      </c>
      <c r="I48" s="32" t="str">
        <f t="shared" si="8"/>
        <v/>
      </c>
    </row>
    <row r="49" spans="1:9" ht="15.6">
      <c r="A49" s="48" t="str">
        <v>CA: Stockton - SUSD - Marshall JHS</v>
      </c>
      <c r="B49" s="34" t="str">
        <v>CA</v>
      </c>
      <c r="C49" s="35">
        <f>SUM(Jul!C49, Aug!C49, Sep!C49)</f>
        <v>0</v>
      </c>
      <c r="D49" s="36">
        <f>SUM(Jul!D49, Aug!D49, Sep!D49)</f>
        <v>0</v>
      </c>
      <c r="E49" s="36">
        <f t="shared" si="6"/>
        <v>0</v>
      </c>
      <c r="F49" s="71" t="str">
        <f t="shared" si="7"/>
        <v/>
      </c>
      <c r="G49" s="72">
        <f>SUM(Jul!G49,Aug!G49,Sep!G49)</f>
        <v>0</v>
      </c>
      <c r="H49" s="72">
        <f>SUM(Jul!H49, Aug!H49, Sep!H49)</f>
        <v>0</v>
      </c>
      <c r="I49" s="71" t="str">
        <f t="shared" si="8"/>
        <v/>
      </c>
    </row>
    <row r="50" spans="1:9" ht="15.6">
      <c r="A50" s="47" t="str">
        <v>CA: Stockton - SUSD - Hong-Kingston ES</v>
      </c>
      <c r="B50" s="27" t="str">
        <v>CA</v>
      </c>
      <c r="C50" s="28">
        <f>SUM(Jul!C50, Aug!C50, Sep!C50)</f>
        <v>0</v>
      </c>
      <c r="D50" s="29">
        <f>SUM(Jul!D50, Aug!D50, Sep!D50)</f>
        <v>0</v>
      </c>
      <c r="E50" s="29">
        <f t="shared" si="6"/>
        <v>0</v>
      </c>
      <c r="F50" s="30" t="str">
        <f t="shared" si="7"/>
        <v/>
      </c>
      <c r="G50" s="31">
        <f>SUM(Jul!G50,Aug!G50,Sep!G50)</f>
        <v>0</v>
      </c>
      <c r="H50" s="31">
        <f>SUM(Jul!H50, Aug!H50, Sep!H50)</f>
        <v>0</v>
      </c>
      <c r="I50" s="32" t="str">
        <f t="shared" si="8"/>
        <v/>
      </c>
    </row>
    <row r="51" spans="1:9" ht="15.6">
      <c r="A51" s="48" t="str">
        <v>CA: Stockton - SUSD - Hamilton ES</v>
      </c>
      <c r="B51" s="34" t="str">
        <v>CA</v>
      </c>
      <c r="C51" s="35">
        <f>SUM(Jul!C51, Aug!C51, Sep!C51)</f>
        <v>0</v>
      </c>
      <c r="D51" s="36">
        <f>SUM(Jul!D51, Aug!D51, Sep!D51)</f>
        <v>0</v>
      </c>
      <c r="E51" s="36">
        <f t="shared" si="6"/>
        <v>0</v>
      </c>
      <c r="F51" s="71" t="str">
        <f t="shared" si="7"/>
        <v/>
      </c>
      <c r="G51" s="72">
        <f>SUM(Jul!G51,Aug!G51,Sep!G51)</f>
        <v>0</v>
      </c>
      <c r="H51" s="72">
        <f>SUM(Jul!H51, Aug!H51, Sep!H51)</f>
        <v>0</v>
      </c>
      <c r="I51" s="71" t="str">
        <f t="shared" si="8"/>
        <v/>
      </c>
    </row>
    <row r="52" spans="1:9" ht="15.6">
      <c r="A52" s="47" t="str">
        <v>CA: Stockton - SUSD - Franklin - North</v>
      </c>
      <c r="B52" s="27" t="str">
        <v>CA</v>
      </c>
      <c r="C52" s="28">
        <f>SUM(Jul!C52, Aug!C52, Sep!C52)</f>
        <v>0</v>
      </c>
      <c r="D52" s="29">
        <f>SUM(Jul!D52, Aug!D52, Sep!D52)</f>
        <v>0</v>
      </c>
      <c r="E52" s="29">
        <f t="shared" si="6"/>
        <v>0</v>
      </c>
      <c r="F52" s="30" t="str">
        <f t="shared" si="7"/>
        <v/>
      </c>
      <c r="G52" s="31">
        <f>SUM(Jul!G52,Aug!G52,Sep!G52)</f>
        <v>0</v>
      </c>
      <c r="H52" s="31">
        <f>SUM(Jul!H52, Aug!H52, Sep!H52)</f>
        <v>0</v>
      </c>
      <c r="I52" s="32" t="str">
        <f t="shared" si="8"/>
        <v/>
      </c>
    </row>
    <row r="53" spans="1:9" ht="15.6">
      <c r="A53" s="48" t="str">
        <v>Stockton Unified School Dist. - Fillmore Elementary</v>
      </c>
      <c r="B53" s="34" t="str">
        <v>CA</v>
      </c>
      <c r="C53" s="35">
        <f>SUM(Jul!C53, Aug!C53, Sep!C53)</f>
        <v>0</v>
      </c>
      <c r="D53" s="36">
        <f>SUM(Jul!D53, Aug!D53, Sep!D53)</f>
        <v>0</v>
      </c>
      <c r="E53" s="36">
        <f t="shared" si="6"/>
        <v>0</v>
      </c>
      <c r="F53" s="71" t="str">
        <f t="shared" si="7"/>
        <v/>
      </c>
      <c r="G53" s="72">
        <f>SUM(Jul!G53,Aug!G53,Sep!G53)</f>
        <v>0</v>
      </c>
      <c r="H53" s="72">
        <f>SUM(Jul!H53, Aug!H53, Sep!H53)</f>
        <v>0</v>
      </c>
      <c r="I53" s="71" t="str">
        <f t="shared" si="8"/>
        <v/>
      </c>
    </row>
    <row r="54" spans="1:9" ht="15.6">
      <c r="A54" s="47" t="str">
        <v>CA: Stockton - SUSD - El Dorado ES</v>
      </c>
      <c r="B54" s="27" t="str">
        <v>CA</v>
      </c>
      <c r="C54" s="28">
        <f>SUM(Jul!C54, Aug!C54, Sep!C54)</f>
        <v>0</v>
      </c>
      <c r="D54" s="29">
        <f>SUM(Jul!D54, Aug!D54, Sep!D54)</f>
        <v>0</v>
      </c>
      <c r="E54" s="29">
        <f t="shared" si="6"/>
        <v>0</v>
      </c>
      <c r="F54" s="30" t="str">
        <f t="shared" si="7"/>
        <v/>
      </c>
      <c r="G54" s="31">
        <f>SUM(Jul!G54,Aug!G54,Sep!G54)</f>
        <v>0</v>
      </c>
      <c r="H54" s="31">
        <f>SUM(Jul!H54, Aug!H54, Sep!H54)</f>
        <v>0</v>
      </c>
      <c r="I54" s="32" t="str">
        <f t="shared" si="8"/>
        <v/>
      </c>
    </row>
    <row r="55" spans="1:9" ht="15.6">
      <c r="A55" s="48" t="str">
        <v>CA: Stockton - SUSD - Edison HS</v>
      </c>
      <c r="B55" s="34" t="str">
        <v>CA</v>
      </c>
      <c r="C55" s="35">
        <f>SUM(Jul!C55, Aug!C55, Sep!C55)</f>
        <v>0</v>
      </c>
      <c r="D55" s="36">
        <f>SUM(Jul!D55, Aug!D55, Sep!D55)</f>
        <v>0</v>
      </c>
      <c r="E55" s="36">
        <f t="shared" si="6"/>
        <v>0</v>
      </c>
      <c r="F55" s="71" t="str">
        <f t="shared" si="7"/>
        <v/>
      </c>
      <c r="G55" s="72">
        <f>SUM(Jul!G55,Aug!G55,Sep!G55)</f>
        <v>0</v>
      </c>
      <c r="H55" s="72">
        <f>SUM(Jul!H55, Aug!H55, Sep!H55)</f>
        <v>0</v>
      </c>
      <c r="I55" s="71" t="str">
        <f t="shared" si="8"/>
        <v/>
      </c>
    </row>
    <row r="56" spans="1:9" ht="15.6">
      <c r="A56" s="47" t="str">
        <v>CA: Stockton - SUSD - Chavez HS - Large</v>
      </c>
      <c r="B56" s="27" t="str">
        <v>CA</v>
      </c>
      <c r="C56" s="28">
        <f>SUM(Jul!C56, Aug!C56, Sep!C56)</f>
        <v>0</v>
      </c>
      <c r="D56" s="29">
        <f>SUM(Jul!D56, Aug!D56, Sep!D56)</f>
        <v>0</v>
      </c>
      <c r="E56" s="29">
        <f t="shared" si="6"/>
        <v>0</v>
      </c>
      <c r="F56" s="30" t="str">
        <f t="shared" si="7"/>
        <v/>
      </c>
      <c r="G56" s="31">
        <f>SUM(Jul!G56,Aug!G56,Sep!G56)</f>
        <v>0</v>
      </c>
      <c r="H56" s="31">
        <f>SUM(Jul!H56, Aug!H56, Sep!H56)</f>
        <v>0</v>
      </c>
      <c r="I56" s="32" t="str">
        <f t="shared" si="8"/>
        <v/>
      </c>
    </row>
    <row r="57" spans="1:9" ht="15.6">
      <c r="A57" s="48" t="str">
        <v>CA: San Jose - GE Mobile Water</v>
      </c>
      <c r="B57" s="34" t="str">
        <v>CA</v>
      </c>
      <c r="C57" s="35">
        <f>SUM(Jul!C57, Aug!C57, Sep!C57)</f>
        <v>0</v>
      </c>
      <c r="D57" s="36">
        <f>SUM(Jul!D57, Aug!D57, Sep!D57)</f>
        <v>0</v>
      </c>
      <c r="E57" s="36">
        <f t="shared" si="6"/>
        <v>0</v>
      </c>
      <c r="F57" s="71" t="str">
        <f t="shared" si="7"/>
        <v/>
      </c>
      <c r="G57" s="72">
        <f>SUM(Jul!G57,Aug!G57,Sep!G57)</f>
        <v>0</v>
      </c>
      <c r="H57" s="72">
        <f>SUM(Jul!H57, Aug!H57, Sep!H57)</f>
        <v>0</v>
      </c>
      <c r="I57" s="71" t="str">
        <f t="shared" si="8"/>
        <v/>
      </c>
    </row>
    <row r="58" spans="1:9" ht="15.6">
      <c r="A58" s="47" t="str">
        <v>CA: San Marcos - Vallecitos Water - Lift Station</v>
      </c>
      <c r="B58" s="27" t="str">
        <v>CA</v>
      </c>
      <c r="C58" s="28">
        <f>SUM(Jul!C58, Aug!C58, Sep!C58)</f>
        <v>0</v>
      </c>
      <c r="D58" s="29">
        <f>SUM(Jul!D58, Aug!D58, Sep!D58)</f>
        <v>0</v>
      </c>
      <c r="E58" s="29">
        <f t="shared" si="6"/>
        <v>0</v>
      </c>
      <c r="F58" s="30" t="str">
        <f t="shared" si="7"/>
        <v/>
      </c>
      <c r="G58" s="31">
        <f>SUM(Jul!G58,Aug!G58,Sep!G58)</f>
        <v>0</v>
      </c>
      <c r="H58" s="31">
        <f>SUM(Jul!H58, Aug!H58, Sep!H58)</f>
        <v>0</v>
      </c>
      <c r="I58" s="32" t="str">
        <f t="shared" si="8"/>
        <v/>
      </c>
    </row>
    <row r="59" spans="1:9" ht="15.6">
      <c r="A59" s="48" t="str">
        <v>CA: San Marcos - Vallecitos Water - Twin Oaks Reservoir</v>
      </c>
      <c r="B59" s="34" t="str">
        <v>CA</v>
      </c>
      <c r="C59" s="35">
        <f>SUM(Jul!C59, Aug!C59, Sep!C59)</f>
        <v>0</v>
      </c>
      <c r="D59" s="36">
        <f>SUM(Jul!D59, Aug!D59, Sep!D59)</f>
        <v>0</v>
      </c>
      <c r="E59" s="36">
        <f t="shared" si="6"/>
        <v>0</v>
      </c>
      <c r="F59" s="71" t="str">
        <f t="shared" si="7"/>
        <v/>
      </c>
      <c r="G59" s="72">
        <f>SUM(Jul!G59,Aug!G59,Sep!G59)</f>
        <v>0</v>
      </c>
      <c r="H59" s="72">
        <f>SUM(Jul!H59, Aug!H59, Sep!H59)</f>
        <v>0</v>
      </c>
      <c r="I59" s="71" t="str">
        <f t="shared" si="8"/>
        <v/>
      </c>
    </row>
    <row r="60" spans="1:9" ht="15.6">
      <c r="A60" s="47" t="str">
        <v>CA: Stockton - SUSD - Wilhelmina Henry ES</v>
      </c>
      <c r="B60" s="27" t="str">
        <v>CA</v>
      </c>
      <c r="C60" s="28">
        <f>SUM(Jul!C60, Aug!C60, Sep!C60)</f>
        <v>0</v>
      </c>
      <c r="D60" s="29">
        <f>SUM(Jul!D60, Aug!D60, Sep!D60)</f>
        <v>0</v>
      </c>
      <c r="E60" s="29">
        <f t="shared" si="6"/>
        <v>0</v>
      </c>
      <c r="F60" s="30" t="str">
        <f t="shared" si="7"/>
        <v/>
      </c>
      <c r="G60" s="31">
        <f>SUM(Jul!G60,Aug!G60,Sep!G60)</f>
        <v>0</v>
      </c>
      <c r="H60" s="31">
        <f>SUM(Jul!H60, Aug!H60, Sep!H60)</f>
        <v>0</v>
      </c>
      <c r="I60" s="32" t="str">
        <f t="shared" si="8"/>
        <v/>
      </c>
    </row>
    <row r="61" spans="1:9" ht="15.6">
      <c r="A61" s="48" t="str">
        <v>Stockton Unified School Dist. - Franklin (North)</v>
      </c>
      <c r="B61" s="34" t="str">
        <v>CA</v>
      </c>
      <c r="C61" s="35">
        <f>SUM(Jul!C61, Aug!C61, Sep!C61)</f>
        <v>0</v>
      </c>
      <c r="D61" s="36">
        <f>SUM(Jul!D61, Aug!D61, Sep!D61)</f>
        <v>0</v>
      </c>
      <c r="E61" s="36">
        <f t="shared" si="6"/>
        <v>0</v>
      </c>
      <c r="F61" s="71" t="str">
        <f t="shared" si="7"/>
        <v/>
      </c>
      <c r="G61" s="72">
        <f>SUM(Jul!G61,Aug!G61,Sep!G61)</f>
        <v>0</v>
      </c>
      <c r="H61" s="72">
        <f>SUM(Jul!H61, Aug!H61, Sep!H61)</f>
        <v>0</v>
      </c>
      <c r="I61" s="71" t="str">
        <f t="shared" si="8"/>
        <v/>
      </c>
    </row>
    <row r="62" spans="1:9" ht="15.6">
      <c r="A62" s="47" t="str">
        <v>CA: Stockton - SUSD - Franklin - South</v>
      </c>
      <c r="B62" s="27" t="str">
        <v>CA</v>
      </c>
      <c r="C62" s="28">
        <f>SUM(Jul!C62, Aug!C62, Sep!C62)</f>
        <v>0</v>
      </c>
      <c r="D62" s="29">
        <f>SUM(Jul!D62, Aug!D62, Sep!D62)</f>
        <v>0</v>
      </c>
      <c r="E62" s="29">
        <f t="shared" si="6"/>
        <v>0</v>
      </c>
      <c r="F62" s="30" t="str">
        <f t="shared" si="7"/>
        <v/>
      </c>
      <c r="G62" s="31">
        <f>SUM(Jul!G62,Aug!G62,Sep!G62)</f>
        <v>0</v>
      </c>
      <c r="H62" s="31">
        <f>SUM(Jul!H62, Aug!H62, Sep!H62)</f>
        <v>0</v>
      </c>
      <c r="I62" s="32" t="str">
        <f t="shared" si="8"/>
        <v/>
      </c>
    </row>
    <row r="63" spans="1:9" ht="15.6">
      <c r="A63" s="48" t="str">
        <v>CA: Stockton - SUSD - Chavez HS - Small</v>
      </c>
      <c r="B63" s="34" t="str">
        <v>CA</v>
      </c>
      <c r="C63" s="35">
        <f>SUM(Jul!C63, Aug!C63, Sep!C63)</f>
        <v>0</v>
      </c>
      <c r="D63" s="36">
        <f>SUM(Jul!D63, Aug!D63, Sep!D63)</f>
        <v>0</v>
      </c>
      <c r="E63" s="36">
        <f t="shared" si="6"/>
        <v>0</v>
      </c>
      <c r="F63" s="71" t="str">
        <f t="shared" si="7"/>
        <v/>
      </c>
      <c r="G63" s="72">
        <f>SUM(Jul!G63,Aug!G63,Sep!G63)</f>
        <v>0</v>
      </c>
      <c r="H63" s="72">
        <f>SUM(Jul!H63, Aug!H63, Sep!H63)</f>
        <v>0</v>
      </c>
      <c r="I63" s="71" t="str">
        <f t="shared" si="8"/>
        <v/>
      </c>
    </row>
    <row r="64" spans="1:9" ht="15.6">
      <c r="A64" s="47" t="str">
        <v>CA: Stockton - SUSD - Facilities</v>
      </c>
      <c r="B64" s="27" t="str">
        <v>CA</v>
      </c>
      <c r="C64" s="28">
        <f>SUM(Jul!C64, Aug!C64, Sep!C64)</f>
        <v>0</v>
      </c>
      <c r="D64" s="29">
        <f>SUM(Jul!D64, Aug!D64, Sep!D64)</f>
        <v>0</v>
      </c>
      <c r="E64" s="29">
        <f t="shared" si="6"/>
        <v>0</v>
      </c>
      <c r="F64" s="30" t="str">
        <f t="shared" si="7"/>
        <v/>
      </c>
      <c r="G64" s="31">
        <f>SUM(Jul!G64,Aug!G64,Sep!G64)</f>
        <v>0</v>
      </c>
      <c r="H64" s="31">
        <f>SUM(Jul!H64, Aug!H64, Sep!H64)</f>
        <v>0</v>
      </c>
      <c r="I64" s="32" t="str">
        <f t="shared" si="8"/>
        <v/>
      </c>
    </row>
    <row r="65" spans="1:9" ht="15.6">
      <c r="A65" s="48" t="str">
        <v>CA: Stockton - SUSD - Harrison</v>
      </c>
      <c r="B65" s="34" t="str">
        <v>CA</v>
      </c>
      <c r="C65" s="35">
        <f>SUM(Jul!C65, Aug!C65, Sep!C65)</f>
        <v>0</v>
      </c>
      <c r="D65" s="36">
        <f>SUM(Jul!D65, Aug!D65, Sep!D65)</f>
        <v>0</v>
      </c>
      <c r="E65" s="36">
        <f t="shared" si="6"/>
        <v>0</v>
      </c>
      <c r="F65" s="71" t="str">
        <f t="shared" si="7"/>
        <v/>
      </c>
      <c r="G65" s="72">
        <f>SUM(Jul!G65,Aug!G65,Sep!G65)</f>
        <v>0</v>
      </c>
      <c r="H65" s="72">
        <f>SUM(Jul!H65, Aug!H65, Sep!H65)</f>
        <v>0</v>
      </c>
      <c r="I65" s="71" t="str">
        <f t="shared" si="8"/>
        <v/>
      </c>
    </row>
    <row r="66" spans="1:9" ht="15.6">
      <c r="A66" s="47" t="str">
        <v>CA: Stockton - SUSD - Commodore Skills School</v>
      </c>
      <c r="B66" s="27" t="str">
        <v>CA</v>
      </c>
      <c r="C66" s="28">
        <f>SUM(Jul!C66, Aug!C66, Sep!C66)</f>
        <v>0</v>
      </c>
      <c r="D66" s="29">
        <f>SUM(Jul!D66, Aug!D66, Sep!D66)</f>
        <v>0</v>
      </c>
      <c r="E66" s="29">
        <f t="shared" si="6"/>
        <v>0</v>
      </c>
      <c r="F66" s="30" t="str">
        <f t="shared" si="7"/>
        <v/>
      </c>
      <c r="G66" s="31">
        <f>SUM(Jul!G66,Aug!G66,Sep!G66)</f>
        <v>0</v>
      </c>
      <c r="H66" s="31">
        <f>SUM(Jul!H66, Aug!H66, Sep!H66)</f>
        <v>0</v>
      </c>
      <c r="I66" s="32" t="str">
        <f t="shared" si="8"/>
        <v/>
      </c>
    </row>
    <row r="67" spans="1:9" ht="15.6">
      <c r="A67" s="48" t="str">
        <v>CA: Stockton - SUSD - Nightingale ES</v>
      </c>
      <c r="B67" s="34" t="str">
        <v>CA</v>
      </c>
      <c r="C67" s="35">
        <f>SUM(Jul!C67, Aug!C67, Sep!C67)</f>
        <v>0</v>
      </c>
      <c r="D67" s="36">
        <f>SUM(Jul!D67, Aug!D67, Sep!D67)</f>
        <v>0</v>
      </c>
      <c r="E67" s="36">
        <f t="shared" si="6"/>
        <v>0</v>
      </c>
      <c r="F67" s="71" t="str">
        <f t="shared" si="7"/>
        <v/>
      </c>
      <c r="G67" s="72">
        <f>SUM(Jul!G67,Aug!G67,Sep!G67)</f>
        <v>0</v>
      </c>
      <c r="H67" s="72">
        <f>SUM(Jul!H67, Aug!H67, Sep!H67)</f>
        <v>0</v>
      </c>
      <c r="I67" s="71" t="str">
        <f t="shared" si="8"/>
        <v/>
      </c>
    </row>
    <row r="68" spans="1:9" ht="15.6">
      <c r="A68" s="47" t="str">
        <v>CA: Stockton - SUSD - Weber Institute</v>
      </c>
      <c r="B68" s="27" t="str">
        <v>CA</v>
      </c>
      <c r="C68" s="28">
        <f>SUM(Jul!C68, Aug!C68, Sep!C68)</f>
        <v>0</v>
      </c>
      <c r="D68" s="29">
        <f>SUM(Jul!D68, Aug!D68, Sep!D68)</f>
        <v>0</v>
      </c>
      <c r="E68" s="29">
        <f t="shared" si="6"/>
        <v>0</v>
      </c>
      <c r="F68" s="30" t="str">
        <f t="shared" si="7"/>
        <v/>
      </c>
      <c r="G68" s="31">
        <f>SUM(Jul!G68,Aug!G68,Sep!G68)</f>
        <v>0</v>
      </c>
      <c r="H68" s="31">
        <f>SUM(Jul!H68, Aug!H68, Sep!H68)</f>
        <v>0</v>
      </c>
      <c r="I68" s="32" t="str">
        <f t="shared" si="8"/>
        <v/>
      </c>
    </row>
    <row r="69" spans="1:9" ht="15.6">
      <c r="A69" s="48" t="str">
        <v>CA: Stockton - SUSD - Warehouse</v>
      </c>
      <c r="B69" s="34" t="str">
        <v>CA</v>
      </c>
      <c r="C69" s="35">
        <f>SUM(Jul!C69, Aug!C69, Sep!C69)</f>
        <v>0</v>
      </c>
      <c r="D69" s="36">
        <f>SUM(Jul!D69, Aug!D69, Sep!D69)</f>
        <v>0</v>
      </c>
      <c r="E69" s="36">
        <f t="shared" si="6"/>
        <v>0</v>
      </c>
      <c r="F69" s="71" t="str">
        <f t="shared" si="7"/>
        <v/>
      </c>
      <c r="G69" s="72">
        <f>SUM(Jul!G69,Aug!G69,Sep!G69)</f>
        <v>0</v>
      </c>
      <c r="H69" s="72">
        <f>SUM(Jul!H69, Aug!H69, Sep!H69)</f>
        <v>0</v>
      </c>
      <c r="I69" s="71" t="str">
        <f t="shared" si="8"/>
        <v/>
      </c>
    </row>
    <row r="70" spans="1:9" ht="15.6">
      <c r="A70" s="47" t="str">
        <v>CA: Stockton - SUSD - Walton Special Center</v>
      </c>
      <c r="B70" s="27" t="str">
        <v>CA</v>
      </c>
      <c r="C70" s="28">
        <f>SUM(Jul!C70, Aug!C70, Sep!C70)</f>
        <v>0</v>
      </c>
      <c r="D70" s="29">
        <f>SUM(Jul!D70, Aug!D70, Sep!D70)</f>
        <v>0</v>
      </c>
      <c r="E70" s="29">
        <f t="shared" si="6"/>
        <v>0</v>
      </c>
      <c r="F70" s="30" t="str">
        <f t="shared" si="7"/>
        <v/>
      </c>
      <c r="G70" s="31">
        <f>SUM(Jul!G70,Aug!G70,Sep!G70)</f>
        <v>0</v>
      </c>
      <c r="H70" s="31">
        <f>SUM(Jul!H70, Aug!H70, Sep!H70)</f>
        <v>0</v>
      </c>
      <c r="I70" s="32" t="str">
        <f t="shared" si="8"/>
        <v/>
      </c>
    </row>
    <row r="71" spans="1:9" ht="15.6">
      <c r="A71" s="48" t="str">
        <v>CA: Stockton - SUSD - Stagg HS</v>
      </c>
      <c r="B71" s="34" t="str">
        <v>CA</v>
      </c>
      <c r="C71" s="35">
        <f>SUM(Jul!C71, Aug!C71, Sep!C71)</f>
        <v>0</v>
      </c>
      <c r="D71" s="36">
        <f>SUM(Jul!D71, Aug!D71, Sep!D71)</f>
        <v>0</v>
      </c>
      <c r="E71" s="36">
        <f t="shared" si="6"/>
        <v>0</v>
      </c>
      <c r="F71" s="71" t="str">
        <f t="shared" si="7"/>
        <v/>
      </c>
      <c r="G71" s="72">
        <f>SUM(Jul!G71,Aug!G71,Sep!G71)</f>
        <v>0</v>
      </c>
      <c r="H71" s="72">
        <f>SUM(Jul!H71, Aug!H71, Sep!H71)</f>
        <v>0</v>
      </c>
      <c r="I71" s="71" t="str">
        <f t="shared" si="8"/>
        <v/>
      </c>
    </row>
    <row r="72" spans="1:9" ht="15.6">
      <c r="A72" s="47" t="str">
        <v>CA: Stockton - SUSD - School for Adults</v>
      </c>
      <c r="B72" s="27" t="str">
        <v>CA</v>
      </c>
      <c r="C72" s="28">
        <f>SUM(Jul!C72, Aug!C72, Sep!C72)</f>
        <v>0</v>
      </c>
      <c r="D72" s="29">
        <f>SUM(Jul!D72, Aug!D72, Sep!D72)</f>
        <v>0</v>
      </c>
      <c r="E72" s="29">
        <f t="shared" si="6"/>
        <v>0</v>
      </c>
      <c r="F72" s="30" t="str">
        <f t="shared" si="7"/>
        <v/>
      </c>
      <c r="G72" s="31">
        <f>SUM(Jul!G72,Aug!G72,Sep!G72)</f>
        <v>0</v>
      </c>
      <c r="H72" s="31">
        <f>SUM(Jul!H72, Aug!H72, Sep!H72)</f>
        <v>0</v>
      </c>
      <c r="I72" s="32" t="str">
        <f t="shared" si="8"/>
        <v/>
      </c>
    </row>
    <row r="73" spans="1:9" ht="15.6">
      <c r="A73" s="48" t="str">
        <v>CA: Stockton - SUSD - San Joaquin</v>
      </c>
      <c r="B73" s="34" t="str">
        <v>CA</v>
      </c>
      <c r="C73" s="35">
        <f>SUM(Jul!C73, Aug!C73, Sep!C73)</f>
        <v>0</v>
      </c>
      <c r="D73" s="36">
        <f>SUM(Jul!D73, Aug!D73, Sep!D73)</f>
        <v>0</v>
      </c>
      <c r="E73" s="36">
        <f t="shared" si="6"/>
        <v>0</v>
      </c>
      <c r="F73" s="71" t="str">
        <f t="shared" si="7"/>
        <v/>
      </c>
      <c r="G73" s="72">
        <f>SUM(Jul!G73,Aug!G73,Sep!G73)</f>
        <v>0</v>
      </c>
      <c r="H73" s="72">
        <f>SUM(Jul!H73, Aug!H73, Sep!H73)</f>
        <v>0</v>
      </c>
      <c r="I73" s="71" t="str">
        <f t="shared" si="8"/>
        <v/>
      </c>
    </row>
    <row r="74" spans="1:9" ht="15.6">
      <c r="A74" s="47" t="str">
        <v>CA: Stockton - SUSD - Rio Calaveras</v>
      </c>
      <c r="B74" s="27" t="str">
        <v>CA</v>
      </c>
      <c r="C74" s="28">
        <f>SUM(Jul!C74, Aug!C74, Sep!C74)</f>
        <v>0</v>
      </c>
      <c r="D74" s="29">
        <f>SUM(Jul!D74, Aug!D74, Sep!D74)</f>
        <v>0</v>
      </c>
      <c r="E74" s="29">
        <f t="shared" si="6"/>
        <v>0</v>
      </c>
      <c r="F74" s="30" t="str">
        <f t="shared" si="7"/>
        <v/>
      </c>
      <c r="G74" s="31">
        <f>SUM(Jul!G74,Aug!G74,Sep!G74)</f>
        <v>0</v>
      </c>
      <c r="H74" s="31">
        <f>SUM(Jul!H74, Aug!H74, Sep!H74)</f>
        <v>0</v>
      </c>
      <c r="I74" s="32" t="str">
        <f t="shared" si="8"/>
        <v/>
      </c>
    </row>
    <row r="75" spans="1:9" ht="15.6">
      <c r="A75" s="48" t="str">
        <v>CA: Stockton - SUSD - Peyton</v>
      </c>
      <c r="B75" s="34" t="str">
        <v>CA</v>
      </c>
      <c r="C75" s="35">
        <f>SUM(Jul!C75, Aug!C75, Sep!C75)</f>
        <v>0</v>
      </c>
      <c r="D75" s="36">
        <f>SUM(Jul!D75, Aug!D75, Sep!D75)</f>
        <v>0</v>
      </c>
      <c r="E75" s="36">
        <f t="shared" si="6"/>
        <v>0</v>
      </c>
      <c r="F75" s="71" t="str">
        <f t="shared" si="7"/>
        <v/>
      </c>
      <c r="G75" s="72">
        <f>SUM(Jul!G75,Aug!G75,Sep!G75)</f>
        <v>0</v>
      </c>
      <c r="H75" s="72">
        <f>SUM(Jul!H75, Aug!H75, Sep!H75)</f>
        <v>0</v>
      </c>
      <c r="I75" s="71" t="str">
        <f t="shared" si="8"/>
        <v/>
      </c>
    </row>
    <row r="76" spans="1:9" ht="15.6">
      <c r="A76" s="47" t="str">
        <v>TX: Barnhart - 42917 Ranch RD 2469</v>
      </c>
      <c r="B76" s="27" t="str">
        <v>TX</v>
      </c>
      <c r="C76" s="28">
        <f>SUM(Jul!C76, Aug!C76, Sep!C76)</f>
        <v>0</v>
      </c>
      <c r="D76" s="29">
        <f>SUM(Jul!D76, Aug!D76, Sep!D76)</f>
        <v>0</v>
      </c>
      <c r="E76" s="29">
        <f t="shared" si="6"/>
        <v>0</v>
      </c>
      <c r="F76" s="30" t="str">
        <f t="shared" si="7"/>
        <v/>
      </c>
      <c r="G76" s="31">
        <f>SUM(Jul!G76,Aug!G76,Sep!G76)</f>
        <v>0</v>
      </c>
      <c r="H76" s="31">
        <f>SUM(Jul!H76, Aug!H76, Sep!H76)</f>
        <v>0</v>
      </c>
      <c r="I76" s="32" t="str">
        <f t="shared" si="8"/>
        <v/>
      </c>
    </row>
    <row r="77" spans="1:9" ht="15.6">
      <c r="A77" s="48" t="str">
        <v>AZ: San Manuel - Senior &amp; Junior HS</v>
      </c>
      <c r="B77" s="34" t="str">
        <v>AZ</v>
      </c>
      <c r="C77" s="35">
        <f>SUM(Jul!C77, Aug!C77, Sep!C77)</f>
        <v>0</v>
      </c>
      <c r="D77" s="36">
        <f>SUM(Jul!D77, Aug!D77, Sep!D77)</f>
        <v>0</v>
      </c>
      <c r="E77" s="36">
        <f t="shared" si="6"/>
        <v>0</v>
      </c>
      <c r="F77" s="71" t="str">
        <f t="shared" si="7"/>
        <v/>
      </c>
      <c r="G77" s="72">
        <f>SUM(Jul!G77,Aug!G77,Sep!G77)</f>
        <v>0</v>
      </c>
      <c r="H77" s="72">
        <f>SUM(Jul!H77, Aug!H77, Sep!H77)</f>
        <v>0</v>
      </c>
      <c r="I77" s="71" t="str">
        <f t="shared" si="8"/>
        <v/>
      </c>
    </row>
    <row r="78" spans="1:9" ht="15.6">
      <c r="A78" s="47" t="str">
        <v>AZ: Sierra Vista - Colonel Smith MS</v>
      </c>
      <c r="B78" s="27" t="str">
        <v>AZ</v>
      </c>
      <c r="C78" s="28">
        <f>SUM(Jul!C78, Aug!C78, Sep!C78)</f>
        <v>0</v>
      </c>
      <c r="D78" s="29">
        <f>SUM(Jul!D78, Aug!D78, Sep!D78)</f>
        <v>0</v>
      </c>
      <c r="E78" s="29">
        <f t="shared" si="6"/>
        <v>0</v>
      </c>
      <c r="F78" s="30" t="str">
        <f t="shared" si="7"/>
        <v/>
      </c>
      <c r="G78" s="31">
        <f>SUM(Jul!G78,Aug!G78,Sep!G78)</f>
        <v>0</v>
      </c>
      <c r="H78" s="31">
        <f>SUM(Jul!H78, Aug!H78, Sep!H78)</f>
        <v>0</v>
      </c>
      <c r="I78" s="32" t="str">
        <f t="shared" si="8"/>
        <v/>
      </c>
    </row>
    <row r="79" spans="1:9" ht="15.6">
      <c r="A79" s="48" t="str">
        <v>AZ: Sierra Vista - Colonel Johnston ES</v>
      </c>
      <c r="B79" s="34" t="str">
        <v>AZ</v>
      </c>
      <c r="C79" s="35">
        <f>SUM(Jul!C79, Aug!C79, Sep!C79)</f>
        <v>0</v>
      </c>
      <c r="D79" s="36">
        <f>SUM(Jul!D79, Aug!D79, Sep!D79)</f>
        <v>0</v>
      </c>
      <c r="E79" s="36">
        <f t="shared" si="6"/>
        <v>0</v>
      </c>
      <c r="F79" s="71" t="str">
        <f t="shared" si="7"/>
        <v/>
      </c>
      <c r="G79" s="72">
        <f>SUM(Jul!G79,Aug!G79,Sep!G79)</f>
        <v>0</v>
      </c>
      <c r="H79" s="72">
        <f>SUM(Jul!H79, Aug!H79, Sep!H79)</f>
        <v>0</v>
      </c>
      <c r="I79" s="71" t="str">
        <f t="shared" si="8"/>
        <v/>
      </c>
    </row>
    <row r="80" spans="1:9" ht="15.6">
      <c r="A80" s="47" t="str">
        <v>NH: Dover - Dover HS</v>
      </c>
      <c r="B80" s="27" t="str">
        <v>NH</v>
      </c>
      <c r="C80" s="28">
        <f>SUM(Jul!C80, Aug!C80, Sep!C80)</f>
        <v>0</v>
      </c>
      <c r="D80" s="29">
        <f>SUM(Jul!D80, Aug!D80, Sep!D80)</f>
        <v>0</v>
      </c>
      <c r="E80" s="29">
        <f t="shared" si="6"/>
        <v>0</v>
      </c>
      <c r="F80" s="30" t="str">
        <f t="shared" si="7"/>
        <v/>
      </c>
      <c r="G80" s="31">
        <f>SUM(Jul!G80,Aug!G80,Sep!G80)</f>
        <v>0</v>
      </c>
      <c r="H80" s="31">
        <f>SUM(Jul!H80, Aug!H80, Sep!H80)</f>
        <v>0</v>
      </c>
      <c r="I80" s="32" t="str">
        <f t="shared" si="8"/>
        <v/>
      </c>
    </row>
    <row r="81" spans="1:9" ht="15.6">
      <c r="A81" s="48" t="str">
        <v>MA: Somerville - 30 Inner Belt Rd</v>
      </c>
      <c r="B81" s="34" t="str">
        <v>MA</v>
      </c>
      <c r="C81" s="35">
        <f>SUM(Jul!C81, Aug!C81, Sep!C81)</f>
        <v>0</v>
      </c>
      <c r="D81" s="36">
        <f>SUM(Jul!D81, Aug!D81, Sep!D81)</f>
        <v>0</v>
      </c>
      <c r="E81" s="36">
        <f t="shared" si="6"/>
        <v>0</v>
      </c>
      <c r="F81" s="71" t="str">
        <f t="shared" si="7"/>
        <v/>
      </c>
      <c r="G81" s="72">
        <f>SUM(Jul!G81,Aug!G81,Sep!G81)</f>
        <v>0</v>
      </c>
      <c r="H81" s="72">
        <f>SUM(Jul!H81, Aug!H81, Sep!H81)</f>
        <v>0</v>
      </c>
      <c r="I81" s="71" t="str">
        <f t="shared" si="8"/>
        <v/>
      </c>
    </row>
    <row r="82" spans="1:9" ht="15.6">
      <c r="A82" s="47" t="str">
        <v>MA: Boxborough - 1414 Massachusetts Ave</v>
      </c>
      <c r="B82" s="27" t="str">
        <v>MA</v>
      </c>
      <c r="C82" s="28">
        <f>SUM(Jul!C82, Aug!C82, Sep!C82)</f>
        <v>0</v>
      </c>
      <c r="D82" s="29">
        <f>SUM(Jul!D82, Aug!D82, Sep!D82)</f>
        <v>0</v>
      </c>
      <c r="E82" s="29">
        <f t="shared" si="6"/>
        <v>0</v>
      </c>
      <c r="F82" s="30" t="str">
        <f t="shared" si="7"/>
        <v/>
      </c>
      <c r="G82" s="31">
        <f>SUM(Jul!G82,Aug!G82,Sep!G82)</f>
        <v>0</v>
      </c>
      <c r="H82" s="31">
        <f>SUM(Jul!H82, Aug!H82, Sep!H82)</f>
        <v>0</v>
      </c>
      <c r="I82" s="32" t="str">
        <f t="shared" si="8"/>
        <v/>
      </c>
    </row>
    <row r="83" spans="1:9" ht="15.6">
      <c r="A83" s="48" t="str">
        <v>NY: Amsterdam - 153 NY Route 67</v>
      </c>
      <c r="B83" s="34" t="str">
        <v>NY</v>
      </c>
      <c r="C83" s="35">
        <f>SUM(Jul!C83, Aug!C83, Sep!C83)</f>
        <v>0</v>
      </c>
      <c r="D83" s="36">
        <f>SUM(Jul!D83, Aug!D83, Sep!D83)</f>
        <v>0</v>
      </c>
      <c r="E83" s="36">
        <f t="shared" si="6"/>
        <v>0</v>
      </c>
      <c r="F83" s="71" t="str">
        <f t="shared" si="7"/>
        <v/>
      </c>
      <c r="G83" s="72">
        <f>SUM(Jul!G83,Aug!G83,Sep!G83)</f>
        <v>0</v>
      </c>
      <c r="H83" s="72">
        <f>SUM(Jul!H83, Aug!H83, Sep!H83)</f>
        <v>0</v>
      </c>
      <c r="I83" s="71" t="str">
        <f t="shared" si="8"/>
        <v/>
      </c>
    </row>
    <row r="84" spans="1:9" ht="15.6">
      <c r="A84" s="47" t="str">
        <v>CA: San Jose - GE Mobile Water</v>
      </c>
      <c r="B84" s="27" t="str">
        <v>CA</v>
      </c>
      <c r="C84" s="28">
        <f>SUM(Jul!C84, Aug!C84, Sep!C84)</f>
        <v>0</v>
      </c>
      <c r="D84" s="29">
        <f>SUM(Jul!D84, Aug!D84, Sep!D84)</f>
        <v>0</v>
      </c>
      <c r="E84" s="29">
        <f t="shared" si="6"/>
        <v>0</v>
      </c>
      <c r="F84" s="30" t="str">
        <f t="shared" si="7"/>
        <v/>
      </c>
      <c r="G84" s="31">
        <f>SUM(Jul!G84,Aug!G84,Sep!G84)</f>
        <v>0</v>
      </c>
      <c r="H84" s="31">
        <f>SUM(Jul!H84, Aug!H84, Sep!H84)</f>
        <v>0</v>
      </c>
      <c r="I84" s="32" t="str">
        <f t="shared" si="8"/>
        <v/>
      </c>
    </row>
    <row r="85" spans="1:9" ht="15.6">
      <c r="A85" s="48" t="str">
        <v>NY: Rome - 7776 Tannery RD</v>
      </c>
      <c r="B85" s="34" t="str">
        <v>NY</v>
      </c>
      <c r="C85" s="35">
        <f>SUM(Jul!C85, Aug!C85, Sep!C85)</f>
        <v>0</v>
      </c>
      <c r="D85" s="36">
        <f>SUM(Jul!D85, Aug!D85, Sep!D85)</f>
        <v>0</v>
      </c>
      <c r="E85" s="36">
        <f t="shared" si="6"/>
        <v>0</v>
      </c>
      <c r="F85" s="71" t="str">
        <f t="shared" si="7"/>
        <v/>
      </c>
      <c r="G85" s="72">
        <f>SUM(Jul!G85,Aug!G85,Sep!G85)</f>
        <v>0</v>
      </c>
      <c r="H85" s="72">
        <f>SUM(Jul!H85, Aug!H85, Sep!H85)</f>
        <v>0</v>
      </c>
      <c r="I85" s="71" t="str">
        <f t="shared" si="8"/>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85 I4:I8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workbookViewId="0">
      <pane xSplit="2" ySplit="3" topLeftCell="C67" activePane="bottomRight" state="frozen"/>
      <selection pane="bottomRight" activeCell="H88" sqref="H88"/>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2" t="str" cm="1">
        <f t="array" ref="A1">portfolio</f>
        <v>Clean Capital</v>
      </c>
      <c r="B1" s="122"/>
      <c r="C1" s="122"/>
      <c r="D1" s="123" t="s">
        <v>17</v>
      </c>
      <c r="E1" s="123"/>
      <c r="F1" s="123"/>
      <c r="G1" s="121" t="s">
        <v>18</v>
      </c>
      <c r="H1" s="121"/>
      <c r="I1" s="121"/>
    </row>
    <row r="2" spans="1:9" ht="19.5" customHeight="1">
      <c r="A2" s="124" t="s">
        <v>2</v>
      </c>
      <c r="B2" s="124"/>
      <c r="C2" s="5">
        <f>SUM(C4:C178)</f>
        <v>0</v>
      </c>
      <c r="D2" s="5">
        <f>SUM(D4:D178)</f>
        <v>0</v>
      </c>
      <c r="E2" s="5">
        <f>C2-D2</f>
        <v>0</v>
      </c>
      <c r="F2" s="6">
        <f>IFERROR(E2/D2, 0)</f>
        <v>0</v>
      </c>
      <c r="G2" s="5">
        <f>SUM(G4:G178)</f>
        <v>0</v>
      </c>
      <c r="H2" s="7">
        <f>C2-G2</f>
        <v>0</v>
      </c>
      <c r="I2" s="6">
        <f>IFERROR(H2/G2, 0)</f>
        <v>0</v>
      </c>
    </row>
    <row r="3" spans="1:9" ht="14.25" customHeight="1">
      <c r="A3" s="12" t="s">
        <v>4</v>
      </c>
      <c r="B3" s="12" t="s">
        <v>5</v>
      </c>
      <c r="C3" s="19" t="s">
        <v>6</v>
      </c>
      <c r="D3" s="20" t="s">
        <v>7</v>
      </c>
      <c r="E3" s="20" t="s">
        <v>8</v>
      </c>
      <c r="F3" s="21" t="s">
        <v>9</v>
      </c>
      <c r="G3" s="22" t="s">
        <v>10</v>
      </c>
      <c r="H3" s="23" t="s">
        <v>8</v>
      </c>
      <c r="I3" s="24" t="s">
        <v>9</v>
      </c>
    </row>
    <row r="4" spans="1:9" ht="15.6">
      <c r="A4" s="47" t="str" cm="1">
        <f t="array" ref="A4:A85">Sites[Site]</f>
        <v>Lexington - Cotting School</v>
      </c>
      <c r="B4" s="27" t="str" cm="1">
        <f t="array" ref="B4:B85">Sites[State]</f>
        <v>MA</v>
      </c>
      <c r="C4" s="28">
        <f>SUM(Oct!C4, Nov!C4, Dec!C4)</f>
        <v>0</v>
      </c>
      <c r="D4" s="29">
        <f>SUM(Oct!D4, Nov!D4, Dec!D4)</f>
        <v>0</v>
      </c>
      <c r="E4" s="29">
        <f>IF(AND(ISNUMBER(C4),ISNUMBER(D4)), C4-D4, "")</f>
        <v>0</v>
      </c>
      <c r="F4" s="30" t="str">
        <f>IFERROR(E4/D4, "")</f>
        <v/>
      </c>
      <c r="G4" s="31">
        <f>SUM(Oct!G4,Nov!G4,Dec!G4)</f>
        <v>0</v>
      </c>
      <c r="H4" s="31">
        <f>SUM(Oct!H4, Nov!H4, Dec!H4)</f>
        <v>0</v>
      </c>
      <c r="I4" s="32" t="str">
        <f>IFERROR(H4/G4, "")</f>
        <v/>
      </c>
    </row>
    <row r="5" spans="1:9" ht="15.6">
      <c r="A5" s="48" t="str">
        <v>Pacoima - Whiteman Airport</v>
      </c>
      <c r="B5" s="34" t="str">
        <v>CA</v>
      </c>
      <c r="C5" s="35">
        <f>SUM(Oct!C5, Nov!C5, Dec!C5)</f>
        <v>0</v>
      </c>
      <c r="D5" s="36">
        <f>SUM(Oct!D5, Nov!D5, Dec!D5)</f>
        <v>0</v>
      </c>
      <c r="E5" s="36">
        <f t="shared" ref="E5:E7" si="0">IF(AND(ISNUMBER(C5),ISNUMBER(D5)), C5-D5, "")</f>
        <v>0</v>
      </c>
      <c r="F5" s="37" t="str">
        <f>IFERROR(E5/D5, "")</f>
        <v/>
      </c>
      <c r="G5" s="36">
        <f>SUM(Oct!G5,Nov!G5,Dec!G5)</f>
        <v>0</v>
      </c>
      <c r="H5" s="38">
        <f>SUM(Oct!H5, Nov!H5, Dec!H5)</f>
        <v>0</v>
      </c>
      <c r="I5" s="37" t="str">
        <f>IFERROR(H5/G5, "")</f>
        <v/>
      </c>
    </row>
    <row r="6" spans="1:9" ht="15.6">
      <c r="A6" s="47" t="str">
        <v>Hyannis - Sturgis Charter School</v>
      </c>
      <c r="B6" s="27" t="str">
        <v>MA</v>
      </c>
      <c r="C6" s="28">
        <f>SUM(Oct!C6, Nov!C6, Dec!C6)</f>
        <v>0</v>
      </c>
      <c r="D6" s="29">
        <f>SUM(Oct!D6, Nov!D6, Dec!D6)</f>
        <v>0</v>
      </c>
      <c r="E6" s="29">
        <f t="shared" si="0"/>
        <v>0</v>
      </c>
      <c r="F6" s="30" t="str">
        <f t="shared" ref="F6:F7" si="1">IFERROR(E6/D6, "")</f>
        <v/>
      </c>
      <c r="G6" s="31">
        <f>SUM(Oct!G6,Nov!G6,Dec!G6)</f>
        <v>0</v>
      </c>
      <c r="H6" s="31">
        <f>SUM(Oct!H6, Nov!H6, Dec!H6)</f>
        <v>0</v>
      </c>
      <c r="I6" s="32" t="str">
        <f t="shared" ref="I6:I7" si="2">IFERROR(H6/G6, "")</f>
        <v/>
      </c>
    </row>
    <row r="7" spans="1:9" ht="15.6">
      <c r="A7" s="48" t="str">
        <v>South Dennis - Tony Kent Arena</v>
      </c>
      <c r="B7" s="34" t="str">
        <v>MA</v>
      </c>
      <c r="C7" s="35">
        <f>SUM(Oct!C7, Nov!C7, Dec!C7)</f>
        <v>0</v>
      </c>
      <c r="D7" s="36">
        <f>SUM(Oct!D7, Nov!D7, Dec!D7)</f>
        <v>0</v>
      </c>
      <c r="E7" s="36">
        <f t="shared" si="0"/>
        <v>0</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0</v>
      </c>
      <c r="D8" s="29">
        <f>SUM(Oct!D8, Nov!D8, Dec!D8)</f>
        <v>0</v>
      </c>
      <c r="E8" s="29">
        <f t="shared" ref="E8:E24" si="3">IF(AND(ISNUMBER(C8),ISNUMBER(D8)), C8-D8, "")</f>
        <v>0</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0</v>
      </c>
      <c r="D9" s="36">
        <f>SUM(Oct!D9, Nov!D9, Dec!D9)</f>
        <v>0</v>
      </c>
      <c r="E9" s="36">
        <f t="shared" si="3"/>
        <v>0</v>
      </c>
      <c r="F9" s="71" t="str">
        <f t="shared" si="4"/>
        <v/>
      </c>
      <c r="G9" s="36">
        <f>SUM(Oct!G9,Nov!G9,Dec!G9)</f>
        <v>0</v>
      </c>
      <c r="H9" s="72">
        <f>SUM(Oct!H9, Nov!H9, Dec!H9)</f>
        <v>0</v>
      </c>
      <c r="I9" s="71" t="str">
        <f t="shared" si="5"/>
        <v/>
      </c>
    </row>
    <row r="10" spans="1:9" ht="15.6">
      <c r="A10" s="47" t="str">
        <v>Zumbrota - Eastlake Brenda Luhman</v>
      </c>
      <c r="B10" s="27" t="str">
        <v>MN</v>
      </c>
      <c r="C10" s="28">
        <f>SUM(Oct!C10, Nov!C10, Dec!C10)</f>
        <v>0</v>
      </c>
      <c r="D10" s="29">
        <f>SUM(Oct!D10, Nov!D10, Dec!D10)</f>
        <v>0</v>
      </c>
      <c r="E10" s="29">
        <f t="shared" si="3"/>
        <v>0</v>
      </c>
      <c r="F10" s="30" t="str">
        <f t="shared" si="4"/>
        <v/>
      </c>
      <c r="G10" s="31">
        <f>SUM(Oct!G10,Nov!G10,Dec!G10)</f>
        <v>0</v>
      </c>
      <c r="H10" s="31">
        <f>SUM(Oct!H10, Nov!H10, Dec!H10)</f>
        <v>0</v>
      </c>
      <c r="I10" s="32" t="str">
        <f t="shared" si="5"/>
        <v/>
      </c>
    </row>
    <row r="11" spans="1:9" ht="15.6">
      <c r="A11" s="48" t="str">
        <v>Cokato - Eastlake Carlson</v>
      </c>
      <c r="B11" s="34" t="str">
        <v>MN</v>
      </c>
      <c r="C11" s="35">
        <f>SUM(Oct!C11, Nov!C11, Dec!C11)</f>
        <v>0</v>
      </c>
      <c r="D11" s="36">
        <f>SUM(Oct!D11, Nov!D11, Dec!D11)</f>
        <v>0</v>
      </c>
      <c r="E11" s="36">
        <f t="shared" si="3"/>
        <v>0</v>
      </c>
      <c r="F11" s="71" t="str">
        <f t="shared" si="4"/>
        <v/>
      </c>
      <c r="G11" s="36">
        <f>SUM(Oct!G11,Nov!G11,Dec!G11)</f>
        <v>0</v>
      </c>
      <c r="H11" s="72">
        <f>SUM(Oct!H11, Nov!H11, Dec!H11)</f>
        <v>0</v>
      </c>
      <c r="I11" s="71" t="str">
        <f t="shared" si="5"/>
        <v/>
      </c>
    </row>
    <row r="12" spans="1:9" ht="15.6">
      <c r="A12" s="47" t="str">
        <v>North Branch - Cornille 2</v>
      </c>
      <c r="B12" s="27" t="str">
        <v>MN</v>
      </c>
      <c r="C12" s="28">
        <f>SUM(Oct!C12, Nov!C12, Dec!C12)</f>
        <v>0</v>
      </c>
      <c r="D12" s="29">
        <f>SUM(Oct!D12, Nov!D12, Dec!D12)</f>
        <v>0</v>
      </c>
      <c r="E12" s="29">
        <f t="shared" si="3"/>
        <v>0</v>
      </c>
      <c r="F12" s="30" t="str">
        <f t="shared" si="4"/>
        <v/>
      </c>
      <c r="G12" s="31">
        <f>SUM(Oct!G12,Nov!G12,Dec!G12)</f>
        <v>0</v>
      </c>
      <c r="H12" s="31">
        <f>SUM(Oct!H12, Nov!H12, Dec!H12)</f>
        <v>0</v>
      </c>
      <c r="I12" s="32" t="str">
        <f t="shared" si="5"/>
        <v/>
      </c>
    </row>
    <row r="13" spans="1:9" ht="15.6">
      <c r="A13" s="48" t="str">
        <v>Clear Lake - Eastlake Hammer</v>
      </c>
      <c r="B13" s="34" t="str">
        <v>MN</v>
      </c>
      <c r="C13" s="35">
        <f>SUM(Oct!C13, Nov!C13, Dec!C13)</f>
        <v>0</v>
      </c>
      <c r="D13" s="36">
        <f>SUM(Oct!D13, Nov!D13, Dec!D13)</f>
        <v>0</v>
      </c>
      <c r="E13" s="36">
        <f t="shared" si="3"/>
        <v>0</v>
      </c>
      <c r="F13" s="71" t="str">
        <f t="shared" si="4"/>
        <v/>
      </c>
      <c r="G13" s="36">
        <f>SUM(Oct!G13,Nov!G13,Dec!G13)</f>
        <v>0</v>
      </c>
      <c r="H13" s="72">
        <f>SUM(Oct!H13, Nov!H13, Dec!H13)</f>
        <v>0</v>
      </c>
      <c r="I13" s="71" t="str">
        <f t="shared" si="5"/>
        <v/>
      </c>
    </row>
    <row r="14" spans="1:9" ht="15.6">
      <c r="A14" s="47" t="str">
        <v>Eastlake - Hertzberg CSG 1</v>
      </c>
      <c r="B14" s="27" t="str">
        <v>MN</v>
      </c>
      <c r="C14" s="28">
        <f>SUM(Oct!C14, Nov!C14, Dec!C14)</f>
        <v>0</v>
      </c>
      <c r="D14" s="29">
        <f>SUM(Oct!D14, Nov!D14, Dec!D14)</f>
        <v>0</v>
      </c>
      <c r="E14" s="29">
        <f t="shared" si="3"/>
        <v>0</v>
      </c>
      <c r="F14" s="30" t="str">
        <f t="shared" si="4"/>
        <v/>
      </c>
      <c r="G14" s="31">
        <f>SUM(Oct!G14,Nov!G14,Dec!G14)</f>
        <v>0</v>
      </c>
      <c r="H14" s="31">
        <f>SUM(Oct!H14, Nov!H14, Dec!H14)</f>
        <v>0</v>
      </c>
      <c r="I14" s="32" t="str">
        <f t="shared" si="5"/>
        <v/>
      </c>
    </row>
    <row r="15" spans="1:9" ht="15.6">
      <c r="A15" s="48" t="str">
        <v>Cokato - Eastlake Laurel Village</v>
      </c>
      <c r="B15" s="34" t="str">
        <v>MN</v>
      </c>
      <c r="C15" s="35">
        <f>SUM(Oct!C15, Nov!C15, Dec!C15)</f>
        <v>0</v>
      </c>
      <c r="D15" s="36">
        <f>SUM(Oct!D15, Nov!D15, Dec!D15)</f>
        <v>0</v>
      </c>
      <c r="E15" s="36">
        <f t="shared" si="3"/>
        <v>0</v>
      </c>
      <c r="F15" s="71" t="str">
        <f t="shared" si="4"/>
        <v/>
      </c>
      <c r="G15" s="36">
        <f>SUM(Oct!G15,Nov!G15,Dec!G15)</f>
        <v>0</v>
      </c>
      <c r="H15" s="72">
        <f>SUM(Oct!H15, Nov!H15, Dec!H15)</f>
        <v>0</v>
      </c>
      <c r="I15" s="71" t="str">
        <f t="shared" si="5"/>
        <v/>
      </c>
    </row>
    <row r="16" spans="1:9" ht="15.6">
      <c r="A16" s="47" t="str">
        <v>St. Peter - Eastlake Paulson</v>
      </c>
      <c r="B16" s="27" t="str">
        <v>MN</v>
      </c>
      <c r="C16" s="28">
        <f>SUM(Oct!C16, Nov!C16, Dec!C16)</f>
        <v>0</v>
      </c>
      <c r="D16" s="29">
        <f>SUM(Oct!D16, Nov!D16, Dec!D16)</f>
        <v>0</v>
      </c>
      <c r="E16" s="29">
        <f t="shared" si="3"/>
        <v>0</v>
      </c>
      <c r="F16" s="30" t="str">
        <f t="shared" si="4"/>
        <v/>
      </c>
      <c r="G16" s="31">
        <f>SUM(Oct!G16,Nov!G16,Dec!G16)</f>
        <v>0</v>
      </c>
      <c r="H16" s="31">
        <f>SUM(Oct!H16, Nov!H16, Dec!H16)</f>
        <v>0</v>
      </c>
      <c r="I16" s="32" t="str">
        <f t="shared" si="5"/>
        <v/>
      </c>
    </row>
    <row r="17" spans="1:9" ht="15.6">
      <c r="A17" s="48" t="str">
        <v>Felician Sisters Convent</v>
      </c>
      <c r="B17" s="34" t="str">
        <v>NJ</v>
      </c>
      <c r="C17" s="35">
        <f>SUM(Oct!C17, Nov!C17, Dec!C17)</f>
        <v>0</v>
      </c>
      <c r="D17" s="36">
        <f>SUM(Oct!D17, Nov!D17, Dec!D17)</f>
        <v>0</v>
      </c>
      <c r="E17" s="36">
        <f t="shared" si="3"/>
        <v>0</v>
      </c>
      <c r="F17" s="71" t="str">
        <f t="shared" si="4"/>
        <v/>
      </c>
      <c r="G17" s="36">
        <f>SUM(Oct!G17,Nov!G17,Dec!G17)</f>
        <v>0</v>
      </c>
      <c r="H17" s="72">
        <f>SUM(Oct!H17, Nov!H17, Dec!H17)</f>
        <v>0</v>
      </c>
      <c r="I17" s="71" t="str">
        <f t="shared" si="5"/>
        <v/>
      </c>
    </row>
    <row r="18" spans="1:9" ht="15.6">
      <c r="A18" s="47" t="str">
        <v>Sussex County Fairgrounds</v>
      </c>
      <c r="B18" s="27" t="str">
        <v>NJ</v>
      </c>
      <c r="C18" s="28">
        <f>SUM(Oct!C18, Nov!C18, Dec!C18)</f>
        <v>0</v>
      </c>
      <c r="D18" s="29">
        <f>SUM(Oct!D18, Nov!D18, Dec!D18)</f>
        <v>0</v>
      </c>
      <c r="E18" s="29">
        <f t="shared" si="3"/>
        <v>0</v>
      </c>
      <c r="F18" s="30" t="str">
        <f t="shared" si="4"/>
        <v/>
      </c>
      <c r="G18" s="31">
        <f>SUM(Oct!G18,Nov!G18,Dec!G18)</f>
        <v>0</v>
      </c>
      <c r="H18" s="31">
        <f>SUM(Oct!H18, Nov!H18, Dec!H18)</f>
        <v>0</v>
      </c>
      <c r="I18" s="32" t="str">
        <f t="shared" si="5"/>
        <v/>
      </c>
    </row>
    <row r="19" spans="1:9" ht="15.6">
      <c r="A19" s="48" t="str">
        <v>Gateway Church</v>
      </c>
      <c r="B19" s="34" t="str">
        <v>NJ</v>
      </c>
      <c r="C19" s="35">
        <f>SUM(Oct!C19, Nov!C19, Dec!C19)</f>
        <v>0</v>
      </c>
      <c r="D19" s="36">
        <f>SUM(Oct!D19, Nov!D19, Dec!D19)</f>
        <v>0</v>
      </c>
      <c r="E19" s="36">
        <f t="shared" si="3"/>
        <v>0</v>
      </c>
      <c r="F19" s="71" t="str">
        <f t="shared" si="4"/>
        <v/>
      </c>
      <c r="G19" s="36">
        <f>SUM(Oct!G19,Nov!G19,Dec!G19)</f>
        <v>0</v>
      </c>
      <c r="H19" s="72">
        <f>SUM(Oct!H19, Nov!H19, Dec!H19)</f>
        <v>0</v>
      </c>
      <c r="I19" s="71" t="str">
        <f t="shared" si="5"/>
        <v/>
      </c>
    </row>
    <row r="20" spans="1:9" ht="15.6">
      <c r="A20" s="47" t="str">
        <v>Beaver Falls - Felician Sisters</v>
      </c>
      <c r="B20" s="27" t="str">
        <v>PA</v>
      </c>
      <c r="C20" s="28">
        <f>SUM(Oct!C20, Nov!C20, Dec!C20)</f>
        <v>0</v>
      </c>
      <c r="D20" s="29">
        <f>SUM(Oct!D20, Nov!D20, Dec!D20)</f>
        <v>0</v>
      </c>
      <c r="E20" s="29">
        <f t="shared" si="3"/>
        <v>0</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0</v>
      </c>
      <c r="D21" s="36">
        <f>SUM(Oct!D21, Nov!D21, Dec!D21)</f>
        <v>0</v>
      </c>
      <c r="E21" s="36">
        <f t="shared" si="3"/>
        <v>0</v>
      </c>
      <c r="F21" s="71" t="str">
        <f t="shared" si="4"/>
        <v/>
      </c>
      <c r="G21" s="36">
        <f>SUM(Oct!G21,Nov!G21,Dec!G21)</f>
        <v>0</v>
      </c>
      <c r="H21" s="72">
        <f>SUM(Oct!H21, Nov!H21, Dec!H21)</f>
        <v>0</v>
      </c>
      <c r="I21" s="71" t="str">
        <f t="shared" si="5"/>
        <v/>
      </c>
    </row>
    <row r="22" spans="1:9" ht="15.6">
      <c r="A22" s="47" t="str">
        <v>Livonia - Felician Sisters Roof</v>
      </c>
      <c r="B22" s="27" t="str">
        <v>MI</v>
      </c>
      <c r="C22" s="28">
        <f>SUM(Oct!C22, Nov!C22, Dec!C22)</f>
        <v>0</v>
      </c>
      <c r="D22" s="29">
        <f>SUM(Oct!D22, Nov!D22, Dec!D22)</f>
        <v>0</v>
      </c>
      <c r="E22" s="29">
        <f t="shared" si="3"/>
        <v>0</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0</v>
      </c>
      <c r="D23" s="36">
        <f>SUM(Oct!D23, Nov!D23, Dec!D23)</f>
        <v>0</v>
      </c>
      <c r="E23" s="36">
        <f t="shared" si="3"/>
        <v>0</v>
      </c>
      <c r="F23" s="71" t="str">
        <f t="shared" si="4"/>
        <v/>
      </c>
      <c r="G23" s="36">
        <f>SUM(Oct!G23,Nov!G23,Dec!G23)</f>
        <v>0</v>
      </c>
      <c r="H23" s="72">
        <f>SUM(Oct!H23, Nov!H23, Dec!H23)</f>
        <v>0</v>
      </c>
      <c r="I23" s="71" t="str">
        <f t="shared" si="5"/>
        <v/>
      </c>
    </row>
    <row r="24" spans="1:9" ht="15.6">
      <c r="A24" s="47" t="str">
        <v xml:space="preserve"> Audubon - Senior Citizens United</v>
      </c>
      <c r="B24" s="27" t="str">
        <v>NJ</v>
      </c>
      <c r="C24" s="28">
        <f>SUM(Oct!C24, Nov!C24, Dec!C24)</f>
        <v>0</v>
      </c>
      <c r="D24" s="29">
        <f>SUM(Oct!D24, Nov!D24, Dec!D24)</f>
        <v>0</v>
      </c>
      <c r="E24" s="29">
        <f t="shared" si="3"/>
        <v>0</v>
      </c>
      <c r="F24" s="30" t="str">
        <f t="shared" si="4"/>
        <v/>
      </c>
      <c r="G24" s="31">
        <f>SUM(Oct!G24,Nov!G24,Dec!G24)</f>
        <v>0</v>
      </c>
      <c r="H24" s="31">
        <f>SUM(Oct!H24, Nov!H24, Dec!H24)</f>
        <v>0</v>
      </c>
      <c r="I24" s="32" t="str">
        <f t="shared" si="5"/>
        <v/>
      </c>
    </row>
    <row r="25" spans="1:9" ht="15.6">
      <c r="A25" s="48" t="str">
        <v>Hollister - PG&amp;E (Enerparc)</v>
      </c>
      <c r="B25" s="34" t="str">
        <v>CA</v>
      </c>
      <c r="C25" s="35">
        <f>SUM(Oct!C25, Nov!C25, Dec!C25)</f>
        <v>0</v>
      </c>
      <c r="D25" s="36">
        <f>SUM(Oct!D25, Nov!D25, Dec!D25)</f>
        <v>0</v>
      </c>
      <c r="E25" s="36">
        <f t="shared" ref="E25:E56" si="6">IF(AND(ISNUMBER(C25),ISNUMBER(D25)), C25-D25, "")</f>
        <v>0</v>
      </c>
      <c r="F25" s="71" t="str">
        <f t="shared" ref="F25:F56" si="7">IFERROR(E25/D25, "")</f>
        <v/>
      </c>
      <c r="G25" s="36">
        <f>SUM(Oct!G25,Nov!G25,Dec!G25)</f>
        <v>0</v>
      </c>
      <c r="H25" s="72">
        <f>SUM(Oct!H25, Nov!H25, Dec!H25)</f>
        <v>0</v>
      </c>
      <c r="I25" s="71" t="str">
        <f t="shared" ref="I25:I56" si="8">IFERROR(H25/G25, "")</f>
        <v/>
      </c>
    </row>
    <row r="26" spans="1:9" ht="15.6">
      <c r="A26" s="47" t="str">
        <v>Taos County - Kit Carson Electric Co-Op</v>
      </c>
      <c r="B26" s="27" t="str">
        <v>NM</v>
      </c>
      <c r="C26" s="28">
        <f>SUM(Oct!C26, Nov!C26, Dec!C26)</f>
        <v>0</v>
      </c>
      <c r="D26" s="29">
        <f>SUM(Oct!D26, Nov!D26, Dec!D26)</f>
        <v>0</v>
      </c>
      <c r="E26" s="29">
        <f t="shared" si="6"/>
        <v>0</v>
      </c>
      <c r="F26" s="30" t="str">
        <f t="shared" si="7"/>
        <v/>
      </c>
      <c r="G26" s="31">
        <f>SUM(Oct!G26,Nov!G26,Dec!G26)</f>
        <v>0</v>
      </c>
      <c r="H26" s="31">
        <f>SUM(Oct!H26, Nov!H26, Dec!H26)</f>
        <v>0</v>
      </c>
      <c r="I26" s="32" t="str">
        <f t="shared" si="8"/>
        <v/>
      </c>
    </row>
    <row r="27" spans="1:9" ht="15.6">
      <c r="A27" s="48" t="str">
        <v>Commerce City - Adams City HS</v>
      </c>
      <c r="B27" s="34" t="str">
        <v>CO</v>
      </c>
      <c r="C27" s="35">
        <f>SUM(Oct!C27, Nov!C27, Dec!C27)</f>
        <v>0</v>
      </c>
      <c r="D27" s="36">
        <f>SUM(Oct!D27, Nov!D27, Dec!D27)</f>
        <v>0</v>
      </c>
      <c r="E27" s="36">
        <f t="shared" si="6"/>
        <v>0</v>
      </c>
      <c r="F27" s="71" t="str">
        <f t="shared" si="7"/>
        <v/>
      </c>
      <c r="G27" s="36">
        <f>SUM(Oct!G27,Nov!G27,Dec!G27)</f>
        <v>0</v>
      </c>
      <c r="H27" s="72">
        <f>SUM(Oct!H27, Nov!H27, Dec!H27)</f>
        <v>0</v>
      </c>
      <c r="I27" s="71" t="str">
        <f t="shared" si="8"/>
        <v/>
      </c>
    </row>
    <row r="28" spans="1:9" ht="15.6">
      <c r="A28" s="47" t="str">
        <v>Commerce City - Adams City MS</v>
      </c>
      <c r="B28" s="27" t="str">
        <v>CO</v>
      </c>
      <c r="C28" s="28">
        <f>SUM(Oct!C28, Nov!C28, Dec!C28)</f>
        <v>0</v>
      </c>
      <c r="D28" s="29">
        <f>SUM(Oct!D28, Nov!D28, Dec!D28)</f>
        <v>0</v>
      </c>
      <c r="E28" s="29">
        <f t="shared" si="6"/>
        <v>0</v>
      </c>
      <c r="F28" s="30" t="str">
        <f t="shared" si="7"/>
        <v/>
      </c>
      <c r="G28" s="31">
        <f>SUM(Oct!G28,Nov!G28,Dec!G28)</f>
        <v>0</v>
      </c>
      <c r="H28" s="31">
        <f>SUM(Oct!H28, Nov!H28, Dec!H28)</f>
        <v>0</v>
      </c>
      <c r="I28" s="32" t="str">
        <f t="shared" si="8"/>
        <v/>
      </c>
    </row>
    <row r="29" spans="1:9" ht="15.6">
      <c r="A29" s="48" t="str">
        <v>Commerce City - Central ES</v>
      </c>
      <c r="B29" s="34" t="str">
        <v>CO</v>
      </c>
      <c r="C29" s="35">
        <f>SUM(Oct!C29, Nov!C29, Dec!C29)</f>
        <v>0</v>
      </c>
      <c r="D29" s="36">
        <f>SUM(Oct!D29, Nov!D29, Dec!D29)</f>
        <v>0</v>
      </c>
      <c r="E29" s="36">
        <f t="shared" si="6"/>
        <v>0</v>
      </c>
      <c r="F29" s="71" t="str">
        <f t="shared" si="7"/>
        <v/>
      </c>
      <c r="G29" s="36">
        <f>SUM(Oct!G29,Nov!G29,Dec!G29)</f>
        <v>0</v>
      </c>
      <c r="H29" s="72">
        <f>SUM(Oct!H29, Nov!H29, Dec!H29)</f>
        <v>0</v>
      </c>
      <c r="I29" s="71" t="str">
        <f t="shared" si="8"/>
        <v/>
      </c>
    </row>
    <row r="30" spans="1:9" ht="15.6">
      <c r="A30" s="47" t="str">
        <v>Commerce City - Dupont ES</v>
      </c>
      <c r="B30" s="27" t="str">
        <v>CO</v>
      </c>
      <c r="C30" s="28">
        <f>SUM(Oct!C30, Nov!C30, Dec!C30)</f>
        <v>0</v>
      </c>
      <c r="D30" s="29">
        <f>SUM(Oct!D30, Nov!D30, Dec!D30)</f>
        <v>0</v>
      </c>
      <c r="E30" s="29">
        <f t="shared" si="6"/>
        <v>0</v>
      </c>
      <c r="F30" s="30" t="str">
        <f t="shared" si="7"/>
        <v/>
      </c>
      <c r="G30" s="31">
        <f>SUM(Oct!G30,Nov!G30,Dec!G30)</f>
        <v>0</v>
      </c>
      <c r="H30" s="31">
        <f>SUM(Oct!H30, Nov!H30, Dec!H30)</f>
        <v>0</v>
      </c>
      <c r="I30" s="32" t="str">
        <f t="shared" si="8"/>
        <v/>
      </c>
    </row>
    <row r="31" spans="1:9" ht="15.6">
      <c r="A31" s="48" t="str">
        <v>Commerce City - Educational Support Services</v>
      </c>
      <c r="B31" s="34" t="str">
        <v>CO</v>
      </c>
      <c r="C31" s="35">
        <f>SUM(Oct!C31, Nov!C31, Dec!C31)</f>
        <v>0</v>
      </c>
      <c r="D31" s="36">
        <f>SUM(Oct!D31, Nov!D31, Dec!D31)</f>
        <v>0</v>
      </c>
      <c r="E31" s="36">
        <f t="shared" si="6"/>
        <v>0</v>
      </c>
      <c r="F31" s="71" t="str">
        <f t="shared" si="7"/>
        <v/>
      </c>
      <c r="G31" s="36">
        <f>SUM(Oct!G31,Nov!G31,Dec!G31)</f>
        <v>0</v>
      </c>
      <c r="H31" s="72">
        <f>SUM(Oct!H31, Nov!H31, Dec!H31)</f>
        <v>0</v>
      </c>
      <c r="I31" s="71" t="str">
        <f t="shared" si="8"/>
        <v/>
      </c>
    </row>
    <row r="32" spans="1:9" ht="15.6">
      <c r="A32" s="47" t="str">
        <v>Commerce City - Hanson ES</v>
      </c>
      <c r="B32" s="27" t="str">
        <v>CO</v>
      </c>
      <c r="C32" s="28">
        <f>SUM(Oct!C32, Nov!C32, Dec!C32)</f>
        <v>0</v>
      </c>
      <c r="D32" s="29">
        <f>SUM(Oct!D32, Nov!D32, Dec!D32)</f>
        <v>0</v>
      </c>
      <c r="E32" s="29">
        <f t="shared" si="6"/>
        <v>0</v>
      </c>
      <c r="F32" s="30" t="str">
        <f t="shared" si="7"/>
        <v/>
      </c>
      <c r="G32" s="31">
        <f>SUM(Oct!G32,Nov!G32,Dec!G32)</f>
        <v>0</v>
      </c>
      <c r="H32" s="31">
        <f>SUM(Oct!H32, Nov!H32, Dec!H32)</f>
        <v>0</v>
      </c>
      <c r="I32" s="32" t="str">
        <f t="shared" si="8"/>
        <v/>
      </c>
    </row>
    <row r="33" spans="1:9" ht="15.6">
      <c r="A33" s="48" t="str">
        <v>Commerce City - Kemp ES</v>
      </c>
      <c r="B33" s="34" t="str">
        <v>CO</v>
      </c>
      <c r="C33" s="35">
        <f>SUM(Oct!C33, Nov!C33, Dec!C33)</f>
        <v>0</v>
      </c>
      <c r="D33" s="36">
        <f>SUM(Oct!D33, Nov!D33, Dec!D33)</f>
        <v>0</v>
      </c>
      <c r="E33" s="36">
        <f t="shared" si="6"/>
        <v>0</v>
      </c>
      <c r="F33" s="71" t="str">
        <f t="shared" si="7"/>
        <v/>
      </c>
      <c r="G33" s="36">
        <f>SUM(Oct!G33,Nov!G33,Dec!G33)</f>
        <v>0</v>
      </c>
      <c r="H33" s="72">
        <f>SUM(Oct!H33, Nov!H33, Dec!H33)</f>
        <v>0</v>
      </c>
      <c r="I33" s="71" t="str">
        <f t="shared" si="8"/>
        <v/>
      </c>
    </row>
    <row r="34" spans="1:9" ht="15.6">
      <c r="A34" s="47" t="str">
        <v>Commerce City -  Lester Arnold HS</v>
      </c>
      <c r="B34" s="27" t="str">
        <v>CO</v>
      </c>
      <c r="C34" s="28">
        <f>SUM(Oct!C34, Nov!C34, Dec!C34)</f>
        <v>0</v>
      </c>
      <c r="D34" s="29">
        <f>SUM(Oct!D34, Nov!D34, Dec!D34)</f>
        <v>0</v>
      </c>
      <c r="E34" s="29">
        <f t="shared" si="6"/>
        <v>0</v>
      </c>
      <c r="F34" s="30" t="str">
        <f t="shared" si="7"/>
        <v/>
      </c>
      <c r="G34" s="31">
        <f>SUM(Oct!G34,Nov!G34,Dec!G34)</f>
        <v>0</v>
      </c>
      <c r="H34" s="31">
        <f>SUM(Oct!H34, Nov!H34, Dec!H34)</f>
        <v>0</v>
      </c>
      <c r="I34" s="32" t="str">
        <f t="shared" si="8"/>
        <v/>
      </c>
    </row>
    <row r="35" spans="1:9" ht="15.6">
      <c r="A35" s="48" t="str">
        <v>Commerce City - Monaco ES</v>
      </c>
      <c r="B35" s="34" t="str">
        <v>CO</v>
      </c>
      <c r="C35" s="35">
        <f>SUM(Oct!C35, Nov!C35, Dec!C35)</f>
        <v>0</v>
      </c>
      <c r="D35" s="36">
        <f>SUM(Oct!D35, Nov!D35, Dec!D35)</f>
        <v>0</v>
      </c>
      <c r="E35" s="36">
        <f t="shared" si="6"/>
        <v>0</v>
      </c>
      <c r="F35" s="71" t="str">
        <f t="shared" si="7"/>
        <v/>
      </c>
      <c r="G35" s="36">
        <f>SUM(Oct!G35,Nov!G35,Dec!G35)</f>
        <v>0</v>
      </c>
      <c r="H35" s="72">
        <f>SUM(Oct!H35, Nov!H35, Dec!H35)</f>
        <v>0</v>
      </c>
      <c r="I35" s="71" t="str">
        <f t="shared" si="8"/>
        <v/>
      </c>
    </row>
    <row r="36" spans="1:9" ht="15.6">
      <c r="A36" s="47" t="str">
        <v>Denver - Northgate / Old Fort Logan ES</v>
      </c>
      <c r="B36" s="27" t="str">
        <v>CO</v>
      </c>
      <c r="C36" s="28">
        <f>SUM(Oct!C36, Nov!C36, Dec!C36)</f>
        <v>0</v>
      </c>
      <c r="D36" s="29">
        <f>SUM(Oct!D36, Nov!D36, Dec!D36)</f>
        <v>0</v>
      </c>
      <c r="E36" s="29">
        <f t="shared" si="6"/>
        <v>0</v>
      </c>
      <c r="F36" s="30" t="str">
        <f t="shared" si="7"/>
        <v/>
      </c>
      <c r="G36" s="31">
        <f>SUM(Oct!G36,Nov!G36,Dec!G36)</f>
        <v>0</v>
      </c>
      <c r="H36" s="31">
        <f>SUM(Oct!H36, Nov!H36, Dec!H36)</f>
        <v>0</v>
      </c>
      <c r="I36" s="32" t="str">
        <f t="shared" si="8"/>
        <v/>
      </c>
    </row>
    <row r="37" spans="1:9" ht="15.6">
      <c r="A37" s="48" t="str">
        <v>Denver - Sheridan High School</v>
      </c>
      <c r="B37" s="34" t="str">
        <v>CO</v>
      </c>
      <c r="C37" s="35">
        <f>SUM(Oct!C37, Nov!C37, Dec!C37)</f>
        <v>0</v>
      </c>
      <c r="D37" s="36">
        <f>SUM(Oct!D37, Nov!D37, Dec!D37)</f>
        <v>0</v>
      </c>
      <c r="E37" s="36">
        <f t="shared" si="6"/>
        <v>0</v>
      </c>
      <c r="F37" s="71" t="str">
        <f t="shared" si="7"/>
        <v/>
      </c>
      <c r="G37" s="36">
        <f>SUM(Oct!G37,Nov!G37,Dec!G37)</f>
        <v>0</v>
      </c>
      <c r="H37" s="72">
        <f>SUM(Oct!H37, Nov!H37, Dec!H37)</f>
        <v>0</v>
      </c>
      <c r="I37" s="71" t="str">
        <f t="shared" si="8"/>
        <v/>
      </c>
    </row>
    <row r="38" spans="1:9" ht="15.6">
      <c r="A38" s="47" t="str">
        <v>Englewood -  Alice Terry Elementary</v>
      </c>
      <c r="B38" s="27" t="str">
        <v>CO</v>
      </c>
      <c r="C38" s="28">
        <f>SUM(Oct!C38, Nov!C38, Dec!C38)</f>
        <v>0</v>
      </c>
      <c r="D38" s="29">
        <f>SUM(Oct!D38, Nov!D38, Dec!D38)</f>
        <v>0</v>
      </c>
      <c r="E38" s="29">
        <f t="shared" si="6"/>
        <v>0</v>
      </c>
      <c r="F38" s="30" t="str">
        <f t="shared" si="7"/>
        <v/>
      </c>
      <c r="G38" s="31">
        <f>SUM(Oct!G38,Nov!G38,Dec!G38)</f>
        <v>0</v>
      </c>
      <c r="H38" s="31">
        <f>SUM(Oct!H38, Nov!H38, Dec!H38)</f>
        <v>0</v>
      </c>
      <c r="I38" s="32" t="str">
        <f t="shared" si="8"/>
        <v/>
      </c>
    </row>
    <row r="39" spans="1:9" ht="15.6">
      <c r="A39" s="48" t="str">
        <v>Englewood - Sheridan Middle School</v>
      </c>
      <c r="B39" s="34" t="str">
        <v>CO</v>
      </c>
      <c r="C39" s="35">
        <f>SUM(Oct!C39, Nov!C39, Dec!C39)</f>
        <v>0</v>
      </c>
      <c r="D39" s="36">
        <f>SUM(Oct!D39, Nov!D39, Dec!D39)</f>
        <v>0</v>
      </c>
      <c r="E39" s="36">
        <f t="shared" si="6"/>
        <v>0</v>
      </c>
      <c r="F39" s="71" t="str">
        <f t="shared" si="7"/>
        <v/>
      </c>
      <c r="G39" s="36">
        <f>SUM(Oct!G39,Nov!G39,Dec!G39)</f>
        <v>0</v>
      </c>
      <c r="H39" s="72">
        <f>SUM(Oct!H39, Nov!H39, Dec!H39)</f>
        <v>0</v>
      </c>
      <c r="I39" s="71" t="str">
        <f t="shared" si="8"/>
        <v/>
      </c>
    </row>
    <row r="40" spans="1:9" ht="15.6">
      <c r="A40" s="47" t="str">
        <v>Goshen - NIPSCO</v>
      </c>
      <c r="B40" s="27" t="str">
        <v>IN</v>
      </c>
      <c r="C40" s="28">
        <f>SUM(Oct!C40, Nov!C40, Dec!C40)</f>
        <v>0</v>
      </c>
      <c r="D40" s="29">
        <f>SUM(Oct!D40, Nov!D40, Dec!D40)</f>
        <v>0</v>
      </c>
      <c r="E40" s="29">
        <f t="shared" si="6"/>
        <v>0</v>
      </c>
      <c r="F40" s="30" t="str">
        <f t="shared" si="7"/>
        <v/>
      </c>
      <c r="G40" s="31">
        <f>SUM(Oct!G40,Nov!G40,Dec!G40)</f>
        <v>0</v>
      </c>
      <c r="H40" s="31">
        <f>SUM(Oct!H40, Nov!H40, Dec!H40)</f>
        <v>0</v>
      </c>
      <c r="I40" s="32" t="str">
        <f t="shared" si="8"/>
        <v/>
      </c>
    </row>
    <row r="41" spans="1:9" ht="15.6">
      <c r="A41" s="48" t="str">
        <v>Alamogordo - City of Alamogordo - Effluent</v>
      </c>
      <c r="B41" s="34" t="str">
        <v>NM</v>
      </c>
      <c r="C41" s="35">
        <f>SUM(Oct!C41, Nov!C41, Dec!C41)</f>
        <v>0</v>
      </c>
      <c r="D41" s="36">
        <f>SUM(Oct!D41, Nov!D41, Dec!D41)</f>
        <v>0</v>
      </c>
      <c r="E41" s="36">
        <f t="shared" si="6"/>
        <v>0</v>
      </c>
      <c r="F41" s="71" t="str">
        <f t="shared" si="7"/>
        <v/>
      </c>
      <c r="G41" s="36">
        <f>SUM(Oct!G41,Nov!G41,Dec!G41)</f>
        <v>0</v>
      </c>
      <c r="H41" s="72">
        <f>SUM(Oct!H41, Nov!H41, Dec!H41)</f>
        <v>0</v>
      </c>
      <c r="I41" s="71" t="str">
        <f t="shared" si="8"/>
        <v/>
      </c>
    </row>
    <row r="42" spans="1:9" ht="15.6">
      <c r="A42" s="47" t="str">
        <v>Alamogordo - City of Alamogordo - WWTP</v>
      </c>
      <c r="B42" s="27" t="str">
        <v>NM</v>
      </c>
      <c r="C42" s="28">
        <f>SUM(Oct!C42, Nov!C42, Dec!C42)</f>
        <v>0</v>
      </c>
      <c r="D42" s="29">
        <f>SUM(Oct!D42, Nov!D42, Dec!D42)</f>
        <v>0</v>
      </c>
      <c r="E42" s="29">
        <f t="shared" si="6"/>
        <v>0</v>
      </c>
      <c r="F42" s="30" t="str">
        <f t="shared" si="7"/>
        <v/>
      </c>
      <c r="G42" s="31">
        <f>SUM(Oct!G42,Nov!G42,Dec!G42)</f>
        <v>0</v>
      </c>
      <c r="H42" s="31">
        <f>SUM(Oct!H42, Nov!H42, Dec!H42)</f>
        <v>0</v>
      </c>
      <c r="I42" s="32" t="str">
        <f t="shared" si="8"/>
        <v/>
      </c>
    </row>
    <row r="43" spans="1:9" ht="15.6">
      <c r="A43" s="48" t="str">
        <v>Deming - Bilbo Booster</v>
      </c>
      <c r="B43" s="34" t="str">
        <v>NM</v>
      </c>
      <c r="C43" s="35">
        <f>SUM(Oct!C43, Nov!C43, Dec!C43)</f>
        <v>0</v>
      </c>
      <c r="D43" s="36">
        <f>SUM(Oct!D43, Nov!D43, Dec!D43)</f>
        <v>0</v>
      </c>
      <c r="E43" s="36">
        <f t="shared" si="6"/>
        <v>0</v>
      </c>
      <c r="F43" s="71" t="str">
        <f t="shared" si="7"/>
        <v/>
      </c>
      <c r="G43" s="36">
        <f>SUM(Oct!G43,Nov!G43,Dec!G43)</f>
        <v>0</v>
      </c>
      <c r="H43" s="72">
        <f>SUM(Oct!H43, Nov!H43, Dec!H43)</f>
        <v>0</v>
      </c>
      <c r="I43" s="71" t="str">
        <f t="shared" si="8"/>
        <v/>
      </c>
    </row>
    <row r="44" spans="1:9" ht="15.6">
      <c r="A44" s="47" t="str">
        <v>Deming - Bilbo Well</v>
      </c>
      <c r="B44" s="27" t="str">
        <v>NM</v>
      </c>
      <c r="C44" s="28">
        <f>SUM(Oct!C44, Nov!C44, Dec!C44)</f>
        <v>0</v>
      </c>
      <c r="D44" s="29">
        <f>SUM(Oct!D44, Nov!D44, Dec!D44)</f>
        <v>0</v>
      </c>
      <c r="E44" s="29">
        <f t="shared" si="6"/>
        <v>0</v>
      </c>
      <c r="F44" s="30" t="str">
        <f t="shared" si="7"/>
        <v/>
      </c>
      <c r="G44" s="31">
        <f>SUM(Oct!G44,Nov!G44,Dec!G44)</f>
        <v>0</v>
      </c>
      <c r="H44" s="31">
        <f>SUM(Oct!H44, Nov!H44, Dec!H44)</f>
        <v>0</v>
      </c>
      <c r="I44" s="32" t="str">
        <f t="shared" si="8"/>
        <v/>
      </c>
    </row>
    <row r="45" spans="1:9" ht="15.6">
      <c r="A45" s="48" t="str">
        <v>Deming - WWTP</v>
      </c>
      <c r="B45" s="34" t="str">
        <v>NM</v>
      </c>
      <c r="C45" s="35">
        <f>SUM(Oct!C45, Nov!C45, Dec!C45)</f>
        <v>0</v>
      </c>
      <c r="D45" s="36">
        <f>SUM(Oct!D45, Nov!D45, Dec!D45)</f>
        <v>0</v>
      </c>
      <c r="E45" s="36">
        <f t="shared" si="6"/>
        <v>0</v>
      </c>
      <c r="F45" s="71" t="str">
        <f t="shared" si="7"/>
        <v/>
      </c>
      <c r="G45" s="36">
        <f>SUM(Oct!G45,Nov!G45,Dec!G45)</f>
        <v>0</v>
      </c>
      <c r="H45" s="72">
        <f>SUM(Oct!H45, Nov!H45, Dec!H45)</f>
        <v>0</v>
      </c>
      <c r="I45" s="71" t="str">
        <f t="shared" si="8"/>
        <v/>
      </c>
    </row>
    <row r="46" spans="1:9" ht="15.6">
      <c r="A46" s="47" t="str">
        <v>Truth or Consequences - Walmart</v>
      </c>
      <c r="B46" s="27" t="str">
        <v>NM</v>
      </c>
      <c r="C46" s="28">
        <f>SUM(Oct!C46, Nov!C46, Dec!C46)</f>
        <v>0</v>
      </c>
      <c r="D46" s="29">
        <f>SUM(Oct!D46, Nov!D46, Dec!D46)</f>
        <v>0</v>
      </c>
      <c r="E46" s="29">
        <f t="shared" si="6"/>
        <v>0</v>
      </c>
      <c r="F46" s="30" t="str">
        <f t="shared" si="7"/>
        <v/>
      </c>
      <c r="G46" s="31">
        <f>SUM(Oct!G46,Nov!G46,Dec!G46)</f>
        <v>0</v>
      </c>
      <c r="H46" s="31">
        <f>SUM(Oct!H46, Nov!H46, Dec!H46)</f>
        <v>0</v>
      </c>
      <c r="I46" s="32" t="str">
        <f t="shared" si="8"/>
        <v/>
      </c>
    </row>
    <row r="47" spans="1:9" ht="15.6">
      <c r="A47" s="48" t="str">
        <v>CA: Stockton - SUSD - Merlo</v>
      </c>
      <c r="B47" s="34" t="str">
        <v>CA</v>
      </c>
      <c r="C47" s="35">
        <f>SUM(Oct!C47, Nov!C47, Dec!C47)</f>
        <v>0</v>
      </c>
      <c r="D47" s="36">
        <f>SUM(Oct!D47, Nov!D47, Dec!D47)</f>
        <v>0</v>
      </c>
      <c r="E47" s="36">
        <f t="shared" si="6"/>
        <v>0</v>
      </c>
      <c r="F47" s="71" t="str">
        <f t="shared" si="7"/>
        <v/>
      </c>
      <c r="G47" s="36">
        <f>SUM(Oct!G47,Nov!G47,Dec!G47)</f>
        <v>0</v>
      </c>
      <c r="H47" s="72">
        <f>SUM(Oct!H47, Nov!H47, Dec!H47)</f>
        <v>0</v>
      </c>
      <c r="I47" s="71" t="str">
        <f t="shared" si="8"/>
        <v/>
      </c>
    </row>
    <row r="48" spans="1:9" ht="15.6">
      <c r="A48" s="47" t="str">
        <v>Stockton Unified School Dist. - Bush Elementary</v>
      </c>
      <c r="B48" s="27" t="str">
        <v>CA</v>
      </c>
      <c r="C48" s="28">
        <f>SUM(Oct!C48, Nov!C48, Dec!C48)</f>
        <v>0</v>
      </c>
      <c r="D48" s="29">
        <f>SUM(Oct!D48, Nov!D48, Dec!D48)</f>
        <v>0</v>
      </c>
      <c r="E48" s="29">
        <f t="shared" si="6"/>
        <v>0</v>
      </c>
      <c r="F48" s="30" t="str">
        <f t="shared" si="7"/>
        <v/>
      </c>
      <c r="G48" s="31">
        <f>SUM(Oct!G48,Nov!G48,Dec!G48)</f>
        <v>0</v>
      </c>
      <c r="H48" s="31">
        <f>SUM(Oct!H48, Nov!H48, Dec!H48)</f>
        <v>0</v>
      </c>
      <c r="I48" s="32" t="str">
        <f t="shared" si="8"/>
        <v/>
      </c>
    </row>
    <row r="49" spans="1:9" ht="15.6">
      <c r="A49" s="48" t="str">
        <v>CA: Stockton - SUSD - Marshall JHS</v>
      </c>
      <c r="B49" s="34" t="str">
        <v>CA</v>
      </c>
      <c r="C49" s="35">
        <f>SUM(Oct!C49, Nov!C49, Dec!C49)</f>
        <v>0</v>
      </c>
      <c r="D49" s="36">
        <f>SUM(Oct!D49, Nov!D49, Dec!D49)</f>
        <v>0</v>
      </c>
      <c r="E49" s="36">
        <f t="shared" si="6"/>
        <v>0</v>
      </c>
      <c r="F49" s="71" t="str">
        <f t="shared" si="7"/>
        <v/>
      </c>
      <c r="G49" s="36">
        <f>SUM(Oct!G49,Nov!G49,Dec!G49)</f>
        <v>0</v>
      </c>
      <c r="H49" s="72">
        <f>SUM(Oct!H49, Nov!H49, Dec!H49)</f>
        <v>0</v>
      </c>
      <c r="I49" s="71" t="str">
        <f t="shared" si="8"/>
        <v/>
      </c>
    </row>
    <row r="50" spans="1:9" ht="15.6">
      <c r="A50" s="47" t="str">
        <v>CA: Stockton - SUSD - Hong-Kingston ES</v>
      </c>
      <c r="B50" s="27" t="str">
        <v>CA</v>
      </c>
      <c r="C50" s="28">
        <f>SUM(Oct!C50, Nov!C50, Dec!C50)</f>
        <v>0</v>
      </c>
      <c r="D50" s="29">
        <f>SUM(Oct!D50, Nov!D50, Dec!D50)</f>
        <v>0</v>
      </c>
      <c r="E50" s="29">
        <f t="shared" si="6"/>
        <v>0</v>
      </c>
      <c r="F50" s="30" t="str">
        <f t="shared" si="7"/>
        <v/>
      </c>
      <c r="G50" s="31">
        <f>SUM(Oct!G50,Nov!G50,Dec!G50)</f>
        <v>0</v>
      </c>
      <c r="H50" s="31">
        <f>SUM(Oct!H50, Nov!H50, Dec!H50)</f>
        <v>0</v>
      </c>
      <c r="I50" s="32" t="str">
        <f t="shared" si="8"/>
        <v/>
      </c>
    </row>
    <row r="51" spans="1:9" ht="15.6">
      <c r="A51" s="48" t="str">
        <v>CA: Stockton - SUSD - Hamilton ES</v>
      </c>
      <c r="B51" s="34" t="str">
        <v>CA</v>
      </c>
      <c r="C51" s="35">
        <f>SUM(Oct!C51, Nov!C51, Dec!C51)</f>
        <v>0</v>
      </c>
      <c r="D51" s="36">
        <f>SUM(Oct!D51, Nov!D51, Dec!D51)</f>
        <v>0</v>
      </c>
      <c r="E51" s="36">
        <f t="shared" si="6"/>
        <v>0</v>
      </c>
      <c r="F51" s="71" t="str">
        <f t="shared" si="7"/>
        <v/>
      </c>
      <c r="G51" s="36">
        <f>SUM(Oct!G51,Nov!G51,Dec!G51)</f>
        <v>0</v>
      </c>
      <c r="H51" s="72">
        <f>SUM(Oct!H51, Nov!H51, Dec!H51)</f>
        <v>0</v>
      </c>
      <c r="I51" s="71" t="str">
        <f t="shared" si="8"/>
        <v/>
      </c>
    </row>
    <row r="52" spans="1:9" ht="15.6">
      <c r="A52" s="47" t="str">
        <v>CA: Stockton - SUSD - Franklin - North</v>
      </c>
      <c r="B52" s="27" t="str">
        <v>CA</v>
      </c>
      <c r="C52" s="28">
        <f>SUM(Oct!C52, Nov!C52, Dec!C52)</f>
        <v>0</v>
      </c>
      <c r="D52" s="29">
        <f>SUM(Oct!D52, Nov!D52, Dec!D52)</f>
        <v>0</v>
      </c>
      <c r="E52" s="29">
        <f t="shared" si="6"/>
        <v>0</v>
      </c>
      <c r="F52" s="30" t="str">
        <f t="shared" si="7"/>
        <v/>
      </c>
      <c r="G52" s="31">
        <f>SUM(Oct!G52,Nov!G52,Dec!G52)</f>
        <v>0</v>
      </c>
      <c r="H52" s="31">
        <f>SUM(Oct!H52, Nov!H52, Dec!H52)</f>
        <v>0</v>
      </c>
      <c r="I52" s="32" t="str">
        <f t="shared" si="8"/>
        <v/>
      </c>
    </row>
    <row r="53" spans="1:9" ht="15.6">
      <c r="A53" s="48" t="str">
        <v>Stockton Unified School Dist. - Fillmore Elementary</v>
      </c>
      <c r="B53" s="34" t="str">
        <v>CA</v>
      </c>
      <c r="C53" s="35">
        <f>SUM(Oct!C53, Nov!C53, Dec!C53)</f>
        <v>0</v>
      </c>
      <c r="D53" s="36">
        <f>SUM(Oct!D53, Nov!D53, Dec!D53)</f>
        <v>0</v>
      </c>
      <c r="E53" s="36">
        <f t="shared" si="6"/>
        <v>0</v>
      </c>
      <c r="F53" s="71" t="str">
        <f t="shared" si="7"/>
        <v/>
      </c>
      <c r="G53" s="36">
        <f>SUM(Oct!G53,Nov!G53,Dec!G53)</f>
        <v>0</v>
      </c>
      <c r="H53" s="72">
        <f>SUM(Oct!H53, Nov!H53, Dec!H53)</f>
        <v>0</v>
      </c>
      <c r="I53" s="71" t="str">
        <f t="shared" si="8"/>
        <v/>
      </c>
    </row>
    <row r="54" spans="1:9" ht="15.6">
      <c r="A54" s="47" t="str">
        <v>CA: Stockton - SUSD - El Dorado ES</v>
      </c>
      <c r="B54" s="27" t="str">
        <v>CA</v>
      </c>
      <c r="C54" s="28">
        <f>SUM(Oct!C54, Nov!C54, Dec!C54)</f>
        <v>0</v>
      </c>
      <c r="D54" s="29">
        <f>SUM(Oct!D54, Nov!D54, Dec!D54)</f>
        <v>0</v>
      </c>
      <c r="E54" s="29">
        <f t="shared" si="6"/>
        <v>0</v>
      </c>
      <c r="F54" s="30" t="str">
        <f t="shared" si="7"/>
        <v/>
      </c>
      <c r="G54" s="31">
        <f>SUM(Oct!G54,Nov!G54,Dec!G54)</f>
        <v>0</v>
      </c>
      <c r="H54" s="31">
        <f>SUM(Oct!H54, Nov!H54, Dec!H54)</f>
        <v>0</v>
      </c>
      <c r="I54" s="32" t="str">
        <f t="shared" si="8"/>
        <v/>
      </c>
    </row>
    <row r="55" spans="1:9" ht="15.6">
      <c r="A55" s="48" t="str">
        <v>CA: Stockton - SUSD - Edison HS</v>
      </c>
      <c r="B55" s="34" t="str">
        <v>CA</v>
      </c>
      <c r="C55" s="35">
        <f>SUM(Oct!C55, Nov!C55, Dec!C55)</f>
        <v>0</v>
      </c>
      <c r="D55" s="36">
        <f>SUM(Oct!D55, Nov!D55, Dec!D55)</f>
        <v>0</v>
      </c>
      <c r="E55" s="36">
        <f t="shared" si="6"/>
        <v>0</v>
      </c>
      <c r="F55" s="71" t="str">
        <f t="shared" si="7"/>
        <v/>
      </c>
      <c r="G55" s="36">
        <f>SUM(Oct!G55,Nov!G55,Dec!G55)</f>
        <v>0</v>
      </c>
      <c r="H55" s="72">
        <f>SUM(Oct!H55, Nov!H55, Dec!H55)</f>
        <v>0</v>
      </c>
      <c r="I55" s="71" t="str">
        <f t="shared" si="8"/>
        <v/>
      </c>
    </row>
    <row r="56" spans="1:9" ht="15.6">
      <c r="A56" s="47" t="str">
        <v>CA: Stockton - SUSD - Chavez HS - Large</v>
      </c>
      <c r="B56" s="27" t="str">
        <v>CA</v>
      </c>
      <c r="C56" s="28">
        <f>SUM(Oct!C56, Nov!C56, Dec!C56)</f>
        <v>0</v>
      </c>
      <c r="D56" s="29">
        <f>SUM(Oct!D56, Nov!D56, Dec!D56)</f>
        <v>0</v>
      </c>
      <c r="E56" s="29">
        <f t="shared" si="6"/>
        <v>0</v>
      </c>
      <c r="F56" s="30" t="str">
        <f t="shared" si="7"/>
        <v/>
      </c>
      <c r="G56" s="31">
        <f>SUM(Oct!G56,Nov!G56,Dec!G56)</f>
        <v>0</v>
      </c>
      <c r="H56" s="31">
        <f>SUM(Oct!H56, Nov!H56, Dec!H56)</f>
        <v>0</v>
      </c>
      <c r="I56" s="32" t="str">
        <f t="shared" si="8"/>
        <v/>
      </c>
    </row>
    <row r="57" spans="1:9" ht="15.6">
      <c r="A57" s="48" t="str">
        <v>CA: San Jose - GE Mobile Water</v>
      </c>
      <c r="B57" s="34" t="str">
        <v>CA</v>
      </c>
      <c r="C57" s="35">
        <f>SUM(Oct!C57, Nov!C57, Dec!C57)</f>
        <v>0</v>
      </c>
      <c r="D57" s="36">
        <f>SUM(Oct!D57, Nov!D57, Dec!D57)</f>
        <v>0</v>
      </c>
      <c r="E57" s="36">
        <f t="shared" ref="E57:E85" si="9">IF(AND(ISNUMBER(C57),ISNUMBER(D57)), C57-D57, "")</f>
        <v>0</v>
      </c>
      <c r="F57" s="71" t="str">
        <f t="shared" ref="F57:F85" si="10">IFERROR(E57/D57, "")</f>
        <v/>
      </c>
      <c r="G57" s="36">
        <f>SUM(Oct!G57,Nov!G57,Dec!G57)</f>
        <v>0</v>
      </c>
      <c r="H57" s="72">
        <f>SUM(Oct!H57, Nov!H57, Dec!H57)</f>
        <v>0</v>
      </c>
      <c r="I57" s="71" t="str">
        <f t="shared" ref="I57:I85" si="11">IFERROR(H57/G57, "")</f>
        <v/>
      </c>
    </row>
    <row r="58" spans="1:9" ht="15.6">
      <c r="A58" s="47" t="str">
        <v>CA: San Marcos - Vallecitos Water - Lift Station</v>
      </c>
      <c r="B58" s="27" t="str">
        <v>CA</v>
      </c>
      <c r="C58" s="28">
        <f>SUM(Oct!C58, Nov!C58, Dec!C58)</f>
        <v>0</v>
      </c>
      <c r="D58" s="29">
        <f>SUM(Oct!D58, Nov!D58, Dec!D58)</f>
        <v>0</v>
      </c>
      <c r="E58" s="29">
        <f t="shared" si="9"/>
        <v>0</v>
      </c>
      <c r="F58" s="30" t="str">
        <f t="shared" si="10"/>
        <v/>
      </c>
      <c r="G58" s="31">
        <f>SUM(Oct!G58,Nov!G58,Dec!G58)</f>
        <v>0</v>
      </c>
      <c r="H58" s="31">
        <f>SUM(Oct!H58, Nov!H58, Dec!H58)</f>
        <v>0</v>
      </c>
      <c r="I58" s="32" t="str">
        <f t="shared" si="11"/>
        <v/>
      </c>
    </row>
    <row r="59" spans="1:9" ht="15.6">
      <c r="A59" s="48" t="str">
        <v>CA: San Marcos - Vallecitos Water - Twin Oaks Reservoir</v>
      </c>
      <c r="B59" s="34" t="str">
        <v>CA</v>
      </c>
      <c r="C59" s="35">
        <f>SUM(Oct!C59, Nov!C59, Dec!C59)</f>
        <v>0</v>
      </c>
      <c r="D59" s="36">
        <f>SUM(Oct!D59, Nov!D59, Dec!D59)</f>
        <v>0</v>
      </c>
      <c r="E59" s="36">
        <f t="shared" si="9"/>
        <v>0</v>
      </c>
      <c r="F59" s="71" t="str">
        <f t="shared" si="10"/>
        <v/>
      </c>
      <c r="G59" s="36">
        <f>SUM(Oct!G59,Nov!G59,Dec!G59)</f>
        <v>0</v>
      </c>
      <c r="H59" s="72">
        <f>SUM(Oct!H59, Nov!H59, Dec!H59)</f>
        <v>0</v>
      </c>
      <c r="I59" s="71" t="str">
        <f t="shared" si="11"/>
        <v/>
      </c>
    </row>
    <row r="60" spans="1:9" ht="15.6">
      <c r="A60" s="47" t="str">
        <v>CA: Stockton - SUSD - Wilhelmina Henry ES</v>
      </c>
      <c r="B60" s="27" t="str">
        <v>CA</v>
      </c>
      <c r="C60" s="28">
        <f>SUM(Oct!C60, Nov!C60, Dec!C60)</f>
        <v>0</v>
      </c>
      <c r="D60" s="29">
        <f>SUM(Oct!D60, Nov!D60, Dec!D60)</f>
        <v>0</v>
      </c>
      <c r="E60" s="29">
        <f t="shared" si="9"/>
        <v>0</v>
      </c>
      <c r="F60" s="30" t="str">
        <f t="shared" si="10"/>
        <v/>
      </c>
      <c r="G60" s="31">
        <f>SUM(Oct!G60,Nov!G60,Dec!G60)</f>
        <v>0</v>
      </c>
      <c r="H60" s="31">
        <f>SUM(Oct!H60, Nov!H60, Dec!H60)</f>
        <v>0</v>
      </c>
      <c r="I60" s="32" t="str">
        <f t="shared" si="11"/>
        <v/>
      </c>
    </row>
    <row r="61" spans="1:9" ht="15.6">
      <c r="A61" s="48" t="str">
        <v>Stockton Unified School Dist. - Franklin (North)</v>
      </c>
      <c r="B61" s="34" t="str">
        <v>CA</v>
      </c>
      <c r="C61" s="35">
        <f>SUM(Oct!C61, Nov!C61, Dec!C61)</f>
        <v>0</v>
      </c>
      <c r="D61" s="36">
        <f>SUM(Oct!D61, Nov!D61, Dec!D61)</f>
        <v>0</v>
      </c>
      <c r="E61" s="36">
        <f t="shared" si="9"/>
        <v>0</v>
      </c>
      <c r="F61" s="71" t="str">
        <f t="shared" si="10"/>
        <v/>
      </c>
      <c r="G61" s="36">
        <f>SUM(Oct!G61,Nov!G61,Dec!G61)</f>
        <v>0</v>
      </c>
      <c r="H61" s="72">
        <f>SUM(Oct!H61, Nov!H61, Dec!H61)</f>
        <v>0</v>
      </c>
      <c r="I61" s="71" t="str">
        <f t="shared" si="11"/>
        <v/>
      </c>
    </row>
    <row r="62" spans="1:9" ht="15.6">
      <c r="A62" s="47" t="str">
        <v>CA: Stockton - SUSD - Franklin - South</v>
      </c>
      <c r="B62" s="27" t="str">
        <v>CA</v>
      </c>
      <c r="C62" s="28">
        <f>SUM(Oct!C62, Nov!C62, Dec!C62)</f>
        <v>0</v>
      </c>
      <c r="D62" s="29">
        <f>SUM(Oct!D62, Nov!D62, Dec!D62)</f>
        <v>0</v>
      </c>
      <c r="E62" s="29">
        <f t="shared" si="9"/>
        <v>0</v>
      </c>
      <c r="F62" s="30" t="str">
        <f t="shared" si="10"/>
        <v/>
      </c>
      <c r="G62" s="31">
        <f>SUM(Oct!G62,Nov!G62,Dec!G62)</f>
        <v>0</v>
      </c>
      <c r="H62" s="31">
        <f>SUM(Oct!H62, Nov!H62, Dec!H62)</f>
        <v>0</v>
      </c>
      <c r="I62" s="32" t="str">
        <f t="shared" si="11"/>
        <v/>
      </c>
    </row>
    <row r="63" spans="1:9" ht="15.6">
      <c r="A63" s="48" t="str">
        <v>CA: Stockton - SUSD - Chavez HS - Small</v>
      </c>
      <c r="B63" s="34" t="str">
        <v>CA</v>
      </c>
      <c r="C63" s="35">
        <f>SUM(Oct!C63, Nov!C63, Dec!C63)</f>
        <v>0</v>
      </c>
      <c r="D63" s="36">
        <f>SUM(Oct!D63, Nov!D63, Dec!D63)</f>
        <v>0</v>
      </c>
      <c r="E63" s="36">
        <f t="shared" si="9"/>
        <v>0</v>
      </c>
      <c r="F63" s="71" t="str">
        <f t="shared" si="10"/>
        <v/>
      </c>
      <c r="G63" s="36">
        <f>SUM(Oct!G63,Nov!G63,Dec!G63)</f>
        <v>0</v>
      </c>
      <c r="H63" s="72">
        <f>SUM(Oct!H63, Nov!H63, Dec!H63)</f>
        <v>0</v>
      </c>
      <c r="I63" s="71" t="str">
        <f t="shared" si="11"/>
        <v/>
      </c>
    </row>
    <row r="64" spans="1:9" ht="15.6">
      <c r="A64" s="47" t="str">
        <v>CA: Stockton - SUSD - Facilities</v>
      </c>
      <c r="B64" s="27" t="str">
        <v>CA</v>
      </c>
      <c r="C64" s="28">
        <f>SUM(Oct!C64, Nov!C64, Dec!C64)</f>
        <v>0</v>
      </c>
      <c r="D64" s="29">
        <f>SUM(Oct!D64, Nov!D64, Dec!D64)</f>
        <v>0</v>
      </c>
      <c r="E64" s="29">
        <f t="shared" si="9"/>
        <v>0</v>
      </c>
      <c r="F64" s="30" t="str">
        <f t="shared" si="10"/>
        <v/>
      </c>
      <c r="G64" s="31">
        <f>SUM(Oct!G64,Nov!G64,Dec!G64)</f>
        <v>0</v>
      </c>
      <c r="H64" s="31">
        <f>SUM(Oct!H64, Nov!H64, Dec!H64)</f>
        <v>0</v>
      </c>
      <c r="I64" s="32" t="str">
        <f t="shared" si="11"/>
        <v/>
      </c>
    </row>
    <row r="65" spans="1:9" ht="15.6">
      <c r="A65" s="48" t="str">
        <v>CA: Stockton - SUSD - Harrison</v>
      </c>
      <c r="B65" s="34" t="str">
        <v>CA</v>
      </c>
      <c r="C65" s="35">
        <f>SUM(Oct!C65, Nov!C65, Dec!C65)</f>
        <v>0</v>
      </c>
      <c r="D65" s="36">
        <f>SUM(Oct!D65, Nov!D65, Dec!D65)</f>
        <v>0</v>
      </c>
      <c r="E65" s="36">
        <f t="shared" si="9"/>
        <v>0</v>
      </c>
      <c r="F65" s="71" t="str">
        <f t="shared" si="10"/>
        <v/>
      </c>
      <c r="G65" s="36">
        <f>SUM(Oct!G65,Nov!G65,Dec!G65)</f>
        <v>0</v>
      </c>
      <c r="H65" s="72">
        <f>SUM(Oct!H65, Nov!H65, Dec!H65)</f>
        <v>0</v>
      </c>
      <c r="I65" s="71" t="str">
        <f t="shared" si="11"/>
        <v/>
      </c>
    </row>
    <row r="66" spans="1:9" ht="15.6">
      <c r="A66" s="47" t="str">
        <v>CA: Stockton - SUSD - Commodore Skills School</v>
      </c>
      <c r="B66" s="27" t="str">
        <v>CA</v>
      </c>
      <c r="C66" s="28">
        <f>SUM(Oct!C66, Nov!C66, Dec!C66)</f>
        <v>0</v>
      </c>
      <c r="D66" s="29">
        <f>SUM(Oct!D66, Nov!D66, Dec!D66)</f>
        <v>0</v>
      </c>
      <c r="E66" s="29">
        <f t="shared" si="9"/>
        <v>0</v>
      </c>
      <c r="F66" s="30" t="str">
        <f t="shared" si="10"/>
        <v/>
      </c>
      <c r="G66" s="31">
        <f>SUM(Oct!G66,Nov!G66,Dec!G66)</f>
        <v>0</v>
      </c>
      <c r="H66" s="31">
        <f>SUM(Oct!H66, Nov!H66, Dec!H66)</f>
        <v>0</v>
      </c>
      <c r="I66" s="32" t="str">
        <f t="shared" si="11"/>
        <v/>
      </c>
    </row>
    <row r="67" spans="1:9" ht="15.6">
      <c r="A67" s="48" t="str">
        <v>CA: Stockton - SUSD - Nightingale ES</v>
      </c>
      <c r="B67" s="34" t="str">
        <v>CA</v>
      </c>
      <c r="C67" s="35">
        <f>SUM(Oct!C67, Nov!C67, Dec!C67)</f>
        <v>0</v>
      </c>
      <c r="D67" s="36">
        <f>SUM(Oct!D67, Nov!D67, Dec!D67)</f>
        <v>0</v>
      </c>
      <c r="E67" s="36">
        <f t="shared" si="9"/>
        <v>0</v>
      </c>
      <c r="F67" s="71" t="str">
        <f t="shared" si="10"/>
        <v/>
      </c>
      <c r="G67" s="36">
        <f>SUM(Oct!G67,Nov!G67,Dec!G67)</f>
        <v>0</v>
      </c>
      <c r="H67" s="72">
        <f>SUM(Oct!H67, Nov!H67, Dec!H67)</f>
        <v>0</v>
      </c>
      <c r="I67" s="71" t="str">
        <f t="shared" si="11"/>
        <v/>
      </c>
    </row>
    <row r="68" spans="1:9" ht="15.6">
      <c r="A68" s="47" t="str">
        <v>CA: Stockton - SUSD - Weber Institute</v>
      </c>
      <c r="B68" s="27" t="str">
        <v>CA</v>
      </c>
      <c r="C68" s="28">
        <f>SUM(Oct!C68, Nov!C68, Dec!C68)</f>
        <v>0</v>
      </c>
      <c r="D68" s="29">
        <f>SUM(Oct!D68, Nov!D68, Dec!D68)</f>
        <v>0</v>
      </c>
      <c r="E68" s="29">
        <f t="shared" si="9"/>
        <v>0</v>
      </c>
      <c r="F68" s="30" t="str">
        <f t="shared" si="10"/>
        <v/>
      </c>
      <c r="G68" s="31">
        <f>SUM(Oct!G68,Nov!G68,Dec!G68)</f>
        <v>0</v>
      </c>
      <c r="H68" s="31">
        <f>SUM(Oct!H68, Nov!H68, Dec!H68)</f>
        <v>0</v>
      </c>
      <c r="I68" s="32" t="str">
        <f t="shared" si="11"/>
        <v/>
      </c>
    </row>
    <row r="69" spans="1:9" ht="15.6">
      <c r="A69" s="48" t="str">
        <v>CA: Stockton - SUSD - Warehouse</v>
      </c>
      <c r="B69" s="34" t="str">
        <v>CA</v>
      </c>
      <c r="C69" s="35">
        <f>SUM(Oct!C69, Nov!C69, Dec!C69)</f>
        <v>0</v>
      </c>
      <c r="D69" s="36">
        <f>SUM(Oct!D69, Nov!D69, Dec!D69)</f>
        <v>0</v>
      </c>
      <c r="E69" s="36">
        <f t="shared" si="9"/>
        <v>0</v>
      </c>
      <c r="F69" s="71" t="str">
        <f t="shared" si="10"/>
        <v/>
      </c>
      <c r="G69" s="36">
        <f>SUM(Oct!G69,Nov!G69,Dec!G69)</f>
        <v>0</v>
      </c>
      <c r="H69" s="72">
        <f>SUM(Oct!H69, Nov!H69, Dec!H69)</f>
        <v>0</v>
      </c>
      <c r="I69" s="71" t="str">
        <f t="shared" si="11"/>
        <v/>
      </c>
    </row>
    <row r="70" spans="1:9" ht="15.6">
      <c r="A70" s="47" t="str">
        <v>CA: Stockton - SUSD - Walton Special Center</v>
      </c>
      <c r="B70" s="27" t="str">
        <v>CA</v>
      </c>
      <c r="C70" s="28">
        <f>SUM(Oct!C70, Nov!C70, Dec!C70)</f>
        <v>0</v>
      </c>
      <c r="D70" s="29">
        <f>SUM(Oct!D70, Nov!D70, Dec!D70)</f>
        <v>0</v>
      </c>
      <c r="E70" s="29">
        <f t="shared" si="9"/>
        <v>0</v>
      </c>
      <c r="F70" s="30" t="str">
        <f t="shared" si="10"/>
        <v/>
      </c>
      <c r="G70" s="31">
        <f>SUM(Oct!G70,Nov!G70,Dec!G70)</f>
        <v>0</v>
      </c>
      <c r="H70" s="31">
        <f>SUM(Oct!H70, Nov!H70, Dec!H70)</f>
        <v>0</v>
      </c>
      <c r="I70" s="32" t="str">
        <f t="shared" si="11"/>
        <v/>
      </c>
    </row>
    <row r="71" spans="1:9" ht="15.6">
      <c r="A71" s="48" t="str">
        <v>CA: Stockton - SUSD - Stagg HS</v>
      </c>
      <c r="B71" s="34" t="str">
        <v>CA</v>
      </c>
      <c r="C71" s="35">
        <f>SUM(Oct!C71, Nov!C71, Dec!C71)</f>
        <v>0</v>
      </c>
      <c r="D71" s="36">
        <f>SUM(Oct!D71, Nov!D71, Dec!D71)</f>
        <v>0</v>
      </c>
      <c r="E71" s="36">
        <f t="shared" si="9"/>
        <v>0</v>
      </c>
      <c r="F71" s="71" t="str">
        <f t="shared" si="10"/>
        <v/>
      </c>
      <c r="G71" s="36">
        <f>SUM(Oct!G71,Nov!G71,Dec!G71)</f>
        <v>0</v>
      </c>
      <c r="H71" s="72">
        <f>SUM(Oct!H71, Nov!H71, Dec!H71)</f>
        <v>0</v>
      </c>
      <c r="I71" s="71" t="str">
        <f t="shared" si="11"/>
        <v/>
      </c>
    </row>
    <row r="72" spans="1:9" ht="15.6">
      <c r="A72" s="47" t="str">
        <v>CA: Stockton - SUSD - School for Adults</v>
      </c>
      <c r="B72" s="27" t="str">
        <v>CA</v>
      </c>
      <c r="C72" s="28">
        <f>SUM(Oct!C72, Nov!C72, Dec!C72)</f>
        <v>0</v>
      </c>
      <c r="D72" s="29">
        <f>SUM(Oct!D72, Nov!D72, Dec!D72)</f>
        <v>0</v>
      </c>
      <c r="E72" s="29">
        <f t="shared" si="9"/>
        <v>0</v>
      </c>
      <c r="F72" s="30" t="str">
        <f t="shared" si="10"/>
        <v/>
      </c>
      <c r="G72" s="31">
        <f>SUM(Oct!G72,Nov!G72,Dec!G72)</f>
        <v>0</v>
      </c>
      <c r="H72" s="31">
        <f>SUM(Oct!H72, Nov!H72, Dec!H72)</f>
        <v>0</v>
      </c>
      <c r="I72" s="32" t="str">
        <f t="shared" si="11"/>
        <v/>
      </c>
    </row>
    <row r="73" spans="1:9" ht="15.6">
      <c r="A73" s="48" t="str">
        <v>CA: Stockton - SUSD - San Joaquin</v>
      </c>
      <c r="B73" s="34" t="str">
        <v>CA</v>
      </c>
      <c r="C73" s="35">
        <f>SUM(Oct!C73, Nov!C73, Dec!C73)</f>
        <v>0</v>
      </c>
      <c r="D73" s="36">
        <f>SUM(Oct!D73, Nov!D73, Dec!D73)</f>
        <v>0</v>
      </c>
      <c r="E73" s="36">
        <f t="shared" si="9"/>
        <v>0</v>
      </c>
      <c r="F73" s="71" t="str">
        <f t="shared" si="10"/>
        <v/>
      </c>
      <c r="G73" s="36">
        <f>SUM(Oct!G73,Nov!G73,Dec!G73)</f>
        <v>0</v>
      </c>
      <c r="H73" s="72">
        <f>SUM(Oct!H73, Nov!H73, Dec!H73)</f>
        <v>0</v>
      </c>
      <c r="I73" s="71" t="str">
        <f t="shared" si="11"/>
        <v/>
      </c>
    </row>
    <row r="74" spans="1:9" ht="15.6">
      <c r="A74" s="47" t="str">
        <v>CA: Stockton - SUSD - Rio Calaveras</v>
      </c>
      <c r="B74" s="27" t="str">
        <v>CA</v>
      </c>
      <c r="C74" s="28">
        <f>SUM(Oct!C74, Nov!C74, Dec!C74)</f>
        <v>0</v>
      </c>
      <c r="D74" s="29">
        <f>SUM(Oct!D74, Nov!D74, Dec!D74)</f>
        <v>0</v>
      </c>
      <c r="E74" s="29">
        <f t="shared" si="9"/>
        <v>0</v>
      </c>
      <c r="F74" s="30" t="str">
        <f t="shared" si="10"/>
        <v/>
      </c>
      <c r="G74" s="31">
        <f>SUM(Oct!G74,Nov!G74,Dec!G74)</f>
        <v>0</v>
      </c>
      <c r="H74" s="31">
        <f>SUM(Oct!H74, Nov!H74, Dec!H74)</f>
        <v>0</v>
      </c>
      <c r="I74" s="32" t="str">
        <f t="shared" si="11"/>
        <v/>
      </c>
    </row>
    <row r="75" spans="1:9" ht="15.6">
      <c r="A75" s="48" t="str">
        <v>CA: Stockton - SUSD - Peyton</v>
      </c>
      <c r="B75" s="34" t="str">
        <v>CA</v>
      </c>
      <c r="C75" s="35">
        <f>SUM(Oct!C75, Nov!C75, Dec!C75)</f>
        <v>0</v>
      </c>
      <c r="D75" s="36">
        <f>SUM(Oct!D75, Nov!D75, Dec!D75)</f>
        <v>0</v>
      </c>
      <c r="E75" s="36">
        <f t="shared" si="9"/>
        <v>0</v>
      </c>
      <c r="F75" s="71" t="str">
        <f t="shared" si="10"/>
        <v/>
      </c>
      <c r="G75" s="36">
        <f>SUM(Oct!G75,Nov!G75,Dec!G75)</f>
        <v>0</v>
      </c>
      <c r="H75" s="72">
        <f>SUM(Oct!H75, Nov!H75, Dec!H75)</f>
        <v>0</v>
      </c>
      <c r="I75" s="71" t="str">
        <f t="shared" si="11"/>
        <v/>
      </c>
    </row>
    <row r="76" spans="1:9" ht="15.6">
      <c r="A76" s="47" t="str">
        <v>TX: Barnhart - 42917 Ranch RD 2469</v>
      </c>
      <c r="B76" s="27" t="str">
        <v>TX</v>
      </c>
      <c r="C76" s="28">
        <f>SUM(Oct!C76, Nov!C76, Dec!C76)</f>
        <v>0</v>
      </c>
      <c r="D76" s="29">
        <f>SUM(Oct!D76, Nov!D76, Dec!D76)</f>
        <v>0</v>
      </c>
      <c r="E76" s="29">
        <f t="shared" si="9"/>
        <v>0</v>
      </c>
      <c r="F76" s="30" t="str">
        <f t="shared" si="10"/>
        <v/>
      </c>
      <c r="G76" s="31">
        <f>SUM(Oct!G76,Nov!G76,Dec!G76)</f>
        <v>0</v>
      </c>
      <c r="H76" s="31">
        <f>SUM(Oct!H76, Nov!H76, Dec!H76)</f>
        <v>0</v>
      </c>
      <c r="I76" s="32" t="str">
        <f t="shared" si="11"/>
        <v/>
      </c>
    </row>
    <row r="77" spans="1:9" ht="15.6">
      <c r="A77" s="48" t="str">
        <v>AZ: San Manuel - Senior &amp; Junior HS</v>
      </c>
      <c r="B77" s="34" t="str">
        <v>AZ</v>
      </c>
      <c r="C77" s="35">
        <f>SUM(Oct!C77, Nov!C77, Dec!C77)</f>
        <v>0</v>
      </c>
      <c r="D77" s="36">
        <f>SUM(Oct!D77, Nov!D77, Dec!D77)</f>
        <v>0</v>
      </c>
      <c r="E77" s="36">
        <f t="shared" si="9"/>
        <v>0</v>
      </c>
      <c r="F77" s="71" t="str">
        <f t="shared" si="10"/>
        <v/>
      </c>
      <c r="G77" s="36">
        <f>SUM(Oct!G77,Nov!G77,Dec!G77)</f>
        <v>0</v>
      </c>
      <c r="H77" s="72">
        <f>SUM(Oct!H77, Nov!H77, Dec!H77)</f>
        <v>0</v>
      </c>
      <c r="I77" s="71" t="str">
        <f t="shared" si="11"/>
        <v/>
      </c>
    </row>
    <row r="78" spans="1:9" ht="15.6">
      <c r="A78" s="47" t="str">
        <v>AZ: Sierra Vista - Colonel Smith MS</v>
      </c>
      <c r="B78" s="27" t="str">
        <v>AZ</v>
      </c>
      <c r="C78" s="28">
        <f>SUM(Oct!C78, Nov!C78, Dec!C78)</f>
        <v>0</v>
      </c>
      <c r="D78" s="29">
        <f>SUM(Oct!D78, Nov!D78, Dec!D78)</f>
        <v>0</v>
      </c>
      <c r="E78" s="29">
        <f t="shared" si="9"/>
        <v>0</v>
      </c>
      <c r="F78" s="30" t="str">
        <f t="shared" si="10"/>
        <v/>
      </c>
      <c r="G78" s="31">
        <f>SUM(Oct!G78,Nov!G78,Dec!G78)</f>
        <v>0</v>
      </c>
      <c r="H78" s="31">
        <f>SUM(Oct!H78, Nov!H78, Dec!H78)</f>
        <v>0</v>
      </c>
      <c r="I78" s="32" t="str">
        <f t="shared" si="11"/>
        <v/>
      </c>
    </row>
    <row r="79" spans="1:9" ht="15.6">
      <c r="A79" s="48" t="str">
        <v>AZ: Sierra Vista - Colonel Johnston ES</v>
      </c>
      <c r="B79" s="34" t="str">
        <v>AZ</v>
      </c>
      <c r="C79" s="35">
        <f>SUM(Oct!C79, Nov!C79, Dec!C79)</f>
        <v>0</v>
      </c>
      <c r="D79" s="36">
        <f>SUM(Oct!D79, Nov!D79, Dec!D79)</f>
        <v>0</v>
      </c>
      <c r="E79" s="36">
        <f t="shared" si="9"/>
        <v>0</v>
      </c>
      <c r="F79" s="71" t="str">
        <f t="shared" si="10"/>
        <v/>
      </c>
      <c r="G79" s="36">
        <f>SUM(Oct!G79,Nov!G79,Dec!G79)</f>
        <v>0</v>
      </c>
      <c r="H79" s="72">
        <f>SUM(Oct!H79, Nov!H79, Dec!H79)</f>
        <v>0</v>
      </c>
      <c r="I79" s="71" t="str">
        <f t="shared" si="11"/>
        <v/>
      </c>
    </row>
    <row r="80" spans="1:9" ht="15.6">
      <c r="A80" s="47" t="str">
        <v>NH: Dover - Dover HS</v>
      </c>
      <c r="B80" s="27" t="str">
        <v>NH</v>
      </c>
      <c r="C80" s="28">
        <f>SUM(Oct!C80, Nov!C80, Dec!C80)</f>
        <v>0</v>
      </c>
      <c r="D80" s="29">
        <f>SUM(Oct!D80, Nov!D80, Dec!D80)</f>
        <v>0</v>
      </c>
      <c r="E80" s="29">
        <f t="shared" si="9"/>
        <v>0</v>
      </c>
      <c r="F80" s="30" t="str">
        <f t="shared" si="10"/>
        <v/>
      </c>
      <c r="G80" s="31">
        <f>SUM(Oct!G80,Nov!G80,Dec!G80)</f>
        <v>0</v>
      </c>
      <c r="H80" s="31">
        <f>SUM(Oct!H80, Nov!H80, Dec!H80)</f>
        <v>0</v>
      </c>
      <c r="I80" s="32" t="str">
        <f t="shared" si="11"/>
        <v/>
      </c>
    </row>
    <row r="81" spans="1:9" ht="15.6">
      <c r="A81" s="48" t="str">
        <v>MA: Somerville - 30 Inner Belt Rd</v>
      </c>
      <c r="B81" s="34" t="str">
        <v>MA</v>
      </c>
      <c r="C81" s="35">
        <f>SUM(Oct!C81, Nov!C81, Dec!C81)</f>
        <v>0</v>
      </c>
      <c r="D81" s="36">
        <f>SUM(Oct!D81, Nov!D81, Dec!D81)</f>
        <v>0</v>
      </c>
      <c r="E81" s="36">
        <f t="shared" si="9"/>
        <v>0</v>
      </c>
      <c r="F81" s="71" t="str">
        <f t="shared" si="10"/>
        <v/>
      </c>
      <c r="G81" s="36">
        <f>SUM(Oct!G81,Nov!G81,Dec!G81)</f>
        <v>0</v>
      </c>
      <c r="H81" s="72">
        <f>SUM(Oct!H81, Nov!H81, Dec!H81)</f>
        <v>0</v>
      </c>
      <c r="I81" s="71" t="str">
        <f t="shared" si="11"/>
        <v/>
      </c>
    </row>
    <row r="82" spans="1:9" ht="15.6">
      <c r="A82" s="47" t="str">
        <v>MA: Boxborough - 1414 Massachusetts Ave</v>
      </c>
      <c r="B82" s="27" t="str">
        <v>MA</v>
      </c>
      <c r="C82" s="28">
        <f>SUM(Oct!C82, Nov!C82, Dec!C82)</f>
        <v>0</v>
      </c>
      <c r="D82" s="29">
        <f>SUM(Oct!D82, Nov!D82, Dec!D82)</f>
        <v>0</v>
      </c>
      <c r="E82" s="29">
        <f t="shared" si="9"/>
        <v>0</v>
      </c>
      <c r="F82" s="30" t="str">
        <f t="shared" si="10"/>
        <v/>
      </c>
      <c r="G82" s="31">
        <f>SUM(Oct!G82,Nov!G82,Dec!G82)</f>
        <v>0</v>
      </c>
      <c r="H82" s="31">
        <f>SUM(Oct!H82, Nov!H82, Dec!H82)</f>
        <v>0</v>
      </c>
      <c r="I82" s="32" t="str">
        <f t="shared" si="11"/>
        <v/>
      </c>
    </row>
    <row r="83" spans="1:9" ht="15.6">
      <c r="A83" s="48" t="str">
        <v>NY: Amsterdam - 153 NY Route 67</v>
      </c>
      <c r="B83" s="34" t="str">
        <v>NY</v>
      </c>
      <c r="C83" s="35">
        <f>SUM(Oct!C83, Nov!C83, Dec!C83)</f>
        <v>0</v>
      </c>
      <c r="D83" s="36">
        <f>SUM(Oct!D83, Nov!D83, Dec!D83)</f>
        <v>0</v>
      </c>
      <c r="E83" s="36">
        <f t="shared" si="9"/>
        <v>0</v>
      </c>
      <c r="F83" s="71" t="str">
        <f t="shared" si="10"/>
        <v/>
      </c>
      <c r="G83" s="36">
        <f>SUM(Oct!G83,Nov!G83,Dec!G83)</f>
        <v>0</v>
      </c>
      <c r="H83" s="72">
        <f>SUM(Oct!H83, Nov!H83, Dec!H83)</f>
        <v>0</v>
      </c>
      <c r="I83" s="71" t="str">
        <f t="shared" si="11"/>
        <v/>
      </c>
    </row>
    <row r="84" spans="1:9" ht="15.6">
      <c r="A84" s="47" t="str">
        <v>CA: San Jose - GE Mobile Water</v>
      </c>
      <c r="B84" s="27" t="str">
        <v>CA</v>
      </c>
      <c r="C84" s="28">
        <f>SUM(Oct!C84, Nov!C84, Dec!C84)</f>
        <v>0</v>
      </c>
      <c r="D84" s="29">
        <f>SUM(Oct!D84, Nov!D84, Dec!D84)</f>
        <v>0</v>
      </c>
      <c r="E84" s="29">
        <f t="shared" si="9"/>
        <v>0</v>
      </c>
      <c r="F84" s="30" t="str">
        <f t="shared" si="10"/>
        <v/>
      </c>
      <c r="G84" s="31">
        <f>SUM(Oct!G84,Nov!G84,Dec!G84)</f>
        <v>0</v>
      </c>
      <c r="H84" s="31">
        <f>SUM(Oct!H84, Nov!H84, Dec!H84)</f>
        <v>0</v>
      </c>
      <c r="I84" s="32" t="str">
        <f t="shared" si="11"/>
        <v/>
      </c>
    </row>
    <row r="85" spans="1:9" ht="15.6">
      <c r="A85" s="48" t="str">
        <v>NY: Rome - 7776 Tannery RD</v>
      </c>
      <c r="B85" s="34" t="str">
        <v>NY</v>
      </c>
      <c r="C85" s="35">
        <f>SUM(Oct!C85, Nov!C85, Dec!C85)</f>
        <v>0</v>
      </c>
      <c r="D85" s="36">
        <f>SUM(Oct!D85, Nov!D85, Dec!D85)</f>
        <v>0</v>
      </c>
      <c r="E85" s="36">
        <f t="shared" si="9"/>
        <v>0</v>
      </c>
      <c r="F85" s="71" t="str">
        <f t="shared" si="10"/>
        <v/>
      </c>
      <c r="G85" s="36">
        <f>SUM(Oct!G85,Nov!G85,Dec!G85)</f>
        <v>0</v>
      </c>
      <c r="H85" s="72">
        <f>SUM(Oct!H85, Nov!H85, Dec!H85)</f>
        <v>0</v>
      </c>
      <c r="I85" s="71" t="str">
        <f t="shared" si="11"/>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85 I4:I8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W320"/>
  <sheetViews>
    <sheetView tabSelected="1" zoomScale="50" zoomScaleNormal="50" workbookViewId="0">
      <pane xSplit="2" ySplit="3" topLeftCell="C4" activePane="bottomRight" state="frozen"/>
      <selection pane="bottomRight" activeCell="G26" sqref="G26"/>
      <selection pane="bottomLeft" activeCell="F252" sqref="F252"/>
      <selection pane="topRight" activeCell="F252" sqref="F252"/>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 min="12" max="12" width="13.5703125" customWidth="1"/>
    <col min="13" max="23" width="8.85546875" style="77"/>
  </cols>
  <sheetData>
    <row r="1" spans="1:14" ht="15.6">
      <c r="A1" s="122" t="str" cm="1">
        <f t="array" ref="A1">portfolio</f>
        <v>Clean Capital</v>
      </c>
      <c r="B1" s="122"/>
      <c r="C1" s="122"/>
      <c r="D1" s="123" t="s">
        <v>19</v>
      </c>
      <c r="E1" s="123"/>
      <c r="F1" s="123"/>
      <c r="G1" s="121" t="s">
        <v>20</v>
      </c>
      <c r="H1" s="121"/>
      <c r="I1" s="121"/>
      <c r="J1" s="4"/>
      <c r="K1" s="4"/>
      <c r="L1" s="4"/>
    </row>
    <row r="2" spans="1:14" ht="15.6">
      <c r="A2" s="124" t="s">
        <v>2</v>
      </c>
      <c r="B2" s="124"/>
      <c r="C2" s="5">
        <f>SUM(C4:C78)</f>
        <v>2184100.09051</v>
      </c>
      <c r="D2" s="5">
        <f>SUM(D4:D78)</f>
        <v>1743834.7120000003</v>
      </c>
      <c r="E2" s="5">
        <f>C2-D2</f>
        <v>440265.37850999972</v>
      </c>
      <c r="F2" s="6">
        <f>IFERROR(E2/D2, 0)</f>
        <v>0.25246967242959645</v>
      </c>
      <c r="G2" s="5">
        <f>SUM(G4:G78)</f>
        <v>2248974.7199999997</v>
      </c>
      <c r="H2" s="7">
        <f>C2-G2</f>
        <v>-64874.62948999973</v>
      </c>
      <c r="I2" s="6">
        <f>IFERROR(H2/G2, 0)</f>
        <v>-2.8846313350289567E-2</v>
      </c>
      <c r="J2" s="11" t="str">
        <f ca="1">IF(AND(TODAY()&gt;DATE(2024, 1, 1), COUNTA(Sites[Site])&lt;&gt;(COUNT(C:C)-1)), "Some sites are missing actual data; if new sites were added, make sure they are aligned correctly (including prior months!)", "")</f>
        <v/>
      </c>
      <c r="K2" s="11"/>
      <c r="L2" s="11"/>
    </row>
    <row r="3" spans="1:14" ht="15.6">
      <c r="A3" s="12" t="s">
        <v>4</v>
      </c>
      <c r="B3" s="12" t="s">
        <v>5</v>
      </c>
      <c r="C3" s="19" t="s">
        <v>6</v>
      </c>
      <c r="D3" s="20" t="s">
        <v>7</v>
      </c>
      <c r="E3" s="20" t="s">
        <v>8</v>
      </c>
      <c r="F3" s="21" t="s">
        <v>9</v>
      </c>
      <c r="G3" s="25" t="s">
        <v>10</v>
      </c>
      <c r="H3" s="23" t="s">
        <v>8</v>
      </c>
      <c r="I3" s="24" t="s">
        <v>9</v>
      </c>
      <c r="J3" s="10" t="s">
        <v>21</v>
      </c>
      <c r="K3" s="10" t="s">
        <v>22</v>
      </c>
      <c r="L3" s="10" t="s">
        <v>23</v>
      </c>
    </row>
    <row r="4" spans="1:14" ht="66" customHeight="1">
      <c r="A4" s="44" t="str" cm="1">
        <f t="array" ref="A4:A85">Sites[Site]</f>
        <v>Lexington - Cotting School</v>
      </c>
      <c r="B4" s="40" t="str" cm="1">
        <f t="array" ref="B4:B85">Sites[State]</f>
        <v>MA</v>
      </c>
      <c r="C4" s="28">
        <v>7117.28</v>
      </c>
      <c r="D4" s="29" t="s">
        <v>24</v>
      </c>
      <c r="E4" s="29" t="str">
        <f>IF(AND(ISNUMBER(C4),ISNUMBER(D4)), C4-D4, "")</f>
        <v/>
      </c>
      <c r="F4" s="32" t="str">
        <f>IFERROR(E4/D4, "")</f>
        <v/>
      </c>
      <c r="G4" s="73" t="s">
        <v>24</v>
      </c>
      <c r="H4" s="31" t="str">
        <f>IF(AND(ISNUMBER(C4),ISNUMBER(G4)), C4-G4, "")</f>
        <v/>
      </c>
      <c r="I4" s="32" t="str">
        <f>IFERROR(H4/G4, "")</f>
        <v/>
      </c>
      <c r="J4" s="49" t="s">
        <v>25</v>
      </c>
      <c r="K4" s="67" t="s">
        <v>26</v>
      </c>
      <c r="L4" s="49" t="s">
        <v>27</v>
      </c>
    </row>
    <row r="5" spans="1:14" ht="75" customHeight="1">
      <c r="A5" s="45" t="str">
        <v>Pacoima - Whiteman Airport</v>
      </c>
      <c r="B5" s="42" t="str">
        <v>CA</v>
      </c>
      <c r="C5" s="36">
        <v>20016.3</v>
      </c>
      <c r="D5" s="36" t="s">
        <v>24</v>
      </c>
      <c r="E5" s="36" t="str">
        <f t="shared" ref="E5" si="0">IF(AND(ISNUMBER(C5),ISNUMBER(D5)), C5-D5, "")</f>
        <v/>
      </c>
      <c r="F5" s="37" t="str">
        <f t="shared" ref="F5" si="1">IFERROR(E5/D5, "")</f>
        <v/>
      </c>
      <c r="G5" s="38">
        <v>34320</v>
      </c>
      <c r="H5" s="38">
        <f t="shared" ref="H5" si="2">IF(AND(ISNUMBER(C5),ISNUMBER(G5)), C5-G5, "")</f>
        <v>-14303.7</v>
      </c>
      <c r="I5" s="37">
        <f t="shared" ref="I5" si="3">IFERROR(H5/G5, "")</f>
        <v>-0.41677447552447555</v>
      </c>
      <c r="J5" s="66" t="s">
        <v>28</v>
      </c>
      <c r="K5" s="68" t="s">
        <v>29</v>
      </c>
      <c r="L5" s="66" t="s">
        <v>30</v>
      </c>
      <c r="M5" s="76" t="s">
        <v>31</v>
      </c>
      <c r="N5" s="76" t="s">
        <v>32</v>
      </c>
    </row>
    <row r="6" spans="1:14" ht="15.6">
      <c r="A6" s="46" t="str">
        <v>Hyannis - Sturgis Charter School</v>
      </c>
      <c r="B6" s="40" t="str">
        <v>MA</v>
      </c>
      <c r="C6" s="28">
        <v>5497.3850000000002</v>
      </c>
      <c r="D6" s="29" t="s">
        <v>24</v>
      </c>
      <c r="E6" s="29" t="str">
        <f t="shared" ref="E6:E37" si="4">IF(AND(ISNUMBER(C6),ISNUMBER(D6)), C6-D6, "")</f>
        <v/>
      </c>
      <c r="F6" s="32" t="str">
        <f t="shared" ref="F6:F37" si="5">IFERROR(E6/D6, "")</f>
        <v/>
      </c>
      <c r="G6" s="31">
        <v>12393.7</v>
      </c>
      <c r="H6" s="31">
        <f t="shared" ref="H6:H37" si="6">IF(AND(ISNUMBER(C6),ISNUMBER(G6)), C6-G6, "")</f>
        <v>-6896.3150000000005</v>
      </c>
      <c r="I6" s="32">
        <f t="shared" ref="I6:I37" si="7">IFERROR(H6/G6, "")</f>
        <v>-0.5564371414508984</v>
      </c>
      <c r="J6" s="49" t="s">
        <v>33</v>
      </c>
      <c r="K6" s="49"/>
      <c r="L6" s="49"/>
    </row>
    <row r="7" spans="1:14" ht="28.9">
      <c r="A7" s="45" t="str">
        <v>South Dennis - Tony Kent Arena</v>
      </c>
      <c r="B7" s="42" t="str">
        <v>MA</v>
      </c>
      <c r="C7" s="36">
        <v>6813.92</v>
      </c>
      <c r="D7" s="36" t="s">
        <v>24</v>
      </c>
      <c r="E7" s="36" t="str">
        <f t="shared" si="4"/>
        <v/>
      </c>
      <c r="F7" s="37" t="str">
        <f t="shared" si="5"/>
        <v/>
      </c>
      <c r="G7" s="74" t="s">
        <v>24</v>
      </c>
      <c r="H7" s="38" t="str">
        <f t="shared" si="6"/>
        <v/>
      </c>
      <c r="I7" s="37" t="str">
        <f t="shared" si="7"/>
        <v/>
      </c>
      <c r="J7" s="50" t="s">
        <v>34</v>
      </c>
      <c r="K7" s="75" t="s">
        <v>35</v>
      </c>
      <c r="L7" s="60" t="s">
        <v>36</v>
      </c>
    </row>
    <row r="8" spans="1:14" ht="43.15">
      <c r="A8" s="44" t="str">
        <v xml:space="preserve"> Caropolis - Felician Sisters</v>
      </c>
      <c r="B8" s="40" t="str">
        <v>PA</v>
      </c>
      <c r="C8" s="28">
        <v>14772</v>
      </c>
      <c r="D8" s="29" t="s">
        <v>24</v>
      </c>
      <c r="E8" s="29" t="str">
        <f t="shared" si="4"/>
        <v/>
      </c>
      <c r="F8" s="32" t="str">
        <f t="shared" si="5"/>
        <v/>
      </c>
      <c r="G8" s="73" t="s">
        <v>24</v>
      </c>
      <c r="H8" s="31" t="str">
        <f t="shared" si="6"/>
        <v/>
      </c>
      <c r="I8" s="32" t="str">
        <f t="shared" si="7"/>
        <v/>
      </c>
      <c r="J8" s="49" t="s">
        <v>37</v>
      </c>
      <c r="K8" s="67" t="s">
        <v>38</v>
      </c>
      <c r="L8" s="49" t="s">
        <v>39</v>
      </c>
      <c r="M8" s="76" t="s">
        <v>40</v>
      </c>
    </row>
    <row r="9" spans="1:14" ht="15.6">
      <c r="A9" s="45" t="str">
        <v>Clear Lake - Eastlake Gohman</v>
      </c>
      <c r="B9" s="42" t="str">
        <v>MN</v>
      </c>
      <c r="C9" s="36">
        <v>100260</v>
      </c>
      <c r="D9" s="36" t="s">
        <v>24</v>
      </c>
      <c r="E9" s="36" t="str">
        <f t="shared" si="4"/>
        <v/>
      </c>
      <c r="F9" s="37" t="str">
        <f t="shared" si="5"/>
        <v/>
      </c>
      <c r="G9" s="38">
        <v>90704.34</v>
      </c>
      <c r="H9" s="38">
        <f t="shared" si="6"/>
        <v>9555.6600000000035</v>
      </c>
      <c r="I9" s="37">
        <f t="shared" si="7"/>
        <v>0.10534953454266911</v>
      </c>
      <c r="J9" s="66"/>
      <c r="K9" s="66"/>
      <c r="L9" s="66"/>
    </row>
    <row r="10" spans="1:14" ht="15.6">
      <c r="A10" s="46" t="str">
        <v>Zumbrota - Eastlake Brenda Luhman</v>
      </c>
      <c r="B10" s="40" t="str">
        <v>MN</v>
      </c>
      <c r="C10" s="28">
        <v>98665</v>
      </c>
      <c r="D10" s="29" t="s">
        <v>24</v>
      </c>
      <c r="E10" s="29" t="str">
        <f t="shared" si="4"/>
        <v/>
      </c>
      <c r="F10" s="32" t="str">
        <f t="shared" si="5"/>
        <v/>
      </c>
      <c r="G10" s="31">
        <v>114650</v>
      </c>
      <c r="H10" s="31">
        <f t="shared" si="6"/>
        <v>-15985</v>
      </c>
      <c r="I10" s="32">
        <f t="shared" si="7"/>
        <v>-0.13942433493240297</v>
      </c>
      <c r="J10" s="49" t="s">
        <v>41</v>
      </c>
      <c r="K10" s="49"/>
      <c r="L10" s="49"/>
    </row>
    <row r="11" spans="1:14" ht="15.6">
      <c r="A11" s="45" t="str">
        <v>Cokato - Eastlake Carlson</v>
      </c>
      <c r="B11" s="42" t="str">
        <v>MN</v>
      </c>
      <c r="C11" s="36">
        <v>92635</v>
      </c>
      <c r="D11" s="36" t="s">
        <v>24</v>
      </c>
      <c r="E11" s="36" t="str">
        <f t="shared" si="4"/>
        <v/>
      </c>
      <c r="F11" s="37" t="str">
        <f t="shared" si="5"/>
        <v/>
      </c>
      <c r="G11" s="38">
        <v>118503.8</v>
      </c>
      <c r="H11" s="38">
        <f t="shared" si="6"/>
        <v>-25868.800000000003</v>
      </c>
      <c r="I11" s="37">
        <f t="shared" si="7"/>
        <v>-0.21829510952391401</v>
      </c>
      <c r="J11" s="50" t="s">
        <v>41</v>
      </c>
      <c r="K11" s="50"/>
      <c r="L11" s="50"/>
    </row>
    <row r="12" spans="1:14" ht="28.9">
      <c r="A12" s="44" t="str">
        <v>North Branch - Cornille 2</v>
      </c>
      <c r="B12" s="40" t="str">
        <v>MN</v>
      </c>
      <c r="C12" s="28">
        <v>85685.583920000005</v>
      </c>
      <c r="D12" s="29" t="s">
        <v>24</v>
      </c>
      <c r="E12" s="29" t="str">
        <f t="shared" si="4"/>
        <v/>
      </c>
      <c r="F12" s="32" t="str">
        <f t="shared" si="5"/>
        <v/>
      </c>
      <c r="G12" s="31">
        <v>102177</v>
      </c>
      <c r="H12" s="31">
        <f t="shared" si="6"/>
        <v>-16491.416079999995</v>
      </c>
      <c r="I12" s="32">
        <f t="shared" si="7"/>
        <v>-0.1614004725133836</v>
      </c>
      <c r="J12" s="49" t="s">
        <v>42</v>
      </c>
      <c r="K12" s="49"/>
      <c r="L12" s="49"/>
    </row>
    <row r="13" spans="1:14" ht="15.6">
      <c r="A13" s="45" t="str">
        <v>Clear Lake - Eastlake Hammer</v>
      </c>
      <c r="B13" s="42" t="str">
        <v>MN</v>
      </c>
      <c r="C13" s="36">
        <v>98222</v>
      </c>
      <c r="D13" s="36" t="s">
        <v>24</v>
      </c>
      <c r="E13" s="36" t="str">
        <f t="shared" si="4"/>
        <v/>
      </c>
      <c r="F13" s="37" t="str">
        <f t="shared" si="5"/>
        <v/>
      </c>
      <c r="G13" s="38">
        <v>99053.53</v>
      </c>
      <c r="H13" s="38">
        <f t="shared" si="6"/>
        <v>-831.52999999999884</v>
      </c>
      <c r="I13" s="37">
        <f t="shared" si="7"/>
        <v>-8.3947538265420618E-3</v>
      </c>
      <c r="J13" s="66"/>
      <c r="K13" s="66"/>
      <c r="L13" s="66"/>
    </row>
    <row r="14" spans="1:14" ht="15.6">
      <c r="A14" s="46" t="str">
        <v>Eastlake - Hertzberg CSG 1</v>
      </c>
      <c r="B14" s="40" t="str">
        <v>MN</v>
      </c>
      <c r="C14" s="28">
        <v>85984</v>
      </c>
      <c r="D14" s="29" t="s">
        <v>24</v>
      </c>
      <c r="E14" s="29" t="str">
        <f t="shared" si="4"/>
        <v/>
      </c>
      <c r="F14" s="32" t="str">
        <f t="shared" si="5"/>
        <v/>
      </c>
      <c r="G14" s="31">
        <v>104254.1</v>
      </c>
      <c r="H14" s="31">
        <f t="shared" si="6"/>
        <v>-18270.100000000006</v>
      </c>
      <c r="I14" s="32">
        <f t="shared" si="7"/>
        <v>-0.17524586563022465</v>
      </c>
      <c r="J14" s="49" t="s">
        <v>43</v>
      </c>
      <c r="K14" s="49"/>
      <c r="L14" s="49"/>
    </row>
    <row r="15" spans="1:14" ht="15.6">
      <c r="A15" s="45" t="str">
        <v>Cokato - Eastlake Laurel Village</v>
      </c>
      <c r="B15" s="42" t="str">
        <v>MN</v>
      </c>
      <c r="C15" s="36">
        <v>73449.135680000007</v>
      </c>
      <c r="D15" s="36" t="s">
        <v>24</v>
      </c>
      <c r="E15" s="36" t="str">
        <f t="shared" si="4"/>
        <v/>
      </c>
      <c r="F15" s="37" t="str">
        <f t="shared" si="5"/>
        <v/>
      </c>
      <c r="G15" s="38">
        <v>92786.05</v>
      </c>
      <c r="H15" s="38">
        <f t="shared" si="6"/>
        <v>-19336.914319999996</v>
      </c>
      <c r="I15" s="37">
        <f t="shared" si="7"/>
        <v>-0.20840324941087585</v>
      </c>
      <c r="J15" s="50" t="s">
        <v>44</v>
      </c>
      <c r="K15" s="50"/>
      <c r="L15" s="50"/>
    </row>
    <row r="16" spans="1:14" ht="43.15">
      <c r="A16" s="44" t="str">
        <v>St. Peter - Eastlake Paulson</v>
      </c>
      <c r="B16" s="40" t="str">
        <v>MN</v>
      </c>
      <c r="C16" s="28">
        <v>78437.838910000006</v>
      </c>
      <c r="D16" s="29" t="s">
        <v>24</v>
      </c>
      <c r="E16" s="29" t="str">
        <f t="shared" si="4"/>
        <v/>
      </c>
      <c r="F16" s="32" t="str">
        <f t="shared" si="5"/>
        <v/>
      </c>
      <c r="G16" s="31">
        <v>115834.5</v>
      </c>
      <c r="H16" s="31">
        <f t="shared" si="6"/>
        <v>-37396.661089999994</v>
      </c>
      <c r="I16" s="32">
        <f t="shared" si="7"/>
        <v>-0.32284562103691039</v>
      </c>
      <c r="J16" s="49" t="s">
        <v>45</v>
      </c>
      <c r="K16" s="67" t="s">
        <v>46</v>
      </c>
      <c r="L16" s="49" t="s">
        <v>47</v>
      </c>
    </row>
    <row r="17" spans="1:16" ht="28.9">
      <c r="A17" s="45" t="str">
        <v>Felician Sisters Convent</v>
      </c>
      <c r="B17" s="42" t="str">
        <v>NJ</v>
      </c>
      <c r="C17" s="36">
        <v>6359.9</v>
      </c>
      <c r="D17" s="36" t="s">
        <v>24</v>
      </c>
      <c r="E17" s="36" t="str">
        <f t="shared" si="4"/>
        <v/>
      </c>
      <c r="F17" s="37" t="str">
        <f t="shared" si="5"/>
        <v/>
      </c>
      <c r="G17" s="38" t="s">
        <v>48</v>
      </c>
      <c r="H17" s="38" t="str">
        <f t="shared" si="6"/>
        <v/>
      </c>
      <c r="I17" s="37" t="str">
        <f t="shared" si="7"/>
        <v/>
      </c>
      <c r="J17" s="66" t="s">
        <v>49</v>
      </c>
      <c r="K17" s="68" t="s">
        <v>50</v>
      </c>
      <c r="L17" s="66" t="s">
        <v>51</v>
      </c>
      <c r="M17" s="76" t="s">
        <v>52</v>
      </c>
    </row>
    <row r="18" spans="1:16" ht="15.6">
      <c r="A18" s="46" t="str">
        <v>Sussex County Fairgrounds</v>
      </c>
      <c r="B18" s="40" t="str">
        <v>NJ</v>
      </c>
      <c r="C18" s="28">
        <v>13739.56</v>
      </c>
      <c r="D18" s="29" t="s">
        <v>24</v>
      </c>
      <c r="E18" s="29" t="str">
        <f t="shared" si="4"/>
        <v/>
      </c>
      <c r="F18" s="32" t="str">
        <f t="shared" si="5"/>
        <v/>
      </c>
      <c r="G18" s="31" t="s">
        <v>48</v>
      </c>
      <c r="H18" s="31" t="str">
        <f t="shared" si="6"/>
        <v/>
      </c>
      <c r="I18" s="32" t="str">
        <f t="shared" si="7"/>
        <v/>
      </c>
      <c r="J18" s="49" t="s">
        <v>53</v>
      </c>
      <c r="K18" s="49"/>
      <c r="L18" s="49"/>
    </row>
    <row r="19" spans="1:16" ht="57.6">
      <c r="A19" s="45" t="str">
        <v>Gateway Church</v>
      </c>
      <c r="B19" s="42" t="str">
        <v>NJ</v>
      </c>
      <c r="C19" s="36">
        <v>3705</v>
      </c>
      <c r="D19" s="36" t="s">
        <v>24</v>
      </c>
      <c r="E19" s="36" t="str">
        <f t="shared" si="4"/>
        <v/>
      </c>
      <c r="F19" s="37" t="str">
        <f t="shared" si="5"/>
        <v/>
      </c>
      <c r="G19" s="38" t="s">
        <v>48</v>
      </c>
      <c r="H19" s="38" t="str">
        <f t="shared" si="6"/>
        <v/>
      </c>
      <c r="I19" s="37" t="str">
        <f t="shared" si="7"/>
        <v/>
      </c>
      <c r="J19" s="50" t="s">
        <v>54</v>
      </c>
      <c r="K19" s="69" t="s">
        <v>55</v>
      </c>
      <c r="L19" s="50" t="s">
        <v>56</v>
      </c>
      <c r="M19" s="76" t="s">
        <v>57</v>
      </c>
      <c r="N19" s="76" t="s">
        <v>58</v>
      </c>
    </row>
    <row r="20" spans="1:16" ht="28.9">
      <c r="A20" s="44" t="str">
        <v>Beaver Falls - Felician Sisters</v>
      </c>
      <c r="B20" s="40" t="str">
        <v>PA</v>
      </c>
      <c r="C20" s="28">
        <v>9199</v>
      </c>
      <c r="D20" s="29" t="s">
        <v>24</v>
      </c>
      <c r="E20" s="29" t="str">
        <f t="shared" si="4"/>
        <v/>
      </c>
      <c r="F20" s="32" t="str">
        <f t="shared" si="5"/>
        <v/>
      </c>
      <c r="G20" s="31" t="s">
        <v>48</v>
      </c>
      <c r="H20" s="31" t="str">
        <f t="shared" si="6"/>
        <v/>
      </c>
      <c r="I20" s="32" t="str">
        <f t="shared" si="7"/>
        <v/>
      </c>
      <c r="J20" s="49" t="s">
        <v>59</v>
      </c>
      <c r="K20" s="67" t="s">
        <v>60</v>
      </c>
      <c r="L20" s="49" t="s">
        <v>61</v>
      </c>
    </row>
    <row r="21" spans="1:16" ht="72">
      <c r="A21" s="45" t="str">
        <v>Livonia - Felician Sisters Ground</v>
      </c>
      <c r="B21" s="42" t="str">
        <v>MI</v>
      </c>
      <c r="C21" s="36">
        <v>1173</v>
      </c>
      <c r="D21" s="36" t="s">
        <v>24</v>
      </c>
      <c r="E21" s="36" t="str">
        <f t="shared" si="4"/>
        <v/>
      </c>
      <c r="F21" s="37" t="str">
        <f t="shared" si="5"/>
        <v/>
      </c>
      <c r="G21" s="38" t="s">
        <v>48</v>
      </c>
      <c r="H21" s="38" t="str">
        <f t="shared" si="6"/>
        <v/>
      </c>
      <c r="I21" s="37" t="str">
        <f t="shared" si="7"/>
        <v/>
      </c>
      <c r="J21" s="66" t="s">
        <v>62</v>
      </c>
      <c r="K21" s="68" t="s">
        <v>63</v>
      </c>
      <c r="L21" s="66" t="s">
        <v>64</v>
      </c>
      <c r="M21" s="76" t="s">
        <v>65</v>
      </c>
      <c r="N21" s="76" t="s">
        <v>66</v>
      </c>
      <c r="O21" s="76" t="s">
        <v>67</v>
      </c>
      <c r="P21" s="76" t="s">
        <v>68</v>
      </c>
    </row>
    <row r="22" spans="1:16" ht="15.6">
      <c r="A22" s="46" t="str">
        <v>Livonia - Felician Sisters Roof</v>
      </c>
      <c r="B22" s="40" t="str">
        <v>MI</v>
      </c>
      <c r="C22" s="28">
        <v>2263</v>
      </c>
      <c r="D22" s="29" t="s">
        <v>24</v>
      </c>
      <c r="E22" s="29" t="str">
        <f t="shared" si="4"/>
        <v/>
      </c>
      <c r="F22" s="32" t="str">
        <f t="shared" si="5"/>
        <v/>
      </c>
      <c r="G22" s="31" t="s">
        <v>48</v>
      </c>
      <c r="H22" s="31" t="str">
        <f t="shared" si="6"/>
        <v/>
      </c>
      <c r="I22" s="32" t="str">
        <f t="shared" si="7"/>
        <v/>
      </c>
      <c r="J22" s="49"/>
      <c r="K22" s="60"/>
      <c r="L22" s="60"/>
    </row>
    <row r="23" spans="1:16" ht="57.6">
      <c r="A23" s="45" t="str">
        <v>Monmouth Worship Ctr</v>
      </c>
      <c r="B23" s="42" t="str">
        <v>NJ</v>
      </c>
      <c r="C23" s="36">
        <v>3056.09</v>
      </c>
      <c r="D23" s="36" t="s">
        <v>24</v>
      </c>
      <c r="E23" s="36" t="str">
        <f t="shared" si="4"/>
        <v/>
      </c>
      <c r="F23" s="37" t="str">
        <f t="shared" si="5"/>
        <v/>
      </c>
      <c r="G23" s="38" t="s">
        <v>48</v>
      </c>
      <c r="H23" s="38" t="str">
        <f t="shared" si="6"/>
        <v/>
      </c>
      <c r="I23" s="37" t="str">
        <f t="shared" si="7"/>
        <v/>
      </c>
      <c r="J23" s="66" t="s">
        <v>69</v>
      </c>
      <c r="K23" s="75" t="s">
        <v>70</v>
      </c>
      <c r="L23" s="60" t="s">
        <v>71</v>
      </c>
      <c r="M23" s="76" t="s">
        <v>72</v>
      </c>
    </row>
    <row r="24" spans="1:16" ht="15.6">
      <c r="A24" s="44" t="str">
        <v xml:space="preserve"> Audubon - Senior Citizens United</v>
      </c>
      <c r="B24" s="40" t="str">
        <v>NJ</v>
      </c>
      <c r="C24" s="28">
        <v>3584.3</v>
      </c>
      <c r="D24" s="29" t="s">
        <v>24</v>
      </c>
      <c r="E24" s="29" t="str">
        <f t="shared" si="4"/>
        <v/>
      </c>
      <c r="F24" s="32" t="str">
        <f t="shared" si="5"/>
        <v/>
      </c>
      <c r="G24" s="31" t="s">
        <v>48</v>
      </c>
      <c r="H24" s="31" t="str">
        <f t="shared" si="6"/>
        <v/>
      </c>
      <c r="I24" s="32" t="str">
        <f t="shared" si="7"/>
        <v/>
      </c>
      <c r="J24" s="49" t="s">
        <v>73</v>
      </c>
      <c r="K24" s="49"/>
      <c r="L24" s="49"/>
    </row>
    <row r="25" spans="1:16" ht="43.15">
      <c r="A25" s="45" t="str">
        <v>Hollister - PG&amp;E (Enerparc)</v>
      </c>
      <c r="B25" s="42" t="str">
        <v>CA</v>
      </c>
      <c r="C25" s="36">
        <v>234442.20300000001</v>
      </c>
      <c r="D25" s="36">
        <v>193200.2</v>
      </c>
      <c r="E25" s="36">
        <f t="shared" si="4"/>
        <v>41242.002999999997</v>
      </c>
      <c r="F25" s="37">
        <f t="shared" si="5"/>
        <v>0.21346770344958232</v>
      </c>
      <c r="G25" s="38">
        <v>182348.9</v>
      </c>
      <c r="H25" s="38">
        <f t="shared" si="6"/>
        <v>52093.303000000014</v>
      </c>
      <c r="I25" s="37">
        <f t="shared" si="7"/>
        <v>0.28567928295701273</v>
      </c>
      <c r="J25" s="50" t="s">
        <v>74</v>
      </c>
      <c r="K25" s="69" t="s">
        <v>75</v>
      </c>
      <c r="L25" s="50" t="s">
        <v>76</v>
      </c>
    </row>
    <row r="26" spans="1:16" ht="15.6">
      <c r="A26" s="44" t="str">
        <v>Taos County - Kit Carson Electric Co-Op</v>
      </c>
      <c r="B26" s="40" t="str">
        <v>NM</v>
      </c>
      <c r="C26" s="28">
        <v>157571</v>
      </c>
      <c r="D26" s="29">
        <v>126147.7</v>
      </c>
      <c r="E26" s="29">
        <f t="shared" si="4"/>
        <v>31423.300000000003</v>
      </c>
      <c r="F26" s="32">
        <f t="shared" si="5"/>
        <v>0.24909927014127092</v>
      </c>
      <c r="G26" s="31">
        <v>96766.3</v>
      </c>
      <c r="H26" s="31">
        <f t="shared" si="6"/>
        <v>60804.7</v>
      </c>
      <c r="I26" s="32">
        <f t="shared" si="7"/>
        <v>0.62836648709313048</v>
      </c>
      <c r="J26" s="49" t="s">
        <v>77</v>
      </c>
      <c r="K26" s="67" t="s">
        <v>78</v>
      </c>
      <c r="L26" s="49" t="s">
        <v>79</v>
      </c>
    </row>
    <row r="27" spans="1:16" ht="28.9">
      <c r="A27" s="45" t="str">
        <v>Commerce City - Adams City HS</v>
      </c>
      <c r="B27" s="42" t="str">
        <v>CO</v>
      </c>
      <c r="C27" s="36">
        <v>8504</v>
      </c>
      <c r="D27" s="36">
        <v>7306.2920000000004</v>
      </c>
      <c r="E27" s="36">
        <f t="shared" si="4"/>
        <v>1197.7079999999996</v>
      </c>
      <c r="F27" s="37">
        <f t="shared" si="5"/>
        <v>0.16392829632322381</v>
      </c>
      <c r="G27" s="38">
        <v>7831.9780000000001</v>
      </c>
      <c r="H27" s="38">
        <f t="shared" si="6"/>
        <v>672.02199999999993</v>
      </c>
      <c r="I27" s="37">
        <f t="shared" si="7"/>
        <v>8.5804888624559456E-2</v>
      </c>
      <c r="J27" s="50" t="s">
        <v>80</v>
      </c>
      <c r="K27" s="50"/>
      <c r="L27" s="50"/>
    </row>
    <row r="28" spans="1:16" ht="15.6">
      <c r="A28" s="44" t="str">
        <v>Commerce City - Adams City MS</v>
      </c>
      <c r="B28" s="40" t="str">
        <v>CO</v>
      </c>
      <c r="C28" s="28">
        <v>6640</v>
      </c>
      <c r="D28" s="29">
        <v>6639.37</v>
      </c>
      <c r="E28" s="29">
        <f t="shared" si="4"/>
        <v>0.63000000000010914</v>
      </c>
      <c r="F28" s="32">
        <f t="shared" si="5"/>
        <v>9.4888521049453357E-5</v>
      </c>
      <c r="G28" s="31">
        <v>6896.15</v>
      </c>
      <c r="H28" s="31">
        <f t="shared" si="6"/>
        <v>-256.14999999999964</v>
      </c>
      <c r="I28" s="32">
        <f t="shared" si="7"/>
        <v>-3.7143913632969067E-2</v>
      </c>
      <c r="J28" s="49"/>
      <c r="K28" s="49"/>
      <c r="L28" s="49"/>
    </row>
    <row r="29" spans="1:16" ht="15.6">
      <c r="A29" s="45" t="str">
        <v>Commerce City - Central ES</v>
      </c>
      <c r="B29" s="42" t="str">
        <v>CO</v>
      </c>
      <c r="C29" s="36">
        <v>1633</v>
      </c>
      <c r="D29" s="36">
        <v>1830.559</v>
      </c>
      <c r="E29" s="36">
        <f t="shared" si="4"/>
        <v>-197.55899999999997</v>
      </c>
      <c r="F29" s="37">
        <f t="shared" si="5"/>
        <v>-0.10792277113165977</v>
      </c>
      <c r="G29" s="38">
        <v>1937.3209999999999</v>
      </c>
      <c r="H29" s="38">
        <f t="shared" si="6"/>
        <v>-304.32099999999991</v>
      </c>
      <c r="I29" s="37">
        <f t="shared" si="7"/>
        <v>-0.15708341570653492</v>
      </c>
      <c r="J29" s="60" t="s">
        <v>81</v>
      </c>
      <c r="K29" s="75" t="s">
        <v>82</v>
      </c>
      <c r="L29" s="60" t="s">
        <v>61</v>
      </c>
    </row>
    <row r="30" spans="1:16" ht="15.6">
      <c r="A30" s="44" t="str">
        <v>Commerce City - Dupont ES</v>
      </c>
      <c r="B30" s="40" t="str">
        <v>CO</v>
      </c>
      <c r="C30" s="28">
        <v>5065</v>
      </c>
      <c r="D30" s="29">
        <v>4930.7920000000004</v>
      </c>
      <c r="E30" s="29">
        <f t="shared" si="4"/>
        <v>134.20799999999963</v>
      </c>
      <c r="F30" s="32">
        <f t="shared" si="5"/>
        <v>2.7218345450385987E-2</v>
      </c>
      <c r="G30" s="31">
        <v>5313.3059999999996</v>
      </c>
      <c r="H30" s="31">
        <f t="shared" si="6"/>
        <v>-248.30599999999959</v>
      </c>
      <c r="I30" s="32">
        <f t="shared" si="7"/>
        <v>-4.6732862741200976E-2</v>
      </c>
      <c r="J30" s="49"/>
      <c r="K30" s="49"/>
      <c r="L30" s="49"/>
    </row>
    <row r="31" spans="1:16" ht="60.75">
      <c r="A31" s="45" t="str">
        <v>Commerce City - Educational Support Services</v>
      </c>
      <c r="B31" s="42" t="str">
        <v>CO</v>
      </c>
      <c r="C31" s="36">
        <v>5195</v>
      </c>
      <c r="D31" s="36">
        <v>5626.2690000000002</v>
      </c>
      <c r="E31" s="36">
        <f t="shared" si="4"/>
        <v>-431.26900000000023</v>
      </c>
      <c r="F31" s="37">
        <f t="shared" si="5"/>
        <v>-7.6652751583687201E-2</v>
      </c>
      <c r="G31" s="38">
        <v>5960.0249999999996</v>
      </c>
      <c r="H31" s="38">
        <f t="shared" si="6"/>
        <v>-765.02499999999964</v>
      </c>
      <c r="I31" s="37">
        <f t="shared" si="7"/>
        <v>-0.12835936090872097</v>
      </c>
      <c r="J31" s="60" t="s">
        <v>83</v>
      </c>
      <c r="K31" s="60"/>
      <c r="L31" s="60"/>
    </row>
    <row r="32" spans="1:16" ht="28.9">
      <c r="A32" s="44" t="str">
        <v>Commerce City - Hanson ES</v>
      </c>
      <c r="B32" s="40" t="str">
        <v>CO</v>
      </c>
      <c r="C32" s="28">
        <v>7110</v>
      </c>
      <c r="D32" s="29">
        <v>7337.6729999999998</v>
      </c>
      <c r="E32" s="29">
        <f t="shared" si="4"/>
        <v>-227.67299999999977</v>
      </c>
      <c r="F32" s="32">
        <f t="shared" si="5"/>
        <v>-3.1027956683269992E-2</v>
      </c>
      <c r="G32" s="31">
        <v>7793.8789999999999</v>
      </c>
      <c r="H32" s="31">
        <f t="shared" si="6"/>
        <v>-683.87899999999991</v>
      </c>
      <c r="I32" s="32">
        <f t="shared" si="7"/>
        <v>-8.7745652710287128E-2</v>
      </c>
      <c r="J32" s="49" t="s">
        <v>84</v>
      </c>
      <c r="K32" s="67" t="s">
        <v>85</v>
      </c>
      <c r="L32" s="49" t="s">
        <v>61</v>
      </c>
    </row>
    <row r="33" spans="1:15" ht="15.6">
      <c r="A33" s="45" t="str">
        <v>Commerce City - Kemp ES</v>
      </c>
      <c r="B33" s="42" t="str">
        <v>CO</v>
      </c>
      <c r="C33" s="36">
        <v>7007</v>
      </c>
      <c r="D33" s="36">
        <v>7333.6260000000002</v>
      </c>
      <c r="E33" s="36">
        <f t="shared" si="4"/>
        <v>-326.6260000000002</v>
      </c>
      <c r="F33" s="37">
        <f t="shared" si="5"/>
        <v>-4.4538131614565588E-2</v>
      </c>
      <c r="G33" s="38">
        <v>7811.5309999999999</v>
      </c>
      <c r="H33" s="38">
        <f t="shared" si="6"/>
        <v>-804.53099999999995</v>
      </c>
      <c r="I33" s="37">
        <f t="shared" si="7"/>
        <v>-0.10299274239582483</v>
      </c>
      <c r="J33" s="60" t="s">
        <v>86</v>
      </c>
      <c r="K33" s="75" t="s">
        <v>87</v>
      </c>
      <c r="L33" s="60" t="s">
        <v>61</v>
      </c>
    </row>
    <row r="34" spans="1:15" ht="15.6">
      <c r="A34" s="44" t="str">
        <v>Commerce City -  Lester Arnold HS</v>
      </c>
      <c r="B34" s="40" t="str">
        <v>CO</v>
      </c>
      <c r="C34" s="28">
        <v>6390</v>
      </c>
      <c r="D34" s="29">
        <v>7089.6180000000004</v>
      </c>
      <c r="E34" s="29">
        <f t="shared" si="4"/>
        <v>-699.61800000000039</v>
      </c>
      <c r="F34" s="32">
        <f t="shared" si="5"/>
        <v>-9.8682044646129077E-2</v>
      </c>
      <c r="G34" s="31">
        <v>7555.0969999999998</v>
      </c>
      <c r="H34" s="31">
        <f t="shared" si="6"/>
        <v>-1165.0969999999998</v>
      </c>
      <c r="I34" s="32">
        <f t="shared" si="7"/>
        <v>-0.15421337409698377</v>
      </c>
      <c r="J34" s="49" t="s">
        <v>88</v>
      </c>
      <c r="K34" s="49"/>
      <c r="L34" s="49"/>
    </row>
    <row r="35" spans="1:15" ht="15.6">
      <c r="A35" s="45" t="str">
        <v>Commerce City - Monaco ES</v>
      </c>
      <c r="B35" s="42" t="str">
        <v>CO</v>
      </c>
      <c r="C35" s="36">
        <v>7468</v>
      </c>
      <c r="D35" s="36">
        <v>7337.9160000000002</v>
      </c>
      <c r="E35" s="36">
        <f t="shared" si="4"/>
        <v>130.08399999999983</v>
      </c>
      <c r="F35" s="37">
        <f t="shared" si="5"/>
        <v>1.7727649103641937E-2</v>
      </c>
      <c r="G35" s="38">
        <v>7793.8789999999999</v>
      </c>
      <c r="H35" s="38">
        <f t="shared" si="6"/>
        <v>-325.87899999999991</v>
      </c>
      <c r="I35" s="37">
        <f t="shared" si="7"/>
        <v>-4.181217080737331E-2</v>
      </c>
      <c r="J35" s="60"/>
      <c r="K35" s="60"/>
      <c r="L35" s="60"/>
    </row>
    <row r="36" spans="1:15" ht="15.6">
      <c r="A36" s="44" t="str">
        <v>Denver - Northgate / Old Fort Logan ES</v>
      </c>
      <c r="B36" s="40" t="str">
        <v>CO</v>
      </c>
      <c r="C36" s="28">
        <v>6724</v>
      </c>
      <c r="D36" s="29">
        <v>6313.5969999999998</v>
      </c>
      <c r="E36" s="29">
        <f t="shared" si="4"/>
        <v>410.40300000000025</v>
      </c>
      <c r="F36" s="32">
        <f t="shared" si="5"/>
        <v>6.5003040263735601E-2</v>
      </c>
      <c r="G36" s="31">
        <v>7134.8379999999997</v>
      </c>
      <c r="H36" s="31">
        <f t="shared" si="6"/>
        <v>-410.83799999999974</v>
      </c>
      <c r="I36" s="32">
        <f t="shared" si="7"/>
        <v>-5.7581966121725503E-2</v>
      </c>
      <c r="J36" s="49"/>
      <c r="K36" s="49"/>
      <c r="L36" s="49"/>
    </row>
    <row r="37" spans="1:15" ht="15.6">
      <c r="A37" s="45" t="str">
        <v>Denver - Sheridan High School</v>
      </c>
      <c r="B37" s="42" t="str">
        <v>CO</v>
      </c>
      <c r="C37" s="36">
        <v>7585</v>
      </c>
      <c r="D37" s="36">
        <v>7300.2120000000004</v>
      </c>
      <c r="E37" s="36">
        <f t="shared" si="4"/>
        <v>284.78799999999956</v>
      </c>
      <c r="F37" s="37">
        <f t="shared" si="5"/>
        <v>3.9010921874597551E-2</v>
      </c>
      <c r="G37" s="38">
        <v>7096.6329999999998</v>
      </c>
      <c r="H37" s="38">
        <f t="shared" si="6"/>
        <v>488.36700000000019</v>
      </c>
      <c r="I37" s="37">
        <f t="shared" si="7"/>
        <v>6.8816719139907639E-2</v>
      </c>
      <c r="J37" s="50"/>
      <c r="K37" s="50"/>
      <c r="L37" s="50"/>
    </row>
    <row r="38" spans="1:15" ht="15.6">
      <c r="A38" s="44" t="str">
        <v>Englewood -  Alice Terry Elementary</v>
      </c>
      <c r="B38" s="40" t="str">
        <v>CO</v>
      </c>
      <c r="C38" s="28">
        <v>7465</v>
      </c>
      <c r="D38" s="29">
        <v>7300.69</v>
      </c>
      <c r="E38" s="29">
        <f t="shared" ref="E38:E69" si="8">IF(AND(ISNUMBER(C38),ISNUMBER(D38)), C38-D38, "")</f>
        <v>164.3100000000004</v>
      </c>
      <c r="F38" s="32">
        <f t="shared" ref="F38:F69" si="9">IFERROR(E38/D38, "")</f>
        <v>2.2506091889944704E-2</v>
      </c>
      <c r="G38" s="31">
        <v>7134.8379999999997</v>
      </c>
      <c r="H38" s="31">
        <f t="shared" ref="H38:H69" si="10">IF(AND(ISNUMBER(C38),ISNUMBER(G38)), C38-G38, "")</f>
        <v>330.16200000000026</v>
      </c>
      <c r="I38" s="32">
        <f t="shared" ref="I38:I69" si="11">IFERROR(H38/G38, "")</f>
        <v>4.6274631603408556E-2</v>
      </c>
      <c r="J38" s="49"/>
      <c r="K38" s="49"/>
      <c r="L38" s="49"/>
    </row>
    <row r="39" spans="1:15" ht="15.6">
      <c r="A39" s="45" t="str">
        <v>Englewood - Sheridan Middle School</v>
      </c>
      <c r="B39" s="42" t="str">
        <v>CO</v>
      </c>
      <c r="C39" s="36">
        <v>4256</v>
      </c>
      <c r="D39" s="36">
        <v>3496.8249999999998</v>
      </c>
      <c r="E39" s="36">
        <f t="shared" si="8"/>
        <v>759.17500000000018</v>
      </c>
      <c r="F39" s="37">
        <f t="shared" si="9"/>
        <v>0.21710408727917474</v>
      </c>
      <c r="G39" s="38">
        <v>4187.4719999999998</v>
      </c>
      <c r="H39" s="38">
        <f t="shared" si="10"/>
        <v>68.528000000000247</v>
      </c>
      <c r="I39" s="37">
        <f t="shared" si="11"/>
        <v>1.6365004948092846E-2</v>
      </c>
      <c r="J39" s="50" t="s">
        <v>88</v>
      </c>
      <c r="K39" s="50"/>
      <c r="L39" s="50"/>
    </row>
    <row r="40" spans="1:15" ht="28.9">
      <c r="A40" s="44" t="str">
        <v>Goshen - NIPSCO</v>
      </c>
      <c r="B40" s="40" t="str">
        <v>IN</v>
      </c>
      <c r="C40" s="28">
        <v>8557</v>
      </c>
      <c r="D40" s="29">
        <v>18140.25</v>
      </c>
      <c r="E40" s="29">
        <f t="shared" si="8"/>
        <v>-9583.25</v>
      </c>
      <c r="F40" s="32">
        <f t="shared" si="9"/>
        <v>-0.52828654511376638</v>
      </c>
      <c r="G40" s="31">
        <v>22590.74</v>
      </c>
      <c r="H40" s="31">
        <f t="shared" si="10"/>
        <v>-14033.740000000002</v>
      </c>
      <c r="I40" s="32">
        <f t="shared" si="11"/>
        <v>-0.62121648073502689</v>
      </c>
      <c r="J40" s="49" t="s">
        <v>89</v>
      </c>
      <c r="K40" s="67" t="s">
        <v>90</v>
      </c>
      <c r="L40" s="49" t="s">
        <v>91</v>
      </c>
      <c r="M40" s="76" t="s">
        <v>92</v>
      </c>
    </row>
    <row r="41" spans="1:15" ht="33" customHeight="1">
      <c r="A41" s="45" t="str">
        <v>Alamogordo - City of Alamogordo - Effluent</v>
      </c>
      <c r="B41" s="42" t="str">
        <v>NM</v>
      </c>
      <c r="C41" s="36">
        <v>20572</v>
      </c>
      <c r="D41" s="36">
        <v>24391.65</v>
      </c>
      <c r="E41" s="36">
        <f t="shared" si="8"/>
        <v>-3819.6500000000015</v>
      </c>
      <c r="F41" s="37">
        <f t="shared" si="9"/>
        <v>-0.15659662220472995</v>
      </c>
      <c r="G41" s="38">
        <v>16362.16</v>
      </c>
      <c r="H41" s="38">
        <f t="shared" si="10"/>
        <v>4209.84</v>
      </c>
      <c r="I41" s="37">
        <f t="shared" si="11"/>
        <v>0.25729121338502986</v>
      </c>
      <c r="J41" s="60" t="s">
        <v>93</v>
      </c>
      <c r="K41" s="75" t="s">
        <v>94</v>
      </c>
      <c r="L41" s="60" t="s">
        <v>61</v>
      </c>
    </row>
    <row r="42" spans="1:15" ht="28.9">
      <c r="A42" s="44" t="str">
        <v>Alamogordo - City of Alamogordo - WWTP</v>
      </c>
      <c r="B42" s="40" t="str">
        <v>NM</v>
      </c>
      <c r="C42" s="28">
        <v>72975</v>
      </c>
      <c r="D42" s="29">
        <v>0</v>
      </c>
      <c r="E42" s="29">
        <f t="shared" si="8"/>
        <v>72975</v>
      </c>
      <c r="F42" s="32" t="str">
        <f t="shared" si="9"/>
        <v/>
      </c>
      <c r="G42" s="31">
        <v>69394.080000000002</v>
      </c>
      <c r="H42" s="31">
        <f t="shared" si="10"/>
        <v>3580.9199999999983</v>
      </c>
      <c r="I42" s="32">
        <f t="shared" si="11"/>
        <v>5.160267273519583E-2</v>
      </c>
      <c r="J42" s="49" t="s">
        <v>95</v>
      </c>
      <c r="K42" s="67" t="s">
        <v>96</v>
      </c>
      <c r="L42" s="49" t="s">
        <v>51</v>
      </c>
      <c r="M42" s="76" t="s">
        <v>97</v>
      </c>
    </row>
    <row r="43" spans="1:15" ht="28.9">
      <c r="A43" s="45" t="str">
        <v>Deming - Bilbo Booster</v>
      </c>
      <c r="B43" s="42" t="str">
        <v>NM</v>
      </c>
      <c r="C43" s="36">
        <v>11010</v>
      </c>
      <c r="D43" s="36">
        <v>0</v>
      </c>
      <c r="E43" s="36">
        <f t="shared" si="8"/>
        <v>11010</v>
      </c>
      <c r="F43" s="37" t="str">
        <f t="shared" si="9"/>
        <v/>
      </c>
      <c r="G43" s="38">
        <v>6555.2709999999997</v>
      </c>
      <c r="H43" s="38">
        <f t="shared" si="10"/>
        <v>4454.7290000000003</v>
      </c>
      <c r="I43" s="37">
        <f t="shared" si="11"/>
        <v>0.67956442990686439</v>
      </c>
      <c r="J43" s="60" t="s">
        <v>98</v>
      </c>
      <c r="K43" s="75" t="s">
        <v>99</v>
      </c>
      <c r="L43" s="60" t="s">
        <v>27</v>
      </c>
    </row>
    <row r="44" spans="1:15" ht="28.9">
      <c r="A44" s="44" t="str">
        <v>Deming - Bilbo Well</v>
      </c>
      <c r="B44" s="40" t="str">
        <v>NM</v>
      </c>
      <c r="C44" s="28">
        <v>19892</v>
      </c>
      <c r="D44" s="29">
        <v>0</v>
      </c>
      <c r="E44" s="29">
        <f t="shared" si="8"/>
        <v>19892</v>
      </c>
      <c r="F44" s="32" t="str">
        <f t="shared" si="9"/>
        <v/>
      </c>
      <c r="G44" s="31">
        <v>11849.44</v>
      </c>
      <c r="H44" s="31">
        <f t="shared" si="10"/>
        <v>8042.5599999999995</v>
      </c>
      <c r="I44" s="32">
        <f t="shared" si="11"/>
        <v>0.67872912137620001</v>
      </c>
      <c r="J44" s="49" t="s">
        <v>100</v>
      </c>
      <c r="K44" s="67" t="s">
        <v>101</v>
      </c>
      <c r="L44" s="49" t="s">
        <v>102</v>
      </c>
      <c r="M44" s="76" t="s">
        <v>103</v>
      </c>
    </row>
    <row r="45" spans="1:15" ht="43.15">
      <c r="A45" s="45" t="str">
        <v>Deming - WWTP</v>
      </c>
      <c r="B45" s="42" t="str">
        <v>NM</v>
      </c>
      <c r="C45" s="36">
        <v>65925</v>
      </c>
      <c r="D45" s="36">
        <v>66265.039999999994</v>
      </c>
      <c r="E45" s="36">
        <f t="shared" si="8"/>
        <v>-340.0399999999936</v>
      </c>
      <c r="F45" s="37">
        <f t="shared" si="9"/>
        <v>-5.1315142947169975E-3</v>
      </c>
      <c r="G45" s="38">
        <v>63574.21</v>
      </c>
      <c r="H45" s="38">
        <f t="shared" si="10"/>
        <v>2350.7900000000009</v>
      </c>
      <c r="I45" s="37">
        <f t="shared" si="11"/>
        <v>3.6977101249075703E-2</v>
      </c>
      <c r="J45" s="60" t="s">
        <v>104</v>
      </c>
      <c r="K45" s="75" t="s">
        <v>105</v>
      </c>
      <c r="L45" s="60" t="s">
        <v>106</v>
      </c>
      <c r="M45" s="76" t="s">
        <v>107</v>
      </c>
    </row>
    <row r="46" spans="1:15" ht="57.6">
      <c r="A46" s="44" t="str">
        <v>Truth or Consequences - Walmart</v>
      </c>
      <c r="B46" s="40" t="str">
        <v>NM</v>
      </c>
      <c r="C46" s="28">
        <v>91500</v>
      </c>
      <c r="D46" s="29">
        <v>260284.1</v>
      </c>
      <c r="E46" s="29">
        <f t="shared" si="8"/>
        <v>-168784.1</v>
      </c>
      <c r="F46" s="32">
        <f t="shared" si="9"/>
        <v>-0.6484610469867349</v>
      </c>
      <c r="G46" s="31">
        <v>108415.6</v>
      </c>
      <c r="H46" s="31">
        <f t="shared" si="10"/>
        <v>-16915.600000000006</v>
      </c>
      <c r="I46" s="32">
        <f t="shared" si="11"/>
        <v>-0.15602551662306904</v>
      </c>
      <c r="J46" s="49" t="s">
        <v>108</v>
      </c>
      <c r="K46" s="67" t="s">
        <v>109</v>
      </c>
      <c r="L46" s="49" t="s">
        <v>110</v>
      </c>
      <c r="M46" s="76" t="s">
        <v>111</v>
      </c>
      <c r="N46" s="76" t="s">
        <v>112</v>
      </c>
      <c r="O46" s="76" t="s">
        <v>113</v>
      </c>
    </row>
    <row r="47" spans="1:15" ht="43.15">
      <c r="A47" s="45" t="str">
        <v>CA: Stockton - SUSD - Merlo</v>
      </c>
      <c r="B47" s="42" t="str">
        <v>CA</v>
      </c>
      <c r="C47" s="36">
        <v>0</v>
      </c>
      <c r="D47" s="36">
        <v>5390.8649999999998</v>
      </c>
      <c r="E47" s="36">
        <f t="shared" si="8"/>
        <v>-5390.8649999999998</v>
      </c>
      <c r="F47" s="37">
        <f t="shared" si="9"/>
        <v>-1</v>
      </c>
      <c r="G47" s="38">
        <v>6003.7259999999997</v>
      </c>
      <c r="H47" s="38">
        <f t="shared" si="10"/>
        <v>-6003.7259999999997</v>
      </c>
      <c r="I47" s="37">
        <f t="shared" si="11"/>
        <v>-1</v>
      </c>
      <c r="J47" s="60" t="s">
        <v>114</v>
      </c>
      <c r="K47" s="75" t="s">
        <v>115</v>
      </c>
      <c r="L47" s="60" t="s">
        <v>116</v>
      </c>
      <c r="M47" s="76" t="s">
        <v>117</v>
      </c>
      <c r="N47" s="76" t="s">
        <v>118</v>
      </c>
    </row>
    <row r="48" spans="1:15" ht="57.6">
      <c r="A48" s="44" t="str">
        <v>Stockton Unified School Dist. - Bush Elementary</v>
      </c>
      <c r="B48" s="40" t="str">
        <v>CA</v>
      </c>
      <c r="C48" s="28">
        <v>7905.75</v>
      </c>
      <c r="D48" s="29">
        <v>12887.094999999999</v>
      </c>
      <c r="E48" s="29">
        <f t="shared" si="8"/>
        <v>-4981.3449999999993</v>
      </c>
      <c r="F48" s="32">
        <f t="shared" si="9"/>
        <v>-0.38653746247699733</v>
      </c>
      <c r="G48" s="31">
        <v>10934.314</v>
      </c>
      <c r="H48" s="31">
        <f t="shared" si="10"/>
        <v>-3028.5640000000003</v>
      </c>
      <c r="I48" s="32">
        <f t="shared" si="11"/>
        <v>-0.27697796130603164</v>
      </c>
      <c r="J48" s="49" t="s">
        <v>119</v>
      </c>
      <c r="K48" s="67" t="s">
        <v>120</v>
      </c>
      <c r="L48" s="49" t="s">
        <v>121</v>
      </c>
      <c r="M48" s="76" t="s">
        <v>122</v>
      </c>
      <c r="N48" s="76" t="s">
        <v>123</v>
      </c>
    </row>
    <row r="49" spans="1:20" ht="28.9">
      <c r="A49" s="45" t="str">
        <v>CA: Stockton - SUSD - Marshall JHS</v>
      </c>
      <c r="B49" s="42" t="str">
        <v>CA</v>
      </c>
      <c r="C49" s="36">
        <v>2776.25</v>
      </c>
      <c r="D49" s="36">
        <v>7364.02</v>
      </c>
      <c r="E49" s="36">
        <f t="shared" si="8"/>
        <v>-4587.7700000000004</v>
      </c>
      <c r="F49" s="37">
        <f t="shared" si="9"/>
        <v>-0.62299803639859752</v>
      </c>
      <c r="G49" s="38">
        <v>6365.99</v>
      </c>
      <c r="H49" s="38">
        <f t="shared" si="10"/>
        <v>-3589.74</v>
      </c>
      <c r="I49" s="37">
        <f t="shared" si="11"/>
        <v>-0.56389343998341179</v>
      </c>
      <c r="J49" s="60" t="s">
        <v>124</v>
      </c>
      <c r="K49" s="75" t="s">
        <v>125</v>
      </c>
      <c r="L49" s="60" t="s">
        <v>126</v>
      </c>
    </row>
    <row r="50" spans="1:20" ht="28.9">
      <c r="A50" s="44" t="str">
        <v>CA: Stockton - SUSD - Hong-Kingston ES</v>
      </c>
      <c r="B50" s="40" t="str">
        <v>CA</v>
      </c>
      <c r="C50" s="28">
        <v>1776.5</v>
      </c>
      <c r="D50" s="29">
        <v>13230.34</v>
      </c>
      <c r="E50" s="29">
        <f t="shared" si="8"/>
        <v>-11453.84</v>
      </c>
      <c r="F50" s="32">
        <f t="shared" si="9"/>
        <v>-0.86572529504154849</v>
      </c>
      <c r="G50" s="31">
        <v>10471.01</v>
      </c>
      <c r="H50" s="31">
        <f t="shared" si="10"/>
        <v>-8694.51</v>
      </c>
      <c r="I50" s="32">
        <f t="shared" si="11"/>
        <v>-0.83034110367576763</v>
      </c>
      <c r="J50" s="49" t="s">
        <v>127</v>
      </c>
      <c r="K50" s="67" t="s">
        <v>128</v>
      </c>
      <c r="L50" s="49" t="s">
        <v>129</v>
      </c>
      <c r="M50" s="76" t="s">
        <v>130</v>
      </c>
    </row>
    <row r="51" spans="1:20" ht="15.6">
      <c r="A51" s="45" t="str">
        <v>CA: Stockton - SUSD - Hamilton ES</v>
      </c>
      <c r="B51" s="42" t="str">
        <v>CA</v>
      </c>
      <c r="C51" s="36">
        <v>2442.875</v>
      </c>
      <c r="D51" s="36">
        <v>6552.509</v>
      </c>
      <c r="E51" s="36">
        <f t="shared" si="8"/>
        <v>-4109.634</v>
      </c>
      <c r="F51" s="37">
        <f t="shared" si="9"/>
        <v>-0.6271847928785752</v>
      </c>
      <c r="G51" s="38">
        <v>5619.52</v>
      </c>
      <c r="H51" s="38">
        <f t="shared" si="10"/>
        <v>-3176.6450000000004</v>
      </c>
      <c r="I51" s="37">
        <f t="shared" si="11"/>
        <v>-0.56528760463527139</v>
      </c>
      <c r="J51" s="60" t="s">
        <v>131</v>
      </c>
      <c r="K51" s="75" t="s">
        <v>132</v>
      </c>
      <c r="L51" s="60" t="s">
        <v>126</v>
      </c>
    </row>
    <row r="52" spans="1:20" ht="86.45">
      <c r="A52" s="44" t="str">
        <v>CA: Stockton - SUSD - Franklin - North</v>
      </c>
      <c r="B52" s="40" t="str">
        <v>CA</v>
      </c>
      <c r="C52" s="28">
        <v>9874.5</v>
      </c>
      <c r="D52" s="29">
        <v>48146.73</v>
      </c>
      <c r="E52" s="29">
        <f t="shared" si="8"/>
        <v>-38272.230000000003</v>
      </c>
      <c r="F52" s="32">
        <f t="shared" si="9"/>
        <v>-0.79490819002661239</v>
      </c>
      <c r="G52" s="31">
        <v>14727.8</v>
      </c>
      <c r="H52" s="31">
        <f t="shared" si="10"/>
        <v>-4853.2999999999993</v>
      </c>
      <c r="I52" s="32">
        <f t="shared" si="11"/>
        <v>-0.3295332636238949</v>
      </c>
      <c r="J52" s="49" t="s">
        <v>133</v>
      </c>
      <c r="K52" s="67" t="s">
        <v>134</v>
      </c>
      <c r="L52" s="49" t="s">
        <v>135</v>
      </c>
      <c r="M52" s="76" t="s">
        <v>136</v>
      </c>
      <c r="N52" s="76" t="s">
        <v>137</v>
      </c>
      <c r="O52" s="76" t="s">
        <v>138</v>
      </c>
    </row>
    <row r="53" spans="1:20" ht="15.6">
      <c r="A53" s="45" t="str">
        <v>Stockton Unified School Dist. - Fillmore Elementary</v>
      </c>
      <c r="B53" s="42" t="str">
        <v>CA</v>
      </c>
      <c r="C53" s="36">
        <v>1891.0940000000001</v>
      </c>
      <c r="D53" s="36">
        <v>5996.8720000000003</v>
      </c>
      <c r="E53" s="36">
        <f t="shared" si="8"/>
        <v>-4105.7780000000002</v>
      </c>
      <c r="F53" s="37">
        <f t="shared" si="9"/>
        <v>-0.68465326590262388</v>
      </c>
      <c r="G53" s="38">
        <v>5247.4219999999996</v>
      </c>
      <c r="H53" s="38">
        <f t="shared" si="10"/>
        <v>-3356.3279999999995</v>
      </c>
      <c r="I53" s="37">
        <f t="shared" si="11"/>
        <v>-0.63961465268087836</v>
      </c>
      <c r="J53" s="60" t="s">
        <v>139</v>
      </c>
      <c r="K53" s="75" t="s">
        <v>140</v>
      </c>
      <c r="L53" s="60"/>
    </row>
    <row r="54" spans="1:20" ht="28.9">
      <c r="A54" s="44" t="str">
        <v>CA: Stockton - SUSD - El Dorado ES</v>
      </c>
      <c r="B54" s="40" t="str">
        <v>CA</v>
      </c>
      <c r="C54" s="28">
        <v>2145.375</v>
      </c>
      <c r="D54" s="29">
        <v>7422.96</v>
      </c>
      <c r="E54" s="29">
        <f t="shared" si="8"/>
        <v>-5277.585</v>
      </c>
      <c r="F54" s="32">
        <f t="shared" si="9"/>
        <v>-0.71098119887484235</v>
      </c>
      <c r="G54" s="31">
        <v>0</v>
      </c>
      <c r="H54" s="31">
        <f t="shared" si="10"/>
        <v>2145.375</v>
      </c>
      <c r="I54" s="32" t="str">
        <f t="shared" si="11"/>
        <v/>
      </c>
      <c r="J54" s="49" t="s">
        <v>141</v>
      </c>
      <c r="K54" s="67" t="s">
        <v>142</v>
      </c>
      <c r="L54" s="49" t="s">
        <v>126</v>
      </c>
    </row>
    <row r="55" spans="1:20" ht="100.9">
      <c r="A55" s="45" t="str">
        <v>CA: Stockton - SUSD - Edison HS</v>
      </c>
      <c r="B55" s="42" t="str">
        <v>CA</v>
      </c>
      <c r="C55" s="36">
        <v>6713.5</v>
      </c>
      <c r="D55" s="36">
        <v>18406.009999999998</v>
      </c>
      <c r="E55" s="36">
        <f t="shared" si="8"/>
        <v>-11692.509999999998</v>
      </c>
      <c r="F55" s="37">
        <f t="shared" si="9"/>
        <v>-0.63525500638106791</v>
      </c>
      <c r="G55" s="38">
        <v>15437.38</v>
      </c>
      <c r="H55" s="38">
        <f t="shared" si="10"/>
        <v>-8723.8799999999992</v>
      </c>
      <c r="I55" s="37">
        <f t="shared" si="11"/>
        <v>-0.56511402841673908</v>
      </c>
      <c r="J55" s="60" t="s">
        <v>143</v>
      </c>
      <c r="K55" s="75" t="s">
        <v>144</v>
      </c>
      <c r="L55" s="60" t="s">
        <v>145</v>
      </c>
      <c r="M55" s="76" t="s">
        <v>146</v>
      </c>
      <c r="N55" s="76" t="s">
        <v>146</v>
      </c>
      <c r="O55" s="76" t="s">
        <v>147</v>
      </c>
      <c r="P55" s="76" t="s">
        <v>148</v>
      </c>
      <c r="Q55" s="76" t="s">
        <v>149</v>
      </c>
      <c r="R55" s="76" t="s">
        <v>150</v>
      </c>
    </row>
    <row r="56" spans="1:20" ht="86.45">
      <c r="A56" s="44" t="str">
        <v>CA: Stockton - SUSD - Chavez HS - Large</v>
      </c>
      <c r="B56" s="40" t="str">
        <v>CA</v>
      </c>
      <c r="C56" s="28">
        <v>18017</v>
      </c>
      <c r="D56" s="29">
        <v>45615.67</v>
      </c>
      <c r="E56" s="29">
        <f t="shared" si="8"/>
        <v>-27598.67</v>
      </c>
      <c r="F56" s="32">
        <f t="shared" si="9"/>
        <v>-0.60502607985369938</v>
      </c>
      <c r="G56" s="31">
        <v>31766</v>
      </c>
      <c r="H56" s="31">
        <f t="shared" si="10"/>
        <v>-13749</v>
      </c>
      <c r="I56" s="32">
        <f t="shared" si="11"/>
        <v>-0.43282125543033434</v>
      </c>
      <c r="J56" s="49" t="s">
        <v>151</v>
      </c>
      <c r="K56" s="67" t="s">
        <v>152</v>
      </c>
      <c r="L56" s="49" t="s">
        <v>153</v>
      </c>
      <c r="M56" s="76" t="s">
        <v>154</v>
      </c>
      <c r="N56" s="76" t="s">
        <v>155</v>
      </c>
      <c r="O56" s="76" t="s">
        <v>156</v>
      </c>
    </row>
    <row r="57" spans="1:20" ht="43.15">
      <c r="A57" s="45" t="str">
        <v>CA: San Jose - GE Mobile Water</v>
      </c>
      <c r="B57" s="42" t="str">
        <v>CA</v>
      </c>
      <c r="C57" s="36">
        <v>13800</v>
      </c>
      <c r="D57" s="36">
        <v>14212.76</v>
      </c>
      <c r="E57" s="36">
        <f t="shared" si="8"/>
        <v>-412.76000000000022</v>
      </c>
      <c r="F57" s="37">
        <f t="shared" si="9"/>
        <v>-2.904150917907572E-2</v>
      </c>
      <c r="G57" s="38">
        <v>12214.53</v>
      </c>
      <c r="H57" s="38">
        <f t="shared" si="10"/>
        <v>1585.4699999999993</v>
      </c>
      <c r="I57" s="37">
        <f t="shared" si="11"/>
        <v>0.12980196536420144</v>
      </c>
      <c r="J57" s="60" t="s">
        <v>157</v>
      </c>
      <c r="K57" s="75" t="s">
        <v>158</v>
      </c>
      <c r="L57" s="60" t="s">
        <v>126</v>
      </c>
    </row>
    <row r="58" spans="1:20" ht="15.6">
      <c r="A58" s="44" t="str">
        <v>CA: San Marcos - Vallecitos Water - Lift Station</v>
      </c>
      <c r="B58" s="40" t="str">
        <v>CA</v>
      </c>
      <c r="C58" s="28">
        <v>19809.25</v>
      </c>
      <c r="D58" s="29">
        <v>21186.48</v>
      </c>
      <c r="E58" s="29">
        <f t="shared" si="8"/>
        <v>-1377.2299999999996</v>
      </c>
      <c r="F58" s="32">
        <f t="shared" si="9"/>
        <v>-6.5005135350468771E-2</v>
      </c>
      <c r="G58" s="31">
        <v>21469.94</v>
      </c>
      <c r="H58" s="31">
        <f t="shared" si="10"/>
        <v>-1660.6899999999987</v>
      </c>
      <c r="I58" s="32">
        <f t="shared" si="11"/>
        <v>-7.7349540799834499E-2</v>
      </c>
      <c r="J58" s="49" t="s">
        <v>159</v>
      </c>
      <c r="K58" s="67" t="s">
        <v>160</v>
      </c>
      <c r="L58" s="49" t="s">
        <v>61</v>
      </c>
    </row>
    <row r="59" spans="1:20" ht="26.45">
      <c r="A59" s="45" t="str">
        <v>CA: San Marcos - Vallecitos Water - Twin Oaks Reservoir</v>
      </c>
      <c r="B59" s="42" t="str">
        <v>CA</v>
      </c>
      <c r="C59" s="36">
        <v>196395</v>
      </c>
      <c r="D59" s="36">
        <v>266582.5</v>
      </c>
      <c r="E59" s="36">
        <f t="shared" si="8"/>
        <v>-70187.5</v>
      </c>
      <c r="F59" s="37">
        <f t="shared" si="9"/>
        <v>-0.26328622471467555</v>
      </c>
      <c r="G59" s="38">
        <v>153324</v>
      </c>
      <c r="H59" s="38">
        <f t="shared" si="10"/>
        <v>43071</v>
      </c>
      <c r="I59" s="37">
        <f t="shared" si="11"/>
        <v>0.28091492525631995</v>
      </c>
      <c r="J59" s="60" t="s">
        <v>161</v>
      </c>
      <c r="K59" s="75" t="s">
        <v>162</v>
      </c>
      <c r="L59" s="60" t="s">
        <v>27</v>
      </c>
      <c r="M59" s="76" t="s">
        <v>163</v>
      </c>
    </row>
    <row r="60" spans="1:20" ht="15.6">
      <c r="A60" s="44" t="str">
        <v>CA: Stockton - SUSD - Wilhelmina Henry ES</v>
      </c>
      <c r="B60" s="40" t="str">
        <v>CA</v>
      </c>
      <c r="C60" s="28">
        <v>2995</v>
      </c>
      <c r="D60" s="29">
        <v>16599.400000000001</v>
      </c>
      <c r="E60" s="29">
        <f t="shared" si="8"/>
        <v>-13604.400000000001</v>
      </c>
      <c r="F60" s="32">
        <f t="shared" si="9"/>
        <v>-0.81957179175150907</v>
      </c>
      <c r="G60" s="31">
        <v>10351.459999999999</v>
      </c>
      <c r="H60" s="31">
        <f t="shared" si="10"/>
        <v>-7356.4599999999991</v>
      </c>
      <c r="I60" s="32">
        <f t="shared" si="11"/>
        <v>-0.71066883318874818</v>
      </c>
      <c r="J60" s="49" t="s">
        <v>164</v>
      </c>
      <c r="K60" s="67" t="s">
        <v>165</v>
      </c>
      <c r="L60" s="49" t="s">
        <v>126</v>
      </c>
    </row>
    <row r="61" spans="1:20" ht="100.9">
      <c r="A61" s="45" t="str">
        <v>Stockton Unified School Dist. - Franklin (North)</v>
      </c>
      <c r="B61" s="42" t="str">
        <v>CA</v>
      </c>
      <c r="C61" s="36">
        <v>9874.5</v>
      </c>
      <c r="D61" s="36">
        <v>48146.728999999999</v>
      </c>
      <c r="E61" s="36">
        <f t="shared" si="8"/>
        <v>-38272.228999999999</v>
      </c>
      <c r="F61" s="37">
        <f t="shared" si="9"/>
        <v>-0.79490818576688771</v>
      </c>
      <c r="G61" s="38">
        <v>16605.293000000001</v>
      </c>
      <c r="H61" s="38">
        <f t="shared" si="10"/>
        <v>-6730.7930000000015</v>
      </c>
      <c r="I61" s="37">
        <f t="shared" si="11"/>
        <v>-0.40534021290681238</v>
      </c>
      <c r="J61" s="60" t="s">
        <v>166</v>
      </c>
      <c r="K61" s="75" t="s">
        <v>167</v>
      </c>
      <c r="L61" s="60" t="s">
        <v>168</v>
      </c>
      <c r="M61" s="76" t="s">
        <v>169</v>
      </c>
      <c r="N61" s="76" t="s">
        <v>136</v>
      </c>
      <c r="O61" s="76" t="s">
        <v>137</v>
      </c>
      <c r="P61" s="76" t="s">
        <v>138</v>
      </c>
    </row>
    <row r="62" spans="1:20" ht="144">
      <c r="A62" s="44" t="str">
        <v>CA: Stockton - SUSD - Franklin - South</v>
      </c>
      <c r="B62" s="40" t="str">
        <v>CA</v>
      </c>
      <c r="C62" s="28">
        <v>13422</v>
      </c>
      <c r="D62" s="29">
        <v>31578.77</v>
      </c>
      <c r="E62" s="29">
        <f t="shared" si="8"/>
        <v>-18156.77</v>
      </c>
      <c r="F62" s="32">
        <f t="shared" si="9"/>
        <v>-0.57496761273475816</v>
      </c>
      <c r="G62" s="31">
        <v>24055.5</v>
      </c>
      <c r="H62" s="31">
        <f t="shared" si="10"/>
        <v>-10633.5</v>
      </c>
      <c r="I62" s="32">
        <f t="shared" si="11"/>
        <v>-0.44204028184822597</v>
      </c>
      <c r="J62" s="49" t="s">
        <v>170</v>
      </c>
      <c r="K62" s="67" t="s">
        <v>171</v>
      </c>
      <c r="L62" s="49" t="s">
        <v>172</v>
      </c>
      <c r="M62" s="76" t="s">
        <v>173</v>
      </c>
      <c r="N62" s="76" t="s">
        <v>174</v>
      </c>
      <c r="O62" s="76" t="s">
        <v>175</v>
      </c>
      <c r="P62" s="76" t="s">
        <v>176</v>
      </c>
      <c r="Q62" s="76" t="s">
        <v>173</v>
      </c>
      <c r="R62" s="76" t="s">
        <v>177</v>
      </c>
      <c r="S62" s="76" t="s">
        <v>178</v>
      </c>
      <c r="T62" s="76" t="s">
        <v>179</v>
      </c>
    </row>
    <row r="63" spans="1:20" ht="43.15">
      <c r="A63" s="45" t="str">
        <v>CA: Stockton - SUSD - Chavez HS - Small</v>
      </c>
      <c r="B63" s="42" t="str">
        <v>CA</v>
      </c>
      <c r="C63" s="36">
        <v>9548.5</v>
      </c>
      <c r="D63" s="36">
        <v>10479.09</v>
      </c>
      <c r="E63" s="36">
        <f t="shared" si="8"/>
        <v>-930.59000000000015</v>
      </c>
      <c r="F63" s="37">
        <f t="shared" si="9"/>
        <v>-8.8804466800075213E-2</v>
      </c>
      <c r="G63" s="38">
        <v>9028.7289999999994</v>
      </c>
      <c r="H63" s="38">
        <f t="shared" si="10"/>
        <v>519.77100000000064</v>
      </c>
      <c r="I63" s="37">
        <f t="shared" si="11"/>
        <v>5.7568568067554213E-2</v>
      </c>
      <c r="J63" s="60" t="s">
        <v>180</v>
      </c>
      <c r="K63" s="75" t="s">
        <v>181</v>
      </c>
      <c r="L63" s="60" t="s">
        <v>182</v>
      </c>
      <c r="M63" s="76" t="s">
        <v>183</v>
      </c>
    </row>
    <row r="64" spans="1:20" ht="57.6">
      <c r="A64" s="44" t="str">
        <v>CA: Stockton - SUSD - Facilities</v>
      </c>
      <c r="B64" s="40" t="str">
        <v>CA</v>
      </c>
      <c r="C64" s="28">
        <v>8731.5</v>
      </c>
      <c r="D64" s="29">
        <v>20380.88</v>
      </c>
      <c r="E64" s="29">
        <f t="shared" si="8"/>
        <v>-11649.380000000001</v>
      </c>
      <c r="F64" s="32">
        <f t="shared" si="9"/>
        <v>-0.57158375889559232</v>
      </c>
      <c r="G64" s="31">
        <v>15721.25</v>
      </c>
      <c r="H64" s="31">
        <f t="shared" si="10"/>
        <v>-6989.75</v>
      </c>
      <c r="I64" s="32">
        <f t="shared" si="11"/>
        <v>-0.44460523177228273</v>
      </c>
      <c r="J64" s="49" t="s">
        <v>184</v>
      </c>
      <c r="K64" s="67" t="s">
        <v>185</v>
      </c>
      <c r="L64" s="49" t="s">
        <v>186</v>
      </c>
      <c r="M64" s="76" t="s">
        <v>187</v>
      </c>
      <c r="N64" s="76" t="s">
        <v>188</v>
      </c>
    </row>
    <row r="65" spans="1:15" ht="86.45">
      <c r="A65" s="45" t="str">
        <v>CA: Stockton - SUSD - Harrison</v>
      </c>
      <c r="B65" s="42" t="str">
        <v>CA</v>
      </c>
      <c r="C65" s="36">
        <v>3023.875</v>
      </c>
      <c r="D65" s="36">
        <v>7253.951</v>
      </c>
      <c r="E65" s="36">
        <f t="shared" si="8"/>
        <v>-4230.076</v>
      </c>
      <c r="F65" s="37">
        <f t="shared" si="9"/>
        <v>-0.58314096690203721</v>
      </c>
      <c r="G65" s="38">
        <v>5557.2359999999999</v>
      </c>
      <c r="H65" s="38">
        <f t="shared" si="10"/>
        <v>-2533.3609999999999</v>
      </c>
      <c r="I65" s="37">
        <f t="shared" si="11"/>
        <v>-0.45586708932282161</v>
      </c>
      <c r="J65" s="60" t="s">
        <v>189</v>
      </c>
      <c r="K65" s="75" t="s">
        <v>190</v>
      </c>
      <c r="L65" s="60" t="s">
        <v>153</v>
      </c>
      <c r="M65" s="76" t="s">
        <v>191</v>
      </c>
      <c r="N65" s="76" t="s">
        <v>192</v>
      </c>
      <c r="O65" s="76" t="s">
        <v>193</v>
      </c>
    </row>
    <row r="66" spans="1:15" ht="39.6">
      <c r="A66" s="44" t="str">
        <v>CA: Stockton - SUSD - Commodore Skills School</v>
      </c>
      <c r="B66" s="40" t="str">
        <v>CA</v>
      </c>
      <c r="C66" s="28">
        <v>4257.25</v>
      </c>
      <c r="D66" s="29">
        <v>15302.58</v>
      </c>
      <c r="E66" s="29">
        <f t="shared" si="8"/>
        <v>-11045.33</v>
      </c>
      <c r="F66" s="32">
        <f t="shared" si="9"/>
        <v>-0.72179527896603057</v>
      </c>
      <c r="G66" s="31">
        <v>12327.39</v>
      </c>
      <c r="H66" s="31">
        <f t="shared" si="10"/>
        <v>-8070.1399999999994</v>
      </c>
      <c r="I66" s="32">
        <f t="shared" si="11"/>
        <v>-0.65465114675531477</v>
      </c>
      <c r="J66" s="49" t="s">
        <v>194</v>
      </c>
      <c r="K66" s="67" t="s">
        <v>195</v>
      </c>
      <c r="L66" s="49" t="s">
        <v>196</v>
      </c>
      <c r="M66" s="76" t="s">
        <v>197</v>
      </c>
      <c r="N66" s="76" t="s">
        <v>198</v>
      </c>
    </row>
    <row r="67" spans="1:15" ht="15.6">
      <c r="A67" s="45" t="str">
        <v>CA: Stockton - SUSD - Nightingale ES</v>
      </c>
      <c r="B67" s="42" t="str">
        <v>CA</v>
      </c>
      <c r="C67" s="36">
        <v>7590</v>
      </c>
      <c r="D67" s="36">
        <v>7446.7759999999998</v>
      </c>
      <c r="E67" s="36">
        <f t="shared" si="8"/>
        <v>143.22400000000016</v>
      </c>
      <c r="F67" s="37">
        <f t="shared" si="9"/>
        <v>1.9233021108732175E-2</v>
      </c>
      <c r="G67" s="38">
        <v>5692.5020000000004</v>
      </c>
      <c r="H67" s="38">
        <f t="shared" si="10"/>
        <v>1897.4979999999996</v>
      </c>
      <c r="I67" s="37">
        <f t="shared" si="11"/>
        <v>0.33333286488085545</v>
      </c>
      <c r="J67" s="60" t="s">
        <v>199</v>
      </c>
      <c r="K67" s="75" t="s">
        <v>200</v>
      </c>
      <c r="L67" s="60" t="s">
        <v>61</v>
      </c>
    </row>
    <row r="68" spans="1:15" ht="57.6">
      <c r="A68" s="44" t="str">
        <v>CA: Stockton - SUSD - Weber Institute</v>
      </c>
      <c r="B68" s="40" t="str">
        <v>CA</v>
      </c>
      <c r="C68" s="28">
        <v>3285</v>
      </c>
      <c r="D68" s="29">
        <v>44904.47</v>
      </c>
      <c r="E68" s="29">
        <f t="shared" si="8"/>
        <v>-41619.47</v>
      </c>
      <c r="F68" s="32">
        <f t="shared" si="9"/>
        <v>-0.9268446994252465</v>
      </c>
      <c r="G68" s="31">
        <v>11967.91</v>
      </c>
      <c r="H68" s="31">
        <f t="shared" si="10"/>
        <v>-8682.91</v>
      </c>
      <c r="I68" s="32">
        <f t="shared" si="11"/>
        <v>-0.72551598399386363</v>
      </c>
      <c r="J68" s="49" t="s">
        <v>201</v>
      </c>
      <c r="K68" s="67" t="s">
        <v>202</v>
      </c>
      <c r="L68" s="49" t="s">
        <v>186</v>
      </c>
      <c r="M68" s="76" t="s">
        <v>203</v>
      </c>
      <c r="N68" s="76" t="s">
        <v>204</v>
      </c>
    </row>
    <row r="69" spans="1:15" ht="28.9">
      <c r="A69" s="45" t="str">
        <v>CA: Stockton - SUSD - Warehouse</v>
      </c>
      <c r="B69" s="42" t="str">
        <v>CA</v>
      </c>
      <c r="C69" s="36">
        <v>5518.75</v>
      </c>
      <c r="D69" s="36">
        <v>11714.82</v>
      </c>
      <c r="E69" s="36">
        <f t="shared" si="8"/>
        <v>-6196.07</v>
      </c>
      <c r="F69" s="37">
        <f t="shared" si="9"/>
        <v>-0.52890868148208847</v>
      </c>
      <c r="G69" s="38">
        <v>11039.29</v>
      </c>
      <c r="H69" s="38">
        <f t="shared" si="10"/>
        <v>-5520.5400000000009</v>
      </c>
      <c r="I69" s="37">
        <f t="shared" si="11"/>
        <v>-0.50008107405458146</v>
      </c>
      <c r="J69" s="60" t="s">
        <v>205</v>
      </c>
      <c r="K69" s="75" t="s">
        <v>206</v>
      </c>
      <c r="L69" s="60" t="s">
        <v>76</v>
      </c>
      <c r="M69" s="76" t="s">
        <v>207</v>
      </c>
      <c r="N69" s="76" t="s">
        <v>208</v>
      </c>
    </row>
    <row r="70" spans="1:15" ht="43.15">
      <c r="A70" s="44" t="str">
        <v>CA: Stockton - SUSD - Walton Special Center</v>
      </c>
      <c r="B70" s="40" t="str">
        <v>CA</v>
      </c>
      <c r="C70" s="28">
        <v>5775.5</v>
      </c>
      <c r="D70" s="29">
        <v>10031.34</v>
      </c>
      <c r="E70" s="29">
        <f t="shared" ref="E70:E101" si="12">IF(AND(ISNUMBER(C70),ISNUMBER(D70)), C70-D70, "")</f>
        <v>-4255.84</v>
      </c>
      <c r="F70" s="32">
        <f t="shared" ref="F70:F101" si="13">IFERROR(E70/D70, "")</f>
        <v>-0.42425438675191951</v>
      </c>
      <c r="G70" s="31">
        <v>7933.4390000000003</v>
      </c>
      <c r="H70" s="31">
        <f t="shared" ref="H70:H101" si="14">IF(AND(ISNUMBER(C70),ISNUMBER(G70)), C70-G70, "")</f>
        <v>-2157.9390000000003</v>
      </c>
      <c r="I70" s="32">
        <f t="shared" ref="I70:I101" si="15">IFERROR(H70/G70, "")</f>
        <v>-0.27200549471673008</v>
      </c>
      <c r="J70" s="49" t="s">
        <v>209</v>
      </c>
      <c r="K70" s="67" t="s">
        <v>210</v>
      </c>
      <c r="L70" s="49" t="s">
        <v>211</v>
      </c>
      <c r="M70" s="76" t="s">
        <v>212</v>
      </c>
    </row>
    <row r="71" spans="1:15" ht="57.6">
      <c r="A71" s="45" t="str">
        <v>CA: Stockton - SUSD - Stagg HS</v>
      </c>
      <c r="B71" s="42" t="str">
        <v>CA</v>
      </c>
      <c r="C71" s="36">
        <v>11505</v>
      </c>
      <c r="D71" s="36">
        <v>14555.3</v>
      </c>
      <c r="E71" s="36">
        <f t="shared" si="12"/>
        <v>-3050.2999999999993</v>
      </c>
      <c r="F71" s="37">
        <f t="shared" si="13"/>
        <v>-0.20956627482772594</v>
      </c>
      <c r="G71" s="38">
        <v>31280.84</v>
      </c>
      <c r="H71" s="38">
        <f t="shared" si="14"/>
        <v>-19775.84</v>
      </c>
      <c r="I71" s="37">
        <f t="shared" si="15"/>
        <v>-0.63220297153145499</v>
      </c>
      <c r="J71" s="60" t="s">
        <v>213</v>
      </c>
      <c r="K71" s="75" t="s">
        <v>214</v>
      </c>
      <c r="L71" s="60" t="s">
        <v>215</v>
      </c>
      <c r="M71" s="76" t="s">
        <v>216</v>
      </c>
      <c r="N71" s="76" t="s">
        <v>217</v>
      </c>
      <c r="O71" s="76" t="s">
        <v>218</v>
      </c>
    </row>
    <row r="72" spans="1:15" ht="43.15">
      <c r="A72" s="44" t="str">
        <v>CA: Stockton - SUSD - School for Adults</v>
      </c>
      <c r="B72" s="40" t="str">
        <v>CA</v>
      </c>
      <c r="C72" s="28">
        <v>-169</v>
      </c>
      <c r="D72" s="29">
        <v>7464.1710000000003</v>
      </c>
      <c r="E72" s="29">
        <f t="shared" si="12"/>
        <v>-7633.1710000000003</v>
      </c>
      <c r="F72" s="32">
        <f t="shared" si="13"/>
        <v>-1.022641496289407</v>
      </c>
      <c r="G72" s="31">
        <v>6819.3540000000003</v>
      </c>
      <c r="H72" s="31">
        <f t="shared" si="14"/>
        <v>-6988.3540000000003</v>
      </c>
      <c r="I72" s="32">
        <f t="shared" si="15"/>
        <v>-1.0247824060754143</v>
      </c>
      <c r="J72" s="49" t="s">
        <v>219</v>
      </c>
      <c r="K72" s="67" t="s">
        <v>220</v>
      </c>
      <c r="L72" s="49" t="s">
        <v>221</v>
      </c>
      <c r="M72" s="76" t="s">
        <v>222</v>
      </c>
    </row>
    <row r="73" spans="1:15" ht="57.6">
      <c r="A73" s="45" t="str">
        <v>CA: Stockton - SUSD - San Joaquin</v>
      </c>
      <c r="B73" s="42" t="str">
        <v>CA</v>
      </c>
      <c r="C73" s="36">
        <v>3183.125</v>
      </c>
      <c r="D73" s="36">
        <v>6938.59</v>
      </c>
      <c r="E73" s="36">
        <f t="shared" si="12"/>
        <v>-3755.4650000000001</v>
      </c>
      <c r="F73" s="37">
        <f t="shared" si="13"/>
        <v>-0.54124324970923487</v>
      </c>
      <c r="G73" s="38">
        <v>6105.2969999999996</v>
      </c>
      <c r="H73" s="38">
        <f t="shared" si="14"/>
        <v>-2922.1719999999996</v>
      </c>
      <c r="I73" s="37">
        <f t="shared" si="15"/>
        <v>-0.47862896759977441</v>
      </c>
      <c r="J73" s="60" t="s">
        <v>223</v>
      </c>
      <c r="K73" s="75" t="s">
        <v>224</v>
      </c>
      <c r="L73" s="60" t="s">
        <v>225</v>
      </c>
      <c r="M73" s="76" t="s">
        <v>226</v>
      </c>
    </row>
    <row r="74" spans="1:15" ht="43.15">
      <c r="A74" s="44" t="str">
        <v>CA: Stockton - SUSD - Rio Calaveras</v>
      </c>
      <c r="B74" s="40" t="str">
        <v>CA</v>
      </c>
      <c r="C74" s="28">
        <v>944.5</v>
      </c>
      <c r="D74" s="29">
        <v>8325.5849999999991</v>
      </c>
      <c r="E74" s="29">
        <f t="shared" si="12"/>
        <v>-7381.0849999999991</v>
      </c>
      <c r="F74" s="32">
        <f t="shared" si="13"/>
        <v>-0.88655451839120014</v>
      </c>
      <c r="G74" s="31">
        <v>0</v>
      </c>
      <c r="H74" s="31">
        <f t="shared" si="14"/>
        <v>944.5</v>
      </c>
      <c r="I74" s="32" t="str">
        <f t="shared" si="15"/>
        <v/>
      </c>
      <c r="J74" s="49" t="s">
        <v>227</v>
      </c>
      <c r="K74" s="67" t="s">
        <v>228</v>
      </c>
      <c r="L74" s="49" t="s">
        <v>221</v>
      </c>
      <c r="M74" s="76" t="s">
        <v>229</v>
      </c>
    </row>
    <row r="75" spans="1:15" ht="52.9">
      <c r="A75" s="45" t="str">
        <v>CA: Stockton - SUSD - Peyton</v>
      </c>
      <c r="B75" s="42" t="str">
        <v>CA</v>
      </c>
      <c r="C75" s="36">
        <v>15140</v>
      </c>
      <c r="D75" s="36">
        <v>20240.599999999999</v>
      </c>
      <c r="E75" s="36">
        <f t="shared" si="12"/>
        <v>-5100.5999999999985</v>
      </c>
      <c r="F75" s="37">
        <f t="shared" si="13"/>
        <v>-0.251998458543719</v>
      </c>
      <c r="G75" s="38">
        <v>13586.38</v>
      </c>
      <c r="H75" s="38">
        <f t="shared" si="14"/>
        <v>1553.6200000000008</v>
      </c>
      <c r="I75" s="37">
        <f t="shared" si="15"/>
        <v>0.11435128415368928</v>
      </c>
      <c r="J75" s="60" t="s">
        <v>230</v>
      </c>
      <c r="K75" s="75" t="s">
        <v>231</v>
      </c>
      <c r="L75" s="60" t="s">
        <v>232</v>
      </c>
      <c r="M75" s="76" t="s">
        <v>233</v>
      </c>
      <c r="N75" s="76" t="s">
        <v>233</v>
      </c>
    </row>
    <row r="76" spans="1:15" ht="72">
      <c r="A76" s="44" t="str">
        <v>TX: Barnhart - 42917 Ranch RD 2469</v>
      </c>
      <c r="B76" s="40" t="str">
        <v>TX</v>
      </c>
      <c r="C76" s="28">
        <v>165900</v>
      </c>
      <c r="D76" s="29">
        <v>171704.4</v>
      </c>
      <c r="E76" s="29">
        <f t="shared" si="12"/>
        <v>-5804.3999999999942</v>
      </c>
      <c r="F76" s="32">
        <f t="shared" si="13"/>
        <v>-3.3804608385108327E-2</v>
      </c>
      <c r="G76" s="31">
        <v>155957.4</v>
      </c>
      <c r="H76" s="31">
        <f t="shared" si="14"/>
        <v>9942.6000000000058</v>
      </c>
      <c r="I76" s="32">
        <f t="shared" si="15"/>
        <v>6.3752024591330753E-2</v>
      </c>
      <c r="J76" s="49" t="s">
        <v>234</v>
      </c>
      <c r="K76" s="67" t="s">
        <v>235</v>
      </c>
      <c r="L76" s="49" t="s">
        <v>236</v>
      </c>
      <c r="M76" s="76" t="s">
        <v>237</v>
      </c>
      <c r="N76" s="76" t="s">
        <v>238</v>
      </c>
      <c r="O76" s="76" t="s">
        <v>239</v>
      </c>
    </row>
    <row r="77" spans="1:15" ht="43.15">
      <c r="A77" s="45" t="str">
        <v>AZ: San Manuel - Senior &amp; Junior HS</v>
      </c>
      <c r="B77" s="42" t="str">
        <v>AZ</v>
      </c>
      <c r="C77" s="36">
        <v>31206</v>
      </c>
      <c r="D77" s="36" t="s">
        <v>24</v>
      </c>
      <c r="E77" s="36" t="str">
        <f t="shared" si="12"/>
        <v/>
      </c>
      <c r="F77" s="37" t="str">
        <f t="shared" si="13"/>
        <v/>
      </c>
      <c r="G77" s="38">
        <v>25830</v>
      </c>
      <c r="H77" s="38">
        <f t="shared" si="14"/>
        <v>5376</v>
      </c>
      <c r="I77" s="37">
        <f t="shared" si="15"/>
        <v>0.20813008130081301</v>
      </c>
      <c r="J77" s="60" t="s">
        <v>240</v>
      </c>
      <c r="K77" s="75" t="s">
        <v>241</v>
      </c>
      <c r="L77" s="60" t="s">
        <v>242</v>
      </c>
      <c r="M77" s="76" t="s">
        <v>243</v>
      </c>
      <c r="N77" s="76" t="s">
        <v>244</v>
      </c>
    </row>
    <row r="78" spans="1:15" ht="86.45">
      <c r="A78" s="44" t="str">
        <v>AZ: Sierra Vista - Colonel Smith MS</v>
      </c>
      <c r="B78" s="40" t="str">
        <v>AZ</v>
      </c>
      <c r="C78" s="28">
        <v>24700</v>
      </c>
      <c r="D78" s="29">
        <v>49500.07</v>
      </c>
      <c r="E78" s="29">
        <f t="shared" si="12"/>
        <v>-24800.07</v>
      </c>
      <c r="F78" s="32">
        <f t="shared" si="13"/>
        <v>-0.50101080665138453</v>
      </c>
      <c r="G78" s="31">
        <v>38553.15</v>
      </c>
      <c r="H78" s="31">
        <f t="shared" si="14"/>
        <v>-13853.150000000001</v>
      </c>
      <c r="I78" s="32">
        <f t="shared" si="15"/>
        <v>-0.35932602134974706</v>
      </c>
      <c r="J78" s="49" t="s">
        <v>245</v>
      </c>
      <c r="K78" s="67" t="s">
        <v>246</v>
      </c>
      <c r="L78" s="49" t="s">
        <v>51</v>
      </c>
      <c r="M78" s="76" t="s">
        <v>247</v>
      </c>
      <c r="N78" s="76" t="s">
        <v>248</v>
      </c>
    </row>
    <row r="79" spans="1:15" ht="43.15">
      <c r="A79" s="45" t="str">
        <v>AZ: Sierra Vista - Colonel Johnston ES</v>
      </c>
      <c r="B79" s="42" t="str">
        <v>AZ</v>
      </c>
      <c r="C79" s="36">
        <v>9940</v>
      </c>
      <c r="D79" s="36">
        <v>16895.189999999999</v>
      </c>
      <c r="E79" s="36">
        <f t="shared" si="12"/>
        <v>-6955.1899999999987</v>
      </c>
      <c r="F79" s="37">
        <f t="shared" si="13"/>
        <v>-0.41166687086679693</v>
      </c>
      <c r="G79" s="38">
        <v>13185.89</v>
      </c>
      <c r="H79" s="38">
        <f t="shared" si="14"/>
        <v>-3245.8899999999994</v>
      </c>
      <c r="I79" s="37">
        <f t="shared" si="15"/>
        <v>-0.24616389185712906</v>
      </c>
      <c r="J79" s="60" t="s">
        <v>249</v>
      </c>
      <c r="K79" s="75" t="s">
        <v>250</v>
      </c>
      <c r="L79" s="60" t="s">
        <v>61</v>
      </c>
    </row>
    <row r="80" spans="1:15" ht="43.15">
      <c r="A80" s="44" t="str">
        <v>NH: Dover - Dover HS</v>
      </c>
      <c r="B80" s="40" t="str">
        <v>NH</v>
      </c>
      <c r="C80" s="28">
        <v>12899.5</v>
      </c>
      <c r="D80" s="29">
        <v>49976.95</v>
      </c>
      <c r="E80" s="29">
        <f t="shared" si="12"/>
        <v>-37077.449999999997</v>
      </c>
      <c r="F80" s="32">
        <f t="shared" si="13"/>
        <v>-0.74189101175641969</v>
      </c>
      <c r="G80" s="31">
        <v>40959.82</v>
      </c>
      <c r="H80" s="31">
        <f t="shared" si="14"/>
        <v>-28060.32</v>
      </c>
      <c r="I80" s="32">
        <f t="shared" si="15"/>
        <v>-0.68506941680896061</v>
      </c>
      <c r="J80" s="49" t="s">
        <v>251</v>
      </c>
      <c r="K80" s="67" t="s">
        <v>252</v>
      </c>
      <c r="L80" s="49" t="s">
        <v>61</v>
      </c>
      <c r="M80" s="76" t="s">
        <v>253</v>
      </c>
    </row>
    <row r="81" spans="1:14" ht="72">
      <c r="A81" s="45" t="str">
        <v>MA: Somerville - 30 Inner Belt Rd</v>
      </c>
      <c r="B81" s="42" t="str">
        <v>MA</v>
      </c>
      <c r="C81" s="36">
        <v>19220</v>
      </c>
      <c r="D81" s="36">
        <v>37730.82</v>
      </c>
      <c r="E81" s="36">
        <f t="shared" si="12"/>
        <v>-18510.82</v>
      </c>
      <c r="F81" s="37">
        <f t="shared" si="13"/>
        <v>-0.49060211254353869</v>
      </c>
      <c r="G81" s="38">
        <v>47812.13</v>
      </c>
      <c r="H81" s="38">
        <f t="shared" si="14"/>
        <v>-28592.129999999997</v>
      </c>
      <c r="I81" s="37">
        <f t="shared" si="15"/>
        <v>-0.59800996107054838</v>
      </c>
      <c r="J81" s="60" t="s">
        <v>254</v>
      </c>
      <c r="K81" s="75" t="s">
        <v>255</v>
      </c>
      <c r="L81" s="60" t="s">
        <v>61</v>
      </c>
      <c r="M81" s="76" t="s">
        <v>256</v>
      </c>
    </row>
    <row r="82" spans="1:14" ht="15.6">
      <c r="A82" s="44" t="str">
        <v>MA: Boxborough - 1414 Massachusetts Ave</v>
      </c>
      <c r="B82" s="40" t="str">
        <v>MA</v>
      </c>
      <c r="C82" s="28">
        <v>236262.0092</v>
      </c>
      <c r="D82" s="29">
        <v>255634.2</v>
      </c>
      <c r="E82" s="29">
        <f t="shared" si="12"/>
        <v>-19372.190800000011</v>
      </c>
      <c r="F82" s="32">
        <f t="shared" si="13"/>
        <v>-7.5780904120027803E-2</v>
      </c>
      <c r="G82" s="31">
        <v>401700</v>
      </c>
      <c r="H82" s="31">
        <f t="shared" si="14"/>
        <v>-165437.9908</v>
      </c>
      <c r="I82" s="32">
        <f t="shared" si="15"/>
        <v>-0.41184463729151105</v>
      </c>
      <c r="J82" s="49" t="s">
        <v>257</v>
      </c>
      <c r="K82" s="49"/>
      <c r="L82" s="49"/>
    </row>
    <row r="83" spans="1:14" ht="43.15">
      <c r="A83" s="45" t="str">
        <v>NY: Amsterdam - 153 NY Route 67</v>
      </c>
      <c r="B83" s="42" t="str">
        <v>NY</v>
      </c>
      <c r="C83" s="36">
        <v>64050</v>
      </c>
      <c r="D83" s="36">
        <v>152191.70000000001</v>
      </c>
      <c r="E83" s="36">
        <f t="shared" si="12"/>
        <v>-88141.700000000012</v>
      </c>
      <c r="F83" s="37">
        <f t="shared" si="13"/>
        <v>-0.57914919144736543</v>
      </c>
      <c r="G83" s="38">
        <v>151137</v>
      </c>
      <c r="H83" s="38">
        <f t="shared" si="14"/>
        <v>-87087</v>
      </c>
      <c r="I83" s="37">
        <f t="shared" si="15"/>
        <v>-0.57621231068500767</v>
      </c>
      <c r="J83" s="50" t="s">
        <v>258</v>
      </c>
      <c r="K83" s="69" t="s">
        <v>259</v>
      </c>
      <c r="L83" s="50" t="s">
        <v>260</v>
      </c>
      <c r="M83" s="76" t="s">
        <v>261</v>
      </c>
    </row>
    <row r="84" spans="1:14" ht="39.6">
      <c r="A84" s="44" t="str">
        <v>CA: San Jose - GE Mobile Water</v>
      </c>
      <c r="B84" s="40" t="str">
        <v>CA</v>
      </c>
      <c r="C84" s="28">
        <v>13800</v>
      </c>
      <c r="D84" s="29">
        <v>14212.755999999999</v>
      </c>
      <c r="E84" s="29">
        <f t="shared" si="12"/>
        <v>-412.7559999999994</v>
      </c>
      <c r="F84" s="32">
        <f t="shared" si="13"/>
        <v>-2.9041235915117338E-2</v>
      </c>
      <c r="G84" s="31">
        <v>12577.264999999999</v>
      </c>
      <c r="H84" s="31">
        <f t="shared" si="14"/>
        <v>1222.7350000000006</v>
      </c>
      <c r="I84" s="32">
        <f t="shared" si="15"/>
        <v>9.7217876859555769E-2</v>
      </c>
      <c r="J84" s="49" t="s">
        <v>262</v>
      </c>
      <c r="K84" s="67" t="s">
        <v>263</v>
      </c>
      <c r="L84" s="49" t="s">
        <v>264</v>
      </c>
      <c r="M84" s="76" t="s">
        <v>265</v>
      </c>
      <c r="N84" s="76" t="s">
        <v>266</v>
      </c>
    </row>
    <row r="85" spans="1:14" ht="15.6">
      <c r="A85" s="45" t="str">
        <v>NY: Rome - 7776 Tannery RD</v>
      </c>
      <c r="B85" s="42" t="str">
        <v>NY</v>
      </c>
      <c r="C85" s="36">
        <v>43322.293749999997</v>
      </c>
      <c r="D85" s="36">
        <v>138493.4</v>
      </c>
      <c r="E85" s="36">
        <f t="shared" si="12"/>
        <v>-95171.106249999997</v>
      </c>
      <c r="F85" s="37">
        <f t="shared" si="13"/>
        <v>-0.68718874870571456</v>
      </c>
      <c r="G85" s="38">
        <v>196069.2</v>
      </c>
      <c r="H85" s="38">
        <f t="shared" si="14"/>
        <v>-152746.90625</v>
      </c>
      <c r="I85" s="37">
        <f t="shared" si="15"/>
        <v>-0.7790458993559416</v>
      </c>
      <c r="J85" s="50" t="s">
        <v>267</v>
      </c>
      <c r="K85" s="50"/>
      <c r="L85" s="50"/>
    </row>
    <row r="86" spans="1:14" ht="14.45">
      <c r="A86" s="8"/>
      <c r="B86" s="13"/>
      <c r="C86" s="8"/>
      <c r="D86" s="8"/>
      <c r="E86" s="8"/>
      <c r="F86" s="9"/>
      <c r="G86" s="8"/>
      <c r="H86" s="8"/>
      <c r="I86" s="9"/>
      <c r="J86" s="8"/>
      <c r="K86" s="8"/>
      <c r="L86" s="8"/>
    </row>
    <row r="87" spans="1:14" ht="14.45">
      <c r="A87" s="8"/>
      <c r="B87" s="13"/>
      <c r="C87" s="8"/>
      <c r="D87" s="8"/>
      <c r="E87" s="8"/>
      <c r="F87" s="9"/>
      <c r="G87" s="8"/>
      <c r="H87" s="8"/>
      <c r="I87" s="9"/>
      <c r="J87" s="8"/>
      <c r="K87" s="8"/>
      <c r="L87" s="8"/>
    </row>
    <row r="88" spans="1:14" ht="14.45">
      <c r="A88" s="8"/>
      <c r="B88" s="13"/>
      <c r="C88" s="8"/>
      <c r="D88" s="8"/>
      <c r="E88" s="8"/>
      <c r="F88" s="9"/>
      <c r="G88" s="8"/>
      <c r="H88" s="8"/>
      <c r="I88" s="9"/>
      <c r="J88" s="8"/>
      <c r="K88" s="8"/>
      <c r="L88" s="8"/>
    </row>
    <row r="89" spans="1:14" ht="14.45">
      <c r="A89" s="8"/>
      <c r="B89" s="13"/>
      <c r="C89" s="8"/>
      <c r="D89" s="8"/>
      <c r="E89" s="8"/>
      <c r="F89" s="9"/>
      <c r="G89" s="8"/>
      <c r="H89" s="8"/>
      <c r="I89" s="9"/>
      <c r="J89" s="8"/>
      <c r="K89" s="8"/>
      <c r="L89" s="8"/>
    </row>
    <row r="90" spans="1:14" ht="14.45">
      <c r="A90" s="8"/>
      <c r="B90" s="13"/>
      <c r="C90" s="8"/>
      <c r="D90" s="8"/>
      <c r="E90" s="8"/>
      <c r="F90" s="9"/>
      <c r="G90" s="8"/>
      <c r="H90" s="8"/>
      <c r="I90" s="9"/>
      <c r="J90" s="8"/>
      <c r="K90" s="8"/>
      <c r="L90" s="8"/>
    </row>
    <row r="91" spans="1:14" ht="14.45">
      <c r="A91" s="8"/>
      <c r="B91" s="13"/>
      <c r="C91" s="8"/>
      <c r="D91" s="8"/>
      <c r="E91" s="8"/>
      <c r="F91" s="9"/>
      <c r="G91" s="8"/>
      <c r="H91" s="8"/>
      <c r="I91" s="9"/>
      <c r="J91" s="8"/>
      <c r="K91" s="8"/>
      <c r="L91" s="8"/>
    </row>
    <row r="92" spans="1:14" ht="14.45">
      <c r="A92" s="8"/>
      <c r="B92" s="13"/>
      <c r="C92" s="8"/>
      <c r="D92" s="8"/>
      <c r="E92" s="8"/>
      <c r="F92" s="9"/>
      <c r="G92" s="8"/>
      <c r="H92" s="8"/>
      <c r="I92" s="9"/>
      <c r="J92" s="8"/>
      <c r="K92" s="8"/>
      <c r="L92" s="8"/>
    </row>
    <row r="93" spans="1:14" ht="14.45">
      <c r="A93" s="8"/>
      <c r="B93" s="13"/>
      <c r="C93" s="8"/>
      <c r="D93" s="8"/>
      <c r="E93" s="8"/>
      <c r="F93" s="9"/>
      <c r="G93" s="8"/>
      <c r="H93" s="8"/>
      <c r="I93" s="9"/>
      <c r="J93" s="8"/>
      <c r="K93" s="8"/>
      <c r="L93" s="8"/>
    </row>
    <row r="94" spans="1:14" ht="14.45">
      <c r="A94" s="8"/>
      <c r="B94" s="13"/>
      <c r="C94" s="8"/>
      <c r="D94" s="8"/>
      <c r="E94" s="8"/>
      <c r="F94" s="9"/>
      <c r="G94" s="8"/>
      <c r="H94" s="8"/>
      <c r="I94" s="9"/>
      <c r="J94" s="8"/>
      <c r="K94" s="8"/>
      <c r="L94" s="8"/>
    </row>
    <row r="95" spans="1:14" ht="14.45">
      <c r="A95" s="8"/>
      <c r="B95" s="13"/>
      <c r="C95" s="8"/>
      <c r="D95" s="8"/>
      <c r="E95" s="8"/>
      <c r="F95" s="9"/>
      <c r="G95" s="8"/>
      <c r="H95" s="8"/>
      <c r="I95" s="9"/>
      <c r="J95" s="8"/>
      <c r="K95" s="8"/>
      <c r="L95" s="8"/>
    </row>
    <row r="96" spans="1:14" ht="14.45">
      <c r="A96" s="8"/>
      <c r="B96" s="13"/>
      <c r="C96" s="8"/>
      <c r="D96" s="8"/>
      <c r="E96" s="8"/>
      <c r="F96" s="9"/>
      <c r="G96" s="8"/>
      <c r="H96" s="8"/>
      <c r="I96" s="9"/>
      <c r="J96" s="8"/>
      <c r="K96" s="8"/>
      <c r="L96" s="8"/>
    </row>
    <row r="97" spans="1:12" ht="14.45">
      <c r="A97" s="8"/>
      <c r="B97" s="13"/>
      <c r="C97" s="8"/>
      <c r="D97" s="8"/>
      <c r="E97" s="8"/>
      <c r="F97" s="9"/>
      <c r="G97" s="8"/>
      <c r="H97" s="8"/>
      <c r="I97" s="9"/>
      <c r="J97" s="8"/>
      <c r="K97" s="8"/>
      <c r="L97" s="8"/>
    </row>
    <row r="98" spans="1:12" ht="14.45">
      <c r="A98" s="8"/>
      <c r="B98" s="13"/>
      <c r="C98" s="8"/>
      <c r="D98" s="8"/>
      <c r="E98" s="8"/>
      <c r="F98" s="9"/>
      <c r="G98" s="8"/>
      <c r="H98" s="8"/>
      <c r="I98" s="9"/>
      <c r="J98" s="8"/>
      <c r="K98" s="8"/>
      <c r="L98" s="8"/>
    </row>
    <row r="99" spans="1:12" ht="14.45">
      <c r="A99" s="8"/>
      <c r="B99" s="13"/>
      <c r="C99" s="8"/>
      <c r="D99" s="8"/>
      <c r="E99" s="8"/>
      <c r="F99" s="9"/>
      <c r="G99" s="8"/>
      <c r="H99" s="8"/>
      <c r="I99" s="9"/>
      <c r="J99" s="8"/>
      <c r="K99" s="8"/>
      <c r="L99" s="8"/>
    </row>
    <row r="100" spans="1:12" ht="14.45">
      <c r="A100" s="8"/>
      <c r="B100" s="13"/>
      <c r="C100" s="8"/>
      <c r="D100" s="8"/>
      <c r="E100" s="8"/>
      <c r="F100" s="9"/>
      <c r="G100" s="8"/>
      <c r="H100" s="8"/>
      <c r="I100" s="9"/>
      <c r="J100" s="8"/>
      <c r="K100" s="8"/>
      <c r="L100" s="8"/>
    </row>
    <row r="101" spans="1:12" ht="14.45">
      <c r="A101" s="8"/>
      <c r="B101" s="13"/>
      <c r="C101" s="8"/>
      <c r="D101" s="8"/>
      <c r="E101" s="8"/>
      <c r="F101" s="9"/>
      <c r="G101" s="8"/>
      <c r="H101" s="8"/>
      <c r="I101" s="9"/>
      <c r="J101" s="8"/>
      <c r="K101" s="8"/>
      <c r="L101" s="8"/>
    </row>
    <row r="102" spans="1:12" ht="14.45">
      <c r="A102" s="8"/>
      <c r="B102" s="13"/>
      <c r="C102" s="8"/>
      <c r="D102" s="8"/>
      <c r="E102" s="8"/>
      <c r="F102" s="9"/>
      <c r="G102" s="8"/>
      <c r="H102" s="8"/>
      <c r="I102" s="9"/>
      <c r="J102" s="8"/>
      <c r="K102" s="8"/>
      <c r="L102" s="8"/>
    </row>
    <row r="103" spans="1:12" ht="14.45">
      <c r="A103" s="8"/>
      <c r="B103" s="13"/>
      <c r="C103" s="8"/>
      <c r="D103" s="8"/>
      <c r="E103" s="8"/>
      <c r="F103" s="9"/>
      <c r="G103" s="8"/>
      <c r="H103" s="8"/>
      <c r="I103" s="9"/>
      <c r="J103" s="8"/>
      <c r="K103" s="8"/>
      <c r="L103" s="8"/>
    </row>
    <row r="104" spans="1:12" ht="14.45">
      <c r="A104" s="8"/>
      <c r="B104" s="13"/>
      <c r="C104" s="8"/>
      <c r="D104" s="8"/>
      <c r="E104" s="8"/>
      <c r="F104" s="9"/>
      <c r="G104" s="8"/>
      <c r="H104" s="8"/>
      <c r="I104" s="9"/>
      <c r="J104" s="8"/>
      <c r="K104" s="8"/>
      <c r="L104" s="8"/>
    </row>
    <row r="105" spans="1:12" ht="14.45">
      <c r="A105" s="8"/>
      <c r="B105" s="13"/>
      <c r="C105" s="8"/>
      <c r="D105" s="8"/>
      <c r="E105" s="8"/>
      <c r="F105" s="9"/>
      <c r="G105" s="8"/>
      <c r="H105" s="8"/>
      <c r="I105" s="9"/>
      <c r="J105" s="8"/>
      <c r="K105" s="8"/>
      <c r="L105" s="8"/>
    </row>
    <row r="106" spans="1:12" ht="14.45">
      <c r="A106" s="8"/>
      <c r="B106" s="13"/>
      <c r="C106" s="8"/>
      <c r="D106" s="8"/>
      <c r="E106" s="8"/>
      <c r="F106" s="9"/>
      <c r="G106" s="8"/>
      <c r="H106" s="8"/>
      <c r="I106" s="9"/>
      <c r="J106" s="8"/>
      <c r="K106" s="8"/>
      <c r="L106" s="8"/>
    </row>
    <row r="107" spans="1:12" ht="14.45">
      <c r="A107" s="8"/>
      <c r="B107" s="13"/>
      <c r="C107" s="8"/>
      <c r="D107" s="8"/>
      <c r="E107" s="8"/>
      <c r="F107" s="9"/>
      <c r="G107" s="8"/>
      <c r="H107" s="8"/>
      <c r="I107" s="9"/>
      <c r="J107" s="8"/>
      <c r="K107" s="8"/>
      <c r="L107" s="8"/>
    </row>
    <row r="108" spans="1:12" ht="14.45">
      <c r="A108" s="8"/>
      <c r="B108" s="13"/>
      <c r="C108" s="8"/>
      <c r="D108" s="8"/>
      <c r="E108" s="8"/>
      <c r="F108" s="9"/>
      <c r="G108" s="8"/>
      <c r="H108" s="8"/>
      <c r="I108" s="9"/>
      <c r="J108" s="8"/>
      <c r="K108" s="8"/>
      <c r="L108" s="8"/>
    </row>
    <row r="109" spans="1:12" ht="14.45">
      <c r="A109" s="8"/>
      <c r="B109" s="13"/>
      <c r="C109" s="8"/>
      <c r="D109" s="8"/>
      <c r="E109" s="8"/>
      <c r="F109" s="9"/>
      <c r="G109" s="8"/>
      <c r="H109" s="8"/>
      <c r="I109" s="9"/>
      <c r="J109" s="8"/>
      <c r="K109" s="8"/>
      <c r="L109" s="8"/>
    </row>
    <row r="110" spans="1:12" ht="14.45">
      <c r="A110" s="8"/>
      <c r="B110" s="13"/>
      <c r="C110" s="8"/>
      <c r="D110" s="8"/>
      <c r="E110" s="8"/>
      <c r="F110" s="9"/>
      <c r="G110" s="8"/>
      <c r="H110" s="8"/>
      <c r="I110" s="9"/>
      <c r="J110" s="8"/>
      <c r="K110" s="8"/>
      <c r="L110" s="8"/>
    </row>
    <row r="111" spans="1:12" ht="14.45">
      <c r="A111" s="8"/>
      <c r="B111" s="13"/>
      <c r="C111" s="8"/>
      <c r="D111" s="8"/>
      <c r="E111" s="8"/>
      <c r="F111" s="9"/>
      <c r="G111" s="8"/>
      <c r="H111" s="8"/>
      <c r="I111" s="9"/>
      <c r="J111" s="8"/>
      <c r="K111" s="8"/>
      <c r="L111" s="8"/>
    </row>
    <row r="112" spans="1:12" ht="14.45">
      <c r="A112" s="8"/>
      <c r="B112" s="13"/>
      <c r="C112" s="8"/>
      <c r="D112" s="8"/>
      <c r="E112" s="8"/>
      <c r="F112" s="9"/>
      <c r="G112" s="8"/>
      <c r="H112" s="8"/>
      <c r="I112" s="9"/>
      <c r="J112" s="8"/>
      <c r="K112" s="8"/>
      <c r="L112" s="8"/>
    </row>
    <row r="113" spans="1:12" ht="14.45">
      <c r="A113" s="8"/>
      <c r="B113" s="13"/>
      <c r="C113" s="8"/>
      <c r="D113" s="8"/>
      <c r="E113" s="8"/>
      <c r="F113" s="9"/>
      <c r="G113" s="8"/>
      <c r="H113" s="8"/>
      <c r="I113" s="9"/>
      <c r="J113" s="8"/>
      <c r="K113" s="8"/>
      <c r="L113" s="8"/>
    </row>
    <row r="114" spans="1:12" ht="14.45">
      <c r="A114" s="8"/>
      <c r="B114" s="13"/>
      <c r="C114" s="8"/>
      <c r="D114" s="8"/>
      <c r="E114" s="8"/>
      <c r="F114" s="9"/>
      <c r="G114" s="8"/>
      <c r="H114" s="8"/>
      <c r="I114" s="9"/>
      <c r="J114" s="8"/>
      <c r="K114" s="8"/>
      <c r="L114" s="8"/>
    </row>
    <row r="115" spans="1:12" ht="14.45">
      <c r="A115" s="8"/>
      <c r="B115" s="13"/>
      <c r="C115" s="8"/>
      <c r="D115" s="8"/>
      <c r="E115" s="119">
        <v>2647.48</v>
      </c>
      <c r="F115" s="9"/>
      <c r="G115" s="8"/>
      <c r="H115" s="8"/>
      <c r="I115" s="9"/>
      <c r="J115" s="8"/>
      <c r="K115" s="8"/>
      <c r="L115" s="8"/>
    </row>
    <row r="116" spans="1:12" ht="14.45">
      <c r="A116" s="8"/>
      <c r="B116" s="13"/>
      <c r="C116" s="8"/>
      <c r="D116" s="8"/>
      <c r="E116" s="28">
        <v>2849.9050000000002</v>
      </c>
      <c r="F116" s="9"/>
      <c r="G116" s="8"/>
      <c r="H116" s="8"/>
      <c r="I116" s="9"/>
      <c r="J116" s="8"/>
      <c r="K116" s="8"/>
      <c r="L116" s="8"/>
    </row>
    <row r="117" spans="1:12" ht="14.45">
      <c r="A117" s="8"/>
      <c r="B117" s="13"/>
      <c r="C117" s="8"/>
      <c r="D117" s="8"/>
      <c r="E117" s="120">
        <f>E115+E116</f>
        <v>5497.3850000000002</v>
      </c>
      <c r="F117" s="9"/>
      <c r="G117" s="8"/>
      <c r="H117" s="8"/>
      <c r="I117" s="9"/>
      <c r="J117" s="8"/>
      <c r="K117" s="8"/>
      <c r="L117" s="8"/>
    </row>
    <row r="118" spans="1:12" ht="14.45">
      <c r="A118" s="8"/>
      <c r="B118" s="13"/>
      <c r="C118" s="8"/>
      <c r="D118" s="8"/>
      <c r="E118" s="8"/>
      <c r="F118" s="9"/>
      <c r="G118" s="8"/>
      <c r="H118" s="8"/>
      <c r="I118" s="9"/>
      <c r="J118" s="8"/>
      <c r="K118" s="8"/>
      <c r="L118" s="8"/>
    </row>
    <row r="119" spans="1:12" ht="14.45">
      <c r="A119" s="8"/>
      <c r="B119" s="13"/>
      <c r="C119" s="8"/>
      <c r="D119" s="8"/>
      <c r="E119" s="8"/>
      <c r="F119" s="9"/>
      <c r="G119" s="8"/>
      <c r="H119" s="8"/>
      <c r="I119" s="9"/>
      <c r="J119" s="8"/>
      <c r="K119" s="8"/>
      <c r="L119" s="8"/>
    </row>
    <row r="120" spans="1:12" ht="14.45">
      <c r="A120" s="8"/>
      <c r="B120" s="13"/>
      <c r="C120" s="8"/>
      <c r="D120" s="8"/>
      <c r="E120" s="8"/>
      <c r="F120" s="9"/>
      <c r="G120" s="8"/>
      <c r="H120" s="8"/>
      <c r="I120" s="9"/>
      <c r="J120" s="8"/>
      <c r="K120" s="8"/>
      <c r="L120" s="8"/>
    </row>
    <row r="121" spans="1:12" ht="14.45">
      <c r="A121" s="8"/>
      <c r="B121" s="13"/>
      <c r="C121" s="8"/>
      <c r="D121" s="8"/>
      <c r="E121" s="8"/>
      <c r="F121" s="9"/>
      <c r="G121" s="8"/>
      <c r="H121" s="8"/>
      <c r="I121" s="9"/>
      <c r="J121" s="8"/>
      <c r="K121" s="8"/>
      <c r="L121" s="8"/>
    </row>
    <row r="122" spans="1:12" ht="14.45">
      <c r="A122" s="8"/>
      <c r="B122" s="13"/>
      <c r="C122" s="8"/>
      <c r="D122" s="8"/>
      <c r="E122" s="8"/>
      <c r="F122" s="9"/>
      <c r="G122" s="8"/>
      <c r="H122" s="8"/>
      <c r="I122" s="9"/>
      <c r="J122" s="8"/>
      <c r="K122" s="8"/>
      <c r="L122" s="8"/>
    </row>
    <row r="123" spans="1:12" ht="14.45">
      <c r="A123" s="8"/>
      <c r="B123" s="13"/>
      <c r="C123" s="8"/>
      <c r="D123" s="8"/>
      <c r="E123" s="8"/>
      <c r="F123" s="9"/>
      <c r="G123" s="8"/>
      <c r="H123" s="8"/>
      <c r="I123" s="9"/>
      <c r="J123" s="8"/>
      <c r="K123" s="8"/>
      <c r="L123" s="8"/>
    </row>
    <row r="124" spans="1:12" ht="14.45">
      <c r="A124" s="8"/>
      <c r="B124" s="13"/>
      <c r="C124" s="8"/>
      <c r="D124" s="8"/>
      <c r="E124" s="8"/>
      <c r="F124" s="9"/>
      <c r="G124" s="8"/>
      <c r="H124" s="8"/>
      <c r="I124" s="9"/>
      <c r="J124" s="8"/>
      <c r="K124" s="8"/>
      <c r="L124" s="8"/>
    </row>
    <row r="125" spans="1:12" ht="14.45">
      <c r="A125" s="8"/>
      <c r="B125" s="13"/>
      <c r="C125" s="8"/>
      <c r="D125" s="8"/>
      <c r="E125" s="8"/>
      <c r="F125" s="9"/>
      <c r="G125" s="8"/>
      <c r="H125" s="8"/>
      <c r="I125" s="9"/>
      <c r="J125" s="8"/>
      <c r="K125" s="8"/>
      <c r="L125" s="8"/>
    </row>
    <row r="126" spans="1:12" ht="14.45">
      <c r="A126" s="8"/>
      <c r="B126" s="13"/>
      <c r="C126" s="8"/>
      <c r="D126" s="8"/>
      <c r="E126" s="8"/>
      <c r="F126" s="9"/>
      <c r="G126" s="8"/>
      <c r="H126" s="8"/>
      <c r="I126" s="9"/>
      <c r="J126" s="8"/>
      <c r="K126" s="8"/>
      <c r="L126" s="8"/>
    </row>
    <row r="127" spans="1:12" ht="14.45">
      <c r="A127" s="8"/>
      <c r="B127" s="13"/>
      <c r="C127" s="8"/>
      <c r="D127" s="8"/>
      <c r="E127" s="8"/>
      <c r="F127" s="9"/>
      <c r="G127" s="8"/>
      <c r="H127" s="8"/>
      <c r="I127" s="9"/>
      <c r="J127" s="8"/>
      <c r="K127" s="8"/>
      <c r="L127" s="8"/>
    </row>
    <row r="128" spans="1:12" ht="14.45">
      <c r="A128" s="8"/>
      <c r="B128" s="13"/>
      <c r="C128" s="8"/>
      <c r="D128" s="8"/>
      <c r="E128" s="8"/>
      <c r="F128" s="9"/>
      <c r="G128" s="8"/>
      <c r="H128" s="8"/>
      <c r="I128" s="9"/>
      <c r="J128" s="8"/>
      <c r="K128" s="8"/>
      <c r="L128" s="8"/>
    </row>
    <row r="129" spans="1:12" ht="14.45">
      <c r="A129" s="8"/>
      <c r="B129" s="13"/>
      <c r="C129" s="8"/>
      <c r="D129" s="8"/>
      <c r="E129" s="8"/>
      <c r="F129" s="9"/>
      <c r="G129" s="8"/>
      <c r="H129" s="8"/>
      <c r="I129" s="9"/>
      <c r="J129" s="8"/>
      <c r="K129" s="8"/>
      <c r="L129" s="8"/>
    </row>
    <row r="130" spans="1:12" ht="14.45">
      <c r="A130" s="8"/>
      <c r="B130" s="13"/>
      <c r="C130" s="8"/>
      <c r="D130" s="8"/>
      <c r="E130" s="8"/>
      <c r="F130" s="9"/>
      <c r="G130" s="8"/>
      <c r="H130" s="8"/>
      <c r="I130" s="9"/>
      <c r="J130" s="8"/>
      <c r="K130" s="8"/>
      <c r="L130" s="8"/>
    </row>
    <row r="131" spans="1:12" ht="14.45">
      <c r="A131" s="8"/>
      <c r="B131" s="13"/>
      <c r="C131" s="8"/>
      <c r="D131" s="8"/>
      <c r="E131" s="8"/>
      <c r="F131" s="9"/>
      <c r="G131" s="8"/>
      <c r="H131" s="8"/>
      <c r="I131" s="9"/>
      <c r="J131" s="8"/>
      <c r="K131" s="8"/>
      <c r="L131" s="8"/>
    </row>
    <row r="132" spans="1:12" ht="14.45">
      <c r="A132" s="8"/>
      <c r="B132" s="13"/>
      <c r="C132" s="8"/>
      <c r="D132" s="8"/>
      <c r="E132" s="8"/>
      <c r="F132" s="9"/>
      <c r="G132" s="8"/>
      <c r="H132" s="8"/>
      <c r="I132" s="9"/>
      <c r="J132" s="8"/>
      <c r="K132" s="8"/>
      <c r="L132" s="8"/>
    </row>
    <row r="133" spans="1:12" ht="14.45">
      <c r="A133" s="8"/>
      <c r="B133" s="13"/>
      <c r="C133" s="8"/>
      <c r="D133" s="8"/>
      <c r="E133" s="8"/>
      <c r="F133" s="9"/>
      <c r="G133" s="8"/>
      <c r="H133" s="8"/>
      <c r="I133" s="9"/>
      <c r="J133" s="8"/>
      <c r="K133" s="8"/>
      <c r="L133" s="8"/>
    </row>
    <row r="134" spans="1:12" ht="14.45">
      <c r="A134" s="8"/>
      <c r="B134" s="13"/>
      <c r="C134" s="8"/>
      <c r="D134" s="8"/>
      <c r="E134" s="8"/>
      <c r="F134" s="9"/>
      <c r="G134" s="8"/>
      <c r="H134" s="8"/>
      <c r="I134" s="9"/>
      <c r="J134" s="8"/>
      <c r="K134" s="8"/>
      <c r="L134" s="8"/>
    </row>
    <row r="135" spans="1:12" ht="14.45">
      <c r="A135" s="8"/>
      <c r="B135" s="13"/>
      <c r="C135" s="8"/>
      <c r="D135" s="8"/>
      <c r="E135" s="8"/>
      <c r="F135" s="9"/>
      <c r="G135" s="8"/>
      <c r="H135" s="8"/>
      <c r="I135" s="9"/>
      <c r="J135" s="8"/>
      <c r="K135" s="8"/>
      <c r="L135" s="8"/>
    </row>
    <row r="136" spans="1:12" ht="14.45">
      <c r="A136" s="8"/>
      <c r="B136" s="13"/>
      <c r="C136" s="8"/>
      <c r="D136" s="8"/>
      <c r="E136" s="8"/>
      <c r="F136" s="9"/>
      <c r="G136" s="8"/>
      <c r="H136" s="8"/>
      <c r="I136" s="9"/>
      <c r="J136" s="8"/>
      <c r="K136" s="8"/>
      <c r="L136" s="8"/>
    </row>
    <row r="137" spans="1:12" ht="14.45">
      <c r="A137" s="8"/>
      <c r="B137" s="13"/>
      <c r="C137" s="8"/>
      <c r="D137" s="8"/>
      <c r="E137" s="8"/>
      <c r="F137" s="9"/>
      <c r="G137" s="8"/>
      <c r="H137" s="8"/>
      <c r="I137" s="9"/>
      <c r="J137" s="8"/>
      <c r="K137" s="8"/>
      <c r="L137" s="8"/>
    </row>
    <row r="138" spans="1:12" ht="14.45">
      <c r="A138" s="8"/>
      <c r="B138" s="13"/>
      <c r="C138" s="8"/>
      <c r="D138" s="8"/>
      <c r="E138" s="8"/>
      <c r="F138" s="9"/>
      <c r="G138" s="8"/>
      <c r="H138" s="8"/>
      <c r="I138" s="9"/>
      <c r="J138" s="8"/>
      <c r="K138" s="8"/>
      <c r="L138" s="8"/>
    </row>
    <row r="139" spans="1:12" ht="14.45">
      <c r="A139" s="8"/>
      <c r="B139" s="13"/>
      <c r="C139" s="8"/>
      <c r="D139" s="8"/>
      <c r="E139" s="8"/>
      <c r="F139" s="9"/>
      <c r="G139" s="8"/>
      <c r="H139" s="8"/>
      <c r="I139" s="9"/>
      <c r="J139" s="8"/>
      <c r="K139" s="8"/>
      <c r="L139" s="8"/>
    </row>
    <row r="140" spans="1:12" ht="14.45">
      <c r="A140" s="8"/>
      <c r="B140" s="13"/>
      <c r="C140" s="8"/>
      <c r="D140" s="8"/>
      <c r="E140" s="8"/>
      <c r="F140" s="9"/>
      <c r="G140" s="8"/>
      <c r="H140" s="8"/>
      <c r="I140" s="9"/>
      <c r="J140" s="8"/>
      <c r="K140" s="8"/>
      <c r="L140" s="8"/>
    </row>
    <row r="141" spans="1:12" ht="14.45">
      <c r="A141" s="8"/>
      <c r="B141" s="13"/>
      <c r="C141" s="8"/>
      <c r="D141" s="8"/>
      <c r="E141" s="8"/>
      <c r="F141" s="9"/>
      <c r="G141" s="8"/>
      <c r="H141" s="8"/>
      <c r="I141" s="9"/>
      <c r="J141" s="8"/>
      <c r="K141" s="8"/>
      <c r="L141" s="8"/>
    </row>
    <row r="142" spans="1:12" ht="14.45">
      <c r="A142" s="8"/>
      <c r="B142" s="13"/>
      <c r="C142" s="8"/>
      <c r="D142" s="8"/>
      <c r="E142" s="8"/>
      <c r="F142" s="9"/>
      <c r="G142" s="8"/>
      <c r="H142" s="8"/>
      <c r="I142" s="9"/>
      <c r="J142" s="8"/>
      <c r="K142" s="8"/>
      <c r="L142" s="8"/>
    </row>
    <row r="143" spans="1:12" ht="14.45">
      <c r="A143" s="8"/>
      <c r="B143" s="13"/>
      <c r="C143" s="8"/>
      <c r="D143" s="8"/>
      <c r="E143" s="8"/>
      <c r="F143" s="9"/>
      <c r="G143" s="8"/>
      <c r="H143" s="8"/>
      <c r="I143" s="9"/>
      <c r="J143" s="8"/>
      <c r="K143" s="8"/>
      <c r="L143" s="8"/>
    </row>
    <row r="144" spans="1:12" ht="14.45">
      <c r="A144" s="8"/>
      <c r="B144" s="13"/>
      <c r="C144" s="8"/>
      <c r="D144" s="8"/>
      <c r="E144" s="8"/>
      <c r="F144" s="9"/>
      <c r="G144" s="8"/>
      <c r="H144" s="8"/>
      <c r="I144" s="9"/>
      <c r="J144" s="8"/>
      <c r="K144" s="8"/>
      <c r="L144" s="8"/>
    </row>
    <row r="145" spans="1:12" ht="14.45">
      <c r="A145" s="8"/>
      <c r="B145" s="13"/>
      <c r="C145" s="8"/>
      <c r="D145" s="8"/>
      <c r="E145" s="8"/>
      <c r="F145" s="9"/>
      <c r="G145" s="8"/>
      <c r="H145" s="8"/>
      <c r="I145" s="9"/>
      <c r="J145" s="8"/>
      <c r="K145" s="8"/>
      <c r="L145" s="8"/>
    </row>
    <row r="146" spans="1:12" ht="14.45">
      <c r="A146" s="8"/>
      <c r="B146" s="13"/>
      <c r="C146" s="8"/>
      <c r="D146" s="8"/>
      <c r="E146" s="8"/>
      <c r="F146" s="9"/>
      <c r="G146" s="8"/>
      <c r="H146" s="8"/>
      <c r="I146" s="9"/>
      <c r="J146" s="8"/>
      <c r="K146" s="8"/>
      <c r="L146" s="8"/>
    </row>
    <row r="147" spans="1:12" ht="14.45">
      <c r="A147" s="8"/>
      <c r="B147" s="13"/>
      <c r="C147" s="8"/>
      <c r="D147" s="8"/>
      <c r="E147" s="8"/>
      <c r="F147" s="9"/>
      <c r="G147" s="8"/>
      <c r="H147" s="8"/>
      <c r="I147" s="9"/>
      <c r="J147" s="8"/>
      <c r="K147" s="8"/>
      <c r="L147" s="8"/>
    </row>
    <row r="148" spans="1:12" ht="14.45">
      <c r="A148" s="8"/>
      <c r="B148" s="13"/>
      <c r="C148" s="8"/>
      <c r="D148" s="8"/>
      <c r="E148" s="8"/>
      <c r="F148" s="9"/>
      <c r="G148" s="8"/>
      <c r="H148" s="8"/>
      <c r="I148" s="9"/>
      <c r="J148" s="8"/>
      <c r="K148" s="8"/>
      <c r="L148" s="8"/>
    </row>
    <row r="149" spans="1:12" ht="14.45">
      <c r="A149" s="8"/>
      <c r="B149" s="13"/>
      <c r="C149" s="8"/>
      <c r="D149" s="8"/>
      <c r="E149" s="8"/>
      <c r="F149" s="9"/>
      <c r="G149" s="8"/>
      <c r="H149" s="8"/>
      <c r="I149" s="9"/>
      <c r="J149" s="8"/>
      <c r="K149" s="8"/>
      <c r="L149" s="8"/>
    </row>
    <row r="150" spans="1:12" ht="14.45">
      <c r="A150" s="8"/>
      <c r="B150" s="13"/>
      <c r="C150" s="8"/>
      <c r="D150" s="8"/>
      <c r="E150" s="8"/>
      <c r="F150" s="9"/>
      <c r="G150" s="8"/>
      <c r="H150" s="8"/>
      <c r="I150" s="9"/>
      <c r="J150" s="8"/>
      <c r="K150" s="8"/>
      <c r="L150" s="8"/>
    </row>
    <row r="151" spans="1:12" ht="14.45">
      <c r="A151" s="8"/>
      <c r="B151" s="13"/>
      <c r="C151" s="8"/>
      <c r="D151" s="8"/>
      <c r="E151" s="8"/>
      <c r="F151" s="9"/>
      <c r="G151" s="8"/>
      <c r="H151" s="8"/>
      <c r="I151" s="9"/>
      <c r="J151" s="8"/>
      <c r="K151" s="8"/>
      <c r="L151" s="8"/>
    </row>
    <row r="152" spans="1:12" ht="14.45">
      <c r="A152" s="8"/>
      <c r="B152" s="13"/>
      <c r="C152" s="8"/>
      <c r="D152" s="8"/>
      <c r="E152" s="8"/>
      <c r="F152" s="9"/>
      <c r="G152" s="8"/>
      <c r="H152" s="8"/>
      <c r="I152" s="9"/>
      <c r="J152" s="8"/>
      <c r="K152" s="8"/>
      <c r="L152" s="8"/>
    </row>
    <row r="153" spans="1:12" ht="14.45">
      <c r="A153" s="8"/>
      <c r="B153" s="13"/>
      <c r="C153" s="8"/>
      <c r="D153" s="8"/>
      <c r="E153" s="8"/>
      <c r="F153" s="9"/>
      <c r="G153" s="8"/>
      <c r="H153" s="8"/>
      <c r="I153" s="9"/>
      <c r="J153" s="8"/>
      <c r="K153" s="8"/>
      <c r="L153" s="8"/>
    </row>
    <row r="154" spans="1:12" ht="14.45">
      <c r="A154" s="8"/>
      <c r="B154" s="13"/>
      <c r="C154" s="8"/>
      <c r="D154" s="8"/>
      <c r="E154" s="8"/>
      <c r="F154" s="9"/>
      <c r="G154" s="8"/>
      <c r="H154" s="8"/>
      <c r="I154" s="9"/>
      <c r="J154" s="8"/>
      <c r="K154" s="8"/>
      <c r="L154" s="8"/>
    </row>
    <row r="155" spans="1:12" ht="14.45">
      <c r="A155" s="8"/>
      <c r="B155" s="13"/>
      <c r="C155" s="8"/>
      <c r="D155" s="8"/>
      <c r="E155" s="8"/>
      <c r="F155" s="9"/>
      <c r="G155" s="8"/>
      <c r="H155" s="8"/>
      <c r="I155" s="9"/>
      <c r="J155" s="8"/>
      <c r="K155" s="8"/>
      <c r="L155" s="8"/>
    </row>
    <row r="156" spans="1:12" ht="14.45">
      <c r="A156" s="8"/>
      <c r="B156" s="13"/>
      <c r="C156" s="8"/>
      <c r="D156" s="8"/>
      <c r="E156" s="8"/>
      <c r="F156" s="9"/>
      <c r="G156" s="8"/>
      <c r="H156" s="8"/>
      <c r="I156" s="9"/>
      <c r="J156" s="8"/>
      <c r="K156" s="8"/>
      <c r="L156" s="8"/>
    </row>
    <row r="157" spans="1:12" ht="14.45">
      <c r="A157" s="8"/>
      <c r="B157" s="13"/>
      <c r="C157" s="8"/>
      <c r="D157" s="8"/>
      <c r="E157" s="8"/>
      <c r="F157" s="9"/>
      <c r="G157" s="8"/>
      <c r="H157" s="8"/>
      <c r="I157" s="9"/>
      <c r="J157" s="8"/>
      <c r="K157" s="8"/>
      <c r="L157" s="8"/>
    </row>
    <row r="158" spans="1:12" ht="14.45">
      <c r="A158" s="8"/>
      <c r="B158" s="13"/>
      <c r="C158" s="8"/>
      <c r="D158" s="8"/>
      <c r="E158" s="8"/>
      <c r="F158" s="9"/>
      <c r="G158" s="8"/>
      <c r="H158" s="8"/>
      <c r="I158" s="9"/>
      <c r="J158" s="8"/>
      <c r="K158" s="8"/>
      <c r="L158" s="8"/>
    </row>
    <row r="159" spans="1:12" ht="14.45">
      <c r="A159" s="8"/>
      <c r="B159" s="13"/>
      <c r="C159" s="8"/>
      <c r="D159" s="8"/>
      <c r="E159" s="8"/>
      <c r="F159" s="9"/>
      <c r="G159" s="8"/>
      <c r="H159" s="8"/>
      <c r="I159" s="9"/>
      <c r="J159" s="8"/>
      <c r="K159" s="8"/>
      <c r="L159" s="8"/>
    </row>
    <row r="160" spans="1:12" ht="14.45">
      <c r="A160" s="8"/>
      <c r="B160" s="13"/>
      <c r="C160" s="8"/>
      <c r="D160" s="8"/>
      <c r="E160" s="8"/>
      <c r="F160" s="9"/>
      <c r="G160" s="8"/>
      <c r="H160" s="8"/>
      <c r="I160" s="9"/>
      <c r="J160" s="8"/>
      <c r="K160" s="8"/>
      <c r="L160" s="8"/>
    </row>
    <row r="161" spans="1:12" ht="14.45">
      <c r="A161" s="8"/>
      <c r="B161" s="13"/>
      <c r="C161" s="8"/>
      <c r="D161" s="8"/>
      <c r="E161" s="8"/>
      <c r="F161" s="9"/>
      <c r="G161" s="8"/>
      <c r="H161" s="8"/>
      <c r="I161" s="9"/>
      <c r="J161" s="8"/>
      <c r="K161" s="8"/>
      <c r="L161" s="8"/>
    </row>
    <row r="162" spans="1:12" ht="14.45">
      <c r="A162" s="8"/>
      <c r="B162" s="13"/>
      <c r="C162" s="8"/>
      <c r="D162" s="8"/>
      <c r="E162" s="8"/>
      <c r="F162" s="9"/>
      <c r="G162" s="8"/>
      <c r="H162" s="8"/>
      <c r="I162" s="9"/>
      <c r="J162" s="8"/>
      <c r="K162" s="8"/>
      <c r="L162" s="8"/>
    </row>
    <row r="163" spans="1:12" ht="14.45">
      <c r="A163" s="8"/>
      <c r="B163" s="13"/>
      <c r="C163" s="8"/>
      <c r="D163" s="8"/>
      <c r="E163" s="8"/>
      <c r="F163" s="9"/>
      <c r="G163" s="8"/>
      <c r="H163" s="8"/>
      <c r="I163" s="9"/>
      <c r="J163" s="8"/>
      <c r="K163" s="8"/>
      <c r="L163" s="8"/>
    </row>
    <row r="164" spans="1:12" ht="14.45">
      <c r="A164" s="8"/>
      <c r="B164" s="13"/>
      <c r="C164" s="8"/>
      <c r="D164" s="8"/>
      <c r="E164" s="8"/>
      <c r="F164" s="9"/>
      <c r="G164" s="8"/>
      <c r="H164" s="8"/>
      <c r="I164" s="9"/>
      <c r="J164" s="8"/>
      <c r="K164" s="8"/>
      <c r="L164" s="8"/>
    </row>
    <row r="165" spans="1:12" ht="14.45">
      <c r="A165" s="8"/>
      <c r="B165" s="13"/>
      <c r="C165" s="8"/>
      <c r="D165" s="8"/>
      <c r="E165" s="8"/>
      <c r="F165" s="9"/>
      <c r="G165" s="8"/>
      <c r="H165" s="8"/>
      <c r="I165" s="9"/>
      <c r="J165" s="8"/>
      <c r="K165" s="8"/>
      <c r="L165" s="8"/>
    </row>
    <row r="166" spans="1:12" ht="14.45">
      <c r="A166" s="8"/>
      <c r="B166" s="13"/>
      <c r="C166" s="8"/>
      <c r="D166" s="8"/>
      <c r="E166" s="8"/>
      <c r="F166" s="9"/>
      <c r="G166" s="8"/>
      <c r="H166" s="8"/>
      <c r="I166" s="9"/>
      <c r="J166" s="8"/>
      <c r="K166" s="8"/>
      <c r="L166" s="8"/>
    </row>
    <row r="167" spans="1:12" ht="14.45">
      <c r="A167" s="8"/>
      <c r="B167" s="13"/>
      <c r="C167" s="8"/>
      <c r="D167" s="8"/>
      <c r="E167" s="8"/>
      <c r="F167" s="9"/>
      <c r="G167" s="8"/>
      <c r="H167" s="8"/>
      <c r="I167" s="9"/>
      <c r="J167" s="8"/>
      <c r="K167" s="8"/>
      <c r="L167" s="8"/>
    </row>
    <row r="168" spans="1:12" ht="14.45">
      <c r="A168" s="8"/>
      <c r="B168" s="13"/>
      <c r="C168" s="8"/>
      <c r="D168" s="8"/>
      <c r="E168" s="8"/>
      <c r="F168" s="9"/>
      <c r="G168" s="8"/>
      <c r="H168" s="8"/>
      <c r="I168" s="9"/>
      <c r="J168" s="8"/>
      <c r="K168" s="8"/>
      <c r="L168" s="8"/>
    </row>
    <row r="169" spans="1:12" ht="14.45">
      <c r="A169" s="8"/>
      <c r="B169" s="13"/>
      <c r="C169" s="8"/>
      <c r="D169" s="8"/>
      <c r="E169" s="8"/>
      <c r="F169" s="9"/>
      <c r="G169" s="8"/>
      <c r="H169" s="8"/>
      <c r="I169" s="9"/>
      <c r="J169" s="8"/>
      <c r="K169" s="8"/>
      <c r="L169" s="8"/>
    </row>
    <row r="170" spans="1:12" ht="14.45">
      <c r="A170" s="8"/>
      <c r="B170" s="13"/>
      <c r="C170" s="8"/>
      <c r="D170" s="8"/>
      <c r="E170" s="8"/>
      <c r="F170" s="9"/>
      <c r="G170" s="8"/>
      <c r="H170" s="8"/>
      <c r="I170" s="9"/>
      <c r="J170" s="8"/>
      <c r="K170" s="8"/>
      <c r="L170" s="8"/>
    </row>
    <row r="171" spans="1:12" ht="14.45">
      <c r="A171" s="8"/>
      <c r="B171" s="13"/>
      <c r="C171" s="8"/>
      <c r="D171" s="8"/>
      <c r="E171" s="8"/>
      <c r="F171" s="9"/>
      <c r="G171" s="8"/>
      <c r="H171" s="8"/>
      <c r="I171" s="9"/>
      <c r="J171" s="8"/>
      <c r="K171" s="8"/>
      <c r="L171" s="8"/>
    </row>
    <row r="172" spans="1:12" ht="14.45">
      <c r="A172" s="8"/>
      <c r="B172" s="13"/>
      <c r="C172" s="8"/>
      <c r="D172" s="8"/>
      <c r="E172" s="8"/>
      <c r="F172" s="9"/>
      <c r="G172" s="8"/>
      <c r="H172" s="8"/>
      <c r="I172" s="9"/>
      <c r="J172" s="8"/>
      <c r="K172" s="8"/>
      <c r="L172" s="8"/>
    </row>
    <row r="173" spans="1:12" ht="14.45">
      <c r="A173" s="8"/>
      <c r="B173" s="13"/>
      <c r="C173" s="8"/>
      <c r="D173" s="8"/>
      <c r="E173" s="8"/>
      <c r="F173" s="9"/>
      <c r="G173" s="8"/>
      <c r="H173" s="8"/>
      <c r="I173" s="9"/>
      <c r="J173" s="8"/>
      <c r="K173" s="8"/>
      <c r="L173" s="8"/>
    </row>
    <row r="174" spans="1:12" ht="14.45">
      <c r="A174" s="8"/>
      <c r="B174" s="13"/>
      <c r="C174" s="8"/>
      <c r="D174" s="8"/>
      <c r="E174" s="8"/>
      <c r="F174" s="9"/>
      <c r="G174" s="8"/>
      <c r="H174" s="8"/>
      <c r="I174" s="9"/>
      <c r="J174" s="8"/>
      <c r="K174" s="8"/>
      <c r="L174" s="8"/>
    </row>
    <row r="175" spans="1:12" ht="14.45">
      <c r="A175" s="8"/>
      <c r="B175" s="13"/>
      <c r="C175" s="8"/>
      <c r="D175" s="8"/>
      <c r="E175" s="8"/>
      <c r="F175" s="9"/>
      <c r="G175" s="8"/>
      <c r="H175" s="8"/>
      <c r="I175" s="9"/>
      <c r="J175" s="8"/>
      <c r="K175" s="8"/>
      <c r="L175" s="8"/>
    </row>
    <row r="176" spans="1:12" ht="14.45">
      <c r="A176" s="8"/>
      <c r="B176" s="13"/>
      <c r="C176" s="8"/>
      <c r="D176" s="8"/>
      <c r="E176" s="8"/>
      <c r="F176" s="9"/>
      <c r="G176" s="8"/>
      <c r="H176" s="8"/>
      <c r="I176" s="9"/>
      <c r="J176" s="8"/>
      <c r="K176" s="8"/>
      <c r="L176" s="8"/>
    </row>
    <row r="177" spans="1:12" ht="14.45">
      <c r="A177" s="8"/>
      <c r="B177" s="13"/>
      <c r="C177" s="8"/>
      <c r="D177" s="8"/>
      <c r="E177" s="8"/>
      <c r="F177" s="9"/>
      <c r="G177" s="8"/>
      <c r="H177" s="8"/>
      <c r="I177" s="9"/>
      <c r="J177" s="8"/>
      <c r="K177" s="8"/>
      <c r="L177" s="8"/>
    </row>
    <row r="178" spans="1:12" ht="14.45">
      <c r="A178" s="8"/>
      <c r="B178" s="13"/>
      <c r="C178" s="8"/>
      <c r="D178" s="8"/>
      <c r="E178" s="8"/>
      <c r="F178" s="9"/>
      <c r="G178" s="8"/>
      <c r="H178" s="8"/>
      <c r="I178" s="9"/>
      <c r="J178" s="8"/>
      <c r="K178" s="8"/>
      <c r="L178" s="8"/>
    </row>
    <row r="179" spans="1:12" ht="14.45">
      <c r="A179" s="8"/>
      <c r="B179" s="13"/>
      <c r="C179" s="8"/>
      <c r="D179" s="8"/>
      <c r="E179" s="8"/>
      <c r="F179" s="9"/>
      <c r="G179" s="8"/>
      <c r="H179" s="8"/>
      <c r="I179" s="9"/>
      <c r="J179" s="8"/>
      <c r="K179" s="8"/>
      <c r="L179" s="8"/>
    </row>
    <row r="180" spans="1:12" ht="14.45">
      <c r="A180" s="8"/>
      <c r="B180" s="13"/>
      <c r="C180" s="8"/>
      <c r="D180" s="8"/>
      <c r="E180" s="8"/>
      <c r="F180" s="9"/>
      <c r="G180" s="8"/>
      <c r="H180" s="8"/>
      <c r="I180" s="9"/>
      <c r="J180" s="8"/>
      <c r="K180" s="8"/>
      <c r="L180" s="8"/>
    </row>
    <row r="181" spans="1:12" ht="14.45">
      <c r="A181" s="8"/>
      <c r="B181" s="13"/>
      <c r="C181" s="8"/>
      <c r="D181" s="8"/>
      <c r="E181" s="8"/>
      <c r="F181" s="9"/>
      <c r="G181" s="8"/>
      <c r="H181" s="8"/>
      <c r="I181" s="9"/>
      <c r="J181" s="8"/>
      <c r="K181" s="8"/>
      <c r="L181" s="8"/>
    </row>
    <row r="182" spans="1:12" ht="14.45">
      <c r="A182" s="8"/>
      <c r="B182" s="13"/>
      <c r="C182" s="8"/>
      <c r="D182" s="8"/>
      <c r="E182" s="8"/>
      <c r="F182" s="9"/>
      <c r="G182" s="8"/>
      <c r="H182" s="8"/>
      <c r="I182" s="9"/>
      <c r="J182" s="8"/>
      <c r="K182" s="8"/>
      <c r="L182" s="8"/>
    </row>
    <row r="183" spans="1:12" ht="14.45">
      <c r="A183" s="8"/>
      <c r="B183" s="13"/>
      <c r="C183" s="8"/>
      <c r="D183" s="8"/>
      <c r="E183" s="8"/>
      <c r="F183" s="9"/>
      <c r="G183" s="8"/>
      <c r="H183" s="8"/>
      <c r="I183" s="9"/>
      <c r="J183" s="8"/>
      <c r="K183" s="8"/>
      <c r="L183" s="8"/>
    </row>
    <row r="184" spans="1:12" ht="14.45">
      <c r="A184" s="8"/>
      <c r="B184" s="13"/>
      <c r="C184" s="8"/>
      <c r="D184" s="8"/>
      <c r="E184" s="8"/>
      <c r="F184" s="9"/>
      <c r="G184" s="8"/>
      <c r="H184" s="8"/>
      <c r="I184" s="9"/>
      <c r="J184" s="8"/>
      <c r="K184" s="8"/>
      <c r="L184" s="8"/>
    </row>
    <row r="185" spans="1:12" ht="14.45">
      <c r="A185" s="8"/>
      <c r="B185" s="13"/>
      <c r="C185" s="8"/>
      <c r="D185" s="8"/>
      <c r="E185" s="8"/>
      <c r="F185" s="9"/>
      <c r="G185" s="8"/>
      <c r="H185" s="8"/>
      <c r="I185" s="9"/>
      <c r="J185" s="8"/>
      <c r="K185" s="8"/>
      <c r="L185" s="8"/>
    </row>
    <row r="186" spans="1:12" ht="14.45">
      <c r="A186" s="8"/>
      <c r="B186" s="13"/>
      <c r="C186" s="8"/>
      <c r="D186" s="8"/>
      <c r="E186" s="8"/>
      <c r="F186" s="9"/>
      <c r="G186" s="8"/>
      <c r="H186" s="8"/>
      <c r="I186" s="9"/>
      <c r="J186" s="8"/>
      <c r="K186" s="8"/>
      <c r="L186" s="8"/>
    </row>
    <row r="187" spans="1:12" ht="14.45">
      <c r="A187" s="8"/>
      <c r="B187" s="13"/>
      <c r="C187" s="8"/>
      <c r="D187" s="8"/>
      <c r="E187" s="8"/>
      <c r="F187" s="9"/>
      <c r="G187" s="8"/>
      <c r="H187" s="8"/>
      <c r="I187" s="9"/>
      <c r="J187" s="8"/>
      <c r="K187" s="8"/>
      <c r="L187" s="8"/>
    </row>
    <row r="188" spans="1:12" ht="14.45">
      <c r="A188" s="8"/>
      <c r="B188" s="13"/>
      <c r="C188" s="8"/>
      <c r="D188" s="8"/>
      <c r="E188" s="8"/>
      <c r="F188" s="9"/>
      <c r="G188" s="8"/>
      <c r="H188" s="8"/>
      <c r="I188" s="9"/>
      <c r="J188" s="8"/>
      <c r="K188" s="8"/>
      <c r="L188" s="8"/>
    </row>
    <row r="189" spans="1:12" ht="14.45">
      <c r="A189" s="8"/>
      <c r="B189" s="13"/>
      <c r="C189" s="8"/>
      <c r="D189" s="8"/>
      <c r="E189" s="8"/>
      <c r="F189" s="9"/>
      <c r="G189" s="8"/>
      <c r="H189" s="8"/>
      <c r="I189" s="9"/>
      <c r="J189" s="8"/>
      <c r="K189" s="8"/>
      <c r="L189" s="8"/>
    </row>
    <row r="190" spans="1:12" ht="14.45">
      <c r="A190" s="8"/>
      <c r="B190" s="13"/>
      <c r="C190" s="8"/>
      <c r="D190" s="8"/>
      <c r="E190" s="8"/>
      <c r="F190" s="9"/>
      <c r="G190" s="8"/>
      <c r="H190" s="8"/>
      <c r="I190" s="9"/>
      <c r="J190" s="8"/>
      <c r="K190" s="8"/>
      <c r="L190" s="8"/>
    </row>
    <row r="191" spans="1:12" ht="14.45">
      <c r="A191" s="8"/>
      <c r="B191" s="13"/>
      <c r="C191" s="8"/>
      <c r="D191" s="8"/>
      <c r="E191" s="8"/>
      <c r="F191" s="9"/>
      <c r="G191" s="8"/>
      <c r="H191" s="8"/>
      <c r="I191" s="9"/>
      <c r="J191" s="8"/>
      <c r="K191" s="8"/>
      <c r="L191" s="8"/>
    </row>
    <row r="192" spans="1:12" ht="14.45">
      <c r="A192" s="8"/>
      <c r="B192" s="13"/>
      <c r="C192" s="8"/>
      <c r="D192" s="8"/>
      <c r="E192" s="8"/>
      <c r="F192" s="9"/>
      <c r="G192" s="8"/>
      <c r="H192" s="8"/>
      <c r="I192" s="9"/>
      <c r="J192" s="8"/>
      <c r="K192" s="8"/>
      <c r="L192" s="8"/>
    </row>
    <row r="193" spans="1:12" ht="14.45">
      <c r="A193" s="8"/>
      <c r="B193" s="13"/>
      <c r="C193" s="8"/>
      <c r="D193" s="8"/>
      <c r="E193" s="8"/>
      <c r="F193" s="9"/>
      <c r="G193" s="8"/>
      <c r="H193" s="8"/>
      <c r="I193" s="9"/>
      <c r="J193" s="8"/>
      <c r="K193" s="8"/>
      <c r="L193" s="8"/>
    </row>
    <row r="194" spans="1:12" ht="14.45">
      <c r="A194" s="8"/>
      <c r="B194" s="13"/>
      <c r="C194" s="8"/>
      <c r="D194" s="8"/>
      <c r="E194" s="8"/>
      <c r="F194" s="9"/>
      <c r="G194" s="8"/>
      <c r="H194" s="8"/>
      <c r="I194" s="9"/>
      <c r="J194" s="8"/>
      <c r="K194" s="8"/>
      <c r="L194" s="8"/>
    </row>
    <row r="195" spans="1:12" ht="14.45">
      <c r="A195" s="8"/>
      <c r="B195" s="13"/>
      <c r="C195" s="8"/>
      <c r="D195" s="8"/>
      <c r="E195" s="8"/>
      <c r="F195" s="9"/>
      <c r="G195" s="8"/>
      <c r="H195" s="8"/>
      <c r="I195" s="9"/>
      <c r="J195" s="8"/>
      <c r="K195" s="8"/>
      <c r="L195" s="8"/>
    </row>
    <row r="196" spans="1:12" ht="14.45">
      <c r="A196" s="8"/>
      <c r="B196" s="13"/>
      <c r="C196" s="8"/>
      <c r="D196" s="8"/>
      <c r="E196" s="8"/>
      <c r="F196" s="9"/>
      <c r="G196" s="8"/>
      <c r="H196" s="8"/>
      <c r="I196" s="9"/>
      <c r="J196" s="8"/>
      <c r="K196" s="8"/>
      <c r="L196" s="8"/>
    </row>
    <row r="197" spans="1:12" ht="14.45">
      <c r="A197" s="8"/>
      <c r="B197" s="13"/>
      <c r="C197" s="8"/>
      <c r="D197" s="8"/>
      <c r="E197" s="8"/>
      <c r="F197" s="9"/>
      <c r="G197" s="8"/>
      <c r="H197" s="8"/>
      <c r="I197" s="9"/>
      <c r="J197" s="8"/>
      <c r="K197" s="8"/>
      <c r="L197" s="8"/>
    </row>
    <row r="198" spans="1:12" ht="14.45">
      <c r="A198" s="8"/>
      <c r="B198" s="13"/>
      <c r="C198" s="8"/>
      <c r="D198" s="8"/>
      <c r="E198" s="8"/>
      <c r="F198" s="9"/>
      <c r="G198" s="8"/>
      <c r="H198" s="8"/>
      <c r="I198" s="9"/>
      <c r="J198" s="8"/>
      <c r="K198" s="8"/>
      <c r="L198" s="8"/>
    </row>
    <row r="199" spans="1:12" ht="14.45">
      <c r="A199" s="8"/>
      <c r="B199" s="13"/>
      <c r="C199" s="8"/>
      <c r="D199" s="8"/>
      <c r="E199" s="8"/>
      <c r="F199" s="9"/>
      <c r="G199" s="8"/>
      <c r="H199" s="8"/>
      <c r="I199" s="9"/>
      <c r="J199" s="8"/>
      <c r="K199" s="8"/>
      <c r="L199" s="8"/>
    </row>
    <row r="200" spans="1:12" ht="14.45">
      <c r="A200" s="8"/>
      <c r="B200" s="13"/>
      <c r="C200" s="8"/>
      <c r="D200" s="8"/>
      <c r="E200" s="8"/>
      <c r="F200" s="9"/>
      <c r="G200" s="8"/>
      <c r="H200" s="8"/>
      <c r="I200" s="9"/>
      <c r="J200" s="8"/>
      <c r="K200" s="8"/>
      <c r="L200" s="8"/>
    </row>
    <row r="201" spans="1:12" ht="14.45">
      <c r="A201" s="8"/>
      <c r="B201" s="13"/>
      <c r="C201" s="8"/>
      <c r="D201" s="8"/>
      <c r="E201" s="8"/>
      <c r="F201" s="9"/>
      <c r="G201" s="8"/>
      <c r="H201" s="8"/>
      <c r="I201" s="9"/>
      <c r="J201" s="8"/>
      <c r="K201" s="8"/>
      <c r="L201" s="8"/>
    </row>
    <row r="202" spans="1:12" ht="14.45">
      <c r="A202" s="8"/>
      <c r="B202" s="13"/>
      <c r="C202" s="8"/>
      <c r="D202" s="8"/>
      <c r="E202" s="8"/>
      <c r="F202" s="9"/>
      <c r="G202" s="8"/>
      <c r="H202" s="8"/>
      <c r="I202" s="9"/>
      <c r="J202" s="8"/>
      <c r="K202" s="8"/>
      <c r="L202" s="8"/>
    </row>
    <row r="203" spans="1:12" ht="14.45">
      <c r="A203" s="8"/>
      <c r="B203" s="13"/>
      <c r="C203" s="8"/>
      <c r="D203" s="8"/>
      <c r="E203" s="8"/>
      <c r="F203" s="9"/>
      <c r="G203" s="8"/>
      <c r="H203" s="8"/>
      <c r="I203" s="9"/>
      <c r="J203" s="8"/>
      <c r="K203" s="8"/>
      <c r="L203" s="8"/>
    </row>
    <row r="204" spans="1:12" ht="14.45">
      <c r="A204" s="8"/>
      <c r="B204" s="13"/>
      <c r="C204" s="8"/>
      <c r="D204" s="8"/>
      <c r="E204" s="8"/>
      <c r="F204" s="9"/>
      <c r="G204" s="8"/>
      <c r="H204" s="8"/>
      <c r="I204" s="9"/>
      <c r="J204" s="8"/>
      <c r="K204" s="8"/>
      <c r="L204" s="8"/>
    </row>
    <row r="205" spans="1:12" ht="14.45">
      <c r="A205" s="8"/>
      <c r="B205" s="13"/>
      <c r="C205" s="8"/>
      <c r="D205" s="8"/>
      <c r="E205" s="8"/>
      <c r="F205" s="9"/>
      <c r="G205" s="8"/>
      <c r="H205" s="8"/>
      <c r="I205" s="9"/>
      <c r="J205" s="8"/>
      <c r="K205" s="8"/>
      <c r="L205" s="8"/>
    </row>
    <row r="206" spans="1:12" ht="14.45">
      <c r="A206" s="8"/>
      <c r="B206" s="13"/>
      <c r="C206" s="8"/>
      <c r="D206" s="8"/>
      <c r="E206" s="8"/>
      <c r="F206" s="9"/>
      <c r="G206" s="8"/>
      <c r="H206" s="8"/>
      <c r="I206" s="9"/>
      <c r="J206" s="8"/>
      <c r="K206" s="8"/>
      <c r="L206" s="8"/>
    </row>
    <row r="207" spans="1:12" ht="14.45">
      <c r="A207" s="8"/>
      <c r="B207" s="13"/>
      <c r="C207" s="8"/>
      <c r="D207" s="8"/>
      <c r="E207" s="8"/>
      <c r="F207" s="9"/>
      <c r="G207" s="8"/>
      <c r="H207" s="8"/>
      <c r="I207" s="9"/>
      <c r="J207" s="8"/>
      <c r="K207" s="8"/>
      <c r="L207" s="8"/>
    </row>
    <row r="208" spans="1:12" ht="14.45">
      <c r="A208" s="8"/>
      <c r="B208" s="13"/>
      <c r="C208" s="8"/>
      <c r="D208" s="8"/>
      <c r="E208" s="8"/>
      <c r="F208" s="9"/>
      <c r="G208" s="8"/>
      <c r="H208" s="8"/>
      <c r="I208" s="9"/>
      <c r="J208" s="8"/>
      <c r="K208" s="8"/>
      <c r="L208" s="8"/>
    </row>
    <row r="209" spans="1:12" ht="14.45">
      <c r="A209" s="8"/>
      <c r="B209" s="13"/>
      <c r="C209" s="8"/>
      <c r="D209" s="8"/>
      <c r="E209" s="8"/>
      <c r="F209" s="9"/>
      <c r="G209" s="8"/>
      <c r="H209" s="8"/>
      <c r="I209" s="9"/>
      <c r="J209" s="8"/>
      <c r="K209" s="8"/>
      <c r="L209" s="8"/>
    </row>
    <row r="210" spans="1:12" ht="14.45">
      <c r="A210" s="8"/>
      <c r="B210" s="13"/>
      <c r="C210" s="8"/>
      <c r="D210" s="8"/>
      <c r="E210" s="8"/>
      <c r="F210" s="9"/>
      <c r="G210" s="8"/>
      <c r="H210" s="8"/>
      <c r="I210" s="9"/>
      <c r="J210" s="8"/>
      <c r="K210" s="8"/>
      <c r="L210" s="8"/>
    </row>
    <row r="211" spans="1:12" ht="14.45">
      <c r="A211" s="8"/>
      <c r="B211" s="13"/>
      <c r="C211" s="8"/>
      <c r="D211" s="8"/>
      <c r="E211" s="8"/>
      <c r="F211" s="9"/>
      <c r="G211" s="8"/>
      <c r="H211" s="8"/>
      <c r="I211" s="9"/>
      <c r="J211" s="8"/>
      <c r="K211" s="8"/>
      <c r="L211" s="8"/>
    </row>
    <row r="212" spans="1:12" ht="14.45">
      <c r="A212" s="8"/>
      <c r="B212" s="13"/>
      <c r="C212" s="8"/>
      <c r="D212" s="8"/>
      <c r="E212" s="8"/>
      <c r="F212" s="9"/>
      <c r="G212" s="8"/>
      <c r="H212" s="8"/>
      <c r="I212" s="9"/>
      <c r="J212" s="8"/>
      <c r="K212" s="8"/>
      <c r="L212" s="8"/>
    </row>
    <row r="213" spans="1:12" ht="14.45">
      <c r="A213" s="8"/>
      <c r="B213" s="13"/>
      <c r="C213" s="8"/>
      <c r="D213" s="8"/>
      <c r="E213" s="8"/>
      <c r="F213" s="9"/>
      <c r="G213" s="8"/>
      <c r="H213" s="8"/>
      <c r="I213" s="9"/>
      <c r="J213" s="8"/>
      <c r="K213" s="8"/>
      <c r="L213" s="8"/>
    </row>
    <row r="214" spans="1:12" ht="14.45">
      <c r="A214" s="8"/>
      <c r="B214" s="13"/>
      <c r="C214" s="8"/>
      <c r="D214" s="8"/>
      <c r="E214" s="8"/>
      <c r="F214" s="9"/>
      <c r="G214" s="8"/>
      <c r="H214" s="8"/>
      <c r="I214" s="9"/>
      <c r="J214" s="8"/>
      <c r="K214" s="8"/>
      <c r="L214" s="8"/>
    </row>
    <row r="215" spans="1:12" ht="14.45">
      <c r="A215" s="8"/>
      <c r="B215" s="13"/>
      <c r="C215" s="8"/>
      <c r="D215" s="8"/>
      <c r="E215" s="8"/>
      <c r="F215" s="9"/>
      <c r="G215" s="8"/>
      <c r="H215" s="8"/>
      <c r="I215" s="9"/>
      <c r="J215" s="8"/>
      <c r="K215" s="8"/>
      <c r="L215" s="8"/>
    </row>
    <row r="216" spans="1:12" ht="14.45">
      <c r="A216" s="8"/>
      <c r="B216" s="13"/>
      <c r="C216" s="8"/>
      <c r="D216" s="8"/>
      <c r="E216" s="8"/>
      <c r="F216" s="9"/>
      <c r="G216" s="8"/>
      <c r="H216" s="8"/>
      <c r="I216" s="9"/>
      <c r="J216" s="8"/>
      <c r="K216" s="8"/>
      <c r="L216" s="8"/>
    </row>
    <row r="217" spans="1:12" ht="14.45">
      <c r="A217" s="8"/>
      <c r="B217" s="13"/>
      <c r="C217" s="8"/>
      <c r="D217" s="8"/>
      <c r="E217" s="8"/>
      <c r="F217" s="9"/>
      <c r="G217" s="8"/>
      <c r="H217" s="8"/>
      <c r="I217" s="9"/>
      <c r="J217" s="8"/>
      <c r="K217" s="8"/>
      <c r="L217" s="8"/>
    </row>
    <row r="218" spans="1:12" ht="14.45">
      <c r="A218" s="8"/>
      <c r="B218" s="13"/>
      <c r="C218" s="8"/>
      <c r="D218" s="8"/>
      <c r="E218" s="8"/>
      <c r="F218" s="9"/>
      <c r="G218" s="8"/>
      <c r="H218" s="8"/>
      <c r="I218" s="9"/>
      <c r="J218" s="8"/>
      <c r="K218" s="8"/>
      <c r="L218" s="8"/>
    </row>
    <row r="219" spans="1:12" ht="14.45">
      <c r="A219" s="8"/>
      <c r="B219" s="13"/>
      <c r="C219" s="8"/>
      <c r="D219" s="8"/>
      <c r="E219" s="8"/>
      <c r="F219" s="9"/>
      <c r="G219" s="8"/>
      <c r="H219" s="8"/>
      <c r="I219" s="9"/>
      <c r="J219" s="8"/>
      <c r="K219" s="8"/>
      <c r="L219" s="8"/>
    </row>
    <row r="220" spans="1:12" ht="14.45">
      <c r="A220" s="8"/>
      <c r="B220" s="13"/>
      <c r="C220" s="8"/>
      <c r="D220" s="8"/>
      <c r="E220" s="8"/>
      <c r="F220" s="9"/>
      <c r="G220" s="8"/>
      <c r="H220" s="8"/>
      <c r="I220" s="9"/>
      <c r="J220" s="8"/>
      <c r="K220" s="8"/>
      <c r="L220" s="8"/>
    </row>
    <row r="221" spans="1:12" ht="14.45">
      <c r="A221" s="8"/>
      <c r="B221" s="13"/>
      <c r="C221" s="8"/>
      <c r="D221" s="8"/>
      <c r="E221" s="8"/>
      <c r="F221" s="9"/>
      <c r="G221" s="8"/>
      <c r="H221" s="8"/>
      <c r="I221" s="9"/>
      <c r="J221" s="8"/>
      <c r="K221" s="8"/>
      <c r="L221" s="8"/>
    </row>
    <row r="222" spans="1:12" ht="14.45">
      <c r="A222" s="8"/>
      <c r="B222" s="13"/>
      <c r="C222" s="8"/>
      <c r="D222" s="8"/>
      <c r="E222" s="8"/>
      <c r="F222" s="9"/>
      <c r="G222" s="8"/>
      <c r="H222" s="8"/>
      <c r="I222" s="9"/>
      <c r="J222" s="8"/>
      <c r="K222" s="8"/>
      <c r="L222" s="8"/>
    </row>
    <row r="223" spans="1:12" ht="14.45">
      <c r="A223" s="8"/>
      <c r="B223" s="13"/>
      <c r="C223" s="8"/>
      <c r="D223" s="8"/>
      <c r="E223" s="8"/>
      <c r="F223" s="9"/>
      <c r="G223" s="8"/>
      <c r="H223" s="8"/>
      <c r="I223" s="9"/>
      <c r="J223" s="8"/>
      <c r="K223" s="8"/>
      <c r="L223" s="8"/>
    </row>
    <row r="224" spans="1:12" ht="14.45">
      <c r="A224" s="8"/>
      <c r="B224" s="13"/>
      <c r="C224" s="8"/>
      <c r="D224" s="8"/>
      <c r="E224" s="8"/>
      <c r="F224" s="9"/>
      <c r="G224" s="8"/>
      <c r="H224" s="8"/>
      <c r="I224" s="9"/>
      <c r="J224" s="8"/>
      <c r="K224" s="8"/>
      <c r="L224" s="8"/>
    </row>
    <row r="225" spans="1:12" ht="14.45">
      <c r="A225" s="8"/>
      <c r="B225" s="13"/>
      <c r="C225" s="8"/>
      <c r="D225" s="8"/>
      <c r="E225" s="8"/>
      <c r="F225" s="9"/>
      <c r="G225" s="8"/>
      <c r="H225" s="8"/>
      <c r="I225" s="9"/>
      <c r="J225" s="8"/>
      <c r="K225" s="8"/>
      <c r="L225" s="8"/>
    </row>
    <row r="226" spans="1:12" ht="14.45">
      <c r="A226" s="8"/>
      <c r="B226" s="13"/>
      <c r="C226" s="8"/>
      <c r="D226" s="8"/>
      <c r="E226" s="8"/>
      <c r="F226" s="9"/>
      <c r="G226" s="8"/>
      <c r="H226" s="8"/>
      <c r="I226" s="9"/>
      <c r="J226" s="8"/>
      <c r="K226" s="8"/>
      <c r="L226" s="8"/>
    </row>
    <row r="227" spans="1:12" ht="14.45">
      <c r="A227" s="8"/>
      <c r="B227" s="13"/>
      <c r="C227" s="8"/>
      <c r="D227" s="8"/>
      <c r="E227" s="8"/>
      <c r="F227" s="9"/>
      <c r="G227" s="8"/>
      <c r="H227" s="8"/>
      <c r="I227" s="9"/>
      <c r="J227" s="8"/>
      <c r="K227" s="8"/>
      <c r="L227" s="8"/>
    </row>
    <row r="228" spans="1:12" ht="14.45">
      <c r="A228" s="8"/>
      <c r="B228" s="13"/>
      <c r="C228" s="8"/>
      <c r="D228" s="8"/>
      <c r="E228" s="8"/>
      <c r="F228" s="9"/>
      <c r="G228" s="8"/>
      <c r="H228" s="8"/>
      <c r="I228" s="9"/>
      <c r="J228" s="8"/>
      <c r="K228" s="8"/>
      <c r="L228" s="8"/>
    </row>
    <row r="229" spans="1:12" ht="14.45">
      <c r="A229" s="8"/>
      <c r="B229" s="13"/>
      <c r="C229" s="8"/>
      <c r="D229" s="8"/>
      <c r="E229" s="8"/>
      <c r="F229" s="9"/>
      <c r="G229" s="8"/>
      <c r="H229" s="8"/>
      <c r="I229" s="9"/>
      <c r="J229" s="8"/>
      <c r="K229" s="8"/>
      <c r="L229" s="8"/>
    </row>
    <row r="230" spans="1:12" ht="14.45">
      <c r="A230" s="8"/>
      <c r="B230" s="13"/>
      <c r="C230" s="8"/>
      <c r="D230" s="8"/>
      <c r="E230" s="8"/>
      <c r="F230" s="9"/>
      <c r="G230" s="8"/>
      <c r="H230" s="8"/>
      <c r="I230" s="9"/>
      <c r="J230" s="8"/>
      <c r="K230" s="8"/>
      <c r="L230" s="8"/>
    </row>
    <row r="231" spans="1:12" ht="14.45">
      <c r="A231" s="8"/>
      <c r="B231" s="13"/>
      <c r="C231" s="8"/>
      <c r="D231" s="8"/>
      <c r="E231" s="8"/>
      <c r="F231" s="9"/>
      <c r="G231" s="8"/>
      <c r="H231" s="8"/>
      <c r="I231" s="9"/>
      <c r="J231" s="8"/>
      <c r="K231" s="8"/>
      <c r="L231" s="8"/>
    </row>
    <row r="232" spans="1:12" ht="14.45">
      <c r="A232" s="8"/>
      <c r="B232" s="13"/>
      <c r="C232" s="8"/>
      <c r="D232" s="8"/>
      <c r="E232" s="8"/>
      <c r="F232" s="9"/>
      <c r="G232" s="8"/>
      <c r="H232" s="8"/>
      <c r="I232" s="9"/>
      <c r="J232" s="8"/>
      <c r="K232" s="8"/>
      <c r="L232" s="8"/>
    </row>
    <row r="233" spans="1:12" ht="14.45">
      <c r="A233" s="8"/>
      <c r="B233" s="13"/>
      <c r="C233" s="8"/>
      <c r="D233" s="8"/>
      <c r="E233" s="8"/>
      <c r="F233" s="9"/>
      <c r="G233" s="8"/>
      <c r="H233" s="8"/>
      <c r="I233" s="9"/>
      <c r="J233" s="8"/>
      <c r="K233" s="8"/>
      <c r="L233" s="8"/>
    </row>
    <row r="234" spans="1:12" ht="14.45">
      <c r="A234" s="8"/>
      <c r="B234" s="13"/>
      <c r="C234" s="8"/>
      <c r="D234" s="8"/>
      <c r="E234" s="8"/>
      <c r="F234" s="9"/>
      <c r="G234" s="8"/>
      <c r="H234" s="8"/>
      <c r="I234" s="9"/>
      <c r="J234" s="8"/>
      <c r="K234" s="8"/>
      <c r="L234" s="8"/>
    </row>
    <row r="235" spans="1:12" ht="14.45">
      <c r="A235" s="8"/>
      <c r="B235" s="13"/>
      <c r="C235" s="8"/>
      <c r="D235" s="8"/>
      <c r="E235" s="8"/>
      <c r="F235" s="9"/>
      <c r="G235" s="8"/>
      <c r="H235" s="8"/>
      <c r="I235" s="9"/>
      <c r="J235" s="8"/>
      <c r="K235" s="8"/>
      <c r="L235" s="8"/>
    </row>
    <row r="236" spans="1:12" ht="14.45">
      <c r="A236" s="8"/>
      <c r="B236" s="13"/>
      <c r="C236" s="8"/>
      <c r="D236" s="8"/>
      <c r="E236" s="8"/>
      <c r="F236" s="9"/>
      <c r="G236" s="8"/>
      <c r="H236" s="8"/>
      <c r="I236" s="9"/>
      <c r="J236" s="8"/>
      <c r="K236" s="8"/>
      <c r="L236" s="8"/>
    </row>
    <row r="237" spans="1:12" ht="14.45">
      <c r="A237" s="8"/>
      <c r="B237" s="13"/>
      <c r="C237" s="8"/>
      <c r="D237" s="8"/>
      <c r="E237" s="8"/>
      <c r="F237" s="9"/>
      <c r="G237" s="8"/>
      <c r="H237" s="8"/>
      <c r="I237" s="9"/>
      <c r="J237" s="8"/>
      <c r="K237" s="8"/>
      <c r="L237" s="8"/>
    </row>
    <row r="238" spans="1:12" ht="14.45">
      <c r="A238" s="8"/>
      <c r="B238" s="13"/>
      <c r="C238" s="8"/>
      <c r="D238" s="8"/>
      <c r="E238" s="8"/>
      <c r="F238" s="9"/>
      <c r="G238" s="8"/>
      <c r="H238" s="8"/>
      <c r="I238" s="9"/>
      <c r="J238" s="8"/>
      <c r="K238" s="8"/>
      <c r="L238" s="8"/>
    </row>
    <row r="239" spans="1:12" ht="14.45">
      <c r="A239" s="8"/>
      <c r="B239" s="13"/>
      <c r="C239" s="8"/>
      <c r="D239" s="8"/>
      <c r="E239" s="8"/>
      <c r="F239" s="9"/>
      <c r="G239" s="8"/>
      <c r="H239" s="8"/>
      <c r="I239" s="9"/>
      <c r="J239" s="8"/>
      <c r="K239" s="8"/>
      <c r="L239" s="8"/>
    </row>
    <row r="240" spans="1:12" ht="14.45">
      <c r="A240" s="8"/>
      <c r="B240" s="13"/>
      <c r="C240" s="8"/>
      <c r="D240" s="8"/>
      <c r="E240" s="8"/>
      <c r="F240" s="9"/>
      <c r="G240" s="8"/>
      <c r="H240" s="8"/>
      <c r="I240" s="9"/>
      <c r="J240" s="8"/>
      <c r="K240" s="8"/>
      <c r="L240" s="8"/>
    </row>
    <row r="241" spans="1:12" ht="14.45">
      <c r="A241" s="8"/>
      <c r="B241" s="13"/>
      <c r="C241" s="8"/>
      <c r="D241" s="8"/>
      <c r="E241" s="8"/>
      <c r="F241" s="9"/>
      <c r="G241" s="8"/>
      <c r="H241" s="8"/>
      <c r="I241" s="9"/>
      <c r="J241" s="8"/>
      <c r="K241" s="8"/>
      <c r="L241" s="8"/>
    </row>
    <row r="242" spans="1:12" ht="14.45">
      <c r="A242" s="8"/>
      <c r="B242" s="13"/>
      <c r="C242" s="8"/>
      <c r="D242" s="8"/>
      <c r="E242" s="8"/>
      <c r="F242" s="9"/>
      <c r="G242" s="8"/>
      <c r="H242" s="8"/>
      <c r="I242" s="9"/>
      <c r="J242" s="8"/>
      <c r="K242" s="8"/>
      <c r="L242" s="8"/>
    </row>
    <row r="243" spans="1:12" ht="14.45">
      <c r="A243" s="8"/>
      <c r="B243" s="13"/>
      <c r="C243" s="8"/>
      <c r="D243" s="8"/>
      <c r="E243" s="8"/>
      <c r="F243" s="9"/>
      <c r="G243" s="8"/>
      <c r="H243" s="8"/>
      <c r="I243" s="9"/>
      <c r="J243" s="8"/>
      <c r="K243" s="8"/>
      <c r="L243" s="8"/>
    </row>
    <row r="244" spans="1:12" ht="14.45">
      <c r="A244" s="8"/>
      <c r="B244" s="13"/>
      <c r="C244" s="8"/>
      <c r="D244" s="8"/>
      <c r="E244" s="8"/>
      <c r="F244" s="9"/>
      <c r="G244" s="8"/>
      <c r="H244" s="8"/>
      <c r="I244" s="9"/>
      <c r="J244" s="8"/>
      <c r="K244" s="8"/>
      <c r="L244" s="8"/>
    </row>
    <row r="245" spans="1:12" ht="14.45">
      <c r="A245" s="8"/>
      <c r="B245" s="13"/>
      <c r="C245" s="8"/>
      <c r="D245" s="8"/>
      <c r="E245" s="8"/>
      <c r="F245" s="9"/>
      <c r="G245" s="8"/>
      <c r="H245" s="8"/>
      <c r="I245" s="9"/>
      <c r="J245" s="8"/>
      <c r="K245" s="8"/>
      <c r="L245" s="8"/>
    </row>
    <row r="246" spans="1:12" ht="14.45">
      <c r="A246" s="8"/>
      <c r="B246" s="13"/>
      <c r="C246" s="8"/>
      <c r="D246" s="8"/>
      <c r="E246" s="8"/>
      <c r="F246" s="9"/>
      <c r="G246" s="8"/>
      <c r="H246" s="8"/>
      <c r="I246" s="9"/>
      <c r="J246" s="8"/>
      <c r="K246" s="8"/>
      <c r="L246" s="8"/>
    </row>
    <row r="247" spans="1:12" ht="14.45">
      <c r="A247" s="8"/>
      <c r="B247" s="13"/>
      <c r="C247" s="8"/>
      <c r="D247" s="8"/>
      <c r="E247" s="8"/>
      <c r="F247" s="9"/>
      <c r="G247" s="8"/>
      <c r="H247" s="8"/>
      <c r="I247" s="9"/>
      <c r="J247" s="8"/>
      <c r="K247" s="8"/>
      <c r="L247" s="8"/>
    </row>
    <row r="248" spans="1:12" ht="14.45">
      <c r="A248" s="8"/>
      <c r="B248" s="13"/>
      <c r="C248" s="8"/>
      <c r="D248" s="8"/>
      <c r="E248" s="8"/>
      <c r="F248" s="9"/>
      <c r="G248" s="8"/>
      <c r="H248" s="8"/>
      <c r="I248" s="9"/>
      <c r="J248" s="8"/>
      <c r="K248" s="8"/>
      <c r="L248" s="8"/>
    </row>
    <row r="249" spans="1:12" ht="14.45">
      <c r="A249" s="8"/>
      <c r="B249" s="13"/>
      <c r="C249" s="8"/>
      <c r="D249" s="8"/>
      <c r="E249" s="8"/>
      <c r="F249" s="9"/>
      <c r="G249" s="8"/>
      <c r="H249" s="8"/>
      <c r="I249" s="9"/>
      <c r="J249" s="8"/>
      <c r="K249" s="8"/>
      <c r="L249" s="8"/>
    </row>
    <row r="250" spans="1:12" ht="14.45">
      <c r="A250" s="8"/>
      <c r="B250" s="13"/>
      <c r="C250" s="8"/>
      <c r="D250" s="8"/>
      <c r="E250" s="8"/>
      <c r="F250" s="9"/>
      <c r="G250" s="8"/>
      <c r="H250" s="8"/>
      <c r="I250" s="9"/>
      <c r="J250" s="8"/>
      <c r="K250" s="8"/>
      <c r="L250" s="8"/>
    </row>
    <row r="251" spans="1:12" ht="14.45">
      <c r="A251" s="8"/>
      <c r="B251" s="13"/>
      <c r="C251" s="8"/>
      <c r="D251" s="8"/>
      <c r="E251" s="8"/>
      <c r="F251" s="9"/>
      <c r="G251" s="8"/>
      <c r="H251" s="8"/>
      <c r="I251" s="9"/>
      <c r="J251" s="8"/>
      <c r="K251" s="8"/>
      <c r="L251" s="8"/>
    </row>
    <row r="252" spans="1:12" ht="14.45">
      <c r="A252" s="8"/>
      <c r="B252" s="13"/>
      <c r="C252" s="8"/>
      <c r="D252" s="8"/>
      <c r="E252" s="8"/>
      <c r="F252" s="9"/>
      <c r="G252" s="8"/>
      <c r="H252" s="8"/>
      <c r="I252" s="9"/>
      <c r="J252" s="8"/>
      <c r="K252" s="8"/>
      <c r="L252" s="8"/>
    </row>
    <row r="253" spans="1:12" ht="14.45">
      <c r="A253" s="8"/>
      <c r="B253" s="13"/>
      <c r="C253" s="8"/>
      <c r="D253" s="8"/>
      <c r="E253" s="8"/>
      <c r="F253" s="9"/>
      <c r="G253" s="8"/>
      <c r="H253" s="8"/>
      <c r="I253" s="9"/>
      <c r="J253" s="8"/>
      <c r="K253" s="8"/>
      <c r="L253" s="8"/>
    </row>
    <row r="254" spans="1:12" ht="14.45">
      <c r="A254" s="8"/>
      <c r="B254" s="13"/>
      <c r="C254" s="8"/>
      <c r="D254" s="8"/>
      <c r="E254" s="8"/>
      <c r="F254" s="9"/>
      <c r="G254" s="8"/>
      <c r="H254" s="8"/>
      <c r="I254" s="9"/>
      <c r="J254" s="8"/>
      <c r="K254" s="8"/>
      <c r="L254" s="8"/>
    </row>
    <row r="255" spans="1:12" ht="14.45">
      <c r="A255" s="8"/>
      <c r="B255" s="13"/>
      <c r="C255" s="8"/>
      <c r="D255" s="8"/>
      <c r="E255" s="8"/>
      <c r="F255" s="9"/>
      <c r="G255" s="8"/>
      <c r="H255" s="8"/>
      <c r="I255" s="9"/>
      <c r="J255" s="8"/>
      <c r="K255" s="8"/>
      <c r="L255" s="8"/>
    </row>
    <row r="256" spans="1:12" ht="14.45">
      <c r="A256" s="8"/>
      <c r="B256" s="13"/>
      <c r="C256" s="8"/>
      <c r="D256" s="8"/>
      <c r="E256" s="8"/>
      <c r="F256" s="9"/>
      <c r="G256" s="8"/>
      <c r="H256" s="8"/>
      <c r="I256" s="9"/>
      <c r="J256" s="8"/>
      <c r="K256" s="8"/>
      <c r="L256" s="8"/>
    </row>
    <row r="257" spans="1:12" ht="14.45">
      <c r="A257" s="8"/>
      <c r="B257" s="13"/>
      <c r="C257" s="8"/>
      <c r="D257" s="8"/>
      <c r="E257" s="8"/>
      <c r="F257" s="9"/>
      <c r="G257" s="8"/>
      <c r="H257" s="8"/>
      <c r="I257" s="9"/>
      <c r="J257" s="8"/>
      <c r="K257" s="8"/>
      <c r="L257" s="8"/>
    </row>
    <row r="258" spans="1:12" ht="14.45">
      <c r="A258" s="8"/>
      <c r="B258" s="13"/>
      <c r="C258" s="8"/>
      <c r="D258" s="8"/>
      <c r="E258" s="8"/>
      <c r="F258" s="9"/>
      <c r="G258" s="8"/>
      <c r="H258" s="8"/>
      <c r="I258" s="9"/>
      <c r="J258" s="8"/>
      <c r="K258" s="8"/>
      <c r="L258" s="8"/>
    </row>
    <row r="259" spans="1:12" ht="14.45">
      <c r="A259" s="8"/>
      <c r="B259" s="13"/>
      <c r="C259" s="8"/>
      <c r="D259" s="8"/>
      <c r="E259" s="8"/>
      <c r="F259" s="9"/>
      <c r="G259" s="8"/>
      <c r="H259" s="8"/>
      <c r="I259" s="9"/>
      <c r="J259" s="8"/>
      <c r="K259" s="8"/>
      <c r="L259" s="8"/>
    </row>
    <row r="260" spans="1:12" ht="14.45">
      <c r="A260" s="8"/>
      <c r="B260" s="13"/>
      <c r="C260" s="8"/>
      <c r="D260" s="8"/>
      <c r="E260" s="8"/>
      <c r="F260" s="9"/>
      <c r="G260" s="8"/>
      <c r="H260" s="8"/>
      <c r="I260" s="9"/>
      <c r="J260" s="8"/>
      <c r="K260" s="8"/>
      <c r="L260" s="8"/>
    </row>
    <row r="261" spans="1:12" ht="14.45">
      <c r="A261" s="8"/>
      <c r="B261" s="13"/>
      <c r="C261" s="8"/>
      <c r="D261" s="8"/>
      <c r="E261" s="8"/>
      <c r="F261" s="9"/>
      <c r="G261" s="8"/>
      <c r="H261" s="8"/>
      <c r="I261" s="9"/>
      <c r="J261" s="8"/>
      <c r="K261" s="8"/>
      <c r="L261" s="8"/>
    </row>
    <row r="262" spans="1:12" ht="14.45">
      <c r="A262" s="8"/>
      <c r="B262" s="13"/>
      <c r="C262" s="8"/>
      <c r="D262" s="8"/>
      <c r="E262" s="8"/>
      <c r="F262" s="9"/>
      <c r="G262" s="8"/>
      <c r="H262" s="8"/>
      <c r="I262" s="9"/>
      <c r="J262" s="8"/>
      <c r="K262" s="8"/>
      <c r="L262" s="8"/>
    </row>
    <row r="263" spans="1:12" ht="14.45">
      <c r="A263" s="8"/>
      <c r="B263" s="13"/>
      <c r="C263" s="8"/>
      <c r="D263" s="8"/>
      <c r="E263" s="8"/>
      <c r="F263" s="9"/>
      <c r="G263" s="8"/>
      <c r="H263" s="8"/>
      <c r="I263" s="9"/>
      <c r="J263" s="8"/>
      <c r="K263" s="8"/>
      <c r="L263" s="8"/>
    </row>
    <row r="264" spans="1:12" ht="14.45">
      <c r="A264" s="8"/>
      <c r="B264" s="13"/>
      <c r="C264" s="8"/>
      <c r="D264" s="8"/>
      <c r="E264" s="8"/>
      <c r="F264" s="9"/>
      <c r="G264" s="8"/>
      <c r="H264" s="8"/>
      <c r="I264" s="9"/>
      <c r="J264" s="8"/>
      <c r="K264" s="8"/>
      <c r="L264" s="8"/>
    </row>
    <row r="265" spans="1:12" ht="14.45">
      <c r="A265" s="8"/>
      <c r="B265" s="13"/>
      <c r="C265" s="8"/>
      <c r="D265" s="8"/>
      <c r="E265" s="8"/>
      <c r="F265" s="9"/>
      <c r="G265" s="8"/>
      <c r="H265" s="8"/>
      <c r="I265" s="9"/>
      <c r="J265" s="8"/>
      <c r="K265" s="8"/>
      <c r="L265" s="8"/>
    </row>
    <row r="266" spans="1:12" ht="14.45">
      <c r="A266" s="8"/>
      <c r="B266" s="13"/>
      <c r="C266" s="8"/>
      <c r="D266" s="8"/>
      <c r="E266" s="8"/>
      <c r="F266" s="9"/>
      <c r="G266" s="8"/>
      <c r="H266" s="8"/>
      <c r="I266" s="9"/>
      <c r="J266" s="8"/>
      <c r="K266" s="8"/>
      <c r="L266" s="8"/>
    </row>
    <row r="267" spans="1:12" ht="14.45">
      <c r="A267" s="8"/>
      <c r="B267" s="13"/>
      <c r="C267" s="8"/>
      <c r="D267" s="8"/>
      <c r="E267" s="8"/>
      <c r="F267" s="9"/>
      <c r="G267" s="8"/>
      <c r="H267" s="8"/>
      <c r="I267" s="9"/>
      <c r="J267" s="8"/>
      <c r="K267" s="8"/>
      <c r="L267" s="8"/>
    </row>
    <row r="268" spans="1:12" ht="14.45">
      <c r="A268" s="8"/>
      <c r="B268" s="13"/>
      <c r="C268" s="8"/>
      <c r="D268" s="8"/>
      <c r="E268" s="8"/>
      <c r="F268" s="9"/>
      <c r="G268" s="8"/>
      <c r="H268" s="8"/>
      <c r="I268" s="9"/>
      <c r="J268" s="8"/>
      <c r="K268" s="8"/>
      <c r="L268" s="8"/>
    </row>
    <row r="269" spans="1:12" ht="14.45">
      <c r="A269" s="8"/>
      <c r="B269" s="13"/>
      <c r="C269" s="8"/>
      <c r="D269" s="8"/>
      <c r="E269" s="8"/>
      <c r="F269" s="9"/>
      <c r="G269" s="8"/>
      <c r="H269" s="8"/>
      <c r="I269" s="9"/>
      <c r="J269" s="8"/>
      <c r="K269" s="8"/>
      <c r="L269" s="8"/>
    </row>
    <row r="270" spans="1:12" ht="14.45">
      <c r="A270" s="8"/>
      <c r="B270" s="13"/>
      <c r="C270" s="8"/>
      <c r="D270" s="8"/>
      <c r="E270" s="8"/>
      <c r="F270" s="9"/>
      <c r="G270" s="8"/>
      <c r="H270" s="8"/>
      <c r="I270" s="9"/>
      <c r="J270" s="8"/>
      <c r="K270" s="8"/>
      <c r="L270" s="8"/>
    </row>
    <row r="271" spans="1:12" ht="14.45">
      <c r="A271" s="8"/>
      <c r="B271" s="13"/>
      <c r="C271" s="8"/>
      <c r="D271" s="8"/>
      <c r="E271" s="8"/>
      <c r="F271" s="9"/>
      <c r="G271" s="8"/>
      <c r="H271" s="8"/>
      <c r="I271" s="9"/>
      <c r="J271" s="8"/>
      <c r="K271" s="8"/>
      <c r="L271" s="8"/>
    </row>
    <row r="272" spans="1:12" ht="14.45">
      <c r="A272" s="8"/>
      <c r="B272" s="13"/>
      <c r="C272" s="8"/>
      <c r="D272" s="8"/>
      <c r="E272" s="8"/>
      <c r="F272" s="9"/>
      <c r="G272" s="8"/>
      <c r="H272" s="8"/>
      <c r="I272" s="9"/>
      <c r="J272" s="8"/>
      <c r="K272" s="8"/>
      <c r="L272" s="8"/>
    </row>
    <row r="273" spans="1:12" ht="14.45">
      <c r="A273" s="8"/>
      <c r="B273" s="13"/>
      <c r="C273" s="8"/>
      <c r="D273" s="8"/>
      <c r="E273" s="8"/>
      <c r="F273" s="9"/>
      <c r="G273" s="8"/>
      <c r="H273" s="8"/>
      <c r="I273" s="9"/>
      <c r="J273" s="8"/>
      <c r="K273" s="8"/>
      <c r="L273" s="8"/>
    </row>
    <row r="274" spans="1:12" ht="14.45">
      <c r="A274" s="8"/>
      <c r="B274" s="13"/>
      <c r="C274" s="8"/>
      <c r="D274" s="8"/>
      <c r="E274" s="8"/>
      <c r="F274" s="9"/>
      <c r="G274" s="8"/>
      <c r="H274" s="8"/>
      <c r="I274" s="9"/>
      <c r="J274" s="8"/>
      <c r="K274" s="8"/>
      <c r="L274" s="8"/>
    </row>
    <row r="275" spans="1:12" ht="14.45">
      <c r="A275" s="8"/>
      <c r="B275" s="13"/>
      <c r="C275" s="8"/>
      <c r="D275" s="8"/>
      <c r="E275" s="8"/>
      <c r="F275" s="9"/>
      <c r="G275" s="8"/>
      <c r="H275" s="8"/>
      <c r="I275" s="9"/>
      <c r="J275" s="8"/>
      <c r="K275" s="8"/>
      <c r="L275" s="8"/>
    </row>
    <row r="276" spans="1:12" ht="14.45">
      <c r="A276" s="8"/>
      <c r="B276" s="13"/>
      <c r="C276" s="8"/>
      <c r="D276" s="8"/>
      <c r="E276" s="8"/>
      <c r="F276" s="9"/>
      <c r="G276" s="8"/>
      <c r="H276" s="8"/>
      <c r="I276" s="9"/>
      <c r="J276" s="8"/>
      <c r="K276" s="8"/>
      <c r="L276" s="8"/>
    </row>
    <row r="277" spans="1:12" ht="14.45">
      <c r="A277" s="8"/>
      <c r="B277" s="13"/>
      <c r="C277" s="8"/>
      <c r="D277" s="8"/>
      <c r="E277" s="8"/>
      <c r="F277" s="9"/>
      <c r="G277" s="8"/>
      <c r="H277" s="8"/>
      <c r="I277" s="9"/>
      <c r="J277" s="8"/>
      <c r="K277" s="8"/>
      <c r="L277" s="8"/>
    </row>
    <row r="278" spans="1:12" ht="14.45">
      <c r="A278" s="8"/>
      <c r="B278" s="13"/>
      <c r="C278" s="8"/>
      <c r="D278" s="8"/>
      <c r="E278" s="8"/>
      <c r="F278" s="9"/>
      <c r="G278" s="8"/>
      <c r="H278" s="8"/>
      <c r="I278" s="9"/>
      <c r="J278" s="8"/>
      <c r="K278" s="8"/>
      <c r="L278" s="8"/>
    </row>
    <row r="279" spans="1:12" ht="14.45">
      <c r="A279" s="8"/>
      <c r="B279" s="13"/>
      <c r="C279" s="8"/>
      <c r="D279" s="8"/>
      <c r="E279" s="8"/>
      <c r="F279" s="9"/>
      <c r="G279" s="8"/>
      <c r="H279" s="8"/>
      <c r="I279" s="9"/>
      <c r="J279" s="8"/>
      <c r="K279" s="8"/>
      <c r="L279" s="8"/>
    </row>
    <row r="280" spans="1:12" ht="14.45">
      <c r="A280" s="8"/>
      <c r="B280" s="13"/>
      <c r="C280" s="8"/>
      <c r="D280" s="8"/>
      <c r="E280" s="8"/>
      <c r="F280" s="9"/>
      <c r="G280" s="8"/>
      <c r="H280" s="8"/>
      <c r="I280" s="9"/>
      <c r="J280" s="8"/>
      <c r="K280" s="8"/>
      <c r="L280" s="8"/>
    </row>
    <row r="281" spans="1:12" ht="14.45">
      <c r="A281" s="8"/>
      <c r="B281" s="13"/>
      <c r="C281" s="8"/>
      <c r="D281" s="8"/>
      <c r="E281" s="8"/>
      <c r="F281" s="9"/>
      <c r="G281" s="8"/>
      <c r="H281" s="8"/>
      <c r="I281" s="9"/>
      <c r="J281" s="8"/>
      <c r="K281" s="8"/>
      <c r="L281" s="8"/>
    </row>
    <row r="282" spans="1:12" ht="14.45">
      <c r="A282" s="8"/>
      <c r="B282" s="13"/>
      <c r="C282" s="8"/>
      <c r="D282" s="8"/>
      <c r="E282" s="8"/>
      <c r="F282" s="9"/>
      <c r="G282" s="8"/>
      <c r="H282" s="8"/>
      <c r="I282" s="9"/>
      <c r="J282" s="8"/>
      <c r="K282" s="8"/>
      <c r="L282" s="8"/>
    </row>
    <row r="283" spans="1:12" ht="14.45">
      <c r="A283" s="8"/>
      <c r="B283" s="13"/>
      <c r="C283" s="8"/>
      <c r="D283" s="8"/>
      <c r="E283" s="8"/>
      <c r="F283" s="9"/>
      <c r="G283" s="8"/>
      <c r="H283" s="8"/>
      <c r="I283" s="9"/>
      <c r="J283" s="8"/>
      <c r="K283" s="8"/>
      <c r="L283" s="8"/>
    </row>
    <row r="284" spans="1:12" ht="14.45">
      <c r="A284" s="8"/>
      <c r="B284" s="13"/>
      <c r="C284" s="8"/>
      <c r="D284" s="8"/>
      <c r="E284" s="8"/>
      <c r="F284" s="9"/>
      <c r="G284" s="8"/>
      <c r="H284" s="8"/>
      <c r="I284" s="9"/>
      <c r="J284" s="8"/>
      <c r="K284" s="8"/>
      <c r="L284" s="8"/>
    </row>
    <row r="285" spans="1:12" ht="14.45">
      <c r="A285" s="8"/>
      <c r="B285" s="13"/>
      <c r="C285" s="8"/>
      <c r="D285" s="8"/>
      <c r="E285" s="8"/>
      <c r="F285" s="9"/>
      <c r="G285" s="8"/>
      <c r="H285" s="8"/>
      <c r="I285" s="9"/>
      <c r="J285" s="8"/>
      <c r="K285" s="8"/>
      <c r="L285" s="8"/>
    </row>
    <row r="286" spans="1:12" ht="14.45">
      <c r="A286" s="8"/>
      <c r="B286" s="13"/>
      <c r="C286" s="8"/>
      <c r="D286" s="8"/>
      <c r="E286" s="8"/>
      <c r="F286" s="9"/>
      <c r="G286" s="8"/>
      <c r="H286" s="8"/>
      <c r="I286" s="9"/>
      <c r="J286" s="8"/>
      <c r="K286" s="8"/>
      <c r="L286" s="8"/>
    </row>
    <row r="287" spans="1:12" ht="14.45">
      <c r="A287" s="8"/>
      <c r="B287" s="13"/>
      <c r="C287" s="8"/>
      <c r="D287" s="8"/>
      <c r="E287" s="8"/>
      <c r="F287" s="9"/>
      <c r="G287" s="8"/>
      <c r="H287" s="8"/>
      <c r="I287" s="9"/>
      <c r="J287" s="8"/>
      <c r="K287" s="8"/>
      <c r="L287" s="8"/>
    </row>
    <row r="288" spans="1:12" ht="14.45">
      <c r="A288" s="8"/>
      <c r="B288" s="13"/>
      <c r="C288" s="8"/>
      <c r="D288" s="8"/>
      <c r="E288" s="8"/>
      <c r="F288" s="9"/>
      <c r="G288" s="8"/>
      <c r="H288" s="8"/>
      <c r="I288" s="9"/>
      <c r="J288" s="8"/>
      <c r="K288" s="8"/>
      <c r="L288" s="8"/>
    </row>
    <row r="289" spans="1:12" ht="14.45">
      <c r="A289" s="8"/>
      <c r="B289" s="13"/>
      <c r="C289" s="8"/>
      <c r="D289" s="8"/>
      <c r="E289" s="8"/>
      <c r="F289" s="9"/>
      <c r="G289" s="8"/>
      <c r="H289" s="8"/>
      <c r="I289" s="9"/>
      <c r="J289" s="8"/>
      <c r="K289" s="8"/>
      <c r="L289" s="8"/>
    </row>
    <row r="290" spans="1:12" ht="14.45">
      <c r="A290" s="8"/>
      <c r="B290" s="13"/>
      <c r="C290" s="8"/>
      <c r="D290" s="8"/>
      <c r="E290" s="8"/>
      <c r="F290" s="9"/>
      <c r="G290" s="8"/>
      <c r="H290" s="8"/>
      <c r="I290" s="9"/>
      <c r="J290" s="8"/>
      <c r="K290" s="8"/>
      <c r="L290" s="8"/>
    </row>
    <row r="291" spans="1:12" ht="14.45">
      <c r="A291" s="8"/>
      <c r="B291" s="13"/>
      <c r="C291" s="8"/>
      <c r="D291" s="8"/>
      <c r="E291" s="8"/>
      <c r="F291" s="9"/>
      <c r="G291" s="8"/>
      <c r="H291" s="8"/>
      <c r="I291" s="9"/>
      <c r="J291" s="8"/>
      <c r="K291" s="8"/>
      <c r="L291" s="8"/>
    </row>
    <row r="292" spans="1:12" ht="14.45">
      <c r="A292" s="8"/>
      <c r="B292" s="13"/>
      <c r="C292" s="8"/>
      <c r="D292" s="8"/>
      <c r="E292" s="8"/>
      <c r="F292" s="9"/>
      <c r="G292" s="8"/>
      <c r="H292" s="8"/>
      <c r="I292" s="9"/>
      <c r="J292" s="8"/>
      <c r="K292" s="8"/>
      <c r="L292" s="8"/>
    </row>
    <row r="293" spans="1:12" ht="14.45">
      <c r="A293" s="8"/>
      <c r="B293" s="13"/>
      <c r="C293" s="8"/>
      <c r="D293" s="8"/>
      <c r="E293" s="8"/>
      <c r="F293" s="9"/>
      <c r="G293" s="8"/>
      <c r="H293" s="8"/>
      <c r="I293" s="9"/>
      <c r="J293" s="8"/>
      <c r="K293" s="8"/>
      <c r="L293" s="8"/>
    </row>
    <row r="294" spans="1:12" ht="14.45">
      <c r="A294" s="8"/>
      <c r="B294" s="13"/>
      <c r="C294" s="8"/>
      <c r="D294" s="8"/>
      <c r="E294" s="8"/>
      <c r="F294" s="9"/>
      <c r="G294" s="8"/>
      <c r="H294" s="8"/>
      <c r="I294" s="9"/>
      <c r="J294" s="8"/>
      <c r="K294" s="8"/>
      <c r="L294" s="8"/>
    </row>
    <row r="295" spans="1:12" ht="14.45">
      <c r="A295" s="8"/>
      <c r="B295" s="13"/>
      <c r="C295" s="8"/>
      <c r="D295" s="8"/>
      <c r="E295" s="8"/>
      <c r="F295" s="9"/>
      <c r="G295" s="8"/>
      <c r="H295" s="8"/>
      <c r="I295" s="9"/>
      <c r="J295" s="8"/>
      <c r="K295" s="8"/>
      <c r="L295" s="8"/>
    </row>
    <row r="296" spans="1:12" ht="14.45">
      <c r="A296" s="8"/>
      <c r="B296" s="13"/>
      <c r="C296" s="8"/>
      <c r="D296" s="8"/>
      <c r="E296" s="8"/>
      <c r="F296" s="9"/>
      <c r="G296" s="8"/>
      <c r="H296" s="8"/>
      <c r="I296" s="9"/>
      <c r="J296" s="8"/>
      <c r="K296" s="8"/>
      <c r="L296" s="8"/>
    </row>
    <row r="297" spans="1:12" ht="14.45">
      <c r="A297" s="8"/>
      <c r="B297" s="13"/>
      <c r="C297" s="8"/>
      <c r="D297" s="8"/>
      <c r="E297" s="8"/>
      <c r="F297" s="9"/>
      <c r="G297" s="8"/>
      <c r="H297" s="8"/>
      <c r="I297" s="9"/>
      <c r="J297" s="8"/>
      <c r="K297" s="8"/>
      <c r="L297" s="8"/>
    </row>
    <row r="298" spans="1:12" ht="14.45">
      <c r="A298" s="8"/>
      <c r="B298" s="13"/>
      <c r="C298" s="8"/>
      <c r="D298" s="8"/>
      <c r="E298" s="8"/>
      <c r="F298" s="9"/>
      <c r="G298" s="8"/>
      <c r="H298" s="8"/>
      <c r="I298" s="9"/>
      <c r="J298" s="8"/>
      <c r="K298" s="8"/>
      <c r="L298" s="8"/>
    </row>
    <row r="299" spans="1:12" ht="14.45">
      <c r="A299" s="8"/>
      <c r="B299" s="13"/>
      <c r="C299" s="8"/>
      <c r="D299" s="8"/>
      <c r="E299" s="8"/>
      <c r="F299" s="9"/>
      <c r="G299" s="8"/>
      <c r="H299" s="8"/>
      <c r="I299" s="9"/>
      <c r="J299" s="8"/>
      <c r="K299" s="8"/>
      <c r="L299" s="8"/>
    </row>
    <row r="300" spans="1:12" ht="14.45">
      <c r="A300" s="8"/>
      <c r="B300" s="13"/>
      <c r="C300" s="8"/>
      <c r="D300" s="8"/>
      <c r="E300" s="8"/>
      <c r="F300" s="9"/>
      <c r="G300" s="8"/>
      <c r="H300" s="8"/>
      <c r="I300" s="9"/>
      <c r="J300" s="8"/>
      <c r="K300" s="8"/>
      <c r="L300" s="8"/>
    </row>
    <row r="301" spans="1:12" ht="14.45">
      <c r="A301" s="8"/>
      <c r="B301" s="13"/>
      <c r="C301" s="8"/>
      <c r="D301" s="8"/>
      <c r="E301" s="8"/>
      <c r="F301" s="9"/>
      <c r="G301" s="8"/>
      <c r="H301" s="8"/>
      <c r="I301" s="9"/>
      <c r="J301" s="8"/>
      <c r="K301" s="8"/>
      <c r="L301" s="8"/>
    </row>
    <row r="302" spans="1:12" ht="14.45">
      <c r="A302" s="8"/>
      <c r="B302" s="13"/>
      <c r="C302" s="8"/>
      <c r="D302" s="8"/>
      <c r="E302" s="8"/>
      <c r="F302" s="9"/>
      <c r="G302" s="8"/>
      <c r="H302" s="8"/>
      <c r="I302" s="9"/>
      <c r="J302" s="8"/>
      <c r="K302" s="8"/>
      <c r="L302" s="8"/>
    </row>
    <row r="303" spans="1:12" ht="14.45">
      <c r="A303" s="8"/>
      <c r="B303" s="13"/>
      <c r="C303" s="8"/>
      <c r="D303" s="8"/>
      <c r="E303" s="8"/>
      <c r="F303" s="9"/>
      <c r="G303" s="8"/>
      <c r="H303" s="8"/>
      <c r="I303" s="9"/>
      <c r="J303" s="8"/>
      <c r="K303" s="8"/>
      <c r="L303" s="8"/>
    </row>
    <row r="304" spans="1:12" ht="14.45">
      <c r="A304" s="8"/>
      <c r="B304" s="13"/>
      <c r="C304" s="8"/>
      <c r="D304" s="8"/>
      <c r="E304" s="8"/>
      <c r="F304" s="9"/>
      <c r="G304" s="8"/>
      <c r="H304" s="8"/>
      <c r="I304" s="9"/>
      <c r="J304" s="8"/>
      <c r="K304" s="8"/>
      <c r="L304" s="8"/>
    </row>
    <row r="305" spans="1:12" ht="14.45">
      <c r="A305" s="8"/>
      <c r="B305" s="13"/>
      <c r="C305" s="8"/>
      <c r="D305" s="8"/>
      <c r="E305" s="8"/>
      <c r="F305" s="9"/>
      <c r="G305" s="8"/>
      <c r="H305" s="8"/>
      <c r="I305" s="9"/>
      <c r="J305" s="8"/>
      <c r="K305" s="8"/>
      <c r="L305" s="8"/>
    </row>
    <row r="306" spans="1:12" ht="14.45">
      <c r="A306" s="8"/>
      <c r="B306" s="13"/>
      <c r="C306" s="8"/>
      <c r="D306" s="8"/>
      <c r="E306" s="8"/>
      <c r="F306" s="9"/>
      <c r="G306" s="8"/>
      <c r="H306" s="8"/>
      <c r="I306" s="9"/>
      <c r="J306" s="8"/>
      <c r="K306" s="8"/>
      <c r="L306" s="8"/>
    </row>
    <row r="307" spans="1:12" ht="14.45">
      <c r="A307" s="8"/>
      <c r="B307" s="13"/>
      <c r="C307" s="8"/>
      <c r="D307" s="8"/>
      <c r="E307" s="8"/>
      <c r="F307" s="9"/>
      <c r="G307" s="8"/>
      <c r="H307" s="8"/>
      <c r="I307" s="9"/>
      <c r="J307" s="8"/>
      <c r="K307" s="8"/>
      <c r="L307" s="8"/>
    </row>
    <row r="308" spans="1:12" ht="14.45">
      <c r="A308" s="8"/>
      <c r="B308" s="13"/>
      <c r="C308" s="8"/>
      <c r="D308" s="8"/>
      <c r="E308" s="8"/>
      <c r="F308" s="9"/>
      <c r="G308" s="8"/>
      <c r="H308" s="8"/>
      <c r="I308" s="9"/>
      <c r="J308" s="8"/>
      <c r="K308" s="8"/>
      <c r="L308" s="8"/>
    </row>
    <row r="309" spans="1:12" ht="14.45">
      <c r="A309" s="8"/>
      <c r="B309" s="13"/>
      <c r="C309" s="8"/>
      <c r="D309" s="8"/>
      <c r="E309" s="8"/>
      <c r="F309" s="9"/>
      <c r="G309" s="8"/>
      <c r="H309" s="8"/>
      <c r="I309" s="9"/>
      <c r="J309" s="8"/>
      <c r="K309" s="8"/>
      <c r="L309" s="8"/>
    </row>
    <row r="310" spans="1:12" ht="14.45">
      <c r="A310" s="8"/>
      <c r="B310" s="13"/>
      <c r="C310" s="8"/>
      <c r="D310" s="8"/>
      <c r="E310" s="8"/>
      <c r="F310" s="9"/>
      <c r="G310" s="8"/>
      <c r="H310" s="8"/>
      <c r="I310" s="9"/>
      <c r="J310" s="8"/>
      <c r="K310" s="8"/>
      <c r="L310" s="8"/>
    </row>
    <row r="311" spans="1:12" ht="14.45">
      <c r="A311" s="8"/>
      <c r="B311" s="13"/>
      <c r="C311" s="8"/>
      <c r="D311" s="8"/>
      <c r="E311" s="8"/>
      <c r="F311" s="9"/>
      <c r="G311" s="8"/>
      <c r="H311" s="8"/>
      <c r="I311" s="9"/>
      <c r="J311" s="8"/>
      <c r="K311" s="8"/>
      <c r="L311" s="8"/>
    </row>
    <row r="312" spans="1:12" ht="14.45">
      <c r="A312" s="8"/>
      <c r="B312" s="13"/>
      <c r="C312" s="8"/>
      <c r="D312" s="8"/>
      <c r="E312" s="8"/>
      <c r="F312" s="9"/>
      <c r="G312" s="8"/>
      <c r="H312" s="8"/>
      <c r="I312" s="9"/>
      <c r="J312" s="8"/>
      <c r="K312" s="8"/>
      <c r="L312" s="8"/>
    </row>
    <row r="313" spans="1:12" ht="14.45">
      <c r="A313" s="8"/>
      <c r="B313" s="13"/>
      <c r="C313" s="8"/>
      <c r="D313" s="8"/>
      <c r="E313" s="8"/>
      <c r="F313" s="9"/>
      <c r="G313" s="8"/>
      <c r="H313" s="8"/>
      <c r="I313" s="9"/>
      <c r="J313" s="8"/>
      <c r="K313" s="8"/>
      <c r="L313" s="8"/>
    </row>
    <row r="314" spans="1:12" ht="14.45">
      <c r="A314" s="8"/>
      <c r="B314" s="13"/>
      <c r="C314" s="8"/>
      <c r="D314" s="8"/>
      <c r="E314" s="8"/>
      <c r="F314" s="9"/>
      <c r="G314" s="8"/>
      <c r="H314" s="8"/>
      <c r="I314" s="9"/>
      <c r="J314" s="8"/>
      <c r="K314" s="8"/>
      <c r="L314" s="8"/>
    </row>
    <row r="315" spans="1:12" ht="14.45">
      <c r="A315" s="8"/>
      <c r="B315" s="13"/>
      <c r="C315" s="8"/>
      <c r="D315" s="8"/>
      <c r="E315" s="8"/>
      <c r="F315" s="9"/>
      <c r="G315" s="8"/>
      <c r="H315" s="8"/>
      <c r="I315" s="9"/>
      <c r="J315" s="8"/>
      <c r="K315" s="8"/>
      <c r="L315" s="8"/>
    </row>
    <row r="316" spans="1:12" ht="14.45">
      <c r="A316" s="8"/>
      <c r="B316" s="13"/>
      <c r="C316" s="8"/>
      <c r="D316" s="8"/>
      <c r="E316" s="8"/>
      <c r="F316" s="9"/>
      <c r="G316" s="8"/>
      <c r="H316" s="8"/>
      <c r="I316" s="9"/>
      <c r="J316" s="8"/>
      <c r="K316" s="8"/>
      <c r="L316" s="8"/>
    </row>
    <row r="317" spans="1:12" ht="14.45">
      <c r="A317" s="8"/>
      <c r="B317" s="13"/>
      <c r="C317" s="8"/>
      <c r="D317" s="8"/>
      <c r="E317" s="8"/>
      <c r="F317" s="9"/>
      <c r="G317" s="8"/>
      <c r="H317" s="8"/>
      <c r="I317" s="9"/>
      <c r="J317" s="8"/>
      <c r="K317" s="8"/>
      <c r="L317" s="8"/>
    </row>
    <row r="318" spans="1:12" ht="14.45">
      <c r="A318" s="8"/>
      <c r="B318" s="13"/>
      <c r="C318" s="8"/>
      <c r="D318" s="8"/>
      <c r="E318" s="8"/>
      <c r="F318" s="9"/>
      <c r="G318" s="8"/>
      <c r="H318" s="8"/>
      <c r="I318" s="9"/>
      <c r="J318" s="8"/>
      <c r="K318" s="8"/>
      <c r="L318" s="8"/>
    </row>
    <row r="319" spans="1:12" ht="14.45">
      <c r="A319" s="8"/>
      <c r="B319" s="13"/>
      <c r="C319" s="8"/>
      <c r="D319" s="8"/>
      <c r="E319" s="8"/>
      <c r="F319" s="9"/>
      <c r="G319" s="8"/>
      <c r="H319" s="8"/>
      <c r="I319" s="9"/>
      <c r="J319" s="8"/>
      <c r="K319" s="8"/>
      <c r="L319" s="8"/>
    </row>
    <row r="320" spans="1:12" ht="14.45">
      <c r="A320" s="8"/>
      <c r="B320" s="13"/>
      <c r="C320" s="8"/>
      <c r="D320" s="8"/>
      <c r="E320" s="8"/>
      <c r="F320" s="9"/>
      <c r="G320" s="8"/>
      <c r="H320" s="8"/>
      <c r="I320" s="9"/>
      <c r="J320" s="8"/>
      <c r="K320" s="8"/>
      <c r="L320" s="8"/>
    </row>
  </sheetData>
  <mergeCells count="4">
    <mergeCell ref="D1:F1"/>
    <mergeCell ref="A1:C1"/>
    <mergeCell ref="G1:I1"/>
    <mergeCell ref="A2:B2"/>
  </mergeCells>
  <conditionalFormatting sqref="F2 I2 F4:F85 I4:I85">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9290" xr:uid="{B8D1A561-A66A-4090-AA9A-10AD8B206F7D}"/>
    <hyperlink ref="K5" r:id="rId2" display="https://us3.assetplanner.com/service_request?ID=105924" xr:uid="{0ED60D90-5375-432F-B3D8-E1971DA162EB}"/>
    <hyperlink ref="M5" r:id="rId3" display="https://us3.assetplanner.com/service_request?ID=105701" xr:uid="{CAC38E09-7FE3-46F6-82FF-CD08E02FE21A}"/>
    <hyperlink ref="N5" r:id="rId4" display="https://us3.assetplanner.com/service_request?ID=105688" xr:uid="{F6C72A23-74D7-4723-8C29-8A1C70B754D6}"/>
    <hyperlink ref="K7" r:id="rId5" display="https://us3.assetplanner.com/service_request?ID=115692" xr:uid="{CC00BD63-F5DB-4ED8-85C4-F093E1C90ADA}"/>
    <hyperlink ref="K8" r:id="rId6" display="https://us3.assetplanner.com/service_request?ID=114624" xr:uid="{0CB41315-3CED-45D6-A97F-595348B67269}"/>
    <hyperlink ref="M8" r:id="rId7" display="https://us3.assetplanner.com/service_request?ID=110158" xr:uid="{430FF67A-7CA6-432F-A7E5-A644A1B44B41}"/>
    <hyperlink ref="K16" r:id="rId8" display="https://us3.assetplanner.com/service_request?ID=108311" xr:uid="{3BD7F9D6-6001-40B1-A246-69389A308EA1}"/>
    <hyperlink ref="K17" r:id="rId9" display="https://us3.assetplanner.com/service_request?ID=109222" xr:uid="{4E5DB58A-156B-4D4B-8B7A-218CC124A1FE}"/>
    <hyperlink ref="M17" r:id="rId10" display="https://us3.assetplanner.com/service_request?ID=108705" xr:uid="{8FB5AEC5-AC7A-4359-B7E1-46564E4DED5A}"/>
    <hyperlink ref="K19" r:id="rId11" display="https://us3.assetplanner.com/service_request?ID=098076" xr:uid="{A768A59C-40C9-44B7-A441-E54D5B50A76E}"/>
    <hyperlink ref="M19" r:id="rId12" display="https://us3.assetplanner.com/service_request?ID=110133" xr:uid="{2A2DEC14-411F-400E-90F7-10C4B795D9BB}"/>
    <hyperlink ref="N19" r:id="rId13" display="https://us3.assetplanner.com/service_request?ID=107579" xr:uid="{F9E45F1D-F605-4CAB-B130-CC09183D22B0}"/>
    <hyperlink ref="K20" r:id="rId14" display="https://us3.assetplanner.com/service_request?ID=108704" xr:uid="{357FD543-0F9A-414C-9927-8645B997FC0D}"/>
    <hyperlink ref="K21" r:id="rId15" display="https://us3.assetplanner.com/service_request?ID=106483" xr:uid="{CDFEBA44-818B-465A-9426-E2C62B41A36C}"/>
    <hyperlink ref="M21" r:id="rId16" display="https://us3.assetplanner.com/service_request?ID=106514" xr:uid="{53FCD25A-C4FB-41B1-ABD2-372321CD021C}"/>
    <hyperlink ref="N21" r:id="rId17" display="https://us3.assetplanner.com/service_request?ID=104354" xr:uid="{DA215C0B-BE39-40D2-AA01-9EC236A63F0B}"/>
    <hyperlink ref="O21" r:id="rId18" display="https://us3.assetplanner.com/service_request?ID=106806" xr:uid="{22A2A73D-6A58-43D8-BAAB-BC7F33329B62}"/>
    <hyperlink ref="P21" r:id="rId19" display="https://us3.assetplanner.com/service_request?ID=107509" xr:uid="{B2463ECE-7FD5-49A1-AB8B-2CBC7DBE9A5E}"/>
    <hyperlink ref="K23" r:id="rId20" display="https://us3.assetplanner.com/service_request?ID=109147" xr:uid="{09790FB8-2A99-4100-B7C6-A205706E7641}"/>
    <hyperlink ref="M23" r:id="rId21" display="https://us3.assetplanner.com/service_request?ID=112641" xr:uid="{01F75C75-DC1F-4366-A582-FEA2E3FDA4F0}"/>
    <hyperlink ref="K25" r:id="rId22" display="https://us3.assetplanner.com/service_request?ID=105489" xr:uid="{99D0F43C-0AE3-4213-8B18-210FF70CE92D}"/>
    <hyperlink ref="K26" r:id="rId23" display="https://us3.assetplanner.com/service_request?ID=113188" xr:uid="{ACCB7B53-F7FD-42CF-B09D-E77CE900F9D6}"/>
    <hyperlink ref="K29" r:id="rId24" display="https://us3.assetplanner.com/service_request?ID=104781" xr:uid="{46946455-5380-4455-B432-34D95140FB01}"/>
    <hyperlink ref="K32" r:id="rId25" display="https://us3.assetplanner.com/service_request?ID=106508" xr:uid="{ACBA65D4-F700-4F0C-AC43-E02D1A5B59B3}"/>
    <hyperlink ref="K33" r:id="rId26" display="https://us3.assetplanner.com/service_request?ID=105762" xr:uid="{70088CE7-7A1D-48E9-8CEE-789DB179E474}"/>
    <hyperlink ref="K40" r:id="rId27" display="https://us3.assetplanner.com/service_request?ID=113922" xr:uid="{C1A1F280-D750-4E73-9E78-B9067E212761}"/>
    <hyperlink ref="M40" r:id="rId28" display="https://us3.assetplanner.com/service_request?ID=114083" xr:uid="{41D45B83-FA1D-48C6-95F9-BB519C498F34}"/>
    <hyperlink ref="K41" r:id="rId29" display="https://us3.assetplanner.com/service_request?ID=101818" xr:uid="{F781A2D4-F67A-4E52-8386-29C58D1F8F52}"/>
    <hyperlink ref="K42" r:id="rId30" display="https://us3.assetplanner.com/service_request?ID=111395" xr:uid="{807363EC-00BE-49C7-9A78-538BBA309024}"/>
    <hyperlink ref="M42" r:id="rId31" display="https://us3.assetplanner.com/service_request?ID=101034" xr:uid="{F5909093-A75D-4925-A1BB-40738354620A}"/>
    <hyperlink ref="K43" r:id="rId32" display="https://us3.assetplanner.com/service_request?ID=101021" xr:uid="{2B4FFD47-7380-449D-A47F-904078CD86C5}"/>
    <hyperlink ref="K44" r:id="rId33" display="https://us3.assetplanner.com/service_request?ID=100915" xr:uid="{47C53D40-377F-4EA5-A62F-36E9A844F528}"/>
    <hyperlink ref="M44" r:id="rId34" display="https://us3.assetplanner.com/service_request?ID=104930" xr:uid="{80793438-AC00-421A-80B7-74B257901006}"/>
    <hyperlink ref="K45" r:id="rId35" display="https://us3.assetplanner.com/service_request?ID=105369" xr:uid="{87CE8E62-B7E5-4314-B1AC-1C98ED01A87C}"/>
    <hyperlink ref="M45" r:id="rId36" display="https://us3.assetplanner.com/service_request?ID=105366" xr:uid="{06038079-24E0-435E-ACDD-26443FB67430}"/>
    <hyperlink ref="K46" r:id="rId37" display="https://us3.assetplanner.com/service_request?ID=105192" xr:uid="{9415726A-1E53-4523-9880-B77F20113F9B}"/>
    <hyperlink ref="M46" r:id="rId38" display="https://us3.assetplanner.com/service_request?ID=106435" xr:uid="{F6C6CB26-4769-4ADC-A3B7-2C2CD1AA99BA}"/>
    <hyperlink ref="N46" r:id="rId39" display="https://us3.assetplanner.com/service_request?ID=106650" xr:uid="{6CCA20A9-CF4A-4900-BBAB-6076DA6C20CC}"/>
    <hyperlink ref="O46" r:id="rId40" display="https://us3.assetplanner.com/service_request?ID=113923" xr:uid="{89F92E27-202E-44B9-80EE-BD5A7DE955E3}"/>
    <hyperlink ref="K47" r:id="rId41" display="https://us3.assetplanner.com/service_request?ID=102419" xr:uid="{E465DDB7-00C6-4853-8627-2D6C7BE10BAF}"/>
    <hyperlink ref="M47" r:id="rId42" display="https://us3.assetplanner.com/service_request?ID=105494" xr:uid="{FB537EEC-31AC-4611-9C5D-9B57B7E998FB}"/>
    <hyperlink ref="N47" r:id="rId43" display="https://us3.assetplanner.com/service_request?ID=107209" xr:uid="{C3218A23-24C3-4BF9-BDF0-8EF76466F96A}"/>
    <hyperlink ref="K48" r:id="rId44" display="https://us3.assetplanner.com/service_request?ID=108846" xr:uid="{944AF992-3137-4520-A098-56B7930C2900}"/>
    <hyperlink ref="M48" r:id="rId45" display="https://us3.assetplanner.com/service_request?ID=109533" xr:uid="{FD5E6660-A40D-4455-835E-70B24F348D3D}"/>
    <hyperlink ref="N48" r:id="rId46" display="https://us3.assetplanner.com/service_request?ID=102283" xr:uid="{1EABC44B-4FB2-40B3-A8F9-C0599E4C83C2}"/>
    <hyperlink ref="K49" r:id="rId47" display="https://us3.assetplanner.com/service_request?ID=102418" xr:uid="{F2C0648B-E068-414D-9502-F6B449ADAAAE}"/>
    <hyperlink ref="K50" r:id="rId48" display="https://us3.assetplanner.com/service_request?ID=102416" xr:uid="{920F3D34-FFCC-4030-9711-EA6EAC253B7B}"/>
    <hyperlink ref="M50" r:id="rId49" display="https://us3.assetplanner.com/service_request?ID=105908" xr:uid="{CD4581AA-9D7F-4AEB-874B-5F6D1DA1C4FC}"/>
    <hyperlink ref="K51" r:id="rId50" display="https://us3.assetplanner.com/service_request?ID=102392" xr:uid="{DA1ABD28-E02E-4C59-8342-2C9B546C6F1D}"/>
    <hyperlink ref="K52" r:id="rId51" display="https://us3.assetplanner.com/service_request?ID=102321" xr:uid="{FA1DBA72-65F6-491B-8954-D617FF5BFAB9}"/>
    <hyperlink ref="M52" r:id="rId52" display="https://us3.assetplanner.com/service_request?ID=103636" xr:uid="{25920E9E-A6F0-4585-A187-421C82FBD30C}"/>
    <hyperlink ref="N52" r:id="rId53" display="https://us3.assetplanner.com/service_request?ID=102539" xr:uid="{B3F8ADF6-EC46-48A1-9BC1-AE5BBB7A4914}"/>
    <hyperlink ref="O52" r:id="rId54" display="https://us3.assetplanner.com/service_request?ID=104882" xr:uid="{842F368E-AF45-4249-94F7-25BEB387FF6F}"/>
    <hyperlink ref="K53" r:id="rId55" display="https://us3.assetplanner.com/service_request?ID=102320" xr:uid="{F55622A0-FFC5-4DF4-A0B3-C3E6BACD4542}"/>
    <hyperlink ref="K54" r:id="rId56" display="https://us3.assetplanner.com/service_request?ID=102317" xr:uid="{6997AAA2-2FF7-439A-97D3-1320C4A96080}"/>
    <hyperlink ref="K55" r:id="rId57" display="https://us3.assetplanner.com/service_request?ID=108297" xr:uid="{1D98F844-0964-4FFE-976D-8CE1B7B468CF}"/>
    <hyperlink ref="M55" r:id="rId58" display="https://us3.assetplanner.com/service_request?ID=108307" xr:uid="{DFE8160A-8D97-4D3F-BAA4-29580EE046EE}"/>
    <hyperlink ref="N55" r:id="rId59" display="https://us3.assetplanner.com/service_request?ID=108307" xr:uid="{9228B487-F8F1-4899-99C6-D3B5D774D8CE}"/>
    <hyperlink ref="O55" r:id="rId60" display="https://us3.assetplanner.com/service_request?ID=109599" xr:uid="{7BC0E3DE-3F3C-4EF5-B4CB-DAFDD2CE0724}"/>
    <hyperlink ref="P55" r:id="rId61" display="https://us3.assetplanner.com/service_request?ID=113148" xr:uid="{B9F6CB83-9BB4-4FF9-A72B-43AFB1200545}"/>
    <hyperlink ref="Q55" r:id="rId62" display="https://us3.assetplanner.com/service_request?ID=114305" xr:uid="{8A9C9E40-2E86-4EF4-B0EA-EDB7807E9E46}"/>
    <hyperlink ref="R55" r:id="rId63" display="https://us3.assetplanner.com/service_request?ID=114561" xr:uid="{8470C230-5AF4-467B-BA6F-08ECAD56CB79}"/>
    <hyperlink ref="K56" r:id="rId64" display="https://us3.assetplanner.com/service_request?ID=102286" xr:uid="{0A9EC159-392E-40C3-A079-843B68D0E25F}"/>
    <hyperlink ref="M56" r:id="rId65" display="https://us3.assetplanner.com/service_request?ID=111280" xr:uid="{34BBC57D-239F-4799-94AE-7819AC273A06}"/>
    <hyperlink ref="N56" r:id="rId66" display="https://us3.assetplanner.com/service_request?ID=107512" xr:uid="{C7BE2001-C1C2-4AF0-A45B-72530EA73444}"/>
    <hyperlink ref="O56" r:id="rId67" display="https://us3.assetplanner.com/service_request?ID=115327" xr:uid="{FFA4E868-1839-436E-8905-3B05F4101ED2}"/>
    <hyperlink ref="K57" r:id="rId68" display="https://us3.assetplanner.com/service_request?ID=102281" xr:uid="{62BE5F50-309E-43B2-A987-7FE8E58364AF}"/>
    <hyperlink ref="K58" r:id="rId69" display="https://us3.assetplanner.com/service_request?ID=109629" xr:uid="{79AFC434-66E2-4CFD-A221-2F1E9B4D10DA}"/>
    <hyperlink ref="K59" r:id="rId70" display="https://us3.assetplanner.com/service_request?ID=101986" xr:uid="{B2BF3B69-85B2-4241-9A8E-6F6A1FEFC310}"/>
    <hyperlink ref="M59" r:id="rId71" display="https://us3.assetplanner.com/service_request?ID=102503" xr:uid="{3D0BB45A-5C4C-436E-A9CA-EC22763D60C5}"/>
    <hyperlink ref="K60" r:id="rId72" display="https://us3.assetplanner.com/service_request?ID=102451" xr:uid="{50619D02-7802-4038-A0D4-567B21C70EDB}"/>
    <hyperlink ref="K61" r:id="rId73" display="https://us3.assetplanner.com/service_request?ID=102321" xr:uid="{B8D8ABA5-352A-48B8-BF78-BFE4BDD26122}"/>
    <hyperlink ref="M61" r:id="rId74" display="https://us3.assetplanner.com/service_request?ID=108902" xr:uid="{D4725A98-E021-44E8-9215-E8DC75EC6777}"/>
    <hyperlink ref="N61" r:id="rId75" display="https://us3.assetplanner.com/service_request?ID=103636" xr:uid="{1500A584-93F8-4E69-B42B-8D109E7A2C4F}"/>
    <hyperlink ref="O61" r:id="rId76" display="https://us3.assetplanner.com/service_request?ID=102539" xr:uid="{B98E6112-4F62-486E-9E9E-D70716CC1A0F}"/>
    <hyperlink ref="P61" r:id="rId77" display="https://us3.assetplanner.com/service_request?ID=104882" xr:uid="{B31A5A6B-33A7-44FE-8255-B58CF0F11560}"/>
    <hyperlink ref="K62" r:id="rId78" display="https://us3.assetplanner.com/service_request?ID=102329" xr:uid="{BBF35916-E75E-4FFA-AE4B-A4C10682849B}"/>
    <hyperlink ref="M62" r:id="rId79" display="https://us3.assetplanner.com/service_request?ID=108904" xr:uid="{9071A116-D08A-4547-93F1-3A531C2C1607}"/>
    <hyperlink ref="N62" r:id="rId80" display="https://us3.assetplanner.com/service_request?ID=112399" xr:uid="{50E6C472-898C-4C30-8BA9-C4F9361905BB}"/>
    <hyperlink ref="O62" r:id="rId81" display="https://us3.assetplanner.com/service_request?ID=106828" xr:uid="{FB5CE613-BDC0-4291-8155-B02664505B95}"/>
    <hyperlink ref="P62" r:id="rId82" display="https://us3.assetplanner.com/service_request?ID=109164" xr:uid="{25516F6A-9559-4521-B541-D8F08FB96ED5}"/>
    <hyperlink ref="Q62" r:id="rId83" display="https://us3.assetplanner.com/service_request?ID=108904" xr:uid="{C1169933-27BB-42B8-BAA5-3DF921EE11BE}"/>
    <hyperlink ref="R62" r:id="rId84" display="https://us3.assetplanner.com/service_request?ID=114119" xr:uid="{AD77E427-1CCC-4011-A325-C753795D76D1}"/>
    <hyperlink ref="S62" r:id="rId85" display="https://us3.assetplanner.com/service_request?ID=114307" xr:uid="{350DE7A3-BD04-4DF4-9A3D-3ED129907397}"/>
    <hyperlink ref="T62" r:id="rId86" display="https://us3.assetplanner.com/service_request?ID=114833" xr:uid="{F7E1FC34-5F39-44A3-B7F8-701C204BD102}"/>
    <hyperlink ref="K63" r:id="rId87" display="https://us3.assetplanner.com/service_request?ID=102303" xr:uid="{6F6904E8-BA8E-4285-953C-EFB1C921ED39}"/>
    <hyperlink ref="M63" r:id="rId88" display="https://us3.assetplanner.com/service_request?ID=111390" xr:uid="{C91B1C33-3511-4504-8E66-E9F3E0EE795B}"/>
    <hyperlink ref="K64" r:id="rId89" display="https://us3.assetplanner.com/service_request?ID=102411" xr:uid="{7529A6DD-2442-45CD-9825-F2A81C5D2DAE}"/>
    <hyperlink ref="M64" r:id="rId90" display="https://us3.assetplanner.com/service_request?ID=111741" xr:uid="{F1AB25F2-15A8-45DA-831E-1226D40DE1CB}"/>
    <hyperlink ref="N64" r:id="rId91" display="https://us3.assetplanner.com/service_request?ID=115085" xr:uid="{0759DD31-6E07-40CB-A38E-6EB213E5C9C3}"/>
    <hyperlink ref="K65" r:id="rId92" display="https://us3.assetplanner.com/service_request?ID=106531" xr:uid="{CE6E0E68-A3F0-480F-A6E9-2EA81FF534C4}"/>
    <hyperlink ref="M65" r:id="rId93" display="https://us3.assetplanner.com/service_request?ID=111359" xr:uid="{99D75881-3ECB-4104-9C41-A9DCC919A991}"/>
    <hyperlink ref="N65" r:id="rId94" display="https://us3.assetplanner.com/service_request?ID=112903" xr:uid="{15004895-7CCF-4AA3-BF40-AC021EC8468A}"/>
    <hyperlink ref="O65" r:id="rId95" display="https://us3.assetplanner.com/service_request?ID=114900" xr:uid="{1B8731EE-5973-4221-94B1-13720A4810BB}"/>
    <hyperlink ref="K66" r:id="rId96" display="https://us3.assetplanner.com/service_request?ID=108501" xr:uid="{90F046C4-BCDF-4C4D-9AC6-2843FC58023B}"/>
    <hyperlink ref="M66" r:id="rId97" display="https://us3.assetplanner.com/service_request?ID=107991" xr:uid="{3D8E314C-0D09-49F5-AE26-7AEBBB9ECED9}"/>
    <hyperlink ref="N66" r:id="rId98" display="https://us3.assetplanner.com/service_request?ID=102310" xr:uid="{6E25EAE2-58C1-4CCA-AE5A-FF92A11B2398}"/>
    <hyperlink ref="K67" r:id="rId99" display="https://us3.assetplanner.com/service_request?ID=104289" xr:uid="{67C7D0E9-7854-47D8-AC83-5F5692A1EFC7}"/>
    <hyperlink ref="K68" r:id="rId100" display="https://us3.assetplanner.com/service_request?ID=102450" xr:uid="{000E8526-7389-4DEB-9DF9-9D9E7ED6EF58}"/>
    <hyperlink ref="M68" r:id="rId101" display="https://us3.assetplanner.com/service_request?ID=112667" xr:uid="{4A9309CC-E8E3-4C75-8BDF-DB7746CEA371}"/>
    <hyperlink ref="N68" r:id="rId102" display="https://us3.assetplanner.com/service_request?ID=110375" xr:uid="{77C0A82C-8E9E-4EBF-9645-B8B1299E52E8}"/>
    <hyperlink ref="K69" r:id="rId103" display="https://us3.assetplanner.com/service_request?ID=102413" xr:uid="{BB6A657B-57DD-49C6-979D-0272A2AF9995}"/>
    <hyperlink ref="M69" r:id="rId104" display="https://us3.assetplanner.com/service_request?ID=108898" xr:uid="{63D33AAA-EDD4-4EA9-8E1A-905D558D5728}"/>
    <hyperlink ref="N69" r:id="rId105" display="https://us3.assetplanner.com/service_request?ID=113594" xr:uid="{2D94F9D0-4B60-4900-AC5C-0DAF7AD0C76E}"/>
    <hyperlink ref="K70" r:id="rId106" display="https://us3.assetplanner.com/service_request?ID=106842" xr:uid="{770827F0-A0C2-4EBD-896D-AF1256DDD93B}"/>
    <hyperlink ref="M70" r:id="rId107" display="https://us3.assetplanner.com/service_request?ID=102425" xr:uid="{2D9685C4-8957-4328-9F1C-803AA98E516B}"/>
    <hyperlink ref="K71" r:id="rId108" display="https://us3.assetplanner.com/service_request?ID=102820" xr:uid="{F0B4C5CF-FCBB-41C1-B469-6FCB31939325}"/>
    <hyperlink ref="M71" r:id="rId109" display="https://us3.assetplanner.com/service_request?ID=104290" xr:uid="{BF640F92-4F2D-469B-A204-FB1AC4591BB5}"/>
    <hyperlink ref="N71" r:id="rId110" display="https://us3.assetplanner.com/service_request?ID=114471" xr:uid="{408227A0-EE2F-44B2-B4A0-551B10FF2C52}"/>
    <hyperlink ref="O71" r:id="rId111" display="https://us3.assetplanner.com/service_request?ID=114639" xr:uid="{196C294E-5FB5-4F95-B3D3-2C3F4F29B7FF}"/>
    <hyperlink ref="K72" r:id="rId112" display="https://us3.assetplanner.com/service_request?ID=102424" xr:uid="{AAEC1EF6-C7CC-4B82-AF95-967BA8018315}"/>
    <hyperlink ref="M72" r:id="rId113" display="https://us3.assetplanner.com/service_request?ID=112051" xr:uid="{10863A2F-8653-4D95-AE46-822B12A4785A}"/>
    <hyperlink ref="K73" r:id="rId114" display="https://us3.assetplanner.com/service_request?ID=102423" xr:uid="{BFC9D34A-2D6E-45EF-A418-226E29A72CC6}"/>
    <hyperlink ref="M73" r:id="rId115" display="https://us3.assetplanner.com/service_request?ID=108298" xr:uid="{2D5195AF-F2E1-41AF-83DC-B7B633F26499}"/>
    <hyperlink ref="K74" r:id="rId116" display="https://us3.assetplanner.com/service_request?ID=102421" xr:uid="{6D6F4418-9DA6-4FE2-ABC1-D82A349A3C0A}"/>
    <hyperlink ref="M74" r:id="rId117" display="https://us3.assetplanner.com/service_request?ID=108404" xr:uid="{75E9D3EC-76FC-4C69-AEE4-B2D53A85A5B3}"/>
    <hyperlink ref="K75" r:id="rId118" display="https://us3.assetplanner.com/service_request?ID=102420" xr:uid="{FF564344-2F1D-4766-B8B5-0E1A0488CB86}"/>
    <hyperlink ref="M75" r:id="rId119" display="https://us3.assetplanner.com/service_request?ID=109601" xr:uid="{3F10ED83-34AF-4CDC-B354-1A309DA08B52}"/>
    <hyperlink ref="N75" r:id="rId120" display="https://us3.assetplanner.com/service_request?ID=109601" xr:uid="{D00EC10E-6360-4DD5-B2A0-CFA6B856357C}"/>
    <hyperlink ref="K76" r:id="rId121" display="https://us3.assetplanner.com/service_request?ID=108494" xr:uid="{660206EF-DC55-4CDE-A12E-3E84E6AD33FB}"/>
    <hyperlink ref="M76" r:id="rId122" display="https://us3.assetplanner.com/service_request?ID=106851" xr:uid="{93210745-3752-447D-A1E7-EBE86D9F79DA}"/>
    <hyperlink ref="N76" r:id="rId123" display="https://us3.assetplanner.com/service_request?ID=107231" xr:uid="{2D196867-73D6-4C6A-AA1A-74E5BCF6F3B1}"/>
    <hyperlink ref="O76" r:id="rId124" display="https://us3.assetplanner.com/service_request?ID=110121" xr:uid="{9D5A002C-6D15-4E4B-A5AC-9CCC049D315D}"/>
    <hyperlink ref="K77" r:id="rId125" display="https://us3.assetplanner.com/service_request?ID=108282" xr:uid="{AC99D9CF-96EF-42A3-B07F-AFBF4CDA9ACE}"/>
    <hyperlink ref="M77" r:id="rId126" display="https://us3.assetplanner.com/service_request?ID=103868" xr:uid="{6D052263-0307-4480-B2DE-A041F659E30B}"/>
    <hyperlink ref="N77" r:id="rId127" display="https://us3.assetplanner.com/service_request?ID=114048" xr:uid="{9099803B-11F1-48D9-BB8C-10B8AA4A97D2}"/>
    <hyperlink ref="K78" r:id="rId128" display="https://us3.assetplanner.com/service_request?ID=103867" xr:uid="{D868043F-181C-478C-9632-183C550159C8}"/>
    <hyperlink ref="M78" r:id="rId129" display="https://us3.assetplanner.com/service_request?ID=110350" xr:uid="{2A59C699-7106-4259-9D2B-E3E3E899D893}"/>
    <hyperlink ref="N78" r:id="rId130" display="https://us3.assetplanner.com/service_request?ID=114316" xr:uid="{01A5C6F9-40B5-4538-A836-607A9ABD4671}"/>
    <hyperlink ref="K79" r:id="rId131" display="https://us3.assetplanner.com/service_request?ID=103866" xr:uid="{0436167C-FB15-4944-B9A6-9193E257705F}"/>
    <hyperlink ref="K80" r:id="rId132" display="https://us3.assetplanner.com/service_request?ID=104456" xr:uid="{5C38A676-995C-4EBE-892E-43785D6A9334}"/>
    <hyperlink ref="M80" r:id="rId133" display="https://us3.assetplanner.com/service_request?ID=112258" xr:uid="{228DC7D9-1ED3-481B-93E5-3CB09EDDE639}"/>
    <hyperlink ref="K81" r:id="rId134" display="https://us3.assetplanner.com/service_request?ID=110610" xr:uid="{B0942843-B2A4-4659-B480-6D0ADEF9CDE9}"/>
    <hyperlink ref="M81" r:id="rId135" display="https://us3.assetplanner.com/service_request?ID=112837" xr:uid="{84CE27EE-6185-44D1-BAAE-205626AD79B3}"/>
    <hyperlink ref="K83" r:id="rId136" display="https://us3.assetplanner.com/service_request?ID=114291" xr:uid="{D3338C22-DB1E-4AEC-B0E6-F37C4C74A7CD}"/>
    <hyperlink ref="M83" r:id="rId137" display="https://us3.assetplanner.com/service_request?ID=114927" xr:uid="{B67C6FA3-C541-41E4-9943-9602FEAD42BD}"/>
    <hyperlink ref="K84" r:id="rId138" display="https://us3.assetplanner.com/service_request?ID=106885" xr:uid="{A8D7C193-6074-44D6-8A3F-86D587547BEC}"/>
    <hyperlink ref="M84" r:id="rId139" display="https://us3.assetplanner.com/service_request?ID=102281" xr:uid="{15ED8498-F6DC-491C-9502-C35B85EF3589}"/>
    <hyperlink ref="N84" r:id="rId140" display="https://us3.assetplanner.com/service_request?ID=115525" xr:uid="{031D3DE6-DAB0-488D-9000-F9524B0903F0}"/>
  </hyperlinks>
  <pageMargins left="0.4" right="0.7" top="0.25" bottom="0.25" header="0.3" footer="0.3"/>
  <pageSetup fitToHeight="99" orientation="landscape" r:id="rId14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50" zoomScaleNormal="50" workbookViewId="0">
      <pane xSplit="2" ySplit="3" topLeftCell="C23" activePane="bottomRight" state="frozen"/>
      <selection pane="bottomRight" activeCell="J4" sqref="J4:M7"/>
      <selection pane="bottomLeft" activeCell="J4" sqref="J4:Y85"/>
      <selection pane="topRight" activeCell="J4" sqref="J4:Y85"/>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122" t="str" cm="1">
        <f t="array" ref="A1">portfolio</f>
        <v>Clean Capital</v>
      </c>
      <c r="B1" s="122"/>
      <c r="C1" s="122"/>
      <c r="D1" s="123" t="s">
        <v>268</v>
      </c>
      <c r="E1" s="123"/>
      <c r="F1" s="123"/>
      <c r="G1" s="121" t="s">
        <v>269</v>
      </c>
      <c r="H1" s="121"/>
      <c r="I1" s="121"/>
      <c r="J1" s="4"/>
      <c r="K1" s="4"/>
    </row>
    <row r="2" spans="1:14" ht="19.5" customHeight="1">
      <c r="A2" s="124" t="s">
        <v>2</v>
      </c>
      <c r="B2" s="124"/>
      <c r="C2" s="5">
        <f>SUM(C4:C80)</f>
        <v>0</v>
      </c>
      <c r="D2" s="5">
        <f>SUM(D4:D80)</f>
        <v>0</v>
      </c>
      <c r="E2" s="5">
        <f>C2-D2</f>
        <v>0</v>
      </c>
      <c r="F2" s="6">
        <f>IFERROR(E2/D2, 0)</f>
        <v>0</v>
      </c>
      <c r="G2" s="5">
        <f>SUM(G4:G80)</f>
        <v>0</v>
      </c>
      <c r="H2" s="7">
        <f>C2-G2</f>
        <v>0</v>
      </c>
      <c r="I2" s="6">
        <f>IFERROR(H2/G2, 0)</f>
        <v>0</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4</v>
      </c>
      <c r="B3" s="12" t="s">
        <v>5</v>
      </c>
      <c r="C3" s="19" t="s">
        <v>6</v>
      </c>
      <c r="D3" s="20" t="s">
        <v>7</v>
      </c>
      <c r="E3" s="20" t="s">
        <v>8</v>
      </c>
      <c r="F3" s="21" t="s">
        <v>9</v>
      </c>
      <c r="G3" s="22" t="s">
        <v>10</v>
      </c>
      <c r="H3" s="23" t="s">
        <v>8</v>
      </c>
      <c r="I3" s="24" t="s">
        <v>9</v>
      </c>
      <c r="J3" s="49"/>
      <c r="K3" s="10" t="s">
        <v>22</v>
      </c>
    </row>
    <row r="4" spans="1:14" ht="15.6">
      <c r="A4" s="44"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49"/>
      <c r="K4" s="67"/>
      <c r="L4" s="76"/>
      <c r="M4" s="77"/>
      <c r="N4" s="77"/>
    </row>
    <row r="5" spans="1:14" ht="15.6">
      <c r="A5" s="45" t="str">
        <v>Pacoima - Whiteman Airport</v>
      </c>
      <c r="B5" s="42" t="str">
        <v>CA</v>
      </c>
      <c r="C5" s="35"/>
      <c r="D5" s="36"/>
      <c r="E5" s="36" t="str">
        <f t="shared" ref="E5:E7" si="0">IF(AND(ISNUMBER(C5),ISNUMBER(D5)), C5-D5, "")</f>
        <v/>
      </c>
      <c r="F5" s="37" t="str">
        <f>IFERROR(E5/D5, "")</f>
        <v/>
      </c>
      <c r="G5" s="38"/>
      <c r="H5" s="38" t="str">
        <f t="shared" ref="H5:H7" si="1">IF(AND(ISNUMBER(C5),ISNUMBER(G5)), C5-G5, "")</f>
        <v/>
      </c>
      <c r="I5" s="37" t="str">
        <f t="shared" ref="I5:I7" si="2">IFERROR(H5/G5, "")</f>
        <v/>
      </c>
      <c r="J5" s="50"/>
      <c r="K5" s="75"/>
      <c r="L5" s="76"/>
      <c r="M5" s="76"/>
      <c r="N5" s="77"/>
    </row>
    <row r="6" spans="1:14" ht="15.6">
      <c r="A6" s="44" t="str">
        <v>Hyannis - Sturgis Charter School</v>
      </c>
      <c r="B6" s="40" t="str">
        <v>MA</v>
      </c>
      <c r="C6" s="28"/>
      <c r="D6" s="29"/>
      <c r="E6" s="29" t="str">
        <f t="shared" si="0"/>
        <v/>
      </c>
      <c r="F6" s="30" t="str">
        <f t="shared" ref="F6:F7" si="3">IFERROR(E6/D6, "")</f>
        <v/>
      </c>
      <c r="G6" s="31"/>
      <c r="H6" s="31" t="str">
        <f t="shared" si="1"/>
        <v/>
      </c>
      <c r="I6" s="32" t="str">
        <f t="shared" si="2"/>
        <v/>
      </c>
      <c r="J6" s="49"/>
      <c r="K6" s="49"/>
      <c r="L6" s="77"/>
      <c r="M6" s="77"/>
      <c r="N6" s="77"/>
    </row>
    <row r="7" spans="1:14" ht="15.6">
      <c r="A7" s="45" t="str">
        <v>South Dennis - Tony Kent Arena</v>
      </c>
      <c r="B7" s="42" t="str">
        <v>MA</v>
      </c>
      <c r="C7" s="35"/>
      <c r="D7" s="36"/>
      <c r="E7" s="36" t="str">
        <f t="shared" si="0"/>
        <v/>
      </c>
      <c r="F7" s="37" t="str">
        <f t="shared" si="3"/>
        <v/>
      </c>
      <c r="G7" s="38"/>
      <c r="H7" s="38" t="str">
        <f t="shared" si="1"/>
        <v/>
      </c>
      <c r="I7" s="37" t="str">
        <f t="shared" si="2"/>
        <v/>
      </c>
      <c r="J7" s="50"/>
      <c r="K7" s="68"/>
      <c r="L7" s="76"/>
      <c r="M7" s="77"/>
      <c r="N7" s="77"/>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6"/>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6"/>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6"/>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6"/>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6"/>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6"/>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6"/>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6"/>
    </row>
    <row r="24" spans="1:11" ht="15.6">
      <c r="A24" s="44" t="str">
        <v xml:space="preserve"> Audubon - Senior Citizens United</v>
      </c>
      <c r="B24" s="40" t="str">
        <v>NJ</v>
      </c>
      <c r="C24" s="28"/>
      <c r="D24" s="29"/>
      <c r="E24" s="29"/>
      <c r="F24" s="30"/>
      <c r="G24" s="31"/>
      <c r="H24" s="31"/>
      <c r="I24" s="32"/>
      <c r="J24" s="49"/>
      <c r="K24" s="4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5" type="noConversion"/>
  <conditionalFormatting sqref="F2 I2 F4:F80 I4:I80">
    <cfRule type="cellIs" dxfId="24" priority="3" stopIfTrue="1" operator="lessThanOrEqual">
      <formula>-0.1</formula>
    </cfRule>
    <cfRule type="expression" dxfId="23" priority="4">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50" zoomScaleNormal="50" workbookViewId="0">
      <pane xSplit="2" ySplit="3" topLeftCell="C4" activePane="bottomRight" state="frozen"/>
      <selection pane="bottomRight" activeCell="M5" sqref="M5"/>
      <selection pane="bottomLeft" activeCell="J4" sqref="J4:Y85"/>
      <selection pane="topRight" activeCell="J4" sqref="J4:Y85"/>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122" t="str" cm="1">
        <f t="array" ref="A1">portfolio</f>
        <v>Clean Capital</v>
      </c>
      <c r="B1" s="122"/>
      <c r="C1" s="122"/>
      <c r="D1" s="123" t="s">
        <v>270</v>
      </c>
      <c r="E1" s="123"/>
      <c r="F1" s="123"/>
      <c r="G1" s="121" t="s">
        <v>271</v>
      </c>
      <c r="H1" s="121"/>
      <c r="I1" s="121"/>
      <c r="J1" s="4"/>
      <c r="K1" s="4"/>
    </row>
    <row r="2" spans="1:16" ht="19.5" customHeight="1">
      <c r="A2" s="124" t="s">
        <v>2</v>
      </c>
      <c r="B2" s="124"/>
      <c r="C2" s="5">
        <f>SUM(C4:C85)</f>
        <v>0</v>
      </c>
      <c r="D2" s="5">
        <f>SUM(D4:D85)</f>
        <v>0</v>
      </c>
      <c r="E2" s="5">
        <f>C2-D2</f>
        <v>0</v>
      </c>
      <c r="F2" s="6">
        <f>IFERROR(E2/D2, 0)</f>
        <v>0</v>
      </c>
      <c r="G2" s="5">
        <f>SUM(G4:G85)</f>
        <v>0</v>
      </c>
      <c r="H2" s="7">
        <f>C2-G2</f>
        <v>0</v>
      </c>
      <c r="I2" s="6">
        <f>IFERROR(H2/G2, 0)</f>
        <v>0</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4</v>
      </c>
      <c r="B3" s="12" t="s">
        <v>5</v>
      </c>
      <c r="C3" s="19" t="s">
        <v>6</v>
      </c>
      <c r="D3" s="20" t="s">
        <v>7</v>
      </c>
      <c r="E3" s="20" t="s">
        <v>8</v>
      </c>
      <c r="F3" s="21" t="s">
        <v>9</v>
      </c>
      <c r="G3" s="22" t="s">
        <v>10</v>
      </c>
      <c r="H3" s="23" t="s">
        <v>8</v>
      </c>
      <c r="I3" s="24" t="s">
        <v>9</v>
      </c>
      <c r="J3" s="10" t="s">
        <v>272</v>
      </c>
      <c r="K3" s="10" t="s">
        <v>22</v>
      </c>
    </row>
    <row r="4" spans="1:16" ht="15.6">
      <c r="A4" s="44" t="str" cm="1">
        <f t="array" ref="A4:A85">Sites[Site]</f>
        <v>Lexington - Cotting School</v>
      </c>
      <c r="B4" s="40" t="str" cm="1">
        <f t="array" ref="B4:B85">Sites[State]</f>
        <v>MA</v>
      </c>
      <c r="C4" s="28"/>
      <c r="D4" s="29"/>
      <c r="E4" s="29" t="str">
        <f>IF(AND(ISNUMBER(C4),ISNUMBER(D4)), C4-D4, "")</f>
        <v/>
      </c>
      <c r="F4" s="30" t="str">
        <f>IFERROR(E4/D4, "")</f>
        <v/>
      </c>
      <c r="G4" s="73"/>
      <c r="H4" s="31" t="str">
        <f>IF(AND(ISNUMBER(C4),ISNUMBER(G4)), C4-G4, "")</f>
        <v/>
      </c>
      <c r="I4" s="32" t="str">
        <f>IFERROR(H4/G4, "")</f>
        <v/>
      </c>
      <c r="J4" s="53"/>
      <c r="K4" s="78"/>
      <c r="L4" s="76"/>
      <c r="M4" s="81"/>
      <c r="N4" s="77"/>
      <c r="O4" s="77"/>
      <c r="P4" s="77"/>
    </row>
    <row r="5" spans="1:16" ht="178.5" customHeight="1">
      <c r="A5" s="45" t="str">
        <v>Pacoima - Whiteman Airport</v>
      </c>
      <c r="B5" s="42" t="str">
        <v>CA</v>
      </c>
      <c r="C5" s="35"/>
      <c r="D5" s="36"/>
      <c r="E5" s="36" t="str">
        <f t="shared" ref="E5:E11" si="0">IF(AND(ISNUMBER(C5),ISNUMBER(D5)), C5-D5, "")</f>
        <v/>
      </c>
      <c r="F5" s="37" t="str">
        <f>IFERROR(E5/D5, "")</f>
        <v/>
      </c>
      <c r="G5" s="38"/>
      <c r="H5" s="38" t="str">
        <f t="shared" ref="H5:H11" si="1">IF(AND(ISNUMBER(C5),ISNUMBER(G5)), C5-G5, "")</f>
        <v/>
      </c>
      <c r="I5" s="37" t="str">
        <f t="shared" ref="I5:I11" si="2">IFERROR(H5/G5, "")</f>
        <v/>
      </c>
      <c r="J5" s="54"/>
      <c r="K5" s="75"/>
      <c r="L5" s="76"/>
      <c r="M5" s="82"/>
      <c r="N5" s="76"/>
      <c r="O5" s="76"/>
      <c r="P5" s="76"/>
    </row>
    <row r="6" spans="1:16" ht="15.6">
      <c r="A6" s="46" t="str">
        <v>Hyannis - Sturgis Charter School</v>
      </c>
      <c r="B6" s="40" t="str">
        <v>MA</v>
      </c>
      <c r="C6" s="28"/>
      <c r="D6" s="29"/>
      <c r="E6" s="29" t="str">
        <f t="shared" si="0"/>
        <v/>
      </c>
      <c r="F6" s="30" t="str">
        <f t="shared" ref="F6:F11" si="3">IFERROR(E6/D6, "")</f>
        <v/>
      </c>
      <c r="G6" s="31"/>
      <c r="H6" s="31" t="str">
        <f t="shared" si="1"/>
        <v/>
      </c>
      <c r="I6" s="32" t="str">
        <f t="shared" si="2"/>
        <v/>
      </c>
      <c r="J6" s="53"/>
      <c r="K6" s="53"/>
      <c r="L6" s="77"/>
      <c r="M6" s="81"/>
      <c r="N6" s="77"/>
      <c r="O6" s="77"/>
      <c r="P6" s="77"/>
    </row>
    <row r="7" spans="1:16" ht="15.6">
      <c r="A7" s="45" t="str">
        <v>South Dennis - Tony Kent Arena</v>
      </c>
      <c r="B7" s="42" t="str">
        <v>MA</v>
      </c>
      <c r="C7" s="35"/>
      <c r="D7" s="36"/>
      <c r="E7" s="36" t="str">
        <f t="shared" si="0"/>
        <v/>
      </c>
      <c r="F7" s="37" t="str">
        <f t="shared" si="3"/>
        <v/>
      </c>
      <c r="G7" s="74"/>
      <c r="H7" s="38" t="str">
        <f t="shared" si="1"/>
        <v/>
      </c>
      <c r="I7" s="37" t="str">
        <f t="shared" si="2"/>
        <v/>
      </c>
      <c r="J7" s="60"/>
      <c r="K7" s="75"/>
      <c r="L7" s="76"/>
      <c r="M7" s="81"/>
      <c r="N7" s="77"/>
      <c r="O7" s="77"/>
      <c r="P7" s="77"/>
    </row>
    <row r="8" spans="1:16" ht="15.6">
      <c r="A8" s="46" t="str">
        <v xml:space="preserve"> Caropolis - Felician Sisters</v>
      </c>
      <c r="B8" s="40" t="str">
        <v>PA</v>
      </c>
      <c r="C8" s="28"/>
      <c r="D8" s="29"/>
      <c r="E8" s="29" t="str">
        <f t="shared" si="0"/>
        <v/>
      </c>
      <c r="F8" s="30" t="str">
        <f t="shared" si="3"/>
        <v/>
      </c>
      <c r="G8" s="31"/>
      <c r="H8" s="31" t="str">
        <f t="shared" si="1"/>
        <v/>
      </c>
      <c r="I8" s="32" t="str">
        <f t="shared" si="2"/>
        <v/>
      </c>
      <c r="J8" s="53"/>
      <c r="K8" s="79"/>
      <c r="L8" s="77"/>
      <c r="M8" s="81"/>
      <c r="N8" s="77"/>
      <c r="O8" s="77"/>
      <c r="P8" s="77"/>
    </row>
    <row r="9" spans="1:16" ht="15.6">
      <c r="A9" s="45" t="str">
        <v>Clear Lake - Eastlake Gohman</v>
      </c>
      <c r="B9" s="42" t="str">
        <v>MN</v>
      </c>
      <c r="C9" s="35"/>
      <c r="D9" s="36"/>
      <c r="E9" s="36" t="str">
        <f t="shared" si="0"/>
        <v/>
      </c>
      <c r="F9" s="37" t="str">
        <f t="shared" si="3"/>
        <v/>
      </c>
      <c r="G9" s="38"/>
      <c r="H9" s="38" t="str">
        <f t="shared" si="1"/>
        <v/>
      </c>
      <c r="I9" s="37" t="str">
        <f t="shared" si="2"/>
        <v/>
      </c>
      <c r="J9" s="54"/>
      <c r="K9" s="55"/>
      <c r="L9" s="77"/>
      <c r="M9" s="81"/>
      <c r="N9" s="77"/>
      <c r="O9" s="77"/>
      <c r="P9" s="77"/>
    </row>
    <row r="10" spans="1:16" ht="21" customHeight="1">
      <c r="A10" s="46" t="str">
        <v>Zumbrota - Eastlake Brenda Luhman</v>
      </c>
      <c r="B10" s="40" t="str">
        <v>MN</v>
      </c>
      <c r="C10" s="28"/>
      <c r="D10" s="29"/>
      <c r="E10" s="29" t="str">
        <f t="shared" si="0"/>
        <v/>
      </c>
      <c r="F10" s="30" t="str">
        <f t="shared" si="3"/>
        <v/>
      </c>
      <c r="G10" s="31"/>
      <c r="H10" s="31" t="str">
        <f t="shared" si="1"/>
        <v/>
      </c>
      <c r="I10" s="32" t="str">
        <f t="shared" si="2"/>
        <v/>
      </c>
      <c r="J10" s="53"/>
      <c r="K10" s="53"/>
      <c r="L10" s="77"/>
      <c r="M10" s="81"/>
      <c r="N10" s="77"/>
      <c r="O10" s="77"/>
      <c r="P10" s="77"/>
    </row>
    <row r="11" spans="1:16" ht="68.25" customHeight="1">
      <c r="A11" s="45" t="str">
        <v>Cokato - Eastlake Carlson</v>
      </c>
      <c r="B11" s="42" t="str">
        <v>MN</v>
      </c>
      <c r="C11" s="35"/>
      <c r="D11" s="36"/>
      <c r="E11" s="36" t="str">
        <f t="shared" si="0"/>
        <v/>
      </c>
      <c r="F11" s="37" t="str">
        <f t="shared" si="3"/>
        <v/>
      </c>
      <c r="G11" s="38"/>
      <c r="H11" s="38" t="str">
        <f t="shared" si="1"/>
        <v/>
      </c>
      <c r="I11" s="37" t="str">
        <f t="shared" si="2"/>
        <v/>
      </c>
      <c r="J11" s="60"/>
      <c r="K11" s="75"/>
      <c r="L11" s="76"/>
      <c r="M11" s="81"/>
      <c r="N11" s="77"/>
      <c r="O11" s="77"/>
      <c r="P11" s="77"/>
    </row>
    <row r="12" spans="1:16" ht="87.75" customHeight="1">
      <c r="A12" s="46" t="str">
        <v>North Branch - Cornille 2</v>
      </c>
      <c r="B12" s="40" t="str">
        <v>MN</v>
      </c>
      <c r="C12" s="28"/>
      <c r="D12" s="29"/>
      <c r="E12" s="29" t="str">
        <f t="shared" ref="E12:E24" si="4">IF(AND(ISNUMBER(C12),ISNUMBER(D12)), C12-D12, "")</f>
        <v/>
      </c>
      <c r="F12" s="30" t="str">
        <f t="shared" ref="F12:F24" si="5">IFERROR(E12/D12, "")</f>
        <v/>
      </c>
      <c r="G12" s="31"/>
      <c r="H12" s="31" t="str">
        <f t="shared" ref="H12:H24" si="6">IF(AND(ISNUMBER(C12),ISNUMBER(G12)), C12-G12, "")</f>
        <v/>
      </c>
      <c r="I12" s="32" t="str">
        <f t="shared" ref="I12:I24" si="7">IFERROR(H12/G12, "")</f>
        <v/>
      </c>
      <c r="J12" s="62"/>
      <c r="K12" s="78"/>
      <c r="L12" s="76"/>
      <c r="M12" s="82"/>
      <c r="N12" s="77"/>
      <c r="O12" s="77"/>
      <c r="P12" s="77"/>
    </row>
    <row r="13" spans="1:16" ht="64.5" customHeight="1">
      <c r="A13" s="45" t="str">
        <v>Clear Lake - Eastlake Hammer</v>
      </c>
      <c r="B13" s="42" t="str">
        <v>MN</v>
      </c>
      <c r="C13" s="35"/>
      <c r="D13" s="36"/>
      <c r="E13" s="36" t="str">
        <f t="shared" si="4"/>
        <v/>
      </c>
      <c r="F13" s="37" t="str">
        <f t="shared" si="5"/>
        <v/>
      </c>
      <c r="G13" s="38"/>
      <c r="H13" s="38" t="str">
        <f t="shared" si="6"/>
        <v/>
      </c>
      <c r="I13" s="37" t="str">
        <f t="shared" si="7"/>
        <v/>
      </c>
      <c r="J13" s="54"/>
      <c r="K13" s="75"/>
      <c r="L13" s="76"/>
      <c r="M13" s="81"/>
      <c r="N13" s="77"/>
      <c r="O13" s="77"/>
      <c r="P13" s="77"/>
    </row>
    <row r="14" spans="1:16" ht="27.75" customHeight="1">
      <c r="A14" s="46" t="str">
        <v>Eastlake - Hertzberg CSG 1</v>
      </c>
      <c r="B14" s="40" t="str">
        <v>MN</v>
      </c>
      <c r="C14" s="28"/>
      <c r="D14" s="29"/>
      <c r="E14" s="29" t="str">
        <f t="shared" si="4"/>
        <v/>
      </c>
      <c r="F14" s="30" t="str">
        <f t="shared" si="5"/>
        <v/>
      </c>
      <c r="G14" s="31"/>
      <c r="H14" s="31" t="str">
        <f t="shared" si="6"/>
        <v/>
      </c>
      <c r="I14" s="32" t="str">
        <f t="shared" si="7"/>
        <v/>
      </c>
      <c r="J14" s="62"/>
      <c r="K14" s="78"/>
      <c r="L14" s="77"/>
      <c r="M14" s="81"/>
      <c r="N14" s="77"/>
      <c r="O14" s="77"/>
      <c r="P14" s="77"/>
    </row>
    <row r="15" spans="1:16" ht="51" customHeight="1">
      <c r="A15" s="45" t="str">
        <v>Cokato - Eastlake Laurel Village</v>
      </c>
      <c r="B15" s="42" t="str">
        <v>MN</v>
      </c>
      <c r="C15" s="35"/>
      <c r="D15" s="36"/>
      <c r="E15" s="36" t="str">
        <f t="shared" si="4"/>
        <v/>
      </c>
      <c r="F15" s="37" t="str">
        <f t="shared" si="5"/>
        <v/>
      </c>
      <c r="G15" s="38"/>
      <c r="H15" s="38" t="str">
        <f t="shared" si="6"/>
        <v/>
      </c>
      <c r="I15" s="37" t="str">
        <f t="shared" si="7"/>
        <v/>
      </c>
      <c r="J15" s="60"/>
      <c r="K15" s="75"/>
      <c r="L15" s="76"/>
      <c r="M15" s="81"/>
      <c r="N15" s="77"/>
      <c r="O15" s="77"/>
      <c r="P15" s="77"/>
    </row>
    <row r="16" spans="1:16" ht="21" customHeight="1">
      <c r="A16" s="46" t="str">
        <v>St. Peter - Eastlake Paulson</v>
      </c>
      <c r="B16" s="40" t="str">
        <v>MN</v>
      </c>
      <c r="C16" s="28"/>
      <c r="D16" s="29"/>
      <c r="E16" s="29" t="str">
        <f t="shared" si="4"/>
        <v/>
      </c>
      <c r="F16" s="30" t="str">
        <f t="shared" si="5"/>
        <v/>
      </c>
      <c r="G16" s="31"/>
      <c r="H16" s="31" t="str">
        <f t="shared" si="6"/>
        <v/>
      </c>
      <c r="I16" s="32" t="str">
        <f t="shared" si="7"/>
        <v/>
      </c>
      <c r="J16" s="62"/>
      <c r="K16" s="53"/>
      <c r="L16" s="77"/>
      <c r="M16" s="81"/>
      <c r="N16" s="77"/>
      <c r="O16" s="77"/>
      <c r="P16" s="77"/>
    </row>
    <row r="17" spans="1:16" ht="16.5" customHeight="1">
      <c r="A17" s="45" t="str">
        <v>Felician Sisters Convent</v>
      </c>
      <c r="B17" s="42" t="str">
        <v>NJ</v>
      </c>
      <c r="C17" s="35"/>
      <c r="D17" s="36"/>
      <c r="E17" s="36" t="str">
        <f t="shared" si="4"/>
        <v/>
      </c>
      <c r="F17" s="37" t="str">
        <f t="shared" si="5"/>
        <v/>
      </c>
      <c r="G17" s="38"/>
      <c r="H17" s="38" t="str">
        <f t="shared" si="6"/>
        <v/>
      </c>
      <c r="I17" s="37" t="str">
        <f t="shared" si="7"/>
        <v/>
      </c>
      <c r="J17" s="54"/>
      <c r="K17" s="80"/>
      <c r="L17" s="77"/>
      <c r="M17" s="81"/>
      <c r="N17" s="77"/>
      <c r="O17" s="77"/>
      <c r="P17" s="77"/>
    </row>
    <row r="18" spans="1:16" ht="59.25" customHeight="1">
      <c r="A18" s="46" t="str">
        <v>Sussex County Fairgrounds</v>
      </c>
      <c r="B18" s="40" t="str">
        <v>NJ</v>
      </c>
      <c r="C18" s="28"/>
      <c r="D18" s="29"/>
      <c r="E18" s="29" t="str">
        <f t="shared" si="4"/>
        <v/>
      </c>
      <c r="F18" s="30" t="str">
        <f t="shared" si="5"/>
        <v/>
      </c>
      <c r="G18" s="73"/>
      <c r="H18" s="31" t="str">
        <f t="shared" si="6"/>
        <v/>
      </c>
      <c r="I18" s="32" t="str">
        <f t="shared" si="7"/>
        <v/>
      </c>
      <c r="J18" s="62"/>
      <c r="K18" s="78"/>
      <c r="L18" s="77"/>
      <c r="M18" s="81"/>
      <c r="N18" s="77"/>
      <c r="O18" s="77"/>
      <c r="P18" s="77"/>
    </row>
    <row r="19" spans="1:16" ht="85.5" customHeight="1">
      <c r="A19" s="45" t="str">
        <v>Gateway Church</v>
      </c>
      <c r="B19" s="42" t="str">
        <v>NJ</v>
      </c>
      <c r="C19" s="35"/>
      <c r="D19" s="36"/>
      <c r="E19" s="36" t="str">
        <f t="shared" si="4"/>
        <v/>
      </c>
      <c r="F19" s="37" t="str">
        <f t="shared" si="5"/>
        <v/>
      </c>
      <c r="G19" s="74"/>
      <c r="H19" s="38" t="str">
        <f t="shared" si="6"/>
        <v/>
      </c>
      <c r="I19" s="37" t="str">
        <f t="shared" si="7"/>
        <v/>
      </c>
      <c r="J19" s="60"/>
      <c r="K19" s="75"/>
      <c r="L19" s="76"/>
      <c r="M19" s="81"/>
      <c r="N19" s="77"/>
      <c r="O19" s="77"/>
      <c r="P19" s="77"/>
    </row>
    <row r="20" spans="1:16" ht="21" customHeight="1">
      <c r="A20" s="46" t="str">
        <v>Beaver Falls - Felician Sisters</v>
      </c>
      <c r="B20" s="40" t="str">
        <v>PA</v>
      </c>
      <c r="C20" s="28"/>
      <c r="D20" s="29"/>
      <c r="E20" s="29" t="str">
        <f t="shared" si="4"/>
        <v/>
      </c>
      <c r="F20" s="30" t="str">
        <f t="shared" si="5"/>
        <v/>
      </c>
      <c r="G20" s="73"/>
      <c r="H20" s="31" t="str">
        <f t="shared" si="6"/>
        <v/>
      </c>
      <c r="I20" s="32" t="str">
        <f t="shared" si="7"/>
        <v/>
      </c>
      <c r="J20" s="53"/>
      <c r="K20" s="53"/>
      <c r="L20" s="77"/>
      <c r="M20" s="81"/>
      <c r="N20" s="77"/>
      <c r="O20" s="77"/>
      <c r="P20" s="77"/>
    </row>
    <row r="21" spans="1:16" ht="36.75" customHeight="1">
      <c r="A21" s="45" t="str">
        <v>Livonia - Felician Sisters Ground</v>
      </c>
      <c r="B21" s="42" t="str">
        <v>MI</v>
      </c>
      <c r="C21" s="35"/>
      <c r="D21" s="36"/>
      <c r="E21" s="36" t="str">
        <f t="shared" si="4"/>
        <v/>
      </c>
      <c r="F21" s="37" t="str">
        <f t="shared" si="5"/>
        <v/>
      </c>
      <c r="G21" s="74"/>
      <c r="H21" s="38" t="str">
        <f t="shared" si="6"/>
        <v/>
      </c>
      <c r="I21" s="37" t="str">
        <f t="shared" si="7"/>
        <v/>
      </c>
      <c r="J21" s="54"/>
      <c r="K21" s="80"/>
      <c r="L21" s="76"/>
      <c r="M21" s="81"/>
      <c r="N21" s="77"/>
      <c r="O21" s="77"/>
      <c r="P21" s="77"/>
    </row>
    <row r="22" spans="1:16" ht="21" customHeight="1">
      <c r="A22" s="46" t="str">
        <v>Livonia - Felician Sisters Roof</v>
      </c>
      <c r="B22" s="40" t="str">
        <v>MI</v>
      </c>
      <c r="C22" s="28"/>
      <c r="D22" s="29"/>
      <c r="E22" s="29" t="str">
        <f t="shared" si="4"/>
        <v/>
      </c>
      <c r="F22" s="30" t="str">
        <f t="shared" si="5"/>
        <v/>
      </c>
      <c r="G22" s="73"/>
      <c r="H22" s="31" t="str">
        <f t="shared" si="6"/>
        <v/>
      </c>
      <c r="I22" s="32" t="str">
        <f t="shared" si="7"/>
        <v/>
      </c>
      <c r="J22" s="53"/>
      <c r="K22" s="53"/>
      <c r="M22" s="52"/>
    </row>
    <row r="23" spans="1:16" ht="21" customHeight="1">
      <c r="A23" s="45" t="str">
        <v>Monmouth Worship Ctr</v>
      </c>
      <c r="B23" s="42" t="str">
        <v>NJ</v>
      </c>
      <c r="C23" s="35"/>
      <c r="D23" s="36"/>
      <c r="E23" s="36" t="str">
        <f t="shared" si="4"/>
        <v/>
      </c>
      <c r="F23" s="37" t="str">
        <f t="shared" si="5"/>
        <v/>
      </c>
      <c r="G23" s="74"/>
      <c r="H23" s="38" t="str">
        <f t="shared" si="6"/>
        <v/>
      </c>
      <c r="I23" s="37" t="str">
        <f t="shared" si="7"/>
        <v/>
      </c>
      <c r="J23" s="54"/>
      <c r="K23" s="55"/>
      <c r="M23" s="52"/>
    </row>
    <row r="24" spans="1:16" ht="21" customHeight="1">
      <c r="A24" s="46" t="str">
        <v xml:space="preserve"> Audubon - Senior Citizens United</v>
      </c>
      <c r="B24" s="40" t="str">
        <v>NJ</v>
      </c>
      <c r="C24" s="28"/>
      <c r="D24" s="29"/>
      <c r="E24" s="29" t="str">
        <f t="shared" si="4"/>
        <v/>
      </c>
      <c r="F24" s="30" t="str">
        <f t="shared" si="5"/>
        <v/>
      </c>
      <c r="G24" s="73"/>
      <c r="H24" s="31" t="str">
        <f t="shared" si="6"/>
        <v/>
      </c>
      <c r="I24" s="32" t="str">
        <f t="shared" si="7"/>
        <v/>
      </c>
      <c r="J24" s="53"/>
      <c r="K24" s="53"/>
      <c r="M24" s="52"/>
    </row>
    <row r="25" spans="1:16" ht="14.45">
      <c r="A25" s="8" t="str">
        <v>Hollister - PG&amp;E (Enerparc)</v>
      </c>
      <c r="B25" s="13" t="str">
        <v>CA</v>
      </c>
      <c r="C25" s="8"/>
      <c r="D25" s="8"/>
      <c r="E25" s="8"/>
      <c r="F25" s="9"/>
      <c r="G25" s="8"/>
      <c r="H25" s="8"/>
      <c r="I25" s="9"/>
      <c r="J25" s="8"/>
      <c r="K25" s="8"/>
      <c r="M25" s="52"/>
    </row>
    <row r="26" spans="1:16" ht="14.45">
      <c r="A26" s="8" t="str">
        <v>Taos County - Kit Carson Electric Co-Op</v>
      </c>
      <c r="B26" s="13" t="str">
        <v>NM</v>
      </c>
      <c r="C26" s="8"/>
      <c r="D26" s="8"/>
      <c r="E26" s="8"/>
      <c r="F26" s="9"/>
      <c r="G26" s="8"/>
      <c r="H26" s="8"/>
      <c r="I26" s="9"/>
      <c r="J26" s="8"/>
      <c r="K26" s="8"/>
      <c r="M26" s="52"/>
    </row>
    <row r="27" spans="1:16" ht="14.45">
      <c r="A27" s="8" t="str">
        <v>Commerce City - Adams City HS</v>
      </c>
      <c r="B27" s="13" t="str">
        <v>CO</v>
      </c>
      <c r="C27" s="8"/>
      <c r="D27" s="8"/>
      <c r="E27" s="8"/>
      <c r="F27" s="9"/>
      <c r="G27" s="8"/>
      <c r="H27" s="8"/>
      <c r="I27" s="9"/>
      <c r="J27" s="8"/>
      <c r="K27" s="8"/>
      <c r="M27" s="52"/>
    </row>
    <row r="28" spans="1:16" ht="14.45">
      <c r="A28" s="8" t="str">
        <v>Commerce City - Adams City MS</v>
      </c>
      <c r="B28" s="13" t="str">
        <v>CO</v>
      </c>
      <c r="C28" s="8"/>
      <c r="D28" s="8"/>
      <c r="E28" s="8"/>
      <c r="F28" s="9"/>
      <c r="G28" s="8"/>
      <c r="H28" s="8"/>
      <c r="I28" s="9"/>
      <c r="J28" s="8"/>
      <c r="K28" s="8"/>
      <c r="M28" s="52"/>
    </row>
    <row r="29" spans="1:16" ht="14.45">
      <c r="A29" s="8" t="str">
        <v>Commerce City - Central ES</v>
      </c>
      <c r="B29" s="13" t="str">
        <v>CO</v>
      </c>
      <c r="C29" s="8"/>
      <c r="D29" s="8"/>
      <c r="E29" s="8"/>
      <c r="F29" s="9"/>
      <c r="G29" s="8"/>
      <c r="H29" s="8"/>
      <c r="I29" s="9"/>
      <c r="J29" s="8"/>
      <c r="K29" s="8"/>
      <c r="M29" s="52"/>
    </row>
    <row r="30" spans="1:16" ht="14.45">
      <c r="A30" s="8" t="str">
        <v>Commerce City - Dupont ES</v>
      </c>
      <c r="B30" s="13" t="str">
        <v>CO</v>
      </c>
      <c r="C30" s="8"/>
      <c r="D30" s="8"/>
      <c r="E30" s="8"/>
      <c r="F30" s="9"/>
      <c r="G30" s="8"/>
      <c r="H30" s="8"/>
      <c r="I30" s="9"/>
      <c r="J30" s="8"/>
      <c r="K30" s="8"/>
      <c r="M30" s="52"/>
    </row>
    <row r="31" spans="1:16" ht="14.45">
      <c r="A31" s="8" t="str">
        <v>Commerce City - Educational Support Services</v>
      </c>
      <c r="B31" s="13" t="str">
        <v>CO</v>
      </c>
      <c r="C31" s="8"/>
      <c r="D31" s="8"/>
      <c r="E31" s="8"/>
      <c r="F31" s="9"/>
      <c r="G31" s="8"/>
      <c r="H31" s="8"/>
      <c r="I31" s="9"/>
      <c r="J31" s="8"/>
      <c r="K31" s="8"/>
      <c r="M31" s="52"/>
    </row>
    <row r="32" spans="1:16" ht="14.45">
      <c r="A32" s="8" t="str">
        <v>Commerce City - Hanson ES</v>
      </c>
      <c r="B32" s="13" t="str">
        <v>CO</v>
      </c>
      <c r="C32" s="8"/>
      <c r="D32" s="8"/>
      <c r="E32" s="8"/>
      <c r="F32" s="9"/>
      <c r="G32" s="8"/>
      <c r="H32" s="8"/>
      <c r="I32" s="9"/>
      <c r="J32" s="8"/>
      <c r="K32" s="8"/>
      <c r="M32" s="52"/>
    </row>
    <row r="33" spans="1:13" ht="14.45">
      <c r="A33" s="8" t="str">
        <v>Commerce City - Kemp ES</v>
      </c>
      <c r="B33" s="13" t="str">
        <v>CO</v>
      </c>
      <c r="C33" s="8"/>
      <c r="D33" s="8"/>
      <c r="E33" s="8"/>
      <c r="F33" s="9"/>
      <c r="G33" s="8"/>
      <c r="H33" s="8"/>
      <c r="I33" s="9"/>
      <c r="J33" s="8"/>
      <c r="K33" s="8"/>
      <c r="M33" s="52"/>
    </row>
    <row r="34" spans="1:13" ht="14.45">
      <c r="A34" s="8" t="str">
        <v>Commerce City -  Lester Arnold HS</v>
      </c>
      <c r="B34" s="13" t="str">
        <v>CO</v>
      </c>
      <c r="C34" s="8"/>
      <c r="D34" s="8"/>
      <c r="E34" s="8"/>
      <c r="F34" s="9"/>
      <c r="G34" s="8"/>
      <c r="H34" s="8"/>
      <c r="I34" s="9"/>
      <c r="J34" s="8"/>
      <c r="K34" s="8"/>
      <c r="M34" s="52"/>
    </row>
    <row r="35" spans="1:13" ht="14.45">
      <c r="A35" s="8" t="str">
        <v>Commerce City - Monaco ES</v>
      </c>
      <c r="B35" s="13" t="str">
        <v>CO</v>
      </c>
      <c r="C35" s="8"/>
      <c r="D35" s="8"/>
      <c r="E35" s="8"/>
      <c r="F35" s="9"/>
      <c r="G35" s="8"/>
      <c r="H35" s="8"/>
      <c r="I35" s="9"/>
      <c r="J35" s="8"/>
      <c r="K35" s="8"/>
    </row>
    <row r="36" spans="1:13" ht="14.45">
      <c r="A36" s="8" t="str">
        <v>Denver - Northgate / Old Fort Logan ES</v>
      </c>
      <c r="B36" s="13" t="str">
        <v>CO</v>
      </c>
      <c r="C36" s="8"/>
      <c r="D36" s="8"/>
      <c r="E36" s="8"/>
      <c r="F36" s="9"/>
      <c r="G36" s="8"/>
      <c r="H36" s="8"/>
      <c r="I36" s="9"/>
      <c r="J36" s="8"/>
      <c r="K36" s="8"/>
    </row>
    <row r="37" spans="1:13" ht="14.45">
      <c r="A37" s="8" t="str">
        <v>Denver - Sheridan High School</v>
      </c>
      <c r="B37" s="13" t="str">
        <v>CO</v>
      </c>
      <c r="C37" s="8"/>
      <c r="D37" s="8"/>
      <c r="E37" s="8"/>
      <c r="F37" s="9"/>
      <c r="G37" s="8"/>
      <c r="H37" s="8"/>
      <c r="I37" s="9"/>
      <c r="J37" s="8"/>
      <c r="K37" s="8"/>
    </row>
    <row r="38" spans="1:13" ht="14.45">
      <c r="A38" s="8" t="str">
        <v>Englewood -  Alice Terry Elementary</v>
      </c>
      <c r="B38" s="13" t="str">
        <v>CO</v>
      </c>
      <c r="C38" s="8"/>
      <c r="D38" s="8"/>
      <c r="E38" s="8"/>
      <c r="F38" s="9"/>
      <c r="G38" s="8"/>
      <c r="H38" s="8"/>
      <c r="I38" s="9"/>
      <c r="J38" s="8"/>
      <c r="K38" s="8"/>
    </row>
    <row r="39" spans="1:13" ht="14.45">
      <c r="A39" s="8" t="str">
        <v>Englewood - Sheridan Middle School</v>
      </c>
      <c r="B39" s="13" t="str">
        <v>CO</v>
      </c>
      <c r="C39" s="8"/>
      <c r="D39" s="8"/>
      <c r="E39" s="8"/>
      <c r="F39" s="9"/>
      <c r="G39" s="8"/>
      <c r="H39" s="8"/>
      <c r="I39" s="9"/>
      <c r="J39" s="8"/>
      <c r="K39" s="8"/>
    </row>
    <row r="40" spans="1:13" ht="14.45">
      <c r="A40" s="8" t="str">
        <v>Goshen - NIPSCO</v>
      </c>
      <c r="B40" s="13" t="str">
        <v>IN</v>
      </c>
      <c r="C40" s="8"/>
      <c r="D40" s="8"/>
      <c r="E40" s="8"/>
      <c r="F40" s="9"/>
      <c r="G40" s="8"/>
      <c r="H40" s="8"/>
      <c r="I40" s="9"/>
      <c r="J40" s="8"/>
      <c r="K40" s="8"/>
    </row>
    <row r="41" spans="1:13" ht="14.45">
      <c r="A41" s="8" t="str">
        <v>Alamogordo - City of Alamogordo - Effluent</v>
      </c>
      <c r="B41" s="13" t="str">
        <v>NM</v>
      </c>
      <c r="C41" s="8"/>
      <c r="D41" s="8"/>
      <c r="E41" s="8"/>
      <c r="F41" s="9"/>
      <c r="G41" s="8"/>
      <c r="H41" s="8"/>
      <c r="I41" s="9"/>
      <c r="J41" s="8"/>
      <c r="K41" s="8"/>
    </row>
    <row r="42" spans="1:13" ht="14.45">
      <c r="A42" s="8" t="str">
        <v>Alamogordo - City of Alamogordo - WWTP</v>
      </c>
      <c r="B42" s="13" t="str">
        <v>NM</v>
      </c>
      <c r="C42" s="8"/>
      <c r="D42" s="8"/>
      <c r="E42" s="8"/>
      <c r="F42" s="9"/>
      <c r="G42" s="8"/>
      <c r="H42" s="8"/>
      <c r="I42" s="9"/>
      <c r="J42" s="8"/>
      <c r="K42" s="8"/>
    </row>
    <row r="43" spans="1:13" ht="14.45">
      <c r="A43" s="8" t="str">
        <v>Deming - Bilbo Booster</v>
      </c>
      <c r="B43" s="13" t="str">
        <v>NM</v>
      </c>
      <c r="C43" s="8"/>
      <c r="D43" s="8"/>
      <c r="E43" s="8"/>
      <c r="F43" s="9"/>
      <c r="G43" s="8"/>
      <c r="H43" s="8"/>
      <c r="I43" s="9"/>
      <c r="J43" s="8"/>
      <c r="K43" s="8"/>
    </row>
    <row r="44" spans="1:13" ht="14.45">
      <c r="A44" s="8" t="str">
        <v>Deming - Bilbo Well</v>
      </c>
      <c r="B44" s="13" t="str">
        <v>NM</v>
      </c>
      <c r="C44" s="8"/>
      <c r="D44" s="8"/>
      <c r="E44" s="8"/>
      <c r="F44" s="9"/>
      <c r="G44" s="8"/>
      <c r="H44" s="8"/>
      <c r="I44" s="9"/>
      <c r="J44" s="8"/>
      <c r="K44" s="8"/>
    </row>
    <row r="45" spans="1:13" ht="14.45">
      <c r="A45" s="8" t="str">
        <v>Deming - WWTP</v>
      </c>
      <c r="B45" s="13" t="str">
        <v>NM</v>
      </c>
      <c r="C45" s="8"/>
      <c r="D45" s="8"/>
      <c r="E45" s="8"/>
      <c r="F45" s="9"/>
      <c r="G45" s="8"/>
      <c r="H45" s="8"/>
      <c r="I45" s="9"/>
      <c r="J45" s="8"/>
      <c r="K45" s="8"/>
    </row>
    <row r="46" spans="1:13" ht="14.45">
      <c r="A46" s="8" t="str">
        <v>Truth or Consequences - Walmart</v>
      </c>
      <c r="B46" s="13" t="str">
        <v>NM</v>
      </c>
      <c r="C46" s="8"/>
      <c r="D46" s="8"/>
      <c r="E46" s="8"/>
      <c r="F46" s="9"/>
      <c r="G46" s="8"/>
      <c r="H46" s="8"/>
      <c r="I46" s="9"/>
      <c r="J46" s="8"/>
      <c r="K46" s="8"/>
    </row>
    <row r="47" spans="1:13" ht="14.45">
      <c r="A47" s="8" t="str">
        <v>CA: Stockton - SUSD - Merlo</v>
      </c>
      <c r="B47" s="13" t="str">
        <v>CA</v>
      </c>
      <c r="C47" s="8"/>
      <c r="D47" s="8"/>
      <c r="E47" s="8"/>
      <c r="F47" s="9"/>
      <c r="G47" s="8"/>
      <c r="H47" s="8"/>
      <c r="I47" s="9"/>
      <c r="J47" s="8"/>
      <c r="K47" s="8"/>
    </row>
    <row r="48" spans="1:13"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zoomScale="50" zoomScaleNormal="50" workbookViewId="0">
      <pane xSplit="2" ySplit="3" topLeftCell="C8" activePane="bottomRight" state="frozen"/>
      <selection pane="bottomRight" activeCell="N15" sqref="N15"/>
      <selection pane="bottomLeft" activeCell="J4" sqref="J4:Y85"/>
      <selection pane="topRight" activeCell="J4" sqref="J4:Y85"/>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7"/>
  </cols>
  <sheetData>
    <row r="1" spans="1:15" ht="19.5" customHeight="1">
      <c r="A1" s="122" t="str" cm="1">
        <f t="array" ref="A1">portfolio</f>
        <v>Clean Capital</v>
      </c>
      <c r="B1" s="122"/>
      <c r="C1" s="122"/>
      <c r="D1" s="123" t="s">
        <v>273</v>
      </c>
      <c r="E1" s="123"/>
      <c r="F1" s="123"/>
      <c r="G1" s="121" t="s">
        <v>274</v>
      </c>
      <c r="H1" s="121"/>
      <c r="I1" s="121"/>
      <c r="J1" s="4"/>
      <c r="K1" s="4"/>
    </row>
    <row r="2" spans="1:15" ht="19.5" customHeight="1">
      <c r="A2" s="124" t="s">
        <v>2</v>
      </c>
      <c r="B2" s="124"/>
      <c r="C2" s="5">
        <f>SUM(C4:C85)</f>
        <v>0</v>
      </c>
      <c r="D2" s="5">
        <f>SUM(D4:D85)</f>
        <v>0</v>
      </c>
      <c r="E2" s="5">
        <f>C2-D2</f>
        <v>0</v>
      </c>
      <c r="F2" s="6">
        <f>IFERROR(E2/D2, 0)</f>
        <v>0</v>
      </c>
      <c r="G2" s="5">
        <f>SUM(G4:G85)</f>
        <v>0</v>
      </c>
      <c r="H2" s="7">
        <f>C2-G2</f>
        <v>0</v>
      </c>
      <c r="I2" s="6">
        <f>IFERROR(H2/G2, 0)</f>
        <v>0</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4</v>
      </c>
      <c r="B3" s="12" t="s">
        <v>5</v>
      </c>
      <c r="C3" s="19" t="s">
        <v>6</v>
      </c>
      <c r="D3" s="20" t="s">
        <v>7</v>
      </c>
      <c r="E3" s="20" t="s">
        <v>8</v>
      </c>
      <c r="F3" s="21" t="s">
        <v>9</v>
      </c>
      <c r="G3" s="22" t="s">
        <v>10</v>
      </c>
      <c r="H3" s="23" t="s">
        <v>8</v>
      </c>
      <c r="I3" s="24" t="s">
        <v>9</v>
      </c>
      <c r="J3" s="10" t="s">
        <v>272</v>
      </c>
      <c r="K3" s="10" t="s">
        <v>22</v>
      </c>
    </row>
    <row r="4" spans="1:15" ht="15.6">
      <c r="A4" s="85" t="str" cm="1">
        <f t="array" ref="A4:A85">Sites[Site]</f>
        <v>Lexington - Cotting School</v>
      </c>
      <c r="B4" s="40" t="str" cm="1">
        <f t="array" ref="B4:B85">Sites[State]</f>
        <v>MA</v>
      </c>
      <c r="C4" s="28"/>
      <c r="D4" s="29"/>
      <c r="E4" s="29" t="str">
        <f>IF(AND(ISNUMBER(C4),ISNUMBER(D4)), C4-D4, "")</f>
        <v/>
      </c>
      <c r="F4" s="30" t="str">
        <f>IFERROR(E4/D4, "")</f>
        <v/>
      </c>
      <c r="G4" s="73"/>
      <c r="H4" s="31" t="str">
        <f>IF(AND(ISNUMBER(C4),ISNUMBER(G4)), C4-G4, "")</f>
        <v/>
      </c>
      <c r="I4" s="32" t="str">
        <f>IFERROR(H4/G4, "")</f>
        <v/>
      </c>
      <c r="J4" s="62"/>
      <c r="K4" s="67"/>
      <c r="L4" s="76"/>
      <c r="M4" s="76"/>
    </row>
    <row r="5" spans="1:15" ht="15.6">
      <c r="A5" s="41" t="str">
        <v>Pacoima - Whiteman Airport</v>
      </c>
      <c r="B5" s="42" t="str">
        <v>CA</v>
      </c>
      <c r="C5" s="35"/>
      <c r="D5" s="36"/>
      <c r="E5" s="36" t="str">
        <f t="shared" ref="E5:E12" si="0">IF(AND(ISNUMBER(C5),ISNUMBER(D5)), C5-D5, "")</f>
        <v/>
      </c>
      <c r="F5" s="37" t="str">
        <f>IFERROR(E5/D5, "")</f>
        <v/>
      </c>
      <c r="G5" s="56"/>
      <c r="H5" s="38" t="str">
        <f t="shared" ref="H5:H24" si="1">IF(AND(ISNUMBER(C5),ISNUMBER(G5)), C5-G5, "")</f>
        <v/>
      </c>
      <c r="I5" s="37" t="str">
        <f t="shared" ref="I5:I24" si="2">IFERROR(H5/G5, "")</f>
        <v/>
      </c>
      <c r="J5" s="86"/>
      <c r="K5" s="68"/>
      <c r="L5" s="76"/>
      <c r="M5" s="76"/>
      <c r="N5" s="76"/>
      <c r="O5" s="76"/>
    </row>
    <row r="6" spans="1:15" ht="30" customHeight="1">
      <c r="A6" s="43" t="str">
        <v>Hyannis - Sturgis Charter School</v>
      </c>
      <c r="B6" s="40" t="str">
        <v>MA</v>
      </c>
      <c r="C6" s="28"/>
      <c r="D6" s="29"/>
      <c r="E6" s="29" t="str">
        <f t="shared" si="0"/>
        <v/>
      </c>
      <c r="F6" s="30" t="str">
        <f t="shared" ref="F6:F12" si="3">IFERROR(E6/D6, "")</f>
        <v/>
      </c>
      <c r="G6" s="31"/>
      <c r="H6" s="31" t="str">
        <f t="shared" si="1"/>
        <v/>
      </c>
      <c r="I6" s="32" t="str">
        <f t="shared" si="2"/>
        <v/>
      </c>
      <c r="J6" s="62"/>
      <c r="K6" s="49"/>
    </row>
    <row r="7" spans="1:15" ht="54.75" customHeight="1">
      <c r="A7" s="41" t="str">
        <v>South Dennis - Tony Kent Arena</v>
      </c>
      <c r="B7" s="42" t="str">
        <v>MA</v>
      </c>
      <c r="C7" s="35"/>
      <c r="D7" s="36"/>
      <c r="E7" s="36" t="str">
        <f t="shared" si="0"/>
        <v/>
      </c>
      <c r="F7" s="37" t="str">
        <f t="shared" si="3"/>
        <v/>
      </c>
      <c r="G7" s="74"/>
      <c r="H7" s="38" t="str">
        <f t="shared" si="1"/>
        <v/>
      </c>
      <c r="I7" s="37" t="str">
        <f t="shared" si="2"/>
        <v/>
      </c>
      <c r="J7" s="86"/>
      <c r="K7" s="75"/>
      <c r="L7" s="76"/>
    </row>
    <row r="8" spans="1:15" ht="15.6">
      <c r="A8" s="43" t="str">
        <v xml:space="preserve"> Caropolis - Felician Sisters</v>
      </c>
      <c r="B8" s="40" t="str">
        <v>PA</v>
      </c>
      <c r="C8" s="28"/>
      <c r="D8" s="29"/>
      <c r="E8" s="29" t="str">
        <f t="shared" si="0"/>
        <v/>
      </c>
      <c r="F8" s="30" t="str">
        <f t="shared" si="3"/>
        <v/>
      </c>
      <c r="G8" s="73"/>
      <c r="H8" s="31" t="str">
        <f t="shared" si="1"/>
        <v/>
      </c>
      <c r="I8" s="32" t="str">
        <f t="shared" si="2"/>
        <v/>
      </c>
      <c r="J8" s="62"/>
      <c r="K8" s="78"/>
      <c r="L8" s="76"/>
    </row>
    <row r="9" spans="1:15" ht="15.6">
      <c r="A9" s="41" t="str">
        <v>Clear Lake - Eastlake Gohman</v>
      </c>
      <c r="B9" s="42" t="str">
        <v>MN</v>
      </c>
      <c r="C9" s="35"/>
      <c r="D9" s="36"/>
      <c r="E9" s="36" t="str">
        <f t="shared" si="0"/>
        <v/>
      </c>
      <c r="F9" s="37" t="str">
        <f t="shared" si="3"/>
        <v/>
      </c>
      <c r="G9" s="38"/>
      <c r="H9" s="38" t="str">
        <f t="shared" si="1"/>
        <v/>
      </c>
      <c r="I9" s="37" t="str">
        <f t="shared" si="2"/>
        <v/>
      </c>
      <c r="J9" s="86"/>
      <c r="K9" s="75"/>
    </row>
    <row r="10" spans="1:15"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5" ht="15.6">
      <c r="A11" s="41" t="str">
        <v>Cokato - Eastlake Carlson</v>
      </c>
      <c r="B11" s="42" t="str">
        <v>MN</v>
      </c>
      <c r="C11" s="35"/>
      <c r="D11" s="36"/>
      <c r="E11" s="36" t="str">
        <f t="shared" si="0"/>
        <v/>
      </c>
      <c r="F11" s="37" t="str">
        <f t="shared" si="3"/>
        <v/>
      </c>
      <c r="G11" s="38"/>
      <c r="H11" s="38" t="str">
        <f t="shared" si="1"/>
        <v/>
      </c>
      <c r="I11" s="37" t="str">
        <f t="shared" si="2"/>
        <v/>
      </c>
      <c r="J11" s="86"/>
      <c r="K11" s="75"/>
      <c r="L11" s="76"/>
      <c r="M11" s="76"/>
    </row>
    <row r="12" spans="1:15" ht="15.6">
      <c r="A12" s="43" t="str">
        <v>North Branch - Cornille 2</v>
      </c>
      <c r="B12" s="40" t="str">
        <v>MN</v>
      </c>
      <c r="C12" s="28"/>
      <c r="D12" s="29"/>
      <c r="E12" s="29" t="str">
        <f t="shared" si="0"/>
        <v/>
      </c>
      <c r="F12" s="30" t="str">
        <f t="shared" si="3"/>
        <v/>
      </c>
      <c r="G12" s="31"/>
      <c r="H12" s="31" t="str">
        <f t="shared" si="1"/>
        <v/>
      </c>
      <c r="I12" s="32" t="str">
        <f t="shared" si="2"/>
        <v/>
      </c>
      <c r="J12" s="62"/>
      <c r="K12" s="78"/>
      <c r="L12" s="76"/>
      <c r="M12" s="76"/>
    </row>
    <row r="13" spans="1:15" ht="15.6">
      <c r="A13" s="41" t="str">
        <v>Clear Lake - Eastlake Hammer</v>
      </c>
      <c r="B13" s="42" t="str">
        <v>MN</v>
      </c>
      <c r="C13" s="35"/>
      <c r="D13" s="36"/>
      <c r="E13" s="36"/>
      <c r="F13" s="37"/>
      <c r="G13" s="38"/>
      <c r="H13" s="38" t="str">
        <f t="shared" si="1"/>
        <v/>
      </c>
      <c r="I13" s="37" t="str">
        <f t="shared" si="2"/>
        <v/>
      </c>
      <c r="J13" s="86"/>
      <c r="K13" s="75"/>
      <c r="L13" s="76"/>
    </row>
    <row r="14" spans="1:15" ht="15.6">
      <c r="A14" s="43" t="str">
        <v>Eastlake - Hertzberg CSG 1</v>
      </c>
      <c r="B14" s="40" t="str">
        <v>MN</v>
      </c>
      <c r="C14" s="28"/>
      <c r="D14" s="29"/>
      <c r="E14" s="29"/>
      <c r="F14" s="30"/>
      <c r="G14" s="31"/>
      <c r="H14" s="31" t="str">
        <f t="shared" si="1"/>
        <v/>
      </c>
      <c r="I14" s="32" t="str">
        <f t="shared" si="2"/>
        <v/>
      </c>
      <c r="J14" s="62"/>
      <c r="K14" s="78"/>
      <c r="L14" s="76"/>
      <c r="M14" s="76"/>
      <c r="N14" s="76"/>
    </row>
    <row r="15" spans="1:15" ht="15.6">
      <c r="A15" s="41" t="str">
        <v>Cokato - Eastlake Laurel Village</v>
      </c>
      <c r="B15" s="42" t="str">
        <v>MN</v>
      </c>
      <c r="C15" s="35"/>
      <c r="D15" s="36"/>
      <c r="E15" s="36"/>
      <c r="F15" s="37"/>
      <c r="G15" s="38"/>
      <c r="H15" s="38" t="str">
        <f t="shared" si="1"/>
        <v/>
      </c>
      <c r="I15" s="37" t="str">
        <f t="shared" si="2"/>
        <v/>
      </c>
      <c r="J15" s="86"/>
      <c r="K15" s="88"/>
    </row>
    <row r="16" spans="1:15" ht="15.6">
      <c r="A16" s="43" t="str">
        <v>St. Peter - Eastlake Paulson</v>
      </c>
      <c r="B16" s="40" t="str">
        <v>MN</v>
      </c>
      <c r="C16" s="28"/>
      <c r="D16" s="29"/>
      <c r="E16" s="29"/>
      <c r="F16" s="30"/>
      <c r="G16" s="31"/>
      <c r="H16" s="31" t="str">
        <f t="shared" si="1"/>
        <v/>
      </c>
      <c r="I16" s="32" t="str">
        <f t="shared" si="2"/>
        <v/>
      </c>
      <c r="J16" s="62"/>
      <c r="K16" s="62"/>
    </row>
    <row r="17" spans="1:14" ht="98.25" customHeight="1">
      <c r="A17" s="41" t="str">
        <v>Felician Sisters Convent</v>
      </c>
      <c r="B17" s="42" t="str">
        <v>NJ</v>
      </c>
      <c r="C17" s="35"/>
      <c r="D17" s="36"/>
      <c r="E17" s="36"/>
      <c r="F17" s="37"/>
      <c r="G17" s="74"/>
      <c r="H17" s="38" t="str">
        <f t="shared" si="1"/>
        <v/>
      </c>
      <c r="I17" s="37" t="str">
        <f t="shared" si="2"/>
        <v/>
      </c>
      <c r="J17" s="86"/>
      <c r="K17" s="75"/>
      <c r="L17" s="76"/>
    </row>
    <row r="18" spans="1:14" ht="143.25" customHeight="1">
      <c r="A18" s="43" t="str">
        <v>Sussex County Fairgrounds</v>
      </c>
      <c r="B18" s="40" t="str">
        <v>NJ</v>
      </c>
      <c r="C18" s="28"/>
      <c r="D18" s="29"/>
      <c r="E18" s="29"/>
      <c r="F18" s="30"/>
      <c r="G18" s="84"/>
      <c r="H18" s="31" t="str">
        <f t="shared" si="1"/>
        <v/>
      </c>
      <c r="I18" s="32" t="str">
        <f t="shared" si="2"/>
        <v/>
      </c>
      <c r="J18" s="62"/>
      <c r="K18" s="78"/>
      <c r="L18" s="76"/>
      <c r="M18" s="76"/>
    </row>
    <row r="19" spans="1:14" ht="237.75" customHeight="1">
      <c r="A19" s="41" t="str">
        <v>Gateway Church</v>
      </c>
      <c r="B19" s="42" t="str">
        <v>NJ</v>
      </c>
      <c r="C19" s="35"/>
      <c r="D19" s="36"/>
      <c r="E19" s="36"/>
      <c r="F19" s="37"/>
      <c r="G19" s="83"/>
      <c r="H19" s="38" t="str">
        <f t="shared" si="1"/>
        <v/>
      </c>
      <c r="I19" s="37" t="str">
        <f t="shared" si="2"/>
        <v/>
      </c>
      <c r="J19" s="60"/>
      <c r="K19" s="75"/>
      <c r="L19" s="76"/>
      <c r="M19" s="76"/>
    </row>
    <row r="20" spans="1:14" ht="15.6">
      <c r="A20" s="43" t="str">
        <v>Beaver Falls - Felician Sisters</v>
      </c>
      <c r="B20" s="40" t="str">
        <v>PA</v>
      </c>
      <c r="C20" s="28"/>
      <c r="D20" s="29"/>
      <c r="E20" s="29"/>
      <c r="F20" s="30"/>
      <c r="G20" s="84"/>
      <c r="H20" s="31" t="str">
        <f t="shared" si="1"/>
        <v/>
      </c>
      <c r="I20" s="32" t="str">
        <f t="shared" si="2"/>
        <v/>
      </c>
      <c r="J20" s="62"/>
      <c r="K20" s="62"/>
    </row>
    <row r="21" spans="1:14" ht="15.6">
      <c r="A21" s="41" t="str">
        <v>Livonia - Felician Sisters Ground</v>
      </c>
      <c r="B21" s="42" t="str">
        <v>MI</v>
      </c>
      <c r="C21" s="35"/>
      <c r="D21" s="36"/>
      <c r="E21" s="36"/>
      <c r="F21" s="37"/>
      <c r="G21" s="83"/>
      <c r="H21" s="38" t="str">
        <f t="shared" si="1"/>
        <v/>
      </c>
      <c r="I21" s="37" t="str">
        <f t="shared" si="2"/>
        <v/>
      </c>
      <c r="J21" s="86"/>
      <c r="K21" s="75"/>
      <c r="L21" s="76"/>
      <c r="M21" s="76"/>
      <c r="N21" s="76"/>
    </row>
    <row r="22" spans="1:14" ht="15.6">
      <c r="A22" s="43" t="str">
        <v>Livonia - Felician Sisters Roof</v>
      </c>
      <c r="B22" s="40" t="str">
        <v>MI</v>
      </c>
      <c r="C22" s="28"/>
      <c r="D22" s="29"/>
      <c r="E22" s="29"/>
      <c r="F22" s="30"/>
      <c r="G22" s="84"/>
      <c r="H22" s="31" t="str">
        <f t="shared" si="1"/>
        <v/>
      </c>
      <c r="I22" s="32" t="str">
        <f t="shared" si="2"/>
        <v/>
      </c>
      <c r="J22" s="62"/>
      <c r="K22" s="62"/>
    </row>
    <row r="23" spans="1:14" ht="15.6">
      <c r="A23" s="41" t="str">
        <v>Monmouth Worship Ctr</v>
      </c>
      <c r="B23" s="42" t="str">
        <v>NJ</v>
      </c>
      <c r="C23" s="35"/>
      <c r="D23" s="36"/>
      <c r="E23" s="36"/>
      <c r="F23" s="37"/>
      <c r="G23" s="83"/>
      <c r="H23" s="38" t="str">
        <f t="shared" si="1"/>
        <v/>
      </c>
      <c r="I23" s="37" t="str">
        <f t="shared" si="2"/>
        <v/>
      </c>
      <c r="J23" s="86"/>
      <c r="K23" s="87"/>
    </row>
    <row r="24" spans="1:14" ht="15.6">
      <c r="A24" s="43" t="str">
        <v xml:space="preserve"> Audubon - Senior Citizens United</v>
      </c>
      <c r="B24" s="40" t="str">
        <v>NJ</v>
      </c>
      <c r="C24" s="28"/>
      <c r="D24" s="29"/>
      <c r="E24" s="29"/>
      <c r="F24" s="30"/>
      <c r="G24" s="84"/>
      <c r="H24" s="31" t="str">
        <f t="shared" si="1"/>
        <v/>
      </c>
      <c r="I24" s="32" t="str">
        <f t="shared" si="2"/>
        <v/>
      </c>
      <c r="J24" s="62"/>
      <c r="K24" s="62"/>
    </row>
    <row r="25" spans="1:14" ht="14.45">
      <c r="A25" s="8" t="str">
        <v>Hollister - PG&amp;E (Enerparc)</v>
      </c>
      <c r="B25" s="13" t="str">
        <v>CA</v>
      </c>
      <c r="C25" s="8"/>
      <c r="D25" s="8"/>
      <c r="E25" s="8"/>
      <c r="F25" s="9"/>
      <c r="G25" s="8"/>
      <c r="H25" s="8"/>
      <c r="I25" s="9"/>
      <c r="J25" s="8"/>
      <c r="K25" s="8"/>
    </row>
    <row r="26" spans="1:14" ht="14.45">
      <c r="A26" s="8" t="str">
        <v>Taos County - Kit Carson Electric Co-Op</v>
      </c>
      <c r="B26" s="13" t="str">
        <v>NM</v>
      </c>
      <c r="C26" s="8"/>
      <c r="D26" s="8"/>
      <c r="E26" s="8"/>
      <c r="F26" s="9"/>
      <c r="G26" s="8"/>
      <c r="H26" s="8"/>
      <c r="I26" s="9"/>
      <c r="J26" s="8"/>
      <c r="K26" s="8"/>
    </row>
    <row r="27" spans="1:14" ht="14.45">
      <c r="A27" s="8" t="str">
        <v>Commerce City - Adams City HS</v>
      </c>
      <c r="B27" s="13" t="str">
        <v>CO</v>
      </c>
      <c r="C27" s="8"/>
      <c r="D27" s="8"/>
      <c r="E27" s="8"/>
      <c r="F27" s="9"/>
      <c r="G27" s="8"/>
      <c r="H27" s="8"/>
      <c r="I27" s="9"/>
      <c r="J27" s="8"/>
      <c r="K27" s="8"/>
    </row>
    <row r="28" spans="1:14" ht="14.45">
      <c r="A28" s="8" t="str">
        <v>Commerce City - Adams City MS</v>
      </c>
      <c r="B28" s="13" t="str">
        <v>CO</v>
      </c>
      <c r="C28" s="8"/>
      <c r="D28" s="8"/>
      <c r="E28" s="8"/>
      <c r="F28" s="9"/>
      <c r="G28" s="8"/>
      <c r="H28" s="8"/>
      <c r="I28" s="9"/>
      <c r="J28" s="8"/>
      <c r="K28" s="8"/>
    </row>
    <row r="29" spans="1:14" ht="14.45">
      <c r="A29" s="8" t="str">
        <v>Commerce City - Central ES</v>
      </c>
      <c r="B29" s="13" t="str">
        <v>CO</v>
      </c>
      <c r="C29" s="8"/>
      <c r="D29" s="8"/>
      <c r="E29" s="8"/>
      <c r="F29" s="9"/>
      <c r="G29" s="8"/>
      <c r="H29" s="8"/>
      <c r="I29" s="9"/>
      <c r="J29" s="8"/>
      <c r="K29" s="8"/>
    </row>
    <row r="30" spans="1:14" ht="14.45">
      <c r="A30" s="8" t="str">
        <v>Commerce City - Dupont ES</v>
      </c>
      <c r="B30" s="13" t="str">
        <v>CO</v>
      </c>
      <c r="C30" s="8"/>
      <c r="D30" s="8"/>
      <c r="E30" s="8"/>
      <c r="F30" s="9"/>
      <c r="G30" s="8"/>
      <c r="H30" s="8"/>
      <c r="I30" s="9"/>
      <c r="J30" s="8"/>
      <c r="K30" s="8"/>
    </row>
    <row r="31" spans="1:14" ht="14.45">
      <c r="A31" s="8" t="str">
        <v>Commerce City - Educational Support Services</v>
      </c>
      <c r="B31" s="13" t="str">
        <v>CO</v>
      </c>
      <c r="C31" s="8"/>
      <c r="D31" s="8"/>
      <c r="E31" s="8"/>
      <c r="F31" s="9"/>
      <c r="G31" s="8"/>
      <c r="H31" s="8"/>
      <c r="I31" s="9"/>
      <c r="J31" s="8"/>
      <c r="K31" s="8"/>
    </row>
    <row r="32" spans="1:14"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7"/>
  <sheetViews>
    <sheetView zoomScale="50" zoomScaleNormal="50" workbookViewId="0">
      <pane xSplit="2" ySplit="3" topLeftCell="C42" activePane="bottomRight" state="frozen"/>
      <selection pane="bottomRight" activeCell="M38" sqref="M38"/>
      <selection pane="bottomLeft" activeCell="J4" sqref="J4:Y85"/>
      <selection pane="topRight" activeCell="J4" sqref="J4:Y85"/>
    </sheetView>
  </sheetViews>
  <sheetFormatPr defaultRowHeight="13.9"/>
  <cols>
    <col min="1" max="1" width="47.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22" t="str" cm="1">
        <f t="array" ref="A1">portfolio</f>
        <v>Clean Capital</v>
      </c>
      <c r="B1" s="122"/>
      <c r="C1" s="122"/>
      <c r="D1" s="123" t="s">
        <v>275</v>
      </c>
      <c r="E1" s="123"/>
      <c r="F1" s="123"/>
      <c r="G1" s="121" t="s">
        <v>276</v>
      </c>
      <c r="H1" s="121"/>
      <c r="I1" s="121"/>
      <c r="J1" s="4"/>
      <c r="K1" s="4"/>
    </row>
    <row r="2" spans="1:16" ht="19.5" customHeight="1">
      <c r="A2" s="124" t="s">
        <v>2</v>
      </c>
      <c r="B2" s="124"/>
      <c r="C2" s="5">
        <f>SUM(C4:C85)</f>
        <v>0</v>
      </c>
      <c r="D2" s="5">
        <f>SUM(D4:D85)</f>
        <v>0</v>
      </c>
      <c r="E2" s="5">
        <f>C2-D2</f>
        <v>0</v>
      </c>
      <c r="F2" s="6">
        <f>IFERROR(E2/D2, 0)</f>
        <v>0</v>
      </c>
      <c r="G2" s="5">
        <f>SUM(G4:G85)</f>
        <v>0</v>
      </c>
      <c r="H2" s="7">
        <f>C2-G2</f>
        <v>0</v>
      </c>
      <c r="I2" s="6">
        <f>IFERROR(H2/G2, 0)</f>
        <v>0</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4</v>
      </c>
      <c r="B3" s="12" t="s">
        <v>5</v>
      </c>
      <c r="C3" s="19" t="s">
        <v>6</v>
      </c>
      <c r="D3" s="20" t="s">
        <v>7</v>
      </c>
      <c r="E3" s="20" t="s">
        <v>8</v>
      </c>
      <c r="F3" s="21" t="s">
        <v>9</v>
      </c>
      <c r="G3" s="22" t="s">
        <v>10</v>
      </c>
      <c r="H3" s="23" t="s">
        <v>8</v>
      </c>
      <c r="I3" s="24" t="s">
        <v>9</v>
      </c>
      <c r="J3" s="10" t="s">
        <v>272</v>
      </c>
      <c r="K3" s="10" t="s">
        <v>22</v>
      </c>
    </row>
    <row r="4" spans="1:16" ht="121.5" customHeight="1">
      <c r="A4" s="39" t="str" cm="1">
        <f t="array" ref="A4:A85">Sites[Site]</f>
        <v>Lexington - Cotting School</v>
      </c>
      <c r="B4" s="40" t="str" cm="1">
        <f t="array" ref="B4:B85">Sites[State]</f>
        <v>MA</v>
      </c>
      <c r="C4" s="28"/>
      <c r="D4" s="29"/>
      <c r="E4" s="29" t="str">
        <f>IF(AND(ISNUMBER(C4),ISNUMBER(D4)), C4-D4, "")</f>
        <v/>
      </c>
      <c r="F4" s="30" t="str">
        <f>IFERROR(E4/D4, "")</f>
        <v/>
      </c>
      <c r="G4" s="73"/>
      <c r="H4" s="31" t="str">
        <f>IF(AND(ISNUMBER(C4),ISNUMBER(G4)), C4-G4, "")</f>
        <v/>
      </c>
      <c r="I4" s="32" t="str">
        <f>IFERROR(H4/G4, "")</f>
        <v/>
      </c>
      <c r="J4" s="49"/>
      <c r="K4" s="67"/>
      <c r="L4" s="95"/>
      <c r="M4" s="95"/>
      <c r="N4" s="95"/>
    </row>
    <row r="5" spans="1:16" ht="232.5" customHeight="1">
      <c r="A5" s="41" t="str">
        <v>Pacoima - Whiteman Airport</v>
      </c>
      <c r="B5" s="42" t="str">
        <v>CA</v>
      </c>
      <c r="C5" s="35"/>
      <c r="D5" s="36"/>
      <c r="E5" s="36" t="str">
        <f>IF(AND(ISNUMBER(C5),ISNUMBER(D5)), C5-D5, "")</f>
        <v/>
      </c>
      <c r="F5" s="37" t="str">
        <f>IFERROR(E5/D5, "")</f>
        <v/>
      </c>
      <c r="G5" s="38"/>
      <c r="H5" s="38" t="str">
        <f t="shared" ref="H5:H46" si="0">IF(AND(ISNUMBER(C5),ISNUMBER(G5)), C5-G5, "")</f>
        <v/>
      </c>
      <c r="I5" s="37" t="str">
        <f t="shared" ref="I5:I46" si="1">IFERROR(H5/G5, "")</f>
        <v/>
      </c>
      <c r="J5" s="50"/>
      <c r="K5" s="75"/>
      <c r="L5" s="95"/>
      <c r="M5" s="95"/>
      <c r="N5" s="95"/>
      <c r="O5" s="95"/>
    </row>
    <row r="6" spans="1:16" ht="15.6">
      <c r="A6" s="43" t="str">
        <v>Hyannis - Sturgis Charter School</v>
      </c>
      <c r="B6" s="40" t="str">
        <v>MA</v>
      </c>
      <c r="C6" s="28"/>
      <c r="D6" s="29"/>
      <c r="E6" s="29" t="str">
        <f t="shared" ref="E6:E46" si="2">IF(AND(ISNUMBER(C6),ISNUMBER(D6)), C6-D6, "")</f>
        <v/>
      </c>
      <c r="F6" s="30" t="str">
        <f t="shared" ref="F6:F47" si="3">IFERROR(E6/D6, "")</f>
        <v/>
      </c>
      <c r="G6" s="31"/>
      <c r="H6" s="31" t="str">
        <f t="shared" si="0"/>
        <v/>
      </c>
      <c r="I6" s="32" t="str">
        <f t="shared" si="1"/>
        <v/>
      </c>
      <c r="J6" s="49"/>
      <c r="K6" s="49"/>
    </row>
    <row r="7" spans="1:16" ht="15.6">
      <c r="A7" s="41" t="str">
        <v>South Dennis - Tony Kent Arena</v>
      </c>
      <c r="B7" s="42" t="str">
        <v>MA</v>
      </c>
      <c r="C7" s="35"/>
      <c r="D7" s="36"/>
      <c r="E7" s="36" t="str">
        <f t="shared" si="2"/>
        <v/>
      </c>
      <c r="F7" s="37" t="str">
        <f t="shared" si="3"/>
        <v/>
      </c>
      <c r="G7" s="83"/>
      <c r="H7" s="38" t="str">
        <f t="shared" si="0"/>
        <v/>
      </c>
      <c r="I7" s="37" t="str">
        <f t="shared" si="1"/>
        <v/>
      </c>
      <c r="J7" s="50"/>
      <c r="K7" s="68"/>
      <c r="L7" s="95"/>
    </row>
    <row r="8" spans="1:16" ht="15.6">
      <c r="A8" s="43" t="str">
        <v xml:space="preserve"> Caropolis - Felician Sisters</v>
      </c>
      <c r="B8" s="40" t="str">
        <v>PA</v>
      </c>
      <c r="C8" s="28"/>
      <c r="D8" s="29"/>
      <c r="E8" s="29" t="str">
        <f t="shared" si="2"/>
        <v/>
      </c>
      <c r="F8" s="30" t="str">
        <f t="shared" si="3"/>
        <v/>
      </c>
      <c r="G8" s="84"/>
      <c r="H8" s="31" t="str">
        <f t="shared" si="0"/>
        <v/>
      </c>
      <c r="I8" s="32" t="str">
        <f t="shared" si="1"/>
        <v/>
      </c>
      <c r="J8" s="49"/>
      <c r="K8" s="67"/>
      <c r="L8" s="95"/>
    </row>
    <row r="9" spans="1:16" ht="15.6">
      <c r="A9" s="41" t="str">
        <v>Clear Lake - Eastlake Gohman</v>
      </c>
      <c r="B9" s="42" t="str">
        <v>MN</v>
      </c>
      <c r="C9" s="35"/>
      <c r="D9" s="36"/>
      <c r="E9" s="36" t="str">
        <f t="shared" si="2"/>
        <v/>
      </c>
      <c r="F9" s="37" t="str">
        <f t="shared" si="3"/>
        <v/>
      </c>
      <c r="G9" s="38"/>
      <c r="H9" s="38" t="str">
        <f t="shared" si="0"/>
        <v/>
      </c>
      <c r="I9" s="37" t="str">
        <f t="shared" si="1"/>
        <v/>
      </c>
      <c r="J9" s="50"/>
      <c r="K9" s="75"/>
      <c r="L9" s="95"/>
    </row>
    <row r="10" spans="1:16" ht="15.6">
      <c r="A10" s="43" t="str">
        <v>Zumbrota - Eastlake Brenda Luhman</v>
      </c>
      <c r="B10" s="40" t="str">
        <v>MN</v>
      </c>
      <c r="C10" s="28"/>
      <c r="D10" s="29"/>
      <c r="E10" s="29" t="str">
        <f t="shared" si="2"/>
        <v/>
      </c>
      <c r="F10" s="30" t="str">
        <f t="shared" si="3"/>
        <v/>
      </c>
      <c r="G10" s="31"/>
      <c r="H10" s="31" t="str">
        <f t="shared" si="0"/>
        <v/>
      </c>
      <c r="I10" s="32" t="str">
        <f t="shared" si="1"/>
        <v/>
      </c>
      <c r="J10" s="49"/>
      <c r="K10" s="49"/>
    </row>
    <row r="11" spans="1:16" ht="15.6">
      <c r="A11" s="41" t="str">
        <v>Cokato - Eastlake Carlson</v>
      </c>
      <c r="B11" s="42" t="str">
        <v>MN</v>
      </c>
      <c r="C11" s="35"/>
      <c r="D11" s="36"/>
      <c r="E11" s="36" t="str">
        <f t="shared" si="2"/>
        <v/>
      </c>
      <c r="F11" s="37" t="str">
        <f t="shared" si="3"/>
        <v/>
      </c>
      <c r="G11" s="38"/>
      <c r="H11" s="38" t="str">
        <f t="shared" si="0"/>
        <v/>
      </c>
      <c r="I11" s="37" t="str">
        <f t="shared" si="1"/>
        <v/>
      </c>
      <c r="J11" s="60"/>
      <c r="K11" s="75"/>
      <c r="L11" s="95"/>
      <c r="M11" s="95"/>
    </row>
    <row r="12" spans="1:16" ht="15.6">
      <c r="A12" s="43" t="str">
        <v>North Branch - Cornille 2</v>
      </c>
      <c r="B12" s="40" t="str">
        <v>MN</v>
      </c>
      <c r="C12" s="28"/>
      <c r="D12" s="29"/>
      <c r="E12" s="29" t="str">
        <f t="shared" si="2"/>
        <v/>
      </c>
      <c r="F12" s="30" t="str">
        <f t="shared" si="3"/>
        <v/>
      </c>
      <c r="G12" s="31"/>
      <c r="H12" s="31" t="str">
        <f t="shared" si="0"/>
        <v/>
      </c>
      <c r="I12" s="32" t="str">
        <f t="shared" si="1"/>
        <v/>
      </c>
      <c r="J12" s="49"/>
      <c r="K12" s="67"/>
      <c r="L12" s="95"/>
      <c r="M12" s="95"/>
      <c r="N12" s="95"/>
      <c r="O12" s="95"/>
      <c r="P12" s="95"/>
    </row>
    <row r="13" spans="1:16" ht="15.6">
      <c r="A13" s="41" t="str">
        <v>Clear Lake - Eastlake Hammer</v>
      </c>
      <c r="B13" s="42" t="str">
        <v>MN</v>
      </c>
      <c r="C13" s="35"/>
      <c r="D13" s="36"/>
      <c r="E13" s="36" t="str">
        <f t="shared" si="2"/>
        <v/>
      </c>
      <c r="F13" s="37" t="str">
        <f t="shared" si="3"/>
        <v/>
      </c>
      <c r="G13" s="38"/>
      <c r="H13" s="38" t="str">
        <f t="shared" si="0"/>
        <v/>
      </c>
      <c r="I13" s="37" t="str">
        <f t="shared" si="1"/>
        <v/>
      </c>
      <c r="J13" s="50"/>
      <c r="K13" s="51"/>
    </row>
    <row r="14" spans="1:16" ht="91.5" customHeight="1">
      <c r="A14" s="43" t="str">
        <v>Eastlake - Hertzberg CSG 1</v>
      </c>
      <c r="B14" s="40" t="str">
        <v>MN</v>
      </c>
      <c r="C14" s="28"/>
      <c r="D14" s="29"/>
      <c r="E14" s="29" t="str">
        <f t="shared" si="2"/>
        <v/>
      </c>
      <c r="F14" s="30" t="str">
        <f t="shared" si="3"/>
        <v/>
      </c>
      <c r="G14" s="31"/>
      <c r="H14" s="31" t="str">
        <f t="shared" si="0"/>
        <v/>
      </c>
      <c r="I14" s="32" t="str">
        <f t="shared" si="1"/>
        <v/>
      </c>
      <c r="J14" s="49"/>
      <c r="K14" s="67"/>
      <c r="L14" s="95"/>
    </row>
    <row r="15" spans="1:16" ht="106.5" customHeight="1">
      <c r="A15" s="41" t="str">
        <v>Cokato - Eastlake Laurel Village</v>
      </c>
      <c r="B15" s="42" t="str">
        <v>MN</v>
      </c>
      <c r="C15" s="35"/>
      <c r="D15" s="36"/>
      <c r="E15" s="36" t="str">
        <f t="shared" si="2"/>
        <v/>
      </c>
      <c r="F15" s="37" t="str">
        <f t="shared" si="3"/>
        <v/>
      </c>
      <c r="G15" s="38"/>
      <c r="H15" s="38" t="str">
        <f t="shared" si="0"/>
        <v/>
      </c>
      <c r="I15" s="37" t="str">
        <f t="shared" si="1"/>
        <v/>
      </c>
      <c r="J15" s="50"/>
      <c r="K15" s="75"/>
      <c r="L15" s="95"/>
    </row>
    <row r="16" spans="1:16" ht="15.6">
      <c r="A16" s="43" t="str">
        <v>St. Peter - Eastlake Paulson</v>
      </c>
      <c r="B16" s="40" t="str">
        <v>MN</v>
      </c>
      <c r="C16" s="28"/>
      <c r="D16" s="29"/>
      <c r="E16" s="29" t="str">
        <f t="shared" si="2"/>
        <v/>
      </c>
      <c r="F16" s="30" t="str">
        <f t="shared" si="3"/>
        <v/>
      </c>
      <c r="G16" s="31"/>
      <c r="H16" s="31" t="str">
        <f t="shared" si="0"/>
        <v/>
      </c>
      <c r="I16" s="32" t="str">
        <f t="shared" si="1"/>
        <v/>
      </c>
      <c r="J16" s="49"/>
      <c r="K16" s="67"/>
    </row>
    <row r="17" spans="1:14" ht="15.6">
      <c r="A17" s="41" t="str">
        <v>Felician Sisters Convent</v>
      </c>
      <c r="B17" s="42" t="str">
        <v>NJ</v>
      </c>
      <c r="C17" s="35"/>
      <c r="D17" s="36"/>
      <c r="E17" s="36" t="str">
        <f t="shared" si="2"/>
        <v/>
      </c>
      <c r="F17" s="37" t="str">
        <f t="shared" si="3"/>
        <v/>
      </c>
      <c r="G17" s="83"/>
      <c r="H17" s="38" t="str">
        <f t="shared" si="0"/>
        <v/>
      </c>
      <c r="I17" s="37" t="str">
        <f t="shared" si="1"/>
        <v/>
      </c>
      <c r="J17" s="50"/>
      <c r="K17" s="75"/>
      <c r="L17" s="95"/>
      <c r="M17" s="95"/>
    </row>
    <row r="18" spans="1:14" ht="15.6">
      <c r="A18" s="43" t="str">
        <v>Sussex County Fairgrounds</v>
      </c>
      <c r="B18" s="40" t="str">
        <v>NJ</v>
      </c>
      <c r="C18" s="28"/>
      <c r="D18" s="29"/>
      <c r="E18" s="29" t="str">
        <f t="shared" si="2"/>
        <v/>
      </c>
      <c r="F18" s="30" t="str">
        <f t="shared" si="3"/>
        <v/>
      </c>
      <c r="G18" s="84"/>
      <c r="H18" s="31" t="str">
        <f t="shared" si="0"/>
        <v/>
      </c>
      <c r="I18" s="32" t="str">
        <f t="shared" si="1"/>
        <v/>
      </c>
      <c r="J18" s="49"/>
      <c r="K18" s="67"/>
      <c r="L18" s="95"/>
    </row>
    <row r="19" spans="1:14" ht="15.6">
      <c r="A19" s="41" t="str">
        <v>Gateway Church</v>
      </c>
      <c r="B19" s="42" t="str">
        <v>NJ</v>
      </c>
      <c r="C19" s="35"/>
      <c r="D19" s="36"/>
      <c r="E19" s="36" t="str">
        <f t="shared" si="2"/>
        <v/>
      </c>
      <c r="F19" s="37" t="str">
        <f t="shared" si="3"/>
        <v/>
      </c>
      <c r="G19" s="83"/>
      <c r="H19" s="38" t="str">
        <f t="shared" si="0"/>
        <v/>
      </c>
      <c r="I19" s="37" t="str">
        <f t="shared" si="1"/>
        <v/>
      </c>
      <c r="J19" s="60"/>
      <c r="K19" s="75"/>
      <c r="L19" s="95"/>
      <c r="M19" s="95"/>
    </row>
    <row r="20" spans="1:14" ht="15.6">
      <c r="A20" s="43" t="str">
        <v>Beaver Falls - Felician Sisters</v>
      </c>
      <c r="B20" s="40" t="str">
        <v>PA</v>
      </c>
      <c r="C20" s="28"/>
      <c r="D20" s="29"/>
      <c r="E20" s="29" t="str">
        <f t="shared" si="2"/>
        <v/>
      </c>
      <c r="F20" s="30" t="str">
        <f t="shared" si="3"/>
        <v/>
      </c>
      <c r="G20" s="84"/>
      <c r="H20" s="31" t="str">
        <f t="shared" si="0"/>
        <v/>
      </c>
      <c r="I20" s="32" t="str">
        <f t="shared" si="1"/>
        <v/>
      </c>
      <c r="J20" s="49"/>
      <c r="K20" s="49"/>
    </row>
    <row r="21" spans="1:14" ht="15.6">
      <c r="A21" s="41" t="str">
        <v>Livonia - Felician Sisters Ground</v>
      </c>
      <c r="B21" s="42" t="str">
        <v>MI</v>
      </c>
      <c r="C21" s="35"/>
      <c r="D21" s="36"/>
      <c r="E21" s="36" t="str">
        <f t="shared" si="2"/>
        <v/>
      </c>
      <c r="F21" s="37" t="str">
        <f t="shared" si="3"/>
        <v/>
      </c>
      <c r="G21" s="83"/>
      <c r="H21" s="38" t="str">
        <f t="shared" si="0"/>
        <v/>
      </c>
      <c r="I21" s="37" t="str">
        <f t="shared" si="1"/>
        <v/>
      </c>
      <c r="J21" s="50"/>
      <c r="K21" s="75"/>
      <c r="L21" s="95"/>
      <c r="M21" s="95"/>
      <c r="N21" s="95"/>
    </row>
    <row r="22" spans="1:14" ht="15.6">
      <c r="A22" s="43" t="str">
        <v>Livonia - Felician Sisters Roof</v>
      </c>
      <c r="B22" s="40" t="str">
        <v>MI</v>
      </c>
      <c r="C22" s="28"/>
      <c r="D22" s="29"/>
      <c r="E22" s="29" t="str">
        <f t="shared" si="2"/>
        <v/>
      </c>
      <c r="F22" s="30" t="str">
        <f t="shared" si="3"/>
        <v/>
      </c>
      <c r="G22" s="84"/>
      <c r="H22" s="31" t="str">
        <f t="shared" si="0"/>
        <v/>
      </c>
      <c r="I22" s="32" t="str">
        <f t="shared" si="1"/>
        <v/>
      </c>
      <c r="J22" s="49"/>
      <c r="K22" s="49"/>
    </row>
    <row r="23" spans="1:14" ht="15.6">
      <c r="A23" s="41" t="str">
        <v>Monmouth Worship Ctr</v>
      </c>
      <c r="B23" s="42" t="str">
        <v>NJ</v>
      </c>
      <c r="C23" s="35"/>
      <c r="D23" s="36"/>
      <c r="E23" s="36" t="str">
        <f t="shared" si="2"/>
        <v/>
      </c>
      <c r="F23" s="37" t="str">
        <f t="shared" si="3"/>
        <v/>
      </c>
      <c r="G23" s="83"/>
      <c r="H23" s="38" t="str">
        <f t="shared" si="0"/>
        <v/>
      </c>
      <c r="I23" s="37" t="str">
        <f t="shared" si="1"/>
        <v/>
      </c>
      <c r="J23" s="50"/>
      <c r="K23" s="51"/>
    </row>
    <row r="24" spans="1:14" ht="15.6">
      <c r="A24" s="43" t="str">
        <v xml:space="preserve"> Audubon - Senior Citizens United</v>
      </c>
      <c r="B24" s="40" t="str">
        <v>NJ</v>
      </c>
      <c r="C24" s="28"/>
      <c r="D24" s="29"/>
      <c r="E24" s="29" t="str">
        <f t="shared" si="2"/>
        <v/>
      </c>
      <c r="F24" s="30" t="str">
        <f t="shared" si="3"/>
        <v/>
      </c>
      <c r="G24" s="84"/>
      <c r="H24" s="31" t="str">
        <f t="shared" si="0"/>
        <v/>
      </c>
      <c r="I24" s="32" t="str">
        <f t="shared" si="1"/>
        <v/>
      </c>
      <c r="J24" s="49"/>
      <c r="K24" s="49"/>
    </row>
    <row r="25" spans="1:14" ht="104.25" customHeight="1">
      <c r="A25" s="41" t="str">
        <v>Hollister - PG&amp;E (Enerparc)</v>
      </c>
      <c r="B25" s="42" t="str">
        <v>CA</v>
      </c>
      <c r="C25" s="35"/>
      <c r="D25" s="36"/>
      <c r="E25" s="36" t="str">
        <f t="shared" si="2"/>
        <v/>
      </c>
      <c r="F25" s="37" t="str">
        <f t="shared" si="3"/>
        <v/>
      </c>
      <c r="G25" s="72"/>
      <c r="H25" s="38" t="str">
        <f t="shared" si="0"/>
        <v/>
      </c>
      <c r="I25" s="37" t="str">
        <f t="shared" si="1"/>
        <v/>
      </c>
      <c r="J25" s="50"/>
      <c r="K25" s="75"/>
      <c r="L25" s="95"/>
      <c r="M25" s="95"/>
    </row>
    <row r="26" spans="1:14" ht="15.6">
      <c r="A26" s="43" t="str">
        <v>Taos County - Kit Carson Electric Co-Op</v>
      </c>
      <c r="B26" s="40" t="str">
        <v>NM</v>
      </c>
      <c r="C26" s="28"/>
      <c r="D26" s="29"/>
      <c r="E26" s="29" t="str">
        <f t="shared" si="2"/>
        <v/>
      </c>
      <c r="F26" s="30" t="str">
        <f t="shared" si="3"/>
        <v/>
      </c>
      <c r="G26" s="31"/>
      <c r="H26" s="31" t="str">
        <f t="shared" si="0"/>
        <v/>
      </c>
      <c r="I26" s="32" t="str">
        <f t="shared" si="1"/>
        <v/>
      </c>
      <c r="J26" s="49"/>
      <c r="K26" s="67"/>
    </row>
    <row r="27" spans="1:14" ht="15.6">
      <c r="A27" s="41" t="str">
        <v>Commerce City - Adams City HS</v>
      </c>
      <c r="B27" s="42" t="str">
        <v>CO</v>
      </c>
      <c r="C27" s="35"/>
      <c r="D27" s="36"/>
      <c r="E27" s="36" t="str">
        <f t="shared" si="2"/>
        <v/>
      </c>
      <c r="F27" s="37" t="str">
        <f t="shared" si="3"/>
        <v/>
      </c>
      <c r="G27" s="72"/>
      <c r="H27" s="38" t="str">
        <f t="shared" si="0"/>
        <v/>
      </c>
      <c r="I27" s="37" t="str">
        <f t="shared" si="1"/>
        <v/>
      </c>
      <c r="J27" s="50"/>
      <c r="K27" s="75"/>
    </row>
    <row r="28" spans="1:14" ht="15.6">
      <c r="A28" s="43" t="str">
        <v>Commerce City - Adams City MS</v>
      </c>
      <c r="B28" s="40" t="str">
        <v>CO</v>
      </c>
      <c r="C28" s="28"/>
      <c r="D28" s="29"/>
      <c r="E28" s="29" t="str">
        <f t="shared" si="2"/>
        <v/>
      </c>
      <c r="F28" s="30" t="str">
        <f t="shared" si="3"/>
        <v/>
      </c>
      <c r="G28" s="31"/>
      <c r="H28" s="31" t="str">
        <f t="shared" si="0"/>
        <v/>
      </c>
      <c r="I28" s="32" t="str">
        <f t="shared" si="1"/>
        <v/>
      </c>
      <c r="J28" s="49"/>
      <c r="K28" s="49"/>
    </row>
    <row r="29" spans="1:14" ht="15.6">
      <c r="A29" s="41" t="str">
        <v>Commerce City - Central ES</v>
      </c>
      <c r="B29" s="42" t="str">
        <v>CO</v>
      </c>
      <c r="C29" s="35"/>
      <c r="D29" s="36"/>
      <c r="E29" s="36" t="str">
        <f t="shared" si="2"/>
        <v/>
      </c>
      <c r="F29" s="37" t="str">
        <f t="shared" si="3"/>
        <v/>
      </c>
      <c r="G29" s="72"/>
      <c r="H29" s="38" t="str">
        <f t="shared" si="0"/>
        <v/>
      </c>
      <c r="I29" s="37" t="str">
        <f t="shared" si="1"/>
        <v/>
      </c>
      <c r="J29" s="50"/>
      <c r="K29" s="51"/>
    </row>
    <row r="30" spans="1:14" ht="15.6">
      <c r="A30" s="43" t="str">
        <v>Commerce City - Dupont ES</v>
      </c>
      <c r="B30" s="40" t="str">
        <v>CO</v>
      </c>
      <c r="C30" s="28"/>
      <c r="D30" s="29"/>
      <c r="E30" s="29" t="str">
        <f t="shared" si="2"/>
        <v/>
      </c>
      <c r="F30" s="30" t="str">
        <f t="shared" si="3"/>
        <v/>
      </c>
      <c r="G30" s="31"/>
      <c r="H30" s="31" t="str">
        <f t="shared" si="0"/>
        <v/>
      </c>
      <c r="I30" s="32" t="str">
        <f t="shared" si="1"/>
        <v/>
      </c>
      <c r="J30" s="49"/>
      <c r="K30" s="67"/>
    </row>
    <row r="31" spans="1:14" ht="15.6">
      <c r="A31" s="41" t="str">
        <v>Commerce City - Educational Support Services</v>
      </c>
      <c r="B31" s="42" t="str">
        <v>CO</v>
      </c>
      <c r="C31" s="35"/>
      <c r="D31" s="36"/>
      <c r="E31" s="36" t="str">
        <f t="shared" si="2"/>
        <v/>
      </c>
      <c r="F31" s="37" t="str">
        <f t="shared" si="3"/>
        <v/>
      </c>
      <c r="G31" s="72"/>
      <c r="H31" s="38" t="str">
        <f t="shared" si="0"/>
        <v/>
      </c>
      <c r="I31" s="37" t="str">
        <f t="shared" si="1"/>
        <v/>
      </c>
      <c r="J31" s="50"/>
      <c r="K31" s="60"/>
    </row>
    <row r="32" spans="1:14" ht="15.6">
      <c r="A32" s="43" t="str">
        <v>Commerce City - Hanson ES</v>
      </c>
      <c r="B32" s="40" t="str">
        <v>CO</v>
      </c>
      <c r="C32" s="28"/>
      <c r="D32" s="29"/>
      <c r="E32" s="29" t="str">
        <f t="shared" si="2"/>
        <v/>
      </c>
      <c r="F32" s="30" t="str">
        <f t="shared" si="3"/>
        <v/>
      </c>
      <c r="G32" s="31"/>
      <c r="H32" s="31" t="str">
        <f t="shared" si="0"/>
        <v/>
      </c>
      <c r="I32" s="32" t="str">
        <f t="shared" si="1"/>
        <v/>
      </c>
      <c r="J32" s="49"/>
      <c r="K32" s="67"/>
    </row>
    <row r="33" spans="1:12" ht="15.6">
      <c r="A33" s="41" t="str">
        <v>Commerce City - Kemp ES</v>
      </c>
      <c r="B33" s="42" t="str">
        <v>CO</v>
      </c>
      <c r="C33" s="35"/>
      <c r="D33" s="36"/>
      <c r="E33" s="36" t="str">
        <f t="shared" si="2"/>
        <v/>
      </c>
      <c r="F33" s="37" t="str">
        <f t="shared" si="3"/>
        <v/>
      </c>
      <c r="G33" s="72"/>
      <c r="H33" s="38" t="str">
        <f t="shared" si="0"/>
        <v/>
      </c>
      <c r="I33" s="37" t="str">
        <f t="shared" si="1"/>
        <v/>
      </c>
      <c r="J33" s="60"/>
      <c r="K33" s="75"/>
    </row>
    <row r="34" spans="1:12" ht="15.6">
      <c r="A34" s="43" t="str">
        <v>Commerce City -  Lester Arnold HS</v>
      </c>
      <c r="B34" s="40" t="str">
        <v>CO</v>
      </c>
      <c r="C34" s="28"/>
      <c r="D34" s="29"/>
      <c r="E34" s="29" t="str">
        <f t="shared" si="2"/>
        <v/>
      </c>
      <c r="F34" s="30" t="str">
        <f t="shared" si="3"/>
        <v/>
      </c>
      <c r="G34" s="31"/>
      <c r="H34" s="31" t="str">
        <f t="shared" si="0"/>
        <v/>
      </c>
      <c r="I34" s="32" t="str">
        <f t="shared" si="1"/>
        <v/>
      </c>
      <c r="J34" s="62"/>
      <c r="K34" s="78"/>
    </row>
    <row r="35" spans="1:12" ht="15.6">
      <c r="A35" s="41" t="str">
        <v>Commerce City - Monaco ES</v>
      </c>
      <c r="B35" s="42" t="str">
        <v>CO</v>
      </c>
      <c r="C35" s="35"/>
      <c r="D35" s="36"/>
      <c r="E35" s="36" t="str">
        <f t="shared" si="2"/>
        <v/>
      </c>
      <c r="F35" s="37" t="str">
        <f t="shared" si="3"/>
        <v/>
      </c>
      <c r="G35" s="72"/>
      <c r="H35" s="38" t="str">
        <f t="shared" si="0"/>
        <v/>
      </c>
      <c r="I35" s="37" t="str">
        <f t="shared" si="1"/>
        <v/>
      </c>
      <c r="J35" s="60"/>
      <c r="K35" s="75"/>
      <c r="L35" s="95"/>
    </row>
    <row r="36" spans="1:12" ht="15.6">
      <c r="A36" s="43" t="str">
        <v>Denver - Northgate / Old Fort Logan ES</v>
      </c>
      <c r="B36" s="40" t="str">
        <v>CO</v>
      </c>
      <c r="C36" s="28"/>
      <c r="D36" s="29"/>
      <c r="E36" s="29" t="str">
        <f t="shared" si="2"/>
        <v/>
      </c>
      <c r="F36" s="30" t="str">
        <f t="shared" si="3"/>
        <v/>
      </c>
      <c r="G36" s="31"/>
      <c r="H36" s="31" t="str">
        <f t="shared" si="0"/>
        <v/>
      </c>
      <c r="I36" s="32" t="str">
        <f t="shared" si="1"/>
        <v/>
      </c>
      <c r="J36" s="62"/>
      <c r="K36" s="62"/>
    </row>
    <row r="37" spans="1:12" ht="15.6">
      <c r="A37" s="41" t="str">
        <v>Denver - Sheridan High School</v>
      </c>
      <c r="B37" s="42" t="str">
        <v>CO</v>
      </c>
      <c r="C37" s="35"/>
      <c r="D37" s="36"/>
      <c r="E37" s="36" t="str">
        <f t="shared" si="2"/>
        <v/>
      </c>
      <c r="F37" s="37" t="str">
        <f t="shared" si="3"/>
        <v/>
      </c>
      <c r="G37" s="72"/>
      <c r="H37" s="38" t="str">
        <f t="shared" si="0"/>
        <v/>
      </c>
      <c r="I37" s="37" t="str">
        <f t="shared" si="1"/>
        <v/>
      </c>
      <c r="J37" s="60"/>
      <c r="K37" s="59"/>
    </row>
    <row r="38" spans="1:12" ht="15.6">
      <c r="A38" s="43" t="str">
        <v>Englewood -  Alice Terry Elementary</v>
      </c>
      <c r="B38" s="40" t="str">
        <v>CO</v>
      </c>
      <c r="C38" s="28"/>
      <c r="D38" s="29"/>
      <c r="E38" s="29" t="str">
        <f t="shared" si="2"/>
        <v/>
      </c>
      <c r="F38" s="30" t="str">
        <f t="shared" si="3"/>
        <v/>
      </c>
      <c r="G38" s="31"/>
      <c r="H38" s="31" t="str">
        <f t="shared" si="0"/>
        <v/>
      </c>
      <c r="I38" s="32" t="str">
        <f t="shared" si="1"/>
        <v/>
      </c>
      <c r="J38" s="62"/>
      <c r="K38" s="62"/>
    </row>
    <row r="39" spans="1:12" ht="15.6">
      <c r="A39" s="41" t="str">
        <v>Englewood - Sheridan Middle School</v>
      </c>
      <c r="B39" s="42" t="str">
        <v>CO</v>
      </c>
      <c r="C39" s="35"/>
      <c r="D39" s="36"/>
      <c r="E39" s="36" t="str">
        <f t="shared" si="2"/>
        <v/>
      </c>
      <c r="F39" s="37" t="str">
        <f t="shared" si="3"/>
        <v/>
      </c>
      <c r="G39" s="72"/>
      <c r="H39" s="38" t="str">
        <f t="shared" si="0"/>
        <v/>
      </c>
      <c r="I39" s="37" t="str">
        <f t="shared" si="1"/>
        <v/>
      </c>
      <c r="J39" s="60"/>
      <c r="K39" s="75"/>
    </row>
    <row r="40" spans="1:12" ht="15.6">
      <c r="A40" s="43" t="str">
        <v>Goshen - NIPSCO</v>
      </c>
      <c r="B40" s="40" t="str">
        <v>IN</v>
      </c>
      <c r="C40" s="28"/>
      <c r="D40" s="29"/>
      <c r="E40" s="29" t="str">
        <f t="shared" si="2"/>
        <v/>
      </c>
      <c r="F40" s="30" t="str">
        <f t="shared" si="3"/>
        <v/>
      </c>
      <c r="G40" s="31"/>
      <c r="H40" s="31" t="str">
        <f t="shared" si="0"/>
        <v/>
      </c>
      <c r="I40" s="32" t="str">
        <f t="shared" si="1"/>
        <v/>
      </c>
      <c r="J40" s="62"/>
      <c r="K40" s="78"/>
    </row>
    <row r="41" spans="1:12" ht="15.6">
      <c r="A41" s="41" t="str">
        <v>Alamogordo - City of Alamogordo - Effluent</v>
      </c>
      <c r="B41" s="42" t="str">
        <v>NM</v>
      </c>
      <c r="C41" s="35"/>
      <c r="D41" s="36"/>
      <c r="E41" s="36" t="str">
        <f t="shared" si="2"/>
        <v/>
      </c>
      <c r="F41" s="37" t="str">
        <f t="shared" si="3"/>
        <v/>
      </c>
      <c r="G41" s="72"/>
      <c r="H41" s="38" t="str">
        <f t="shared" si="0"/>
        <v/>
      </c>
      <c r="I41" s="37" t="str">
        <f t="shared" si="1"/>
        <v/>
      </c>
      <c r="J41" s="60"/>
      <c r="K41" s="75"/>
      <c r="L41" s="95"/>
    </row>
    <row r="42" spans="1:12" ht="15.6">
      <c r="A42" s="43" t="str">
        <v>Alamogordo - City of Alamogordo - WWTP</v>
      </c>
      <c r="B42" s="40" t="str">
        <v>NM</v>
      </c>
      <c r="C42" s="28"/>
      <c r="D42" s="29"/>
      <c r="E42" s="29" t="str">
        <f t="shared" si="2"/>
        <v/>
      </c>
      <c r="F42" s="30" t="str">
        <f t="shared" si="3"/>
        <v/>
      </c>
      <c r="G42" s="31"/>
      <c r="H42" s="31" t="str">
        <f t="shared" si="0"/>
        <v/>
      </c>
      <c r="I42" s="32" t="str">
        <f t="shared" si="1"/>
        <v/>
      </c>
      <c r="J42" s="62"/>
      <c r="K42" s="78"/>
      <c r="L42" s="95"/>
    </row>
    <row r="43" spans="1:12" ht="15.6">
      <c r="A43" s="41" t="str">
        <v>Deming - Bilbo Booster</v>
      </c>
      <c r="B43" s="42" t="str">
        <v>NM</v>
      </c>
      <c r="C43" s="35"/>
      <c r="D43" s="36"/>
      <c r="E43" s="36" t="str">
        <f t="shared" si="2"/>
        <v/>
      </c>
      <c r="F43" s="37" t="str">
        <f t="shared" si="3"/>
        <v/>
      </c>
      <c r="G43" s="72"/>
      <c r="H43" s="38" t="str">
        <f t="shared" si="0"/>
        <v/>
      </c>
      <c r="I43" s="37" t="str">
        <f t="shared" si="1"/>
        <v/>
      </c>
      <c r="J43" s="60"/>
      <c r="K43" s="59"/>
    </row>
    <row r="44" spans="1:12" ht="15.6">
      <c r="A44" s="43" t="str">
        <v>Deming - Bilbo Well</v>
      </c>
      <c r="B44" s="40" t="str">
        <v>NM</v>
      </c>
      <c r="C44" s="28"/>
      <c r="D44" s="29"/>
      <c r="E44" s="29" t="str">
        <f t="shared" si="2"/>
        <v/>
      </c>
      <c r="F44" s="30" t="str">
        <f t="shared" si="3"/>
        <v/>
      </c>
      <c r="G44" s="31"/>
      <c r="H44" s="31" t="str">
        <f t="shared" si="0"/>
        <v/>
      </c>
      <c r="I44" s="32" t="str">
        <f t="shared" si="1"/>
        <v/>
      </c>
      <c r="J44" s="62"/>
      <c r="K44" s="78"/>
    </row>
    <row r="45" spans="1:12" ht="15.6">
      <c r="A45" s="41" t="str">
        <v>Deming - WWTP</v>
      </c>
      <c r="B45" s="42" t="str">
        <v>NM</v>
      </c>
      <c r="C45" s="35"/>
      <c r="D45" s="36"/>
      <c r="E45" s="36" t="str">
        <f t="shared" si="2"/>
        <v/>
      </c>
      <c r="F45" s="93" t="str">
        <f t="shared" si="3"/>
        <v/>
      </c>
      <c r="G45" s="72"/>
      <c r="H45" s="38" t="str">
        <f t="shared" si="0"/>
        <v/>
      </c>
      <c r="I45" s="37" t="str">
        <f t="shared" si="1"/>
        <v/>
      </c>
      <c r="J45" s="60"/>
      <c r="K45" s="75"/>
    </row>
    <row r="46" spans="1:12" ht="109.5" customHeight="1">
      <c r="A46" s="43" t="str">
        <v>Truth or Consequences - Walmart</v>
      </c>
      <c r="B46" s="40" t="str">
        <v>NM</v>
      </c>
      <c r="C46" s="28"/>
      <c r="D46" s="29"/>
      <c r="E46" s="91" t="str">
        <f t="shared" si="2"/>
        <v/>
      </c>
      <c r="F46" s="90" t="str">
        <f t="shared" si="3"/>
        <v/>
      </c>
      <c r="G46" s="92"/>
      <c r="H46" s="31" t="str">
        <f t="shared" si="0"/>
        <v/>
      </c>
      <c r="I46" s="32" t="str">
        <f t="shared" si="1"/>
        <v/>
      </c>
      <c r="J46" s="62"/>
      <c r="K46" s="78"/>
      <c r="L46" s="95"/>
    </row>
    <row r="47" spans="1:12" ht="14.45">
      <c r="A47" s="8" t="str">
        <v>CA: Stockton - SUSD - Merlo</v>
      </c>
      <c r="B47" s="13" t="str">
        <v>CA</v>
      </c>
      <c r="C47" s="8"/>
      <c r="D47" s="8"/>
      <c r="E47" s="8"/>
      <c r="F47" s="89" t="str">
        <f t="shared" si="3"/>
        <v/>
      </c>
      <c r="G47" s="8"/>
      <c r="H47" s="8"/>
      <c r="I47" s="9"/>
      <c r="J47" s="94"/>
      <c r="K47" s="94"/>
    </row>
    <row r="48" spans="1:12"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27"/>
  <sheetViews>
    <sheetView zoomScale="50" zoomScaleNormal="50" workbookViewId="0">
      <pane xSplit="2" ySplit="3" topLeftCell="C62" activePane="bottomRight" state="frozen"/>
      <selection pane="bottomRight" activeCell="M46" sqref="M46"/>
      <selection pane="bottomLeft" activeCell="J4" sqref="J4:Y85"/>
      <selection pane="topRight" activeCell="J4" sqref="J4:Y85"/>
    </sheetView>
  </sheetViews>
  <sheetFormatPr defaultRowHeight="13.9"/>
  <cols>
    <col min="1" max="1" width="55.42578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77"/>
  </cols>
  <sheetData>
    <row r="1" spans="1:15" ht="19.5" customHeight="1">
      <c r="A1" s="122" t="str" cm="1">
        <f t="array" ref="A1">portfolio</f>
        <v>Clean Capital</v>
      </c>
      <c r="B1" s="122"/>
      <c r="C1" s="122"/>
      <c r="D1" s="123" t="s">
        <v>277</v>
      </c>
      <c r="E1" s="123"/>
      <c r="F1" s="123"/>
      <c r="G1" s="121" t="s">
        <v>278</v>
      </c>
      <c r="H1" s="121"/>
      <c r="I1" s="121"/>
      <c r="J1" s="4"/>
      <c r="K1" s="4"/>
    </row>
    <row r="2" spans="1:15" ht="19.5" customHeight="1">
      <c r="A2" s="124" t="s">
        <v>2</v>
      </c>
      <c r="B2" s="124"/>
      <c r="C2" s="5">
        <f>SUM(C4:C85)</f>
        <v>0</v>
      </c>
      <c r="D2" s="5">
        <f>SUM(D4:D85)</f>
        <v>0</v>
      </c>
      <c r="E2" s="5">
        <f>C2-D2</f>
        <v>0</v>
      </c>
      <c r="F2" s="6">
        <f>IFERROR(E2/D2, 0)</f>
        <v>0</v>
      </c>
      <c r="G2" s="5">
        <f>SUM(G4:G85)</f>
        <v>0</v>
      </c>
      <c r="H2" s="7">
        <f>C2-G2</f>
        <v>0</v>
      </c>
      <c r="I2" s="6">
        <f>IFERROR(H2/G2, 0)</f>
        <v>0</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4</v>
      </c>
      <c r="B3" s="12" t="s">
        <v>5</v>
      </c>
      <c r="C3" s="19" t="s">
        <v>6</v>
      </c>
      <c r="D3" s="20" t="s">
        <v>7</v>
      </c>
      <c r="E3" s="20" t="s">
        <v>8</v>
      </c>
      <c r="F3" s="21" t="s">
        <v>9</v>
      </c>
      <c r="G3" s="22" t="s">
        <v>10</v>
      </c>
      <c r="H3" s="23" t="s">
        <v>8</v>
      </c>
      <c r="I3" s="24" t="s">
        <v>9</v>
      </c>
      <c r="J3" s="10" t="s">
        <v>272</v>
      </c>
      <c r="K3" s="10" t="s">
        <v>22</v>
      </c>
    </row>
    <row r="4" spans="1:15" ht="15.6">
      <c r="A4" s="39" t="str" cm="1">
        <f t="array" ref="A4:A85">Sites[Site]</f>
        <v>Lexington - Cotting School</v>
      </c>
      <c r="B4" s="40" t="str" cm="1">
        <f t="array" ref="B4:B85">Sites[State]</f>
        <v>MA</v>
      </c>
      <c r="C4" s="28"/>
      <c r="D4" s="97"/>
      <c r="E4" s="29" t="str">
        <f>IF(AND(ISNUMBER(C4),ISNUMBER(D4)), C4-D4, "")</f>
        <v/>
      </c>
      <c r="F4" s="30" t="str">
        <f>IFERROR(E4/D4, "")</f>
        <v/>
      </c>
      <c r="G4" s="84"/>
      <c r="H4" s="31" t="str">
        <f>IF(AND(ISNUMBER(C4),ISNUMBER(G4)), C4-G4, "")</f>
        <v/>
      </c>
      <c r="I4" s="32" t="str">
        <f>IFERROR(H4/G4, "")</f>
        <v/>
      </c>
      <c r="J4" s="57"/>
      <c r="K4" s="78"/>
    </row>
    <row r="5" spans="1:15" ht="209.25" customHeight="1">
      <c r="A5" s="41" t="str">
        <v>Pacoima - Whiteman Airport</v>
      </c>
      <c r="B5" s="42" t="str">
        <v>CA</v>
      </c>
      <c r="C5" s="35"/>
      <c r="D5" s="98"/>
      <c r="E5" s="36" t="str">
        <f t="shared" ref="E5:E12" si="0">IF(AND(ISNUMBER(C5),ISNUMBER(D5)), C5-D5, "")</f>
        <v/>
      </c>
      <c r="F5" s="37" t="str">
        <f>IFERROR(E5/D5, "")</f>
        <v/>
      </c>
      <c r="G5" s="58"/>
      <c r="H5" s="38" t="str">
        <f t="shared" ref="H5:H12" si="1">IF(AND(ISNUMBER(C5),ISNUMBER(G5)), C5-G5, "")</f>
        <v/>
      </c>
      <c r="I5" s="37" t="str">
        <f t="shared" ref="I5:I68" si="2">IFERROR(H5/G5, "")</f>
        <v/>
      </c>
      <c r="J5" s="112"/>
      <c r="K5" s="75"/>
      <c r="L5" s="76"/>
      <c r="M5" s="76"/>
      <c r="N5" s="76"/>
      <c r="O5" s="76"/>
    </row>
    <row r="6" spans="1:15" ht="15.6">
      <c r="A6" s="43" t="str">
        <v>Hyannis - Sturgis Charter School</v>
      </c>
      <c r="B6" s="40" t="str">
        <v>MA</v>
      </c>
      <c r="C6" s="28"/>
      <c r="D6" s="29"/>
      <c r="E6" s="29" t="str">
        <f t="shared" si="0"/>
        <v/>
      </c>
      <c r="F6" s="30" t="str">
        <f t="shared" ref="F6:F8" si="3">IFERROR(E6/D6, "")</f>
        <v/>
      </c>
      <c r="G6" s="31"/>
      <c r="H6" s="31" t="str">
        <f t="shared" si="1"/>
        <v/>
      </c>
      <c r="I6" s="32" t="str">
        <f t="shared" si="2"/>
        <v/>
      </c>
      <c r="J6" s="57"/>
      <c r="K6" s="57"/>
    </row>
    <row r="7" spans="1:15" ht="15.6">
      <c r="A7" s="41" t="str">
        <v>South Dennis - Tony Kent Arena</v>
      </c>
      <c r="B7" s="42" t="str">
        <v>MA</v>
      </c>
      <c r="C7" s="35"/>
      <c r="D7" s="96"/>
      <c r="E7" s="36" t="str">
        <f t="shared" si="0"/>
        <v/>
      </c>
      <c r="F7" s="37" t="str">
        <f t="shared" si="3"/>
        <v/>
      </c>
      <c r="G7" s="83"/>
      <c r="H7" s="38" t="str">
        <f t="shared" si="1"/>
        <v/>
      </c>
      <c r="I7" s="37" t="str">
        <f t="shared" si="2"/>
        <v/>
      </c>
      <c r="J7" s="113"/>
      <c r="K7" s="75"/>
      <c r="L7" s="76"/>
    </row>
    <row r="8" spans="1:15" ht="15.6">
      <c r="A8" s="43" t="str">
        <v xml:space="preserve"> Caropolis - Felician Sisters</v>
      </c>
      <c r="B8" s="40" t="str">
        <v>PA</v>
      </c>
      <c r="C8" s="28"/>
      <c r="D8" s="29"/>
      <c r="E8" s="29" t="str">
        <f t="shared" si="0"/>
        <v/>
      </c>
      <c r="F8" s="30" t="str">
        <f t="shared" si="3"/>
        <v/>
      </c>
      <c r="G8" s="84"/>
      <c r="H8" s="31" t="str">
        <f t="shared" si="1"/>
        <v/>
      </c>
      <c r="I8" s="32" t="str">
        <f t="shared" si="2"/>
        <v/>
      </c>
      <c r="J8" s="57"/>
      <c r="K8" s="78"/>
      <c r="L8" s="76"/>
    </row>
    <row r="9" spans="1:15" ht="57" customHeight="1">
      <c r="A9" s="41" t="str">
        <v>Clear Lake - Eastlake Gohman</v>
      </c>
      <c r="B9" s="42" t="str">
        <v>MN</v>
      </c>
      <c r="C9" s="35"/>
      <c r="D9" s="96"/>
      <c r="E9" s="36" t="str">
        <f t="shared" si="0"/>
        <v/>
      </c>
      <c r="F9" s="37" t="str">
        <f t="shared" ref="F9:F40" si="4">IFERROR(E9/D9, "")</f>
        <v/>
      </c>
      <c r="G9" s="38"/>
      <c r="H9" s="38" t="str">
        <f t="shared" si="1"/>
        <v/>
      </c>
      <c r="I9" s="37" t="str">
        <f t="shared" si="2"/>
        <v/>
      </c>
      <c r="J9" s="113"/>
      <c r="K9" s="88"/>
    </row>
    <row r="10" spans="1:15" ht="15.6">
      <c r="A10" s="43" t="str">
        <v>Zumbrota - Eastlake Brenda Luhman</v>
      </c>
      <c r="B10" s="40" t="str">
        <v>MN</v>
      </c>
      <c r="C10" s="28"/>
      <c r="D10" s="29"/>
      <c r="E10" s="29" t="str">
        <f t="shared" si="0"/>
        <v/>
      </c>
      <c r="F10" s="30" t="str">
        <f t="shared" si="4"/>
        <v/>
      </c>
      <c r="G10" s="31"/>
      <c r="H10" s="31" t="str">
        <f t="shared" si="1"/>
        <v/>
      </c>
      <c r="I10" s="32" t="str">
        <f t="shared" si="2"/>
        <v/>
      </c>
      <c r="J10" s="57"/>
      <c r="K10" s="57"/>
    </row>
    <row r="11" spans="1:15" ht="15.6">
      <c r="A11" s="41" t="str">
        <v>Cokato - Eastlake Carlson</v>
      </c>
      <c r="B11" s="42" t="str">
        <v>MN</v>
      </c>
      <c r="C11" s="35"/>
      <c r="D11" s="96"/>
      <c r="E11" s="36" t="str">
        <f t="shared" si="0"/>
        <v/>
      </c>
      <c r="F11" s="37" t="str">
        <f t="shared" si="4"/>
        <v/>
      </c>
      <c r="G11" s="38"/>
      <c r="H11" s="38" t="str">
        <f t="shared" si="1"/>
        <v/>
      </c>
      <c r="I11" s="37" t="str">
        <f t="shared" si="2"/>
        <v/>
      </c>
      <c r="J11" s="113"/>
      <c r="K11" s="75"/>
      <c r="L11" s="76"/>
    </row>
    <row r="12" spans="1:15" ht="15.6">
      <c r="A12" s="43" t="str">
        <v>North Branch - Cornille 2</v>
      </c>
      <c r="B12" s="40" t="str">
        <v>MN</v>
      </c>
      <c r="C12" s="28"/>
      <c r="D12" s="29"/>
      <c r="E12" s="29" t="str">
        <f t="shared" si="0"/>
        <v/>
      </c>
      <c r="F12" s="30" t="str">
        <f t="shared" si="4"/>
        <v/>
      </c>
      <c r="G12" s="31"/>
      <c r="H12" s="31" t="str">
        <f t="shared" si="1"/>
        <v/>
      </c>
      <c r="I12" s="32" t="str">
        <f t="shared" si="2"/>
        <v/>
      </c>
      <c r="J12" s="57"/>
      <c r="K12" s="78"/>
      <c r="L12" s="76"/>
      <c r="M12" s="76"/>
    </row>
    <row r="13" spans="1:15" ht="80.25" customHeight="1">
      <c r="A13" s="41" t="str">
        <v>Clear Lake - Eastlake Hammer</v>
      </c>
      <c r="B13" s="42" t="str">
        <v>MN</v>
      </c>
      <c r="C13" s="35"/>
      <c r="D13" s="96"/>
      <c r="E13" s="36" t="str">
        <f t="shared" ref="E13:E44" si="5">IF(AND(ISNUMBER(C13),ISNUMBER(D13)), C13-D13, "")</f>
        <v/>
      </c>
      <c r="F13" s="37" t="str">
        <f t="shared" si="4"/>
        <v/>
      </c>
      <c r="G13" s="38"/>
      <c r="H13" s="38" t="str">
        <f t="shared" ref="H13:H44" si="6">IF(AND(ISNUMBER(C13),ISNUMBER(G13)), C13-G13, "")</f>
        <v/>
      </c>
      <c r="I13" s="37" t="str">
        <f t="shared" si="2"/>
        <v/>
      </c>
      <c r="J13" s="112"/>
      <c r="K13" s="88"/>
      <c r="L13" s="76"/>
      <c r="M13" s="76"/>
    </row>
    <row r="14" spans="1:15" ht="160.5" customHeight="1">
      <c r="A14" s="43" t="str">
        <v>Eastlake - Hertzberg CSG 1</v>
      </c>
      <c r="B14" s="40" t="str">
        <v>MN</v>
      </c>
      <c r="C14" s="28"/>
      <c r="D14" s="29"/>
      <c r="E14" s="29" t="str">
        <f t="shared" si="5"/>
        <v/>
      </c>
      <c r="F14" s="30" t="str">
        <f t="shared" si="4"/>
        <v/>
      </c>
      <c r="G14" s="31"/>
      <c r="H14" s="31" t="str">
        <f t="shared" si="6"/>
        <v/>
      </c>
      <c r="I14" s="32" t="str">
        <f t="shared" si="2"/>
        <v/>
      </c>
      <c r="J14" s="57"/>
      <c r="K14" s="78"/>
      <c r="L14" s="76"/>
      <c r="M14" s="76"/>
      <c r="N14" s="76"/>
      <c r="O14" s="76"/>
    </row>
    <row r="15" spans="1:15" ht="48.75" customHeight="1">
      <c r="A15" s="41" t="str">
        <v>Cokato - Eastlake Laurel Village</v>
      </c>
      <c r="B15" s="42" t="str">
        <v>MN</v>
      </c>
      <c r="C15" s="35"/>
      <c r="D15" s="96"/>
      <c r="E15" s="36" t="str">
        <f t="shared" si="5"/>
        <v/>
      </c>
      <c r="F15" s="37" t="str">
        <f t="shared" si="4"/>
        <v/>
      </c>
      <c r="G15" s="38"/>
      <c r="H15" s="38" t="str">
        <f t="shared" si="6"/>
        <v/>
      </c>
      <c r="I15" s="37" t="str">
        <f t="shared" si="2"/>
        <v/>
      </c>
      <c r="J15" s="112"/>
      <c r="K15" s="75"/>
    </row>
    <row r="16" spans="1:15" ht="48.75" customHeight="1">
      <c r="A16" s="43" t="str">
        <v>St. Peter - Eastlake Paulson</v>
      </c>
      <c r="B16" s="40" t="str">
        <v>MN</v>
      </c>
      <c r="C16" s="28"/>
      <c r="D16" s="29"/>
      <c r="E16" s="29" t="str">
        <f t="shared" si="5"/>
        <v/>
      </c>
      <c r="F16" s="30" t="str">
        <f t="shared" si="4"/>
        <v/>
      </c>
      <c r="G16" s="31"/>
      <c r="H16" s="31" t="str">
        <f t="shared" si="6"/>
        <v/>
      </c>
      <c r="I16" s="32" t="str">
        <f t="shared" si="2"/>
        <v/>
      </c>
      <c r="J16" s="57"/>
      <c r="K16" s="78"/>
      <c r="L16" s="76"/>
    </row>
    <row r="17" spans="1:14" ht="15.6">
      <c r="A17" s="41" t="str">
        <v>Felician Sisters Convent</v>
      </c>
      <c r="B17" s="42" t="str">
        <v>NJ</v>
      </c>
      <c r="C17" s="35"/>
      <c r="D17" s="96"/>
      <c r="E17" s="36" t="str">
        <f t="shared" si="5"/>
        <v/>
      </c>
      <c r="F17" s="37" t="str">
        <f t="shared" si="4"/>
        <v/>
      </c>
      <c r="G17" s="83"/>
      <c r="H17" s="38" t="str">
        <f t="shared" si="6"/>
        <v/>
      </c>
      <c r="I17" s="37" t="str">
        <f t="shared" si="2"/>
        <v/>
      </c>
      <c r="J17" s="112"/>
      <c r="K17" s="75"/>
    </row>
    <row r="18" spans="1:14" ht="15.6">
      <c r="A18" s="43" t="str">
        <v>Sussex County Fairgrounds</v>
      </c>
      <c r="B18" s="40" t="str">
        <v>NJ</v>
      </c>
      <c r="C18" s="28"/>
      <c r="D18" s="29"/>
      <c r="E18" s="29" t="str">
        <f t="shared" si="5"/>
        <v/>
      </c>
      <c r="F18" s="30" t="str">
        <f t="shared" si="4"/>
        <v/>
      </c>
      <c r="G18" s="84"/>
      <c r="H18" s="31" t="str">
        <f t="shared" si="6"/>
        <v/>
      </c>
      <c r="I18" s="32" t="str">
        <f t="shared" si="2"/>
        <v/>
      </c>
      <c r="J18" s="57"/>
      <c r="K18" s="78"/>
      <c r="L18" s="76"/>
      <c r="M18" s="76"/>
    </row>
    <row r="19" spans="1:14" ht="60" customHeight="1">
      <c r="A19" s="41" t="str">
        <v>Gateway Church</v>
      </c>
      <c r="B19" s="42" t="str">
        <v>NJ</v>
      </c>
      <c r="C19" s="35"/>
      <c r="D19" s="96"/>
      <c r="E19" s="36" t="str">
        <f t="shared" si="5"/>
        <v/>
      </c>
      <c r="F19" s="37" t="str">
        <f t="shared" si="4"/>
        <v/>
      </c>
      <c r="G19" s="83"/>
      <c r="H19" s="38" t="str">
        <f t="shared" si="6"/>
        <v/>
      </c>
      <c r="I19" s="37" t="str">
        <f t="shared" si="2"/>
        <v/>
      </c>
      <c r="J19" s="112"/>
      <c r="K19" s="75"/>
    </row>
    <row r="20" spans="1:14" ht="58.9" customHeight="1">
      <c r="A20" s="43" t="str">
        <v>Beaver Falls - Felician Sisters</v>
      </c>
      <c r="B20" s="40" t="str">
        <v>PA</v>
      </c>
      <c r="C20" s="28"/>
      <c r="D20" s="29"/>
      <c r="E20" s="29" t="str">
        <f t="shared" si="5"/>
        <v/>
      </c>
      <c r="F20" s="30" t="str">
        <f t="shared" si="4"/>
        <v/>
      </c>
      <c r="G20" s="84"/>
      <c r="H20" s="31" t="str">
        <f t="shared" si="6"/>
        <v/>
      </c>
      <c r="I20" s="32" t="str">
        <f t="shared" si="2"/>
        <v/>
      </c>
      <c r="J20" s="57"/>
      <c r="K20" s="78"/>
    </row>
    <row r="21" spans="1:14" ht="84.75" customHeight="1">
      <c r="A21" s="41" t="str">
        <v>Livonia - Felician Sisters Ground</v>
      </c>
      <c r="B21" s="42" t="str">
        <v>MI</v>
      </c>
      <c r="C21" s="35"/>
      <c r="D21" s="96"/>
      <c r="E21" s="36" t="str">
        <f t="shared" si="5"/>
        <v/>
      </c>
      <c r="F21" s="37" t="str">
        <f t="shared" si="4"/>
        <v/>
      </c>
      <c r="G21" s="83"/>
      <c r="H21" s="38" t="str">
        <f t="shared" si="6"/>
        <v/>
      </c>
      <c r="I21" s="37" t="str">
        <f t="shared" si="2"/>
        <v/>
      </c>
      <c r="J21" s="112"/>
      <c r="K21" s="75"/>
      <c r="L21" s="76"/>
      <c r="M21" s="76"/>
    </row>
    <row r="22" spans="1:14" ht="15.6">
      <c r="A22" s="43" t="str">
        <v>Livonia - Felician Sisters Roof</v>
      </c>
      <c r="B22" s="40" t="str">
        <v>MI</v>
      </c>
      <c r="C22" s="28"/>
      <c r="D22" s="29"/>
      <c r="E22" s="29" t="str">
        <f t="shared" si="5"/>
        <v/>
      </c>
      <c r="F22" s="30" t="str">
        <f t="shared" si="4"/>
        <v/>
      </c>
      <c r="G22" s="84"/>
      <c r="H22" s="31" t="str">
        <f t="shared" si="6"/>
        <v/>
      </c>
      <c r="I22" s="32" t="str">
        <f t="shared" si="2"/>
        <v/>
      </c>
      <c r="J22" s="57"/>
      <c r="K22" s="78"/>
    </row>
    <row r="23" spans="1:14" ht="15.6">
      <c r="A23" s="41" t="str">
        <v>Monmouth Worship Ctr</v>
      </c>
      <c r="B23" s="42" t="str">
        <v>NJ</v>
      </c>
      <c r="C23" s="35"/>
      <c r="D23" s="96"/>
      <c r="E23" s="36" t="str">
        <f t="shared" si="5"/>
        <v/>
      </c>
      <c r="F23" s="37" t="str">
        <f t="shared" si="4"/>
        <v/>
      </c>
      <c r="G23" s="83"/>
      <c r="H23" s="38" t="str">
        <f t="shared" si="6"/>
        <v/>
      </c>
      <c r="I23" s="37" t="str">
        <f t="shared" si="2"/>
        <v/>
      </c>
      <c r="J23" s="113"/>
      <c r="K23" s="113"/>
    </row>
    <row r="24" spans="1:14" ht="15.6">
      <c r="A24" s="43" t="str">
        <v xml:space="preserve"> Audubon - Senior Citizens United</v>
      </c>
      <c r="B24" s="40" t="str">
        <v>NJ</v>
      </c>
      <c r="C24" s="28"/>
      <c r="D24" s="29"/>
      <c r="E24" s="29" t="str">
        <f t="shared" si="5"/>
        <v/>
      </c>
      <c r="F24" s="30" t="str">
        <f t="shared" si="4"/>
        <v/>
      </c>
      <c r="G24" s="84"/>
      <c r="H24" s="31" t="str">
        <f t="shared" si="6"/>
        <v/>
      </c>
      <c r="I24" s="32" t="str">
        <f t="shared" si="2"/>
        <v/>
      </c>
      <c r="J24" s="57"/>
      <c r="K24" s="78"/>
    </row>
    <row r="25" spans="1:14" ht="15.6">
      <c r="A25" s="41" t="str">
        <v>Hollister - PG&amp;E (Enerparc)</v>
      </c>
      <c r="B25" s="42" t="str">
        <v>CA</v>
      </c>
      <c r="C25" s="35"/>
      <c r="D25" s="36"/>
      <c r="E25" s="36" t="str">
        <f t="shared" si="5"/>
        <v/>
      </c>
      <c r="F25" s="37" t="str">
        <f t="shared" si="4"/>
        <v/>
      </c>
      <c r="G25" s="38"/>
      <c r="H25" s="38" t="str">
        <f t="shared" si="6"/>
        <v/>
      </c>
      <c r="I25" s="37" t="str">
        <f t="shared" si="2"/>
        <v/>
      </c>
      <c r="J25" s="112"/>
      <c r="K25" s="75"/>
      <c r="L25" s="76"/>
      <c r="M25" s="76"/>
      <c r="N25" s="76"/>
    </row>
    <row r="26" spans="1:14" ht="15.6">
      <c r="A26" s="43" t="str">
        <v>Taos County - Kit Carson Electric Co-Op</v>
      </c>
      <c r="B26" s="40" t="str">
        <v>NM</v>
      </c>
      <c r="C26" s="28"/>
      <c r="D26" s="29"/>
      <c r="E26" s="29" t="str">
        <f t="shared" si="5"/>
        <v/>
      </c>
      <c r="F26" s="30" t="str">
        <f t="shared" si="4"/>
        <v/>
      </c>
      <c r="G26" s="31"/>
      <c r="H26" s="31" t="str">
        <f t="shared" si="6"/>
        <v/>
      </c>
      <c r="I26" s="32" t="str">
        <f t="shared" si="2"/>
        <v/>
      </c>
      <c r="J26" s="57"/>
      <c r="K26" s="57"/>
    </row>
    <row r="27" spans="1:14" ht="15.6">
      <c r="A27" s="41" t="str">
        <v>Commerce City - Adams City HS</v>
      </c>
      <c r="B27" s="42" t="str">
        <v>CO</v>
      </c>
      <c r="C27" s="35"/>
      <c r="D27" s="36"/>
      <c r="E27" s="36" t="str">
        <f t="shared" si="5"/>
        <v/>
      </c>
      <c r="F27" s="37" t="str">
        <f t="shared" si="4"/>
        <v/>
      </c>
      <c r="G27" s="38"/>
      <c r="H27" s="38" t="str">
        <f t="shared" si="6"/>
        <v/>
      </c>
      <c r="I27" s="37" t="str">
        <f t="shared" si="2"/>
        <v/>
      </c>
      <c r="J27" s="113"/>
      <c r="K27" s="113"/>
    </row>
    <row r="28" spans="1:14" ht="15.6">
      <c r="A28" s="43" t="str">
        <v>Commerce City - Adams City MS</v>
      </c>
      <c r="B28" s="40" t="str">
        <v>CO</v>
      </c>
      <c r="C28" s="28"/>
      <c r="D28" s="29"/>
      <c r="E28" s="29" t="str">
        <f t="shared" si="5"/>
        <v/>
      </c>
      <c r="F28" s="30" t="str">
        <f t="shared" si="4"/>
        <v/>
      </c>
      <c r="G28" s="31"/>
      <c r="H28" s="31" t="str">
        <f t="shared" si="6"/>
        <v/>
      </c>
      <c r="I28" s="32" t="str">
        <f t="shared" si="2"/>
        <v/>
      </c>
      <c r="J28" s="57"/>
      <c r="K28" s="57"/>
    </row>
    <row r="29" spans="1:14" ht="15.6">
      <c r="A29" s="41" t="str">
        <v>Commerce City - Central ES</v>
      </c>
      <c r="B29" s="42" t="str">
        <v>CO</v>
      </c>
      <c r="C29" s="35"/>
      <c r="D29" s="36"/>
      <c r="E29" s="36" t="str">
        <f t="shared" si="5"/>
        <v/>
      </c>
      <c r="F29" s="37" t="str">
        <f t="shared" si="4"/>
        <v/>
      </c>
      <c r="G29" s="38"/>
      <c r="H29" s="38" t="str">
        <f t="shared" si="6"/>
        <v/>
      </c>
      <c r="I29" s="37" t="str">
        <f t="shared" si="2"/>
        <v/>
      </c>
      <c r="J29" s="113"/>
      <c r="K29" s="113"/>
    </row>
    <row r="30" spans="1:14" ht="15.6">
      <c r="A30" s="43" t="str">
        <v>Commerce City - Dupont ES</v>
      </c>
      <c r="B30" s="40" t="str">
        <v>CO</v>
      </c>
      <c r="C30" s="28"/>
      <c r="D30" s="29"/>
      <c r="E30" s="29" t="str">
        <f t="shared" si="5"/>
        <v/>
      </c>
      <c r="F30" s="30" t="str">
        <f t="shared" si="4"/>
        <v/>
      </c>
      <c r="G30" s="31"/>
      <c r="H30" s="31" t="str">
        <f t="shared" si="6"/>
        <v/>
      </c>
      <c r="I30" s="32" t="str">
        <f t="shared" si="2"/>
        <v/>
      </c>
      <c r="J30" s="57"/>
      <c r="K30" s="78"/>
      <c r="L30" s="76"/>
      <c r="M30" s="76"/>
    </row>
    <row r="31" spans="1:14" ht="15.6">
      <c r="A31" s="41" t="str">
        <v>Commerce City - Educational Support Services</v>
      </c>
      <c r="B31" s="42" t="str">
        <v>CO</v>
      </c>
      <c r="C31" s="35"/>
      <c r="D31" s="36"/>
      <c r="E31" s="36" t="str">
        <f t="shared" si="5"/>
        <v/>
      </c>
      <c r="F31" s="37" t="str">
        <f t="shared" si="4"/>
        <v/>
      </c>
      <c r="G31" s="38"/>
      <c r="H31" s="38" t="str">
        <f t="shared" si="6"/>
        <v/>
      </c>
      <c r="I31" s="37" t="str">
        <f t="shared" si="2"/>
        <v/>
      </c>
      <c r="J31" s="113"/>
      <c r="K31" s="113"/>
    </row>
    <row r="32" spans="1:14" ht="15.6">
      <c r="A32" s="43" t="str">
        <v>Commerce City - Hanson ES</v>
      </c>
      <c r="B32" s="40" t="str">
        <v>CO</v>
      </c>
      <c r="C32" s="28"/>
      <c r="D32" s="29"/>
      <c r="E32" s="29" t="str">
        <f t="shared" si="5"/>
        <v/>
      </c>
      <c r="F32" s="30" t="str">
        <f t="shared" si="4"/>
        <v/>
      </c>
      <c r="G32" s="31"/>
      <c r="H32" s="31" t="str">
        <f t="shared" si="6"/>
        <v/>
      </c>
      <c r="I32" s="32" t="str">
        <f t="shared" si="2"/>
        <v/>
      </c>
      <c r="J32" s="57"/>
      <c r="K32" s="57"/>
    </row>
    <row r="33" spans="1:13" ht="69" customHeight="1">
      <c r="A33" s="41" t="str">
        <v>Commerce City - Kemp ES</v>
      </c>
      <c r="B33" s="42" t="str">
        <v>CO</v>
      </c>
      <c r="C33" s="35"/>
      <c r="D33" s="36"/>
      <c r="E33" s="36" t="str">
        <f t="shared" si="5"/>
        <v/>
      </c>
      <c r="F33" s="37" t="str">
        <f t="shared" si="4"/>
        <v/>
      </c>
      <c r="G33" s="38"/>
      <c r="H33" s="38" t="str">
        <f t="shared" si="6"/>
        <v/>
      </c>
      <c r="I33" s="37" t="str">
        <f t="shared" si="2"/>
        <v/>
      </c>
      <c r="J33" s="112"/>
      <c r="K33" s="75"/>
      <c r="L33" s="76"/>
      <c r="M33" s="76"/>
    </row>
    <row r="34" spans="1:13" ht="15.6">
      <c r="A34" s="43" t="str">
        <v>Commerce City -  Lester Arnold HS</v>
      </c>
      <c r="B34" s="40" t="str">
        <v>CO</v>
      </c>
      <c r="C34" s="28"/>
      <c r="D34" s="29"/>
      <c r="E34" s="29" t="str">
        <f t="shared" si="5"/>
        <v/>
      </c>
      <c r="F34" s="30" t="str">
        <f t="shared" si="4"/>
        <v/>
      </c>
      <c r="G34" s="31"/>
      <c r="H34" s="31" t="str">
        <f t="shared" si="6"/>
        <v/>
      </c>
      <c r="I34" s="32" t="str">
        <f t="shared" si="2"/>
        <v/>
      </c>
      <c r="J34" s="57"/>
      <c r="K34" s="78"/>
      <c r="L34" s="76"/>
      <c r="M34" s="76"/>
    </row>
    <row r="35" spans="1:13" ht="15.6">
      <c r="A35" s="41" t="str">
        <v>Commerce City - Monaco ES</v>
      </c>
      <c r="B35" s="42" t="str">
        <v>CO</v>
      </c>
      <c r="C35" s="35"/>
      <c r="D35" s="36"/>
      <c r="E35" s="36" t="str">
        <f t="shared" si="5"/>
        <v/>
      </c>
      <c r="F35" s="37" t="str">
        <f t="shared" si="4"/>
        <v/>
      </c>
      <c r="G35" s="38"/>
      <c r="H35" s="38" t="str">
        <f t="shared" si="6"/>
        <v/>
      </c>
      <c r="I35" s="37" t="str">
        <f t="shared" si="2"/>
        <v/>
      </c>
      <c r="J35" s="113"/>
      <c r="K35" s="88"/>
    </row>
    <row r="36" spans="1:13" ht="15.6">
      <c r="A36" s="43" t="str">
        <v>Denver - Northgate / Old Fort Logan ES</v>
      </c>
      <c r="B36" s="40" t="str">
        <v>CO</v>
      </c>
      <c r="C36" s="28"/>
      <c r="D36" s="29"/>
      <c r="E36" s="29" t="str">
        <f t="shared" si="5"/>
        <v/>
      </c>
      <c r="F36" s="30" t="str">
        <f t="shared" si="4"/>
        <v/>
      </c>
      <c r="G36" s="31"/>
      <c r="H36" s="31" t="str">
        <f t="shared" si="6"/>
        <v/>
      </c>
      <c r="I36" s="32" t="str">
        <f t="shared" si="2"/>
        <v/>
      </c>
      <c r="J36" s="57"/>
      <c r="K36" s="57"/>
    </row>
    <row r="37" spans="1:13" ht="15.6">
      <c r="A37" s="41" t="str">
        <v>Denver - Sheridan High School</v>
      </c>
      <c r="B37" s="42" t="str">
        <v>CO</v>
      </c>
      <c r="C37" s="35"/>
      <c r="D37" s="36"/>
      <c r="E37" s="36" t="str">
        <f t="shared" si="5"/>
        <v/>
      </c>
      <c r="F37" s="37" t="str">
        <f t="shared" si="4"/>
        <v/>
      </c>
      <c r="G37" s="38"/>
      <c r="H37" s="38" t="str">
        <f t="shared" si="6"/>
        <v/>
      </c>
      <c r="I37" s="37" t="str">
        <f t="shared" si="2"/>
        <v/>
      </c>
      <c r="J37" s="113"/>
      <c r="K37" s="113"/>
    </row>
    <row r="38" spans="1:13" ht="15.6">
      <c r="A38" s="43" t="str">
        <v>Englewood -  Alice Terry Elementary</v>
      </c>
      <c r="B38" s="40" t="str">
        <v>CO</v>
      </c>
      <c r="C38" s="28"/>
      <c r="D38" s="29"/>
      <c r="E38" s="29" t="str">
        <f t="shared" si="5"/>
        <v/>
      </c>
      <c r="F38" s="30" t="str">
        <f t="shared" si="4"/>
        <v/>
      </c>
      <c r="G38" s="31"/>
      <c r="H38" s="31" t="str">
        <f t="shared" si="6"/>
        <v/>
      </c>
      <c r="I38" s="32" t="str">
        <f t="shared" si="2"/>
        <v/>
      </c>
      <c r="J38" s="57"/>
      <c r="K38" s="57"/>
    </row>
    <row r="39" spans="1:13" ht="15.6">
      <c r="A39" s="41" t="str">
        <v>Englewood - Sheridan Middle School</v>
      </c>
      <c r="B39" s="42" t="str">
        <v>CO</v>
      </c>
      <c r="C39" s="35"/>
      <c r="D39" s="36"/>
      <c r="E39" s="36" t="str">
        <f t="shared" si="5"/>
        <v/>
      </c>
      <c r="F39" s="37" t="str">
        <f t="shared" si="4"/>
        <v/>
      </c>
      <c r="G39" s="38"/>
      <c r="H39" s="38" t="str">
        <f t="shared" si="6"/>
        <v/>
      </c>
      <c r="I39" s="37" t="str">
        <f t="shared" si="2"/>
        <v/>
      </c>
      <c r="J39" s="113"/>
      <c r="K39" s="113"/>
    </row>
    <row r="40" spans="1:13" ht="54" customHeight="1">
      <c r="A40" s="43" t="str">
        <v>Goshen - NIPSCO</v>
      </c>
      <c r="B40" s="40" t="str">
        <v>IN</v>
      </c>
      <c r="C40" s="28"/>
      <c r="D40" s="29"/>
      <c r="E40" s="29" t="str">
        <f t="shared" si="5"/>
        <v/>
      </c>
      <c r="F40" s="30" t="str">
        <f t="shared" si="4"/>
        <v/>
      </c>
      <c r="G40" s="31"/>
      <c r="H40" s="31" t="str">
        <f t="shared" si="6"/>
        <v/>
      </c>
      <c r="I40" s="32" t="str">
        <f t="shared" si="2"/>
        <v/>
      </c>
      <c r="J40" s="57"/>
      <c r="K40" s="78"/>
    </row>
    <row r="41" spans="1:13" ht="15.6">
      <c r="A41" s="41" t="str">
        <v>Alamogordo - City of Alamogordo - Effluent</v>
      </c>
      <c r="B41" s="42" t="str">
        <v>NM</v>
      </c>
      <c r="C41" s="35"/>
      <c r="D41" s="36"/>
      <c r="E41" s="36" t="str">
        <f t="shared" si="5"/>
        <v/>
      </c>
      <c r="F41" s="37" t="str">
        <f t="shared" ref="F41:F72" si="7">IFERROR(E41/D41, "")</f>
        <v/>
      </c>
      <c r="G41" s="38"/>
      <c r="H41" s="38" t="str">
        <f t="shared" si="6"/>
        <v/>
      </c>
      <c r="I41" s="37" t="str">
        <f t="shared" si="2"/>
        <v/>
      </c>
      <c r="J41" s="112"/>
      <c r="K41" s="75"/>
    </row>
    <row r="42" spans="1:13" ht="15.6">
      <c r="A42" s="43" t="str">
        <v>Alamogordo - City of Alamogordo - WWTP</v>
      </c>
      <c r="B42" s="40" t="str">
        <v>NM</v>
      </c>
      <c r="C42" s="28"/>
      <c r="D42" s="29"/>
      <c r="E42" s="29" t="str">
        <f t="shared" si="5"/>
        <v/>
      </c>
      <c r="F42" s="30" t="str">
        <f t="shared" si="7"/>
        <v/>
      </c>
      <c r="G42" s="31"/>
      <c r="H42" s="31" t="str">
        <f t="shared" si="6"/>
        <v/>
      </c>
      <c r="I42" s="32" t="str">
        <f t="shared" si="2"/>
        <v/>
      </c>
      <c r="J42" s="57"/>
      <c r="K42" s="78"/>
      <c r="L42" s="76"/>
      <c r="M42" s="76"/>
    </row>
    <row r="43" spans="1:13" ht="15.6">
      <c r="A43" s="41" t="str">
        <v>Deming - Bilbo Booster</v>
      </c>
      <c r="B43" s="42" t="str">
        <v>NM</v>
      </c>
      <c r="C43" s="35"/>
      <c r="D43" s="36"/>
      <c r="E43" s="36" t="str">
        <f t="shared" si="5"/>
        <v/>
      </c>
      <c r="F43" s="37" t="str">
        <f t="shared" si="7"/>
        <v/>
      </c>
      <c r="G43" s="38"/>
      <c r="H43" s="38" t="str">
        <f t="shared" si="6"/>
        <v/>
      </c>
      <c r="I43" s="37" t="str">
        <f t="shared" si="2"/>
        <v/>
      </c>
      <c r="J43" s="113"/>
      <c r="K43" s="88"/>
    </row>
    <row r="44" spans="1:13" ht="15.6">
      <c r="A44" s="43" t="str">
        <v>Deming - Bilbo Well</v>
      </c>
      <c r="B44" s="40" t="str">
        <v>NM</v>
      </c>
      <c r="C44" s="28"/>
      <c r="D44" s="29"/>
      <c r="E44" s="29" t="str">
        <f t="shared" si="5"/>
        <v/>
      </c>
      <c r="F44" s="30" t="str">
        <f t="shared" si="7"/>
        <v/>
      </c>
      <c r="G44" s="31"/>
      <c r="H44" s="31" t="str">
        <f t="shared" si="6"/>
        <v/>
      </c>
      <c r="I44" s="32" t="str">
        <f t="shared" si="2"/>
        <v/>
      </c>
      <c r="J44" s="57"/>
      <c r="K44" s="78"/>
    </row>
    <row r="45" spans="1:13" ht="15.6">
      <c r="A45" s="41" t="str">
        <v>Deming - WWTP</v>
      </c>
      <c r="B45" s="42" t="str">
        <v>NM</v>
      </c>
      <c r="C45" s="35"/>
      <c r="D45" s="36"/>
      <c r="E45" s="36" t="str">
        <f t="shared" ref="E45:E75" si="8">IF(AND(ISNUMBER(C45),ISNUMBER(D45)), C45-D45, "")</f>
        <v/>
      </c>
      <c r="F45" s="37" t="str">
        <f t="shared" si="7"/>
        <v/>
      </c>
      <c r="G45" s="38"/>
      <c r="H45" s="38" t="str">
        <f t="shared" ref="H45:H75" si="9">IF(AND(ISNUMBER(C45),ISNUMBER(G45)), C45-G45, "")</f>
        <v/>
      </c>
      <c r="I45" s="37" t="str">
        <f t="shared" si="2"/>
        <v/>
      </c>
      <c r="J45" s="113"/>
      <c r="K45" s="88"/>
    </row>
    <row r="46" spans="1:13" ht="94.5" customHeight="1">
      <c r="A46" s="43" t="str">
        <v>Truth or Consequences - Walmart</v>
      </c>
      <c r="B46" s="40" t="str">
        <v>NM</v>
      </c>
      <c r="C46" s="28"/>
      <c r="D46" s="29"/>
      <c r="E46" s="29" t="str">
        <f t="shared" si="8"/>
        <v/>
      </c>
      <c r="F46" s="30" t="str">
        <f t="shared" si="7"/>
        <v/>
      </c>
      <c r="G46" s="31"/>
      <c r="H46" s="31" t="str">
        <f t="shared" si="9"/>
        <v/>
      </c>
      <c r="I46" s="32" t="str">
        <f t="shared" si="2"/>
        <v/>
      </c>
      <c r="J46" s="57"/>
      <c r="K46" s="78"/>
      <c r="L46" s="76"/>
      <c r="M46" s="76"/>
    </row>
    <row r="47" spans="1:13" ht="43.5" customHeight="1">
      <c r="A47" s="41" t="str">
        <v>CA: Stockton - SUSD - Merlo</v>
      </c>
      <c r="B47" s="42" t="str">
        <v>CA</v>
      </c>
      <c r="C47" s="35"/>
      <c r="D47" s="36"/>
      <c r="E47" s="36" t="str">
        <f t="shared" si="8"/>
        <v/>
      </c>
      <c r="F47" s="37" t="str">
        <f t="shared" si="7"/>
        <v/>
      </c>
      <c r="G47" s="38"/>
      <c r="H47" s="38" t="str">
        <f t="shared" si="9"/>
        <v/>
      </c>
      <c r="I47" s="37" t="str">
        <f t="shared" si="2"/>
        <v/>
      </c>
      <c r="J47" s="113"/>
      <c r="K47" s="75"/>
    </row>
    <row r="48" spans="1:13" ht="15.6">
      <c r="A48" s="43" t="str">
        <v>Stockton Unified School Dist. - Bush Elementary</v>
      </c>
      <c r="B48" s="40" t="str">
        <v>CA</v>
      </c>
      <c r="C48" s="28"/>
      <c r="D48" s="29"/>
      <c r="E48" s="29" t="str">
        <f t="shared" si="8"/>
        <v/>
      </c>
      <c r="F48" s="30" t="str">
        <f t="shared" si="7"/>
        <v/>
      </c>
      <c r="G48" s="31"/>
      <c r="H48" s="31" t="str">
        <f t="shared" si="9"/>
        <v/>
      </c>
      <c r="I48" s="32" t="str">
        <f t="shared" si="2"/>
        <v/>
      </c>
      <c r="J48" s="57"/>
      <c r="K48" s="78"/>
      <c r="L48" s="76"/>
    </row>
    <row r="49" spans="1:14" ht="15.6">
      <c r="A49" s="41" t="str">
        <v>CA: Stockton - SUSD - Marshall JHS</v>
      </c>
      <c r="B49" s="42" t="str">
        <v>CA</v>
      </c>
      <c r="C49" s="35"/>
      <c r="D49" s="36"/>
      <c r="E49" s="36" t="str">
        <f t="shared" si="8"/>
        <v/>
      </c>
      <c r="F49" s="37" t="str">
        <f t="shared" si="7"/>
        <v/>
      </c>
      <c r="G49" s="38"/>
      <c r="H49" s="38" t="str">
        <f t="shared" si="9"/>
        <v/>
      </c>
      <c r="I49" s="37" t="str">
        <f t="shared" si="2"/>
        <v/>
      </c>
      <c r="J49" s="112"/>
      <c r="K49" s="75"/>
    </row>
    <row r="50" spans="1:14" ht="15.6">
      <c r="A50" s="43" t="str">
        <v>CA: Stockton - SUSD - Hong-Kingston ES</v>
      </c>
      <c r="B50" s="40" t="str">
        <v>CA</v>
      </c>
      <c r="C50" s="28"/>
      <c r="D50" s="29"/>
      <c r="E50" s="29" t="str">
        <f t="shared" si="8"/>
        <v/>
      </c>
      <c r="F50" s="30" t="str">
        <f t="shared" si="7"/>
        <v/>
      </c>
      <c r="G50" s="31"/>
      <c r="H50" s="31" t="str">
        <f t="shared" si="9"/>
        <v/>
      </c>
      <c r="I50" s="32" t="str">
        <f t="shared" si="2"/>
        <v/>
      </c>
      <c r="J50" s="57"/>
      <c r="K50" s="78"/>
    </row>
    <row r="51" spans="1:14" ht="15.6">
      <c r="A51" s="41" t="str">
        <v>CA: Stockton - SUSD - Hamilton ES</v>
      </c>
      <c r="B51" s="42" t="str">
        <v>CA</v>
      </c>
      <c r="C51" s="35"/>
      <c r="D51" s="36"/>
      <c r="E51" s="36" t="str">
        <f t="shared" si="8"/>
        <v/>
      </c>
      <c r="F51" s="37" t="str">
        <f t="shared" si="7"/>
        <v/>
      </c>
      <c r="G51" s="38"/>
      <c r="H51" s="38" t="str">
        <f t="shared" si="9"/>
        <v/>
      </c>
      <c r="I51" s="37" t="str">
        <f t="shared" si="2"/>
        <v/>
      </c>
      <c r="J51" s="112"/>
      <c r="K51" s="75"/>
    </row>
    <row r="52" spans="1:14" ht="15.6">
      <c r="A52" s="43" t="str">
        <v>CA: Stockton - SUSD - Franklin - North</v>
      </c>
      <c r="B52" s="40" t="str">
        <v>CA</v>
      </c>
      <c r="C52" s="28"/>
      <c r="D52" s="29"/>
      <c r="E52" s="29" t="str">
        <f t="shared" si="8"/>
        <v/>
      </c>
      <c r="F52" s="30" t="str">
        <f t="shared" si="7"/>
        <v/>
      </c>
      <c r="G52" s="31"/>
      <c r="H52" s="31" t="str">
        <f t="shared" si="9"/>
        <v/>
      </c>
      <c r="I52" s="32" t="str">
        <f t="shared" si="2"/>
        <v/>
      </c>
      <c r="J52" s="57"/>
      <c r="K52" s="78"/>
      <c r="L52" s="76"/>
      <c r="M52" s="76"/>
    </row>
    <row r="53" spans="1:14" ht="15.6">
      <c r="A53" s="41" t="str">
        <v>Stockton Unified School Dist. - Fillmore Elementary</v>
      </c>
      <c r="B53" s="42" t="str">
        <v>CA</v>
      </c>
      <c r="C53" s="35"/>
      <c r="D53" s="36"/>
      <c r="E53" s="36" t="str">
        <f t="shared" si="8"/>
        <v/>
      </c>
      <c r="F53" s="37" t="str">
        <f t="shared" si="7"/>
        <v/>
      </c>
      <c r="G53" s="38"/>
      <c r="H53" s="38" t="str">
        <f t="shared" si="9"/>
        <v/>
      </c>
      <c r="I53" s="37" t="str">
        <f t="shared" si="2"/>
        <v/>
      </c>
      <c r="J53" s="112"/>
      <c r="K53" s="75"/>
    </row>
    <row r="54" spans="1:14" ht="15.6">
      <c r="A54" s="43" t="str">
        <v>CA: Stockton - SUSD - El Dorado ES</v>
      </c>
      <c r="B54" s="40" t="str">
        <v>CA</v>
      </c>
      <c r="C54" s="28"/>
      <c r="D54" s="29"/>
      <c r="E54" s="29" t="str">
        <f t="shared" si="8"/>
        <v/>
      </c>
      <c r="F54" s="30" t="str">
        <f t="shared" si="7"/>
        <v/>
      </c>
      <c r="G54" s="31"/>
      <c r="H54" s="31" t="str">
        <f t="shared" si="9"/>
        <v/>
      </c>
      <c r="I54" s="32" t="str">
        <f t="shared" si="2"/>
        <v/>
      </c>
      <c r="J54" s="57"/>
      <c r="K54" s="78"/>
    </row>
    <row r="55" spans="1:14" ht="15.6">
      <c r="A55" s="41" t="str">
        <v>CA: Stockton - SUSD - Edison HS</v>
      </c>
      <c r="B55" s="42" t="str">
        <v>CA</v>
      </c>
      <c r="C55" s="35"/>
      <c r="D55" s="36"/>
      <c r="E55" s="36" t="str">
        <f t="shared" si="8"/>
        <v/>
      </c>
      <c r="F55" s="37" t="str">
        <f t="shared" si="7"/>
        <v/>
      </c>
      <c r="G55" s="38"/>
      <c r="H55" s="38" t="str">
        <f t="shared" si="9"/>
        <v/>
      </c>
      <c r="I55" s="37" t="str">
        <f t="shared" si="2"/>
        <v/>
      </c>
      <c r="J55" s="113"/>
      <c r="K55" s="75"/>
      <c r="L55" s="76"/>
    </row>
    <row r="56" spans="1:14" ht="15.6">
      <c r="A56" s="43" t="str">
        <v>CA: Stockton - SUSD - Chavez HS - Large</v>
      </c>
      <c r="B56" s="40" t="str">
        <v>CA</v>
      </c>
      <c r="C56" s="28"/>
      <c r="D56" s="29"/>
      <c r="E56" s="29" t="str">
        <f t="shared" si="8"/>
        <v/>
      </c>
      <c r="F56" s="30" t="str">
        <f t="shared" si="7"/>
        <v/>
      </c>
      <c r="G56" s="31"/>
      <c r="H56" s="31" t="str">
        <f t="shared" si="9"/>
        <v/>
      </c>
      <c r="I56" s="32" t="str">
        <f t="shared" si="2"/>
        <v/>
      </c>
      <c r="J56" s="57"/>
      <c r="K56" s="78"/>
      <c r="L56" s="76"/>
    </row>
    <row r="57" spans="1:14" ht="15.6">
      <c r="A57" s="41" t="str">
        <v>CA: San Jose - GE Mobile Water</v>
      </c>
      <c r="B57" s="42" t="str">
        <v>CA</v>
      </c>
      <c r="C57" s="35"/>
      <c r="D57" s="36"/>
      <c r="E57" s="36" t="str">
        <f t="shared" si="8"/>
        <v/>
      </c>
      <c r="F57" s="37" t="str">
        <f t="shared" si="7"/>
        <v/>
      </c>
      <c r="G57" s="38"/>
      <c r="H57" s="38" t="str">
        <f t="shared" si="9"/>
        <v/>
      </c>
      <c r="I57" s="37" t="str">
        <f t="shared" si="2"/>
        <v/>
      </c>
      <c r="J57" s="113"/>
      <c r="K57" s="75"/>
    </row>
    <row r="58" spans="1:14" ht="15.6">
      <c r="A58" s="43" t="str">
        <v>CA: San Marcos - Vallecitos Water - Lift Station</v>
      </c>
      <c r="B58" s="40" t="str">
        <v>CA</v>
      </c>
      <c r="C58" s="28"/>
      <c r="D58" s="29"/>
      <c r="E58" s="29" t="str">
        <f t="shared" si="8"/>
        <v/>
      </c>
      <c r="F58" s="30" t="str">
        <f t="shared" si="7"/>
        <v/>
      </c>
      <c r="G58" s="31"/>
      <c r="H58" s="31" t="str">
        <f t="shared" si="9"/>
        <v/>
      </c>
      <c r="I58" s="32" t="str">
        <f t="shared" si="2"/>
        <v/>
      </c>
      <c r="J58" s="57"/>
      <c r="K58" s="57"/>
    </row>
    <row r="59" spans="1:14" ht="15.6">
      <c r="A59" s="41" t="str">
        <v>CA: San Marcos - Vallecitos Water - Twin Oaks Reservoir</v>
      </c>
      <c r="B59" s="42" t="str">
        <v>CA</v>
      </c>
      <c r="C59" s="35"/>
      <c r="D59" s="36"/>
      <c r="E59" s="36" t="str">
        <f t="shared" si="8"/>
        <v/>
      </c>
      <c r="F59" s="37" t="str">
        <f t="shared" si="7"/>
        <v/>
      </c>
      <c r="G59" s="38"/>
      <c r="H59" s="38" t="str">
        <f t="shared" si="9"/>
        <v/>
      </c>
      <c r="I59" s="37" t="str">
        <f t="shared" si="2"/>
        <v/>
      </c>
      <c r="J59" s="113"/>
      <c r="K59" s="75"/>
    </row>
    <row r="60" spans="1:14" ht="15.6">
      <c r="A60" s="43" t="str">
        <v>CA: Stockton - SUSD - Wilhelmina Henry ES</v>
      </c>
      <c r="B60" s="40" t="str">
        <v>CA</v>
      </c>
      <c r="C60" s="28"/>
      <c r="D60" s="29"/>
      <c r="E60" s="29" t="str">
        <f t="shared" si="8"/>
        <v/>
      </c>
      <c r="F60" s="30" t="str">
        <f t="shared" si="7"/>
        <v/>
      </c>
      <c r="G60" s="31"/>
      <c r="H60" s="31" t="str">
        <f t="shared" si="9"/>
        <v/>
      </c>
      <c r="I60" s="32" t="str">
        <f t="shared" si="2"/>
        <v/>
      </c>
      <c r="J60" s="57"/>
      <c r="K60" s="78"/>
    </row>
    <row r="61" spans="1:14" ht="15.6">
      <c r="A61" s="41" t="str">
        <v>Stockton Unified School Dist. - Franklin (North)</v>
      </c>
      <c r="B61" s="42" t="str">
        <v>CA</v>
      </c>
      <c r="C61" s="35"/>
      <c r="D61" s="36"/>
      <c r="E61" s="36" t="str">
        <f t="shared" si="8"/>
        <v/>
      </c>
      <c r="F61" s="37" t="str">
        <f t="shared" si="7"/>
        <v/>
      </c>
      <c r="G61" s="38"/>
      <c r="H61" s="38" t="str">
        <f t="shared" si="9"/>
        <v/>
      </c>
      <c r="I61" s="37" t="str">
        <f t="shared" si="2"/>
        <v/>
      </c>
      <c r="J61" s="113"/>
      <c r="K61" s="75"/>
      <c r="L61" s="76"/>
      <c r="M61" s="76"/>
    </row>
    <row r="62" spans="1:14" ht="183.4" customHeight="1">
      <c r="A62" s="43" t="str">
        <v>CA: Stockton - SUSD - Franklin - South</v>
      </c>
      <c r="B62" s="40" t="str">
        <v>CA</v>
      </c>
      <c r="C62" s="28"/>
      <c r="D62" s="29"/>
      <c r="E62" s="29" t="str">
        <f t="shared" si="8"/>
        <v/>
      </c>
      <c r="F62" s="30" t="str">
        <f t="shared" si="7"/>
        <v/>
      </c>
      <c r="G62" s="31"/>
      <c r="H62" s="31" t="str">
        <f t="shared" si="9"/>
        <v/>
      </c>
      <c r="I62" s="32" t="str">
        <f t="shared" si="2"/>
        <v/>
      </c>
      <c r="J62" s="57"/>
      <c r="K62" s="78"/>
      <c r="L62" s="76"/>
      <c r="M62" s="76"/>
      <c r="N62" s="76"/>
    </row>
    <row r="63" spans="1:14" ht="15.6">
      <c r="A63" s="41" t="str">
        <v>CA: Stockton - SUSD - Chavez HS - Small</v>
      </c>
      <c r="B63" s="42" t="str">
        <v>CA</v>
      </c>
      <c r="C63" s="35"/>
      <c r="D63" s="36"/>
      <c r="E63" s="36" t="str">
        <f t="shared" si="8"/>
        <v/>
      </c>
      <c r="F63" s="37" t="str">
        <f t="shared" si="7"/>
        <v/>
      </c>
      <c r="G63" s="38"/>
      <c r="H63" s="38" t="str">
        <f t="shared" si="9"/>
        <v/>
      </c>
      <c r="I63" s="37" t="str">
        <f t="shared" si="2"/>
        <v/>
      </c>
      <c r="J63" s="113"/>
      <c r="K63" s="88"/>
    </row>
    <row r="64" spans="1:14" ht="15.6">
      <c r="A64" s="43" t="str">
        <v>CA: Stockton - SUSD - Facilities</v>
      </c>
      <c r="B64" s="40" t="str">
        <v>CA</v>
      </c>
      <c r="C64" s="28"/>
      <c r="D64" s="29"/>
      <c r="E64" s="29" t="str">
        <f t="shared" si="8"/>
        <v/>
      </c>
      <c r="F64" s="30" t="str">
        <f t="shared" si="7"/>
        <v/>
      </c>
      <c r="G64" s="31"/>
      <c r="H64" s="31" t="str">
        <f t="shared" si="9"/>
        <v/>
      </c>
      <c r="I64" s="32" t="str">
        <f t="shared" si="2"/>
        <v/>
      </c>
      <c r="J64" s="57"/>
      <c r="K64" s="78"/>
    </row>
    <row r="65" spans="1:11" ht="15.6">
      <c r="A65" s="41" t="str">
        <v>CA: Stockton - SUSD - Harrison</v>
      </c>
      <c r="B65" s="42" t="str">
        <v>CA</v>
      </c>
      <c r="C65" s="35"/>
      <c r="D65" s="36"/>
      <c r="E65" s="36" t="str">
        <f t="shared" si="8"/>
        <v/>
      </c>
      <c r="F65" s="37" t="str">
        <f t="shared" si="7"/>
        <v/>
      </c>
      <c r="G65" s="38"/>
      <c r="H65" s="38" t="str">
        <f t="shared" si="9"/>
        <v/>
      </c>
      <c r="I65" s="37" t="str">
        <f t="shared" si="2"/>
        <v/>
      </c>
      <c r="J65" s="113"/>
      <c r="K65" s="88"/>
    </row>
    <row r="66" spans="1:11" ht="15.6">
      <c r="A66" s="43" t="str">
        <v>CA: Stockton - SUSD - Commodore Skills School</v>
      </c>
      <c r="B66" s="40" t="str">
        <v>CA</v>
      </c>
      <c r="C66" s="28"/>
      <c r="D66" s="29"/>
      <c r="E66" s="29" t="str">
        <f t="shared" si="8"/>
        <v/>
      </c>
      <c r="F66" s="30" t="str">
        <f t="shared" si="7"/>
        <v/>
      </c>
      <c r="G66" s="31"/>
      <c r="H66" s="31" t="str">
        <f t="shared" si="9"/>
        <v/>
      </c>
      <c r="I66" s="32" t="str">
        <f t="shared" si="2"/>
        <v/>
      </c>
      <c r="J66" s="57"/>
      <c r="K66" s="78"/>
    </row>
    <row r="67" spans="1:11" ht="15.6">
      <c r="A67" s="41" t="str">
        <v>CA: Stockton - SUSD - Nightingale ES</v>
      </c>
      <c r="B67" s="42" t="str">
        <v>CA</v>
      </c>
      <c r="C67" s="35"/>
      <c r="D67" s="36"/>
      <c r="E67" s="36" t="str">
        <f t="shared" si="8"/>
        <v/>
      </c>
      <c r="F67" s="37" t="str">
        <f t="shared" si="7"/>
        <v/>
      </c>
      <c r="G67" s="38"/>
      <c r="H67" s="38" t="str">
        <f t="shared" si="9"/>
        <v/>
      </c>
      <c r="I67" s="37" t="str">
        <f t="shared" si="2"/>
        <v/>
      </c>
      <c r="J67" s="113"/>
      <c r="K67" s="113"/>
    </row>
    <row r="68" spans="1:11" ht="15.6">
      <c r="A68" s="43" t="str">
        <v>CA: Stockton - SUSD - Weber Institute</v>
      </c>
      <c r="B68" s="40" t="str">
        <v>CA</v>
      </c>
      <c r="C68" s="28"/>
      <c r="D68" s="29"/>
      <c r="E68" s="29" t="str">
        <f t="shared" si="8"/>
        <v/>
      </c>
      <c r="F68" s="30" t="str">
        <f t="shared" si="7"/>
        <v/>
      </c>
      <c r="G68" s="31"/>
      <c r="H68" s="31" t="str">
        <f t="shared" si="9"/>
        <v/>
      </c>
      <c r="I68" s="32" t="str">
        <f t="shared" si="2"/>
        <v/>
      </c>
      <c r="J68" s="57"/>
      <c r="K68" s="78"/>
    </row>
    <row r="69" spans="1:11" ht="15.6">
      <c r="A69" s="41" t="str">
        <v>CA: Stockton - SUSD - Warehouse</v>
      </c>
      <c r="B69" s="42" t="str">
        <v>CA</v>
      </c>
      <c r="C69" s="35"/>
      <c r="D69" s="36"/>
      <c r="E69" s="36" t="str">
        <f t="shared" si="8"/>
        <v/>
      </c>
      <c r="F69" s="37" t="str">
        <f t="shared" si="7"/>
        <v/>
      </c>
      <c r="G69" s="38"/>
      <c r="H69" s="38" t="str">
        <f t="shared" si="9"/>
        <v/>
      </c>
      <c r="I69" s="37" t="str">
        <f t="shared" ref="I69:I75" si="10">IFERROR(H69/G69, "")</f>
        <v/>
      </c>
      <c r="J69" s="113"/>
      <c r="K69" s="75"/>
    </row>
    <row r="70" spans="1:11" ht="15.6">
      <c r="A70" s="43" t="str">
        <v>CA: Stockton - SUSD - Walton Special Center</v>
      </c>
      <c r="B70" s="40" t="str">
        <v>CA</v>
      </c>
      <c r="C70" s="28"/>
      <c r="D70" s="29"/>
      <c r="E70" s="29" t="str">
        <f t="shared" si="8"/>
        <v/>
      </c>
      <c r="F70" s="30" t="str">
        <f t="shared" si="7"/>
        <v/>
      </c>
      <c r="G70" s="31"/>
      <c r="H70" s="31" t="str">
        <f t="shared" si="9"/>
        <v/>
      </c>
      <c r="I70" s="32" t="str">
        <f t="shared" si="10"/>
        <v/>
      </c>
      <c r="J70" s="57"/>
      <c r="K70" s="78"/>
    </row>
    <row r="71" spans="1:11" ht="15.6">
      <c r="A71" s="41" t="str">
        <v>CA: Stockton - SUSD - Stagg HS</v>
      </c>
      <c r="B71" s="42" t="str">
        <v>CA</v>
      </c>
      <c r="C71" s="35"/>
      <c r="D71" s="36"/>
      <c r="E71" s="36" t="str">
        <f t="shared" si="8"/>
        <v/>
      </c>
      <c r="F71" s="37" t="str">
        <f t="shared" si="7"/>
        <v/>
      </c>
      <c r="G71" s="38"/>
      <c r="H71" s="38" t="str">
        <f t="shared" si="9"/>
        <v/>
      </c>
      <c r="I71" s="37" t="str">
        <f t="shared" si="10"/>
        <v/>
      </c>
      <c r="J71" s="113"/>
      <c r="K71" s="75"/>
    </row>
    <row r="72" spans="1:11" ht="15.6">
      <c r="A72" s="43" t="str">
        <v>CA: Stockton - SUSD - School for Adults</v>
      </c>
      <c r="B72" s="40" t="str">
        <v>CA</v>
      </c>
      <c r="C72" s="28"/>
      <c r="D72" s="29"/>
      <c r="E72" s="29" t="str">
        <f t="shared" si="8"/>
        <v/>
      </c>
      <c r="F72" s="30" t="str">
        <f t="shared" si="7"/>
        <v/>
      </c>
      <c r="G72" s="31"/>
      <c r="H72" s="31" t="str">
        <f t="shared" si="9"/>
        <v/>
      </c>
      <c r="I72" s="32" t="str">
        <f t="shared" si="10"/>
        <v/>
      </c>
      <c r="J72" s="57"/>
      <c r="K72" s="78"/>
    </row>
    <row r="73" spans="1:11" ht="15.6">
      <c r="A73" s="41" t="str">
        <v>CA: Stockton - SUSD - San Joaquin</v>
      </c>
      <c r="B73" s="42" t="str">
        <v>CA</v>
      </c>
      <c r="C73" s="35"/>
      <c r="D73" s="36"/>
      <c r="E73" s="36" t="str">
        <f t="shared" si="8"/>
        <v/>
      </c>
      <c r="F73" s="37" t="str">
        <f t="shared" ref="F73:F75" si="11">IFERROR(E73/D73, "")</f>
        <v/>
      </c>
      <c r="G73" s="38"/>
      <c r="H73" s="38" t="str">
        <f t="shared" si="9"/>
        <v/>
      </c>
      <c r="I73" s="37" t="str">
        <f t="shared" si="10"/>
        <v/>
      </c>
      <c r="J73" s="113"/>
      <c r="K73" s="75"/>
    </row>
    <row r="74" spans="1:11" ht="15.6">
      <c r="A74" s="43" t="str">
        <v>CA: Stockton - SUSD - Rio Calaveras</v>
      </c>
      <c r="B74" s="40" t="str">
        <v>CA</v>
      </c>
      <c r="C74" s="28"/>
      <c r="D74" s="29"/>
      <c r="E74" s="29" t="str">
        <f t="shared" si="8"/>
        <v/>
      </c>
      <c r="F74" s="30" t="str">
        <f t="shared" si="11"/>
        <v/>
      </c>
      <c r="G74" s="31"/>
      <c r="H74" s="31" t="str">
        <f t="shared" si="9"/>
        <v/>
      </c>
      <c r="I74" s="32" t="str">
        <f t="shared" si="10"/>
        <v/>
      </c>
      <c r="J74" s="57"/>
      <c r="K74" s="78"/>
    </row>
    <row r="75" spans="1:11" ht="15.6">
      <c r="A75" s="41" t="str">
        <v>CA: Stockton - SUSD - Peyton</v>
      </c>
      <c r="B75" s="42" t="str">
        <v>CA</v>
      </c>
      <c r="C75" s="35"/>
      <c r="D75" s="36"/>
      <c r="E75" s="36" t="str">
        <f t="shared" si="8"/>
        <v/>
      </c>
      <c r="F75" s="37" t="str">
        <f t="shared" si="11"/>
        <v/>
      </c>
      <c r="G75" s="38"/>
      <c r="H75" s="38" t="str">
        <f t="shared" si="9"/>
        <v/>
      </c>
      <c r="I75" s="37" t="str">
        <f t="shared" si="10"/>
        <v/>
      </c>
      <c r="J75" s="113"/>
      <c r="K75" s="8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7"/>
  <sheetViews>
    <sheetView zoomScale="50" zoomScaleNormal="50" workbookViewId="0">
      <pane xSplit="2" ySplit="3" topLeftCell="C29" activePane="bottomRight" state="frozen"/>
      <selection pane="bottomRight" activeCell="M5" sqref="M5"/>
      <selection pane="bottomLeft" activeCell="J4" sqref="J4:Y85"/>
      <selection pane="topRight" activeCell="J4" sqref="J4:Y85"/>
    </sheetView>
  </sheetViews>
  <sheetFormatPr defaultRowHeight="13.9"/>
  <cols>
    <col min="1" max="1" width="52.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9.140625" style="102"/>
  </cols>
  <sheetData>
    <row r="1" spans="1:16" ht="19.5" customHeight="1">
      <c r="A1" s="122" t="str" cm="1">
        <f t="array" ref="A1">portfolio</f>
        <v>Clean Capital</v>
      </c>
      <c r="B1" s="122"/>
      <c r="C1" s="122"/>
      <c r="D1" s="123" t="s">
        <v>279</v>
      </c>
      <c r="E1" s="123"/>
      <c r="F1" s="123"/>
      <c r="G1" s="121" t="s">
        <v>280</v>
      </c>
      <c r="H1" s="121"/>
      <c r="I1" s="121"/>
      <c r="J1" s="4"/>
      <c r="K1" s="4"/>
    </row>
    <row r="2" spans="1:16" ht="19.5" customHeight="1">
      <c r="A2" s="124" t="s">
        <v>2</v>
      </c>
      <c r="B2" s="124"/>
      <c r="C2" s="5">
        <f>SUM(C4:C85)</f>
        <v>0</v>
      </c>
      <c r="D2" s="5">
        <f>SUM(D4:D85)</f>
        <v>0</v>
      </c>
      <c r="E2" s="5">
        <f>C2-D2</f>
        <v>0</v>
      </c>
      <c r="F2" s="6">
        <f>IFERROR(E2/D2, 0)</f>
        <v>0</v>
      </c>
      <c r="G2" s="5">
        <f>SUM(G4:G85)</f>
        <v>0</v>
      </c>
      <c r="H2" s="7">
        <f>C2-G2</f>
        <v>0</v>
      </c>
      <c r="I2" s="6">
        <f>IFERROR(H2/G2, 0)</f>
        <v>0</v>
      </c>
      <c r="J2" s="11"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4</v>
      </c>
      <c r="B3" s="12" t="s">
        <v>5</v>
      </c>
      <c r="C3" s="19" t="s">
        <v>6</v>
      </c>
      <c r="D3" s="20" t="s">
        <v>7</v>
      </c>
      <c r="E3" s="20" t="s">
        <v>8</v>
      </c>
      <c r="F3" s="21" t="s">
        <v>9</v>
      </c>
      <c r="G3" s="22" t="s">
        <v>10</v>
      </c>
      <c r="H3" s="23" t="s">
        <v>8</v>
      </c>
      <c r="I3" s="24" t="s">
        <v>9</v>
      </c>
      <c r="J3" s="10" t="s">
        <v>272</v>
      </c>
      <c r="K3" s="10" t="s">
        <v>22</v>
      </c>
    </row>
    <row r="4" spans="1:16" ht="57" customHeight="1">
      <c r="A4" s="39" t="str" cm="1">
        <f t="array" ref="A4:A85">Sites[Site]</f>
        <v>Lexington - Cotting School</v>
      </c>
      <c r="B4" s="40" t="str" cm="1">
        <f t="array" ref="B4:B85">Sites[State]</f>
        <v>MA</v>
      </c>
      <c r="C4" s="28"/>
      <c r="D4" s="29"/>
      <c r="E4" s="29" t="str">
        <f>IF(AND(ISNUMBER(C4),ISNUMBER(D4)), C4-D4, "")</f>
        <v/>
      </c>
      <c r="F4" s="30" t="str">
        <f t="shared" ref="F4:F35" si="0">IFERROR(E4/D4, "")</f>
        <v/>
      </c>
      <c r="G4" s="73"/>
      <c r="H4" s="31" t="str">
        <f>IF(AND(ISNUMBER(C4),ISNUMBER(G4)), C4-G4, "")</f>
        <v/>
      </c>
      <c r="I4" s="32" t="str">
        <f>IFERROR(H4/G4, "")</f>
        <v/>
      </c>
      <c r="J4" s="49"/>
      <c r="K4" s="67"/>
    </row>
    <row r="5" spans="1:16" ht="248.25" customHeight="1">
      <c r="A5" s="41" t="str">
        <v>Pacoima - Whiteman Airport</v>
      </c>
      <c r="B5" s="42" t="str">
        <v>CA</v>
      </c>
      <c r="C5" s="35"/>
      <c r="D5" s="36"/>
      <c r="E5" s="36" t="str">
        <f t="shared" ref="E5" si="1">IF(AND(ISNUMBER(C5),ISNUMBER(D5)), C5-D5, "")</f>
        <v/>
      </c>
      <c r="F5" s="37" t="str">
        <f t="shared" si="0"/>
        <v/>
      </c>
      <c r="G5" s="38"/>
      <c r="H5" s="38" t="str">
        <f t="shared" ref="H5:H12" si="2">IF(AND(ISNUMBER(C5),ISNUMBER(G5)), C5-G5, "")</f>
        <v/>
      </c>
      <c r="I5" s="37" t="str">
        <f t="shared" ref="I5:I12" si="3">IFERROR(H5/G5, "")</f>
        <v/>
      </c>
      <c r="J5" s="60"/>
      <c r="K5" s="68"/>
      <c r="L5" s="95"/>
      <c r="M5" s="95"/>
      <c r="N5" s="95"/>
      <c r="O5" s="95"/>
      <c r="P5" s="95"/>
    </row>
    <row r="6" spans="1:16" ht="15.6">
      <c r="A6" s="43" t="str">
        <v>Hyannis - Sturgis Charter School</v>
      </c>
      <c r="B6" s="40" t="str">
        <v>MA</v>
      </c>
      <c r="C6" s="28"/>
      <c r="D6" s="29"/>
      <c r="E6" s="29" t="str">
        <f t="shared" ref="E6:E37" si="4">IF(AND(ISNUMBER(C6),ISNUMBER(D6)), C6-D6, "")</f>
        <v/>
      </c>
      <c r="F6" s="30" t="str">
        <f t="shared" si="0"/>
        <v/>
      </c>
      <c r="G6" s="31"/>
      <c r="H6" s="31" t="str">
        <f>IF(AND(ISNUMBER(C6),ISNUMBER(G6)), C6-G6, "")</f>
        <v/>
      </c>
      <c r="I6" s="32" t="str">
        <f>IFERROR(H6/G6, "")</f>
        <v/>
      </c>
      <c r="J6" s="49"/>
      <c r="K6" s="67"/>
    </row>
    <row r="7" spans="1:16" ht="15.6">
      <c r="A7" s="41" t="str">
        <v>South Dennis - Tony Kent Arena</v>
      </c>
      <c r="B7" s="42" t="str">
        <v>MA</v>
      </c>
      <c r="C7" s="35"/>
      <c r="D7" s="36"/>
      <c r="E7" s="36" t="str">
        <f t="shared" si="4"/>
        <v/>
      </c>
      <c r="F7" s="37" t="str">
        <f t="shared" si="0"/>
        <v/>
      </c>
      <c r="G7" s="100"/>
      <c r="H7" s="38" t="str">
        <f t="shared" si="2"/>
        <v/>
      </c>
      <c r="I7" s="37" t="str">
        <f>IFERROR(H7/G7, "")</f>
        <v/>
      </c>
      <c r="J7" s="50"/>
      <c r="K7" s="68"/>
      <c r="L7" s="95"/>
    </row>
    <row r="8" spans="1:16" ht="15.6">
      <c r="A8" s="43" t="str">
        <v xml:space="preserve"> Caropolis - Felician Sisters</v>
      </c>
      <c r="B8" s="40" t="str">
        <v>PA</v>
      </c>
      <c r="C8" s="28"/>
      <c r="D8" s="29"/>
      <c r="E8" s="29" t="str">
        <f t="shared" si="4"/>
        <v/>
      </c>
      <c r="F8" s="30" t="str">
        <f t="shared" si="0"/>
        <v/>
      </c>
      <c r="G8" s="73"/>
      <c r="H8" s="31" t="str">
        <f t="shared" si="2"/>
        <v/>
      </c>
      <c r="I8" s="32" t="str">
        <f t="shared" si="3"/>
        <v/>
      </c>
      <c r="J8" s="49"/>
      <c r="K8" s="67"/>
      <c r="L8" s="95"/>
    </row>
    <row r="9" spans="1:16" ht="65.45" customHeight="1">
      <c r="A9" s="41" t="str">
        <v>Clear Lake - Eastlake Gohman</v>
      </c>
      <c r="B9" s="42" t="str">
        <v>MN</v>
      </c>
      <c r="C9" s="35"/>
      <c r="D9" s="36"/>
      <c r="E9" s="36" t="str">
        <f t="shared" si="4"/>
        <v/>
      </c>
      <c r="F9" s="37" t="str">
        <f t="shared" si="0"/>
        <v/>
      </c>
      <c r="G9" s="38"/>
      <c r="H9" s="38" t="str">
        <f t="shared" si="2"/>
        <v/>
      </c>
      <c r="I9" s="37" t="str">
        <f t="shared" si="3"/>
        <v/>
      </c>
      <c r="J9" s="66"/>
      <c r="K9" s="68"/>
      <c r="L9" s="95"/>
      <c r="M9" s="95"/>
    </row>
    <row r="10" spans="1:16" ht="15.6">
      <c r="A10" s="43" t="str">
        <v>Zumbrota - Eastlake Brenda Luhman</v>
      </c>
      <c r="B10" s="40" t="str">
        <v>MN</v>
      </c>
      <c r="C10" s="28"/>
      <c r="D10" s="29"/>
      <c r="E10" s="29" t="str">
        <f t="shared" si="4"/>
        <v/>
      </c>
      <c r="F10" s="30" t="str">
        <f t="shared" si="0"/>
        <v/>
      </c>
      <c r="G10" s="31"/>
      <c r="H10" s="31" t="str">
        <f t="shared" si="2"/>
        <v/>
      </c>
      <c r="I10" s="32" t="str">
        <f t="shared" si="3"/>
        <v/>
      </c>
      <c r="J10" s="49"/>
      <c r="K10" s="49"/>
    </row>
    <row r="11" spans="1:16" ht="15.6">
      <c r="A11" s="41" t="str">
        <v>Cokato - Eastlake Carlson</v>
      </c>
      <c r="B11" s="42" t="str">
        <v>MN</v>
      </c>
      <c r="C11" s="35"/>
      <c r="D11" s="36"/>
      <c r="E11" s="36" t="str">
        <f t="shared" si="4"/>
        <v/>
      </c>
      <c r="F11" s="37" t="str">
        <f t="shared" si="0"/>
        <v/>
      </c>
      <c r="G11" s="38"/>
      <c r="H11" s="38" t="str">
        <f t="shared" si="2"/>
        <v/>
      </c>
      <c r="I11" s="37" t="str">
        <f t="shared" si="3"/>
        <v/>
      </c>
      <c r="J11" s="50"/>
      <c r="K11" s="68"/>
    </row>
    <row r="12" spans="1:16" ht="15.6">
      <c r="A12" s="43" t="str">
        <v>North Branch - Cornille 2</v>
      </c>
      <c r="B12" s="40" t="str">
        <v>MN</v>
      </c>
      <c r="C12" s="28"/>
      <c r="D12" s="29"/>
      <c r="E12" s="29" t="str">
        <f t="shared" si="4"/>
        <v/>
      </c>
      <c r="F12" s="30" t="str">
        <f t="shared" si="0"/>
        <v/>
      </c>
      <c r="G12" s="31"/>
      <c r="H12" s="31" t="str">
        <f t="shared" si="2"/>
        <v/>
      </c>
      <c r="I12" s="32" t="str">
        <f t="shared" si="3"/>
        <v/>
      </c>
      <c r="J12" s="49"/>
      <c r="K12" s="67"/>
      <c r="L12" s="95"/>
    </row>
    <row r="13" spans="1:16" ht="15.6">
      <c r="A13" s="41" t="str">
        <v>Clear Lake - Eastlake Hammer</v>
      </c>
      <c r="B13" s="42" t="str">
        <v>MN</v>
      </c>
      <c r="C13" s="35"/>
      <c r="D13" s="36"/>
      <c r="E13" s="36" t="str">
        <f t="shared" si="4"/>
        <v/>
      </c>
      <c r="F13" s="37" t="str">
        <f t="shared" si="0"/>
        <v/>
      </c>
      <c r="G13" s="38"/>
      <c r="H13" s="38" t="str">
        <f t="shared" ref="H13:H44" si="5">IF(AND(ISNUMBER(C13),ISNUMBER(G13)), C13-G13, "")</f>
        <v/>
      </c>
      <c r="I13" s="37" t="str">
        <f t="shared" ref="I13:I44" si="6">IFERROR(H13/G13, "")</f>
        <v/>
      </c>
      <c r="J13" s="50"/>
      <c r="K13" s="68"/>
    </row>
    <row r="14" spans="1:16" ht="83.25" customHeight="1">
      <c r="A14" s="43" t="str">
        <v>Eastlake - Hertzberg CSG 1</v>
      </c>
      <c r="B14" s="40" t="str">
        <v>MN</v>
      </c>
      <c r="C14" s="28"/>
      <c r="D14" s="29"/>
      <c r="E14" s="29" t="str">
        <f t="shared" si="4"/>
        <v/>
      </c>
      <c r="F14" s="30" t="str">
        <f t="shared" si="0"/>
        <v/>
      </c>
      <c r="G14" s="31"/>
      <c r="H14" s="31" t="str">
        <f t="shared" si="5"/>
        <v/>
      </c>
      <c r="I14" s="32" t="str">
        <f t="shared" si="6"/>
        <v/>
      </c>
      <c r="J14" s="49"/>
      <c r="K14" s="67"/>
      <c r="L14" s="95"/>
    </row>
    <row r="15" spans="1:16" ht="15.6">
      <c r="A15" s="41" t="str">
        <v>Cokato - Eastlake Laurel Village</v>
      </c>
      <c r="B15" s="42" t="str">
        <v>MN</v>
      </c>
      <c r="C15" s="35"/>
      <c r="D15" s="36"/>
      <c r="E15" s="36" t="str">
        <f t="shared" si="4"/>
        <v/>
      </c>
      <c r="F15" s="37" t="str">
        <f t="shared" si="0"/>
        <v/>
      </c>
      <c r="G15" s="38"/>
      <c r="H15" s="38" t="str">
        <f t="shared" si="5"/>
        <v/>
      </c>
      <c r="I15" s="37" t="str">
        <f t="shared" si="6"/>
        <v/>
      </c>
      <c r="J15" s="50"/>
      <c r="K15" s="68"/>
    </row>
    <row r="16" spans="1:16" ht="15.6">
      <c r="A16" s="43" t="str">
        <v>St. Peter - Eastlake Paulson</v>
      </c>
      <c r="B16" s="40" t="str">
        <v>MN</v>
      </c>
      <c r="C16" s="28"/>
      <c r="D16" s="29"/>
      <c r="E16" s="29" t="str">
        <f t="shared" si="4"/>
        <v/>
      </c>
      <c r="F16" s="30" t="str">
        <f t="shared" si="0"/>
        <v/>
      </c>
      <c r="G16" s="31"/>
      <c r="H16" s="31" t="str">
        <f t="shared" si="5"/>
        <v/>
      </c>
      <c r="I16" s="32" t="str">
        <f t="shared" si="6"/>
        <v/>
      </c>
      <c r="J16" s="49"/>
      <c r="K16" s="67"/>
      <c r="L16" s="95"/>
    </row>
    <row r="17" spans="1:14" ht="15.6">
      <c r="A17" s="41" t="str">
        <v>Felician Sisters Convent</v>
      </c>
      <c r="B17" s="42" t="str">
        <v>NJ</v>
      </c>
      <c r="C17" s="35"/>
      <c r="D17" s="36"/>
      <c r="E17" s="36" t="str">
        <f t="shared" si="4"/>
        <v/>
      </c>
      <c r="F17" s="37" t="str">
        <f t="shared" si="0"/>
        <v/>
      </c>
      <c r="G17" s="74"/>
      <c r="H17" s="38" t="str">
        <f t="shared" si="5"/>
        <v/>
      </c>
      <c r="I17" s="37" t="str">
        <f t="shared" si="6"/>
        <v/>
      </c>
      <c r="J17" s="50"/>
      <c r="K17" s="68"/>
    </row>
    <row r="18" spans="1:14" ht="15.6">
      <c r="A18" s="43" t="str">
        <v>Sussex County Fairgrounds</v>
      </c>
      <c r="B18" s="40" t="str">
        <v>NJ</v>
      </c>
      <c r="C18" s="28"/>
      <c r="D18" s="29"/>
      <c r="E18" s="29" t="str">
        <f t="shared" si="4"/>
        <v/>
      </c>
      <c r="F18" s="30" t="str">
        <f t="shared" si="0"/>
        <v/>
      </c>
      <c r="G18" s="73"/>
      <c r="H18" s="31" t="str">
        <f t="shared" si="5"/>
        <v/>
      </c>
      <c r="I18" s="32" t="str">
        <f t="shared" si="6"/>
        <v/>
      </c>
      <c r="J18" s="49"/>
      <c r="K18" s="67"/>
      <c r="L18" s="95"/>
    </row>
    <row r="19" spans="1:14" ht="15.6">
      <c r="A19" s="41" t="str">
        <v>Gateway Church</v>
      </c>
      <c r="B19" s="42" t="str">
        <v>NJ</v>
      </c>
      <c r="C19" s="35"/>
      <c r="D19" s="36"/>
      <c r="E19" s="36" t="str">
        <f t="shared" si="4"/>
        <v/>
      </c>
      <c r="F19" s="37" t="str">
        <f t="shared" si="0"/>
        <v/>
      </c>
      <c r="G19" s="74"/>
      <c r="H19" s="38" t="str">
        <f t="shared" si="5"/>
        <v/>
      </c>
      <c r="I19" s="37" t="str">
        <f t="shared" si="6"/>
        <v/>
      </c>
      <c r="J19" s="50"/>
      <c r="K19" s="68"/>
    </row>
    <row r="20" spans="1:14" ht="15.6">
      <c r="A20" s="43" t="str">
        <v>Beaver Falls - Felician Sisters</v>
      </c>
      <c r="B20" s="40" t="str">
        <v>PA</v>
      </c>
      <c r="C20" s="28"/>
      <c r="D20" s="29"/>
      <c r="E20" s="29" t="str">
        <f t="shared" si="4"/>
        <v/>
      </c>
      <c r="F20" s="30" t="str">
        <f t="shared" si="0"/>
        <v/>
      </c>
      <c r="G20" s="73"/>
      <c r="H20" s="31" t="str">
        <f t="shared" si="5"/>
        <v/>
      </c>
      <c r="I20" s="32" t="str">
        <f t="shared" si="6"/>
        <v/>
      </c>
      <c r="J20" s="49"/>
      <c r="K20" s="67"/>
    </row>
    <row r="21" spans="1:14" ht="15.6">
      <c r="A21" s="41" t="str">
        <v>Livonia - Felician Sisters Ground</v>
      </c>
      <c r="B21" s="42" t="str">
        <v>MI</v>
      </c>
      <c r="C21" s="35"/>
      <c r="D21" s="36"/>
      <c r="E21" s="36" t="str">
        <f t="shared" si="4"/>
        <v/>
      </c>
      <c r="F21" s="37" t="str">
        <f t="shared" si="0"/>
        <v/>
      </c>
      <c r="G21" s="74"/>
      <c r="H21" s="38" t="str">
        <f t="shared" si="5"/>
        <v/>
      </c>
      <c r="I21" s="37" t="str">
        <f t="shared" si="6"/>
        <v/>
      </c>
      <c r="J21" s="50"/>
      <c r="K21" s="68"/>
      <c r="L21" s="95"/>
      <c r="M21" s="95"/>
    </row>
    <row r="22" spans="1:14" ht="15.6">
      <c r="A22" s="43" t="str">
        <v>Livonia - Felician Sisters Roof</v>
      </c>
      <c r="B22" s="40" t="str">
        <v>MI</v>
      </c>
      <c r="C22" s="28"/>
      <c r="D22" s="29"/>
      <c r="E22" s="29" t="str">
        <f t="shared" si="4"/>
        <v/>
      </c>
      <c r="F22" s="30" t="str">
        <f t="shared" si="0"/>
        <v/>
      </c>
      <c r="G22" s="73"/>
      <c r="H22" s="31" t="str">
        <f t="shared" si="5"/>
        <v/>
      </c>
      <c r="I22" s="32" t="str">
        <f t="shared" si="6"/>
        <v/>
      </c>
      <c r="J22" s="49"/>
      <c r="K22" s="67"/>
      <c r="L22" s="95"/>
    </row>
    <row r="23" spans="1:14" ht="15.6">
      <c r="A23" s="41" t="str">
        <v>Monmouth Worship Ctr</v>
      </c>
      <c r="B23" s="42" t="str">
        <v>NJ</v>
      </c>
      <c r="C23" s="35"/>
      <c r="D23" s="36"/>
      <c r="E23" s="36" t="str">
        <f t="shared" si="4"/>
        <v/>
      </c>
      <c r="F23" s="37" t="str">
        <f t="shared" si="0"/>
        <v/>
      </c>
      <c r="G23" s="74"/>
      <c r="H23" s="38" t="str">
        <f t="shared" si="5"/>
        <v/>
      </c>
      <c r="I23" s="37" t="str">
        <f t="shared" si="6"/>
        <v/>
      </c>
      <c r="J23" s="50"/>
      <c r="K23" s="51"/>
    </row>
    <row r="24" spans="1:14" ht="15.6">
      <c r="A24" s="43" t="str">
        <v xml:space="preserve"> Audubon - Senior Citizens United</v>
      </c>
      <c r="B24" s="40" t="str">
        <v>NJ</v>
      </c>
      <c r="C24" s="28"/>
      <c r="D24" s="29"/>
      <c r="E24" s="29" t="str">
        <f t="shared" si="4"/>
        <v/>
      </c>
      <c r="F24" s="30" t="str">
        <f t="shared" si="0"/>
        <v/>
      </c>
      <c r="G24" s="73"/>
      <c r="H24" s="31" t="str">
        <f t="shared" si="5"/>
        <v/>
      </c>
      <c r="I24" s="32" t="str">
        <f t="shared" si="6"/>
        <v/>
      </c>
      <c r="J24" s="49"/>
      <c r="K24" s="67"/>
    </row>
    <row r="25" spans="1:14" ht="124.5" customHeight="1">
      <c r="A25" s="41" t="str">
        <v>Hollister - PG&amp;E (Enerparc)</v>
      </c>
      <c r="B25" s="42" t="str">
        <v>CA</v>
      </c>
      <c r="C25" s="35"/>
      <c r="D25" s="36"/>
      <c r="E25" s="36" t="str">
        <f t="shared" si="4"/>
        <v/>
      </c>
      <c r="F25" s="37" t="str">
        <f t="shared" si="0"/>
        <v/>
      </c>
      <c r="G25" s="38"/>
      <c r="H25" s="38" t="str">
        <f t="shared" si="5"/>
        <v/>
      </c>
      <c r="I25" s="37" t="str">
        <f t="shared" si="6"/>
        <v/>
      </c>
      <c r="J25" s="50"/>
      <c r="K25" s="68"/>
      <c r="L25" s="95"/>
      <c r="M25" s="95"/>
      <c r="N25" s="95"/>
    </row>
    <row r="26" spans="1:14" ht="15.6">
      <c r="A26" s="43" t="str">
        <v>Taos County - Kit Carson Electric Co-Op</v>
      </c>
      <c r="B26" s="40" t="str">
        <v>NM</v>
      </c>
      <c r="C26" s="28"/>
      <c r="D26" s="29"/>
      <c r="E26" s="29" t="str">
        <f t="shared" si="4"/>
        <v/>
      </c>
      <c r="F26" s="30" t="str">
        <f t="shared" si="0"/>
        <v/>
      </c>
      <c r="G26" s="31"/>
      <c r="H26" s="31" t="str">
        <f t="shared" si="5"/>
        <v/>
      </c>
      <c r="I26" s="32" t="str">
        <f t="shared" si="6"/>
        <v/>
      </c>
      <c r="J26" s="49"/>
      <c r="K26" s="49"/>
    </row>
    <row r="27" spans="1:14" ht="15.6">
      <c r="A27" s="41" t="str">
        <v>Commerce City - Adams City HS</v>
      </c>
      <c r="B27" s="42" t="str">
        <v>CO</v>
      </c>
      <c r="C27" s="35"/>
      <c r="D27" s="36"/>
      <c r="E27" s="36" t="str">
        <f t="shared" si="4"/>
        <v/>
      </c>
      <c r="F27" s="37" t="str">
        <f t="shared" si="0"/>
        <v/>
      </c>
      <c r="G27" s="38"/>
      <c r="H27" s="38" t="str">
        <f t="shared" si="5"/>
        <v/>
      </c>
      <c r="I27" s="37" t="str">
        <f t="shared" si="6"/>
        <v/>
      </c>
      <c r="J27" s="50"/>
      <c r="K27" s="51"/>
    </row>
    <row r="28" spans="1:14" ht="15.6">
      <c r="A28" s="43" t="str">
        <v>Commerce City - Adams City MS</v>
      </c>
      <c r="B28" s="40" t="str">
        <v>CO</v>
      </c>
      <c r="C28" s="28"/>
      <c r="D28" s="29"/>
      <c r="E28" s="29" t="str">
        <f t="shared" si="4"/>
        <v/>
      </c>
      <c r="F28" s="30" t="str">
        <f t="shared" si="0"/>
        <v/>
      </c>
      <c r="G28" s="31"/>
      <c r="H28" s="31" t="str">
        <f t="shared" si="5"/>
        <v/>
      </c>
      <c r="I28" s="32" t="str">
        <f t="shared" si="6"/>
        <v/>
      </c>
      <c r="J28" s="49"/>
      <c r="K28" s="49"/>
    </row>
    <row r="29" spans="1:14" ht="15.6">
      <c r="A29" s="41" t="str">
        <v>Commerce City - Central ES</v>
      </c>
      <c r="B29" s="42" t="str">
        <v>CO</v>
      </c>
      <c r="C29" s="35"/>
      <c r="D29" s="36"/>
      <c r="E29" s="36" t="str">
        <f t="shared" si="4"/>
        <v/>
      </c>
      <c r="F29" s="37" t="str">
        <f t="shared" si="0"/>
        <v/>
      </c>
      <c r="G29" s="38"/>
      <c r="H29" s="38" t="str">
        <f t="shared" si="5"/>
        <v/>
      </c>
      <c r="I29" s="37" t="str">
        <f t="shared" si="6"/>
        <v/>
      </c>
      <c r="J29" s="50"/>
      <c r="K29" s="51"/>
    </row>
    <row r="30" spans="1:14" ht="15.6">
      <c r="A30" s="43" t="str">
        <v>Commerce City - Dupont ES</v>
      </c>
      <c r="B30" s="40" t="str">
        <v>CO</v>
      </c>
      <c r="C30" s="28"/>
      <c r="D30" s="29"/>
      <c r="E30" s="29" t="str">
        <f t="shared" si="4"/>
        <v/>
      </c>
      <c r="F30" s="30" t="str">
        <f t="shared" si="0"/>
        <v/>
      </c>
      <c r="G30" s="31"/>
      <c r="H30" s="31" t="str">
        <f t="shared" si="5"/>
        <v/>
      </c>
      <c r="I30" s="32" t="str">
        <f t="shared" si="6"/>
        <v/>
      </c>
      <c r="J30" s="49"/>
      <c r="K30" s="49"/>
    </row>
    <row r="31" spans="1:14" ht="15.6">
      <c r="A31" s="41" t="str">
        <v>Commerce City - Educational Support Services</v>
      </c>
      <c r="B31" s="42" t="str">
        <v>CO</v>
      </c>
      <c r="C31" s="35"/>
      <c r="D31" s="36"/>
      <c r="E31" s="36" t="str">
        <f t="shared" si="4"/>
        <v/>
      </c>
      <c r="F31" s="37" t="str">
        <f t="shared" si="0"/>
        <v/>
      </c>
      <c r="G31" s="38"/>
      <c r="H31" s="38" t="str">
        <f t="shared" si="5"/>
        <v/>
      </c>
      <c r="I31" s="37" t="str">
        <f t="shared" si="6"/>
        <v/>
      </c>
      <c r="J31" s="50"/>
      <c r="K31" s="51"/>
    </row>
    <row r="32" spans="1:14" ht="15.6">
      <c r="A32" s="43" t="str">
        <v>Commerce City - Hanson ES</v>
      </c>
      <c r="B32" s="40" t="str">
        <v>CO</v>
      </c>
      <c r="C32" s="28"/>
      <c r="D32" s="29"/>
      <c r="E32" s="29" t="str">
        <f t="shared" si="4"/>
        <v/>
      </c>
      <c r="F32" s="30" t="str">
        <f t="shared" si="0"/>
        <v/>
      </c>
      <c r="G32" s="31"/>
      <c r="H32" s="31" t="str">
        <f t="shared" si="5"/>
        <v/>
      </c>
      <c r="I32" s="32" t="str">
        <f t="shared" si="6"/>
        <v/>
      </c>
      <c r="J32" s="49"/>
      <c r="K32" s="49"/>
    </row>
    <row r="33" spans="1:15" ht="38.25" customHeight="1">
      <c r="A33" s="41" t="str">
        <v>Commerce City - Kemp ES</v>
      </c>
      <c r="B33" s="42" t="str">
        <v>CO</v>
      </c>
      <c r="C33" s="35"/>
      <c r="D33" s="36"/>
      <c r="E33" s="36" t="str">
        <f t="shared" si="4"/>
        <v/>
      </c>
      <c r="F33" s="37" t="str">
        <f t="shared" si="0"/>
        <v/>
      </c>
      <c r="G33" s="38"/>
      <c r="H33" s="38" t="str">
        <f t="shared" si="5"/>
        <v/>
      </c>
      <c r="I33" s="37" t="str">
        <f t="shared" si="6"/>
        <v/>
      </c>
      <c r="J33" s="50"/>
      <c r="K33" s="69"/>
      <c r="L33" s="95"/>
    </row>
    <row r="34" spans="1:15" ht="33.75" customHeight="1">
      <c r="A34" s="43" t="str">
        <v>Commerce City -  Lester Arnold HS</v>
      </c>
      <c r="B34" s="40" t="str">
        <v>CO</v>
      </c>
      <c r="C34" s="28"/>
      <c r="D34" s="29"/>
      <c r="E34" s="29" t="str">
        <f t="shared" si="4"/>
        <v/>
      </c>
      <c r="F34" s="30" t="str">
        <f t="shared" si="0"/>
        <v/>
      </c>
      <c r="G34" s="31"/>
      <c r="H34" s="31" t="str">
        <f t="shared" si="5"/>
        <v/>
      </c>
      <c r="I34" s="32" t="str">
        <f t="shared" si="6"/>
        <v/>
      </c>
      <c r="J34" s="49"/>
      <c r="K34" s="67"/>
      <c r="L34" s="95"/>
      <c r="M34" s="95"/>
    </row>
    <row r="35" spans="1:15" ht="15.6">
      <c r="A35" s="41" t="str">
        <v>Commerce City - Monaco ES</v>
      </c>
      <c r="B35" s="42" t="str">
        <v>CO</v>
      </c>
      <c r="C35" s="35"/>
      <c r="D35" s="36"/>
      <c r="E35" s="36" t="str">
        <f t="shared" si="4"/>
        <v/>
      </c>
      <c r="F35" s="37" t="str">
        <f t="shared" si="0"/>
        <v/>
      </c>
      <c r="G35" s="38"/>
      <c r="H35" s="38" t="str">
        <f t="shared" si="5"/>
        <v/>
      </c>
      <c r="I35" s="37" t="str">
        <f t="shared" si="6"/>
        <v/>
      </c>
      <c r="J35" s="50"/>
      <c r="K35" s="51"/>
    </row>
    <row r="36" spans="1:15" ht="15.6">
      <c r="A36" s="43" t="str">
        <v>Denver - Northgate / Old Fort Logan ES</v>
      </c>
      <c r="B36" s="40" t="str">
        <v>CO</v>
      </c>
      <c r="C36" s="28"/>
      <c r="D36" s="29"/>
      <c r="E36" s="29" t="str">
        <f t="shared" si="4"/>
        <v/>
      </c>
      <c r="F36" s="30" t="str">
        <f t="shared" ref="F36:F67" si="7">IFERROR(E36/D36, "")</f>
        <v/>
      </c>
      <c r="G36" s="31"/>
      <c r="H36" s="31" t="str">
        <f t="shared" si="5"/>
        <v/>
      </c>
      <c r="I36" s="32" t="str">
        <f t="shared" si="6"/>
        <v/>
      </c>
      <c r="J36" s="49"/>
      <c r="K36" s="49"/>
    </row>
    <row r="37" spans="1:15" ht="15.6">
      <c r="A37" s="41" t="str">
        <v>Denver - Sheridan High School</v>
      </c>
      <c r="B37" s="42" t="str">
        <v>CO</v>
      </c>
      <c r="C37" s="35"/>
      <c r="D37" s="36"/>
      <c r="E37" s="36" t="str">
        <f t="shared" si="4"/>
        <v/>
      </c>
      <c r="F37" s="37" t="str">
        <f t="shared" si="7"/>
        <v/>
      </c>
      <c r="G37" s="38"/>
      <c r="H37" s="38" t="str">
        <f t="shared" si="5"/>
        <v/>
      </c>
      <c r="I37" s="37" t="str">
        <f t="shared" si="6"/>
        <v/>
      </c>
      <c r="J37" s="50"/>
      <c r="K37" s="51"/>
    </row>
    <row r="38" spans="1:15" ht="15.6">
      <c r="A38" s="43" t="str">
        <v>Englewood -  Alice Terry Elementary</v>
      </c>
      <c r="B38" s="40" t="str">
        <v>CO</v>
      </c>
      <c r="C38" s="28"/>
      <c r="D38" s="29"/>
      <c r="E38" s="29" t="str">
        <f t="shared" ref="E38:E69" si="8">IF(AND(ISNUMBER(C38),ISNUMBER(D38)), C38-D38, "")</f>
        <v/>
      </c>
      <c r="F38" s="30" t="str">
        <f t="shared" si="7"/>
        <v/>
      </c>
      <c r="G38" s="31"/>
      <c r="H38" s="31" t="str">
        <f t="shared" si="5"/>
        <v/>
      </c>
      <c r="I38" s="32" t="str">
        <f t="shared" si="6"/>
        <v/>
      </c>
      <c r="J38" s="49"/>
      <c r="K38" s="49"/>
    </row>
    <row r="39" spans="1:15" ht="15.6">
      <c r="A39" s="41" t="str">
        <v>Englewood - Sheridan Middle School</v>
      </c>
      <c r="B39" s="42" t="str">
        <v>CO</v>
      </c>
      <c r="C39" s="35"/>
      <c r="D39" s="36"/>
      <c r="E39" s="36" t="str">
        <f t="shared" si="8"/>
        <v/>
      </c>
      <c r="F39" s="37" t="str">
        <f t="shared" si="7"/>
        <v/>
      </c>
      <c r="G39" s="38"/>
      <c r="H39" s="38" t="str">
        <f t="shared" si="5"/>
        <v/>
      </c>
      <c r="I39" s="37" t="str">
        <f t="shared" si="6"/>
        <v/>
      </c>
      <c r="J39" s="50"/>
      <c r="K39" s="51"/>
    </row>
    <row r="40" spans="1:15" ht="15.6">
      <c r="A40" s="43" t="str">
        <v>Goshen - NIPSCO</v>
      </c>
      <c r="B40" s="40" t="str">
        <v>IN</v>
      </c>
      <c r="C40" s="28"/>
      <c r="D40" s="29"/>
      <c r="E40" s="29" t="str">
        <f t="shared" si="8"/>
        <v/>
      </c>
      <c r="F40" s="30" t="str">
        <f t="shared" si="7"/>
        <v/>
      </c>
      <c r="G40" s="31"/>
      <c r="H40" s="31" t="str">
        <f t="shared" si="5"/>
        <v/>
      </c>
      <c r="I40" s="32" t="str">
        <f t="shared" si="6"/>
        <v/>
      </c>
      <c r="J40" s="49"/>
      <c r="K40" s="67"/>
    </row>
    <row r="41" spans="1:15" ht="15.6">
      <c r="A41" s="41" t="str">
        <v>Alamogordo - City of Alamogordo - Effluent</v>
      </c>
      <c r="B41" s="42" t="str">
        <v>NM</v>
      </c>
      <c r="C41" s="35"/>
      <c r="D41" s="36"/>
      <c r="E41" s="36" t="str">
        <f t="shared" si="8"/>
        <v/>
      </c>
      <c r="F41" s="37" t="str">
        <f t="shared" si="7"/>
        <v/>
      </c>
      <c r="G41" s="38"/>
      <c r="H41" s="38" t="str">
        <f t="shared" si="5"/>
        <v/>
      </c>
      <c r="I41" s="37" t="str">
        <f t="shared" si="6"/>
        <v/>
      </c>
      <c r="J41" s="50"/>
      <c r="K41" s="68"/>
      <c r="L41" s="95"/>
    </row>
    <row r="42" spans="1:15" ht="15.6">
      <c r="A42" s="43" t="str">
        <v>Alamogordo - City of Alamogordo - WWTP</v>
      </c>
      <c r="B42" s="40" t="str">
        <v>NM</v>
      </c>
      <c r="C42" s="28"/>
      <c r="D42" s="29"/>
      <c r="E42" s="29" t="str">
        <f t="shared" si="8"/>
        <v/>
      </c>
      <c r="F42" s="30" t="str">
        <f t="shared" si="7"/>
        <v/>
      </c>
      <c r="G42" s="31"/>
      <c r="H42" s="31" t="str">
        <f t="shared" si="5"/>
        <v/>
      </c>
      <c r="I42" s="32" t="str">
        <f t="shared" si="6"/>
        <v/>
      </c>
      <c r="J42" s="49"/>
      <c r="K42" s="67"/>
      <c r="L42" s="95"/>
      <c r="M42" s="95"/>
    </row>
    <row r="43" spans="1:15" ht="15.6">
      <c r="A43" s="41" t="str">
        <v>Deming - Bilbo Booster</v>
      </c>
      <c r="B43" s="42" t="str">
        <v>NM</v>
      </c>
      <c r="C43" s="35"/>
      <c r="D43" s="36"/>
      <c r="E43" s="36" t="str">
        <f t="shared" si="8"/>
        <v/>
      </c>
      <c r="F43" s="37" t="str">
        <f t="shared" si="7"/>
        <v/>
      </c>
      <c r="G43" s="38"/>
      <c r="H43" s="38" t="str">
        <f t="shared" si="5"/>
        <v/>
      </c>
      <c r="I43" s="37" t="str">
        <f t="shared" si="6"/>
        <v/>
      </c>
      <c r="J43" s="50"/>
      <c r="K43" s="68"/>
      <c r="L43" s="95"/>
    </row>
    <row r="44" spans="1:15" ht="15.6">
      <c r="A44" s="43" t="str">
        <v>Deming - Bilbo Well</v>
      </c>
      <c r="B44" s="40" t="str">
        <v>NM</v>
      </c>
      <c r="C44" s="28"/>
      <c r="D44" s="29"/>
      <c r="E44" s="29" t="str">
        <f t="shared" si="8"/>
        <v/>
      </c>
      <c r="F44" s="30" t="str">
        <f t="shared" si="7"/>
        <v/>
      </c>
      <c r="G44" s="31"/>
      <c r="H44" s="31" t="str">
        <f t="shared" si="5"/>
        <v/>
      </c>
      <c r="I44" s="32" t="str">
        <f t="shared" si="6"/>
        <v/>
      </c>
      <c r="J44" s="49"/>
      <c r="K44" s="67"/>
    </row>
    <row r="45" spans="1:15" ht="15.6">
      <c r="A45" s="41" t="str">
        <v>Deming - WWTP</v>
      </c>
      <c r="B45" s="42" t="str">
        <v>NM</v>
      </c>
      <c r="C45" s="35"/>
      <c r="D45" s="36"/>
      <c r="E45" s="36" t="str">
        <f t="shared" si="8"/>
        <v/>
      </c>
      <c r="F45" s="37" t="str">
        <f t="shared" si="7"/>
        <v/>
      </c>
      <c r="G45" s="38"/>
      <c r="H45" s="38" t="str">
        <f t="shared" ref="H45:H76" si="9">IF(AND(ISNUMBER(C45),ISNUMBER(G45)), C45-G45, "")</f>
        <v/>
      </c>
      <c r="I45" s="37" t="str">
        <f t="shared" ref="I45:I76" si="10">IFERROR(H45/G45, "")</f>
        <v/>
      </c>
      <c r="J45" s="60"/>
      <c r="K45" s="69"/>
      <c r="L45" s="95"/>
    </row>
    <row r="46" spans="1:15" ht="15.6">
      <c r="A46" s="43" t="str">
        <v>Truth or Consequences - Walmart</v>
      </c>
      <c r="B46" s="40" t="str">
        <v>NM</v>
      </c>
      <c r="C46" s="28"/>
      <c r="D46" s="29"/>
      <c r="E46" s="29" t="str">
        <f t="shared" si="8"/>
        <v/>
      </c>
      <c r="F46" s="30" t="str">
        <f t="shared" si="7"/>
        <v/>
      </c>
      <c r="G46" s="31"/>
      <c r="H46" s="31" t="str">
        <f t="shared" si="9"/>
        <v/>
      </c>
      <c r="I46" s="32" t="str">
        <f t="shared" si="10"/>
        <v/>
      </c>
      <c r="J46" s="49"/>
      <c r="K46" s="67"/>
      <c r="L46" s="95"/>
      <c r="M46" s="95"/>
      <c r="N46" s="95"/>
      <c r="O46" s="95"/>
    </row>
    <row r="47" spans="1:15" ht="15.6">
      <c r="A47" s="41" t="str">
        <v>CA: Stockton - SUSD - Merlo</v>
      </c>
      <c r="B47" s="42" t="str">
        <v>CA</v>
      </c>
      <c r="C47" s="35"/>
      <c r="D47" s="36"/>
      <c r="E47" s="36" t="str">
        <f t="shared" si="8"/>
        <v/>
      </c>
      <c r="F47" s="37" t="str">
        <f t="shared" si="7"/>
        <v/>
      </c>
      <c r="G47" s="38"/>
      <c r="H47" s="38" t="str">
        <f t="shared" si="9"/>
        <v/>
      </c>
      <c r="I47" s="37" t="str">
        <f t="shared" si="10"/>
        <v/>
      </c>
      <c r="J47" s="60"/>
      <c r="K47" s="75"/>
    </row>
    <row r="48" spans="1:15" ht="15.6">
      <c r="A48" s="43" t="str">
        <v>Stockton Unified School Dist. - Bush Elementary</v>
      </c>
      <c r="B48" s="40" t="str">
        <v>CA</v>
      </c>
      <c r="C48" s="28"/>
      <c r="D48" s="29"/>
      <c r="E48" s="29" t="str">
        <f t="shared" si="8"/>
        <v/>
      </c>
      <c r="F48" s="30" t="str">
        <f t="shared" si="7"/>
        <v/>
      </c>
      <c r="G48" s="31"/>
      <c r="H48" s="31" t="str">
        <f t="shared" si="9"/>
        <v/>
      </c>
      <c r="I48" s="32" t="str">
        <f t="shared" si="10"/>
        <v/>
      </c>
      <c r="J48" s="49"/>
      <c r="K48" s="67"/>
      <c r="L48" s="95"/>
    </row>
    <row r="49" spans="1:14" ht="15.6">
      <c r="A49" s="41" t="str">
        <v>CA: Stockton - SUSD - Marshall JHS</v>
      </c>
      <c r="B49" s="42" t="str">
        <v>CA</v>
      </c>
      <c r="C49" s="35"/>
      <c r="D49" s="36"/>
      <c r="E49" s="36" t="str">
        <f t="shared" si="8"/>
        <v/>
      </c>
      <c r="F49" s="37" t="str">
        <f t="shared" si="7"/>
        <v/>
      </c>
      <c r="G49" s="38"/>
      <c r="H49" s="38" t="str">
        <f t="shared" si="9"/>
        <v/>
      </c>
      <c r="I49" s="37" t="str">
        <f t="shared" si="10"/>
        <v/>
      </c>
      <c r="J49" s="60"/>
      <c r="K49" s="75"/>
    </row>
    <row r="50" spans="1:14" ht="15.6">
      <c r="A50" s="43" t="str">
        <v>CA: Stockton - SUSD - Hong-Kingston ES</v>
      </c>
      <c r="B50" s="40" t="str">
        <v>CA</v>
      </c>
      <c r="C50" s="28"/>
      <c r="D50" s="29"/>
      <c r="E50" s="29" t="str">
        <f t="shared" si="8"/>
        <v/>
      </c>
      <c r="F50" s="30" t="str">
        <f t="shared" si="7"/>
        <v/>
      </c>
      <c r="G50" s="31"/>
      <c r="H50" s="31" t="str">
        <f t="shared" si="9"/>
        <v/>
      </c>
      <c r="I50" s="32" t="str">
        <f t="shared" si="10"/>
        <v/>
      </c>
      <c r="J50" s="49"/>
      <c r="K50" s="67"/>
    </row>
    <row r="51" spans="1:14" ht="15.6">
      <c r="A51" s="41" t="str">
        <v>CA: Stockton - SUSD - Hamilton ES</v>
      </c>
      <c r="B51" s="42" t="str">
        <v>CA</v>
      </c>
      <c r="C51" s="35"/>
      <c r="D51" s="36"/>
      <c r="E51" s="36" t="str">
        <f t="shared" si="8"/>
        <v/>
      </c>
      <c r="F51" s="37" t="str">
        <f t="shared" si="7"/>
        <v/>
      </c>
      <c r="G51" s="38"/>
      <c r="H51" s="38" t="str">
        <f t="shared" si="9"/>
        <v/>
      </c>
      <c r="I51" s="37" t="str">
        <f t="shared" si="10"/>
        <v/>
      </c>
      <c r="J51" s="50"/>
      <c r="K51" s="69"/>
    </row>
    <row r="52" spans="1:14" ht="15.6">
      <c r="A52" s="43" t="str">
        <v>CA: Stockton - SUSD - Franklin - North</v>
      </c>
      <c r="B52" s="40" t="str">
        <v>CA</v>
      </c>
      <c r="C52" s="28"/>
      <c r="D52" s="29"/>
      <c r="E52" s="29" t="str">
        <f t="shared" si="8"/>
        <v/>
      </c>
      <c r="F52" s="30" t="str">
        <f t="shared" si="7"/>
        <v/>
      </c>
      <c r="G52" s="31"/>
      <c r="H52" s="31" t="str">
        <f t="shared" si="9"/>
        <v/>
      </c>
      <c r="I52" s="32" t="str">
        <f t="shared" si="10"/>
        <v/>
      </c>
      <c r="J52" s="49"/>
      <c r="K52" s="67"/>
      <c r="L52" s="95"/>
      <c r="M52" s="95"/>
      <c r="N52" s="95"/>
    </row>
    <row r="53" spans="1:14" ht="15.6">
      <c r="A53" s="41" t="str">
        <v>Stockton Unified School Dist. - Fillmore Elementary</v>
      </c>
      <c r="B53" s="42" t="str">
        <v>CA</v>
      </c>
      <c r="C53" s="35"/>
      <c r="D53" s="36"/>
      <c r="E53" s="36" t="str">
        <f t="shared" si="8"/>
        <v/>
      </c>
      <c r="F53" s="37" t="str">
        <f t="shared" si="7"/>
        <v/>
      </c>
      <c r="G53" s="38"/>
      <c r="H53" s="38" t="str">
        <f t="shared" si="9"/>
        <v/>
      </c>
      <c r="I53" s="37" t="str">
        <f t="shared" si="10"/>
        <v/>
      </c>
      <c r="J53" s="50"/>
      <c r="K53" s="69"/>
    </row>
    <row r="54" spans="1:14" ht="15.6">
      <c r="A54" s="43" t="str">
        <v>CA: Stockton - SUSD - El Dorado ES</v>
      </c>
      <c r="B54" s="40" t="str">
        <v>CA</v>
      </c>
      <c r="C54" s="28"/>
      <c r="D54" s="29"/>
      <c r="E54" s="29" t="str">
        <f t="shared" si="8"/>
        <v/>
      </c>
      <c r="F54" s="30" t="str">
        <f t="shared" si="7"/>
        <v/>
      </c>
      <c r="G54" s="31"/>
      <c r="H54" s="31" t="str">
        <f t="shared" si="9"/>
        <v/>
      </c>
      <c r="I54" s="32" t="str">
        <f t="shared" si="10"/>
        <v/>
      </c>
      <c r="J54" s="49"/>
      <c r="K54" s="67"/>
    </row>
    <row r="55" spans="1:14" ht="15.6">
      <c r="A55" s="41" t="str">
        <v>CA: Stockton - SUSD - Edison HS</v>
      </c>
      <c r="B55" s="42" t="str">
        <v>CA</v>
      </c>
      <c r="C55" s="35"/>
      <c r="D55" s="36"/>
      <c r="E55" s="36" t="str">
        <f t="shared" si="8"/>
        <v/>
      </c>
      <c r="F55" s="37" t="str">
        <f t="shared" si="7"/>
        <v/>
      </c>
      <c r="G55" s="38"/>
      <c r="H55" s="38" t="str">
        <f t="shared" si="9"/>
        <v/>
      </c>
      <c r="I55" s="37" t="str">
        <f t="shared" si="10"/>
        <v/>
      </c>
      <c r="J55" s="60"/>
      <c r="K55" s="75"/>
    </row>
    <row r="56" spans="1:14" ht="15.6">
      <c r="A56" s="43" t="str">
        <v>CA: Stockton - SUSD - Chavez HS - Large</v>
      </c>
      <c r="B56" s="40" t="str">
        <v>CA</v>
      </c>
      <c r="C56" s="28"/>
      <c r="D56" s="29"/>
      <c r="E56" s="29" t="str">
        <f t="shared" si="8"/>
        <v/>
      </c>
      <c r="F56" s="30" t="str">
        <f t="shared" si="7"/>
        <v/>
      </c>
      <c r="G56" s="31"/>
      <c r="H56" s="31" t="str">
        <f t="shared" si="9"/>
        <v/>
      </c>
      <c r="I56" s="32" t="str">
        <f t="shared" si="10"/>
        <v/>
      </c>
      <c r="J56" s="49"/>
      <c r="K56" s="67"/>
    </row>
    <row r="57" spans="1:14" ht="15.6">
      <c r="A57" s="41" t="str">
        <v>CA: San Jose - GE Mobile Water</v>
      </c>
      <c r="B57" s="42" t="str">
        <v>CA</v>
      </c>
      <c r="C57" s="35"/>
      <c r="D57" s="36"/>
      <c r="E57" s="36" t="str">
        <f t="shared" si="8"/>
        <v/>
      </c>
      <c r="F57" s="37" t="str">
        <f t="shared" si="7"/>
        <v/>
      </c>
      <c r="G57" s="38"/>
      <c r="H57" s="38" t="str">
        <f t="shared" si="9"/>
        <v/>
      </c>
      <c r="I57" s="37" t="str">
        <f t="shared" si="10"/>
        <v/>
      </c>
      <c r="J57" s="60"/>
      <c r="K57" s="75"/>
    </row>
    <row r="58" spans="1:14" ht="15.6">
      <c r="A58" s="43" t="str">
        <v>CA: San Marcos - Vallecitos Water - Lift Station</v>
      </c>
      <c r="B58" s="40" t="str">
        <v>CA</v>
      </c>
      <c r="C58" s="28"/>
      <c r="D58" s="29"/>
      <c r="E58" s="29" t="str">
        <f t="shared" si="8"/>
        <v/>
      </c>
      <c r="F58" s="30" t="str">
        <f t="shared" si="7"/>
        <v/>
      </c>
      <c r="G58" s="31"/>
      <c r="H58" s="31" t="str">
        <f t="shared" si="9"/>
        <v/>
      </c>
      <c r="I58" s="32" t="str">
        <f t="shared" si="10"/>
        <v/>
      </c>
      <c r="J58" s="49"/>
      <c r="K58" s="49"/>
    </row>
    <row r="59" spans="1:14" ht="15.6">
      <c r="A59" s="41" t="str">
        <v>CA: San Marcos - Vallecitos Water - Twin Oaks Reservoir</v>
      </c>
      <c r="B59" s="42" t="str">
        <v>CA</v>
      </c>
      <c r="C59" s="35"/>
      <c r="D59" s="36"/>
      <c r="E59" s="36" t="str">
        <f t="shared" si="8"/>
        <v/>
      </c>
      <c r="F59" s="37" t="str">
        <f t="shared" si="7"/>
        <v/>
      </c>
      <c r="G59" s="38"/>
      <c r="H59" s="38" t="str">
        <f t="shared" si="9"/>
        <v/>
      </c>
      <c r="I59" s="37" t="str">
        <f t="shared" si="10"/>
        <v/>
      </c>
      <c r="J59" s="60"/>
      <c r="K59" s="75"/>
      <c r="L59" s="95"/>
    </row>
    <row r="60" spans="1:14" ht="15.6">
      <c r="A60" s="43" t="str">
        <v>CA: Stockton - SUSD - Wilhelmina Henry ES</v>
      </c>
      <c r="B60" s="40" t="str">
        <v>CA</v>
      </c>
      <c r="C60" s="28"/>
      <c r="D60" s="29"/>
      <c r="E60" s="29" t="str">
        <f t="shared" si="8"/>
        <v/>
      </c>
      <c r="F60" s="30" t="str">
        <f t="shared" si="7"/>
        <v/>
      </c>
      <c r="G60" s="31"/>
      <c r="H60" s="31" t="str">
        <f t="shared" si="9"/>
        <v/>
      </c>
      <c r="I60" s="32" t="str">
        <f t="shared" si="10"/>
        <v/>
      </c>
      <c r="J60" s="49"/>
      <c r="K60" s="67"/>
    </row>
    <row r="61" spans="1:14" ht="15.6" hidden="1">
      <c r="A61" s="41" t="str">
        <v>Stockton Unified School Dist. - Franklin (North)</v>
      </c>
      <c r="B61" s="42" t="str">
        <v>CA</v>
      </c>
      <c r="C61" s="35"/>
      <c r="D61" s="36"/>
      <c r="E61" s="36" t="str">
        <f t="shared" si="8"/>
        <v/>
      </c>
      <c r="F61" s="37" t="str">
        <f t="shared" si="7"/>
        <v/>
      </c>
      <c r="G61" s="38"/>
      <c r="H61" s="38" t="str">
        <f t="shared" si="9"/>
        <v/>
      </c>
      <c r="I61" s="37" t="str">
        <f t="shared" si="10"/>
        <v/>
      </c>
      <c r="J61" s="50"/>
      <c r="K61" s="51"/>
    </row>
    <row r="62" spans="1:14" ht="15.6">
      <c r="A62" s="43" t="str">
        <v>CA: Stockton - SUSD - Franklin - South</v>
      </c>
      <c r="B62" s="40" t="str">
        <v>CA</v>
      </c>
      <c r="C62" s="28"/>
      <c r="D62" s="29"/>
      <c r="E62" s="29" t="str">
        <f t="shared" si="8"/>
        <v/>
      </c>
      <c r="F62" s="30" t="str">
        <f t="shared" si="7"/>
        <v/>
      </c>
      <c r="G62" s="31"/>
      <c r="H62" s="31" t="str">
        <f t="shared" si="9"/>
        <v/>
      </c>
      <c r="I62" s="32" t="str">
        <f t="shared" si="10"/>
        <v/>
      </c>
      <c r="J62" s="49"/>
      <c r="K62" s="67"/>
      <c r="L62" s="95"/>
    </row>
    <row r="63" spans="1:14" ht="15.6">
      <c r="A63" s="41" t="str">
        <v>CA: Stockton - SUSD - Chavez HS - Small</v>
      </c>
      <c r="B63" s="42" t="str">
        <v>CA</v>
      </c>
      <c r="C63" s="35"/>
      <c r="D63" s="36"/>
      <c r="E63" s="36" t="str">
        <f t="shared" si="8"/>
        <v/>
      </c>
      <c r="F63" s="37" t="str">
        <f t="shared" si="7"/>
        <v/>
      </c>
      <c r="G63" s="38"/>
      <c r="H63" s="38" t="str">
        <f t="shared" si="9"/>
        <v/>
      </c>
      <c r="I63" s="37" t="str">
        <f t="shared" si="10"/>
        <v/>
      </c>
      <c r="J63" s="60"/>
      <c r="K63" s="75"/>
    </row>
    <row r="64" spans="1:14" ht="15.6">
      <c r="A64" s="43" t="str">
        <v>CA: Stockton - SUSD - Facilities</v>
      </c>
      <c r="B64" s="40" t="str">
        <v>CA</v>
      </c>
      <c r="C64" s="28"/>
      <c r="D64" s="29"/>
      <c r="E64" s="29" t="str">
        <f t="shared" si="8"/>
        <v/>
      </c>
      <c r="F64" s="30" t="str">
        <f t="shared" si="7"/>
        <v/>
      </c>
      <c r="G64" s="31"/>
      <c r="H64" s="31" t="str">
        <f t="shared" si="9"/>
        <v/>
      </c>
      <c r="I64" s="32" t="str">
        <f t="shared" si="10"/>
        <v/>
      </c>
      <c r="J64" s="49"/>
      <c r="K64" s="67"/>
    </row>
    <row r="65" spans="1:14" ht="15.6">
      <c r="A65" s="41" t="str">
        <v>CA: Stockton - SUSD - Harrison</v>
      </c>
      <c r="B65" s="42" t="str">
        <v>CA</v>
      </c>
      <c r="C65" s="35"/>
      <c r="D65" s="36"/>
      <c r="E65" s="36" t="str">
        <f t="shared" si="8"/>
        <v/>
      </c>
      <c r="F65" s="37" t="str">
        <f t="shared" si="7"/>
        <v/>
      </c>
      <c r="G65" s="38"/>
      <c r="H65" s="38" t="str">
        <f t="shared" si="9"/>
        <v/>
      </c>
      <c r="I65" s="37" t="str">
        <f t="shared" si="10"/>
        <v/>
      </c>
      <c r="J65" s="50"/>
      <c r="K65" s="69"/>
    </row>
    <row r="66" spans="1:14" ht="15.6">
      <c r="A66" s="43" t="str">
        <v>CA: Stockton - SUSD - Commodore Skills School</v>
      </c>
      <c r="B66" s="40" t="str">
        <v>CA</v>
      </c>
      <c r="C66" s="28"/>
      <c r="D66" s="29"/>
      <c r="E66" s="29" t="str">
        <f t="shared" si="8"/>
        <v/>
      </c>
      <c r="F66" s="30" t="str">
        <f t="shared" si="7"/>
        <v/>
      </c>
      <c r="G66" s="31"/>
      <c r="H66" s="31" t="str">
        <f t="shared" si="9"/>
        <v/>
      </c>
      <c r="I66" s="32" t="str">
        <f t="shared" si="10"/>
        <v/>
      </c>
      <c r="J66" s="49"/>
      <c r="K66" s="67"/>
    </row>
    <row r="67" spans="1:14" ht="15.6">
      <c r="A67" s="41" t="str">
        <v>CA: Stockton - SUSD - Nightingale ES</v>
      </c>
      <c r="B67" s="42" t="str">
        <v>CA</v>
      </c>
      <c r="C67" s="35"/>
      <c r="D67" s="36"/>
      <c r="E67" s="36" t="str">
        <f t="shared" si="8"/>
        <v/>
      </c>
      <c r="F67" s="37" t="str">
        <f t="shared" si="7"/>
        <v/>
      </c>
      <c r="G67" s="38"/>
      <c r="H67" s="38" t="str">
        <f t="shared" si="9"/>
        <v/>
      </c>
      <c r="I67" s="37" t="str">
        <f t="shared" si="10"/>
        <v/>
      </c>
      <c r="J67" s="50"/>
      <c r="K67" s="69"/>
    </row>
    <row r="68" spans="1:14" ht="15.6">
      <c r="A68" s="43" t="str">
        <v>CA: Stockton - SUSD - Weber Institute</v>
      </c>
      <c r="B68" s="40" t="str">
        <v>CA</v>
      </c>
      <c r="C68" s="28"/>
      <c r="D68" s="29"/>
      <c r="E68" s="29" t="str">
        <f t="shared" si="8"/>
        <v/>
      </c>
      <c r="F68" s="30" t="str">
        <f t="shared" ref="F68:F85" si="11">IFERROR(E68/D68, "")</f>
        <v/>
      </c>
      <c r="G68" s="31"/>
      <c r="H68" s="31" t="str">
        <f t="shared" si="9"/>
        <v/>
      </c>
      <c r="I68" s="32" t="str">
        <f t="shared" si="10"/>
        <v/>
      </c>
      <c r="J68" s="49"/>
      <c r="K68" s="67"/>
    </row>
    <row r="69" spans="1:14" ht="15.6">
      <c r="A69" s="41" t="str">
        <v>CA: Stockton - SUSD - Warehouse</v>
      </c>
      <c r="B69" s="42" t="str">
        <v>CA</v>
      </c>
      <c r="C69" s="35"/>
      <c r="D69" s="36"/>
      <c r="E69" s="36" t="str">
        <f t="shared" si="8"/>
        <v/>
      </c>
      <c r="F69" s="37" t="str">
        <f t="shared" si="11"/>
        <v/>
      </c>
      <c r="G69" s="38"/>
      <c r="H69" s="38" t="str">
        <f t="shared" si="9"/>
        <v/>
      </c>
      <c r="I69" s="37" t="str">
        <f t="shared" si="10"/>
        <v/>
      </c>
      <c r="J69" s="50"/>
      <c r="K69" s="68"/>
    </row>
    <row r="70" spans="1:14" ht="15.6">
      <c r="A70" s="43" t="str">
        <v>CA: Stockton - SUSD - Walton Special Center</v>
      </c>
      <c r="B70" s="40" t="str">
        <v>CA</v>
      </c>
      <c r="C70" s="28"/>
      <c r="D70" s="29"/>
      <c r="E70" s="29" t="str">
        <f t="shared" ref="E70:E85" si="12">IF(AND(ISNUMBER(C70),ISNUMBER(D70)), C70-D70, "")</f>
        <v/>
      </c>
      <c r="F70" s="30" t="str">
        <f t="shared" si="11"/>
        <v/>
      </c>
      <c r="G70" s="31"/>
      <c r="H70" s="31" t="str">
        <f t="shared" si="9"/>
        <v/>
      </c>
      <c r="I70" s="32" t="str">
        <f t="shared" si="10"/>
        <v/>
      </c>
      <c r="J70" s="49"/>
      <c r="K70" s="67"/>
    </row>
    <row r="71" spans="1:14" ht="15.6">
      <c r="A71" s="41" t="str">
        <v>CA: Stockton - SUSD - Stagg HS</v>
      </c>
      <c r="B71" s="42" t="str">
        <v>CA</v>
      </c>
      <c r="C71" s="35"/>
      <c r="D71" s="36"/>
      <c r="E71" s="36" t="str">
        <f t="shared" si="12"/>
        <v/>
      </c>
      <c r="F71" s="37" t="str">
        <f t="shared" si="11"/>
        <v/>
      </c>
      <c r="G71" s="38"/>
      <c r="H71" s="38" t="str">
        <f t="shared" si="9"/>
        <v/>
      </c>
      <c r="I71" s="37" t="str">
        <f t="shared" si="10"/>
        <v/>
      </c>
      <c r="J71" s="50"/>
      <c r="K71" s="75"/>
      <c r="L71" s="95"/>
    </row>
    <row r="72" spans="1:14" ht="15.6">
      <c r="A72" s="43" t="str">
        <v>CA: Stockton - SUSD - School for Adults</v>
      </c>
      <c r="B72" s="40" t="str">
        <v>CA</v>
      </c>
      <c r="C72" s="28"/>
      <c r="D72" s="29"/>
      <c r="E72" s="29" t="str">
        <f t="shared" si="12"/>
        <v/>
      </c>
      <c r="F72" s="30" t="str">
        <f t="shared" si="11"/>
        <v/>
      </c>
      <c r="G72" s="31"/>
      <c r="H72" s="31" t="str">
        <f t="shared" si="9"/>
        <v/>
      </c>
      <c r="I72" s="32" t="str">
        <f t="shared" si="10"/>
        <v/>
      </c>
      <c r="J72" s="49"/>
      <c r="K72" s="67"/>
    </row>
    <row r="73" spans="1:14" ht="15.6">
      <c r="A73" s="41" t="str">
        <v>CA: Stockton - SUSD - San Joaquin</v>
      </c>
      <c r="B73" s="42" t="str">
        <v>CA</v>
      </c>
      <c r="C73" s="35"/>
      <c r="D73" s="36"/>
      <c r="E73" s="36" t="str">
        <f t="shared" si="12"/>
        <v/>
      </c>
      <c r="F73" s="37" t="str">
        <f t="shared" si="11"/>
        <v/>
      </c>
      <c r="G73" s="38"/>
      <c r="H73" s="38" t="str">
        <f t="shared" si="9"/>
        <v/>
      </c>
      <c r="I73" s="37" t="str">
        <f t="shared" si="10"/>
        <v/>
      </c>
      <c r="J73" s="99"/>
      <c r="K73" s="95"/>
    </row>
    <row r="74" spans="1:14" ht="15.6">
      <c r="A74" s="43" t="str">
        <v>CA: Stockton - SUSD - Rio Calaveras</v>
      </c>
      <c r="B74" s="40" t="str">
        <v>CA</v>
      </c>
      <c r="C74" s="28"/>
      <c r="D74" s="29"/>
      <c r="E74" s="29" t="str">
        <f t="shared" si="12"/>
        <v/>
      </c>
      <c r="F74" s="30" t="str">
        <f t="shared" si="11"/>
        <v/>
      </c>
      <c r="G74" s="31"/>
      <c r="H74" s="31" t="str">
        <f t="shared" si="9"/>
        <v/>
      </c>
      <c r="I74" s="32" t="str">
        <f t="shared" si="10"/>
        <v/>
      </c>
      <c r="J74" s="49"/>
      <c r="K74" s="67"/>
    </row>
    <row r="75" spans="1:14" ht="15.6">
      <c r="A75" s="41" t="str">
        <v>CA: Stockton - SUSD - Peyton</v>
      </c>
      <c r="B75" s="42" t="str">
        <v>CA</v>
      </c>
      <c r="C75" s="35"/>
      <c r="D75" s="36"/>
      <c r="E75" s="36" t="str">
        <f t="shared" si="12"/>
        <v/>
      </c>
      <c r="F75" s="37" t="str">
        <f t="shared" si="11"/>
        <v/>
      </c>
      <c r="G75" s="38"/>
      <c r="H75" s="38" t="str">
        <f t="shared" si="9"/>
        <v/>
      </c>
      <c r="I75" s="37" t="str">
        <f t="shared" si="10"/>
        <v/>
      </c>
      <c r="J75" s="13"/>
      <c r="K75" s="101"/>
    </row>
    <row r="76" spans="1:14" ht="15.6">
      <c r="A76" s="43" t="str">
        <v>TX: Barnhart - 42917 Ranch RD 2469</v>
      </c>
      <c r="B76" s="40" t="str">
        <v>TX</v>
      </c>
      <c r="C76" s="28"/>
      <c r="D76" s="29"/>
      <c r="E76" s="29" t="str">
        <f t="shared" si="12"/>
        <v/>
      </c>
      <c r="F76" s="30" t="str">
        <f t="shared" si="11"/>
        <v/>
      </c>
      <c r="G76" s="31"/>
      <c r="H76" s="31" t="str">
        <f t="shared" si="9"/>
        <v/>
      </c>
      <c r="I76" s="32" t="str">
        <f t="shared" si="10"/>
        <v/>
      </c>
      <c r="J76" s="49"/>
      <c r="K76" s="67"/>
      <c r="L76" s="95"/>
      <c r="M76" s="95"/>
      <c r="N76" s="95"/>
    </row>
    <row r="77" spans="1:14" ht="15.6">
      <c r="A77" s="41" t="str">
        <v>AZ: San Manuel - Senior &amp; Junior HS</v>
      </c>
      <c r="B77" s="42" t="str">
        <v>AZ</v>
      </c>
      <c r="C77" s="35"/>
      <c r="D77" s="36"/>
      <c r="E77" s="36" t="str">
        <f t="shared" si="12"/>
        <v/>
      </c>
      <c r="F77" s="37" t="str">
        <f t="shared" si="11"/>
        <v/>
      </c>
      <c r="G77" s="38"/>
      <c r="H77" s="38" t="str">
        <f t="shared" ref="H77:H85" si="13">IF(AND(ISNUMBER(C77),ISNUMBER(G77)), C77-G77, "")</f>
        <v/>
      </c>
      <c r="I77" s="37" t="str">
        <f t="shared" ref="I77:I85" si="14">IFERROR(H77/G77, "")</f>
        <v/>
      </c>
      <c r="J77" s="50"/>
      <c r="K77" s="68"/>
      <c r="L77" s="95"/>
    </row>
    <row r="78" spans="1:14" ht="15.6">
      <c r="A78" s="43" t="str">
        <v>AZ: Sierra Vista - Colonel Smith MS</v>
      </c>
      <c r="B78" s="40" t="str">
        <v>AZ</v>
      </c>
      <c r="C78" s="28"/>
      <c r="D78" s="29"/>
      <c r="E78" s="29" t="str">
        <f t="shared" si="12"/>
        <v/>
      </c>
      <c r="F78" s="30" t="str">
        <f t="shared" si="11"/>
        <v/>
      </c>
      <c r="G78" s="31"/>
      <c r="H78" s="31" t="str">
        <f t="shared" si="13"/>
        <v/>
      </c>
      <c r="I78" s="32" t="str">
        <f t="shared" si="14"/>
        <v/>
      </c>
      <c r="J78" s="49"/>
      <c r="K78" s="67"/>
    </row>
    <row r="79" spans="1:14" ht="15.6">
      <c r="A79" s="41" t="str">
        <v>AZ: Sierra Vista - Colonel Johnston ES</v>
      </c>
      <c r="B79" s="42" t="str">
        <v>AZ</v>
      </c>
      <c r="C79" s="35"/>
      <c r="D79" s="36"/>
      <c r="E79" s="36" t="str">
        <f t="shared" si="12"/>
        <v/>
      </c>
      <c r="F79" s="37" t="str">
        <f t="shared" si="11"/>
        <v/>
      </c>
      <c r="G79" s="38"/>
      <c r="H79" s="38" t="str">
        <f t="shared" si="13"/>
        <v/>
      </c>
      <c r="I79" s="37" t="str">
        <f t="shared" si="14"/>
        <v/>
      </c>
      <c r="J79" s="50"/>
      <c r="K79" s="68"/>
    </row>
    <row r="80" spans="1:14" ht="15.6">
      <c r="A80" s="43" t="str">
        <v>NH: Dover - Dover HS</v>
      </c>
      <c r="B80" s="40" t="str">
        <v>NH</v>
      </c>
      <c r="C80" s="28"/>
      <c r="D80" s="29"/>
      <c r="E80" s="29" t="str">
        <f t="shared" si="12"/>
        <v/>
      </c>
      <c r="F80" s="30" t="str">
        <f t="shared" si="11"/>
        <v/>
      </c>
      <c r="G80" s="31"/>
      <c r="H80" s="31" t="str">
        <f t="shared" si="13"/>
        <v/>
      </c>
      <c r="I80" s="32" t="str">
        <f t="shared" si="14"/>
        <v/>
      </c>
      <c r="J80" s="49"/>
      <c r="K80" s="67"/>
    </row>
    <row r="81" spans="1:13" ht="15.6">
      <c r="A81" s="41" t="str">
        <v>MA: Somerville - 30 Inner Belt Rd</v>
      </c>
      <c r="B81" s="42" t="str">
        <v>MA</v>
      </c>
      <c r="C81" s="35"/>
      <c r="D81" s="36"/>
      <c r="E81" s="36" t="str">
        <f t="shared" si="12"/>
        <v/>
      </c>
      <c r="F81" s="37" t="str">
        <f t="shared" si="11"/>
        <v/>
      </c>
      <c r="G81" s="38"/>
      <c r="H81" s="38" t="str">
        <f t="shared" si="13"/>
        <v/>
      </c>
      <c r="I81" s="37" t="str">
        <f t="shared" si="14"/>
        <v/>
      </c>
      <c r="J81" s="50"/>
      <c r="K81" s="51"/>
    </row>
    <row r="82" spans="1:13" ht="15.6">
      <c r="A82" s="43" t="str">
        <v>MA: Boxborough - 1414 Massachusetts Ave</v>
      </c>
      <c r="B82" s="40" t="str">
        <v>MA</v>
      </c>
      <c r="C82" s="28"/>
      <c r="D82" s="29"/>
      <c r="E82" s="29" t="str">
        <f t="shared" si="12"/>
        <v/>
      </c>
      <c r="F82" s="30" t="str">
        <f t="shared" si="11"/>
        <v/>
      </c>
      <c r="G82" s="31"/>
      <c r="H82" s="31" t="str">
        <f t="shared" si="13"/>
        <v/>
      </c>
      <c r="I82" s="32" t="str">
        <f t="shared" si="14"/>
        <v/>
      </c>
      <c r="J82" s="49"/>
      <c r="K82" s="67"/>
      <c r="L82" s="95"/>
    </row>
    <row r="83" spans="1:13" ht="15.6">
      <c r="A83" s="41" t="str">
        <v>NY: Amsterdam - 153 NY Route 67</v>
      </c>
      <c r="B83" s="42" t="str">
        <v>NY</v>
      </c>
      <c r="C83" s="35"/>
      <c r="D83" s="36"/>
      <c r="E83" s="36" t="str">
        <f t="shared" si="12"/>
        <v/>
      </c>
      <c r="F83" s="37" t="str">
        <f t="shared" si="11"/>
        <v/>
      </c>
      <c r="G83" s="38"/>
      <c r="H83" s="38" t="str">
        <f t="shared" si="13"/>
        <v/>
      </c>
      <c r="I83" s="37" t="str">
        <f t="shared" si="14"/>
        <v/>
      </c>
      <c r="J83" s="50"/>
      <c r="K83" s="69"/>
      <c r="L83" s="95"/>
      <c r="M83" s="95"/>
    </row>
    <row r="84" spans="1:13" ht="15.6">
      <c r="A84" s="43" t="str">
        <v>CA: San Jose - GE Mobile Water</v>
      </c>
      <c r="B84" s="40" t="str">
        <v>CA</v>
      </c>
      <c r="C84" s="28"/>
      <c r="D84" s="29"/>
      <c r="E84" s="29" t="str">
        <f t="shared" si="12"/>
        <v/>
      </c>
      <c r="F84" s="30" t="str">
        <f t="shared" si="11"/>
        <v/>
      </c>
      <c r="G84" s="31"/>
      <c r="H84" s="31" t="str">
        <f t="shared" si="13"/>
        <v/>
      </c>
      <c r="I84" s="32" t="str">
        <f t="shared" si="14"/>
        <v/>
      </c>
      <c r="J84" s="49"/>
      <c r="K84" s="67"/>
    </row>
    <row r="85" spans="1:13" ht="15.6">
      <c r="A85" s="41" t="str">
        <v>NY: Rome - 7776 Tannery RD</v>
      </c>
      <c r="B85" s="42" t="str">
        <v>NY</v>
      </c>
      <c r="C85" s="35"/>
      <c r="D85" s="36"/>
      <c r="E85" s="36" t="str">
        <f t="shared" si="12"/>
        <v/>
      </c>
      <c r="F85" s="37" t="str">
        <f t="shared" si="11"/>
        <v/>
      </c>
      <c r="G85" s="38"/>
      <c r="H85" s="38" t="str">
        <f t="shared" si="13"/>
        <v/>
      </c>
      <c r="I85" s="37" t="str">
        <f t="shared" si="14"/>
        <v/>
      </c>
      <c r="J85" s="50"/>
      <c r="K85" s="75"/>
      <c r="L85" s="95"/>
      <c r="M85" s="95"/>
    </row>
    <row r="86" spans="1:13" ht="14.45">
      <c r="A86" s="8"/>
      <c r="B86" s="13"/>
      <c r="C86" s="8"/>
      <c r="D86" s="8"/>
      <c r="E86" s="8"/>
      <c r="F86" s="9"/>
      <c r="G86" s="8"/>
      <c r="H86" s="8"/>
      <c r="I86" s="9"/>
      <c r="J86" s="8"/>
      <c r="K86" s="8"/>
    </row>
    <row r="87" spans="1:13" ht="14.45">
      <c r="A87" s="8"/>
      <c r="B87" s="13"/>
      <c r="C87" s="8"/>
      <c r="D87" s="8"/>
      <c r="E87" s="8"/>
      <c r="F87" s="9"/>
      <c r="G87" s="8"/>
      <c r="H87" s="8"/>
      <c r="I87" s="9"/>
      <c r="J87" s="8"/>
      <c r="K87" s="8"/>
    </row>
    <row r="88" spans="1:13" ht="14.45">
      <c r="A88" s="8"/>
      <c r="B88" s="13"/>
      <c r="C88" s="8"/>
      <c r="D88" s="8"/>
      <c r="E88" s="8"/>
      <c r="F88" s="9"/>
      <c r="G88" s="8"/>
      <c r="H88" s="8"/>
      <c r="I88" s="9"/>
      <c r="J88" s="8"/>
      <c r="K88" s="8"/>
    </row>
    <row r="89" spans="1:13" ht="14.45">
      <c r="A89" s="8"/>
      <c r="B89" s="13"/>
      <c r="C89" s="8"/>
      <c r="D89" s="8"/>
      <c r="E89" s="8"/>
      <c r="F89" s="9"/>
      <c r="G89" s="8"/>
      <c r="H89" s="8"/>
      <c r="I89" s="9"/>
      <c r="J89" s="8"/>
      <c r="K89" s="8"/>
    </row>
    <row r="90" spans="1:13" ht="14.45">
      <c r="A90" s="8"/>
      <c r="B90" s="13"/>
      <c r="C90" s="8"/>
      <c r="D90" s="8"/>
      <c r="E90" s="8"/>
      <c r="F90" s="9"/>
      <c r="G90" s="8"/>
      <c r="H90" s="8"/>
      <c r="I90" s="9"/>
      <c r="J90" s="8"/>
      <c r="K90" s="8"/>
    </row>
    <row r="91" spans="1:13" ht="14.45">
      <c r="A91" s="8"/>
      <c r="B91" s="13"/>
      <c r="C91" s="8"/>
      <c r="D91" s="8"/>
      <c r="E91" s="8"/>
      <c r="F91" s="9"/>
      <c r="G91" s="8"/>
      <c r="H91" s="8"/>
      <c r="I91" s="9"/>
      <c r="J91" s="8"/>
      <c r="K91" s="8"/>
    </row>
    <row r="92" spans="1:13" ht="14.45">
      <c r="A92" s="8"/>
      <c r="B92" s="13"/>
      <c r="C92" s="8"/>
      <c r="D92" s="8"/>
      <c r="E92" s="8"/>
      <c r="F92" s="9"/>
      <c r="G92" s="8"/>
      <c r="H92" s="8"/>
      <c r="I92" s="9"/>
      <c r="J92" s="8"/>
      <c r="K92" s="8"/>
    </row>
    <row r="93" spans="1:13" ht="14.45">
      <c r="A93" s="8"/>
      <c r="B93" s="13"/>
      <c r="C93" s="8"/>
      <c r="D93" s="8"/>
      <c r="E93" s="8"/>
      <c r="F93" s="9"/>
      <c r="G93" s="8"/>
      <c r="H93" s="8"/>
      <c r="I93" s="9"/>
      <c r="J93" s="8"/>
      <c r="K93" s="8"/>
    </row>
    <row r="94" spans="1:13" ht="14.45">
      <c r="A94" s="8"/>
      <c r="B94" s="13"/>
      <c r="C94" s="8"/>
      <c r="D94" s="8"/>
      <c r="E94" s="8"/>
      <c r="F94" s="9"/>
      <c r="G94" s="8"/>
      <c r="H94" s="8"/>
      <c r="I94" s="9"/>
      <c r="J94" s="8"/>
      <c r="K94" s="8"/>
    </row>
    <row r="95" spans="1:13" ht="14.45">
      <c r="A95" s="8"/>
      <c r="B95" s="13"/>
      <c r="C95" s="8"/>
      <c r="D95" s="8"/>
      <c r="E95" s="8"/>
      <c r="F95" s="9"/>
      <c r="G95" s="8"/>
      <c r="H95" s="8"/>
      <c r="I95" s="9"/>
      <c r="J95" s="8"/>
      <c r="K95" s="8"/>
    </row>
    <row r="96" spans="1:13"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U327"/>
  <sheetViews>
    <sheetView zoomScale="50" zoomScaleNormal="50" workbookViewId="0">
      <pane xSplit="2" ySplit="3" topLeftCell="F4" activePane="bottomRight" state="frozen"/>
      <selection pane="bottomRight" activeCell="M49" sqref="M49"/>
      <selection pane="bottomLeft" activeCell="J4" sqref="J4:Y85"/>
      <selection pane="topRight" activeCell="J4" sqref="J4:Y85"/>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0" width="8.85546875" style="77"/>
  </cols>
  <sheetData>
    <row r="1" spans="1:13" ht="19.5" customHeight="1">
      <c r="A1" s="122" t="str" cm="1">
        <f t="array" ref="A1">portfolio</f>
        <v>Clean Capital</v>
      </c>
      <c r="B1" s="122"/>
      <c r="C1" s="122"/>
      <c r="D1" s="123" t="s">
        <v>281</v>
      </c>
      <c r="E1" s="123"/>
      <c r="F1" s="123"/>
      <c r="G1" s="121" t="s">
        <v>282</v>
      </c>
      <c r="H1" s="121"/>
      <c r="I1" s="121"/>
      <c r="J1" s="4"/>
      <c r="K1" s="4"/>
    </row>
    <row r="2" spans="1:13" ht="19.5" customHeight="1">
      <c r="A2" s="124" t="s">
        <v>2</v>
      </c>
      <c r="B2" s="124"/>
      <c r="C2" s="5">
        <f>SUM(C4:C85)</f>
        <v>0</v>
      </c>
      <c r="D2" s="5">
        <f>SUM(D4:D85)</f>
        <v>0</v>
      </c>
      <c r="E2" s="5">
        <f>C2-D2</f>
        <v>0</v>
      </c>
      <c r="F2" s="6">
        <f>IFERROR(E2/D2, 0)</f>
        <v>0</v>
      </c>
      <c r="G2" s="5">
        <f>SUM(G4:G85)</f>
        <v>0</v>
      </c>
      <c r="H2" s="7">
        <f>C2-G2</f>
        <v>0</v>
      </c>
      <c r="I2" s="6">
        <f>IFERROR(H2/G2, 0)</f>
        <v>0</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4</v>
      </c>
      <c r="B3" s="12" t="s">
        <v>5</v>
      </c>
      <c r="C3" s="19" t="s">
        <v>6</v>
      </c>
      <c r="D3" s="20" t="s">
        <v>7</v>
      </c>
      <c r="E3" s="20" t="s">
        <v>8</v>
      </c>
      <c r="F3" s="21" t="s">
        <v>9</v>
      </c>
      <c r="G3" s="22" t="s">
        <v>10</v>
      </c>
      <c r="H3" s="23" t="s">
        <v>8</v>
      </c>
      <c r="I3" s="24" t="s">
        <v>9</v>
      </c>
      <c r="J3" s="10" t="s">
        <v>272</v>
      </c>
      <c r="K3" s="10" t="s">
        <v>22</v>
      </c>
    </row>
    <row r="4" spans="1:13" ht="15.6">
      <c r="A4" s="39" t="str" cm="1">
        <f t="array" ref="A4:A85">Sites[Site]</f>
        <v>Lexington - Cotting School</v>
      </c>
      <c r="B4" s="40" t="str" cm="1">
        <f t="array" ref="B4:B85">Sites[State]</f>
        <v>MA</v>
      </c>
      <c r="C4" s="28"/>
      <c r="D4" s="29"/>
      <c r="E4" s="29" t="str">
        <f>IF(AND(ISNUMBER(C4),ISNUMBER(D4)), C4-D4, "")</f>
        <v/>
      </c>
      <c r="F4" s="30" t="str">
        <f>IFERROR(E4/D4, "")</f>
        <v/>
      </c>
      <c r="G4" s="84"/>
      <c r="H4" s="31" t="str">
        <f>IF(AND(ISNUMBER(C4),ISNUMBER(G4)), C4-G4, "")</f>
        <v/>
      </c>
      <c r="I4" s="32" t="str">
        <f>IFERROR(H4/G4, "")</f>
        <v/>
      </c>
      <c r="J4" s="62"/>
      <c r="K4" s="78"/>
    </row>
    <row r="5" spans="1:13" ht="15.6">
      <c r="A5" s="41" t="str">
        <v>Pacoima - Whiteman Airport</v>
      </c>
      <c r="B5" s="42" t="str">
        <v>CA</v>
      </c>
      <c r="C5" s="35"/>
      <c r="D5" s="36"/>
      <c r="E5" s="36" t="str">
        <f t="shared" ref="E5:E6" si="0">IF(AND(ISNUMBER(C5),ISNUMBER(D5)), C5-D5, "")</f>
        <v/>
      </c>
      <c r="F5" s="37" t="str">
        <f>IFERROR(E5/D5, "")</f>
        <v/>
      </c>
      <c r="G5" s="38"/>
      <c r="H5" s="38" t="str">
        <f t="shared" ref="H5:H6" si="1">IF(AND(ISNUMBER(C5),ISNUMBER(G5)), C5-G5, "")</f>
        <v/>
      </c>
      <c r="I5" s="37" t="str">
        <f t="shared" ref="I5:I6" si="2">IFERROR(H5/G5, "")</f>
        <v/>
      </c>
      <c r="J5" s="60"/>
      <c r="K5" s="75"/>
      <c r="L5" s="76"/>
      <c r="M5" s="76"/>
    </row>
    <row r="6" spans="1:13" ht="15.6">
      <c r="A6" s="43" t="str">
        <v>Hyannis - Sturgis Charter School</v>
      </c>
      <c r="B6" s="40" t="str">
        <v>MA</v>
      </c>
      <c r="C6" s="28"/>
      <c r="D6" s="29"/>
      <c r="E6" s="29" t="str">
        <f t="shared" si="0"/>
        <v/>
      </c>
      <c r="F6" s="30" t="str">
        <f t="shared" ref="F6:F69" si="3">IFERROR(E6/D6, "")</f>
        <v/>
      </c>
      <c r="G6" s="31"/>
      <c r="H6" s="31" t="str">
        <f t="shared" si="1"/>
        <v/>
      </c>
      <c r="I6" s="32" t="str">
        <f t="shared" si="2"/>
        <v/>
      </c>
      <c r="J6" s="62"/>
      <c r="K6" s="62"/>
    </row>
    <row r="7" spans="1:13" ht="15.6">
      <c r="A7" s="41" t="str">
        <v>South Dennis - Tony Kent Arena</v>
      </c>
      <c r="B7" s="42" t="str">
        <v>MA</v>
      </c>
      <c r="C7" s="35"/>
      <c r="D7" s="36"/>
      <c r="E7" s="36" t="str">
        <f t="shared" ref="E7:E70" si="4">IF(AND(ISNUMBER(C7),ISNUMBER(D7)), C7-D7, "")</f>
        <v/>
      </c>
      <c r="F7" s="37" t="str">
        <f t="shared" si="3"/>
        <v/>
      </c>
      <c r="G7" s="83"/>
      <c r="H7" s="38" t="str">
        <f t="shared" ref="H7:H70" si="5">IF(AND(ISNUMBER(C7),ISNUMBER(G7)), C7-G7, "")</f>
        <v/>
      </c>
      <c r="I7" s="37" t="str">
        <f t="shared" ref="I7:I70" si="6">IFERROR(H7/G7, "")</f>
        <v/>
      </c>
      <c r="J7" s="60"/>
      <c r="K7" s="75"/>
      <c r="L7" s="76"/>
    </row>
    <row r="8" spans="1:13" ht="15.6">
      <c r="A8" s="43" t="str">
        <v xml:space="preserve"> Caropolis - Felician Sisters</v>
      </c>
      <c r="B8" s="40" t="str">
        <v>PA</v>
      </c>
      <c r="C8" s="28"/>
      <c r="D8" s="29"/>
      <c r="E8" s="29" t="str">
        <f t="shared" si="4"/>
        <v/>
      </c>
      <c r="F8" s="30" t="str">
        <f t="shared" si="3"/>
        <v/>
      </c>
      <c r="G8" s="73"/>
      <c r="H8" s="31" t="str">
        <f t="shared" si="5"/>
        <v/>
      </c>
      <c r="I8" s="32" t="str">
        <f t="shared" si="6"/>
        <v/>
      </c>
      <c r="J8" s="62"/>
      <c r="K8" s="78"/>
      <c r="L8" s="76"/>
    </row>
    <row r="9" spans="1:13" ht="15.6">
      <c r="A9" s="41" t="str">
        <v>Clear Lake - Eastlake Gohman</v>
      </c>
      <c r="B9" s="42" t="str">
        <v>MN</v>
      </c>
      <c r="C9" s="35"/>
      <c r="D9" s="36"/>
      <c r="E9" s="36" t="str">
        <f t="shared" si="4"/>
        <v/>
      </c>
      <c r="F9" s="37" t="str">
        <f t="shared" si="3"/>
        <v/>
      </c>
      <c r="G9" s="38"/>
      <c r="H9" s="38" t="str">
        <f t="shared" si="5"/>
        <v/>
      </c>
      <c r="I9" s="37" t="str">
        <f t="shared" si="6"/>
        <v/>
      </c>
      <c r="J9" s="60"/>
      <c r="K9" s="75"/>
      <c r="L9" s="76"/>
      <c r="M9" s="76"/>
    </row>
    <row r="10" spans="1:13" ht="15.6">
      <c r="A10" s="43" t="str">
        <v>Zumbrota - Eastlake Brenda Luhman</v>
      </c>
      <c r="B10" s="40" t="str">
        <v>MN</v>
      </c>
      <c r="C10" s="28"/>
      <c r="D10" s="29"/>
      <c r="E10" s="29" t="str">
        <f t="shared" si="4"/>
        <v/>
      </c>
      <c r="F10" s="30" t="str">
        <f t="shared" si="3"/>
        <v/>
      </c>
      <c r="G10" s="31"/>
      <c r="H10" s="31" t="str">
        <f t="shared" si="5"/>
        <v/>
      </c>
      <c r="I10" s="32" t="str">
        <f t="shared" si="6"/>
        <v/>
      </c>
      <c r="J10" s="62"/>
      <c r="K10" s="62"/>
    </row>
    <row r="11" spans="1:13" ht="15.6">
      <c r="A11" s="41" t="str">
        <v>Cokato - Eastlake Carlson</v>
      </c>
      <c r="B11" s="42" t="str">
        <v>MN</v>
      </c>
      <c r="C11" s="35"/>
      <c r="D11" s="36"/>
      <c r="E11" s="36" t="str">
        <f t="shared" si="4"/>
        <v/>
      </c>
      <c r="F11" s="37" t="str">
        <f t="shared" si="3"/>
        <v/>
      </c>
      <c r="G11" s="38"/>
      <c r="H11" s="38" t="str">
        <f t="shared" si="5"/>
        <v/>
      </c>
      <c r="I11" s="37" t="str">
        <f t="shared" si="6"/>
        <v/>
      </c>
      <c r="J11" s="60"/>
      <c r="K11" s="75"/>
      <c r="L11" s="76"/>
      <c r="M11" s="76"/>
    </row>
    <row r="12" spans="1:13" ht="15.6">
      <c r="A12" s="43" t="str">
        <v>North Branch - Cornille 2</v>
      </c>
      <c r="B12" s="40" t="str">
        <v>MN</v>
      </c>
      <c r="C12" s="28"/>
      <c r="D12" s="29"/>
      <c r="E12" s="29" t="str">
        <f t="shared" si="4"/>
        <v/>
      </c>
      <c r="F12" s="30" t="str">
        <f t="shared" si="3"/>
        <v/>
      </c>
      <c r="G12" s="31"/>
      <c r="H12" s="31" t="str">
        <f t="shared" si="5"/>
        <v/>
      </c>
      <c r="I12" s="32" t="str">
        <f t="shared" si="6"/>
        <v/>
      </c>
      <c r="J12" s="62"/>
      <c r="K12" s="78"/>
    </row>
    <row r="13" spans="1:13" ht="15.6">
      <c r="A13" s="41" t="str">
        <v>Clear Lake - Eastlake Hammer</v>
      </c>
      <c r="B13" s="42" t="str">
        <v>MN</v>
      </c>
      <c r="C13" s="35"/>
      <c r="D13" s="36"/>
      <c r="E13" s="36" t="str">
        <f t="shared" si="4"/>
        <v/>
      </c>
      <c r="F13" s="37" t="str">
        <f t="shared" si="3"/>
        <v/>
      </c>
      <c r="G13" s="38"/>
      <c r="H13" s="38" t="str">
        <f t="shared" si="5"/>
        <v/>
      </c>
      <c r="I13" s="37" t="str">
        <f t="shared" si="6"/>
        <v/>
      </c>
      <c r="J13" s="60"/>
      <c r="K13" s="75"/>
    </row>
    <row r="14" spans="1:13" ht="15.6">
      <c r="A14" s="43" t="str">
        <v>Eastlake - Hertzberg CSG 1</v>
      </c>
      <c r="B14" s="40" t="str">
        <v>MN</v>
      </c>
      <c r="C14" s="28"/>
      <c r="D14" s="29"/>
      <c r="E14" s="29" t="str">
        <f t="shared" si="4"/>
        <v/>
      </c>
      <c r="F14" s="30" t="str">
        <f t="shared" si="3"/>
        <v/>
      </c>
      <c r="G14" s="31"/>
      <c r="H14" s="31" t="str">
        <f t="shared" si="5"/>
        <v/>
      </c>
      <c r="I14" s="32" t="str">
        <f t="shared" si="6"/>
        <v/>
      </c>
      <c r="J14" s="62"/>
      <c r="K14" s="78"/>
      <c r="L14" s="76"/>
    </row>
    <row r="15" spans="1:13" ht="21" customHeight="1">
      <c r="A15" s="41" t="str">
        <v>Cokato - Eastlake Laurel Village</v>
      </c>
      <c r="B15" s="42" t="str">
        <v>MN</v>
      </c>
      <c r="C15" s="35"/>
      <c r="D15" s="36"/>
      <c r="E15" s="36" t="str">
        <f t="shared" si="4"/>
        <v/>
      </c>
      <c r="F15" s="37" t="str">
        <f t="shared" si="3"/>
        <v/>
      </c>
      <c r="G15" s="38"/>
      <c r="H15" s="38" t="str">
        <f t="shared" si="5"/>
        <v/>
      </c>
      <c r="I15" s="37" t="str">
        <f t="shared" si="6"/>
        <v/>
      </c>
      <c r="J15" s="60"/>
      <c r="K15" s="75"/>
    </row>
    <row r="16" spans="1:13" ht="15.6">
      <c r="A16" s="43" t="str">
        <v>St. Peter - Eastlake Paulson</v>
      </c>
      <c r="B16" s="40" t="str">
        <v>MN</v>
      </c>
      <c r="C16" s="28"/>
      <c r="D16" s="29"/>
      <c r="E16" s="29" t="str">
        <f t="shared" si="4"/>
        <v/>
      </c>
      <c r="F16" s="30" t="str">
        <f t="shared" si="3"/>
        <v/>
      </c>
      <c r="G16" s="31"/>
      <c r="H16" s="31" t="str">
        <f t="shared" si="5"/>
        <v/>
      </c>
      <c r="I16" s="32" t="str">
        <f t="shared" si="6"/>
        <v/>
      </c>
      <c r="J16" s="62"/>
      <c r="K16" s="78"/>
    </row>
    <row r="17" spans="1:21" ht="15.6">
      <c r="A17" s="41" t="str">
        <v>Felician Sisters Convent</v>
      </c>
      <c r="B17" s="42" t="str">
        <v>NJ</v>
      </c>
      <c r="C17" s="35"/>
      <c r="D17" s="36"/>
      <c r="E17" s="36" t="str">
        <f t="shared" si="4"/>
        <v/>
      </c>
      <c r="F17" s="37" t="str">
        <f t="shared" si="3"/>
        <v/>
      </c>
      <c r="G17" s="74"/>
      <c r="H17" s="38" t="str">
        <f t="shared" si="5"/>
        <v/>
      </c>
      <c r="I17" s="37" t="str">
        <f t="shared" si="6"/>
        <v/>
      </c>
      <c r="J17" s="60"/>
      <c r="K17" s="75"/>
    </row>
    <row r="18" spans="1:21" ht="15.6">
      <c r="A18" s="43" t="str">
        <v>Sussex County Fairgrounds</v>
      </c>
      <c r="B18" s="40" t="str">
        <v>NJ</v>
      </c>
      <c r="C18" s="28"/>
      <c r="D18" s="29"/>
      <c r="E18" s="29" t="str">
        <f t="shared" si="4"/>
        <v/>
      </c>
      <c r="F18" s="30" t="str">
        <f t="shared" si="3"/>
        <v/>
      </c>
      <c r="G18" s="84"/>
      <c r="H18" s="31" t="str">
        <f t="shared" si="5"/>
        <v/>
      </c>
      <c r="I18" s="32" t="str">
        <f t="shared" si="6"/>
        <v/>
      </c>
      <c r="J18" s="62"/>
      <c r="K18" s="78"/>
      <c r="L18" s="76"/>
      <c r="M18" s="76"/>
    </row>
    <row r="19" spans="1:21" ht="15.6">
      <c r="A19" s="41" t="str">
        <v>Gateway Church</v>
      </c>
      <c r="B19" s="42" t="str">
        <v>NJ</v>
      </c>
      <c r="C19" s="35"/>
      <c r="D19" s="36"/>
      <c r="E19" s="36" t="str">
        <f t="shared" si="4"/>
        <v/>
      </c>
      <c r="F19" s="37" t="str">
        <f t="shared" si="3"/>
        <v/>
      </c>
      <c r="G19" s="83"/>
      <c r="H19" s="38" t="str">
        <f t="shared" si="5"/>
        <v/>
      </c>
      <c r="I19" s="37" t="str">
        <f t="shared" si="6"/>
        <v/>
      </c>
      <c r="J19" s="60"/>
      <c r="K19" s="75"/>
      <c r="L19" s="76"/>
      <c r="M19" s="76"/>
      <c r="N19" s="76"/>
      <c r="O19" s="76"/>
      <c r="P19" s="76"/>
      <c r="Q19" s="76"/>
      <c r="R19" s="76"/>
      <c r="S19" s="76"/>
      <c r="T19" s="76"/>
      <c r="U19" s="101"/>
    </row>
    <row r="20" spans="1:21" ht="15.6">
      <c r="A20" s="43" t="str">
        <v>Beaver Falls - Felician Sisters</v>
      </c>
      <c r="B20" s="40" t="str">
        <v>PA</v>
      </c>
      <c r="C20" s="28"/>
      <c r="D20" s="29"/>
      <c r="E20" s="29" t="str">
        <f t="shared" si="4"/>
        <v/>
      </c>
      <c r="F20" s="30" t="str">
        <f t="shared" si="3"/>
        <v/>
      </c>
      <c r="G20" s="84"/>
      <c r="H20" s="31" t="str">
        <f t="shared" si="5"/>
        <v/>
      </c>
      <c r="I20" s="32" t="str">
        <f t="shared" si="6"/>
        <v/>
      </c>
      <c r="J20" s="62"/>
      <c r="K20" s="78"/>
    </row>
    <row r="21" spans="1:21" ht="105.75" customHeight="1">
      <c r="A21" s="41" t="str">
        <v>Livonia - Felician Sisters Ground</v>
      </c>
      <c r="B21" s="42" t="str">
        <v>MI</v>
      </c>
      <c r="C21" s="35"/>
      <c r="D21" s="36"/>
      <c r="E21" s="36" t="str">
        <f t="shared" si="4"/>
        <v/>
      </c>
      <c r="F21" s="37" t="str">
        <f t="shared" si="3"/>
        <v/>
      </c>
      <c r="G21" s="83"/>
      <c r="H21" s="38" t="str">
        <f t="shared" si="5"/>
        <v/>
      </c>
      <c r="I21" s="37" t="str">
        <f t="shared" si="6"/>
        <v/>
      </c>
      <c r="J21" s="60"/>
      <c r="K21" s="75"/>
      <c r="L21" s="76"/>
      <c r="M21" s="76"/>
    </row>
    <row r="22" spans="1:21" ht="15.6">
      <c r="A22" s="43" t="str">
        <v>Livonia - Felician Sisters Roof</v>
      </c>
      <c r="B22" s="40" t="str">
        <v>MI</v>
      </c>
      <c r="C22" s="28"/>
      <c r="D22" s="29"/>
      <c r="E22" s="29" t="str">
        <f t="shared" si="4"/>
        <v/>
      </c>
      <c r="F22" s="30" t="str">
        <f t="shared" si="3"/>
        <v/>
      </c>
      <c r="G22" s="84"/>
      <c r="H22" s="31" t="str">
        <f t="shared" si="5"/>
        <v/>
      </c>
      <c r="I22" s="32" t="str">
        <f t="shared" si="6"/>
        <v/>
      </c>
      <c r="J22" s="62"/>
      <c r="K22" s="78"/>
    </row>
    <row r="23" spans="1:21" ht="15.6">
      <c r="A23" s="41" t="str">
        <v>Monmouth Worship Ctr</v>
      </c>
      <c r="B23" s="42" t="str">
        <v>NJ</v>
      </c>
      <c r="C23" s="35"/>
      <c r="D23" s="36"/>
      <c r="E23" s="36" t="str">
        <f t="shared" si="4"/>
        <v/>
      </c>
      <c r="F23" s="37" t="str">
        <f t="shared" si="3"/>
        <v/>
      </c>
      <c r="G23" s="83"/>
      <c r="H23" s="38" t="str">
        <f t="shared" si="5"/>
        <v/>
      </c>
      <c r="I23" s="37" t="str">
        <f t="shared" si="6"/>
        <v/>
      </c>
      <c r="J23" s="60"/>
      <c r="K23" s="59"/>
    </row>
    <row r="24" spans="1:21" ht="15.6">
      <c r="A24" s="43" t="str">
        <v xml:space="preserve"> Audubon - Senior Citizens United</v>
      </c>
      <c r="B24" s="40" t="str">
        <v>NJ</v>
      </c>
      <c r="C24" s="28"/>
      <c r="D24" s="29"/>
      <c r="E24" s="29" t="str">
        <f t="shared" si="4"/>
        <v/>
      </c>
      <c r="F24" s="30" t="str">
        <f t="shared" si="3"/>
        <v/>
      </c>
      <c r="G24" s="84"/>
      <c r="H24" s="31" t="str">
        <f t="shared" si="5"/>
        <v/>
      </c>
      <c r="I24" s="32" t="str">
        <f t="shared" si="6"/>
        <v/>
      </c>
      <c r="J24" s="62"/>
      <c r="K24" s="62"/>
    </row>
    <row r="25" spans="1:21" ht="15.6">
      <c r="A25" s="41" t="str">
        <v>Hollister - PG&amp;E (Enerparc)</v>
      </c>
      <c r="B25" s="42" t="str">
        <v>CA</v>
      </c>
      <c r="C25" s="35"/>
      <c r="D25" s="36"/>
      <c r="E25" s="36" t="str">
        <f t="shared" si="4"/>
        <v/>
      </c>
      <c r="F25" s="37" t="str">
        <f t="shared" si="3"/>
        <v/>
      </c>
      <c r="G25" s="38"/>
      <c r="H25" s="38" t="str">
        <f t="shared" si="5"/>
        <v/>
      </c>
      <c r="I25" s="37" t="str">
        <f t="shared" si="6"/>
        <v/>
      </c>
      <c r="J25" s="60"/>
      <c r="K25" s="75"/>
      <c r="L25" s="76"/>
      <c r="M25" s="76"/>
    </row>
    <row r="26" spans="1:21" ht="15.6">
      <c r="A26" s="43" t="str">
        <v>Taos County - Kit Carson Electric Co-Op</v>
      </c>
      <c r="B26" s="40" t="str">
        <v>NM</v>
      </c>
      <c r="C26" s="28"/>
      <c r="D26" s="29"/>
      <c r="E26" s="29" t="str">
        <f t="shared" si="4"/>
        <v/>
      </c>
      <c r="F26" s="30" t="str">
        <f t="shared" si="3"/>
        <v/>
      </c>
      <c r="G26" s="31"/>
      <c r="H26" s="31" t="str">
        <f t="shared" si="5"/>
        <v/>
      </c>
      <c r="I26" s="32" t="str">
        <f t="shared" si="6"/>
        <v/>
      </c>
      <c r="J26" s="62"/>
      <c r="K26" s="62"/>
    </row>
    <row r="27" spans="1:21" ht="15.6">
      <c r="A27" s="41" t="str">
        <v>Commerce City - Adams City HS</v>
      </c>
      <c r="B27" s="42" t="str">
        <v>CO</v>
      </c>
      <c r="C27" s="35"/>
      <c r="D27" s="36"/>
      <c r="E27" s="36" t="str">
        <f t="shared" si="4"/>
        <v/>
      </c>
      <c r="F27" s="37" t="str">
        <f t="shared" si="3"/>
        <v/>
      </c>
      <c r="G27" s="38"/>
      <c r="H27" s="38" t="str">
        <f t="shared" si="5"/>
        <v/>
      </c>
      <c r="I27" s="37" t="str">
        <f t="shared" si="6"/>
        <v/>
      </c>
      <c r="J27" s="60"/>
      <c r="K27" s="59"/>
    </row>
    <row r="28" spans="1:21" ht="15.6">
      <c r="A28" s="43" t="str">
        <v>Commerce City - Adams City MS</v>
      </c>
      <c r="B28" s="40" t="str">
        <v>CO</v>
      </c>
      <c r="C28" s="28"/>
      <c r="D28" s="29"/>
      <c r="E28" s="29" t="str">
        <f t="shared" si="4"/>
        <v/>
      </c>
      <c r="F28" s="30" t="str">
        <f t="shared" si="3"/>
        <v/>
      </c>
      <c r="G28" s="31"/>
      <c r="H28" s="31" t="str">
        <f t="shared" si="5"/>
        <v/>
      </c>
      <c r="I28" s="32" t="str">
        <f t="shared" si="6"/>
        <v/>
      </c>
      <c r="J28" s="62"/>
      <c r="K28" s="62"/>
    </row>
    <row r="29" spans="1:21" ht="15.6">
      <c r="A29" s="41" t="str">
        <v>Commerce City - Central ES</v>
      </c>
      <c r="B29" s="42" t="str">
        <v>CO</v>
      </c>
      <c r="C29" s="35"/>
      <c r="D29" s="36"/>
      <c r="E29" s="36" t="str">
        <f t="shared" si="4"/>
        <v/>
      </c>
      <c r="F29" s="37" t="str">
        <f t="shared" si="3"/>
        <v/>
      </c>
      <c r="G29" s="38"/>
      <c r="H29" s="38" t="str">
        <f t="shared" si="5"/>
        <v/>
      </c>
      <c r="I29" s="37" t="str">
        <f t="shared" si="6"/>
        <v/>
      </c>
      <c r="J29" s="60"/>
      <c r="K29" s="59"/>
    </row>
    <row r="30" spans="1:21" ht="15.6">
      <c r="A30" s="43" t="str">
        <v>Commerce City - Dupont ES</v>
      </c>
      <c r="B30" s="40" t="str">
        <v>CO</v>
      </c>
      <c r="C30" s="28"/>
      <c r="D30" s="29"/>
      <c r="E30" s="29" t="str">
        <f t="shared" si="4"/>
        <v/>
      </c>
      <c r="F30" s="30" t="str">
        <f t="shared" si="3"/>
        <v/>
      </c>
      <c r="G30" s="31"/>
      <c r="H30" s="31" t="str">
        <f t="shared" si="5"/>
        <v/>
      </c>
      <c r="I30" s="32" t="str">
        <f t="shared" si="6"/>
        <v/>
      </c>
      <c r="J30" s="62"/>
      <c r="K30" s="62"/>
    </row>
    <row r="31" spans="1:21" ht="15.6">
      <c r="A31" s="41" t="str">
        <v>Commerce City - Educational Support Services</v>
      </c>
      <c r="B31" s="42" t="str">
        <v>CO</v>
      </c>
      <c r="C31" s="35"/>
      <c r="D31" s="36"/>
      <c r="E31" s="36" t="str">
        <f t="shared" si="4"/>
        <v/>
      </c>
      <c r="F31" s="37" t="str">
        <f t="shared" si="3"/>
        <v/>
      </c>
      <c r="G31" s="38"/>
      <c r="H31" s="38" t="str">
        <f t="shared" si="5"/>
        <v/>
      </c>
      <c r="I31" s="37" t="str">
        <f t="shared" si="6"/>
        <v/>
      </c>
      <c r="J31" s="60"/>
      <c r="K31" s="75"/>
    </row>
    <row r="32" spans="1:21" ht="15.6">
      <c r="A32" s="43" t="str">
        <v>Commerce City - Hanson ES</v>
      </c>
      <c r="B32" s="40" t="str">
        <v>CO</v>
      </c>
      <c r="C32" s="28"/>
      <c r="D32" s="29"/>
      <c r="E32" s="29" t="str">
        <f t="shared" si="4"/>
        <v/>
      </c>
      <c r="F32" s="30" t="str">
        <f t="shared" si="3"/>
        <v/>
      </c>
      <c r="G32" s="31"/>
      <c r="H32" s="31" t="str">
        <f t="shared" si="5"/>
        <v/>
      </c>
      <c r="I32" s="32" t="str">
        <f t="shared" si="6"/>
        <v/>
      </c>
      <c r="J32" s="62"/>
      <c r="K32" s="62"/>
    </row>
    <row r="33" spans="1:14" ht="15.6">
      <c r="A33" s="41" t="str">
        <v>Commerce City - Kemp ES</v>
      </c>
      <c r="B33" s="42" t="str">
        <v>CO</v>
      </c>
      <c r="C33" s="35"/>
      <c r="D33" s="36"/>
      <c r="E33" s="36" t="str">
        <f t="shared" si="4"/>
        <v/>
      </c>
      <c r="F33" s="37" t="str">
        <f t="shared" si="3"/>
        <v/>
      </c>
      <c r="G33" s="38"/>
      <c r="H33" s="38" t="str">
        <f t="shared" si="5"/>
        <v/>
      </c>
      <c r="I33" s="37" t="str">
        <f t="shared" si="6"/>
        <v/>
      </c>
      <c r="J33" s="60"/>
      <c r="K33" s="75"/>
      <c r="L33" s="76"/>
    </row>
    <row r="34" spans="1:14" ht="15.6">
      <c r="A34" s="43" t="str">
        <v>Commerce City -  Lester Arnold HS</v>
      </c>
      <c r="B34" s="40" t="str">
        <v>CO</v>
      </c>
      <c r="C34" s="28"/>
      <c r="D34" s="29"/>
      <c r="E34" s="29" t="str">
        <f t="shared" si="4"/>
        <v/>
      </c>
      <c r="F34" s="30" t="str">
        <f t="shared" si="3"/>
        <v/>
      </c>
      <c r="G34" s="31"/>
      <c r="H34" s="31" t="str">
        <f t="shared" si="5"/>
        <v/>
      </c>
      <c r="I34" s="32" t="str">
        <f t="shared" si="6"/>
        <v/>
      </c>
      <c r="J34" s="62"/>
      <c r="K34" s="62"/>
    </row>
    <row r="35" spans="1:14" ht="15.6">
      <c r="A35" s="41" t="str">
        <v>Commerce City - Monaco ES</v>
      </c>
      <c r="B35" s="42" t="str">
        <v>CO</v>
      </c>
      <c r="C35" s="35"/>
      <c r="D35" s="36"/>
      <c r="E35" s="36" t="str">
        <f t="shared" si="4"/>
        <v/>
      </c>
      <c r="F35" s="37" t="str">
        <f t="shared" si="3"/>
        <v/>
      </c>
      <c r="G35" s="38"/>
      <c r="H35" s="38" t="str">
        <f t="shared" si="5"/>
        <v/>
      </c>
      <c r="I35" s="37" t="str">
        <f t="shared" si="6"/>
        <v/>
      </c>
      <c r="J35" s="60"/>
      <c r="K35" s="59"/>
    </row>
    <row r="36" spans="1:14" ht="15.6">
      <c r="A36" s="43" t="str">
        <v>Denver - Northgate / Old Fort Logan ES</v>
      </c>
      <c r="B36" s="40" t="str">
        <v>CO</v>
      </c>
      <c r="C36" s="28"/>
      <c r="D36" s="29"/>
      <c r="E36" s="29" t="str">
        <f t="shared" si="4"/>
        <v/>
      </c>
      <c r="F36" s="30" t="str">
        <f t="shared" si="3"/>
        <v/>
      </c>
      <c r="G36" s="31"/>
      <c r="H36" s="31" t="str">
        <f t="shared" si="5"/>
        <v/>
      </c>
      <c r="I36" s="32" t="str">
        <f t="shared" si="6"/>
        <v/>
      </c>
      <c r="J36" s="62"/>
      <c r="K36" s="62"/>
    </row>
    <row r="37" spans="1:14" ht="15.6">
      <c r="A37" s="41" t="str">
        <v>Denver - Sheridan High School</v>
      </c>
      <c r="B37" s="42" t="str">
        <v>CO</v>
      </c>
      <c r="C37" s="35"/>
      <c r="D37" s="36"/>
      <c r="E37" s="36" t="str">
        <f t="shared" si="4"/>
        <v/>
      </c>
      <c r="F37" s="37" t="str">
        <f t="shared" si="3"/>
        <v/>
      </c>
      <c r="G37" s="38"/>
      <c r="H37" s="38" t="str">
        <f t="shared" si="5"/>
        <v/>
      </c>
      <c r="I37" s="37" t="str">
        <f t="shared" si="6"/>
        <v/>
      </c>
      <c r="J37" s="60"/>
      <c r="K37" s="59"/>
    </row>
    <row r="38" spans="1:14" ht="15.6">
      <c r="A38" s="43" t="str">
        <v>Englewood -  Alice Terry Elementary</v>
      </c>
      <c r="B38" s="40" t="str">
        <v>CO</v>
      </c>
      <c r="C38" s="28"/>
      <c r="D38" s="29"/>
      <c r="E38" s="29" t="str">
        <f t="shared" si="4"/>
        <v/>
      </c>
      <c r="F38" s="30" t="str">
        <f t="shared" si="3"/>
        <v/>
      </c>
      <c r="G38" s="31"/>
      <c r="H38" s="31" t="str">
        <f t="shared" si="5"/>
        <v/>
      </c>
      <c r="I38" s="32" t="str">
        <f t="shared" si="6"/>
        <v/>
      </c>
      <c r="J38" s="62"/>
      <c r="K38" s="62"/>
    </row>
    <row r="39" spans="1:14" ht="15.6">
      <c r="A39" s="41" t="str">
        <v>Englewood - Sheridan Middle School</v>
      </c>
      <c r="B39" s="42" t="str">
        <v>CO</v>
      </c>
      <c r="C39" s="35"/>
      <c r="D39" s="36"/>
      <c r="E39" s="36" t="str">
        <f t="shared" si="4"/>
        <v/>
      </c>
      <c r="F39" s="37" t="str">
        <f t="shared" si="3"/>
        <v/>
      </c>
      <c r="G39" s="38"/>
      <c r="H39" s="38" t="str">
        <f t="shared" si="5"/>
        <v/>
      </c>
      <c r="I39" s="37" t="str">
        <f t="shared" si="6"/>
        <v/>
      </c>
      <c r="J39" s="60"/>
      <c r="K39" s="75"/>
      <c r="L39" s="76"/>
    </row>
    <row r="40" spans="1:14" ht="15.6">
      <c r="A40" s="43" t="str">
        <v>Goshen - NIPSCO</v>
      </c>
      <c r="B40" s="40" t="str">
        <v>IN</v>
      </c>
      <c r="C40" s="28"/>
      <c r="D40" s="29"/>
      <c r="E40" s="29" t="str">
        <f t="shared" si="4"/>
        <v/>
      </c>
      <c r="F40" s="30" t="str">
        <f t="shared" si="3"/>
        <v/>
      </c>
      <c r="G40" s="31"/>
      <c r="H40" s="31" t="str">
        <f t="shared" si="5"/>
        <v/>
      </c>
      <c r="I40" s="32" t="str">
        <f t="shared" si="6"/>
        <v/>
      </c>
      <c r="J40" s="62"/>
      <c r="K40" s="78"/>
    </row>
    <row r="41" spans="1:14" ht="15.6">
      <c r="A41" s="41" t="str">
        <v>Alamogordo - City of Alamogordo - Effluent</v>
      </c>
      <c r="B41" s="42" t="str">
        <v>NM</v>
      </c>
      <c r="C41" s="35"/>
      <c r="D41" s="36"/>
      <c r="E41" s="36" t="str">
        <f t="shared" si="4"/>
        <v/>
      </c>
      <c r="F41" s="37" t="str">
        <f t="shared" si="3"/>
        <v/>
      </c>
      <c r="G41" s="38"/>
      <c r="H41" s="38" t="str">
        <f t="shared" si="5"/>
        <v/>
      </c>
      <c r="I41" s="37" t="str">
        <f t="shared" si="6"/>
        <v/>
      </c>
      <c r="J41" s="60"/>
      <c r="K41" s="75"/>
      <c r="L41" s="76"/>
    </row>
    <row r="42" spans="1:14" ht="15.6">
      <c r="A42" s="43" t="str">
        <v>Alamogordo - City of Alamogordo - WWTP</v>
      </c>
      <c r="B42" s="40" t="str">
        <v>NM</v>
      </c>
      <c r="C42" s="28"/>
      <c r="D42" s="29"/>
      <c r="E42" s="29" t="str">
        <f t="shared" si="4"/>
        <v/>
      </c>
      <c r="F42" s="30" t="str">
        <f t="shared" si="3"/>
        <v/>
      </c>
      <c r="G42" s="31"/>
      <c r="H42" s="31" t="str">
        <f t="shared" si="5"/>
        <v/>
      </c>
      <c r="I42" s="32" t="str">
        <f t="shared" si="6"/>
        <v/>
      </c>
      <c r="J42" s="62"/>
      <c r="K42" s="78"/>
      <c r="L42" s="76"/>
      <c r="M42" s="76"/>
    </row>
    <row r="43" spans="1:14" ht="15.6">
      <c r="A43" s="41" t="str">
        <v>Deming - Bilbo Booster</v>
      </c>
      <c r="B43" s="42" t="str">
        <v>NM</v>
      </c>
      <c r="C43" s="35"/>
      <c r="D43" s="36"/>
      <c r="E43" s="36" t="str">
        <f t="shared" si="4"/>
        <v/>
      </c>
      <c r="F43" s="37" t="str">
        <f t="shared" si="3"/>
        <v/>
      </c>
      <c r="G43" s="38"/>
      <c r="H43" s="38" t="str">
        <f t="shared" si="5"/>
        <v/>
      </c>
      <c r="I43" s="37" t="str">
        <f t="shared" si="6"/>
        <v/>
      </c>
      <c r="J43" s="60"/>
      <c r="K43" s="75"/>
    </row>
    <row r="44" spans="1:14" ht="15.6">
      <c r="A44" s="43" t="str">
        <v>Deming - Bilbo Well</v>
      </c>
      <c r="B44" s="40" t="str">
        <v>NM</v>
      </c>
      <c r="C44" s="28"/>
      <c r="D44" s="29"/>
      <c r="E44" s="29" t="str">
        <f t="shared" si="4"/>
        <v/>
      </c>
      <c r="F44" s="30" t="str">
        <f t="shared" si="3"/>
        <v/>
      </c>
      <c r="G44" s="31"/>
      <c r="H44" s="31" t="str">
        <f t="shared" si="5"/>
        <v/>
      </c>
      <c r="I44" s="32" t="str">
        <f t="shared" si="6"/>
        <v/>
      </c>
      <c r="J44" s="62"/>
      <c r="K44" s="78"/>
    </row>
    <row r="45" spans="1:14" ht="15.6">
      <c r="A45" s="41" t="str">
        <v>Deming - WWTP</v>
      </c>
      <c r="B45" s="42" t="str">
        <v>NM</v>
      </c>
      <c r="C45" s="35"/>
      <c r="D45" s="36"/>
      <c r="E45" s="36" t="str">
        <f t="shared" si="4"/>
        <v/>
      </c>
      <c r="F45" s="37" t="str">
        <f t="shared" si="3"/>
        <v/>
      </c>
      <c r="G45" s="38"/>
      <c r="H45" s="38" t="str">
        <f t="shared" si="5"/>
        <v/>
      </c>
      <c r="I45" s="37" t="str">
        <f t="shared" si="6"/>
        <v/>
      </c>
      <c r="J45" s="60"/>
      <c r="K45" s="75"/>
      <c r="L45" s="76"/>
    </row>
    <row r="46" spans="1:14" ht="15.6">
      <c r="A46" s="43" t="str">
        <v>Truth or Consequences - Walmart</v>
      </c>
      <c r="B46" s="40" t="str">
        <v>NM</v>
      </c>
      <c r="C46" s="28"/>
      <c r="D46" s="29"/>
      <c r="E46" s="29" t="str">
        <f t="shared" si="4"/>
        <v/>
      </c>
      <c r="F46" s="30" t="str">
        <f t="shared" si="3"/>
        <v/>
      </c>
      <c r="G46" s="31"/>
      <c r="H46" s="31" t="str">
        <f t="shared" si="5"/>
        <v/>
      </c>
      <c r="I46" s="32" t="str">
        <f t="shared" si="6"/>
        <v/>
      </c>
      <c r="J46" s="62"/>
      <c r="K46" s="78"/>
      <c r="L46" s="76"/>
      <c r="M46" s="76"/>
      <c r="N46" s="76"/>
    </row>
    <row r="47" spans="1:14" ht="15.6">
      <c r="A47" s="41" t="str">
        <v>CA: Stockton - SUSD - Merlo</v>
      </c>
      <c r="B47" s="42" t="str">
        <v>CA</v>
      </c>
      <c r="C47" s="35"/>
      <c r="D47" s="36"/>
      <c r="E47" s="36" t="str">
        <f t="shared" si="4"/>
        <v/>
      </c>
      <c r="F47" s="37" t="str">
        <f t="shared" si="3"/>
        <v/>
      </c>
      <c r="G47" s="38"/>
      <c r="H47" s="38" t="str">
        <f t="shared" si="5"/>
        <v/>
      </c>
      <c r="I47" s="37" t="str">
        <f t="shared" si="6"/>
        <v/>
      </c>
      <c r="J47" s="60"/>
      <c r="K47" s="75"/>
      <c r="L47" s="76"/>
    </row>
    <row r="48" spans="1:14" ht="15.6">
      <c r="A48" s="43" t="str">
        <v>Stockton Unified School Dist. - Bush Elementary</v>
      </c>
      <c r="B48" s="40" t="str">
        <v>CA</v>
      </c>
      <c r="C48" s="28"/>
      <c r="D48" s="29"/>
      <c r="E48" s="29" t="str">
        <f t="shared" si="4"/>
        <v/>
      </c>
      <c r="F48" s="30" t="str">
        <f t="shared" si="3"/>
        <v/>
      </c>
      <c r="G48" s="31"/>
      <c r="H48" s="31" t="str">
        <f t="shared" si="5"/>
        <v/>
      </c>
      <c r="I48" s="32" t="str">
        <f t="shared" si="6"/>
        <v/>
      </c>
      <c r="J48" s="62"/>
      <c r="K48" s="78"/>
      <c r="L48" s="76"/>
    </row>
    <row r="49" spans="1:14" ht="15.6">
      <c r="A49" s="41" t="str">
        <v>CA: Stockton - SUSD - Marshall JHS</v>
      </c>
      <c r="B49" s="42" t="str">
        <v>CA</v>
      </c>
      <c r="C49" s="35"/>
      <c r="D49" s="36"/>
      <c r="E49" s="36" t="str">
        <f t="shared" si="4"/>
        <v/>
      </c>
      <c r="F49" s="37" t="str">
        <f t="shared" si="3"/>
        <v/>
      </c>
      <c r="G49" s="38"/>
      <c r="H49" s="38" t="str">
        <f t="shared" si="5"/>
        <v/>
      </c>
      <c r="I49" s="37" t="str">
        <f t="shared" si="6"/>
        <v/>
      </c>
      <c r="J49" s="60"/>
      <c r="K49" s="75"/>
    </row>
    <row r="50" spans="1:14" ht="15.6">
      <c r="A50" s="43" t="str">
        <v>CA: Stockton - SUSD - Hong-Kingston ES</v>
      </c>
      <c r="B50" s="40" t="str">
        <v>CA</v>
      </c>
      <c r="C50" s="28"/>
      <c r="D50" s="29"/>
      <c r="E50" s="29" t="str">
        <f t="shared" si="4"/>
        <v/>
      </c>
      <c r="F50" s="30" t="str">
        <f t="shared" si="3"/>
        <v/>
      </c>
      <c r="G50" s="31"/>
      <c r="H50" s="31" t="str">
        <f t="shared" si="5"/>
        <v/>
      </c>
      <c r="I50" s="32" t="str">
        <f t="shared" si="6"/>
        <v/>
      </c>
      <c r="J50" s="62"/>
      <c r="K50" s="78"/>
    </row>
    <row r="51" spans="1:14" ht="15.6">
      <c r="A51" s="41" t="str">
        <v>CA: Stockton - SUSD - Hamilton ES</v>
      </c>
      <c r="B51" s="42" t="str">
        <v>CA</v>
      </c>
      <c r="C51" s="35"/>
      <c r="D51" s="36"/>
      <c r="E51" s="36" t="str">
        <f t="shared" si="4"/>
        <v/>
      </c>
      <c r="F51" s="37" t="str">
        <f t="shared" si="3"/>
        <v/>
      </c>
      <c r="G51" s="38"/>
      <c r="H51" s="38" t="str">
        <f t="shared" si="5"/>
        <v/>
      </c>
      <c r="I51" s="37" t="str">
        <f t="shared" si="6"/>
        <v/>
      </c>
      <c r="J51" s="60"/>
      <c r="K51" s="75"/>
    </row>
    <row r="52" spans="1:14" ht="15.6">
      <c r="A52" s="43" t="str">
        <v>CA: Stockton - SUSD - Franklin - North</v>
      </c>
      <c r="B52" s="40" t="str">
        <v>CA</v>
      </c>
      <c r="C52" s="28"/>
      <c r="D52" s="29"/>
      <c r="E52" s="29" t="str">
        <f t="shared" si="4"/>
        <v/>
      </c>
      <c r="F52" s="30" t="str">
        <f t="shared" si="3"/>
        <v/>
      </c>
      <c r="G52" s="31"/>
      <c r="H52" s="31" t="str">
        <f t="shared" si="5"/>
        <v/>
      </c>
      <c r="I52" s="32" t="str">
        <f t="shared" si="6"/>
        <v/>
      </c>
      <c r="J52" s="62"/>
      <c r="K52" s="78"/>
      <c r="L52" s="76"/>
      <c r="M52" s="76"/>
      <c r="N52" s="76"/>
    </row>
    <row r="53" spans="1:14" ht="15.6">
      <c r="A53" s="41" t="str">
        <v>Stockton Unified School Dist. - Fillmore Elementary</v>
      </c>
      <c r="B53" s="42" t="str">
        <v>CA</v>
      </c>
      <c r="C53" s="35"/>
      <c r="D53" s="36"/>
      <c r="E53" s="36" t="str">
        <f t="shared" si="4"/>
        <v/>
      </c>
      <c r="F53" s="37" t="str">
        <f t="shared" si="3"/>
        <v/>
      </c>
      <c r="G53" s="38"/>
      <c r="H53" s="38" t="str">
        <f t="shared" si="5"/>
        <v/>
      </c>
      <c r="I53" s="37" t="str">
        <f t="shared" si="6"/>
        <v/>
      </c>
      <c r="J53" s="60"/>
      <c r="K53" s="75"/>
    </row>
    <row r="54" spans="1:14" ht="15.6">
      <c r="A54" s="43" t="str">
        <v>CA: Stockton - SUSD - El Dorado ES</v>
      </c>
      <c r="B54" s="40" t="str">
        <v>CA</v>
      </c>
      <c r="C54" s="28"/>
      <c r="D54" s="29"/>
      <c r="E54" s="29" t="str">
        <f t="shared" si="4"/>
        <v/>
      </c>
      <c r="F54" s="30" t="str">
        <f t="shared" si="3"/>
        <v/>
      </c>
      <c r="G54" s="31"/>
      <c r="H54" s="31" t="str">
        <f t="shared" si="5"/>
        <v/>
      </c>
      <c r="I54" s="32" t="str">
        <f t="shared" si="6"/>
        <v/>
      </c>
      <c r="J54" s="62"/>
      <c r="K54" s="78"/>
    </row>
    <row r="55" spans="1:14" ht="15.6">
      <c r="A55" s="41" t="str">
        <v>CA: Stockton - SUSD - Edison HS</v>
      </c>
      <c r="B55" s="42" t="str">
        <v>CA</v>
      </c>
      <c r="C55" s="35"/>
      <c r="D55" s="36"/>
      <c r="E55" s="36" t="str">
        <f t="shared" si="4"/>
        <v/>
      </c>
      <c r="F55" s="37" t="str">
        <f t="shared" si="3"/>
        <v/>
      </c>
      <c r="G55" s="38"/>
      <c r="H55" s="38" t="str">
        <f t="shared" si="5"/>
        <v/>
      </c>
      <c r="I55" s="37" t="str">
        <f t="shared" si="6"/>
        <v/>
      </c>
      <c r="J55" s="60"/>
      <c r="K55" s="75"/>
    </row>
    <row r="56" spans="1:14" ht="15.6">
      <c r="A56" s="43" t="str">
        <v>CA: Stockton - SUSD - Chavez HS - Large</v>
      </c>
      <c r="B56" s="40" t="str">
        <v>CA</v>
      </c>
      <c r="C56" s="28"/>
      <c r="D56" s="29"/>
      <c r="E56" s="29" t="str">
        <f t="shared" si="4"/>
        <v/>
      </c>
      <c r="F56" s="30" t="str">
        <f t="shared" si="3"/>
        <v/>
      </c>
      <c r="G56" s="31"/>
      <c r="H56" s="31" t="str">
        <f t="shared" si="5"/>
        <v/>
      </c>
      <c r="I56" s="32" t="str">
        <f t="shared" si="6"/>
        <v/>
      </c>
      <c r="J56" s="62"/>
      <c r="K56" s="78"/>
      <c r="L56" s="76"/>
    </row>
    <row r="57" spans="1:14" ht="15.6">
      <c r="A57" s="41" t="str">
        <v>CA: San Jose - GE Mobile Water</v>
      </c>
      <c r="B57" s="42" t="str">
        <v>CA</v>
      </c>
      <c r="C57" s="35"/>
      <c r="D57" s="36"/>
      <c r="E57" s="36" t="str">
        <f t="shared" si="4"/>
        <v/>
      </c>
      <c r="F57" s="37" t="str">
        <f t="shared" si="3"/>
        <v/>
      </c>
      <c r="G57" s="38"/>
      <c r="H57" s="38" t="str">
        <f t="shared" si="5"/>
        <v/>
      </c>
      <c r="I57" s="37" t="str">
        <f t="shared" si="6"/>
        <v/>
      </c>
      <c r="J57" s="60"/>
      <c r="K57" s="75"/>
      <c r="L57" s="76"/>
    </row>
    <row r="58" spans="1:14" ht="15.6">
      <c r="A58" s="43" t="str">
        <v>CA: San Marcos - Vallecitos Water - Lift Station</v>
      </c>
      <c r="B58" s="40" t="str">
        <v>CA</v>
      </c>
      <c r="C58" s="28"/>
      <c r="D58" s="29"/>
      <c r="E58" s="29" t="str">
        <f t="shared" si="4"/>
        <v/>
      </c>
      <c r="F58" s="30" t="str">
        <f t="shared" si="3"/>
        <v/>
      </c>
      <c r="G58" s="31"/>
      <c r="H58" s="31" t="str">
        <f t="shared" si="5"/>
        <v/>
      </c>
      <c r="I58" s="32" t="str">
        <f t="shared" si="6"/>
        <v/>
      </c>
      <c r="J58" s="62"/>
      <c r="K58" s="62"/>
    </row>
    <row r="59" spans="1:14" ht="15.6">
      <c r="A59" s="41" t="str">
        <v>CA: San Marcos - Vallecitos Water - Twin Oaks Reservoir</v>
      </c>
      <c r="B59" s="42" t="str">
        <v>CA</v>
      </c>
      <c r="C59" s="35"/>
      <c r="D59" s="36"/>
      <c r="E59" s="36" t="str">
        <f t="shared" si="4"/>
        <v/>
      </c>
      <c r="F59" s="37" t="str">
        <f t="shared" si="3"/>
        <v/>
      </c>
      <c r="G59" s="38"/>
      <c r="H59" s="38" t="str">
        <f t="shared" si="5"/>
        <v/>
      </c>
      <c r="I59" s="37" t="str">
        <f t="shared" si="6"/>
        <v/>
      </c>
      <c r="J59" s="60"/>
      <c r="K59" s="75"/>
    </row>
    <row r="60" spans="1:14" ht="15.6">
      <c r="A60" s="43" t="str">
        <v>CA: Stockton - SUSD - Wilhelmina Henry ES</v>
      </c>
      <c r="B60" s="40" t="str">
        <v>CA</v>
      </c>
      <c r="C60" s="28"/>
      <c r="D60" s="29"/>
      <c r="E60" s="29" t="str">
        <f t="shared" si="4"/>
        <v/>
      </c>
      <c r="F60" s="30" t="str">
        <f t="shared" si="3"/>
        <v/>
      </c>
      <c r="G60" s="31"/>
      <c r="H60" s="31" t="str">
        <f t="shared" si="5"/>
        <v/>
      </c>
      <c r="I60" s="32" t="str">
        <f t="shared" si="6"/>
        <v/>
      </c>
      <c r="J60" s="62"/>
      <c r="K60" s="78"/>
    </row>
    <row r="61" spans="1:14" ht="15.6" hidden="1">
      <c r="A61" s="41" t="str">
        <v>Stockton Unified School Dist. - Franklin (North)</v>
      </c>
      <c r="B61" s="42" t="str">
        <v>CA</v>
      </c>
      <c r="C61" s="35"/>
      <c r="D61" s="36"/>
      <c r="E61" s="36" t="str">
        <f t="shared" si="4"/>
        <v/>
      </c>
      <c r="F61" s="37" t="str">
        <f t="shared" si="3"/>
        <v/>
      </c>
      <c r="G61" s="38"/>
      <c r="H61" s="38" t="str">
        <f t="shared" si="5"/>
        <v/>
      </c>
      <c r="I61" s="37" t="str">
        <f t="shared" si="6"/>
        <v/>
      </c>
      <c r="J61" s="60"/>
      <c r="K61" s="59"/>
    </row>
    <row r="62" spans="1:14" ht="15.6">
      <c r="A62" s="43" t="str">
        <v>CA: Stockton - SUSD - Franklin - South</v>
      </c>
      <c r="B62" s="40" t="str">
        <v>CA</v>
      </c>
      <c r="C62" s="28"/>
      <c r="D62" s="29"/>
      <c r="E62" s="29" t="str">
        <f t="shared" si="4"/>
        <v/>
      </c>
      <c r="F62" s="30" t="str">
        <f t="shared" si="3"/>
        <v/>
      </c>
      <c r="G62" s="31"/>
      <c r="H62" s="31" t="str">
        <f t="shared" si="5"/>
        <v/>
      </c>
      <c r="I62" s="32" t="str">
        <f t="shared" si="6"/>
        <v/>
      </c>
      <c r="J62" s="62"/>
      <c r="K62" s="78"/>
      <c r="L62" s="76"/>
      <c r="M62" s="76"/>
    </row>
    <row r="63" spans="1:14" ht="15.6">
      <c r="A63" s="41" t="str">
        <v>CA: Stockton - SUSD - Chavez HS - Small</v>
      </c>
      <c r="B63" s="42" t="str">
        <v>CA</v>
      </c>
      <c r="C63" s="35"/>
      <c r="D63" s="36"/>
      <c r="E63" s="36" t="str">
        <f t="shared" si="4"/>
        <v/>
      </c>
      <c r="F63" s="37" t="str">
        <f t="shared" si="3"/>
        <v/>
      </c>
      <c r="G63" s="38"/>
      <c r="H63" s="38" t="str">
        <f t="shared" si="5"/>
        <v/>
      </c>
      <c r="I63" s="37" t="str">
        <f t="shared" si="6"/>
        <v/>
      </c>
      <c r="J63" s="60"/>
      <c r="K63" s="75"/>
    </row>
    <row r="64" spans="1:14" ht="15.6">
      <c r="A64" s="43" t="str">
        <v>CA: Stockton - SUSD - Facilities</v>
      </c>
      <c r="B64" s="40" t="str">
        <v>CA</v>
      </c>
      <c r="C64" s="28"/>
      <c r="D64" s="29"/>
      <c r="E64" s="29" t="str">
        <f t="shared" si="4"/>
        <v/>
      </c>
      <c r="F64" s="30" t="str">
        <f t="shared" si="3"/>
        <v/>
      </c>
      <c r="G64" s="31"/>
      <c r="H64" s="31" t="str">
        <f t="shared" si="5"/>
        <v/>
      </c>
      <c r="I64" s="32" t="str">
        <f t="shared" si="6"/>
        <v/>
      </c>
      <c r="J64" s="62"/>
      <c r="K64" s="78"/>
    </row>
    <row r="65" spans="1:17" ht="15.6">
      <c r="A65" s="41" t="str">
        <v>CA: Stockton - SUSD - Harrison</v>
      </c>
      <c r="B65" s="42" t="str">
        <v>CA</v>
      </c>
      <c r="C65" s="35"/>
      <c r="D65" s="36"/>
      <c r="E65" s="36" t="str">
        <f t="shared" si="4"/>
        <v/>
      </c>
      <c r="F65" s="37" t="str">
        <f t="shared" si="3"/>
        <v/>
      </c>
      <c r="G65" s="38"/>
      <c r="H65" s="38" t="str">
        <f t="shared" si="5"/>
        <v/>
      </c>
      <c r="I65" s="37" t="str">
        <f t="shared" si="6"/>
        <v/>
      </c>
      <c r="J65" s="60"/>
      <c r="K65" s="75"/>
    </row>
    <row r="66" spans="1:17" ht="15.6">
      <c r="A66" s="43" t="str">
        <v>CA: Stockton - SUSD - Commodore Skills School</v>
      </c>
      <c r="B66" s="40" t="str">
        <v>CA</v>
      </c>
      <c r="C66" s="28"/>
      <c r="D66" s="29"/>
      <c r="E66" s="29" t="str">
        <f t="shared" si="4"/>
        <v/>
      </c>
      <c r="F66" s="30" t="str">
        <f t="shared" si="3"/>
        <v/>
      </c>
      <c r="G66" s="31"/>
      <c r="H66" s="31" t="str">
        <f t="shared" si="5"/>
        <v/>
      </c>
      <c r="I66" s="32" t="str">
        <f t="shared" si="6"/>
        <v/>
      </c>
      <c r="J66" s="62"/>
      <c r="K66" s="78"/>
    </row>
    <row r="67" spans="1:17" ht="15.6">
      <c r="A67" s="41" t="str">
        <v>CA: Stockton - SUSD - Nightingale ES</v>
      </c>
      <c r="B67" s="42" t="str">
        <v>CA</v>
      </c>
      <c r="C67" s="35"/>
      <c r="D67" s="36"/>
      <c r="E67" s="36" t="str">
        <f t="shared" si="4"/>
        <v/>
      </c>
      <c r="F67" s="37" t="str">
        <f t="shared" si="3"/>
        <v/>
      </c>
      <c r="G67" s="38"/>
      <c r="H67" s="38" t="str">
        <f t="shared" si="5"/>
        <v/>
      </c>
      <c r="I67" s="37" t="str">
        <f t="shared" si="6"/>
        <v/>
      </c>
      <c r="J67" s="60"/>
      <c r="K67" s="75"/>
    </row>
    <row r="68" spans="1:17" ht="15.6">
      <c r="A68" s="43" t="str">
        <v>CA: Stockton - SUSD - Weber Institute</v>
      </c>
      <c r="B68" s="40" t="str">
        <v>CA</v>
      </c>
      <c r="C68" s="28"/>
      <c r="D68" s="29"/>
      <c r="E68" s="29" t="str">
        <f t="shared" si="4"/>
        <v/>
      </c>
      <c r="F68" s="30" t="str">
        <f t="shared" si="3"/>
        <v/>
      </c>
      <c r="G68" s="31"/>
      <c r="H68" s="31" t="str">
        <f t="shared" si="5"/>
        <v/>
      </c>
      <c r="I68" s="32" t="str">
        <f t="shared" si="6"/>
        <v/>
      </c>
      <c r="J68" s="62"/>
      <c r="K68" s="78"/>
    </row>
    <row r="69" spans="1:17" ht="15.6">
      <c r="A69" s="41" t="str">
        <v>CA: Stockton - SUSD - Warehouse</v>
      </c>
      <c r="B69" s="42" t="str">
        <v>CA</v>
      </c>
      <c r="C69" s="35"/>
      <c r="D69" s="36"/>
      <c r="E69" s="36" t="str">
        <f t="shared" si="4"/>
        <v/>
      </c>
      <c r="F69" s="37" t="str">
        <f t="shared" si="3"/>
        <v/>
      </c>
      <c r="G69" s="38"/>
      <c r="H69" s="38" t="str">
        <f t="shared" si="5"/>
        <v/>
      </c>
      <c r="I69" s="37" t="str">
        <f t="shared" si="6"/>
        <v/>
      </c>
      <c r="J69" s="60"/>
      <c r="K69" s="75"/>
    </row>
    <row r="70" spans="1:17" ht="15.6">
      <c r="A70" s="43" t="str">
        <v>CA: Stockton - SUSD - Walton Special Center</v>
      </c>
      <c r="B70" s="40" t="str">
        <v>CA</v>
      </c>
      <c r="C70" s="28"/>
      <c r="D70" s="29"/>
      <c r="E70" s="29" t="str">
        <f t="shared" si="4"/>
        <v/>
      </c>
      <c r="F70" s="30" t="str">
        <f t="shared" ref="F70:F85" si="7">IFERROR(E70/D70, "")</f>
        <v/>
      </c>
      <c r="G70" s="31"/>
      <c r="H70" s="31" t="str">
        <f t="shared" si="5"/>
        <v/>
      </c>
      <c r="I70" s="32" t="str">
        <f t="shared" si="6"/>
        <v/>
      </c>
      <c r="J70" s="62"/>
      <c r="K70" s="78"/>
      <c r="L70" s="76"/>
    </row>
    <row r="71" spans="1:17" ht="15.6">
      <c r="A71" s="41" t="str">
        <v>CA: Stockton - SUSD - Stagg HS</v>
      </c>
      <c r="B71" s="42" t="str">
        <v>CA</v>
      </c>
      <c r="C71" s="35"/>
      <c r="D71" s="36"/>
      <c r="E71" s="36" t="str">
        <f t="shared" ref="E71:E85" si="8">IF(AND(ISNUMBER(C71),ISNUMBER(D71)), C71-D71, "")</f>
        <v/>
      </c>
      <c r="F71" s="37" t="str">
        <f t="shared" si="7"/>
        <v/>
      </c>
      <c r="G71" s="38"/>
      <c r="H71" s="38" t="str">
        <f t="shared" ref="H71:H85" si="9">IF(AND(ISNUMBER(C71),ISNUMBER(G71)), C71-G71, "")</f>
        <v/>
      </c>
      <c r="I71" s="37" t="str">
        <f t="shared" ref="I71:I85" si="10">IFERROR(H71/G71, "")</f>
        <v/>
      </c>
      <c r="J71" s="60"/>
      <c r="K71" s="75"/>
      <c r="L71" s="76"/>
    </row>
    <row r="72" spans="1:17" ht="15.6">
      <c r="A72" s="43" t="str">
        <v>CA: Stockton - SUSD - School for Adults</v>
      </c>
      <c r="B72" s="40" t="str">
        <v>CA</v>
      </c>
      <c r="C72" s="28"/>
      <c r="D72" s="29"/>
      <c r="E72" s="29" t="str">
        <f t="shared" si="8"/>
        <v/>
      </c>
      <c r="F72" s="30" t="str">
        <f t="shared" si="7"/>
        <v/>
      </c>
      <c r="G72" s="31"/>
      <c r="H72" s="31" t="str">
        <f t="shared" si="9"/>
        <v/>
      </c>
      <c r="I72" s="32" t="str">
        <f t="shared" si="10"/>
        <v/>
      </c>
      <c r="J72" s="62"/>
      <c r="K72" s="78"/>
    </row>
    <row r="73" spans="1:17" ht="15.6">
      <c r="A73" s="41" t="str">
        <v>CA: Stockton - SUSD - San Joaquin</v>
      </c>
      <c r="B73" s="42" t="str">
        <v>CA</v>
      </c>
      <c r="C73" s="35"/>
      <c r="D73" s="36"/>
      <c r="E73" s="36" t="str">
        <f t="shared" si="8"/>
        <v/>
      </c>
      <c r="F73" s="37" t="str">
        <f t="shared" si="7"/>
        <v/>
      </c>
      <c r="G73" s="38"/>
      <c r="H73" s="38" t="str">
        <f t="shared" si="9"/>
        <v/>
      </c>
      <c r="I73" s="37" t="str">
        <f t="shared" si="10"/>
        <v/>
      </c>
      <c r="J73" s="60"/>
      <c r="K73" s="75"/>
    </row>
    <row r="74" spans="1:17" ht="15.6">
      <c r="A74" s="43" t="str">
        <v>CA: Stockton - SUSD - Rio Calaveras</v>
      </c>
      <c r="B74" s="40" t="str">
        <v>CA</v>
      </c>
      <c r="C74" s="28"/>
      <c r="D74" s="29"/>
      <c r="E74" s="29" t="str">
        <f t="shared" si="8"/>
        <v/>
      </c>
      <c r="F74" s="30" t="str">
        <f t="shared" si="7"/>
        <v/>
      </c>
      <c r="G74" s="31"/>
      <c r="H74" s="31" t="str">
        <f t="shared" si="9"/>
        <v/>
      </c>
      <c r="I74" s="32" t="str">
        <f t="shared" si="10"/>
        <v/>
      </c>
      <c r="J74" s="62"/>
      <c r="K74" s="78"/>
    </row>
    <row r="75" spans="1:17" ht="15.6">
      <c r="A75" s="41" t="str">
        <v>CA: Stockton - SUSD - Peyton</v>
      </c>
      <c r="B75" s="42" t="str">
        <v>CA</v>
      </c>
      <c r="C75" s="35"/>
      <c r="D75" s="36"/>
      <c r="E75" s="36" t="str">
        <f t="shared" si="8"/>
        <v/>
      </c>
      <c r="F75" s="37" t="str">
        <f t="shared" si="7"/>
        <v/>
      </c>
      <c r="G75" s="38"/>
      <c r="H75" s="38" t="str">
        <f t="shared" si="9"/>
        <v/>
      </c>
      <c r="I75" s="37" t="str">
        <f t="shared" si="10"/>
        <v/>
      </c>
      <c r="J75" s="60"/>
      <c r="K75" s="75"/>
    </row>
    <row r="76" spans="1:17" ht="15.6">
      <c r="A76" s="43" t="str">
        <v>TX: Barnhart - 42917 Ranch RD 2469</v>
      </c>
      <c r="B76" s="40" t="str">
        <v>TX</v>
      </c>
      <c r="C76" s="28"/>
      <c r="D76" s="29"/>
      <c r="E76" s="29" t="str">
        <f t="shared" si="8"/>
        <v/>
      </c>
      <c r="F76" s="30" t="str">
        <f t="shared" si="7"/>
        <v/>
      </c>
      <c r="G76" s="31"/>
      <c r="H76" s="31" t="str">
        <f t="shared" si="9"/>
        <v/>
      </c>
      <c r="I76" s="32" t="str">
        <f t="shared" si="10"/>
        <v/>
      </c>
      <c r="J76" s="62"/>
      <c r="K76" s="78"/>
      <c r="L76" s="76"/>
      <c r="M76" s="76"/>
      <c r="N76" s="76"/>
      <c r="O76" s="76"/>
      <c r="P76" s="76"/>
      <c r="Q76" s="76"/>
    </row>
    <row r="77" spans="1:17" ht="15.6">
      <c r="A77" s="41" t="str">
        <v>AZ: San Manuel - Senior &amp; Junior HS</v>
      </c>
      <c r="B77" s="42" t="str">
        <v>AZ</v>
      </c>
      <c r="C77" s="35"/>
      <c r="D77" s="36"/>
      <c r="E77" s="36" t="str">
        <f t="shared" si="8"/>
        <v/>
      </c>
      <c r="F77" s="37" t="str">
        <f t="shared" si="7"/>
        <v/>
      </c>
      <c r="G77" s="38"/>
      <c r="H77" s="38" t="str">
        <f t="shared" si="9"/>
        <v/>
      </c>
      <c r="I77" s="37" t="str">
        <f t="shared" si="10"/>
        <v/>
      </c>
      <c r="J77" s="60"/>
      <c r="K77" s="75"/>
      <c r="L77" s="76"/>
    </row>
    <row r="78" spans="1:17" ht="15.6">
      <c r="A78" s="43" t="str">
        <v>AZ: Sierra Vista - Colonel Smith MS</v>
      </c>
      <c r="B78" s="40" t="str">
        <v>AZ</v>
      </c>
      <c r="C78" s="28"/>
      <c r="D78" s="29"/>
      <c r="E78" s="29" t="str">
        <f t="shared" si="8"/>
        <v/>
      </c>
      <c r="F78" s="30" t="str">
        <f t="shared" si="7"/>
        <v/>
      </c>
      <c r="G78" s="31"/>
      <c r="H78" s="31" t="str">
        <f t="shared" si="9"/>
        <v/>
      </c>
      <c r="I78" s="32" t="str">
        <f t="shared" si="10"/>
        <v/>
      </c>
      <c r="J78" s="62"/>
      <c r="K78" s="78"/>
    </row>
    <row r="79" spans="1:17" ht="15.6">
      <c r="A79" s="41" t="str">
        <v>AZ: Sierra Vista - Colonel Johnston ES</v>
      </c>
      <c r="B79" s="42" t="str">
        <v>AZ</v>
      </c>
      <c r="C79" s="35"/>
      <c r="D79" s="36"/>
      <c r="E79" s="36" t="str">
        <f t="shared" si="8"/>
        <v/>
      </c>
      <c r="F79" s="37" t="str">
        <f t="shared" si="7"/>
        <v/>
      </c>
      <c r="G79" s="38"/>
      <c r="H79" s="38" t="str">
        <f t="shared" si="9"/>
        <v/>
      </c>
      <c r="I79" s="37" t="str">
        <f t="shared" si="10"/>
        <v/>
      </c>
      <c r="J79" s="60"/>
      <c r="K79" s="75"/>
    </row>
    <row r="80" spans="1:17" ht="15.6">
      <c r="A80" s="43" t="str">
        <v>NH: Dover - Dover HS</v>
      </c>
      <c r="B80" s="40" t="str">
        <v>NH</v>
      </c>
      <c r="C80" s="28"/>
      <c r="D80" s="29"/>
      <c r="E80" s="29" t="str">
        <f t="shared" si="8"/>
        <v/>
      </c>
      <c r="F80" s="30" t="str">
        <f t="shared" si="7"/>
        <v/>
      </c>
      <c r="G80" s="31"/>
      <c r="H80" s="31" t="str">
        <f t="shared" si="9"/>
        <v/>
      </c>
      <c r="I80" s="32" t="str">
        <f t="shared" si="10"/>
        <v/>
      </c>
      <c r="J80" s="62"/>
      <c r="K80" s="78"/>
    </row>
    <row r="81" spans="1:14" ht="15.6">
      <c r="A81" s="41" t="str">
        <v>MA: Somerville - 30 Inner Belt Rd</v>
      </c>
      <c r="B81" s="42" t="str">
        <v>MA</v>
      </c>
      <c r="C81" s="35"/>
      <c r="D81" s="36"/>
      <c r="E81" s="36" t="str">
        <f t="shared" si="8"/>
        <v/>
      </c>
      <c r="F81" s="37" t="str">
        <f t="shared" si="7"/>
        <v/>
      </c>
      <c r="G81" s="38"/>
      <c r="H81" s="38" t="str">
        <f t="shared" si="9"/>
        <v/>
      </c>
      <c r="I81" s="37" t="str">
        <f t="shared" si="10"/>
        <v/>
      </c>
      <c r="J81" s="60"/>
      <c r="K81" s="59"/>
    </row>
    <row r="82" spans="1:14" ht="15.6">
      <c r="A82" s="43" t="str">
        <v>MA: Boxborough - 1414 Massachusetts Ave</v>
      </c>
      <c r="B82" s="40" t="str">
        <v>MA</v>
      </c>
      <c r="C82" s="28"/>
      <c r="D82" s="29"/>
      <c r="E82" s="29" t="str">
        <f t="shared" si="8"/>
        <v/>
      </c>
      <c r="F82" s="30" t="str">
        <f t="shared" si="7"/>
        <v/>
      </c>
      <c r="G82" s="31"/>
      <c r="H82" s="31" t="str">
        <f t="shared" si="9"/>
        <v/>
      </c>
      <c r="I82" s="32" t="str">
        <f t="shared" si="10"/>
        <v/>
      </c>
      <c r="J82" s="62"/>
      <c r="K82" s="78"/>
      <c r="L82" s="76"/>
      <c r="M82" s="76"/>
    </row>
    <row r="83" spans="1:14" ht="15.6">
      <c r="A83" s="41" t="str">
        <v>NY: Amsterdam - 153 NY Route 67</v>
      </c>
      <c r="B83" s="42" t="str">
        <v>NY</v>
      </c>
      <c r="C83" s="35"/>
      <c r="D83" s="36"/>
      <c r="E83" s="36" t="str">
        <f t="shared" si="8"/>
        <v/>
      </c>
      <c r="F83" s="37" t="str">
        <f t="shared" si="7"/>
        <v/>
      </c>
      <c r="G83" s="38"/>
      <c r="H83" s="38" t="str">
        <f t="shared" si="9"/>
        <v/>
      </c>
      <c r="I83" s="37" t="str">
        <f t="shared" si="10"/>
        <v/>
      </c>
      <c r="J83" s="60"/>
      <c r="K83" s="75"/>
      <c r="L83" s="76"/>
      <c r="M83" s="76"/>
    </row>
    <row r="84" spans="1:14" ht="15.6">
      <c r="A84" s="43" t="str">
        <v>CA: San Jose - GE Mobile Water</v>
      </c>
      <c r="B84" s="40" t="str">
        <v>CA</v>
      </c>
      <c r="C84" s="28"/>
      <c r="D84" s="29"/>
      <c r="E84" s="29" t="str">
        <f t="shared" si="8"/>
        <v/>
      </c>
      <c r="F84" s="30" t="str">
        <f t="shared" si="7"/>
        <v/>
      </c>
      <c r="G84" s="31"/>
      <c r="H84" s="31" t="str">
        <f t="shared" si="9"/>
        <v/>
      </c>
      <c r="I84" s="32" t="str">
        <f t="shared" si="10"/>
        <v/>
      </c>
      <c r="J84" s="62"/>
      <c r="K84" s="78"/>
    </row>
    <row r="85" spans="1:14" ht="15.6">
      <c r="A85" s="41" t="str">
        <v>NY: Rome - 7776 Tannery RD</v>
      </c>
      <c r="B85" s="42" t="str">
        <v>NY</v>
      </c>
      <c r="C85" s="35"/>
      <c r="D85" s="36"/>
      <c r="E85" s="36" t="str">
        <f t="shared" si="8"/>
        <v/>
      </c>
      <c r="F85" s="37" t="str">
        <f t="shared" si="7"/>
        <v/>
      </c>
      <c r="G85" s="38"/>
      <c r="H85" s="38" t="str">
        <f t="shared" si="9"/>
        <v/>
      </c>
      <c r="I85" s="37" t="str">
        <f t="shared" si="10"/>
        <v/>
      </c>
      <c r="J85" s="60"/>
      <c r="K85" s="75"/>
      <c r="L85" s="76"/>
      <c r="M85" s="76"/>
      <c r="N85" s="76"/>
    </row>
    <row r="86" spans="1:14" ht="14.45">
      <c r="A86" s="8"/>
      <c r="B86" s="13"/>
      <c r="C86" s="8"/>
      <c r="D86" s="8"/>
      <c r="E86" s="8"/>
      <c r="F86" s="9"/>
      <c r="G86" s="8"/>
      <c r="H86" s="8"/>
      <c r="I86" s="9"/>
      <c r="J86" s="8"/>
      <c r="K86" s="8"/>
    </row>
    <row r="87" spans="1:14" ht="14.45">
      <c r="A87" s="8"/>
      <c r="B87" s="13"/>
      <c r="C87" s="8"/>
      <c r="D87" s="8"/>
      <c r="E87" s="8"/>
      <c r="F87" s="9"/>
      <c r="G87" s="8"/>
      <c r="H87" s="8"/>
      <c r="I87" s="9"/>
      <c r="J87" s="8"/>
      <c r="K87" s="8"/>
    </row>
    <row r="88" spans="1:14" ht="14.45">
      <c r="A88" s="8"/>
      <c r="B88" s="13"/>
      <c r="C88" s="8"/>
      <c r="D88" s="8"/>
      <c r="E88" s="8"/>
      <c r="F88" s="9"/>
      <c r="G88" s="8"/>
      <c r="H88" s="8"/>
      <c r="I88" s="9"/>
      <c r="J88" s="8"/>
      <c r="K88" s="8"/>
    </row>
    <row r="89" spans="1:14" ht="14.45">
      <c r="A89" s="8"/>
      <c r="B89" s="13"/>
      <c r="C89" s="8"/>
      <c r="D89" s="8"/>
      <c r="E89" s="8"/>
      <c r="F89" s="9"/>
      <c r="G89" s="8"/>
      <c r="H89" s="8"/>
      <c r="I89" s="9"/>
      <c r="J89" s="8"/>
      <c r="K89" s="8"/>
    </row>
    <row r="90" spans="1:14" ht="14.45">
      <c r="A90" s="8"/>
      <c r="B90" s="13"/>
      <c r="C90" s="8"/>
      <c r="D90" s="8"/>
      <c r="E90" s="8"/>
      <c r="F90" s="9"/>
      <c r="G90" s="8"/>
      <c r="H90" s="8"/>
      <c r="I90" s="9"/>
      <c r="J90" s="8"/>
      <c r="K90" s="8"/>
    </row>
    <row r="91" spans="1:14" ht="14.45">
      <c r="A91" s="8"/>
      <c r="B91" s="13"/>
      <c r="C91" s="8"/>
      <c r="D91" s="8"/>
      <c r="E91" s="8"/>
      <c r="F91" s="9"/>
      <c r="G91" s="8"/>
      <c r="H91" s="8"/>
      <c r="I91" s="9"/>
      <c r="J91" s="8"/>
      <c r="K91" s="8"/>
    </row>
    <row r="92" spans="1:14" ht="14.45">
      <c r="A92" s="8"/>
      <c r="B92" s="13"/>
      <c r="C92" s="8"/>
      <c r="D92" s="8"/>
      <c r="E92" s="8"/>
      <c r="F92" s="9"/>
      <c r="G92" s="8"/>
      <c r="H92" s="8"/>
      <c r="I92" s="9"/>
      <c r="J92" s="8"/>
      <c r="K92" s="8"/>
    </row>
    <row r="93" spans="1:14" ht="14.45">
      <c r="A93" s="8"/>
      <c r="B93" s="13"/>
      <c r="C93" s="8"/>
      <c r="D93" s="8"/>
      <c r="E93" s="8"/>
      <c r="F93" s="9"/>
      <c r="G93" s="8"/>
      <c r="H93" s="8"/>
      <c r="I93" s="9"/>
      <c r="J93" s="8"/>
      <c r="K93" s="8"/>
    </row>
    <row r="94" spans="1:14" ht="14.45">
      <c r="A94" s="8"/>
      <c r="B94" s="13"/>
      <c r="C94" s="8"/>
      <c r="D94" s="8"/>
      <c r="E94" s="8"/>
      <c r="F94" s="9"/>
      <c r="G94" s="8"/>
      <c r="H94" s="8"/>
      <c r="I94" s="9"/>
      <c r="J94" s="8"/>
      <c r="K94" s="8"/>
    </row>
    <row r="95" spans="1:14" ht="14.45">
      <c r="A95" s="8"/>
      <c r="B95" s="13"/>
      <c r="C95" s="8"/>
      <c r="D95" s="8"/>
      <c r="E95" s="8"/>
      <c r="F95" s="9"/>
      <c r="G95" s="8"/>
      <c r="H95" s="8"/>
      <c r="I95" s="9"/>
      <c r="J95" s="8"/>
      <c r="K95" s="8"/>
    </row>
    <row r="96" spans="1:14"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AB326"/>
  <sheetViews>
    <sheetView zoomScale="50" zoomScaleNormal="50" workbookViewId="0">
      <pane xSplit="2" ySplit="3" topLeftCell="G42" activePane="bottomRight" state="frozen"/>
      <selection pane="bottomRight" activeCell="U61" sqref="U61"/>
      <selection pane="bottomLeft" activeCell="J4" sqref="J4:Y85"/>
      <selection pane="topRight" activeCell="J4" sqref="J4:Y85"/>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style="77" customWidth="1"/>
    <col min="11" max="11" width="20.5703125" style="77" bestFit="1" customWidth="1"/>
    <col min="12" max="28" width="8.85546875" style="77"/>
  </cols>
  <sheetData>
    <row r="1" spans="1:17" ht="19.5" customHeight="1">
      <c r="A1" s="122" t="str" cm="1">
        <f t="array" ref="A1">portfolio</f>
        <v>Clean Capital</v>
      </c>
      <c r="B1" s="122"/>
      <c r="C1" s="122"/>
      <c r="D1" s="123" t="s">
        <v>283</v>
      </c>
      <c r="E1" s="123"/>
      <c r="F1" s="123"/>
      <c r="G1" s="121" t="s">
        <v>284</v>
      </c>
      <c r="H1" s="121"/>
      <c r="I1" s="121"/>
      <c r="J1" s="103"/>
      <c r="K1" s="103"/>
    </row>
    <row r="2" spans="1:17" ht="19.5" customHeight="1">
      <c r="A2" s="124" t="s">
        <v>2</v>
      </c>
      <c r="B2" s="124"/>
      <c r="C2" s="5">
        <f>SUM(C4:C84)</f>
        <v>0</v>
      </c>
      <c r="D2" s="5">
        <f>SUM(D4:D84)</f>
        <v>0</v>
      </c>
      <c r="E2" s="5">
        <f>C2-D2</f>
        <v>0</v>
      </c>
      <c r="F2" s="6">
        <f>IFERROR(E2/D2, 0)</f>
        <v>0</v>
      </c>
      <c r="G2" s="5">
        <f>SUM(G4:G84)</f>
        <v>0</v>
      </c>
      <c r="H2" s="7">
        <f>C2-G2</f>
        <v>0</v>
      </c>
      <c r="I2" s="6">
        <f>IFERROR(H2/G2, 0)</f>
        <v>0</v>
      </c>
      <c r="J2" s="10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103"/>
    </row>
    <row r="3" spans="1:17" ht="14.25" customHeight="1">
      <c r="A3" s="12" t="s">
        <v>4</v>
      </c>
      <c r="B3" s="12" t="s">
        <v>5</v>
      </c>
      <c r="C3" s="19" t="s">
        <v>6</v>
      </c>
      <c r="D3" s="20" t="s">
        <v>7</v>
      </c>
      <c r="E3" s="20" t="s">
        <v>8</v>
      </c>
      <c r="F3" s="21" t="s">
        <v>9</v>
      </c>
      <c r="G3" s="22" t="s">
        <v>10</v>
      </c>
      <c r="H3" s="23" t="s">
        <v>8</v>
      </c>
      <c r="I3" s="24" t="s">
        <v>9</v>
      </c>
      <c r="J3" s="105" t="s">
        <v>272</v>
      </c>
      <c r="K3" s="105" t="s">
        <v>22</v>
      </c>
    </row>
    <row r="4" spans="1:17" ht="15.6">
      <c r="A4" s="39" t="str" cm="1">
        <f t="array" ref="A4:A85">Sites[Site]</f>
        <v>Lexington - Cotting School</v>
      </c>
      <c r="B4" s="40" t="str" cm="1">
        <f t="array" ref="B4:B85">Sites[State]</f>
        <v>MA</v>
      </c>
      <c r="C4" s="28"/>
      <c r="D4" s="29"/>
      <c r="E4" s="29" t="str">
        <f>IF(AND(ISNUMBER(C4),ISNUMBER(D4)), C4-D4, "")</f>
        <v/>
      </c>
      <c r="F4" s="30" t="str">
        <f>IFERROR(E4/D4, "")</f>
        <v/>
      </c>
      <c r="G4" s="73"/>
      <c r="H4" s="31" t="str">
        <f>IF(AND(ISNUMBER(C4),ISNUMBER(G4)), C4-G4, "")</f>
        <v/>
      </c>
      <c r="I4" s="32" t="str">
        <f>IFERROR(H4/G4, "")</f>
        <v/>
      </c>
      <c r="J4" s="62"/>
      <c r="K4" s="78"/>
    </row>
    <row r="5" spans="1:17" ht="15.6">
      <c r="A5" s="41" t="str">
        <v>Pacoima - Whiteman Airport</v>
      </c>
      <c r="B5" s="42" t="str">
        <v>CA</v>
      </c>
      <c r="C5" s="61"/>
      <c r="D5" s="36"/>
      <c r="E5" s="36" t="str">
        <f t="shared" ref="E5:E12" si="0">IF(AND(ISNUMBER(C5),ISNUMBER(D5)), C5-D5, "")</f>
        <v/>
      </c>
      <c r="F5" s="37" t="str">
        <f>IFERROR(E5/D5, "")</f>
        <v/>
      </c>
      <c r="G5" s="38"/>
      <c r="H5" s="38" t="str">
        <f t="shared" ref="H5:H12" si="1">IF(AND(ISNUMBER(C5),ISNUMBER(G5)), C5-G5, "")</f>
        <v/>
      </c>
      <c r="I5" s="37" t="str">
        <f t="shared" ref="I5:I13" si="2">IFERROR(H5/G5, "")</f>
        <v/>
      </c>
      <c r="J5" s="60"/>
      <c r="K5" s="75"/>
      <c r="L5" s="76"/>
      <c r="M5" s="76"/>
      <c r="N5" s="76"/>
      <c r="O5" s="76"/>
      <c r="P5" s="76"/>
      <c r="Q5" s="76"/>
    </row>
    <row r="6" spans="1:17" ht="15.6">
      <c r="A6" s="43" t="str">
        <v>Hyannis - Sturgis Charter School</v>
      </c>
      <c r="B6" s="40" t="str">
        <v>MA</v>
      </c>
      <c r="C6" s="28"/>
      <c r="D6" s="29"/>
      <c r="E6" s="29" t="str">
        <f t="shared" si="0"/>
        <v/>
      </c>
      <c r="F6" s="30" t="str">
        <f t="shared" ref="F6:F12" si="3">IFERROR(E6/D6, "")</f>
        <v/>
      </c>
      <c r="G6" s="73"/>
      <c r="H6" s="31" t="str">
        <f t="shared" si="1"/>
        <v/>
      </c>
      <c r="I6" s="32" t="str">
        <f t="shared" si="2"/>
        <v/>
      </c>
      <c r="J6" s="62"/>
      <c r="K6" s="62"/>
    </row>
    <row r="7" spans="1:17" ht="15.6">
      <c r="A7" s="41" t="str">
        <v>South Dennis - Tony Kent Arena</v>
      </c>
      <c r="B7" s="42" t="str">
        <v>MA</v>
      </c>
      <c r="C7" s="35"/>
      <c r="D7" s="36"/>
      <c r="E7" s="36" t="str">
        <f t="shared" si="0"/>
        <v/>
      </c>
      <c r="F7" s="37" t="str">
        <f t="shared" si="3"/>
        <v/>
      </c>
      <c r="G7" s="74"/>
      <c r="H7" s="38" t="str">
        <f t="shared" si="1"/>
        <v/>
      </c>
      <c r="I7" s="37" t="str">
        <f t="shared" si="2"/>
        <v/>
      </c>
      <c r="J7" s="60"/>
      <c r="K7" s="75"/>
      <c r="L7" s="76"/>
    </row>
    <row r="8" spans="1:17" ht="15.6">
      <c r="A8" s="43" t="str">
        <v xml:space="preserve"> Caropolis - Felician Sisters</v>
      </c>
      <c r="B8" s="40" t="str">
        <v>PA</v>
      </c>
      <c r="C8" s="28"/>
      <c r="D8" s="29"/>
      <c r="E8" s="29" t="str">
        <f t="shared" si="0"/>
        <v/>
      </c>
      <c r="F8" s="30" t="str">
        <f t="shared" si="3"/>
        <v/>
      </c>
      <c r="G8" s="73"/>
      <c r="H8" s="31" t="str">
        <f t="shared" si="1"/>
        <v/>
      </c>
      <c r="I8" s="32" t="str">
        <f t="shared" si="2"/>
        <v/>
      </c>
      <c r="J8" s="62"/>
      <c r="K8" s="78"/>
      <c r="L8" s="76"/>
      <c r="M8" s="76"/>
    </row>
    <row r="9" spans="1:17" ht="15.6">
      <c r="A9" s="41" t="str">
        <v>Clear Lake - Eastlake Gohman</v>
      </c>
      <c r="B9" s="42" t="str">
        <v>MN</v>
      </c>
      <c r="C9" s="35"/>
      <c r="D9" s="36"/>
      <c r="E9" s="36" t="str">
        <f t="shared" si="0"/>
        <v/>
      </c>
      <c r="F9" s="37" t="str">
        <f t="shared" si="3"/>
        <v/>
      </c>
      <c r="G9" s="38"/>
      <c r="H9" s="38" t="str">
        <f t="shared" si="1"/>
        <v/>
      </c>
      <c r="I9" s="37" t="str">
        <f t="shared" si="2"/>
        <v/>
      </c>
      <c r="J9" s="60"/>
      <c r="K9" s="75"/>
      <c r="L9" s="76"/>
      <c r="M9" s="76"/>
    </row>
    <row r="10" spans="1:17"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7" ht="15.6">
      <c r="A11" s="41" t="str">
        <v>Cokato - Eastlake Carlson</v>
      </c>
      <c r="B11" s="42" t="str">
        <v>MN</v>
      </c>
      <c r="C11" s="35"/>
      <c r="D11" s="36"/>
      <c r="E11" s="36" t="str">
        <f t="shared" si="0"/>
        <v/>
      </c>
      <c r="F11" s="37" t="str">
        <f t="shared" si="3"/>
        <v/>
      </c>
      <c r="G11" s="38"/>
      <c r="H11" s="38" t="str">
        <f t="shared" si="1"/>
        <v/>
      </c>
      <c r="I11" s="37" t="str">
        <f>IFERROR(H11/G11, "")</f>
        <v/>
      </c>
      <c r="J11" s="60"/>
      <c r="K11" s="75"/>
      <c r="L11" s="76"/>
    </row>
    <row r="12" spans="1:17" ht="15.6">
      <c r="A12" s="43" t="str">
        <v>North Branch - Cornille 2</v>
      </c>
      <c r="B12" s="40" t="str">
        <v>MN</v>
      </c>
      <c r="C12" s="28"/>
      <c r="D12" s="29"/>
      <c r="E12" s="29" t="str">
        <f t="shared" si="0"/>
        <v/>
      </c>
      <c r="F12" s="30" t="str">
        <f t="shared" si="3"/>
        <v/>
      </c>
      <c r="G12" s="31"/>
      <c r="H12" s="31" t="str">
        <f t="shared" si="1"/>
        <v/>
      </c>
      <c r="I12" s="32" t="str">
        <f t="shared" si="2"/>
        <v/>
      </c>
      <c r="J12" s="62"/>
      <c r="K12" s="78"/>
    </row>
    <row r="13" spans="1:17" ht="15.6">
      <c r="A13" s="41" t="str">
        <v>Clear Lake - Eastlake Hammer</v>
      </c>
      <c r="B13" s="42" t="str">
        <v>MN</v>
      </c>
      <c r="C13" s="35"/>
      <c r="D13" s="36"/>
      <c r="E13" s="36" t="str">
        <f t="shared" ref="E13:E76" si="4">IF(AND(ISNUMBER(C13),ISNUMBER(D13)), C13-D13, "")</f>
        <v/>
      </c>
      <c r="F13" s="37" t="str">
        <f t="shared" ref="F13:F76" si="5">IFERROR(E13/D13, "")</f>
        <v/>
      </c>
      <c r="G13" s="38"/>
      <c r="H13" s="38" t="str">
        <f t="shared" ref="H13:H76" si="6">IF(AND(ISNUMBER(C13),ISNUMBER(G13)), C13-G13, "")</f>
        <v/>
      </c>
      <c r="I13" s="37" t="str">
        <f t="shared" si="2"/>
        <v/>
      </c>
      <c r="J13" s="60"/>
      <c r="K13" s="75"/>
      <c r="L13" s="76"/>
    </row>
    <row r="14" spans="1:17" ht="15.6">
      <c r="A14" s="43" t="str">
        <v>Eastlake - Hertzberg CSG 1</v>
      </c>
      <c r="B14" s="40" t="str">
        <v>MN</v>
      </c>
      <c r="C14" s="28"/>
      <c r="D14" s="29"/>
      <c r="E14" s="29" t="str">
        <f t="shared" si="4"/>
        <v/>
      </c>
      <c r="F14" s="30" t="str">
        <f t="shared" si="5"/>
        <v/>
      </c>
      <c r="G14" s="31"/>
      <c r="H14" s="31" t="str">
        <f t="shared" si="6"/>
        <v/>
      </c>
      <c r="I14" s="32" t="str">
        <f t="shared" ref="I14:I77" si="7">IFERROR(H14/G14, "")</f>
        <v/>
      </c>
      <c r="J14" s="62"/>
      <c r="K14" s="78"/>
      <c r="L14" s="76"/>
      <c r="M14" s="76"/>
      <c r="N14" s="76"/>
    </row>
    <row r="15" spans="1:17" ht="63" customHeight="1">
      <c r="A15" s="41" t="str">
        <v>Cokato - Eastlake Laurel Village</v>
      </c>
      <c r="B15" s="42" t="str">
        <v>MN</v>
      </c>
      <c r="C15" s="35"/>
      <c r="D15" s="36"/>
      <c r="E15" s="36" t="str">
        <f t="shared" si="4"/>
        <v/>
      </c>
      <c r="F15" s="37" t="str">
        <f t="shared" si="5"/>
        <v/>
      </c>
      <c r="G15" s="38"/>
      <c r="H15" s="38" t="str">
        <f t="shared" si="6"/>
        <v/>
      </c>
      <c r="I15" s="37" t="str">
        <f t="shared" si="7"/>
        <v/>
      </c>
      <c r="J15" s="60"/>
      <c r="K15" s="75"/>
      <c r="L15" s="76"/>
      <c r="M15" s="76"/>
      <c r="N15" s="76"/>
    </row>
    <row r="16" spans="1:17" ht="15.6">
      <c r="A16" s="43" t="str">
        <v>St. Peter - Eastlake Paulson</v>
      </c>
      <c r="B16" s="40" t="str">
        <v>MN</v>
      </c>
      <c r="C16" s="28"/>
      <c r="D16" s="29"/>
      <c r="E16" s="29" t="str">
        <f t="shared" si="4"/>
        <v/>
      </c>
      <c r="F16" s="30" t="str">
        <f t="shared" si="5"/>
        <v/>
      </c>
      <c r="G16" s="31"/>
      <c r="H16" s="31" t="str">
        <f t="shared" si="6"/>
        <v/>
      </c>
      <c r="I16" s="32" t="str">
        <f t="shared" si="7"/>
        <v/>
      </c>
      <c r="J16" s="62"/>
      <c r="K16" s="78"/>
      <c r="L16" s="76"/>
    </row>
    <row r="17" spans="1:22" ht="15.6">
      <c r="A17" s="41" t="str">
        <v>Felician Sisters Convent</v>
      </c>
      <c r="B17" s="42" t="str">
        <v>NJ</v>
      </c>
      <c r="C17" s="35"/>
      <c r="D17" s="36"/>
      <c r="E17" s="36" t="str">
        <f t="shared" si="4"/>
        <v/>
      </c>
      <c r="F17" s="37" t="str">
        <f t="shared" si="5"/>
        <v/>
      </c>
      <c r="G17" s="38"/>
      <c r="H17" s="38" t="str">
        <f t="shared" si="6"/>
        <v/>
      </c>
      <c r="I17" s="37" t="str">
        <f t="shared" si="7"/>
        <v/>
      </c>
      <c r="J17" s="60"/>
      <c r="K17" s="75"/>
    </row>
    <row r="18" spans="1:22" ht="15.6">
      <c r="A18" s="43" t="str">
        <v>Sussex County Fairgrounds</v>
      </c>
      <c r="B18" s="40" t="str">
        <v>NJ</v>
      </c>
      <c r="C18" s="28"/>
      <c r="D18" s="29"/>
      <c r="E18" s="29" t="str">
        <f t="shared" si="4"/>
        <v/>
      </c>
      <c r="F18" s="30" t="str">
        <f t="shared" si="5"/>
        <v/>
      </c>
      <c r="G18" s="31"/>
      <c r="H18" s="31" t="str">
        <f t="shared" si="6"/>
        <v/>
      </c>
      <c r="I18" s="32" t="str">
        <f t="shared" si="7"/>
        <v/>
      </c>
      <c r="J18" s="62"/>
      <c r="K18" s="78"/>
      <c r="L18" s="76"/>
    </row>
    <row r="19" spans="1:22" ht="15.6">
      <c r="A19" s="41" t="str">
        <v>Gateway Church</v>
      </c>
      <c r="B19" s="42" t="str">
        <v>NJ</v>
      </c>
      <c r="C19" s="61"/>
      <c r="D19" s="36"/>
      <c r="E19" s="36" t="str">
        <f t="shared" si="4"/>
        <v/>
      </c>
      <c r="F19" s="37" t="str">
        <f t="shared" si="5"/>
        <v/>
      </c>
      <c r="G19" s="38"/>
      <c r="H19" s="38" t="str">
        <f t="shared" si="6"/>
        <v/>
      </c>
      <c r="I19" s="37" t="str">
        <f t="shared" si="7"/>
        <v/>
      </c>
      <c r="J19" s="60"/>
      <c r="K19" s="75"/>
      <c r="L19" s="76"/>
      <c r="M19" s="76"/>
      <c r="N19" s="76"/>
      <c r="O19" s="76"/>
      <c r="P19" s="76"/>
      <c r="Q19" s="76"/>
      <c r="R19" s="76"/>
      <c r="S19" s="76"/>
      <c r="T19" s="76"/>
      <c r="U19" s="76"/>
      <c r="V19" s="76"/>
    </row>
    <row r="20" spans="1:22" ht="15.6">
      <c r="A20" s="43" t="str">
        <v>Beaver Falls - Felician Sisters</v>
      </c>
      <c r="B20" s="40" t="str">
        <v>PA</v>
      </c>
      <c r="C20" s="28"/>
      <c r="D20" s="29"/>
      <c r="E20" s="29" t="str">
        <f t="shared" si="4"/>
        <v/>
      </c>
      <c r="F20" s="30" t="str">
        <f t="shared" si="5"/>
        <v/>
      </c>
      <c r="G20" s="31"/>
      <c r="H20" s="31" t="str">
        <f t="shared" si="6"/>
        <v/>
      </c>
      <c r="I20" s="32" t="str">
        <f t="shared" si="7"/>
        <v/>
      </c>
      <c r="J20" s="62"/>
      <c r="K20" s="78"/>
    </row>
    <row r="21" spans="1:22" ht="111" customHeight="1">
      <c r="A21" s="41" t="str">
        <v>Livonia - Felician Sisters Ground</v>
      </c>
      <c r="B21" s="42" t="str">
        <v>MI</v>
      </c>
      <c r="C21" s="35"/>
      <c r="D21" s="36"/>
      <c r="E21" s="36" t="str">
        <f t="shared" si="4"/>
        <v/>
      </c>
      <c r="F21" s="37" t="str">
        <f t="shared" si="5"/>
        <v/>
      </c>
      <c r="G21" s="38"/>
      <c r="H21" s="38" t="str">
        <f t="shared" si="6"/>
        <v/>
      </c>
      <c r="I21" s="37" t="str">
        <f t="shared" si="7"/>
        <v/>
      </c>
      <c r="J21" s="60"/>
      <c r="K21" s="75"/>
      <c r="L21" s="76"/>
      <c r="M21" s="76"/>
      <c r="N21" s="76"/>
      <c r="O21" s="76"/>
    </row>
    <row r="22" spans="1:22" ht="15.6">
      <c r="A22" s="43" t="str">
        <v>Livonia - Felician Sisters Roof</v>
      </c>
      <c r="B22" s="40" t="str">
        <v>MI</v>
      </c>
      <c r="C22" s="28"/>
      <c r="D22" s="29"/>
      <c r="E22" s="29" t="str">
        <f t="shared" si="4"/>
        <v/>
      </c>
      <c r="F22" s="30" t="str">
        <f t="shared" si="5"/>
        <v/>
      </c>
      <c r="G22" s="31"/>
      <c r="H22" s="31" t="str">
        <f t="shared" si="6"/>
        <v/>
      </c>
      <c r="I22" s="32" t="str">
        <f t="shared" si="7"/>
        <v/>
      </c>
      <c r="J22" s="62"/>
      <c r="K22" s="78"/>
    </row>
    <row r="23" spans="1:22" ht="15.6">
      <c r="A23" s="41" t="str">
        <v>Monmouth Worship Ctr</v>
      </c>
      <c r="B23" s="42" t="str">
        <v>NJ</v>
      </c>
      <c r="C23" s="35"/>
      <c r="D23" s="36"/>
      <c r="E23" s="36" t="str">
        <f t="shared" si="4"/>
        <v/>
      </c>
      <c r="F23" s="37" t="str">
        <f t="shared" si="5"/>
        <v/>
      </c>
      <c r="G23" s="38"/>
      <c r="H23" s="38" t="str">
        <f t="shared" si="6"/>
        <v/>
      </c>
      <c r="I23" s="37" t="str">
        <f t="shared" si="7"/>
        <v/>
      </c>
      <c r="J23" s="60"/>
      <c r="K23" s="59"/>
    </row>
    <row r="24" spans="1:22" ht="15.6">
      <c r="A24" s="43" t="str">
        <v xml:space="preserve"> Audubon - Senior Citizens United</v>
      </c>
      <c r="B24" s="40" t="str">
        <v>NJ</v>
      </c>
      <c r="C24" s="28"/>
      <c r="D24" s="29"/>
      <c r="E24" s="29" t="str">
        <f t="shared" si="4"/>
        <v/>
      </c>
      <c r="F24" s="30" t="str">
        <f t="shared" si="5"/>
        <v/>
      </c>
      <c r="G24" s="31"/>
      <c r="H24" s="31" t="str">
        <f t="shared" si="6"/>
        <v/>
      </c>
      <c r="I24" s="32" t="str">
        <f t="shared" si="7"/>
        <v/>
      </c>
      <c r="J24" s="62"/>
      <c r="K24" s="62"/>
    </row>
    <row r="25" spans="1:22" ht="196.5" customHeight="1">
      <c r="A25" s="41" t="str">
        <v>Hollister - PG&amp;E (Enerparc)</v>
      </c>
      <c r="B25" s="42" t="str">
        <v>CA</v>
      </c>
      <c r="C25" s="35"/>
      <c r="D25" s="36"/>
      <c r="E25" s="36" t="str">
        <f t="shared" si="4"/>
        <v/>
      </c>
      <c r="F25" s="37" t="str">
        <f t="shared" si="5"/>
        <v/>
      </c>
      <c r="G25" s="38"/>
      <c r="H25" s="38" t="str">
        <f t="shared" si="6"/>
        <v/>
      </c>
      <c r="I25" s="37" t="str">
        <f t="shared" si="7"/>
        <v/>
      </c>
      <c r="J25" s="60"/>
      <c r="K25" s="75"/>
      <c r="L25" s="76"/>
      <c r="M25" s="76"/>
      <c r="N25" s="76"/>
      <c r="O25" s="76"/>
    </row>
    <row r="26" spans="1:22" ht="15.6">
      <c r="A26" s="43" t="str">
        <v>Taos County - Kit Carson Electric Co-Op</v>
      </c>
      <c r="B26" s="40" t="str">
        <v>NM</v>
      </c>
      <c r="C26" s="28"/>
      <c r="D26" s="29"/>
      <c r="E26" s="29" t="str">
        <f t="shared" si="4"/>
        <v/>
      </c>
      <c r="F26" s="30" t="str">
        <f t="shared" si="5"/>
        <v/>
      </c>
      <c r="G26" s="31"/>
      <c r="H26" s="31" t="str">
        <f t="shared" si="6"/>
        <v/>
      </c>
      <c r="I26" s="32" t="str">
        <f t="shared" si="7"/>
        <v/>
      </c>
      <c r="J26" s="62"/>
      <c r="K26" s="78"/>
    </row>
    <row r="27" spans="1:22" ht="15.6">
      <c r="A27" s="41" t="str">
        <v>Commerce City - Adams City HS</v>
      </c>
      <c r="B27" s="42" t="str">
        <v>CO</v>
      </c>
      <c r="C27" s="35"/>
      <c r="D27" s="36"/>
      <c r="E27" s="36" t="str">
        <f t="shared" si="4"/>
        <v/>
      </c>
      <c r="F27" s="37" t="str">
        <f t="shared" si="5"/>
        <v/>
      </c>
      <c r="G27" s="38"/>
      <c r="H27" s="38" t="str">
        <f t="shared" si="6"/>
        <v/>
      </c>
      <c r="I27" s="37" t="str">
        <f t="shared" si="7"/>
        <v/>
      </c>
      <c r="J27" s="60"/>
      <c r="K27" s="59"/>
    </row>
    <row r="28" spans="1:22" ht="15.6">
      <c r="A28" s="43" t="str">
        <v>Commerce City - Adams City MS</v>
      </c>
      <c r="B28" s="40" t="str">
        <v>CO</v>
      </c>
      <c r="C28" s="28"/>
      <c r="D28" s="29"/>
      <c r="E28" s="29" t="str">
        <f t="shared" si="4"/>
        <v/>
      </c>
      <c r="F28" s="30" t="str">
        <f t="shared" si="5"/>
        <v/>
      </c>
      <c r="G28" s="31"/>
      <c r="H28" s="31" t="str">
        <f t="shared" si="6"/>
        <v/>
      </c>
      <c r="I28" s="32" t="str">
        <f t="shared" si="7"/>
        <v/>
      </c>
      <c r="J28" s="62"/>
      <c r="K28" s="62"/>
    </row>
    <row r="29" spans="1:22" ht="15.6">
      <c r="A29" s="41" t="str">
        <v>Commerce City - Central ES</v>
      </c>
      <c r="B29" s="42" t="str">
        <v>CO</v>
      </c>
      <c r="C29" s="35"/>
      <c r="D29" s="36"/>
      <c r="E29" s="36" t="str">
        <f t="shared" si="4"/>
        <v/>
      </c>
      <c r="F29" s="37" t="str">
        <f t="shared" si="5"/>
        <v/>
      </c>
      <c r="G29" s="38"/>
      <c r="H29" s="38" t="str">
        <f t="shared" si="6"/>
        <v/>
      </c>
      <c r="I29" s="37" t="str">
        <f t="shared" si="7"/>
        <v/>
      </c>
      <c r="J29" s="60"/>
      <c r="K29" s="59"/>
    </row>
    <row r="30" spans="1:22" ht="15.6">
      <c r="A30" s="43" t="str">
        <v>Commerce City - Dupont ES</v>
      </c>
      <c r="B30" s="40" t="str">
        <v>CO</v>
      </c>
      <c r="C30" s="28"/>
      <c r="D30" s="29"/>
      <c r="E30" s="29" t="str">
        <f t="shared" si="4"/>
        <v/>
      </c>
      <c r="F30" s="30" t="str">
        <f t="shared" si="5"/>
        <v/>
      </c>
      <c r="G30" s="31"/>
      <c r="H30" s="31" t="str">
        <f t="shared" si="6"/>
        <v/>
      </c>
      <c r="I30" s="32" t="str">
        <f t="shared" si="7"/>
        <v/>
      </c>
      <c r="J30" s="62"/>
      <c r="K30" s="62"/>
    </row>
    <row r="31" spans="1:22" ht="15.6">
      <c r="A31" s="41" t="str">
        <v>Commerce City - Educational Support Services</v>
      </c>
      <c r="B31" s="42" t="str">
        <v>CO</v>
      </c>
      <c r="C31" s="35"/>
      <c r="D31" s="36"/>
      <c r="E31" s="36" t="str">
        <f t="shared" si="4"/>
        <v/>
      </c>
      <c r="F31" s="37" t="str">
        <f t="shared" si="5"/>
        <v/>
      </c>
      <c r="G31" s="38"/>
      <c r="H31" s="38" t="str">
        <f t="shared" si="6"/>
        <v/>
      </c>
      <c r="I31" s="37" t="str">
        <f t="shared" si="7"/>
        <v/>
      </c>
      <c r="J31" s="60"/>
      <c r="K31" s="75"/>
    </row>
    <row r="32" spans="1:22" ht="15.6">
      <c r="A32" s="43" t="str">
        <v>Commerce City - Hanson ES</v>
      </c>
      <c r="B32" s="40" t="str">
        <v>CO</v>
      </c>
      <c r="C32" s="28"/>
      <c r="D32" s="29"/>
      <c r="E32" s="29" t="str">
        <f t="shared" si="4"/>
        <v/>
      </c>
      <c r="F32" s="30" t="str">
        <f t="shared" si="5"/>
        <v/>
      </c>
      <c r="G32" s="31"/>
      <c r="H32" s="31" t="str">
        <f t="shared" si="6"/>
        <v/>
      </c>
      <c r="I32" s="32" t="str">
        <f t="shared" si="7"/>
        <v/>
      </c>
      <c r="J32" s="62"/>
      <c r="K32" s="62"/>
    </row>
    <row r="33" spans="1:13" ht="15.6">
      <c r="A33" s="41" t="str">
        <v>Commerce City - Kemp ES</v>
      </c>
      <c r="B33" s="42" t="str">
        <v>CO</v>
      </c>
      <c r="C33" s="35"/>
      <c r="D33" s="36"/>
      <c r="E33" s="36" t="str">
        <f t="shared" si="4"/>
        <v/>
      </c>
      <c r="F33" s="37" t="str">
        <f t="shared" si="5"/>
        <v/>
      </c>
      <c r="G33" s="38"/>
      <c r="H33" s="38" t="str">
        <f t="shared" si="6"/>
        <v/>
      </c>
      <c r="I33" s="37" t="str">
        <f t="shared" si="7"/>
        <v/>
      </c>
      <c r="J33" s="60"/>
      <c r="K33" s="75"/>
      <c r="L33" s="76"/>
    </row>
    <row r="34" spans="1:13" ht="15.6">
      <c r="A34" s="43" t="str">
        <v>Commerce City -  Lester Arnold HS</v>
      </c>
      <c r="B34" s="40" t="str">
        <v>CO</v>
      </c>
      <c r="C34" s="28"/>
      <c r="D34" s="29"/>
      <c r="E34" s="29" t="str">
        <f t="shared" si="4"/>
        <v/>
      </c>
      <c r="F34" s="30" t="str">
        <f t="shared" si="5"/>
        <v/>
      </c>
      <c r="G34" s="31"/>
      <c r="H34" s="31" t="str">
        <f t="shared" si="6"/>
        <v/>
      </c>
      <c r="I34" s="32" t="str">
        <f t="shared" si="7"/>
        <v/>
      </c>
      <c r="J34" s="62"/>
      <c r="K34" s="62"/>
    </row>
    <row r="35" spans="1:13" ht="15.6">
      <c r="A35" s="41" t="str">
        <v>Commerce City - Monaco ES</v>
      </c>
      <c r="B35" s="42" t="str">
        <v>CO</v>
      </c>
      <c r="C35" s="35"/>
      <c r="D35" s="36"/>
      <c r="E35" s="36" t="str">
        <f t="shared" si="4"/>
        <v/>
      </c>
      <c r="F35" s="37" t="str">
        <f t="shared" si="5"/>
        <v/>
      </c>
      <c r="G35" s="38"/>
      <c r="H35" s="38" t="str">
        <f t="shared" si="6"/>
        <v/>
      </c>
      <c r="I35" s="37" t="str">
        <f t="shared" si="7"/>
        <v/>
      </c>
      <c r="J35" s="60"/>
      <c r="K35" s="59"/>
    </row>
    <row r="36" spans="1:13" ht="15.6">
      <c r="A36" s="43" t="str">
        <v>Denver - Northgate / Old Fort Logan ES</v>
      </c>
      <c r="B36" s="40" t="str">
        <v>CO</v>
      </c>
      <c r="C36" s="28"/>
      <c r="D36" s="29"/>
      <c r="E36" s="29" t="str">
        <f t="shared" si="4"/>
        <v/>
      </c>
      <c r="F36" s="30" t="str">
        <f t="shared" si="5"/>
        <v/>
      </c>
      <c r="G36" s="31"/>
      <c r="H36" s="31" t="str">
        <f t="shared" si="6"/>
        <v/>
      </c>
      <c r="I36" s="32" t="str">
        <f t="shared" si="7"/>
        <v/>
      </c>
      <c r="J36" s="62"/>
      <c r="K36" s="62"/>
    </row>
    <row r="37" spans="1:13" ht="15.6">
      <c r="A37" s="41" t="str">
        <v>Denver - Sheridan High School</v>
      </c>
      <c r="B37" s="42" t="str">
        <v>CO</v>
      </c>
      <c r="C37" s="35"/>
      <c r="D37" s="36"/>
      <c r="E37" s="36" t="str">
        <f t="shared" si="4"/>
        <v/>
      </c>
      <c r="F37" s="37" t="str">
        <f t="shared" si="5"/>
        <v/>
      </c>
      <c r="G37" s="38"/>
      <c r="H37" s="38" t="str">
        <f t="shared" si="6"/>
        <v/>
      </c>
      <c r="I37" s="37" t="str">
        <f t="shared" si="7"/>
        <v/>
      </c>
      <c r="J37" s="60"/>
      <c r="K37" s="59"/>
    </row>
    <row r="38" spans="1:13" ht="15.6">
      <c r="A38" s="43" t="str">
        <v>Englewood -  Alice Terry Elementary</v>
      </c>
      <c r="B38" s="40" t="str">
        <v>CO</v>
      </c>
      <c r="C38" s="28"/>
      <c r="D38" s="29"/>
      <c r="E38" s="29" t="str">
        <f t="shared" si="4"/>
        <v/>
      </c>
      <c r="F38" s="30" t="str">
        <f t="shared" si="5"/>
        <v/>
      </c>
      <c r="G38" s="31"/>
      <c r="H38" s="31" t="str">
        <f t="shared" si="6"/>
        <v/>
      </c>
      <c r="I38" s="32" t="str">
        <f t="shared" si="7"/>
        <v/>
      </c>
      <c r="J38" s="62"/>
      <c r="K38" s="62"/>
    </row>
    <row r="39" spans="1:13" ht="15.6">
      <c r="A39" s="41" t="str">
        <v>Englewood - Sheridan Middle School</v>
      </c>
      <c r="B39" s="42" t="str">
        <v>CO</v>
      </c>
      <c r="C39" s="35"/>
      <c r="D39" s="36"/>
      <c r="E39" s="36" t="str">
        <f t="shared" si="4"/>
        <v/>
      </c>
      <c r="F39" s="37" t="str">
        <f t="shared" si="5"/>
        <v/>
      </c>
      <c r="G39" s="38"/>
      <c r="H39" s="38" t="str">
        <f t="shared" si="6"/>
        <v/>
      </c>
      <c r="I39" s="37" t="str">
        <f t="shared" si="7"/>
        <v/>
      </c>
      <c r="J39" s="60"/>
      <c r="K39" s="75"/>
      <c r="L39" s="76"/>
    </row>
    <row r="40" spans="1:13" ht="15.6">
      <c r="A40" s="43" t="str">
        <v>Goshen - NIPSCO</v>
      </c>
      <c r="B40" s="40" t="str">
        <v>IN</v>
      </c>
      <c r="C40" s="28"/>
      <c r="D40" s="29"/>
      <c r="E40" s="29" t="str">
        <f t="shared" si="4"/>
        <v/>
      </c>
      <c r="F40" s="30" t="str">
        <f t="shared" si="5"/>
        <v/>
      </c>
      <c r="G40" s="31"/>
      <c r="H40" s="31" t="str">
        <f t="shared" si="6"/>
        <v/>
      </c>
      <c r="I40" s="32" t="str">
        <f t="shared" si="7"/>
        <v/>
      </c>
      <c r="J40" s="62"/>
      <c r="K40" s="78"/>
    </row>
    <row r="41" spans="1:13" ht="15.6">
      <c r="A41" s="41" t="str">
        <v>Alamogordo - City of Alamogordo - Effluent</v>
      </c>
      <c r="B41" s="42" t="str">
        <v>NM</v>
      </c>
      <c r="C41" s="35"/>
      <c r="D41" s="36"/>
      <c r="E41" s="36" t="str">
        <f t="shared" si="4"/>
        <v/>
      </c>
      <c r="F41" s="37" t="str">
        <f t="shared" si="5"/>
        <v/>
      </c>
      <c r="G41" s="38"/>
      <c r="H41" s="38" t="str">
        <f t="shared" si="6"/>
        <v/>
      </c>
      <c r="I41" s="37" t="str">
        <f t="shared" si="7"/>
        <v/>
      </c>
      <c r="J41" s="60"/>
      <c r="K41" s="75"/>
      <c r="L41" s="76"/>
    </row>
    <row r="42" spans="1:13" ht="15.6">
      <c r="A42" s="43" t="str">
        <v>Alamogordo - City of Alamogordo - WWTP</v>
      </c>
      <c r="B42" s="40" t="str">
        <v>NM</v>
      </c>
      <c r="C42" s="28"/>
      <c r="D42" s="29"/>
      <c r="E42" s="29" t="str">
        <f t="shared" si="4"/>
        <v/>
      </c>
      <c r="F42" s="30" t="str">
        <f t="shared" si="5"/>
        <v/>
      </c>
      <c r="G42" s="31"/>
      <c r="H42" s="31" t="str">
        <f t="shared" si="6"/>
        <v/>
      </c>
      <c r="I42" s="32" t="str">
        <f t="shared" si="7"/>
        <v/>
      </c>
      <c r="J42" s="62"/>
      <c r="K42" s="78"/>
      <c r="L42" s="76"/>
      <c r="M42" s="76"/>
    </row>
    <row r="43" spans="1:13" ht="15.6">
      <c r="A43" s="41" t="str">
        <v>Deming - Bilbo Booster</v>
      </c>
      <c r="B43" s="42" t="str">
        <v>NM</v>
      </c>
      <c r="C43" s="35"/>
      <c r="D43" s="36"/>
      <c r="E43" s="36" t="str">
        <f>IF(AND(ISNUMBER(C43),ISNUMBER(D43)), C43-D43, "")</f>
        <v/>
      </c>
      <c r="F43" s="37" t="str">
        <f>IFERROR(E43/D43, "")</f>
        <v/>
      </c>
      <c r="G43" s="114"/>
      <c r="H43" s="38" t="str">
        <f>IF(AND(ISNUMBER(C43),ISNUMBER(G43)), C43-G43, "")</f>
        <v/>
      </c>
      <c r="I43" s="37" t="str">
        <f>IFERROR(H43/G43, "")</f>
        <v/>
      </c>
      <c r="J43" s="60"/>
      <c r="K43" s="75"/>
    </row>
    <row r="44" spans="1:13" ht="15.6">
      <c r="A44" s="43" t="str">
        <v>Deming - Bilbo Well</v>
      </c>
      <c r="B44" s="40" t="str">
        <v>NM</v>
      </c>
      <c r="C44" s="28"/>
      <c r="D44" s="29"/>
      <c r="E44" s="29" t="str">
        <f t="shared" si="4"/>
        <v/>
      </c>
      <c r="F44" s="30" t="str">
        <f t="shared" si="5"/>
        <v/>
      </c>
      <c r="G44" s="31"/>
      <c r="H44" s="31" t="str">
        <f t="shared" si="6"/>
        <v/>
      </c>
      <c r="I44" s="32" t="str">
        <f t="shared" si="7"/>
        <v/>
      </c>
      <c r="J44" s="62"/>
      <c r="K44" s="78"/>
    </row>
    <row r="45" spans="1:13" ht="15.6">
      <c r="A45" s="41" t="str">
        <v>Deming - WWTP</v>
      </c>
      <c r="B45" s="42" t="str">
        <v>NM</v>
      </c>
      <c r="C45" s="35"/>
      <c r="D45" s="36"/>
      <c r="E45" s="36" t="str">
        <f t="shared" si="4"/>
        <v/>
      </c>
      <c r="F45" s="37" t="str">
        <f t="shared" si="5"/>
        <v/>
      </c>
      <c r="G45" s="38"/>
      <c r="H45" s="38" t="str">
        <f t="shared" si="6"/>
        <v/>
      </c>
      <c r="I45" s="37" t="str">
        <f t="shared" si="7"/>
        <v/>
      </c>
      <c r="J45" s="60"/>
      <c r="K45" s="75"/>
      <c r="L45" s="76"/>
      <c r="M45" s="76"/>
    </row>
    <row r="46" spans="1:13" ht="15.6">
      <c r="A46" s="43" t="str">
        <v>Truth or Consequences - Walmart</v>
      </c>
      <c r="B46" s="40" t="str">
        <v>NM</v>
      </c>
      <c r="C46" s="28"/>
      <c r="D46" s="29"/>
      <c r="E46" s="29" t="str">
        <f t="shared" si="4"/>
        <v/>
      </c>
      <c r="F46" s="30" t="str">
        <f t="shared" si="5"/>
        <v/>
      </c>
      <c r="G46" s="31"/>
      <c r="H46" s="31" t="str">
        <f t="shared" si="6"/>
        <v/>
      </c>
      <c r="I46" s="32" t="str">
        <f t="shared" si="7"/>
        <v/>
      </c>
      <c r="J46" s="62"/>
      <c r="K46" s="78"/>
      <c r="L46" s="76"/>
      <c r="M46" s="76"/>
    </row>
    <row r="47" spans="1:13" ht="15.6">
      <c r="A47" s="41" t="str">
        <v>CA: Stockton - SUSD - Merlo</v>
      </c>
      <c r="B47" s="42" t="str">
        <v>CA</v>
      </c>
      <c r="C47" s="35"/>
      <c r="D47" s="36"/>
      <c r="E47" s="36" t="str">
        <f t="shared" si="4"/>
        <v/>
      </c>
      <c r="F47" s="37" t="str">
        <f t="shared" si="5"/>
        <v/>
      </c>
      <c r="G47" s="38"/>
      <c r="H47" s="38" t="str">
        <f t="shared" si="6"/>
        <v/>
      </c>
      <c r="I47" s="37" t="str">
        <f t="shared" si="7"/>
        <v/>
      </c>
      <c r="J47" s="60"/>
      <c r="K47" s="75"/>
      <c r="L47" s="76"/>
    </row>
    <row r="48" spans="1:13" ht="15.6">
      <c r="A48" s="43" t="str">
        <v>Stockton Unified School Dist. - Bush Elementary</v>
      </c>
      <c r="B48" s="40" t="str">
        <v>CA</v>
      </c>
      <c r="C48" s="28"/>
      <c r="D48" s="29"/>
      <c r="E48" s="29" t="str">
        <f t="shared" si="4"/>
        <v/>
      </c>
      <c r="F48" s="30" t="str">
        <f t="shared" si="5"/>
        <v/>
      </c>
      <c r="G48" s="31"/>
      <c r="H48" s="31" t="str">
        <f t="shared" si="6"/>
        <v/>
      </c>
      <c r="I48" s="32" t="str">
        <f t="shared" si="7"/>
        <v/>
      </c>
      <c r="J48" s="62"/>
      <c r="K48" s="78"/>
      <c r="L48" s="76"/>
    </row>
    <row r="49" spans="1:14" ht="15.6">
      <c r="A49" s="41" t="str">
        <v>CA: Stockton - SUSD - Marshall JHS</v>
      </c>
      <c r="B49" s="42" t="str">
        <v>CA</v>
      </c>
      <c r="C49" s="35"/>
      <c r="D49" s="36"/>
      <c r="E49" s="36" t="str">
        <f t="shared" si="4"/>
        <v/>
      </c>
      <c r="F49" s="37" t="str">
        <f t="shared" si="5"/>
        <v/>
      </c>
      <c r="G49" s="38"/>
      <c r="H49" s="38" t="str">
        <f t="shared" si="6"/>
        <v/>
      </c>
      <c r="I49" s="37" t="str">
        <f t="shared" si="7"/>
        <v/>
      </c>
      <c r="J49" s="60"/>
      <c r="K49" s="75"/>
    </row>
    <row r="50" spans="1:14" ht="15.6">
      <c r="A50" s="43" t="str">
        <v>CA: Stockton - SUSD - Hong-Kingston ES</v>
      </c>
      <c r="B50" s="40" t="str">
        <v>CA</v>
      </c>
      <c r="C50" s="28"/>
      <c r="D50" s="29"/>
      <c r="E50" s="29" t="str">
        <f t="shared" si="4"/>
        <v/>
      </c>
      <c r="F50" s="30" t="str">
        <f t="shared" si="5"/>
        <v/>
      </c>
      <c r="G50" s="31"/>
      <c r="H50" s="31" t="str">
        <f t="shared" si="6"/>
        <v/>
      </c>
      <c r="I50" s="32" t="str">
        <f t="shared" si="7"/>
        <v/>
      </c>
      <c r="J50" s="62"/>
      <c r="K50" s="78"/>
    </row>
    <row r="51" spans="1:14" ht="15.6">
      <c r="A51" s="41" t="str">
        <v>CA: Stockton - SUSD - Hamilton ES</v>
      </c>
      <c r="B51" s="42" t="str">
        <v>CA</v>
      </c>
      <c r="C51" s="35"/>
      <c r="D51" s="36"/>
      <c r="E51" s="36" t="str">
        <f t="shared" si="4"/>
        <v/>
      </c>
      <c r="F51" s="37" t="str">
        <f t="shared" si="5"/>
        <v/>
      </c>
      <c r="G51" s="38"/>
      <c r="H51" s="38" t="str">
        <f t="shared" si="6"/>
        <v/>
      </c>
      <c r="I51" s="37" t="str">
        <f t="shared" si="7"/>
        <v/>
      </c>
      <c r="J51" s="60"/>
      <c r="K51" s="75"/>
    </row>
    <row r="52" spans="1:14" ht="15.6">
      <c r="A52" s="43" t="str">
        <v>CA: Stockton - SUSD - Franklin - North</v>
      </c>
      <c r="B52" s="40" t="str">
        <v>CA</v>
      </c>
      <c r="C52" s="28"/>
      <c r="D52" s="29"/>
      <c r="E52" s="29" t="str">
        <f t="shared" si="4"/>
        <v/>
      </c>
      <c r="F52" s="30" t="str">
        <f t="shared" si="5"/>
        <v/>
      </c>
      <c r="G52" s="31"/>
      <c r="H52" s="31" t="str">
        <f t="shared" si="6"/>
        <v/>
      </c>
      <c r="I52" s="32" t="str">
        <f t="shared" si="7"/>
        <v/>
      </c>
      <c r="J52" s="62"/>
      <c r="K52" s="78"/>
      <c r="L52" s="76"/>
      <c r="M52" s="76"/>
      <c r="N52" s="76"/>
    </row>
    <row r="53" spans="1:14" ht="15.6">
      <c r="A53" s="41" t="str">
        <v>Stockton Unified School Dist. - Fillmore Elementary</v>
      </c>
      <c r="B53" s="42" t="str">
        <v>CA</v>
      </c>
      <c r="C53" s="35"/>
      <c r="D53" s="36"/>
      <c r="E53" s="36" t="str">
        <f t="shared" si="4"/>
        <v/>
      </c>
      <c r="F53" s="37" t="str">
        <f t="shared" si="5"/>
        <v/>
      </c>
      <c r="G53" s="38"/>
      <c r="H53" s="38" t="str">
        <f t="shared" si="6"/>
        <v/>
      </c>
      <c r="I53" s="37" t="str">
        <f t="shared" si="7"/>
        <v/>
      </c>
      <c r="J53" s="60"/>
      <c r="K53" s="75"/>
    </row>
    <row r="54" spans="1:14" ht="15.6">
      <c r="A54" s="43" t="str">
        <v>CA: Stockton - SUSD - El Dorado ES</v>
      </c>
      <c r="B54" s="40" t="str">
        <v>CA</v>
      </c>
      <c r="C54" s="28"/>
      <c r="D54" s="29"/>
      <c r="E54" s="29" t="str">
        <f t="shared" si="4"/>
        <v/>
      </c>
      <c r="F54" s="30" t="str">
        <f t="shared" si="5"/>
        <v/>
      </c>
      <c r="G54" s="31"/>
      <c r="H54" s="31" t="str">
        <f t="shared" si="6"/>
        <v/>
      </c>
      <c r="I54" s="32" t="str">
        <f t="shared" si="7"/>
        <v/>
      </c>
      <c r="J54" s="62"/>
      <c r="K54" s="78"/>
    </row>
    <row r="55" spans="1:14" ht="15.6">
      <c r="A55" s="41" t="str">
        <v>CA: Stockton - SUSD - Edison HS</v>
      </c>
      <c r="B55" s="42" t="str">
        <v>CA</v>
      </c>
      <c r="C55" s="35"/>
      <c r="D55" s="36"/>
      <c r="E55" s="36" t="str">
        <f t="shared" si="4"/>
        <v/>
      </c>
      <c r="F55" s="37" t="str">
        <f t="shared" si="5"/>
        <v/>
      </c>
      <c r="G55" s="38"/>
      <c r="H55" s="38" t="str">
        <f t="shared" si="6"/>
        <v/>
      </c>
      <c r="I55" s="37" t="str">
        <f t="shared" si="7"/>
        <v/>
      </c>
      <c r="J55" s="60"/>
      <c r="K55" s="75"/>
      <c r="L55" s="76"/>
      <c r="M55" s="76"/>
    </row>
    <row r="56" spans="1:14" ht="15.6">
      <c r="A56" s="43" t="str">
        <v>CA: Stockton - SUSD - Chavez HS - Large</v>
      </c>
      <c r="B56" s="40" t="str">
        <v>CA</v>
      </c>
      <c r="C56" s="28"/>
      <c r="D56" s="29"/>
      <c r="E56" s="29" t="str">
        <f t="shared" si="4"/>
        <v/>
      </c>
      <c r="F56" s="30" t="str">
        <f t="shared" si="5"/>
        <v/>
      </c>
      <c r="G56" s="31"/>
      <c r="H56" s="31" t="str">
        <f t="shared" si="6"/>
        <v/>
      </c>
      <c r="I56" s="32" t="str">
        <f t="shared" si="7"/>
        <v/>
      </c>
      <c r="J56" s="62"/>
      <c r="K56" s="78"/>
    </row>
    <row r="57" spans="1:14" ht="15.6">
      <c r="A57" s="41" t="str">
        <v>CA: San Jose - GE Mobile Water</v>
      </c>
      <c r="B57" s="42" t="str">
        <v>CA</v>
      </c>
      <c r="C57" s="35"/>
      <c r="D57" s="36"/>
      <c r="E57" s="36" t="str">
        <f t="shared" si="4"/>
        <v/>
      </c>
      <c r="F57" s="37" t="str">
        <f t="shared" si="5"/>
        <v/>
      </c>
      <c r="G57" s="38"/>
      <c r="H57" s="38" t="str">
        <f t="shared" si="6"/>
        <v/>
      </c>
      <c r="I57" s="37" t="str">
        <f t="shared" si="7"/>
        <v/>
      </c>
      <c r="J57" s="60"/>
      <c r="K57" s="75"/>
    </row>
    <row r="58" spans="1:14" ht="15.6">
      <c r="A58" s="43" t="str">
        <v>CA: San Marcos - Vallecitos Water - Lift Station</v>
      </c>
      <c r="B58" s="40" t="str">
        <v>CA</v>
      </c>
      <c r="C58" s="28"/>
      <c r="D58" s="29"/>
      <c r="E58" s="29" t="str">
        <f t="shared" si="4"/>
        <v/>
      </c>
      <c r="F58" s="30" t="str">
        <f t="shared" si="5"/>
        <v/>
      </c>
      <c r="G58" s="31"/>
      <c r="H58" s="31" t="str">
        <f t="shared" si="6"/>
        <v/>
      </c>
      <c r="I58" s="32" t="str">
        <f t="shared" si="7"/>
        <v/>
      </c>
      <c r="J58" s="62"/>
      <c r="K58" s="62"/>
    </row>
    <row r="59" spans="1:14" ht="15.6">
      <c r="A59" s="41" t="str">
        <v>CA: San Marcos - Vallecitos Water - Twin Oaks Reservoir</v>
      </c>
      <c r="B59" s="42" t="str">
        <v>CA</v>
      </c>
      <c r="C59" s="35"/>
      <c r="D59" s="36"/>
      <c r="E59" s="36" t="str">
        <f t="shared" si="4"/>
        <v/>
      </c>
      <c r="F59" s="37" t="str">
        <f t="shared" si="5"/>
        <v/>
      </c>
      <c r="G59" s="38"/>
      <c r="H59" s="38" t="str">
        <f t="shared" si="6"/>
        <v/>
      </c>
      <c r="I59" s="37" t="str">
        <f t="shared" si="7"/>
        <v/>
      </c>
      <c r="J59" s="60"/>
      <c r="K59" s="75"/>
    </row>
    <row r="60" spans="1:14" ht="15.6">
      <c r="A60" s="43" t="str">
        <v>CA: Stockton - SUSD - Wilhelmina Henry ES</v>
      </c>
      <c r="B60" s="40" t="str">
        <v>CA</v>
      </c>
      <c r="C60" s="28"/>
      <c r="D60" s="29"/>
      <c r="E60" s="29" t="str">
        <f t="shared" si="4"/>
        <v/>
      </c>
      <c r="F60" s="30" t="str">
        <f t="shared" si="5"/>
        <v/>
      </c>
      <c r="G60" s="31"/>
      <c r="H60" s="31" t="str">
        <f t="shared" si="6"/>
        <v/>
      </c>
      <c r="I60" s="32" t="str">
        <f t="shared" si="7"/>
        <v/>
      </c>
      <c r="J60" s="62"/>
      <c r="K60" s="78"/>
    </row>
    <row r="61" spans="1:14" ht="15.6">
      <c r="A61" s="41" t="str">
        <v>Stockton Unified School Dist. - Franklin (North)</v>
      </c>
      <c r="B61" s="42" t="str">
        <v>CA</v>
      </c>
      <c r="C61" s="35"/>
      <c r="D61" s="36"/>
      <c r="E61" s="36" t="str">
        <f t="shared" si="4"/>
        <v/>
      </c>
      <c r="F61" s="37" t="str">
        <f t="shared" si="5"/>
        <v/>
      </c>
      <c r="G61" s="38"/>
      <c r="H61" s="38" t="str">
        <f t="shared" si="6"/>
        <v/>
      </c>
      <c r="I61" s="37" t="str">
        <f t="shared" si="7"/>
        <v/>
      </c>
      <c r="J61" s="60"/>
      <c r="K61" s="75"/>
      <c r="L61" s="76"/>
      <c r="M61" s="76"/>
      <c r="N61" s="76"/>
    </row>
    <row r="62" spans="1:14" ht="15.6">
      <c r="A62" s="43" t="str">
        <v>CA: Stockton - SUSD - Franklin - South</v>
      </c>
      <c r="B62" s="40" t="str">
        <v>CA</v>
      </c>
      <c r="C62" s="28"/>
      <c r="D62" s="29"/>
      <c r="E62" s="29" t="str">
        <f t="shared" si="4"/>
        <v/>
      </c>
      <c r="F62" s="30" t="str">
        <f t="shared" si="5"/>
        <v/>
      </c>
      <c r="G62" s="31"/>
      <c r="H62" s="31" t="str">
        <f t="shared" si="6"/>
        <v/>
      </c>
      <c r="I62" s="32" t="str">
        <f t="shared" si="7"/>
        <v/>
      </c>
      <c r="J62" s="62"/>
      <c r="K62" s="78"/>
      <c r="L62" s="76"/>
      <c r="M62" s="76"/>
    </row>
    <row r="63" spans="1:14" ht="15.6">
      <c r="A63" s="41" t="str">
        <v>CA: Stockton - SUSD - Chavez HS - Small</v>
      </c>
      <c r="B63" s="42" t="str">
        <v>CA</v>
      </c>
      <c r="C63" s="35"/>
      <c r="D63" s="36"/>
      <c r="E63" s="36" t="str">
        <f t="shared" si="4"/>
        <v/>
      </c>
      <c r="F63" s="37" t="str">
        <f t="shared" si="5"/>
        <v/>
      </c>
      <c r="G63" s="38"/>
      <c r="H63" s="38" t="str">
        <f t="shared" si="6"/>
        <v/>
      </c>
      <c r="I63" s="37" t="str">
        <f t="shared" si="7"/>
        <v/>
      </c>
      <c r="J63" s="60"/>
      <c r="K63" s="75"/>
    </row>
    <row r="64" spans="1:14" ht="15.6">
      <c r="A64" s="43" t="str">
        <v>CA: Stockton - SUSD - Facilities</v>
      </c>
      <c r="B64" s="40" t="str">
        <v>CA</v>
      </c>
      <c r="C64" s="28"/>
      <c r="D64" s="29"/>
      <c r="E64" s="29" t="str">
        <f t="shared" si="4"/>
        <v/>
      </c>
      <c r="F64" s="30" t="str">
        <f t="shared" si="5"/>
        <v/>
      </c>
      <c r="G64" s="31"/>
      <c r="H64" s="31" t="str">
        <f t="shared" si="6"/>
        <v/>
      </c>
      <c r="I64" s="32" t="str">
        <f t="shared" si="7"/>
        <v/>
      </c>
      <c r="J64" s="62"/>
      <c r="K64" s="78"/>
    </row>
    <row r="65" spans="1:14" ht="15.6">
      <c r="A65" s="41" t="str">
        <v>CA: Stockton - SUSD - Harrison</v>
      </c>
      <c r="B65" s="42" t="str">
        <v>CA</v>
      </c>
      <c r="C65" s="35"/>
      <c r="D65" s="36"/>
      <c r="E65" s="36" t="str">
        <f t="shared" si="4"/>
        <v/>
      </c>
      <c r="F65" s="37" t="str">
        <f t="shared" si="5"/>
        <v/>
      </c>
      <c r="G65" s="38"/>
      <c r="H65" s="38" t="str">
        <f t="shared" si="6"/>
        <v/>
      </c>
      <c r="I65" s="37" t="str">
        <f t="shared" si="7"/>
        <v/>
      </c>
      <c r="J65" s="60"/>
      <c r="K65" s="75"/>
    </row>
    <row r="66" spans="1:14" ht="15.6">
      <c r="A66" s="43" t="str">
        <v>CA: Stockton - SUSD - Commodore Skills School</v>
      </c>
      <c r="B66" s="40" t="str">
        <v>CA</v>
      </c>
      <c r="C66" s="28"/>
      <c r="D66" s="29"/>
      <c r="E66" s="29" t="str">
        <f t="shared" si="4"/>
        <v/>
      </c>
      <c r="F66" s="30" t="str">
        <f t="shared" si="5"/>
        <v/>
      </c>
      <c r="G66" s="31"/>
      <c r="H66" s="31" t="str">
        <f t="shared" si="6"/>
        <v/>
      </c>
      <c r="I66" s="32" t="str">
        <f t="shared" si="7"/>
        <v/>
      </c>
      <c r="J66" s="62"/>
      <c r="K66" s="78"/>
      <c r="L66" s="76"/>
      <c r="M66" s="76"/>
    </row>
    <row r="67" spans="1:14" ht="15.6">
      <c r="A67" s="41" t="str">
        <v>CA: Stockton - SUSD - Nightingale ES</v>
      </c>
      <c r="B67" s="42" t="str">
        <v>CA</v>
      </c>
      <c r="C67" s="35"/>
      <c r="D67" s="36"/>
      <c r="E67" s="36" t="str">
        <f t="shared" si="4"/>
        <v/>
      </c>
      <c r="F67" s="37" t="str">
        <f t="shared" si="5"/>
        <v/>
      </c>
      <c r="G67" s="38"/>
      <c r="H67" s="38" t="str">
        <f t="shared" si="6"/>
        <v/>
      </c>
      <c r="I67" s="37" t="str">
        <f t="shared" si="7"/>
        <v/>
      </c>
      <c r="J67" s="60"/>
      <c r="K67" s="75"/>
    </row>
    <row r="68" spans="1:14" ht="15.6">
      <c r="A68" s="43" t="str">
        <v>CA: Stockton - SUSD - Weber Institute</v>
      </c>
      <c r="B68" s="40" t="str">
        <v>CA</v>
      </c>
      <c r="C68" s="28"/>
      <c r="D68" s="29"/>
      <c r="E68" s="29" t="str">
        <f t="shared" si="4"/>
        <v/>
      </c>
      <c r="F68" s="30" t="str">
        <f t="shared" si="5"/>
        <v/>
      </c>
      <c r="G68" s="31"/>
      <c r="H68" s="31" t="str">
        <f t="shared" si="6"/>
        <v/>
      </c>
      <c r="I68" s="32" t="str">
        <f t="shared" si="7"/>
        <v/>
      </c>
      <c r="J68" s="62"/>
      <c r="K68" s="78"/>
    </row>
    <row r="69" spans="1:14" ht="15.6">
      <c r="A69" s="41" t="str">
        <v>CA: Stockton - SUSD - Warehouse</v>
      </c>
      <c r="B69" s="42" t="str">
        <v>CA</v>
      </c>
      <c r="C69" s="35"/>
      <c r="D69" s="36"/>
      <c r="E69" s="36" t="str">
        <f t="shared" si="4"/>
        <v/>
      </c>
      <c r="F69" s="37" t="str">
        <f t="shared" si="5"/>
        <v/>
      </c>
      <c r="G69" s="38"/>
      <c r="H69" s="38" t="str">
        <f t="shared" si="6"/>
        <v/>
      </c>
      <c r="I69" s="37" t="str">
        <f t="shared" si="7"/>
        <v/>
      </c>
      <c r="J69" s="60"/>
      <c r="K69" s="75"/>
    </row>
    <row r="70" spans="1:14" ht="15.6">
      <c r="A70" s="43" t="str">
        <v>CA: Stockton - SUSD - Walton Special Center</v>
      </c>
      <c r="B70" s="40" t="str">
        <v>CA</v>
      </c>
      <c r="C70" s="28"/>
      <c r="D70" s="29"/>
      <c r="E70" s="29" t="str">
        <f t="shared" si="4"/>
        <v/>
      </c>
      <c r="F70" s="30" t="str">
        <f t="shared" si="5"/>
        <v/>
      </c>
      <c r="G70" s="31"/>
      <c r="H70" s="31" t="str">
        <f t="shared" si="6"/>
        <v/>
      </c>
      <c r="I70" s="32" t="str">
        <f t="shared" si="7"/>
        <v/>
      </c>
      <c r="J70" s="62"/>
      <c r="K70" s="78"/>
      <c r="L70" s="76"/>
    </row>
    <row r="71" spans="1:14" ht="15.6">
      <c r="A71" s="41" t="str">
        <v>CA: Stockton - SUSD - Stagg HS</v>
      </c>
      <c r="B71" s="42" t="str">
        <v>CA</v>
      </c>
      <c r="C71" s="35"/>
      <c r="D71" s="36"/>
      <c r="E71" s="36" t="str">
        <f t="shared" si="4"/>
        <v/>
      </c>
      <c r="F71" s="37" t="str">
        <f t="shared" si="5"/>
        <v/>
      </c>
      <c r="G71" s="38"/>
      <c r="H71" s="38" t="str">
        <f t="shared" si="6"/>
        <v/>
      </c>
      <c r="I71" s="37" t="str">
        <f t="shared" si="7"/>
        <v/>
      </c>
      <c r="J71" s="60"/>
      <c r="K71" s="75"/>
      <c r="L71" s="76"/>
    </row>
    <row r="72" spans="1:14" ht="15.6">
      <c r="A72" s="43" t="str">
        <v>CA: Stockton - SUSD - School for Adults</v>
      </c>
      <c r="B72" s="40" t="str">
        <v>CA</v>
      </c>
      <c r="C72" s="28"/>
      <c r="D72" s="29"/>
      <c r="E72" s="29" t="str">
        <f t="shared" si="4"/>
        <v/>
      </c>
      <c r="F72" s="30" t="str">
        <f t="shared" si="5"/>
        <v/>
      </c>
      <c r="G72" s="31"/>
      <c r="H72" s="31" t="str">
        <f t="shared" si="6"/>
        <v/>
      </c>
      <c r="I72" s="32" t="str">
        <f t="shared" si="7"/>
        <v/>
      </c>
      <c r="J72" s="62"/>
      <c r="K72" s="78"/>
    </row>
    <row r="73" spans="1:14" ht="15.6">
      <c r="A73" s="41" t="str">
        <v>CA: Stockton - SUSD - San Joaquin</v>
      </c>
      <c r="B73" s="42" t="str">
        <v>CA</v>
      </c>
      <c r="C73" s="35"/>
      <c r="D73" s="36"/>
      <c r="E73" s="36" t="str">
        <f t="shared" si="4"/>
        <v/>
      </c>
      <c r="F73" s="37" t="str">
        <f t="shared" si="5"/>
        <v/>
      </c>
      <c r="G73" s="38"/>
      <c r="H73" s="38" t="str">
        <f t="shared" si="6"/>
        <v/>
      </c>
      <c r="I73" s="37" t="str">
        <f t="shared" si="7"/>
        <v/>
      </c>
      <c r="J73" s="60"/>
      <c r="K73" s="75"/>
    </row>
    <row r="74" spans="1:14" ht="15.6">
      <c r="A74" s="43" t="str">
        <v>CA: Stockton - SUSD - Rio Calaveras</v>
      </c>
      <c r="B74" s="40" t="str">
        <v>CA</v>
      </c>
      <c r="C74" s="28"/>
      <c r="D74" s="29"/>
      <c r="E74" s="29" t="str">
        <f t="shared" si="4"/>
        <v/>
      </c>
      <c r="F74" s="30" t="str">
        <f t="shared" si="5"/>
        <v/>
      </c>
      <c r="G74" s="31"/>
      <c r="H74" s="31" t="str">
        <f t="shared" si="6"/>
        <v/>
      </c>
      <c r="I74" s="32" t="str">
        <f t="shared" si="7"/>
        <v/>
      </c>
      <c r="J74" s="62"/>
      <c r="K74" s="78"/>
    </row>
    <row r="75" spans="1:14" ht="15.6">
      <c r="A75" s="41" t="str">
        <v>CA: Stockton - SUSD - Peyton</v>
      </c>
      <c r="B75" s="42" t="str">
        <v>CA</v>
      </c>
      <c r="C75" s="35"/>
      <c r="D75" s="36"/>
      <c r="E75" s="36" t="str">
        <f t="shared" si="4"/>
        <v/>
      </c>
      <c r="F75" s="37" t="str">
        <f t="shared" si="5"/>
        <v/>
      </c>
      <c r="G75" s="38"/>
      <c r="H75" s="38" t="str">
        <f t="shared" si="6"/>
        <v/>
      </c>
      <c r="I75" s="37" t="str">
        <f t="shared" si="7"/>
        <v/>
      </c>
      <c r="J75" s="60"/>
      <c r="K75" s="75"/>
    </row>
    <row r="76" spans="1:14" ht="15.6">
      <c r="A76" s="43" t="str">
        <v>TX: Barnhart - 42917 Ranch RD 2469</v>
      </c>
      <c r="B76" s="40" t="str">
        <v>TX</v>
      </c>
      <c r="C76" s="28"/>
      <c r="D76" s="29"/>
      <c r="E76" s="29" t="str">
        <f t="shared" si="4"/>
        <v/>
      </c>
      <c r="F76" s="30" t="str">
        <f t="shared" si="5"/>
        <v/>
      </c>
      <c r="G76" s="31"/>
      <c r="H76" s="31" t="str">
        <f t="shared" si="6"/>
        <v/>
      </c>
      <c r="I76" s="32" t="str">
        <f t="shared" si="7"/>
        <v/>
      </c>
      <c r="J76" s="62"/>
      <c r="K76" s="78"/>
      <c r="L76" s="76"/>
      <c r="M76" s="76"/>
      <c r="N76" s="76"/>
    </row>
    <row r="77" spans="1:14" ht="15.6">
      <c r="A77" s="41" t="str">
        <v>AZ: San Manuel - Senior &amp; Junior HS</v>
      </c>
      <c r="B77" s="42" t="str">
        <v>AZ</v>
      </c>
      <c r="C77" s="35"/>
      <c r="D77" s="36"/>
      <c r="E77" s="36" t="str">
        <f t="shared" ref="E77:E85" si="8">IF(AND(ISNUMBER(C77),ISNUMBER(D77)), C77-D77, "")</f>
        <v/>
      </c>
      <c r="F77" s="37" t="str">
        <f t="shared" ref="F77:F85" si="9">IFERROR(E77/D77, "")</f>
        <v/>
      </c>
      <c r="G77" s="38"/>
      <c r="H77" s="38" t="str">
        <f t="shared" ref="H77:H85" si="10">IF(AND(ISNUMBER(C77),ISNUMBER(G77)), C77-G77, "")</f>
        <v/>
      </c>
      <c r="I77" s="37" t="str">
        <f t="shared" si="7"/>
        <v/>
      </c>
      <c r="J77" s="60"/>
      <c r="K77" s="75"/>
      <c r="L77" s="76"/>
      <c r="M77" s="76"/>
    </row>
    <row r="78" spans="1:14" ht="15.6">
      <c r="A78" s="43" t="str">
        <v>AZ: Sierra Vista - Colonel Smith MS</v>
      </c>
      <c r="B78" s="40" t="str">
        <v>AZ</v>
      </c>
      <c r="C78" s="28"/>
      <c r="D78" s="29"/>
      <c r="E78" s="29" t="str">
        <f t="shared" si="8"/>
        <v/>
      </c>
      <c r="F78" s="30" t="str">
        <f t="shared" si="9"/>
        <v/>
      </c>
      <c r="G78" s="31"/>
      <c r="H78" s="31" t="str">
        <f t="shared" si="10"/>
        <v/>
      </c>
      <c r="I78" s="32" t="str">
        <f t="shared" ref="I78:I85" si="11">IFERROR(H78/G78, "")</f>
        <v/>
      </c>
      <c r="J78" s="62"/>
      <c r="K78" s="78"/>
    </row>
    <row r="79" spans="1:14" ht="15.6">
      <c r="A79" s="41" t="str">
        <v>AZ: Sierra Vista - Colonel Johnston ES</v>
      </c>
      <c r="B79" s="42" t="str">
        <v>AZ</v>
      </c>
      <c r="C79" s="35"/>
      <c r="D79" s="36"/>
      <c r="E79" s="36" t="str">
        <f t="shared" si="8"/>
        <v/>
      </c>
      <c r="F79" s="37" t="str">
        <f t="shared" si="9"/>
        <v/>
      </c>
      <c r="G79" s="38"/>
      <c r="H79" s="38" t="str">
        <f t="shared" si="10"/>
        <v/>
      </c>
      <c r="I79" s="37" t="str">
        <f t="shared" si="11"/>
        <v/>
      </c>
      <c r="J79" s="60"/>
      <c r="K79" s="75"/>
    </row>
    <row r="80" spans="1:14" ht="15.6">
      <c r="A80" s="43" t="str">
        <v>NH: Dover - Dover HS</v>
      </c>
      <c r="B80" s="40" t="str">
        <v>NH</v>
      </c>
      <c r="C80" s="28"/>
      <c r="D80" s="29"/>
      <c r="E80" s="29" t="str">
        <f t="shared" si="8"/>
        <v/>
      </c>
      <c r="F80" s="30" t="str">
        <f t="shared" si="9"/>
        <v/>
      </c>
      <c r="G80" s="31"/>
      <c r="H80" s="31" t="str">
        <f t="shared" si="10"/>
        <v/>
      </c>
      <c r="I80" s="32" t="str">
        <f t="shared" si="11"/>
        <v/>
      </c>
      <c r="J80" s="62"/>
      <c r="K80" s="78"/>
    </row>
    <row r="81" spans="1:13" ht="15.6">
      <c r="A81" s="41" t="str">
        <v>MA: Somerville - 30 Inner Belt Rd</v>
      </c>
      <c r="B81" s="42" t="str">
        <v>MA</v>
      </c>
      <c r="C81" s="35"/>
      <c r="D81" s="36"/>
      <c r="E81" s="36" t="str">
        <f t="shared" si="8"/>
        <v/>
      </c>
      <c r="F81" s="37" t="str">
        <f t="shared" si="9"/>
        <v/>
      </c>
      <c r="G81" s="38"/>
      <c r="H81" s="38" t="str">
        <f t="shared" si="10"/>
        <v/>
      </c>
      <c r="I81" s="37" t="str">
        <f t="shared" si="11"/>
        <v/>
      </c>
      <c r="J81" s="60"/>
      <c r="K81" s="59"/>
    </row>
    <row r="82" spans="1:13" ht="80.25" customHeight="1">
      <c r="A82" s="43" t="str">
        <v>MA: Boxborough - 1414 Massachusetts Ave</v>
      </c>
      <c r="B82" s="40" t="str">
        <v>MA</v>
      </c>
      <c r="C82" s="28"/>
      <c r="D82" s="29"/>
      <c r="E82" s="29" t="str">
        <f t="shared" si="8"/>
        <v/>
      </c>
      <c r="F82" s="30" t="str">
        <f t="shared" si="9"/>
        <v/>
      </c>
      <c r="G82" s="31"/>
      <c r="H82" s="31" t="str">
        <f t="shared" si="10"/>
        <v/>
      </c>
      <c r="I82" s="32" t="str">
        <f t="shared" si="11"/>
        <v/>
      </c>
      <c r="J82" s="62"/>
      <c r="K82" s="78"/>
      <c r="L82" s="76"/>
    </row>
    <row r="83" spans="1:13" ht="15.6">
      <c r="A83" s="41" t="str">
        <v>NY: Amsterdam - 153 NY Route 67</v>
      </c>
      <c r="B83" s="42" t="str">
        <v>NY</v>
      </c>
      <c r="C83" s="35"/>
      <c r="D83" s="36"/>
      <c r="E83" s="36" t="str">
        <f t="shared" si="8"/>
        <v/>
      </c>
      <c r="F83" s="37" t="str">
        <f t="shared" si="9"/>
        <v/>
      </c>
      <c r="G83" s="38"/>
      <c r="H83" s="38" t="str">
        <f t="shared" si="10"/>
        <v/>
      </c>
      <c r="I83" s="37" t="str">
        <f t="shared" si="11"/>
        <v/>
      </c>
      <c r="J83" s="60"/>
      <c r="K83" s="75"/>
      <c r="L83" s="76"/>
      <c r="M83" s="76"/>
    </row>
    <row r="84" spans="1:13" ht="15.6">
      <c r="A84" s="43" t="str">
        <v>CA: San Jose - GE Mobile Water</v>
      </c>
      <c r="B84" s="40" t="str">
        <v>CA</v>
      </c>
      <c r="C84" s="28"/>
      <c r="D84" s="29"/>
      <c r="E84" s="29" t="str">
        <f t="shared" si="8"/>
        <v/>
      </c>
      <c r="F84" s="30" t="str">
        <f t="shared" si="9"/>
        <v/>
      </c>
      <c r="G84" s="31"/>
      <c r="H84" s="31" t="str">
        <f t="shared" si="10"/>
        <v/>
      </c>
      <c r="I84" s="32" t="str">
        <f t="shared" si="11"/>
        <v/>
      </c>
      <c r="J84" s="62"/>
      <c r="K84" s="78"/>
    </row>
    <row r="85" spans="1:13" ht="15.6">
      <c r="A85" s="41" t="str">
        <v>NY: Rome - 7776 Tannery RD</v>
      </c>
      <c r="B85" s="42" t="str">
        <v>NY</v>
      </c>
      <c r="C85" s="35"/>
      <c r="D85" s="36"/>
      <c r="E85" s="36" t="str">
        <f t="shared" si="8"/>
        <v/>
      </c>
      <c r="F85" s="37" t="str">
        <f t="shared" si="9"/>
        <v/>
      </c>
      <c r="G85" s="38"/>
      <c r="H85" s="38" t="str">
        <f t="shared" si="10"/>
        <v/>
      </c>
      <c r="I85" s="37" t="str">
        <f t="shared" si="11"/>
        <v/>
      </c>
      <c r="J85" s="60"/>
      <c r="K85" s="75"/>
    </row>
    <row r="86" spans="1:13" ht="14.45">
      <c r="A86" s="8"/>
      <c r="B86" s="13"/>
      <c r="C86" s="8"/>
      <c r="D86" s="8"/>
      <c r="E86" s="8"/>
      <c r="F86" s="9"/>
      <c r="G86" s="8"/>
      <c r="H86" s="8"/>
      <c r="I86" s="9"/>
      <c r="J86" s="94"/>
      <c r="K86" s="94"/>
    </row>
    <row r="87" spans="1:13" ht="14.45">
      <c r="A87" s="8"/>
      <c r="B87" s="13"/>
      <c r="C87" s="8"/>
      <c r="D87" s="8"/>
      <c r="E87" s="8"/>
      <c r="F87" s="9"/>
      <c r="G87" s="8"/>
      <c r="H87" s="8"/>
      <c r="I87" s="9"/>
      <c r="J87" s="94"/>
      <c r="K87" s="94"/>
    </row>
    <row r="88" spans="1:13" ht="14.45">
      <c r="A88" s="8"/>
      <c r="B88" s="13"/>
      <c r="C88" s="8"/>
      <c r="D88" s="8"/>
      <c r="E88" s="8"/>
      <c r="F88" s="9"/>
      <c r="G88" s="8"/>
      <c r="H88" s="8"/>
      <c r="I88" s="9"/>
      <c r="J88" s="94"/>
      <c r="K88" s="94"/>
    </row>
    <row r="89" spans="1:13" ht="14.45">
      <c r="A89" s="8"/>
      <c r="B89" s="13"/>
      <c r="C89" s="8"/>
      <c r="D89" s="8"/>
      <c r="E89" s="8"/>
      <c r="F89" s="9"/>
      <c r="G89" s="8"/>
      <c r="H89" s="8"/>
      <c r="I89" s="9"/>
      <c r="J89" s="94"/>
      <c r="K89" s="94"/>
    </row>
    <row r="90" spans="1:13" ht="14.45">
      <c r="A90" s="8"/>
      <c r="B90" s="13"/>
      <c r="C90" s="8"/>
      <c r="D90" s="8"/>
      <c r="E90" s="8"/>
      <c r="F90" s="9"/>
      <c r="G90" s="8"/>
      <c r="H90" s="8"/>
      <c r="I90" s="9"/>
      <c r="J90" s="94"/>
      <c r="K90" s="94"/>
    </row>
    <row r="91" spans="1:13" ht="14.45">
      <c r="A91" s="8"/>
      <c r="B91" s="13"/>
      <c r="C91" s="8"/>
      <c r="D91" s="8"/>
      <c r="E91" s="8"/>
      <c r="F91" s="9"/>
      <c r="G91" s="8"/>
      <c r="H91" s="8"/>
      <c r="I91" s="9"/>
      <c r="J91" s="94"/>
      <c r="K91" s="94"/>
    </row>
    <row r="92" spans="1:13" ht="14.45">
      <c r="A92" s="8"/>
      <c r="B92" s="13"/>
      <c r="C92" s="8"/>
      <c r="D92" s="8"/>
      <c r="E92" s="8"/>
      <c r="F92" s="9"/>
      <c r="G92" s="8"/>
      <c r="H92" s="8"/>
      <c r="I92" s="9"/>
      <c r="J92" s="94"/>
      <c r="K92" s="94"/>
    </row>
    <row r="93" spans="1:13" ht="14.45">
      <c r="A93" s="8"/>
      <c r="B93" s="13"/>
      <c r="C93" s="8"/>
      <c r="D93" s="8"/>
      <c r="E93" s="8"/>
      <c r="F93" s="9"/>
      <c r="G93" s="8"/>
      <c r="H93" s="8"/>
      <c r="I93" s="9"/>
      <c r="J93" s="94"/>
      <c r="K93" s="94"/>
    </row>
    <row r="94" spans="1:13" ht="14.45">
      <c r="A94" s="8"/>
      <c r="B94" s="13"/>
      <c r="C94" s="8"/>
      <c r="D94" s="8"/>
      <c r="E94" s="8"/>
      <c r="F94" s="9"/>
      <c r="G94" s="8"/>
      <c r="H94" s="8"/>
      <c r="I94" s="9"/>
      <c r="J94" s="94"/>
      <c r="K94" s="94"/>
    </row>
    <row r="95" spans="1:13" ht="14.45">
      <c r="A95" s="8"/>
      <c r="B95" s="13"/>
      <c r="C95" s="8"/>
      <c r="D95" s="8"/>
      <c r="E95" s="8"/>
      <c r="F95" s="9"/>
      <c r="G95" s="8"/>
      <c r="H95" s="8"/>
      <c r="I95" s="9"/>
      <c r="J95" s="94"/>
      <c r="K95" s="94"/>
    </row>
    <row r="96" spans="1:13" ht="14.45">
      <c r="A96" s="8"/>
      <c r="B96" s="13"/>
      <c r="C96" s="8"/>
      <c r="D96" s="8"/>
      <c r="E96" s="8"/>
      <c r="F96" s="9"/>
      <c r="G96" s="8"/>
      <c r="H96" s="8"/>
      <c r="I96" s="9"/>
      <c r="J96" s="94"/>
      <c r="K96" s="94"/>
    </row>
    <row r="97" spans="1:11" ht="14.45">
      <c r="A97" s="8"/>
      <c r="B97" s="13"/>
      <c r="C97" s="8"/>
      <c r="D97" s="8"/>
      <c r="E97" s="8"/>
      <c r="F97" s="9"/>
      <c r="G97" s="8"/>
      <c r="H97" s="8"/>
      <c r="I97" s="9"/>
      <c r="J97" s="94"/>
      <c r="K97" s="94"/>
    </row>
    <row r="98" spans="1:11" ht="14.45">
      <c r="A98" s="8"/>
      <c r="B98" s="13"/>
      <c r="C98" s="8"/>
      <c r="D98" s="8"/>
      <c r="E98" s="8"/>
      <c r="F98" s="9"/>
      <c r="G98" s="8"/>
      <c r="H98" s="8"/>
      <c r="I98" s="9"/>
      <c r="J98" s="94"/>
      <c r="K98" s="94"/>
    </row>
    <row r="99" spans="1:11" ht="14.45">
      <c r="A99" s="8"/>
      <c r="B99" s="13"/>
      <c r="C99" s="8"/>
      <c r="D99" s="8"/>
      <c r="E99" s="8"/>
      <c r="F99" s="9"/>
      <c r="G99" s="8"/>
      <c r="H99" s="8"/>
      <c r="I99" s="9"/>
      <c r="J99" s="94"/>
      <c r="K99" s="94"/>
    </row>
    <row r="100" spans="1:11" ht="14.45">
      <c r="A100" s="8"/>
      <c r="B100" s="13"/>
      <c r="C100" s="8"/>
      <c r="D100" s="8"/>
      <c r="E100" s="8"/>
      <c r="F100" s="9"/>
      <c r="G100" s="8"/>
      <c r="H100" s="8"/>
      <c r="I100" s="9"/>
      <c r="J100" s="94"/>
      <c r="K100" s="94"/>
    </row>
    <row r="101" spans="1:11" ht="14.45">
      <c r="A101" s="8"/>
      <c r="B101" s="13"/>
      <c r="C101" s="8"/>
      <c r="D101" s="8"/>
      <c r="E101" s="8"/>
      <c r="F101" s="9"/>
      <c r="G101" s="8"/>
      <c r="H101" s="8"/>
      <c r="I101" s="9"/>
      <c r="J101" s="94"/>
      <c r="K101" s="94"/>
    </row>
    <row r="102" spans="1:11" ht="14.45">
      <c r="A102" s="8"/>
      <c r="B102" s="13"/>
      <c r="C102" s="8"/>
      <c r="D102" s="8"/>
      <c r="E102" s="8"/>
      <c r="F102" s="9"/>
      <c r="G102" s="8"/>
      <c r="H102" s="8"/>
      <c r="I102" s="9"/>
      <c r="J102" s="94"/>
      <c r="K102" s="94"/>
    </row>
    <row r="103" spans="1:11" ht="14.45">
      <c r="A103" s="8"/>
      <c r="B103" s="13"/>
      <c r="C103" s="8"/>
      <c r="D103" s="8"/>
      <c r="E103" s="8"/>
      <c r="F103" s="9"/>
      <c r="G103" s="8"/>
      <c r="H103" s="8"/>
      <c r="I103" s="9"/>
      <c r="J103" s="94"/>
      <c r="K103" s="94"/>
    </row>
    <row r="104" spans="1:11" ht="14.45">
      <c r="A104" s="8"/>
      <c r="B104" s="13"/>
      <c r="C104" s="8"/>
      <c r="D104" s="8"/>
      <c r="E104" s="8"/>
      <c r="F104" s="9"/>
      <c r="G104" s="8"/>
      <c r="H104" s="8"/>
      <c r="I104" s="9"/>
      <c r="J104" s="94"/>
      <c r="K104" s="94"/>
    </row>
    <row r="105" spans="1:11" ht="14.45">
      <c r="A105" s="8"/>
      <c r="B105" s="13"/>
      <c r="C105" s="8"/>
      <c r="D105" s="8"/>
      <c r="E105" s="8"/>
      <c r="F105" s="9"/>
      <c r="G105" s="8"/>
      <c r="H105" s="8"/>
      <c r="I105" s="9"/>
      <c r="J105" s="94"/>
      <c r="K105" s="94"/>
    </row>
    <row r="106" spans="1:11" ht="14.45">
      <c r="A106" s="8"/>
      <c r="B106" s="13"/>
      <c r="C106" s="8"/>
      <c r="D106" s="8"/>
      <c r="E106" s="8"/>
      <c r="F106" s="9"/>
      <c r="G106" s="8"/>
      <c r="H106" s="8"/>
      <c r="I106" s="9"/>
      <c r="J106" s="94"/>
      <c r="K106" s="94"/>
    </row>
    <row r="107" spans="1:11" ht="14.45">
      <c r="A107" s="8"/>
      <c r="B107" s="13"/>
      <c r="C107" s="8"/>
      <c r="D107" s="8"/>
      <c r="E107" s="8"/>
      <c r="F107" s="9"/>
      <c r="G107" s="8"/>
      <c r="H107" s="8"/>
      <c r="I107" s="9"/>
      <c r="J107" s="94"/>
      <c r="K107" s="94"/>
    </row>
    <row r="108" spans="1:11" ht="14.45">
      <c r="A108" s="8"/>
      <c r="B108" s="13"/>
      <c r="C108" s="8"/>
      <c r="D108" s="8"/>
      <c r="E108" s="8"/>
      <c r="F108" s="9"/>
      <c r="G108" s="8"/>
      <c r="H108" s="8"/>
      <c r="I108" s="9"/>
      <c r="J108" s="94"/>
      <c r="K108" s="94"/>
    </row>
    <row r="109" spans="1:11" ht="14.45">
      <c r="A109" s="8"/>
      <c r="B109" s="13"/>
      <c r="C109" s="8"/>
      <c r="D109" s="8"/>
      <c r="E109" s="8"/>
      <c r="F109" s="9"/>
      <c r="G109" s="8"/>
      <c r="H109" s="8"/>
      <c r="I109" s="9"/>
      <c r="J109" s="94"/>
      <c r="K109" s="94"/>
    </row>
    <row r="110" spans="1:11" ht="14.45">
      <c r="A110" s="8"/>
      <c r="B110" s="13"/>
      <c r="C110" s="8"/>
      <c r="D110" s="8"/>
      <c r="E110" s="8"/>
      <c r="F110" s="9"/>
      <c r="G110" s="8"/>
      <c r="H110" s="8"/>
      <c r="I110" s="9"/>
      <c r="J110" s="94"/>
      <c r="K110" s="94"/>
    </row>
    <row r="111" spans="1:11" ht="14.45">
      <c r="A111" s="8"/>
      <c r="B111" s="13"/>
      <c r="C111" s="8"/>
      <c r="D111" s="8"/>
      <c r="E111" s="8"/>
      <c r="F111" s="9"/>
      <c r="G111" s="8"/>
      <c r="H111" s="8"/>
      <c r="I111" s="9"/>
      <c r="J111" s="94"/>
      <c r="K111" s="94"/>
    </row>
    <row r="112" spans="1:11" ht="14.45">
      <c r="A112" s="8"/>
      <c r="B112" s="13"/>
      <c r="C112" s="8"/>
      <c r="D112" s="8"/>
      <c r="E112" s="8"/>
      <c r="F112" s="9"/>
      <c r="G112" s="8"/>
      <c r="H112" s="8"/>
      <c r="I112" s="9"/>
      <c r="J112" s="94"/>
      <c r="K112" s="94"/>
    </row>
    <row r="113" spans="1:11" ht="14.45">
      <c r="A113" s="8"/>
      <c r="B113" s="13"/>
      <c r="C113" s="8"/>
      <c r="D113" s="8"/>
      <c r="E113" s="8"/>
      <c r="F113" s="9"/>
      <c r="G113" s="8"/>
      <c r="H113" s="8"/>
      <c r="I113" s="9"/>
      <c r="J113" s="94"/>
      <c r="K113" s="94"/>
    </row>
    <row r="114" spans="1:11" ht="14.45">
      <c r="A114" s="8"/>
      <c r="B114" s="13"/>
      <c r="C114" s="8"/>
      <c r="D114" s="8"/>
      <c r="E114" s="8"/>
      <c r="F114" s="9"/>
      <c r="G114" s="8"/>
      <c r="H114" s="8"/>
      <c r="I114" s="9"/>
      <c r="J114" s="94"/>
      <c r="K114" s="94"/>
    </row>
    <row r="115" spans="1:11" ht="14.45">
      <c r="A115" s="8"/>
      <c r="B115" s="13"/>
      <c r="C115" s="8"/>
      <c r="D115" s="8"/>
      <c r="E115" s="8"/>
      <c r="F115" s="9"/>
      <c r="G115" s="8"/>
      <c r="H115" s="8"/>
      <c r="I115" s="9"/>
      <c r="J115" s="94"/>
      <c r="K115" s="94"/>
    </row>
    <row r="116" spans="1:11" ht="14.45">
      <c r="A116" s="8"/>
      <c r="B116" s="13"/>
      <c r="C116" s="8"/>
      <c r="D116" s="8"/>
      <c r="E116" s="8"/>
      <c r="F116" s="9"/>
      <c r="G116" s="8"/>
      <c r="H116" s="8"/>
      <c r="I116" s="9"/>
      <c r="J116" s="94"/>
      <c r="K116" s="94"/>
    </row>
    <row r="117" spans="1:11" ht="14.45">
      <c r="A117" s="8"/>
      <c r="B117" s="13"/>
      <c r="C117" s="8"/>
      <c r="D117" s="8"/>
      <c r="E117" s="8"/>
      <c r="F117" s="9"/>
      <c r="G117" s="8"/>
      <c r="H117" s="8"/>
      <c r="I117" s="9"/>
      <c r="J117" s="94"/>
      <c r="K117" s="94"/>
    </row>
    <row r="118" spans="1:11" ht="14.45">
      <c r="A118" s="8"/>
      <c r="B118" s="13"/>
      <c r="C118" s="8"/>
      <c r="D118" s="8"/>
      <c r="E118" s="8"/>
      <c r="F118" s="9"/>
      <c r="G118" s="8"/>
      <c r="H118" s="8"/>
      <c r="I118" s="9"/>
      <c r="J118" s="94"/>
      <c r="K118" s="94"/>
    </row>
    <row r="119" spans="1:11" ht="14.45">
      <c r="A119" s="8"/>
      <c r="B119" s="13"/>
      <c r="C119" s="8"/>
      <c r="D119" s="8"/>
      <c r="E119" s="8"/>
      <c r="F119" s="9"/>
      <c r="G119" s="8"/>
      <c r="H119" s="8"/>
      <c r="I119" s="9"/>
      <c r="J119" s="94"/>
      <c r="K119" s="94"/>
    </row>
    <row r="120" spans="1:11" ht="14.45">
      <c r="A120" s="8"/>
      <c r="B120" s="13"/>
      <c r="C120" s="8"/>
      <c r="D120" s="8"/>
      <c r="E120" s="8"/>
      <c r="F120" s="9"/>
      <c r="G120" s="8"/>
      <c r="H120" s="8"/>
      <c r="I120" s="9"/>
      <c r="J120" s="94"/>
      <c r="K120" s="94"/>
    </row>
    <row r="121" spans="1:11" ht="14.45">
      <c r="A121" s="8"/>
      <c r="B121" s="13"/>
      <c r="C121" s="8"/>
      <c r="D121" s="8"/>
      <c r="E121" s="8"/>
      <c r="F121" s="9"/>
      <c r="G121" s="8"/>
      <c r="H121" s="8"/>
      <c r="I121" s="9"/>
      <c r="J121" s="94"/>
      <c r="K121" s="94"/>
    </row>
    <row r="122" spans="1:11" ht="14.45">
      <c r="A122" s="8"/>
      <c r="B122" s="13"/>
      <c r="C122" s="8"/>
      <c r="D122" s="8"/>
      <c r="E122" s="8"/>
      <c r="F122" s="9"/>
      <c r="G122" s="8"/>
      <c r="H122" s="8"/>
      <c r="I122" s="9"/>
      <c r="J122" s="94"/>
      <c r="K122" s="94"/>
    </row>
    <row r="123" spans="1:11" ht="14.45">
      <c r="A123" s="8"/>
      <c r="B123" s="13"/>
      <c r="C123" s="8"/>
      <c r="D123" s="8"/>
      <c r="E123" s="8"/>
      <c r="F123" s="9"/>
      <c r="G123" s="8"/>
      <c r="H123" s="8"/>
      <c r="I123" s="9"/>
      <c r="J123" s="94"/>
      <c r="K123" s="94"/>
    </row>
    <row r="124" spans="1:11" ht="14.45">
      <c r="A124" s="8"/>
      <c r="B124" s="13"/>
      <c r="C124" s="8"/>
      <c r="D124" s="8"/>
      <c r="E124" s="8"/>
      <c r="F124" s="9"/>
      <c r="G124" s="8"/>
      <c r="H124" s="8"/>
      <c r="I124" s="9"/>
      <c r="J124" s="94"/>
      <c r="K124" s="94"/>
    </row>
    <row r="125" spans="1:11" ht="14.45">
      <c r="A125" s="8"/>
      <c r="B125" s="13"/>
      <c r="C125" s="8"/>
      <c r="D125" s="8"/>
      <c r="E125" s="8"/>
      <c r="F125" s="9"/>
      <c r="G125" s="8"/>
      <c r="H125" s="8"/>
      <c r="I125" s="9"/>
      <c r="J125" s="94"/>
      <c r="K125" s="94"/>
    </row>
    <row r="126" spans="1:11" ht="14.45">
      <c r="A126" s="8"/>
      <c r="B126" s="13"/>
      <c r="C126" s="8"/>
      <c r="D126" s="8"/>
      <c r="E126" s="8"/>
      <c r="F126" s="9"/>
      <c r="G126" s="8"/>
      <c r="H126" s="8"/>
      <c r="I126" s="9"/>
      <c r="J126" s="94"/>
      <c r="K126" s="94"/>
    </row>
    <row r="127" spans="1:11" ht="14.45">
      <c r="A127" s="8"/>
      <c r="B127" s="13"/>
      <c r="C127" s="8"/>
      <c r="D127" s="8"/>
      <c r="E127" s="8"/>
      <c r="F127" s="9"/>
      <c r="G127" s="8"/>
      <c r="H127" s="8"/>
      <c r="I127" s="9"/>
      <c r="J127" s="94"/>
      <c r="K127" s="94"/>
    </row>
    <row r="128" spans="1:11" ht="14.45">
      <c r="A128" s="8"/>
      <c r="B128" s="13"/>
      <c r="C128" s="8"/>
      <c r="D128" s="8"/>
      <c r="E128" s="8"/>
      <c r="F128" s="9"/>
      <c r="G128" s="8"/>
      <c r="H128" s="8"/>
      <c r="I128" s="9"/>
      <c r="J128" s="94"/>
      <c r="K128" s="94"/>
    </row>
    <row r="129" spans="1:11" ht="14.45">
      <c r="A129" s="8"/>
      <c r="B129" s="13"/>
      <c r="C129" s="8"/>
      <c r="D129" s="8"/>
      <c r="E129" s="8"/>
      <c r="F129" s="9"/>
      <c r="G129" s="8"/>
      <c r="H129" s="8"/>
      <c r="I129" s="9"/>
      <c r="J129" s="94"/>
      <c r="K129" s="94"/>
    </row>
    <row r="130" spans="1:11" ht="14.45">
      <c r="A130" s="8"/>
      <c r="B130" s="13"/>
      <c r="C130" s="8"/>
      <c r="D130" s="8"/>
      <c r="E130" s="8"/>
      <c r="F130" s="9"/>
      <c r="G130" s="8"/>
      <c r="H130" s="8"/>
      <c r="I130" s="9"/>
      <c r="J130" s="94"/>
      <c r="K130" s="94"/>
    </row>
    <row r="131" spans="1:11" ht="14.45">
      <c r="A131" s="8"/>
      <c r="B131" s="13"/>
      <c r="C131" s="8"/>
      <c r="D131" s="8"/>
      <c r="E131" s="8"/>
      <c r="F131" s="9"/>
      <c r="G131" s="8"/>
      <c r="H131" s="8"/>
      <c r="I131" s="9"/>
      <c r="J131" s="94"/>
      <c r="K131" s="94"/>
    </row>
    <row r="132" spans="1:11" ht="14.45">
      <c r="A132" s="8"/>
      <c r="B132" s="13"/>
      <c r="C132" s="8"/>
      <c r="D132" s="8"/>
      <c r="E132" s="8"/>
      <c r="F132" s="9"/>
      <c r="G132" s="8"/>
      <c r="H132" s="8"/>
      <c r="I132" s="9"/>
      <c r="J132" s="94"/>
      <c r="K132" s="94"/>
    </row>
    <row r="133" spans="1:11" ht="14.45">
      <c r="A133" s="8"/>
      <c r="B133" s="13"/>
      <c r="C133" s="8"/>
      <c r="D133" s="8"/>
      <c r="E133" s="8"/>
      <c r="F133" s="9"/>
      <c r="G133" s="8"/>
      <c r="H133" s="8"/>
      <c r="I133" s="9"/>
      <c r="J133" s="94"/>
      <c r="K133" s="94"/>
    </row>
    <row r="134" spans="1:11" ht="14.45">
      <c r="A134" s="8"/>
      <c r="B134" s="13"/>
      <c r="C134" s="8"/>
      <c r="D134" s="8"/>
      <c r="E134" s="8"/>
      <c r="F134" s="9"/>
      <c r="G134" s="8"/>
      <c r="H134" s="8"/>
      <c r="I134" s="9"/>
      <c r="J134" s="94"/>
      <c r="K134" s="94"/>
    </row>
    <row r="135" spans="1:11" ht="14.45">
      <c r="A135" s="8"/>
      <c r="B135" s="13"/>
      <c r="C135" s="8"/>
      <c r="D135" s="8"/>
      <c r="E135" s="8"/>
      <c r="F135" s="9"/>
      <c r="G135" s="8"/>
      <c r="H135" s="8"/>
      <c r="I135" s="9"/>
      <c r="J135" s="94"/>
      <c r="K135" s="94"/>
    </row>
    <row r="136" spans="1:11" ht="14.45">
      <c r="A136" s="8"/>
      <c r="B136" s="13"/>
      <c r="C136" s="8"/>
      <c r="D136" s="8"/>
      <c r="E136" s="8"/>
      <c r="F136" s="9"/>
      <c r="G136" s="8"/>
      <c r="H136" s="8"/>
      <c r="I136" s="9"/>
      <c r="J136" s="94"/>
      <c r="K136" s="94"/>
    </row>
    <row r="137" spans="1:11" ht="14.45">
      <c r="A137" s="8"/>
      <c r="B137" s="13"/>
      <c r="C137" s="8"/>
      <c r="D137" s="8"/>
      <c r="E137" s="8"/>
      <c r="F137" s="9"/>
      <c r="G137" s="8"/>
      <c r="H137" s="8"/>
      <c r="I137" s="9"/>
      <c r="J137" s="94"/>
      <c r="K137" s="94"/>
    </row>
    <row r="138" spans="1:11" ht="14.45">
      <c r="A138" s="8"/>
      <c r="B138" s="13"/>
      <c r="C138" s="8"/>
      <c r="D138" s="8"/>
      <c r="E138" s="8"/>
      <c r="F138" s="9"/>
      <c r="G138" s="8"/>
      <c r="H138" s="8"/>
      <c r="I138" s="9"/>
      <c r="J138" s="94"/>
      <c r="K138" s="94"/>
    </row>
    <row r="139" spans="1:11" ht="14.45">
      <c r="A139" s="8"/>
      <c r="B139" s="13"/>
      <c r="C139" s="8"/>
      <c r="D139" s="8"/>
      <c r="E139" s="8"/>
      <c r="F139" s="9"/>
      <c r="G139" s="8"/>
      <c r="H139" s="8"/>
      <c r="I139" s="9"/>
      <c r="J139" s="94"/>
      <c r="K139" s="94"/>
    </row>
    <row r="140" spans="1:11" ht="14.45">
      <c r="A140" s="8"/>
      <c r="B140" s="13"/>
      <c r="C140" s="8"/>
      <c r="D140" s="8"/>
      <c r="E140" s="8"/>
      <c r="F140" s="9"/>
      <c r="G140" s="8"/>
      <c r="H140" s="8"/>
      <c r="I140" s="9"/>
      <c r="J140" s="94"/>
      <c r="K140" s="94"/>
    </row>
    <row r="141" spans="1:11" ht="14.45">
      <c r="A141" s="8"/>
      <c r="B141" s="13"/>
      <c r="C141" s="8"/>
      <c r="D141" s="8"/>
      <c r="E141" s="8"/>
      <c r="F141" s="9"/>
      <c r="G141" s="8"/>
      <c r="H141" s="8"/>
      <c r="I141" s="9"/>
      <c r="J141" s="94"/>
      <c r="K141" s="94"/>
    </row>
    <row r="142" spans="1:11" ht="14.45">
      <c r="A142" s="8"/>
      <c r="B142" s="13"/>
      <c r="C142" s="8"/>
      <c r="D142" s="8"/>
      <c r="E142" s="8"/>
      <c r="F142" s="9"/>
      <c r="G142" s="8"/>
      <c r="H142" s="8"/>
      <c r="I142" s="9"/>
      <c r="J142" s="94"/>
      <c r="K142" s="94"/>
    </row>
    <row r="143" spans="1:11" ht="14.45">
      <c r="A143" s="8"/>
      <c r="B143" s="13"/>
      <c r="C143" s="8"/>
      <c r="D143" s="8"/>
      <c r="E143" s="8"/>
      <c r="F143" s="9"/>
      <c r="G143" s="8"/>
      <c r="H143" s="8"/>
      <c r="I143" s="9"/>
      <c r="J143" s="94"/>
      <c r="K143" s="94"/>
    </row>
    <row r="144" spans="1:11" ht="14.45">
      <c r="A144" s="8"/>
      <c r="B144" s="13"/>
      <c r="C144" s="8"/>
      <c r="D144" s="8"/>
      <c r="E144" s="8"/>
      <c r="F144" s="9"/>
      <c r="G144" s="8"/>
      <c r="H144" s="8"/>
      <c r="I144" s="9"/>
      <c r="J144" s="94"/>
      <c r="K144" s="94"/>
    </row>
    <row r="145" spans="1:11" ht="14.45">
      <c r="A145" s="8"/>
      <c r="B145" s="13"/>
      <c r="C145" s="8"/>
      <c r="D145" s="8"/>
      <c r="E145" s="8"/>
      <c r="F145" s="9"/>
      <c r="G145" s="8"/>
      <c r="H145" s="8"/>
      <c r="I145" s="9"/>
      <c r="J145" s="94"/>
      <c r="K145" s="94"/>
    </row>
    <row r="146" spans="1:11" ht="14.45">
      <c r="A146" s="8"/>
      <c r="B146" s="13"/>
      <c r="C146" s="8"/>
      <c r="D146" s="8"/>
      <c r="E146" s="8"/>
      <c r="F146" s="9"/>
      <c r="G146" s="8"/>
      <c r="H146" s="8"/>
      <c r="I146" s="9"/>
      <c r="J146" s="94"/>
      <c r="K146" s="94"/>
    </row>
    <row r="147" spans="1:11" ht="14.45">
      <c r="A147" s="8"/>
      <c r="B147" s="13"/>
      <c r="C147" s="8"/>
      <c r="D147" s="8"/>
      <c r="E147" s="8"/>
      <c r="F147" s="9"/>
      <c r="G147" s="8"/>
      <c r="H147" s="8"/>
      <c r="I147" s="9"/>
      <c r="J147" s="94"/>
      <c r="K147" s="94"/>
    </row>
    <row r="148" spans="1:11" ht="14.45">
      <c r="A148" s="8"/>
      <c r="B148" s="13"/>
      <c r="C148" s="8"/>
      <c r="D148" s="8"/>
      <c r="E148" s="8"/>
      <c r="F148" s="9"/>
      <c r="G148" s="8"/>
      <c r="H148" s="8"/>
      <c r="I148" s="9"/>
      <c r="J148" s="94"/>
      <c r="K148" s="94"/>
    </row>
    <row r="149" spans="1:11" ht="14.45">
      <c r="A149" s="8"/>
      <c r="B149" s="13"/>
      <c r="C149" s="8"/>
      <c r="D149" s="8"/>
      <c r="E149" s="8"/>
      <c r="F149" s="9"/>
      <c r="G149" s="8"/>
      <c r="H149" s="8"/>
      <c r="I149" s="9"/>
      <c r="J149" s="94"/>
      <c r="K149" s="94"/>
    </row>
    <row r="150" spans="1:11" ht="14.45">
      <c r="A150" s="8"/>
      <c r="B150" s="13"/>
      <c r="C150" s="8"/>
      <c r="D150" s="8"/>
      <c r="E150" s="8"/>
      <c r="F150" s="9"/>
      <c r="G150" s="8"/>
      <c r="H150" s="8"/>
      <c r="I150" s="9"/>
      <c r="J150" s="94"/>
      <c r="K150" s="94"/>
    </row>
    <row r="151" spans="1:11" ht="14.45">
      <c r="A151" s="8"/>
      <c r="B151" s="13"/>
      <c r="C151" s="8"/>
      <c r="D151" s="8"/>
      <c r="E151" s="8"/>
      <c r="F151" s="9"/>
      <c r="G151" s="8"/>
      <c r="H151" s="8"/>
      <c r="I151" s="9"/>
      <c r="J151" s="94"/>
      <c r="K151" s="94"/>
    </row>
    <row r="152" spans="1:11" ht="14.45">
      <c r="A152" s="8"/>
      <c r="B152" s="13"/>
      <c r="C152" s="8"/>
      <c r="D152" s="8"/>
      <c r="E152" s="8"/>
      <c r="F152" s="9"/>
      <c r="G152" s="8"/>
      <c r="H152" s="8"/>
      <c r="I152" s="9"/>
      <c r="J152" s="94"/>
      <c r="K152" s="94"/>
    </row>
    <row r="153" spans="1:11" ht="14.45">
      <c r="A153" s="8"/>
      <c r="B153" s="13"/>
      <c r="C153" s="8"/>
      <c r="D153" s="8"/>
      <c r="E153" s="8"/>
      <c r="F153" s="9"/>
      <c r="G153" s="8"/>
      <c r="H153" s="8"/>
      <c r="I153" s="9"/>
      <c r="J153" s="94"/>
      <c r="K153" s="94"/>
    </row>
    <row r="154" spans="1:11" ht="14.45">
      <c r="A154" s="8"/>
      <c r="B154" s="13"/>
      <c r="C154" s="8"/>
      <c r="D154" s="8"/>
      <c r="E154" s="8"/>
      <c r="F154" s="9"/>
      <c r="G154" s="8"/>
      <c r="H154" s="8"/>
      <c r="I154" s="9"/>
      <c r="J154" s="94"/>
      <c r="K154" s="94"/>
    </row>
    <row r="155" spans="1:11" ht="14.45">
      <c r="A155" s="8"/>
      <c r="B155" s="13"/>
      <c r="C155" s="8"/>
      <c r="D155" s="8"/>
      <c r="E155" s="8"/>
      <c r="F155" s="9"/>
      <c r="G155" s="8"/>
      <c r="H155" s="8"/>
      <c r="I155" s="9"/>
      <c r="J155" s="94"/>
      <c r="K155" s="94"/>
    </row>
    <row r="156" spans="1:11" ht="14.45">
      <c r="A156" s="8"/>
      <c r="B156" s="13"/>
      <c r="C156" s="8"/>
      <c r="D156" s="8"/>
      <c r="E156" s="8"/>
      <c r="F156" s="9"/>
      <c r="G156" s="8"/>
      <c r="H156" s="8"/>
      <c r="I156" s="9"/>
      <c r="J156" s="94"/>
      <c r="K156" s="94"/>
    </row>
    <row r="157" spans="1:11" ht="14.45">
      <c r="A157" s="8"/>
      <c r="B157" s="13"/>
      <c r="C157" s="8"/>
      <c r="D157" s="8"/>
      <c r="E157" s="8"/>
      <c r="F157" s="9"/>
      <c r="G157" s="8"/>
      <c r="H157" s="8"/>
      <c r="I157" s="9"/>
      <c r="J157" s="94"/>
      <c r="K157" s="94"/>
    </row>
    <row r="158" spans="1:11" ht="14.45">
      <c r="A158" s="8"/>
      <c r="B158" s="13"/>
      <c r="C158" s="8"/>
      <c r="D158" s="8"/>
      <c r="E158" s="8"/>
      <c r="F158" s="9"/>
      <c r="G158" s="8"/>
      <c r="H158" s="8"/>
      <c r="I158" s="9"/>
      <c r="J158" s="94"/>
      <c r="K158" s="94"/>
    </row>
    <row r="159" spans="1:11" ht="14.45">
      <c r="A159" s="8"/>
      <c r="B159" s="13"/>
      <c r="C159" s="8"/>
      <c r="D159" s="8"/>
      <c r="E159" s="8"/>
      <c r="F159" s="9"/>
      <c r="G159" s="8"/>
      <c r="H159" s="8"/>
      <c r="I159" s="9"/>
      <c r="J159" s="94"/>
      <c r="K159" s="94"/>
    </row>
    <row r="160" spans="1:11" ht="14.45">
      <c r="A160" s="8"/>
      <c r="B160" s="13"/>
      <c r="C160" s="8"/>
      <c r="D160" s="8"/>
      <c r="E160" s="8"/>
      <c r="F160" s="9"/>
      <c r="G160" s="8"/>
      <c r="H160" s="8"/>
      <c r="I160" s="9"/>
      <c r="J160" s="94"/>
      <c r="K160" s="94"/>
    </row>
    <row r="161" spans="1:11" ht="14.45">
      <c r="A161" s="8"/>
      <c r="B161" s="13"/>
      <c r="C161" s="8"/>
      <c r="D161" s="8"/>
      <c r="E161" s="8"/>
      <c r="F161" s="9"/>
      <c r="G161" s="8"/>
      <c r="H161" s="8"/>
      <c r="I161" s="9"/>
      <c r="J161" s="94"/>
      <c r="K161" s="94"/>
    </row>
    <row r="162" spans="1:11" ht="14.45">
      <c r="A162" s="8"/>
      <c r="B162" s="13"/>
      <c r="C162" s="8"/>
      <c r="D162" s="8"/>
      <c r="E162" s="8"/>
      <c r="F162" s="9"/>
      <c r="G162" s="8"/>
      <c r="H162" s="8"/>
      <c r="I162" s="9"/>
      <c r="J162" s="94"/>
      <c r="K162" s="94"/>
    </row>
    <row r="163" spans="1:11" ht="14.45">
      <c r="A163" s="8"/>
      <c r="B163" s="13"/>
      <c r="C163" s="8"/>
      <c r="D163" s="8"/>
      <c r="E163" s="8"/>
      <c r="F163" s="9"/>
      <c r="G163" s="8"/>
      <c r="H163" s="8"/>
      <c r="I163" s="9"/>
      <c r="J163" s="94"/>
      <c r="K163" s="94"/>
    </row>
    <row r="164" spans="1:11" ht="14.45">
      <c r="A164" s="8"/>
      <c r="B164" s="13"/>
      <c r="C164" s="8"/>
      <c r="D164" s="8"/>
      <c r="E164" s="8"/>
      <c r="F164" s="9"/>
      <c r="G164" s="8"/>
      <c r="H164" s="8"/>
      <c r="I164" s="9"/>
      <c r="J164" s="94"/>
      <c r="K164" s="94"/>
    </row>
    <row r="165" spans="1:11" ht="14.45">
      <c r="A165" s="8"/>
      <c r="B165" s="13"/>
      <c r="C165" s="8"/>
      <c r="D165" s="8"/>
      <c r="E165" s="8"/>
      <c r="F165" s="9"/>
      <c r="G165" s="8"/>
      <c r="H165" s="8"/>
      <c r="I165" s="9"/>
      <c r="J165" s="94"/>
      <c r="K165" s="94"/>
    </row>
    <row r="166" spans="1:11" ht="14.45">
      <c r="A166" s="8"/>
      <c r="B166" s="13"/>
      <c r="C166" s="8"/>
      <c r="D166" s="8"/>
      <c r="E166" s="8"/>
      <c r="F166" s="9"/>
      <c r="G166" s="8"/>
      <c r="H166" s="8"/>
      <c r="I166" s="9"/>
      <c r="J166" s="94"/>
      <c r="K166" s="94"/>
    </row>
    <row r="167" spans="1:11" ht="14.45">
      <c r="A167" s="8"/>
      <c r="B167" s="13"/>
      <c r="C167" s="8"/>
      <c r="D167" s="8"/>
      <c r="E167" s="8"/>
      <c r="F167" s="9"/>
      <c r="G167" s="8"/>
      <c r="H167" s="8"/>
      <c r="I167" s="9"/>
      <c r="J167" s="94"/>
      <c r="K167" s="94"/>
    </row>
    <row r="168" spans="1:11" ht="14.45">
      <c r="A168" s="8"/>
      <c r="B168" s="13"/>
      <c r="C168" s="8"/>
      <c r="D168" s="8"/>
      <c r="E168" s="8"/>
      <c r="F168" s="9"/>
      <c r="G168" s="8"/>
      <c r="H168" s="8"/>
      <c r="I168" s="9"/>
      <c r="J168" s="94"/>
      <c r="K168" s="94"/>
    </row>
    <row r="169" spans="1:11" ht="14.45">
      <c r="A169" s="8"/>
      <c r="B169" s="13"/>
      <c r="C169" s="8"/>
      <c r="D169" s="8"/>
      <c r="E169" s="8"/>
      <c r="F169" s="9"/>
      <c r="G169" s="8"/>
      <c r="H169" s="8"/>
      <c r="I169" s="9"/>
      <c r="J169" s="94"/>
      <c r="K169" s="94"/>
    </row>
    <row r="170" spans="1:11" ht="14.45">
      <c r="A170" s="8"/>
      <c r="B170" s="13"/>
      <c r="C170" s="8"/>
      <c r="D170" s="8"/>
      <c r="E170" s="8"/>
      <c r="F170" s="9"/>
      <c r="G170" s="8"/>
      <c r="H170" s="8"/>
      <c r="I170" s="9"/>
      <c r="J170" s="94"/>
      <c r="K170" s="94"/>
    </row>
    <row r="171" spans="1:11" ht="14.45">
      <c r="A171" s="8"/>
      <c r="B171" s="13"/>
      <c r="C171" s="8"/>
      <c r="D171" s="8"/>
      <c r="E171" s="8"/>
      <c r="F171" s="9"/>
      <c r="G171" s="8"/>
      <c r="H171" s="8"/>
      <c r="I171" s="9"/>
      <c r="J171" s="94"/>
      <c r="K171" s="94"/>
    </row>
    <row r="172" spans="1:11" ht="14.45">
      <c r="A172" s="8"/>
      <c r="B172" s="13"/>
      <c r="C172" s="8"/>
      <c r="D172" s="8"/>
      <c r="E172" s="8"/>
      <c r="F172" s="9"/>
      <c r="G172" s="8"/>
      <c r="H172" s="8"/>
      <c r="I172" s="9"/>
      <c r="J172" s="94"/>
      <c r="K172" s="94"/>
    </row>
    <row r="173" spans="1:11" ht="14.45">
      <c r="A173" s="8"/>
      <c r="B173" s="13"/>
      <c r="C173" s="8"/>
      <c r="D173" s="8"/>
      <c r="E173" s="8"/>
      <c r="F173" s="9"/>
      <c r="G173" s="8"/>
      <c r="H173" s="8"/>
      <c r="I173" s="9"/>
      <c r="J173" s="94"/>
      <c r="K173" s="94"/>
    </row>
    <row r="174" spans="1:11" ht="14.45">
      <c r="A174" s="8"/>
      <c r="B174" s="13"/>
      <c r="C174" s="8"/>
      <c r="D174" s="8"/>
      <c r="E174" s="8"/>
      <c r="F174" s="9"/>
      <c r="G174" s="8"/>
      <c r="H174" s="8"/>
      <c r="I174" s="9"/>
      <c r="J174" s="94"/>
      <c r="K174" s="94"/>
    </row>
    <row r="175" spans="1:11" ht="14.45">
      <c r="A175" s="8"/>
      <c r="B175" s="13"/>
      <c r="C175" s="8"/>
      <c r="D175" s="8"/>
      <c r="E175" s="8"/>
      <c r="F175" s="9"/>
      <c r="G175" s="8"/>
      <c r="H175" s="8"/>
      <c r="I175" s="9"/>
      <c r="J175" s="94"/>
      <c r="K175" s="94"/>
    </row>
    <row r="176" spans="1:11" ht="14.45">
      <c r="A176" s="8"/>
      <c r="B176" s="13"/>
      <c r="C176" s="8"/>
      <c r="D176" s="8"/>
      <c r="E176" s="8"/>
      <c r="F176" s="9"/>
      <c r="G176" s="8"/>
      <c r="H176" s="8"/>
      <c r="I176" s="9"/>
      <c r="J176" s="94"/>
      <c r="K176" s="94"/>
    </row>
    <row r="177" spans="1:11" ht="14.45">
      <c r="A177" s="8"/>
      <c r="B177" s="13"/>
      <c r="C177" s="8"/>
      <c r="D177" s="8"/>
      <c r="E177" s="8"/>
      <c r="F177" s="9"/>
      <c r="G177" s="8"/>
      <c r="H177" s="8"/>
      <c r="I177" s="9"/>
      <c r="J177" s="94"/>
      <c r="K177" s="94"/>
    </row>
    <row r="178" spans="1:11" ht="14.45">
      <c r="A178" s="8"/>
      <c r="B178" s="13"/>
      <c r="C178" s="8"/>
      <c r="D178" s="8"/>
      <c r="E178" s="8"/>
      <c r="F178" s="9"/>
      <c r="G178" s="8"/>
      <c r="H178" s="8"/>
      <c r="I178" s="9"/>
      <c r="J178" s="94"/>
      <c r="K178" s="94"/>
    </row>
    <row r="179" spans="1:11" ht="14.45">
      <c r="A179" s="8"/>
      <c r="B179" s="13"/>
      <c r="C179" s="8"/>
      <c r="D179" s="8"/>
      <c r="E179" s="8"/>
      <c r="F179" s="9"/>
      <c r="G179" s="8"/>
      <c r="H179" s="8"/>
      <c r="I179" s="9"/>
      <c r="J179" s="94"/>
      <c r="K179" s="94"/>
    </row>
    <row r="180" spans="1:11" ht="14.45">
      <c r="A180" s="8"/>
      <c r="B180" s="13"/>
      <c r="C180" s="8"/>
      <c r="D180" s="8"/>
      <c r="E180" s="8"/>
      <c r="F180" s="9"/>
      <c r="G180" s="8"/>
      <c r="H180" s="8"/>
      <c r="I180" s="9"/>
      <c r="J180" s="94"/>
      <c r="K180" s="94"/>
    </row>
    <row r="181" spans="1:11" ht="14.45">
      <c r="A181" s="8"/>
      <c r="B181" s="13"/>
      <c r="C181" s="8"/>
      <c r="D181" s="8"/>
      <c r="E181" s="8"/>
      <c r="F181" s="9"/>
      <c r="G181" s="8"/>
      <c r="H181" s="8"/>
      <c r="I181" s="9"/>
      <c r="J181" s="94"/>
      <c r="K181" s="94"/>
    </row>
    <row r="182" spans="1:11" ht="14.45">
      <c r="A182" s="8"/>
      <c r="B182" s="13"/>
      <c r="C182" s="8"/>
      <c r="D182" s="8"/>
      <c r="E182" s="8"/>
      <c r="F182" s="9"/>
      <c r="G182" s="8"/>
      <c r="H182" s="8"/>
      <c r="I182" s="9"/>
      <c r="J182" s="94"/>
      <c r="K182" s="94"/>
    </row>
    <row r="183" spans="1:11" ht="14.45">
      <c r="A183" s="8"/>
      <c r="B183" s="13"/>
      <c r="C183" s="8"/>
      <c r="D183" s="8"/>
      <c r="E183" s="8"/>
      <c r="F183" s="9"/>
      <c r="G183" s="8"/>
      <c r="H183" s="8"/>
      <c r="I183" s="9"/>
      <c r="J183" s="94"/>
      <c r="K183" s="94"/>
    </row>
    <row r="184" spans="1:11" ht="14.45">
      <c r="A184" s="8"/>
      <c r="B184" s="13"/>
      <c r="C184" s="8"/>
      <c r="D184" s="8"/>
      <c r="E184" s="8"/>
      <c r="F184" s="9"/>
      <c r="G184" s="8"/>
      <c r="H184" s="8"/>
      <c r="I184" s="9"/>
      <c r="J184" s="94"/>
      <c r="K184" s="94"/>
    </row>
    <row r="185" spans="1:11" ht="14.45">
      <c r="A185" s="8"/>
      <c r="B185" s="13"/>
      <c r="C185" s="8"/>
      <c r="D185" s="8"/>
      <c r="E185" s="8"/>
      <c r="F185" s="9"/>
      <c r="G185" s="8"/>
      <c r="H185" s="8"/>
      <c r="I185" s="9"/>
      <c r="J185" s="94"/>
      <c r="K185" s="94"/>
    </row>
    <row r="186" spans="1:11" ht="14.45">
      <c r="A186" s="8"/>
      <c r="B186" s="13"/>
      <c r="C186" s="8"/>
      <c r="D186" s="8"/>
      <c r="E186" s="8"/>
      <c r="F186" s="9"/>
      <c r="G186" s="8"/>
      <c r="H186" s="8"/>
      <c r="I186" s="9"/>
      <c r="J186" s="94"/>
      <c r="K186" s="94"/>
    </row>
    <row r="187" spans="1:11" ht="14.45">
      <c r="A187" s="8"/>
      <c r="B187" s="13"/>
      <c r="C187" s="8"/>
      <c r="D187" s="8"/>
      <c r="E187" s="8"/>
      <c r="F187" s="9"/>
      <c r="G187" s="8"/>
      <c r="H187" s="8"/>
      <c r="I187" s="9"/>
      <c r="J187" s="94"/>
      <c r="K187" s="94"/>
    </row>
    <row r="188" spans="1:11" ht="14.45">
      <c r="A188" s="8"/>
      <c r="B188" s="13"/>
      <c r="C188" s="8"/>
      <c r="D188" s="8"/>
      <c r="E188" s="8"/>
      <c r="F188" s="9"/>
      <c r="G188" s="8"/>
      <c r="H188" s="8"/>
      <c r="I188" s="9"/>
      <c r="J188" s="94"/>
      <c r="K188" s="94"/>
    </row>
    <row r="189" spans="1:11" ht="14.45">
      <c r="A189" s="8"/>
      <c r="B189" s="13"/>
      <c r="C189" s="8"/>
      <c r="D189" s="8"/>
      <c r="E189" s="8"/>
      <c r="F189" s="9"/>
      <c r="G189" s="8"/>
      <c r="H189" s="8"/>
      <c r="I189" s="9"/>
      <c r="J189" s="94"/>
      <c r="K189" s="94"/>
    </row>
    <row r="190" spans="1:11" ht="14.45">
      <c r="A190" s="8"/>
      <c r="B190" s="13"/>
      <c r="C190" s="8"/>
      <c r="D190" s="8"/>
      <c r="E190" s="8"/>
      <c r="F190" s="9"/>
      <c r="G190" s="8"/>
      <c r="H190" s="8"/>
      <c r="I190" s="9"/>
      <c r="J190" s="94"/>
      <c r="K190" s="94"/>
    </row>
    <row r="191" spans="1:11" ht="14.45">
      <c r="A191" s="8"/>
      <c r="B191" s="13"/>
      <c r="C191" s="8"/>
      <c r="D191" s="8"/>
      <c r="E191" s="8"/>
      <c r="F191" s="9"/>
      <c r="G191" s="8"/>
      <c r="H191" s="8"/>
      <c r="I191" s="9"/>
      <c r="J191" s="94"/>
      <c r="K191" s="94"/>
    </row>
    <row r="192" spans="1:11" ht="14.45">
      <c r="A192" s="8"/>
      <c r="B192" s="13"/>
      <c r="C192" s="8"/>
      <c r="D192" s="8"/>
      <c r="E192" s="8"/>
      <c r="F192" s="9"/>
      <c r="G192" s="8"/>
      <c r="H192" s="8"/>
      <c r="I192" s="9"/>
      <c r="J192" s="94"/>
      <c r="K192" s="94"/>
    </row>
    <row r="193" spans="1:11" ht="14.45">
      <c r="A193" s="8"/>
      <c r="B193" s="13"/>
      <c r="C193" s="8"/>
      <c r="D193" s="8"/>
      <c r="E193" s="8"/>
      <c r="F193" s="9"/>
      <c r="G193" s="8"/>
      <c r="H193" s="8"/>
      <c r="I193" s="9"/>
      <c r="J193" s="94"/>
      <c r="K193" s="94"/>
    </row>
    <row r="194" spans="1:11" ht="14.45">
      <c r="A194" s="8"/>
      <c r="B194" s="13"/>
      <c r="C194" s="8"/>
      <c r="D194" s="8"/>
      <c r="E194" s="8"/>
      <c r="F194" s="9"/>
      <c r="G194" s="8"/>
      <c r="H194" s="8"/>
      <c r="I194" s="9"/>
      <c r="J194" s="94"/>
      <c r="K194" s="94"/>
    </row>
    <row r="195" spans="1:11" ht="14.45">
      <c r="A195" s="8"/>
      <c r="B195" s="13"/>
      <c r="C195" s="8"/>
      <c r="D195" s="8"/>
      <c r="E195" s="8"/>
      <c r="F195" s="9"/>
      <c r="G195" s="8"/>
      <c r="H195" s="8"/>
      <c r="I195" s="9"/>
      <c r="J195" s="94"/>
      <c r="K195" s="94"/>
    </row>
    <row r="196" spans="1:11" ht="14.45">
      <c r="A196" s="8"/>
      <c r="B196" s="13"/>
      <c r="C196" s="8"/>
      <c r="D196" s="8"/>
      <c r="E196" s="8"/>
      <c r="F196" s="9"/>
      <c r="G196" s="8"/>
      <c r="H196" s="8"/>
      <c r="I196" s="9"/>
      <c r="J196" s="94"/>
      <c r="K196" s="94"/>
    </row>
    <row r="197" spans="1:11" ht="14.45">
      <c r="A197" s="8"/>
      <c r="B197" s="13"/>
      <c r="C197" s="8"/>
      <c r="D197" s="8"/>
      <c r="E197" s="8"/>
      <c r="F197" s="9"/>
      <c r="G197" s="8"/>
      <c r="H197" s="8"/>
      <c r="I197" s="9"/>
      <c r="J197" s="94"/>
      <c r="K197" s="94"/>
    </row>
    <row r="198" spans="1:11" ht="14.45">
      <c r="A198" s="8"/>
      <c r="B198" s="13"/>
      <c r="C198" s="8"/>
      <c r="D198" s="8"/>
      <c r="E198" s="8"/>
      <c r="F198" s="9"/>
      <c r="G198" s="8"/>
      <c r="H198" s="8"/>
      <c r="I198" s="9"/>
      <c r="J198" s="94"/>
      <c r="K198" s="94"/>
    </row>
    <row r="199" spans="1:11" ht="14.45">
      <c r="A199" s="8"/>
      <c r="B199" s="13"/>
      <c r="C199" s="8"/>
      <c r="D199" s="8"/>
      <c r="E199" s="8"/>
      <c r="F199" s="9"/>
      <c r="G199" s="8"/>
      <c r="H199" s="8"/>
      <c r="I199" s="9"/>
      <c r="J199" s="94"/>
      <c r="K199" s="94"/>
    </row>
    <row r="200" spans="1:11" ht="14.45">
      <c r="A200" s="8"/>
      <c r="B200" s="13"/>
      <c r="C200" s="8"/>
      <c r="D200" s="8"/>
      <c r="E200" s="8"/>
      <c r="F200" s="9"/>
      <c r="G200" s="8"/>
      <c r="H200" s="8"/>
      <c r="I200" s="9"/>
      <c r="J200" s="94"/>
      <c r="K200" s="94"/>
    </row>
    <row r="201" spans="1:11" ht="14.45">
      <c r="A201" s="8"/>
      <c r="B201" s="13"/>
      <c r="C201" s="8"/>
      <c r="D201" s="8"/>
      <c r="E201" s="8"/>
      <c r="F201" s="9"/>
      <c r="G201" s="8"/>
      <c r="H201" s="8"/>
      <c r="I201" s="9"/>
      <c r="J201" s="94"/>
      <c r="K201" s="94"/>
    </row>
    <row r="202" spans="1:11" ht="14.45">
      <c r="A202" s="8"/>
      <c r="B202" s="13"/>
      <c r="C202" s="8"/>
      <c r="D202" s="8"/>
      <c r="E202" s="8"/>
      <c r="F202" s="9"/>
      <c r="G202" s="8"/>
      <c r="H202" s="8"/>
      <c r="I202" s="9"/>
      <c r="J202" s="94"/>
      <c r="K202" s="94"/>
    </row>
    <row r="203" spans="1:11" ht="14.45">
      <c r="A203" s="8"/>
      <c r="B203" s="13"/>
      <c r="C203" s="8"/>
      <c r="D203" s="8"/>
      <c r="E203" s="8"/>
      <c r="F203" s="9"/>
      <c r="G203" s="8"/>
      <c r="H203" s="8"/>
      <c r="I203" s="9"/>
      <c r="J203" s="94"/>
      <c r="K203" s="94"/>
    </row>
    <row r="204" spans="1:11" ht="14.45">
      <c r="A204" s="8"/>
      <c r="B204" s="13"/>
      <c r="C204" s="8"/>
      <c r="D204" s="8"/>
      <c r="E204" s="8"/>
      <c r="F204" s="9"/>
      <c r="G204" s="8"/>
      <c r="H204" s="8"/>
      <c r="I204" s="9"/>
      <c r="J204" s="94"/>
      <c r="K204" s="94"/>
    </row>
    <row r="205" spans="1:11" ht="14.45">
      <c r="A205" s="8"/>
      <c r="B205" s="13"/>
      <c r="C205" s="8"/>
      <c r="D205" s="8"/>
      <c r="E205" s="8"/>
      <c r="F205" s="9"/>
      <c r="G205" s="8"/>
      <c r="H205" s="8"/>
      <c r="I205" s="9"/>
      <c r="J205" s="94"/>
      <c r="K205" s="94"/>
    </row>
    <row r="206" spans="1:11" ht="14.45">
      <c r="A206" s="8"/>
      <c r="B206" s="13"/>
      <c r="C206" s="8"/>
      <c r="D206" s="8"/>
      <c r="E206" s="8"/>
      <c r="F206" s="9"/>
      <c r="G206" s="8"/>
      <c r="H206" s="8"/>
      <c r="I206" s="9"/>
      <c r="J206" s="94"/>
      <c r="K206" s="94"/>
    </row>
    <row r="207" spans="1:11" ht="14.45">
      <c r="A207" s="8"/>
      <c r="B207" s="13"/>
      <c r="C207" s="8"/>
      <c r="D207" s="8"/>
      <c r="E207" s="8"/>
      <c r="F207" s="9"/>
      <c r="G207" s="8"/>
      <c r="H207" s="8"/>
      <c r="I207" s="9"/>
      <c r="J207" s="94"/>
      <c r="K207" s="94"/>
    </row>
    <row r="208" spans="1:11" ht="14.45">
      <c r="A208" s="8"/>
      <c r="B208" s="13"/>
      <c r="C208" s="8"/>
      <c r="D208" s="8"/>
      <c r="E208" s="8"/>
      <c r="F208" s="9"/>
      <c r="G208" s="8"/>
      <c r="H208" s="8"/>
      <c r="I208" s="9"/>
      <c r="J208" s="94"/>
      <c r="K208" s="94"/>
    </row>
    <row r="209" spans="1:11" ht="14.45">
      <c r="A209" s="8"/>
      <c r="B209" s="13"/>
      <c r="C209" s="8"/>
      <c r="D209" s="8"/>
      <c r="E209" s="8"/>
      <c r="F209" s="9"/>
      <c r="G209" s="8"/>
      <c r="H209" s="8"/>
      <c r="I209" s="9"/>
      <c r="J209" s="94"/>
      <c r="K209" s="94"/>
    </row>
    <row r="210" spans="1:11" ht="14.45">
      <c r="A210" s="8"/>
      <c r="B210" s="13"/>
      <c r="C210" s="8"/>
      <c r="D210" s="8"/>
      <c r="E210" s="8"/>
      <c r="F210" s="9"/>
      <c r="G210" s="8"/>
      <c r="H210" s="8"/>
      <c r="I210" s="9"/>
      <c r="J210" s="94"/>
      <c r="K210" s="94"/>
    </row>
    <row r="211" spans="1:11" ht="14.45">
      <c r="A211" s="8"/>
      <c r="B211" s="13"/>
      <c r="C211" s="8"/>
      <c r="D211" s="8"/>
      <c r="E211" s="8"/>
      <c r="F211" s="9"/>
      <c r="G211" s="8"/>
      <c r="H211" s="8"/>
      <c r="I211" s="9"/>
      <c r="J211" s="94"/>
      <c r="K211" s="94"/>
    </row>
    <row r="212" spans="1:11" ht="14.45">
      <c r="A212" s="8"/>
      <c r="B212" s="13"/>
      <c r="C212" s="8"/>
      <c r="D212" s="8"/>
      <c r="E212" s="8"/>
      <c r="F212" s="9"/>
      <c r="G212" s="8"/>
      <c r="H212" s="8"/>
      <c r="I212" s="9"/>
      <c r="J212" s="94"/>
      <c r="K212" s="94"/>
    </row>
    <row r="213" spans="1:11" ht="14.45">
      <c r="A213" s="8"/>
      <c r="B213" s="13"/>
      <c r="C213" s="8"/>
      <c r="D213" s="8"/>
      <c r="E213" s="8"/>
      <c r="F213" s="9"/>
      <c r="G213" s="8"/>
      <c r="H213" s="8"/>
      <c r="I213" s="9"/>
      <c r="J213" s="94"/>
      <c r="K213" s="94"/>
    </row>
    <row r="214" spans="1:11" ht="14.45">
      <c r="A214" s="8"/>
      <c r="B214" s="13"/>
      <c r="C214" s="8"/>
      <c r="D214" s="8"/>
      <c r="E214" s="8"/>
      <c r="F214" s="9"/>
      <c r="G214" s="8"/>
      <c r="H214" s="8"/>
      <c r="I214" s="9"/>
      <c r="J214" s="94"/>
      <c r="K214" s="94"/>
    </row>
    <row r="215" spans="1:11" ht="14.45">
      <c r="A215" s="8"/>
      <c r="B215" s="13"/>
      <c r="C215" s="8"/>
      <c r="D215" s="8"/>
      <c r="E215" s="8"/>
      <c r="F215" s="9"/>
      <c r="G215" s="8"/>
      <c r="H215" s="8"/>
      <c r="I215" s="9"/>
      <c r="J215" s="94"/>
      <c r="K215" s="94"/>
    </row>
    <row r="216" spans="1:11" ht="14.45">
      <c r="A216" s="8"/>
      <c r="B216" s="13"/>
      <c r="C216" s="8"/>
      <c r="D216" s="8"/>
      <c r="E216" s="8"/>
      <c r="F216" s="9"/>
      <c r="G216" s="8"/>
      <c r="H216" s="8"/>
      <c r="I216" s="9"/>
      <c r="J216" s="94"/>
      <c r="K216" s="94"/>
    </row>
    <row r="217" spans="1:11" ht="14.45">
      <c r="A217" s="8"/>
      <c r="B217" s="13"/>
      <c r="C217" s="8"/>
      <c r="D217" s="8"/>
      <c r="E217" s="8"/>
      <c r="F217" s="9"/>
      <c r="G217" s="8"/>
      <c r="H217" s="8"/>
      <c r="I217" s="9"/>
      <c r="J217" s="94"/>
      <c r="K217" s="94"/>
    </row>
    <row r="218" spans="1:11" ht="14.45">
      <c r="A218" s="8"/>
      <c r="B218" s="13"/>
      <c r="C218" s="8"/>
      <c r="D218" s="8"/>
      <c r="E218" s="8"/>
      <c r="F218" s="9"/>
      <c r="G218" s="8"/>
      <c r="H218" s="8"/>
      <c r="I218" s="9"/>
      <c r="J218" s="94"/>
      <c r="K218" s="94"/>
    </row>
    <row r="219" spans="1:11" ht="14.45">
      <c r="A219" s="8"/>
      <c r="B219" s="13"/>
      <c r="C219" s="8"/>
      <c r="D219" s="8"/>
      <c r="E219" s="8"/>
      <c r="F219" s="9"/>
      <c r="G219" s="8"/>
      <c r="H219" s="8"/>
      <c r="I219" s="9"/>
      <c r="J219" s="94"/>
      <c r="K219" s="94"/>
    </row>
    <row r="220" spans="1:11" ht="14.45">
      <c r="A220" s="8"/>
      <c r="B220" s="13"/>
      <c r="C220" s="8"/>
      <c r="D220" s="8"/>
      <c r="E220" s="8"/>
      <c r="F220" s="9"/>
      <c r="G220" s="8"/>
      <c r="H220" s="8"/>
      <c r="I220" s="9"/>
      <c r="J220" s="94"/>
      <c r="K220" s="94"/>
    </row>
    <row r="221" spans="1:11" ht="14.45">
      <c r="A221" s="8"/>
      <c r="B221" s="13"/>
      <c r="C221" s="8"/>
      <c r="D221" s="8"/>
      <c r="E221" s="8"/>
      <c r="F221" s="9"/>
      <c r="G221" s="8"/>
      <c r="H221" s="8"/>
      <c r="I221" s="9"/>
      <c r="J221" s="94"/>
      <c r="K221" s="94"/>
    </row>
    <row r="222" spans="1:11" ht="14.45">
      <c r="A222" s="8"/>
      <c r="B222" s="13"/>
      <c r="C222" s="8"/>
      <c r="D222" s="8"/>
      <c r="E222" s="8"/>
      <c r="F222" s="9"/>
      <c r="G222" s="8"/>
      <c r="H222" s="8"/>
      <c r="I222" s="9"/>
      <c r="J222" s="94"/>
      <c r="K222" s="94"/>
    </row>
    <row r="223" spans="1:11" ht="14.45">
      <c r="A223" s="8"/>
      <c r="B223" s="13"/>
      <c r="C223" s="8"/>
      <c r="D223" s="8"/>
      <c r="E223" s="8"/>
      <c r="F223" s="9"/>
      <c r="G223" s="8"/>
      <c r="H223" s="8"/>
      <c r="I223" s="9"/>
      <c r="J223" s="94"/>
      <c r="K223" s="94"/>
    </row>
    <row r="224" spans="1:11" ht="14.45">
      <c r="A224" s="8"/>
      <c r="B224" s="13"/>
      <c r="C224" s="8"/>
      <c r="D224" s="8"/>
      <c r="E224" s="8"/>
      <c r="F224" s="9"/>
      <c r="G224" s="8"/>
      <c r="H224" s="8"/>
      <c r="I224" s="9"/>
      <c r="J224" s="94"/>
      <c r="K224" s="94"/>
    </row>
    <row r="225" spans="1:11" ht="14.45">
      <c r="A225" s="8"/>
      <c r="B225" s="13"/>
      <c r="C225" s="8"/>
      <c r="D225" s="8"/>
      <c r="E225" s="8"/>
      <c r="F225" s="9"/>
      <c r="G225" s="8"/>
      <c r="H225" s="8"/>
      <c r="I225" s="9"/>
      <c r="J225" s="94"/>
      <c r="K225" s="94"/>
    </row>
    <row r="226" spans="1:11" ht="14.45">
      <c r="A226" s="8"/>
      <c r="B226" s="13"/>
      <c r="C226" s="8"/>
      <c r="D226" s="8"/>
      <c r="E226" s="8"/>
      <c r="F226" s="9"/>
      <c r="G226" s="8"/>
      <c r="H226" s="8"/>
      <c r="I226" s="9"/>
      <c r="J226" s="94"/>
      <c r="K226" s="94"/>
    </row>
    <row r="227" spans="1:11" ht="14.45">
      <c r="A227" s="8"/>
      <c r="B227" s="13"/>
      <c r="C227" s="8"/>
      <c r="D227" s="8"/>
      <c r="E227" s="8"/>
      <c r="F227" s="9"/>
      <c r="G227" s="8"/>
      <c r="H227" s="8"/>
      <c r="I227" s="9"/>
      <c r="J227" s="94"/>
      <c r="K227" s="94"/>
    </row>
    <row r="228" spans="1:11" ht="14.45">
      <c r="A228" s="8"/>
      <c r="B228" s="13"/>
      <c r="C228" s="8"/>
      <c r="D228" s="8"/>
      <c r="E228" s="8"/>
      <c r="F228" s="9"/>
      <c r="G228" s="8"/>
      <c r="H228" s="8"/>
      <c r="I228" s="9"/>
      <c r="J228" s="94"/>
      <c r="K228" s="94"/>
    </row>
    <row r="229" spans="1:11" ht="14.45">
      <c r="A229" s="8"/>
      <c r="B229" s="13"/>
      <c r="C229" s="8"/>
      <c r="D229" s="8"/>
      <c r="E229" s="8"/>
      <c r="F229" s="9"/>
      <c r="G229" s="8"/>
      <c r="H229" s="8"/>
      <c r="I229" s="9"/>
      <c r="J229" s="94"/>
      <c r="K229" s="94"/>
    </row>
    <row r="230" spans="1:11" ht="14.45">
      <c r="A230" s="8"/>
      <c r="B230" s="13"/>
      <c r="C230" s="8"/>
      <c r="D230" s="8"/>
      <c r="E230" s="8"/>
      <c r="F230" s="9"/>
      <c r="G230" s="8"/>
      <c r="H230" s="8"/>
      <c r="I230" s="9"/>
      <c r="J230" s="94"/>
      <c r="K230" s="94"/>
    </row>
    <row r="231" spans="1:11" ht="14.45">
      <c r="A231" s="8"/>
      <c r="B231" s="13"/>
      <c r="C231" s="8"/>
      <c r="D231" s="8"/>
      <c r="E231" s="8"/>
      <c r="F231" s="9"/>
      <c r="G231" s="8"/>
      <c r="H231" s="8"/>
      <c r="I231" s="9"/>
      <c r="J231" s="94"/>
      <c r="K231" s="94"/>
    </row>
    <row r="232" spans="1:11" ht="14.45">
      <c r="A232" s="8"/>
      <c r="B232" s="13"/>
      <c r="C232" s="8"/>
      <c r="D232" s="8"/>
      <c r="E232" s="8"/>
      <c r="F232" s="9"/>
      <c r="G232" s="8"/>
      <c r="H232" s="8"/>
      <c r="I232" s="9"/>
      <c r="J232" s="94"/>
      <c r="K232" s="94"/>
    </row>
    <row r="233" spans="1:11" ht="14.45">
      <c r="A233" s="8"/>
      <c r="B233" s="13"/>
      <c r="C233" s="8"/>
      <c r="D233" s="8"/>
      <c r="E233" s="8"/>
      <c r="F233" s="9"/>
      <c r="G233" s="8"/>
      <c r="H233" s="8"/>
      <c r="I233" s="9"/>
      <c r="J233" s="94"/>
      <c r="K233" s="94"/>
    </row>
    <row r="234" spans="1:11" ht="14.45">
      <c r="A234" s="8"/>
      <c r="B234" s="13"/>
      <c r="C234" s="8"/>
      <c r="D234" s="8"/>
      <c r="E234" s="8"/>
      <c r="F234" s="9"/>
      <c r="G234" s="8"/>
      <c r="H234" s="8"/>
      <c r="I234" s="9"/>
      <c r="J234" s="94"/>
      <c r="K234" s="94"/>
    </row>
    <row r="235" spans="1:11" ht="14.45">
      <c r="A235" s="8"/>
      <c r="B235" s="13"/>
      <c r="C235" s="8"/>
      <c r="D235" s="8"/>
      <c r="E235" s="8"/>
      <c r="F235" s="9"/>
      <c r="G235" s="8"/>
      <c r="H235" s="8"/>
      <c r="I235" s="9"/>
      <c r="J235" s="94"/>
      <c r="K235" s="94"/>
    </row>
    <row r="236" spans="1:11" ht="14.45">
      <c r="A236" s="8"/>
      <c r="B236" s="13"/>
      <c r="C236" s="8"/>
      <c r="D236" s="8"/>
      <c r="E236" s="8"/>
      <c r="F236" s="9"/>
      <c r="G236" s="8"/>
      <c r="H236" s="8"/>
      <c r="I236" s="9"/>
      <c r="J236" s="94"/>
      <c r="K236" s="94"/>
    </row>
    <row r="237" spans="1:11" ht="14.45">
      <c r="A237" s="8"/>
      <c r="B237" s="13"/>
      <c r="C237" s="8"/>
      <c r="D237" s="8"/>
      <c r="E237" s="8"/>
      <c r="F237" s="9"/>
      <c r="G237" s="8"/>
      <c r="H237" s="8"/>
      <c r="I237" s="9"/>
      <c r="J237" s="94"/>
      <c r="K237" s="94"/>
    </row>
    <row r="238" spans="1:11" ht="14.45">
      <c r="A238" s="8"/>
      <c r="B238" s="13"/>
      <c r="C238" s="8"/>
      <c r="D238" s="8"/>
      <c r="E238" s="8"/>
      <c r="F238" s="9"/>
      <c r="G238" s="8"/>
      <c r="H238" s="8"/>
      <c r="I238" s="9"/>
      <c r="J238" s="94"/>
      <c r="K238" s="94"/>
    </row>
    <row r="239" spans="1:11" ht="14.45">
      <c r="A239" s="8"/>
      <c r="B239" s="13"/>
      <c r="C239" s="8"/>
      <c r="D239" s="8"/>
      <c r="E239" s="8"/>
      <c r="F239" s="9"/>
      <c r="G239" s="8"/>
      <c r="H239" s="8"/>
      <c r="I239" s="9"/>
      <c r="J239" s="94"/>
      <c r="K239" s="94"/>
    </row>
    <row r="240" spans="1:11" ht="14.45">
      <c r="A240" s="8"/>
      <c r="B240" s="13"/>
      <c r="C240" s="8"/>
      <c r="D240" s="8"/>
      <c r="E240" s="8"/>
      <c r="F240" s="9"/>
      <c r="G240" s="8"/>
      <c r="H240" s="8"/>
      <c r="I240" s="9"/>
      <c r="J240" s="94"/>
      <c r="K240" s="94"/>
    </row>
    <row r="241" spans="1:11" ht="14.45">
      <c r="A241" s="8"/>
      <c r="B241" s="13"/>
      <c r="C241" s="8"/>
      <c r="D241" s="8"/>
      <c r="E241" s="8"/>
      <c r="F241" s="9"/>
      <c r="G241" s="8"/>
      <c r="H241" s="8"/>
      <c r="I241" s="9"/>
      <c r="J241" s="94"/>
      <c r="K241" s="94"/>
    </row>
    <row r="242" spans="1:11" ht="14.45">
      <c r="A242" s="8"/>
      <c r="B242" s="13"/>
      <c r="C242" s="8"/>
      <c r="D242" s="8"/>
      <c r="E242" s="8"/>
      <c r="F242" s="9"/>
      <c r="G242" s="8"/>
      <c r="H242" s="8"/>
      <c r="I242" s="9"/>
      <c r="J242" s="94"/>
      <c r="K242" s="94"/>
    </row>
    <row r="243" spans="1:11" ht="14.45">
      <c r="A243" s="8"/>
      <c r="B243" s="13"/>
      <c r="C243" s="8"/>
      <c r="D243" s="8"/>
      <c r="E243" s="8"/>
      <c r="F243" s="9"/>
      <c r="G243" s="8"/>
      <c r="H243" s="8"/>
      <c r="I243" s="9"/>
      <c r="J243" s="94"/>
      <c r="K243" s="94"/>
    </row>
    <row r="244" spans="1:11" ht="14.45">
      <c r="A244" s="8"/>
      <c r="B244" s="13"/>
      <c r="C244" s="8"/>
      <c r="D244" s="8"/>
      <c r="E244" s="8"/>
      <c r="F244" s="9"/>
      <c r="G244" s="8"/>
      <c r="H244" s="8"/>
      <c r="I244" s="9"/>
      <c r="J244" s="94"/>
      <c r="K244" s="94"/>
    </row>
    <row r="245" spans="1:11" ht="14.45">
      <c r="A245" s="8"/>
      <c r="B245" s="13"/>
      <c r="C245" s="8"/>
      <c r="D245" s="8"/>
      <c r="E245" s="8"/>
      <c r="F245" s="9"/>
      <c r="G245" s="8"/>
      <c r="H245" s="8"/>
      <c r="I245" s="9"/>
      <c r="J245" s="94"/>
      <c r="K245" s="94"/>
    </row>
    <row r="246" spans="1:11" ht="14.45">
      <c r="A246" s="8"/>
      <c r="B246" s="13"/>
      <c r="C246" s="8"/>
      <c r="D246" s="8"/>
      <c r="E246" s="8"/>
      <c r="F246" s="9"/>
      <c r="G246" s="8"/>
      <c r="H246" s="8"/>
      <c r="I246" s="9"/>
      <c r="J246" s="94"/>
      <c r="K246" s="94"/>
    </row>
    <row r="247" spans="1:11" ht="14.45">
      <c r="A247" s="8"/>
      <c r="B247" s="13"/>
      <c r="C247" s="8"/>
      <c r="D247" s="8"/>
      <c r="E247" s="8"/>
      <c r="F247" s="9"/>
      <c r="G247" s="8"/>
      <c r="H247" s="8"/>
      <c r="I247" s="9"/>
      <c r="J247" s="94"/>
      <c r="K247" s="94"/>
    </row>
    <row r="248" spans="1:11" ht="14.45">
      <c r="A248" s="8"/>
      <c r="B248" s="13"/>
      <c r="C248" s="8"/>
      <c r="D248" s="8"/>
      <c r="E248" s="8"/>
      <c r="F248" s="9"/>
      <c r="G248" s="8"/>
      <c r="H248" s="8"/>
      <c r="I248" s="9"/>
      <c r="J248" s="94"/>
      <c r="K248" s="94"/>
    </row>
    <row r="249" spans="1:11" ht="14.45">
      <c r="A249" s="8"/>
      <c r="B249" s="13"/>
      <c r="C249" s="8"/>
      <c r="D249" s="8"/>
      <c r="E249" s="8"/>
      <c r="F249" s="9"/>
      <c r="G249" s="8"/>
      <c r="H249" s="8"/>
      <c r="I249" s="9"/>
      <c r="J249" s="94"/>
      <c r="K249" s="94"/>
    </row>
    <row r="250" spans="1:11" ht="14.45">
      <c r="A250" s="8"/>
      <c r="B250" s="13"/>
      <c r="C250" s="8"/>
      <c r="D250" s="8"/>
      <c r="E250" s="8"/>
      <c r="F250" s="9"/>
      <c r="G250" s="8"/>
      <c r="H250" s="8"/>
      <c r="I250" s="9"/>
      <c r="J250" s="94"/>
      <c r="K250" s="94"/>
    </row>
    <row r="251" spans="1:11" ht="14.45">
      <c r="A251" s="8"/>
      <c r="B251" s="13"/>
      <c r="C251" s="8"/>
      <c r="D251" s="8"/>
      <c r="E251" s="8"/>
      <c r="F251" s="9"/>
      <c r="G251" s="8"/>
      <c r="H251" s="8"/>
      <c r="I251" s="9"/>
      <c r="J251" s="94"/>
      <c r="K251" s="94"/>
    </row>
    <row r="252" spans="1:11" ht="14.45">
      <c r="A252" s="8"/>
      <c r="B252" s="13"/>
      <c r="C252" s="8"/>
      <c r="D252" s="8"/>
      <c r="E252" s="8"/>
      <c r="F252" s="9"/>
      <c r="G252" s="8"/>
      <c r="H252" s="8"/>
      <c r="I252" s="9"/>
      <c r="J252" s="94"/>
      <c r="K252" s="94"/>
    </row>
    <row r="253" spans="1:11" ht="14.45">
      <c r="A253" s="8"/>
      <c r="B253" s="13"/>
      <c r="C253" s="8"/>
      <c r="D253" s="8"/>
      <c r="E253" s="8"/>
      <c r="F253" s="9"/>
      <c r="G253" s="8"/>
      <c r="H253" s="8"/>
      <c r="I253" s="9"/>
      <c r="J253" s="94"/>
      <c r="K253" s="94"/>
    </row>
    <row r="254" spans="1:11" ht="14.45">
      <c r="A254" s="8"/>
      <c r="B254" s="13"/>
      <c r="C254" s="8"/>
      <c r="D254" s="8"/>
      <c r="E254" s="8"/>
      <c r="F254" s="9"/>
      <c r="G254" s="8"/>
      <c r="H254" s="8"/>
      <c r="I254" s="9"/>
      <c r="J254" s="94"/>
      <c r="K254" s="94"/>
    </row>
    <row r="255" spans="1:11" ht="14.45">
      <c r="A255" s="8"/>
      <c r="B255" s="13"/>
      <c r="C255" s="8"/>
      <c r="D255" s="8"/>
      <c r="E255" s="8"/>
      <c r="F255" s="9"/>
      <c r="G255" s="8"/>
      <c r="H255" s="8"/>
      <c r="I255" s="9"/>
      <c r="J255" s="94"/>
      <c r="K255" s="94"/>
    </row>
    <row r="256" spans="1:11" ht="14.45">
      <c r="A256" s="8"/>
      <c r="B256" s="13"/>
      <c r="C256" s="8"/>
      <c r="D256" s="8"/>
      <c r="E256" s="8"/>
      <c r="F256" s="9"/>
      <c r="G256" s="8"/>
      <c r="H256" s="8"/>
      <c r="I256" s="9"/>
      <c r="J256" s="94"/>
      <c r="K256" s="94"/>
    </row>
    <row r="257" spans="1:11" ht="14.45">
      <c r="A257" s="8"/>
      <c r="B257" s="13"/>
      <c r="C257" s="8"/>
      <c r="D257" s="8"/>
      <c r="E257" s="8"/>
      <c r="F257" s="9"/>
      <c r="G257" s="8"/>
      <c r="H257" s="8"/>
      <c r="I257" s="9"/>
      <c r="J257" s="94"/>
      <c r="K257" s="94"/>
    </row>
    <row r="258" spans="1:11" ht="14.45">
      <c r="A258" s="8"/>
      <c r="B258" s="13"/>
      <c r="C258" s="8"/>
      <c r="D258" s="8"/>
      <c r="E258" s="8"/>
      <c r="F258" s="9"/>
      <c r="G258" s="8"/>
      <c r="H258" s="8"/>
      <c r="I258" s="9"/>
      <c r="J258" s="94"/>
      <c r="K258" s="94"/>
    </row>
    <row r="259" spans="1:11" ht="14.45">
      <c r="A259" s="8"/>
      <c r="B259" s="13"/>
      <c r="C259" s="8"/>
      <c r="D259" s="8"/>
      <c r="E259" s="8"/>
      <c r="F259" s="9"/>
      <c r="G259" s="8"/>
      <c r="H259" s="8"/>
      <c r="I259" s="9"/>
      <c r="J259" s="94"/>
      <c r="K259" s="94"/>
    </row>
    <row r="260" spans="1:11" ht="14.45">
      <c r="A260" s="8"/>
      <c r="B260" s="13"/>
      <c r="C260" s="8"/>
      <c r="D260" s="8"/>
      <c r="E260" s="8"/>
      <c r="F260" s="9"/>
      <c r="G260" s="8"/>
      <c r="H260" s="8"/>
      <c r="I260" s="9"/>
      <c r="J260" s="94"/>
      <c r="K260" s="94"/>
    </row>
    <row r="261" spans="1:11" ht="14.45">
      <c r="A261" s="8"/>
      <c r="B261" s="13"/>
      <c r="C261" s="8"/>
      <c r="D261" s="8"/>
      <c r="E261" s="8"/>
      <c r="F261" s="9"/>
      <c r="G261" s="8"/>
      <c r="H261" s="8"/>
      <c r="I261" s="9"/>
      <c r="J261" s="94"/>
      <c r="K261" s="94"/>
    </row>
    <row r="262" spans="1:11" ht="14.45">
      <c r="A262" s="8"/>
      <c r="B262" s="13"/>
      <c r="C262" s="8"/>
      <c r="D262" s="8"/>
      <c r="E262" s="8"/>
      <c r="F262" s="9"/>
      <c r="G262" s="8"/>
      <c r="H262" s="8"/>
      <c r="I262" s="9"/>
      <c r="J262" s="94"/>
      <c r="K262" s="94"/>
    </row>
    <row r="263" spans="1:11" ht="14.45">
      <c r="A263" s="8"/>
      <c r="B263" s="13"/>
      <c r="C263" s="8"/>
      <c r="D263" s="8"/>
      <c r="E263" s="8"/>
      <c r="F263" s="9"/>
      <c r="G263" s="8"/>
      <c r="H263" s="8"/>
      <c r="I263" s="9"/>
      <c r="J263" s="94"/>
      <c r="K263" s="94"/>
    </row>
    <row r="264" spans="1:11" ht="14.45">
      <c r="A264" s="8"/>
      <c r="B264" s="13"/>
      <c r="C264" s="8"/>
      <c r="D264" s="8"/>
      <c r="E264" s="8"/>
      <c r="F264" s="9"/>
      <c r="G264" s="8"/>
      <c r="H264" s="8"/>
      <c r="I264" s="9"/>
      <c r="J264" s="94"/>
      <c r="K264" s="94"/>
    </row>
    <row r="265" spans="1:11" ht="14.45">
      <c r="A265" s="8"/>
      <c r="B265" s="13"/>
      <c r="C265" s="8"/>
      <c r="D265" s="8"/>
      <c r="E265" s="8"/>
      <c r="F265" s="9"/>
      <c r="G265" s="8"/>
      <c r="H265" s="8"/>
      <c r="I265" s="9"/>
      <c r="J265" s="94"/>
      <c r="K265" s="94"/>
    </row>
    <row r="266" spans="1:11" ht="14.45">
      <c r="A266" s="8"/>
      <c r="B266" s="13"/>
      <c r="C266" s="8"/>
      <c r="D266" s="8"/>
      <c r="E266" s="8"/>
      <c r="F266" s="9"/>
      <c r="G266" s="8"/>
      <c r="H266" s="8"/>
      <c r="I266" s="9"/>
      <c r="J266" s="94"/>
      <c r="K266" s="94"/>
    </row>
    <row r="267" spans="1:11" ht="14.45">
      <c r="A267" s="8"/>
      <c r="B267" s="13"/>
      <c r="C267" s="8"/>
      <c r="D267" s="8"/>
      <c r="E267" s="8"/>
      <c r="F267" s="9"/>
      <c r="G267" s="8"/>
      <c r="H267" s="8"/>
      <c r="I267" s="9"/>
      <c r="J267" s="94"/>
      <c r="K267" s="94"/>
    </row>
    <row r="268" spans="1:11" ht="14.45">
      <c r="A268" s="8"/>
      <c r="B268" s="13"/>
      <c r="C268" s="8"/>
      <c r="D268" s="8"/>
      <c r="E268" s="8"/>
      <c r="F268" s="9"/>
      <c r="G268" s="8"/>
      <c r="H268" s="8"/>
      <c r="I268" s="9"/>
      <c r="J268" s="94"/>
      <c r="K268" s="94"/>
    </row>
    <row r="269" spans="1:11" ht="14.45">
      <c r="A269" s="8"/>
      <c r="B269" s="13"/>
      <c r="C269" s="8"/>
      <c r="D269" s="8"/>
      <c r="E269" s="8"/>
      <c r="F269" s="9"/>
      <c r="G269" s="8"/>
      <c r="H269" s="8"/>
      <c r="I269" s="9"/>
      <c r="J269" s="94"/>
      <c r="K269" s="94"/>
    </row>
    <row r="270" spans="1:11" ht="14.45">
      <c r="A270" s="8"/>
      <c r="B270" s="13"/>
      <c r="C270" s="8"/>
      <c r="D270" s="8"/>
      <c r="E270" s="8"/>
      <c r="F270" s="9"/>
      <c r="G270" s="8"/>
      <c r="H270" s="8"/>
      <c r="I270" s="9"/>
      <c r="J270" s="94"/>
      <c r="K270" s="94"/>
    </row>
    <row r="271" spans="1:11" ht="14.45">
      <c r="A271" s="8"/>
      <c r="B271" s="13"/>
      <c r="C271" s="8"/>
      <c r="D271" s="8"/>
      <c r="E271" s="8"/>
      <c r="F271" s="9"/>
      <c r="G271" s="8"/>
      <c r="H271" s="8"/>
      <c r="I271" s="9"/>
      <c r="J271" s="94"/>
      <c r="K271" s="94"/>
    </row>
    <row r="272" spans="1:11" ht="14.45">
      <c r="A272" s="8"/>
      <c r="B272" s="13"/>
      <c r="C272" s="8"/>
      <c r="D272" s="8"/>
      <c r="E272" s="8"/>
      <c r="F272" s="9"/>
      <c r="G272" s="8"/>
      <c r="H272" s="8"/>
      <c r="I272" s="9"/>
      <c r="J272" s="94"/>
      <c r="K272" s="94"/>
    </row>
    <row r="273" spans="1:11" ht="14.45">
      <c r="A273" s="8"/>
      <c r="B273" s="13"/>
      <c r="C273" s="8"/>
      <c r="D273" s="8"/>
      <c r="E273" s="8"/>
      <c r="F273" s="9"/>
      <c r="G273" s="8"/>
      <c r="H273" s="8"/>
      <c r="I273" s="9"/>
      <c r="J273" s="94"/>
      <c r="K273" s="94"/>
    </row>
    <row r="274" spans="1:11" ht="14.45">
      <c r="A274" s="8"/>
      <c r="B274" s="13"/>
      <c r="C274" s="8"/>
      <c r="D274" s="8"/>
      <c r="E274" s="8"/>
      <c r="F274" s="9"/>
      <c r="G274" s="8"/>
      <c r="H274" s="8"/>
      <c r="I274" s="9"/>
      <c r="J274" s="94"/>
      <c r="K274" s="94"/>
    </row>
    <row r="275" spans="1:11" ht="14.45">
      <c r="A275" s="8"/>
      <c r="B275" s="13"/>
      <c r="C275" s="8"/>
      <c r="D275" s="8"/>
      <c r="E275" s="8"/>
      <c r="F275" s="9"/>
      <c r="G275" s="8"/>
      <c r="H275" s="8"/>
      <c r="I275" s="9"/>
      <c r="J275" s="94"/>
      <c r="K275" s="94"/>
    </row>
    <row r="276" spans="1:11" ht="14.45">
      <c r="A276" s="8"/>
      <c r="B276" s="13"/>
      <c r="C276" s="8"/>
      <c r="D276" s="8"/>
      <c r="E276" s="8"/>
      <c r="F276" s="9"/>
      <c r="G276" s="8"/>
      <c r="H276" s="8"/>
      <c r="I276" s="9"/>
      <c r="J276" s="94"/>
      <c r="K276" s="94"/>
    </row>
    <row r="277" spans="1:11" ht="14.45">
      <c r="A277" s="8"/>
      <c r="B277" s="13"/>
      <c r="C277" s="8"/>
      <c r="D277" s="8"/>
      <c r="E277" s="8"/>
      <c r="F277" s="9"/>
      <c r="G277" s="8"/>
      <c r="H277" s="8"/>
      <c r="I277" s="9"/>
      <c r="J277" s="94"/>
      <c r="K277" s="94"/>
    </row>
    <row r="278" spans="1:11" ht="14.45">
      <c r="A278" s="8"/>
      <c r="B278" s="13"/>
      <c r="C278" s="8"/>
      <c r="D278" s="8"/>
      <c r="E278" s="8"/>
      <c r="F278" s="9"/>
      <c r="G278" s="8"/>
      <c r="H278" s="8"/>
      <c r="I278" s="9"/>
      <c r="J278" s="94"/>
      <c r="K278" s="94"/>
    </row>
    <row r="279" spans="1:11" ht="14.45">
      <c r="A279" s="8"/>
      <c r="B279" s="13"/>
      <c r="C279" s="8"/>
      <c r="D279" s="8"/>
      <c r="E279" s="8"/>
      <c r="F279" s="9"/>
      <c r="G279" s="8"/>
      <c r="H279" s="8"/>
      <c r="I279" s="9"/>
      <c r="J279" s="94"/>
      <c r="K279" s="94"/>
    </row>
    <row r="280" spans="1:11" ht="14.45">
      <c r="A280" s="8"/>
      <c r="B280" s="13"/>
      <c r="C280" s="8"/>
      <c r="D280" s="8"/>
      <c r="E280" s="8"/>
      <c r="F280" s="9"/>
      <c r="G280" s="8"/>
      <c r="H280" s="8"/>
      <c r="I280" s="9"/>
      <c r="J280" s="94"/>
      <c r="K280" s="94"/>
    </row>
    <row r="281" spans="1:11" ht="14.45">
      <c r="A281" s="8"/>
      <c r="B281" s="13"/>
      <c r="C281" s="8"/>
      <c r="D281" s="8"/>
      <c r="E281" s="8"/>
      <c r="F281" s="9"/>
      <c r="G281" s="8"/>
      <c r="H281" s="8"/>
      <c r="I281" s="9"/>
      <c r="J281" s="94"/>
      <c r="K281" s="94"/>
    </row>
    <row r="282" spans="1:11" ht="14.45">
      <c r="A282" s="8"/>
      <c r="B282" s="13"/>
      <c r="C282" s="8"/>
      <c r="D282" s="8"/>
      <c r="E282" s="8"/>
      <c r="F282" s="9"/>
      <c r="G282" s="8"/>
      <c r="H282" s="8"/>
      <c r="I282" s="9"/>
      <c r="J282" s="94"/>
      <c r="K282" s="94"/>
    </row>
    <row r="283" spans="1:11" ht="14.45">
      <c r="A283" s="8"/>
      <c r="B283" s="13"/>
      <c r="C283" s="8"/>
      <c r="D283" s="8"/>
      <c r="E283" s="8"/>
      <c r="F283" s="9"/>
      <c r="G283" s="8"/>
      <c r="H283" s="8"/>
      <c r="I283" s="9"/>
      <c r="J283" s="94"/>
      <c r="K283" s="94"/>
    </row>
    <row r="284" spans="1:11" ht="14.45">
      <c r="A284" s="8"/>
      <c r="B284" s="13"/>
      <c r="C284" s="8"/>
      <c r="D284" s="8"/>
      <c r="E284" s="8"/>
      <c r="F284" s="9"/>
      <c r="G284" s="8"/>
      <c r="H284" s="8"/>
      <c r="I284" s="9"/>
      <c r="J284" s="94"/>
      <c r="K284" s="94"/>
    </row>
    <row r="285" spans="1:11" ht="14.45">
      <c r="A285" s="8"/>
      <c r="B285" s="13"/>
      <c r="C285" s="8"/>
      <c r="D285" s="8"/>
      <c r="E285" s="8"/>
      <c r="F285" s="9"/>
      <c r="G285" s="8"/>
      <c r="H285" s="8"/>
      <c r="I285" s="9"/>
      <c r="J285" s="94"/>
      <c r="K285" s="94"/>
    </row>
    <row r="286" spans="1:11" ht="14.45">
      <c r="A286" s="8"/>
      <c r="B286" s="13"/>
      <c r="C286" s="8"/>
      <c r="D286" s="8"/>
      <c r="E286" s="8"/>
      <c r="F286" s="9"/>
      <c r="G286" s="8"/>
      <c r="H286" s="8"/>
      <c r="I286" s="9"/>
      <c r="J286" s="94"/>
      <c r="K286" s="94"/>
    </row>
    <row r="287" spans="1:11" ht="14.45">
      <c r="A287" s="8"/>
      <c r="B287" s="13"/>
      <c r="C287" s="8"/>
      <c r="D287" s="8"/>
      <c r="E287" s="8"/>
      <c r="F287" s="9"/>
      <c r="G287" s="8"/>
      <c r="H287" s="8"/>
      <c r="I287" s="9"/>
      <c r="J287" s="94"/>
      <c r="K287" s="94"/>
    </row>
    <row r="288" spans="1:11" ht="14.45">
      <c r="A288" s="8"/>
      <c r="B288" s="13"/>
      <c r="C288" s="8"/>
      <c r="D288" s="8"/>
      <c r="E288" s="8"/>
      <c r="F288" s="9"/>
      <c r="G288" s="8"/>
      <c r="H288" s="8"/>
      <c r="I288" s="9"/>
      <c r="J288" s="94"/>
      <c r="K288" s="94"/>
    </row>
    <row r="289" spans="1:11" ht="14.45">
      <c r="A289" s="8"/>
      <c r="B289" s="13"/>
      <c r="C289" s="8"/>
      <c r="D289" s="8"/>
      <c r="E289" s="8"/>
      <c r="F289" s="9"/>
      <c r="G289" s="8"/>
      <c r="H289" s="8"/>
      <c r="I289" s="9"/>
      <c r="J289" s="94"/>
      <c r="K289" s="94"/>
    </row>
    <row r="290" spans="1:11" ht="14.45">
      <c r="A290" s="8"/>
      <c r="B290" s="13"/>
      <c r="C290" s="8"/>
      <c r="D290" s="8"/>
      <c r="E290" s="8"/>
      <c r="F290" s="9"/>
      <c r="G290" s="8"/>
      <c r="H290" s="8"/>
      <c r="I290" s="9"/>
      <c r="J290" s="94"/>
      <c r="K290" s="94"/>
    </row>
    <row r="291" spans="1:11" ht="14.45">
      <c r="A291" s="8"/>
      <c r="B291" s="13"/>
      <c r="C291" s="8"/>
      <c r="D291" s="8"/>
      <c r="E291" s="8"/>
      <c r="F291" s="9"/>
      <c r="G291" s="8"/>
      <c r="H291" s="8"/>
      <c r="I291" s="9"/>
      <c r="J291" s="94"/>
      <c r="K291" s="94"/>
    </row>
    <row r="292" spans="1:11" ht="14.45">
      <c r="A292" s="8"/>
      <c r="B292" s="13"/>
      <c r="C292" s="8"/>
      <c r="D292" s="8"/>
      <c r="E292" s="8"/>
      <c r="F292" s="9"/>
      <c r="G292" s="8"/>
      <c r="H292" s="8"/>
      <c r="I292" s="9"/>
      <c r="J292" s="94"/>
      <c r="K292" s="94"/>
    </row>
    <row r="293" spans="1:11" ht="14.45">
      <c r="A293" s="8"/>
      <c r="B293" s="13"/>
      <c r="C293" s="8"/>
      <c r="D293" s="8"/>
      <c r="E293" s="8"/>
      <c r="F293" s="9"/>
      <c r="G293" s="8"/>
      <c r="H293" s="8"/>
      <c r="I293" s="9"/>
      <c r="J293" s="94"/>
      <c r="K293" s="94"/>
    </row>
    <row r="294" spans="1:11" ht="14.45">
      <c r="A294" s="8"/>
      <c r="B294" s="13"/>
      <c r="C294" s="8"/>
      <c r="D294" s="8"/>
      <c r="E294" s="8"/>
      <c r="F294" s="9"/>
      <c r="G294" s="8"/>
      <c r="H294" s="8"/>
      <c r="I294" s="9"/>
      <c r="J294" s="94"/>
      <c r="K294" s="94"/>
    </row>
    <row r="295" spans="1:11" ht="14.45">
      <c r="A295" s="8"/>
      <c r="B295" s="13"/>
      <c r="C295" s="8"/>
      <c r="D295" s="8"/>
      <c r="E295" s="8"/>
      <c r="F295" s="9"/>
      <c r="G295" s="8"/>
      <c r="H295" s="8"/>
      <c r="I295" s="9"/>
      <c r="J295" s="94"/>
      <c r="K295" s="94"/>
    </row>
    <row r="296" spans="1:11" ht="14.45">
      <c r="A296" s="8"/>
      <c r="B296" s="13"/>
      <c r="C296" s="8"/>
      <c r="D296" s="8"/>
      <c r="E296" s="8"/>
      <c r="F296" s="9"/>
      <c r="G296" s="8"/>
      <c r="H296" s="8"/>
      <c r="I296" s="9"/>
      <c r="J296" s="94"/>
      <c r="K296" s="94"/>
    </row>
    <row r="297" spans="1:11" ht="14.45">
      <c r="A297" s="8"/>
      <c r="B297" s="13"/>
      <c r="C297" s="8"/>
      <c r="D297" s="8"/>
      <c r="E297" s="8"/>
      <c r="F297" s="9"/>
      <c r="G297" s="8"/>
      <c r="H297" s="8"/>
      <c r="I297" s="9"/>
      <c r="J297" s="94"/>
      <c r="K297" s="94"/>
    </row>
    <row r="298" spans="1:11" ht="14.45">
      <c r="A298" s="8"/>
      <c r="B298" s="13"/>
      <c r="C298" s="8"/>
      <c r="D298" s="8"/>
      <c r="E298" s="8"/>
      <c r="F298" s="9"/>
      <c r="G298" s="8"/>
      <c r="H298" s="8"/>
      <c r="I298" s="9"/>
      <c r="J298" s="94"/>
      <c r="K298" s="94"/>
    </row>
    <row r="299" spans="1:11" ht="14.45">
      <c r="A299" s="8"/>
      <c r="B299" s="13"/>
      <c r="C299" s="8"/>
      <c r="D299" s="8"/>
      <c r="E299" s="8"/>
      <c r="F299" s="9"/>
      <c r="G299" s="8"/>
      <c r="H299" s="8"/>
      <c r="I299" s="9"/>
      <c r="J299" s="94"/>
      <c r="K299" s="94"/>
    </row>
    <row r="300" spans="1:11" ht="14.45">
      <c r="A300" s="8"/>
      <c r="B300" s="13"/>
      <c r="C300" s="8"/>
      <c r="D300" s="8"/>
      <c r="E300" s="8"/>
      <c r="F300" s="9"/>
      <c r="G300" s="8"/>
      <c r="H300" s="8"/>
      <c r="I300" s="9"/>
      <c r="J300" s="94"/>
      <c r="K300" s="94"/>
    </row>
    <row r="301" spans="1:11" ht="14.45">
      <c r="A301" s="8"/>
      <c r="B301" s="13"/>
      <c r="C301" s="8"/>
      <c r="D301" s="8"/>
      <c r="E301" s="8"/>
      <c r="F301" s="9"/>
      <c r="G301" s="8"/>
      <c r="H301" s="8"/>
      <c r="I301" s="9"/>
      <c r="J301" s="94"/>
      <c r="K301" s="94"/>
    </row>
    <row r="302" spans="1:11" ht="14.45">
      <c r="A302" s="8"/>
      <c r="B302" s="13"/>
      <c r="C302" s="8"/>
      <c r="D302" s="8"/>
      <c r="E302" s="8"/>
      <c r="F302" s="9"/>
      <c r="G302" s="8"/>
      <c r="H302" s="8"/>
      <c r="I302" s="9"/>
      <c r="J302" s="94"/>
      <c r="K302" s="94"/>
    </row>
    <row r="303" spans="1:11" ht="14.45">
      <c r="A303" s="8"/>
      <c r="B303" s="13"/>
      <c r="C303" s="8"/>
      <c r="D303" s="8"/>
      <c r="E303" s="8"/>
      <c r="F303" s="9"/>
      <c r="G303" s="8"/>
      <c r="H303" s="8"/>
      <c r="I303" s="9"/>
      <c r="J303" s="94"/>
      <c r="K303" s="94"/>
    </row>
    <row r="304" spans="1:11" ht="14.45">
      <c r="A304" s="8"/>
      <c r="B304" s="13"/>
      <c r="C304" s="8"/>
      <c r="D304" s="8"/>
      <c r="E304" s="8"/>
      <c r="F304" s="9"/>
      <c r="G304" s="8"/>
      <c r="H304" s="8"/>
      <c r="I304" s="9"/>
      <c r="J304" s="94"/>
      <c r="K304" s="94"/>
    </row>
    <row r="305" spans="1:11" ht="14.45">
      <c r="A305" s="8"/>
      <c r="B305" s="13"/>
      <c r="C305" s="8"/>
      <c r="D305" s="8"/>
      <c r="E305" s="8"/>
      <c r="F305" s="9"/>
      <c r="G305" s="8"/>
      <c r="H305" s="8"/>
      <c r="I305" s="9"/>
      <c r="J305" s="94"/>
      <c r="K305" s="94"/>
    </row>
    <row r="306" spans="1:11" ht="14.45">
      <c r="A306" s="8"/>
      <c r="B306" s="13"/>
      <c r="C306" s="8"/>
      <c r="D306" s="8"/>
      <c r="E306" s="8"/>
      <c r="F306" s="9"/>
      <c r="G306" s="8"/>
      <c r="H306" s="8"/>
      <c r="I306" s="9"/>
      <c r="J306" s="94"/>
      <c r="K306" s="94"/>
    </row>
    <row r="307" spans="1:11" ht="14.45">
      <c r="A307" s="8"/>
      <c r="B307" s="13"/>
      <c r="C307" s="8"/>
      <c r="D307" s="8"/>
      <c r="E307" s="8"/>
      <c r="F307" s="9"/>
      <c r="G307" s="8"/>
      <c r="H307" s="8"/>
      <c r="I307" s="9"/>
      <c r="J307" s="94"/>
      <c r="K307" s="94"/>
    </row>
    <row r="308" spans="1:11" ht="14.45">
      <c r="A308" s="8"/>
      <c r="B308" s="13"/>
      <c r="C308" s="8"/>
      <c r="D308" s="8"/>
      <c r="E308" s="8"/>
      <c r="F308" s="9"/>
      <c r="G308" s="8"/>
      <c r="H308" s="8"/>
      <c r="I308" s="9"/>
      <c r="J308" s="94"/>
      <c r="K308" s="94"/>
    </row>
    <row r="309" spans="1:11" ht="14.45">
      <c r="A309" s="8"/>
      <c r="B309" s="13"/>
      <c r="C309" s="8"/>
      <c r="D309" s="8"/>
      <c r="E309" s="8"/>
      <c r="F309" s="9"/>
      <c r="G309" s="8"/>
      <c r="H309" s="8"/>
      <c r="I309" s="9"/>
      <c r="J309" s="94"/>
      <c r="K309" s="94"/>
    </row>
    <row r="310" spans="1:11" ht="14.45">
      <c r="A310" s="8"/>
      <c r="B310" s="13"/>
      <c r="C310" s="8"/>
      <c r="D310" s="8"/>
      <c r="E310" s="8"/>
      <c r="F310" s="9"/>
      <c r="G310" s="8"/>
      <c r="H310" s="8"/>
      <c r="I310" s="9"/>
      <c r="J310" s="94"/>
      <c r="K310" s="94"/>
    </row>
    <row r="311" spans="1:11" ht="14.45">
      <c r="A311" s="8"/>
      <c r="B311" s="13"/>
      <c r="C311" s="8"/>
      <c r="D311" s="8"/>
      <c r="E311" s="8"/>
      <c r="F311" s="9"/>
      <c r="G311" s="8"/>
      <c r="H311" s="8"/>
      <c r="I311" s="9"/>
      <c r="J311" s="94"/>
      <c r="K311" s="94"/>
    </row>
    <row r="312" spans="1:11" ht="14.45">
      <c r="A312" s="8"/>
      <c r="B312" s="13"/>
      <c r="C312" s="8"/>
      <c r="D312" s="8"/>
      <c r="E312" s="8"/>
      <c r="F312" s="9"/>
      <c r="G312" s="8"/>
      <c r="H312" s="8"/>
      <c r="I312" s="9"/>
      <c r="J312" s="94"/>
      <c r="K312" s="94"/>
    </row>
    <row r="313" spans="1:11" ht="14.45">
      <c r="A313" s="8"/>
      <c r="B313" s="13"/>
      <c r="C313" s="8"/>
      <c r="D313" s="8"/>
      <c r="E313" s="8"/>
      <c r="F313" s="9"/>
      <c r="G313" s="8"/>
      <c r="H313" s="8"/>
      <c r="I313" s="9"/>
      <c r="J313" s="94"/>
      <c r="K313" s="94"/>
    </row>
    <row r="314" spans="1:11" ht="14.45">
      <c r="A314" s="8"/>
      <c r="B314" s="13"/>
      <c r="C314" s="8"/>
      <c r="D314" s="8"/>
      <c r="E314" s="8"/>
      <c r="F314" s="9"/>
      <c r="G314" s="8"/>
      <c r="H314" s="8"/>
      <c r="I314" s="9"/>
      <c r="J314" s="94"/>
      <c r="K314" s="94"/>
    </row>
    <row r="315" spans="1:11" ht="14.45">
      <c r="A315" s="8"/>
      <c r="B315" s="13"/>
      <c r="C315" s="8"/>
      <c r="D315" s="8"/>
      <c r="E315" s="8"/>
      <c r="F315" s="9"/>
      <c r="G315" s="8"/>
      <c r="H315" s="8"/>
      <c r="I315" s="9"/>
      <c r="J315" s="94"/>
      <c r="K315" s="94"/>
    </row>
    <row r="316" spans="1:11" ht="14.45">
      <c r="A316" s="8"/>
      <c r="B316" s="13"/>
      <c r="C316" s="8"/>
      <c r="D316" s="8"/>
      <c r="E316" s="8"/>
      <c r="F316" s="9"/>
      <c r="G316" s="8"/>
      <c r="H316" s="8"/>
      <c r="I316" s="9"/>
      <c r="J316" s="94"/>
      <c r="K316" s="94"/>
    </row>
    <row r="317" spans="1:11" ht="14.45">
      <c r="A317" s="8"/>
      <c r="B317" s="13"/>
      <c r="C317" s="8"/>
      <c r="D317" s="8"/>
      <c r="E317" s="8"/>
      <c r="F317" s="9"/>
      <c r="G317" s="8"/>
      <c r="H317" s="8"/>
      <c r="I317" s="9"/>
      <c r="J317" s="94"/>
      <c r="K317" s="94"/>
    </row>
    <row r="318" spans="1:11" ht="14.45">
      <c r="A318" s="8"/>
      <c r="B318" s="13"/>
      <c r="C318" s="8"/>
      <c r="D318" s="8"/>
      <c r="E318" s="8"/>
      <c r="F318" s="9"/>
      <c r="G318" s="8"/>
      <c r="H318" s="8"/>
      <c r="I318" s="9"/>
      <c r="J318" s="94"/>
      <c r="K318" s="94"/>
    </row>
    <row r="319" spans="1:11" ht="14.45">
      <c r="A319" s="8"/>
      <c r="B319" s="13"/>
      <c r="C319" s="8"/>
      <c r="D319" s="8"/>
      <c r="E319" s="8"/>
      <c r="F319" s="9"/>
      <c r="G319" s="8"/>
      <c r="H319" s="8"/>
      <c r="I319" s="9"/>
      <c r="J319" s="94"/>
      <c r="K319" s="94"/>
    </row>
    <row r="320" spans="1:11" ht="14.45">
      <c r="A320" s="8"/>
      <c r="B320" s="13"/>
      <c r="C320" s="8"/>
      <c r="D320" s="8"/>
      <c r="E320" s="8"/>
      <c r="F320" s="9"/>
      <c r="G320" s="8"/>
      <c r="H320" s="8"/>
      <c r="I320" s="9"/>
      <c r="J320" s="94"/>
      <c r="K320" s="94"/>
    </row>
    <row r="321" spans="1:11" ht="14.45">
      <c r="A321" s="8"/>
      <c r="B321" s="13"/>
      <c r="C321" s="8"/>
      <c r="D321" s="8"/>
      <c r="E321" s="8"/>
      <c r="F321" s="9"/>
      <c r="G321" s="8"/>
      <c r="H321" s="8"/>
      <c r="I321" s="9"/>
      <c r="J321" s="94"/>
      <c r="K321" s="94"/>
    </row>
    <row r="322" spans="1:11" ht="14.45">
      <c r="A322" s="8"/>
      <c r="B322" s="13"/>
      <c r="C322" s="8"/>
      <c r="D322" s="8"/>
      <c r="E322" s="8"/>
      <c r="F322" s="9"/>
      <c r="G322" s="8"/>
      <c r="H322" s="8"/>
      <c r="I322" s="9"/>
      <c r="J322" s="94"/>
      <c r="K322" s="94"/>
    </row>
    <row r="323" spans="1:11" ht="14.45">
      <c r="A323" s="8"/>
      <c r="B323" s="13"/>
      <c r="C323" s="8"/>
      <c r="D323" s="8"/>
      <c r="E323" s="8"/>
      <c r="F323" s="9"/>
      <c r="G323" s="8"/>
      <c r="H323" s="8"/>
      <c r="I323" s="9"/>
      <c r="J323" s="94"/>
      <c r="K323" s="94"/>
    </row>
    <row r="324" spans="1:11" ht="14.45">
      <c r="A324" s="8"/>
      <c r="B324" s="13"/>
      <c r="C324" s="8"/>
      <c r="D324" s="8"/>
      <c r="E324" s="8"/>
      <c r="F324" s="9"/>
      <c r="G324" s="8"/>
      <c r="H324" s="8"/>
      <c r="I324" s="9"/>
      <c r="J324" s="94"/>
      <c r="K324" s="94"/>
    </row>
    <row r="325" spans="1:11" ht="14.45">
      <c r="A325" s="8"/>
      <c r="B325" s="13"/>
      <c r="C325" s="8"/>
      <c r="D325" s="8"/>
      <c r="E325" s="8"/>
      <c r="F325" s="9"/>
      <c r="G325" s="8"/>
      <c r="H325" s="8"/>
      <c r="I325" s="9"/>
      <c r="J325" s="94"/>
      <c r="K325" s="94"/>
    </row>
    <row r="326" spans="1:11" ht="14.45">
      <c r="C326" s="8"/>
      <c r="D326" s="8"/>
      <c r="E326" s="8"/>
      <c r="F326" s="9"/>
      <c r="G326" s="8"/>
      <c r="H326" s="8"/>
      <c r="I326" s="9"/>
      <c r="J326" s="94"/>
      <c r="K326" s="94"/>
    </row>
  </sheetData>
  <mergeCells count="4">
    <mergeCell ref="G1:I1"/>
    <mergeCell ref="A1:C1"/>
    <mergeCell ref="D1:F1"/>
    <mergeCell ref="A2:B2"/>
  </mergeCells>
  <conditionalFormatting sqref="F2 I2 F4:F85 I4:I85">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326"/>
  <sheetViews>
    <sheetView zoomScale="50" zoomScaleNormal="50" workbookViewId="0">
      <pane xSplit="2" ySplit="3" topLeftCell="D66" activePane="bottomRight" state="frozen"/>
      <selection pane="bottomRight" activeCell="P59" sqref="P59"/>
      <selection pane="bottomLeft" activeCell="J4" sqref="J4:Y85"/>
      <selection pane="topRight" activeCell="J4" sqref="J4:Y85"/>
    </sheetView>
  </sheetViews>
  <sheetFormatPr defaultRowHeight="14.45"/>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style="110" customWidth="1"/>
    <col min="11" max="11" width="20.5703125" style="110" bestFit="1" customWidth="1"/>
    <col min="12" max="12" width="14.42578125" style="106" customWidth="1"/>
  </cols>
  <sheetData>
    <row r="1" spans="1:18" ht="19.5" customHeight="1">
      <c r="A1" s="122" t="str" cm="1">
        <f t="array" ref="A1">portfolio</f>
        <v>Clean Capital</v>
      </c>
      <c r="B1" s="122"/>
      <c r="C1" s="122"/>
      <c r="D1" s="123" t="s">
        <v>285</v>
      </c>
      <c r="E1" s="123"/>
      <c r="F1" s="123"/>
      <c r="G1" s="121" t="s">
        <v>286</v>
      </c>
      <c r="H1" s="121"/>
      <c r="I1" s="121"/>
      <c r="J1" s="107"/>
      <c r="K1" s="107"/>
      <c r="L1" s="115"/>
    </row>
    <row r="2" spans="1:18" ht="19.5" customHeight="1">
      <c r="A2" s="124" t="s">
        <v>2</v>
      </c>
      <c r="B2" s="124"/>
      <c r="C2" s="5">
        <f>SUM(C4:C184)</f>
        <v>0</v>
      </c>
      <c r="D2" s="5">
        <f>SUM(D4:D184)</f>
        <v>0</v>
      </c>
      <c r="E2" s="5">
        <f>C2-D2</f>
        <v>0</v>
      </c>
      <c r="F2" s="6">
        <f>IFERROR(E2/D2, 0)</f>
        <v>0</v>
      </c>
      <c r="G2" s="5">
        <f>SUM(G4:G184)</f>
        <v>0</v>
      </c>
      <c r="H2" s="7">
        <f>C2-G2</f>
        <v>0</v>
      </c>
      <c r="I2" s="6">
        <f>IFERROR(H2/G2, 0)</f>
        <v>0</v>
      </c>
      <c r="J2" s="10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107"/>
      <c r="L2" s="115"/>
    </row>
    <row r="3" spans="1:18" ht="14.25" customHeight="1">
      <c r="A3" s="12" t="s">
        <v>4</v>
      </c>
      <c r="B3" s="12" t="s">
        <v>5</v>
      </c>
      <c r="C3" s="19" t="s">
        <v>6</v>
      </c>
      <c r="D3" s="20" t="s">
        <v>7</v>
      </c>
      <c r="E3" s="20" t="s">
        <v>8</v>
      </c>
      <c r="F3" s="21" t="s">
        <v>9</v>
      </c>
      <c r="G3" s="22" t="s">
        <v>10</v>
      </c>
      <c r="H3" s="23" t="s">
        <v>8</v>
      </c>
      <c r="I3" s="24" t="s">
        <v>9</v>
      </c>
      <c r="J3" s="109" t="s">
        <v>272</v>
      </c>
      <c r="K3" s="109" t="s">
        <v>22</v>
      </c>
      <c r="L3" s="109" t="s">
        <v>287</v>
      </c>
    </row>
    <row r="4" spans="1:18" ht="48" customHeight="1">
      <c r="A4" s="39" t="str" cm="1">
        <f t="array" ref="A4:A85">Sites[Site]</f>
        <v>Lexington - Cotting School</v>
      </c>
      <c r="B4" s="40" t="str" cm="1">
        <f t="array" ref="B4:B85">Sites[State]</f>
        <v>MA</v>
      </c>
      <c r="C4" s="28"/>
      <c r="D4" s="29"/>
      <c r="E4" s="29" t="str">
        <f>IF(AND(ISNUMBER(C4),ISNUMBER(D4)), C4-D4, "")</f>
        <v/>
      </c>
      <c r="F4" s="30" t="str">
        <f>IFERROR(E4/D4, "")</f>
        <v/>
      </c>
      <c r="G4" s="73"/>
      <c r="H4" s="31" t="str">
        <f>IF(AND(ISNUMBER(C4),ISNUMBER(G4)), C4-G4, "")</f>
        <v/>
      </c>
      <c r="I4" s="32" t="str">
        <f>IFERROR(H4/G4, "")</f>
        <v/>
      </c>
      <c r="J4" s="57"/>
      <c r="K4" s="78"/>
      <c r="L4" s="115"/>
    </row>
    <row r="5" spans="1:18" ht="151.5" customHeight="1">
      <c r="A5" s="41" t="str">
        <v>Pacoima - Whiteman Airport</v>
      </c>
      <c r="B5" s="42" t="str">
        <v>CA</v>
      </c>
      <c r="C5" s="35"/>
      <c r="D5" s="36"/>
      <c r="E5" s="36" t="str">
        <f t="shared" ref="E5:E68" si="0">IF(AND(ISNUMBER(C5),ISNUMBER(D5)), C5-D5, "")</f>
        <v/>
      </c>
      <c r="F5" s="37" t="str">
        <f>IFERROR(E5/D5, "")</f>
        <v/>
      </c>
      <c r="G5" s="38"/>
      <c r="H5" s="38" t="str">
        <f t="shared" ref="H5:H68" si="1">IF(AND(ISNUMBER(C5),ISNUMBER(G5)), C5-G5, "")</f>
        <v/>
      </c>
      <c r="I5" s="37" t="str">
        <f t="shared" ref="I5:I68" si="2">IFERROR(H5/G5, "")</f>
        <v/>
      </c>
      <c r="J5" s="112"/>
      <c r="K5" s="75"/>
      <c r="L5" s="116"/>
      <c r="M5" s="101"/>
      <c r="N5" s="101"/>
      <c r="O5" s="101"/>
      <c r="P5" s="101"/>
      <c r="Q5" s="101"/>
      <c r="R5" s="101"/>
    </row>
    <row r="6" spans="1:18" ht="15.6">
      <c r="A6" s="43" t="str">
        <v>Hyannis - Sturgis Charter School</v>
      </c>
      <c r="B6" s="40" t="str">
        <v>MA</v>
      </c>
      <c r="C6" s="28"/>
      <c r="D6" s="29"/>
      <c r="E6" s="29" t="str">
        <f t="shared" si="0"/>
        <v/>
      </c>
      <c r="F6" s="30" t="str">
        <f t="shared" ref="F6:F69" si="3">IFERROR(E6/D6, "")</f>
        <v/>
      </c>
      <c r="G6" s="31"/>
      <c r="H6" s="31" t="str">
        <f t="shared" si="1"/>
        <v/>
      </c>
      <c r="I6" s="32" t="str">
        <f t="shared" si="2"/>
        <v/>
      </c>
      <c r="J6" s="57"/>
      <c r="K6" s="57"/>
      <c r="L6" s="115"/>
    </row>
    <row r="7" spans="1:18" ht="15.6">
      <c r="A7" s="41" t="str">
        <v>South Dennis - Tony Kent Arena</v>
      </c>
      <c r="B7" s="42" t="str">
        <v>MA</v>
      </c>
      <c r="C7" s="35"/>
      <c r="D7" s="36"/>
      <c r="E7" s="36" t="str">
        <f t="shared" si="0"/>
        <v/>
      </c>
      <c r="F7" s="37" t="str">
        <f t="shared" si="3"/>
        <v/>
      </c>
      <c r="G7" s="83"/>
      <c r="H7" s="38" t="str">
        <f t="shared" si="1"/>
        <v/>
      </c>
      <c r="I7" s="37" t="str">
        <f t="shared" si="2"/>
        <v/>
      </c>
      <c r="J7" s="112"/>
      <c r="K7" s="112"/>
      <c r="L7" s="115"/>
    </row>
    <row r="8" spans="1:18" ht="15.6">
      <c r="A8" s="43" t="str">
        <v xml:space="preserve"> Caropolis - Felician Sisters</v>
      </c>
      <c r="B8" s="40" t="str">
        <v>PA</v>
      </c>
      <c r="C8" s="28"/>
      <c r="D8" s="29"/>
      <c r="E8" s="29" t="str">
        <f t="shared" si="0"/>
        <v/>
      </c>
      <c r="F8" s="30" t="str">
        <f t="shared" si="3"/>
        <v/>
      </c>
      <c r="G8" s="73"/>
      <c r="H8" s="31" t="str">
        <f t="shared" si="1"/>
        <v/>
      </c>
      <c r="I8" s="32" t="str">
        <f t="shared" si="2"/>
        <v/>
      </c>
      <c r="J8" s="57"/>
      <c r="K8" s="78"/>
      <c r="L8" s="116"/>
      <c r="M8" s="101"/>
    </row>
    <row r="9" spans="1:18" ht="43.5" customHeight="1">
      <c r="A9" s="41" t="str">
        <v>Clear Lake - Eastlake Gohman</v>
      </c>
      <c r="B9" s="42" t="str">
        <v>MN</v>
      </c>
      <c r="C9" s="35"/>
      <c r="D9" s="36"/>
      <c r="E9" s="36" t="str">
        <f t="shared" si="0"/>
        <v/>
      </c>
      <c r="F9" s="37" t="str">
        <f t="shared" si="3"/>
        <v/>
      </c>
      <c r="G9" s="38"/>
      <c r="H9" s="38" t="str">
        <f t="shared" si="1"/>
        <v/>
      </c>
      <c r="I9" s="37" t="str">
        <f t="shared" si="2"/>
        <v/>
      </c>
      <c r="J9" s="112"/>
      <c r="K9" s="75"/>
      <c r="L9" s="116"/>
      <c r="M9" s="101"/>
    </row>
    <row r="10" spans="1:18" ht="15.6">
      <c r="A10" s="43" t="str">
        <v>Zumbrota - Eastlake Brenda Luhman</v>
      </c>
      <c r="B10" s="40" t="str">
        <v>MN</v>
      </c>
      <c r="C10" s="28"/>
      <c r="D10" s="29"/>
      <c r="E10" s="29" t="str">
        <f t="shared" si="0"/>
        <v/>
      </c>
      <c r="F10" s="30" t="str">
        <f t="shared" si="3"/>
        <v/>
      </c>
      <c r="G10" s="31"/>
      <c r="H10" s="31" t="str">
        <f t="shared" si="1"/>
        <v/>
      </c>
      <c r="I10" s="32" t="str">
        <f t="shared" si="2"/>
        <v/>
      </c>
      <c r="J10" s="57"/>
      <c r="K10" s="57"/>
      <c r="L10" s="115"/>
    </row>
    <row r="11" spans="1:18" ht="57" customHeight="1">
      <c r="A11" s="41" t="str">
        <v>Cokato - Eastlake Carlson</v>
      </c>
      <c r="B11" s="42" t="str">
        <v>MN</v>
      </c>
      <c r="C11" s="35"/>
      <c r="D11" s="36"/>
      <c r="E11" s="36" t="str">
        <f t="shared" si="0"/>
        <v/>
      </c>
      <c r="F11" s="37" t="str">
        <f t="shared" si="3"/>
        <v/>
      </c>
      <c r="G11" s="38"/>
      <c r="H11" s="38" t="str">
        <f t="shared" si="1"/>
        <v/>
      </c>
      <c r="I11" s="37" t="str">
        <f t="shared" si="2"/>
        <v/>
      </c>
      <c r="J11" s="112"/>
      <c r="K11" s="75"/>
      <c r="L11" s="116"/>
      <c r="M11" s="101"/>
      <c r="N11" s="101"/>
    </row>
    <row r="12" spans="1:18" ht="68.25" customHeight="1">
      <c r="A12" s="43" t="str">
        <v>North Branch - Cornille 2</v>
      </c>
      <c r="B12" s="40" t="str">
        <v>MN</v>
      </c>
      <c r="C12" s="28"/>
      <c r="D12" s="29"/>
      <c r="E12" s="29" t="str">
        <f t="shared" si="0"/>
        <v/>
      </c>
      <c r="F12" s="30" t="str">
        <f t="shared" si="3"/>
        <v/>
      </c>
      <c r="G12" s="31"/>
      <c r="H12" s="31" t="str">
        <f t="shared" si="1"/>
        <v/>
      </c>
      <c r="I12" s="32" t="str">
        <f t="shared" si="2"/>
        <v/>
      </c>
      <c r="J12" s="57"/>
      <c r="K12" s="78"/>
      <c r="L12" s="116"/>
      <c r="M12" s="101"/>
    </row>
    <row r="13" spans="1:18" ht="15.6">
      <c r="A13" s="41" t="str">
        <v>Clear Lake - Eastlake Hammer</v>
      </c>
      <c r="B13" s="42" t="str">
        <v>MN</v>
      </c>
      <c r="C13" s="35"/>
      <c r="D13" s="36"/>
      <c r="E13" s="36" t="str">
        <f t="shared" si="0"/>
        <v/>
      </c>
      <c r="F13" s="37" t="str">
        <f t="shared" si="3"/>
        <v/>
      </c>
      <c r="G13" s="38"/>
      <c r="H13" s="38" t="str">
        <f t="shared" si="1"/>
        <v/>
      </c>
      <c r="I13" s="37" t="str">
        <f t="shared" si="2"/>
        <v/>
      </c>
      <c r="J13" s="112"/>
      <c r="K13" s="75"/>
      <c r="L13" s="115"/>
    </row>
    <row r="14" spans="1:18" ht="15.6">
      <c r="A14" s="43" t="str">
        <v>Eastlake - Hertzberg CSG 1</v>
      </c>
      <c r="B14" s="40" t="str">
        <v>MN</v>
      </c>
      <c r="C14" s="28"/>
      <c r="D14" s="29"/>
      <c r="E14" s="29" t="str">
        <f t="shared" si="0"/>
        <v/>
      </c>
      <c r="F14" s="30" t="str">
        <f t="shared" si="3"/>
        <v/>
      </c>
      <c r="G14" s="31"/>
      <c r="H14" s="31" t="str">
        <f t="shared" si="1"/>
        <v/>
      </c>
      <c r="I14" s="32" t="str">
        <f t="shared" si="2"/>
        <v/>
      </c>
      <c r="J14" s="57"/>
      <c r="K14" s="78"/>
      <c r="L14" s="116"/>
      <c r="M14" s="101"/>
    </row>
    <row r="15" spans="1:18" ht="33.75" customHeight="1">
      <c r="A15" s="41" t="str">
        <v>Cokato - Eastlake Laurel Village</v>
      </c>
      <c r="B15" s="42" t="str">
        <v>MN</v>
      </c>
      <c r="C15" s="35"/>
      <c r="D15" s="36"/>
      <c r="E15" s="36" t="str">
        <f t="shared" si="0"/>
        <v/>
      </c>
      <c r="F15" s="37" t="str">
        <f t="shared" si="3"/>
        <v/>
      </c>
      <c r="G15" s="38"/>
      <c r="H15" s="38" t="str">
        <f t="shared" si="1"/>
        <v/>
      </c>
      <c r="I15" s="37" t="str">
        <f t="shared" si="2"/>
        <v/>
      </c>
      <c r="J15" s="112"/>
      <c r="K15" s="75"/>
      <c r="L15" s="115"/>
    </row>
    <row r="16" spans="1:18" ht="21" customHeight="1">
      <c r="A16" s="43" t="str">
        <v>St. Peter - Eastlake Paulson</v>
      </c>
      <c r="B16" s="40" t="str">
        <v>MN</v>
      </c>
      <c r="C16" s="28"/>
      <c r="D16" s="29"/>
      <c r="E16" s="29" t="str">
        <f t="shared" si="0"/>
        <v/>
      </c>
      <c r="F16" s="30" t="str">
        <f t="shared" si="3"/>
        <v/>
      </c>
      <c r="G16" s="31"/>
      <c r="H16" s="31" t="str">
        <f t="shared" si="1"/>
        <v/>
      </c>
      <c r="I16" s="32" t="str">
        <f t="shared" si="2"/>
        <v/>
      </c>
      <c r="J16" s="57"/>
      <c r="K16" s="78"/>
      <c r="L16" s="115"/>
    </row>
    <row r="17" spans="1:17" ht="15.6">
      <c r="A17" s="41" t="str">
        <v>Felician Sisters Convent</v>
      </c>
      <c r="B17" s="42" t="str">
        <v>NJ</v>
      </c>
      <c r="C17" s="35"/>
      <c r="D17" s="36"/>
      <c r="E17" s="36" t="str">
        <f t="shared" si="0"/>
        <v/>
      </c>
      <c r="F17" s="37" t="str">
        <f t="shared" si="3"/>
        <v/>
      </c>
      <c r="G17" s="38"/>
      <c r="H17" s="38" t="str">
        <f t="shared" si="1"/>
        <v/>
      </c>
      <c r="I17" s="37" t="str">
        <f t="shared" si="2"/>
        <v/>
      </c>
      <c r="J17" s="112"/>
      <c r="K17" s="75"/>
      <c r="L17" s="116"/>
      <c r="M17" s="101"/>
    </row>
    <row r="18" spans="1:17" ht="15.6">
      <c r="A18" s="43" t="str">
        <v>Sussex County Fairgrounds</v>
      </c>
      <c r="B18" s="40" t="str">
        <v>NJ</v>
      </c>
      <c r="C18" s="28"/>
      <c r="D18" s="29"/>
      <c r="E18" s="29" t="str">
        <f t="shared" si="0"/>
        <v/>
      </c>
      <c r="F18" s="30" t="str">
        <f t="shared" si="3"/>
        <v/>
      </c>
      <c r="G18" s="31"/>
      <c r="H18" s="31" t="str">
        <f t="shared" si="1"/>
        <v/>
      </c>
      <c r="I18" s="32" t="str">
        <f t="shared" si="2"/>
        <v/>
      </c>
      <c r="J18" s="57"/>
      <c r="K18" s="78"/>
      <c r="L18" s="115"/>
    </row>
    <row r="19" spans="1:17" ht="15.6">
      <c r="A19" s="41" t="str">
        <v>Gateway Church</v>
      </c>
      <c r="B19" s="42" t="str">
        <v>NJ</v>
      </c>
      <c r="C19" s="35"/>
      <c r="D19" s="36"/>
      <c r="E19" s="36" t="str">
        <f t="shared" si="0"/>
        <v/>
      </c>
      <c r="F19" s="37" t="str">
        <f t="shared" si="3"/>
        <v/>
      </c>
      <c r="G19" s="38"/>
      <c r="H19" s="38" t="str">
        <f t="shared" si="1"/>
        <v/>
      </c>
      <c r="I19" s="37" t="str">
        <f t="shared" si="2"/>
        <v/>
      </c>
      <c r="J19" s="112"/>
      <c r="K19" s="75"/>
      <c r="L19" s="116"/>
      <c r="M19" s="101"/>
    </row>
    <row r="20" spans="1:17" ht="15.6">
      <c r="A20" s="43" t="str">
        <v>Beaver Falls - Felician Sisters</v>
      </c>
      <c r="B20" s="40" t="str">
        <v>PA</v>
      </c>
      <c r="C20" s="28"/>
      <c r="D20" s="29"/>
      <c r="E20" s="29" t="str">
        <f t="shared" si="0"/>
        <v/>
      </c>
      <c r="F20" s="30" t="str">
        <f t="shared" si="3"/>
        <v/>
      </c>
      <c r="G20" s="31"/>
      <c r="H20" s="31" t="str">
        <f t="shared" si="1"/>
        <v/>
      </c>
      <c r="I20" s="32" t="str">
        <f t="shared" si="2"/>
        <v/>
      </c>
      <c r="J20" s="57"/>
      <c r="K20" s="78"/>
      <c r="L20" s="115"/>
    </row>
    <row r="21" spans="1:17" ht="94.5" customHeight="1">
      <c r="A21" s="41" t="str">
        <v>Livonia - Felician Sisters Ground</v>
      </c>
      <c r="B21" s="42" t="str">
        <v>MI</v>
      </c>
      <c r="C21" s="35"/>
      <c r="D21" s="36"/>
      <c r="E21" s="36" t="str">
        <f t="shared" si="0"/>
        <v/>
      </c>
      <c r="F21" s="37" t="str">
        <f t="shared" si="3"/>
        <v/>
      </c>
      <c r="G21" s="38"/>
      <c r="H21" s="38" t="str">
        <f t="shared" si="1"/>
        <v/>
      </c>
      <c r="I21" s="37" t="str">
        <f t="shared" si="2"/>
        <v/>
      </c>
      <c r="J21" s="112"/>
      <c r="K21" s="75"/>
      <c r="L21" s="116"/>
      <c r="M21" s="101"/>
      <c r="N21" s="101"/>
      <c r="O21" s="101"/>
      <c r="P21" s="101"/>
    </row>
    <row r="22" spans="1:17" ht="15.6">
      <c r="A22" s="43" t="str">
        <v>Livonia - Felician Sisters Roof</v>
      </c>
      <c r="B22" s="40" t="str">
        <v>MI</v>
      </c>
      <c r="C22" s="28"/>
      <c r="D22" s="29"/>
      <c r="E22" s="29" t="str">
        <f t="shared" si="0"/>
        <v/>
      </c>
      <c r="F22" s="30" t="str">
        <f t="shared" si="3"/>
        <v/>
      </c>
      <c r="G22" s="31"/>
      <c r="H22" s="31" t="str">
        <f t="shared" si="1"/>
        <v/>
      </c>
      <c r="I22" s="32" t="str">
        <f t="shared" si="2"/>
        <v/>
      </c>
      <c r="J22" s="57"/>
      <c r="K22" s="78"/>
      <c r="L22" s="115"/>
    </row>
    <row r="23" spans="1:17" ht="15.6">
      <c r="A23" s="41" t="str">
        <v>Monmouth Worship Ctr</v>
      </c>
      <c r="B23" s="42" t="str">
        <v>NJ</v>
      </c>
      <c r="C23" s="35"/>
      <c r="D23" s="36"/>
      <c r="E23" s="36" t="str">
        <f t="shared" si="0"/>
        <v/>
      </c>
      <c r="F23" s="37" t="str">
        <f t="shared" si="3"/>
        <v/>
      </c>
      <c r="G23" s="38"/>
      <c r="H23" s="38" t="str">
        <f t="shared" si="1"/>
        <v/>
      </c>
      <c r="I23" s="37" t="str">
        <f t="shared" si="2"/>
        <v/>
      </c>
      <c r="J23" s="112"/>
      <c r="K23" s="112"/>
      <c r="L23" s="115"/>
    </row>
    <row r="24" spans="1:17" ht="15.6">
      <c r="A24" s="43" t="str">
        <v xml:space="preserve"> Audubon - Senior Citizens United</v>
      </c>
      <c r="B24" s="40" t="str">
        <v>NJ</v>
      </c>
      <c r="C24" s="28"/>
      <c r="D24" s="29"/>
      <c r="E24" s="29" t="str">
        <f t="shared" si="0"/>
        <v/>
      </c>
      <c r="F24" s="30" t="str">
        <f t="shared" si="3"/>
        <v/>
      </c>
      <c r="G24" s="31"/>
      <c r="H24" s="31" t="str">
        <f t="shared" si="1"/>
        <v/>
      </c>
      <c r="I24" s="32" t="str">
        <f t="shared" si="2"/>
        <v/>
      </c>
      <c r="J24" s="57"/>
      <c r="K24" s="57"/>
      <c r="L24" s="115"/>
    </row>
    <row r="25" spans="1:17" ht="189" customHeight="1">
      <c r="A25" s="41" t="str">
        <v>Hollister - PG&amp;E (Enerparc)</v>
      </c>
      <c r="B25" s="42" t="str">
        <v>CA</v>
      </c>
      <c r="C25" s="35"/>
      <c r="D25" s="36"/>
      <c r="E25" s="36" t="str">
        <f t="shared" si="0"/>
        <v/>
      </c>
      <c r="F25" s="37" t="str">
        <f t="shared" si="3"/>
        <v/>
      </c>
      <c r="G25" s="38"/>
      <c r="H25" s="38" t="str">
        <f t="shared" si="1"/>
        <v/>
      </c>
      <c r="I25" s="37" t="str">
        <f t="shared" si="2"/>
        <v/>
      </c>
      <c r="J25" s="112"/>
      <c r="K25" s="75"/>
      <c r="L25" s="116"/>
      <c r="M25" s="101"/>
      <c r="N25" s="101"/>
      <c r="O25" s="101"/>
      <c r="P25" s="101"/>
      <c r="Q25" s="101"/>
    </row>
    <row r="26" spans="1:17" ht="15.6">
      <c r="A26" s="43" t="str">
        <v>Taos County - Kit Carson Electric Co-Op</v>
      </c>
      <c r="B26" s="40" t="str">
        <v>NM</v>
      </c>
      <c r="C26" s="28"/>
      <c r="D26" s="29"/>
      <c r="E26" s="29" t="str">
        <f t="shared" si="0"/>
        <v/>
      </c>
      <c r="F26" s="30" t="str">
        <f t="shared" si="3"/>
        <v/>
      </c>
      <c r="G26" s="31"/>
      <c r="H26" s="31" t="str">
        <f t="shared" si="1"/>
        <v/>
      </c>
      <c r="I26" s="32" t="str">
        <f t="shared" si="2"/>
        <v/>
      </c>
      <c r="J26" s="57"/>
      <c r="K26" s="78"/>
      <c r="L26" s="116"/>
      <c r="M26" s="101"/>
    </row>
    <row r="27" spans="1:17" ht="45" customHeight="1">
      <c r="A27" s="41" t="str">
        <v>Commerce City - Adams City HS</v>
      </c>
      <c r="B27" s="42" t="str">
        <v>CO</v>
      </c>
      <c r="C27" s="35"/>
      <c r="D27" s="36"/>
      <c r="E27" s="36" t="str">
        <f t="shared" si="0"/>
        <v/>
      </c>
      <c r="F27" s="37" t="str">
        <f t="shared" si="3"/>
        <v/>
      </c>
      <c r="G27" s="38"/>
      <c r="H27" s="38" t="str">
        <f t="shared" si="1"/>
        <v/>
      </c>
      <c r="I27" s="37" t="str">
        <f t="shared" si="2"/>
        <v/>
      </c>
      <c r="J27" s="112"/>
      <c r="K27" s="112"/>
      <c r="L27" s="115"/>
    </row>
    <row r="28" spans="1:17" ht="15.6">
      <c r="A28" s="43" t="str">
        <v>Commerce City - Adams City MS</v>
      </c>
      <c r="B28" s="40" t="str">
        <v>CO</v>
      </c>
      <c r="C28" s="28"/>
      <c r="D28" s="29"/>
      <c r="E28" s="29" t="str">
        <f t="shared" si="0"/>
        <v/>
      </c>
      <c r="F28" s="30" t="str">
        <f t="shared" si="3"/>
        <v/>
      </c>
      <c r="G28" s="31"/>
      <c r="H28" s="31" t="str">
        <f t="shared" si="1"/>
        <v/>
      </c>
      <c r="I28" s="32" t="str">
        <f t="shared" si="2"/>
        <v/>
      </c>
      <c r="J28" s="57"/>
      <c r="K28" s="57"/>
      <c r="L28" s="115"/>
    </row>
    <row r="29" spans="1:17" ht="15.6">
      <c r="A29" s="41" t="str">
        <v>Commerce City - Central ES</v>
      </c>
      <c r="B29" s="42" t="str">
        <v>CO</v>
      </c>
      <c r="C29" s="35"/>
      <c r="D29" s="36"/>
      <c r="E29" s="36" t="str">
        <f t="shared" si="0"/>
        <v/>
      </c>
      <c r="F29" s="37" t="str">
        <f t="shared" si="3"/>
        <v/>
      </c>
      <c r="G29" s="38"/>
      <c r="H29" s="38" t="str">
        <f t="shared" si="1"/>
        <v/>
      </c>
      <c r="I29" s="37" t="str">
        <f t="shared" si="2"/>
        <v/>
      </c>
      <c r="J29" s="112"/>
      <c r="K29" s="112"/>
      <c r="L29" s="115"/>
    </row>
    <row r="30" spans="1:17" ht="15.6">
      <c r="A30" s="43" t="str">
        <v>Commerce City - Dupont ES</v>
      </c>
      <c r="B30" s="40" t="str">
        <v>CO</v>
      </c>
      <c r="C30" s="28"/>
      <c r="D30" s="29"/>
      <c r="E30" s="29" t="str">
        <f t="shared" si="0"/>
        <v/>
      </c>
      <c r="F30" s="30" t="str">
        <f t="shared" si="3"/>
        <v/>
      </c>
      <c r="G30" s="31"/>
      <c r="H30" s="31" t="str">
        <f t="shared" si="1"/>
        <v/>
      </c>
      <c r="I30" s="32" t="str">
        <f t="shared" si="2"/>
        <v/>
      </c>
      <c r="J30" s="57"/>
      <c r="K30" s="57"/>
      <c r="L30" s="115"/>
    </row>
    <row r="31" spans="1:17" ht="15.6">
      <c r="A31" s="41" t="str">
        <v>Commerce City - Educational Support Services</v>
      </c>
      <c r="B31" s="42" t="str">
        <v>CO</v>
      </c>
      <c r="C31" s="35"/>
      <c r="D31" s="36"/>
      <c r="E31" s="36" t="str">
        <f t="shared" si="0"/>
        <v/>
      </c>
      <c r="F31" s="37" t="str">
        <f t="shared" si="3"/>
        <v/>
      </c>
      <c r="G31" s="38"/>
      <c r="H31" s="38" t="str">
        <f t="shared" si="1"/>
        <v/>
      </c>
      <c r="I31" s="37" t="str">
        <f t="shared" si="2"/>
        <v/>
      </c>
      <c r="J31" s="112"/>
      <c r="K31" s="75"/>
      <c r="L31" s="115"/>
    </row>
    <row r="32" spans="1:17" ht="15.6">
      <c r="A32" s="43" t="str">
        <v>Commerce City - Hanson ES</v>
      </c>
      <c r="B32" s="40" t="str">
        <v>CO</v>
      </c>
      <c r="C32" s="28"/>
      <c r="D32" s="29"/>
      <c r="E32" s="29" t="str">
        <f t="shared" si="0"/>
        <v/>
      </c>
      <c r="F32" s="30" t="str">
        <f t="shared" si="3"/>
        <v/>
      </c>
      <c r="G32" s="31"/>
      <c r="H32" s="31" t="str">
        <f t="shared" si="1"/>
        <v/>
      </c>
      <c r="I32" s="32" t="str">
        <f t="shared" si="2"/>
        <v/>
      </c>
      <c r="J32" s="57"/>
      <c r="K32" s="57"/>
      <c r="L32" s="115"/>
    </row>
    <row r="33" spans="1:15" ht="15.6">
      <c r="A33" s="41" t="str">
        <v>Commerce City - Kemp ES</v>
      </c>
      <c r="B33" s="42" t="str">
        <v>CO</v>
      </c>
      <c r="C33" s="35"/>
      <c r="D33" s="36"/>
      <c r="E33" s="36" t="str">
        <f t="shared" si="0"/>
        <v/>
      </c>
      <c r="F33" s="37" t="str">
        <f t="shared" si="3"/>
        <v/>
      </c>
      <c r="G33" s="38"/>
      <c r="H33" s="38" t="str">
        <f t="shared" si="1"/>
        <v/>
      </c>
      <c r="I33" s="37" t="str">
        <f t="shared" si="2"/>
        <v/>
      </c>
      <c r="J33" s="112"/>
      <c r="K33" s="75"/>
      <c r="L33" s="115"/>
      <c r="M33" s="101"/>
    </row>
    <row r="34" spans="1:15" ht="15.6">
      <c r="A34" s="43" t="str">
        <v>Commerce City -  Lester Arnold HS</v>
      </c>
      <c r="B34" s="40" t="str">
        <v>CO</v>
      </c>
      <c r="C34" s="28"/>
      <c r="D34" s="29"/>
      <c r="E34" s="29" t="str">
        <f t="shared" si="0"/>
        <v/>
      </c>
      <c r="F34" s="30" t="str">
        <f t="shared" si="3"/>
        <v/>
      </c>
      <c r="G34" s="31"/>
      <c r="H34" s="31" t="str">
        <f t="shared" si="1"/>
        <v/>
      </c>
      <c r="I34" s="32" t="str">
        <f t="shared" si="2"/>
        <v/>
      </c>
      <c r="J34" s="57"/>
      <c r="K34" s="57"/>
      <c r="L34" s="115"/>
    </row>
    <row r="35" spans="1:15" ht="15.6">
      <c r="A35" s="41" t="str">
        <v>Commerce City - Monaco ES</v>
      </c>
      <c r="B35" s="42" t="str">
        <v>CO</v>
      </c>
      <c r="C35" s="35"/>
      <c r="D35" s="36"/>
      <c r="E35" s="36" t="str">
        <f t="shared" si="0"/>
        <v/>
      </c>
      <c r="F35" s="37" t="str">
        <f t="shared" si="3"/>
        <v/>
      </c>
      <c r="G35" s="38"/>
      <c r="H35" s="38" t="str">
        <f t="shared" si="1"/>
        <v/>
      </c>
      <c r="I35" s="37" t="str">
        <f t="shared" si="2"/>
        <v/>
      </c>
      <c r="J35" s="112"/>
      <c r="K35" s="112"/>
      <c r="L35" s="115"/>
    </row>
    <row r="36" spans="1:15" ht="15.6">
      <c r="A36" s="43" t="str">
        <v>Denver - Northgate / Old Fort Logan ES</v>
      </c>
      <c r="B36" s="40" t="str">
        <v>CO</v>
      </c>
      <c r="C36" s="28"/>
      <c r="D36" s="29"/>
      <c r="E36" s="29" t="str">
        <f t="shared" si="0"/>
        <v/>
      </c>
      <c r="F36" s="30" t="str">
        <f t="shared" si="3"/>
        <v/>
      </c>
      <c r="G36" s="31"/>
      <c r="H36" s="31" t="str">
        <f t="shared" si="1"/>
        <v/>
      </c>
      <c r="I36" s="32" t="str">
        <f t="shared" si="2"/>
        <v/>
      </c>
      <c r="J36" s="57"/>
      <c r="K36" s="57"/>
      <c r="L36" s="115"/>
    </row>
    <row r="37" spans="1:15" ht="15.6">
      <c r="A37" s="41" t="str">
        <v>Denver - Sheridan High School</v>
      </c>
      <c r="B37" s="42" t="str">
        <v>CO</v>
      </c>
      <c r="C37" s="35"/>
      <c r="D37" s="36"/>
      <c r="E37" s="36" t="str">
        <f t="shared" si="0"/>
        <v/>
      </c>
      <c r="F37" s="37" t="str">
        <f t="shared" si="3"/>
        <v/>
      </c>
      <c r="G37" s="38"/>
      <c r="H37" s="38" t="str">
        <f t="shared" si="1"/>
        <v/>
      </c>
      <c r="I37" s="37" t="str">
        <f t="shared" si="2"/>
        <v/>
      </c>
      <c r="J37" s="112"/>
      <c r="K37" s="112"/>
      <c r="L37" s="115"/>
    </row>
    <row r="38" spans="1:15" ht="15.6">
      <c r="A38" s="43" t="str">
        <v>Englewood -  Alice Terry Elementary</v>
      </c>
      <c r="B38" s="40" t="str">
        <v>CO</v>
      </c>
      <c r="C38" s="28"/>
      <c r="D38" s="29"/>
      <c r="E38" s="29" t="str">
        <f t="shared" si="0"/>
        <v/>
      </c>
      <c r="F38" s="30" t="str">
        <f t="shared" si="3"/>
        <v/>
      </c>
      <c r="G38" s="31"/>
      <c r="H38" s="31" t="str">
        <f t="shared" si="1"/>
        <v/>
      </c>
      <c r="I38" s="32" t="str">
        <f t="shared" si="2"/>
        <v/>
      </c>
      <c r="J38" s="57"/>
      <c r="K38" s="57"/>
      <c r="L38" s="115"/>
    </row>
    <row r="39" spans="1:15" ht="15.6">
      <c r="A39" s="41" t="str">
        <v>Englewood - Sheridan Middle School</v>
      </c>
      <c r="B39" s="42" t="str">
        <v>CO</v>
      </c>
      <c r="C39" s="35"/>
      <c r="D39" s="36"/>
      <c r="E39" s="36" t="str">
        <f t="shared" si="0"/>
        <v/>
      </c>
      <c r="F39" s="37" t="str">
        <f t="shared" si="3"/>
        <v/>
      </c>
      <c r="G39" s="38"/>
      <c r="H39" s="38" t="str">
        <f t="shared" si="1"/>
        <v/>
      </c>
      <c r="I39" s="37" t="str">
        <f t="shared" si="2"/>
        <v/>
      </c>
      <c r="J39" s="112"/>
      <c r="K39" s="75"/>
      <c r="L39" s="115"/>
      <c r="M39" s="101"/>
    </row>
    <row r="40" spans="1:15" ht="67.5" customHeight="1">
      <c r="A40" s="43" t="str">
        <v>Goshen - NIPSCO</v>
      </c>
      <c r="B40" s="40" t="str">
        <v>IN</v>
      </c>
      <c r="C40" s="28"/>
      <c r="D40" s="29"/>
      <c r="E40" s="29" t="str">
        <f t="shared" si="0"/>
        <v/>
      </c>
      <c r="F40" s="30" t="str">
        <f t="shared" si="3"/>
        <v/>
      </c>
      <c r="G40" s="31"/>
      <c r="H40" s="31" t="str">
        <f t="shared" si="1"/>
        <v/>
      </c>
      <c r="I40" s="32" t="str">
        <f t="shared" si="2"/>
        <v/>
      </c>
      <c r="J40" s="57"/>
      <c r="K40" s="78"/>
      <c r="L40" s="115"/>
    </row>
    <row r="41" spans="1:15" ht="15.6">
      <c r="A41" s="41" t="str">
        <v>Alamogordo - City of Alamogordo - Effluent</v>
      </c>
      <c r="B41" s="42" t="str">
        <v>NM</v>
      </c>
      <c r="C41" s="35"/>
      <c r="D41" s="36"/>
      <c r="E41" s="36" t="str">
        <f t="shared" si="0"/>
        <v/>
      </c>
      <c r="F41" s="37" t="str">
        <f t="shared" si="3"/>
        <v/>
      </c>
      <c r="G41" s="38"/>
      <c r="H41" s="38" t="str">
        <f t="shared" si="1"/>
        <v/>
      </c>
      <c r="I41" s="37" t="str">
        <f t="shared" si="2"/>
        <v/>
      </c>
      <c r="J41" s="112"/>
      <c r="K41" s="75"/>
      <c r="L41" s="116"/>
      <c r="M41" s="101"/>
    </row>
    <row r="42" spans="1:15" ht="15.6">
      <c r="A42" s="43" t="str">
        <v>Alamogordo - City of Alamogordo - WWTP</v>
      </c>
      <c r="B42" s="40" t="str">
        <v>NM</v>
      </c>
      <c r="C42" s="28"/>
      <c r="D42" s="29"/>
      <c r="E42" s="29" t="str">
        <f t="shared" si="0"/>
        <v/>
      </c>
      <c r="F42" s="30" t="str">
        <f t="shared" si="3"/>
        <v/>
      </c>
      <c r="G42" s="31"/>
      <c r="H42" s="31" t="str">
        <f t="shared" si="1"/>
        <v/>
      </c>
      <c r="I42" s="32" t="str">
        <f t="shared" si="2"/>
        <v/>
      </c>
      <c r="J42" s="57"/>
      <c r="K42" s="78"/>
      <c r="L42" s="116"/>
      <c r="M42" s="101"/>
      <c r="N42" s="101"/>
      <c r="O42" s="101"/>
    </row>
    <row r="43" spans="1:15" ht="15.6">
      <c r="A43" s="41" t="str">
        <v>Deming - Bilbo Booster</v>
      </c>
      <c r="B43" s="42" t="str">
        <v>NM</v>
      </c>
      <c r="C43" s="35"/>
      <c r="D43" s="36"/>
      <c r="E43" s="36" t="str">
        <f t="shared" si="0"/>
        <v/>
      </c>
      <c r="F43" s="37" t="str">
        <f t="shared" si="3"/>
        <v/>
      </c>
      <c r="G43" s="38"/>
      <c r="H43" s="38" t="str">
        <f t="shared" si="1"/>
        <v/>
      </c>
      <c r="I43" s="37" t="str">
        <f t="shared" si="2"/>
        <v/>
      </c>
      <c r="J43" s="112"/>
      <c r="K43" s="75"/>
      <c r="L43" s="115"/>
    </row>
    <row r="44" spans="1:15" ht="15.6">
      <c r="A44" s="43" t="str">
        <v>Deming - Bilbo Well</v>
      </c>
      <c r="B44" s="40" t="str">
        <v>NM</v>
      </c>
      <c r="C44" s="28"/>
      <c r="D44" s="29"/>
      <c r="E44" s="29" t="str">
        <f t="shared" si="0"/>
        <v/>
      </c>
      <c r="F44" s="30" t="str">
        <f t="shared" si="3"/>
        <v/>
      </c>
      <c r="G44" s="31"/>
      <c r="H44" s="31" t="str">
        <f t="shared" si="1"/>
        <v/>
      </c>
      <c r="I44" s="32" t="str">
        <f t="shared" si="2"/>
        <v/>
      </c>
      <c r="J44" s="57"/>
      <c r="K44" s="78"/>
      <c r="L44" s="116"/>
    </row>
    <row r="45" spans="1:15" ht="15.6">
      <c r="A45" s="41" t="str">
        <v>Deming - WWTP</v>
      </c>
      <c r="B45" s="42" t="str">
        <v>NM</v>
      </c>
      <c r="C45" s="35"/>
      <c r="D45" s="36"/>
      <c r="E45" s="36" t="str">
        <f t="shared" si="0"/>
        <v/>
      </c>
      <c r="F45" s="37" t="str">
        <f t="shared" si="3"/>
        <v/>
      </c>
      <c r="G45" s="38"/>
      <c r="H45" s="38" t="str">
        <f t="shared" si="1"/>
        <v/>
      </c>
      <c r="I45" s="37" t="str">
        <f t="shared" si="2"/>
        <v/>
      </c>
      <c r="J45" s="112"/>
      <c r="K45" s="75"/>
      <c r="L45" s="116"/>
      <c r="M45" s="101"/>
      <c r="N45" s="101"/>
      <c r="O45" s="101"/>
    </row>
    <row r="46" spans="1:15" ht="56.25" customHeight="1">
      <c r="A46" s="43" t="str">
        <v>Truth or Consequences - Walmart</v>
      </c>
      <c r="B46" s="40" t="str">
        <v>NM</v>
      </c>
      <c r="C46" s="28"/>
      <c r="D46" s="29"/>
      <c r="E46" s="29" t="str">
        <f t="shared" si="0"/>
        <v/>
      </c>
      <c r="F46" s="30" t="str">
        <f t="shared" si="3"/>
        <v/>
      </c>
      <c r="G46" s="31"/>
      <c r="H46" s="31" t="str">
        <f t="shared" si="1"/>
        <v/>
      </c>
      <c r="I46" s="32" t="str">
        <f t="shared" si="2"/>
        <v/>
      </c>
      <c r="J46" s="57"/>
      <c r="K46" s="78"/>
      <c r="L46" s="116"/>
      <c r="M46" s="101"/>
      <c r="N46" s="101"/>
    </row>
    <row r="47" spans="1:15" ht="57.75" customHeight="1">
      <c r="A47" s="41" t="str">
        <v>CA: Stockton - SUSD - Merlo</v>
      </c>
      <c r="B47" s="42" t="str">
        <v>CA</v>
      </c>
      <c r="C47" s="35"/>
      <c r="D47" s="36"/>
      <c r="E47" s="36" t="str">
        <f t="shared" si="0"/>
        <v/>
      </c>
      <c r="F47" s="37" t="str">
        <f t="shared" si="3"/>
        <v/>
      </c>
      <c r="G47" s="38"/>
      <c r="H47" s="38" t="str">
        <f t="shared" si="1"/>
        <v/>
      </c>
      <c r="I47" s="37" t="str">
        <f t="shared" si="2"/>
        <v/>
      </c>
      <c r="J47" s="112"/>
      <c r="K47" s="75"/>
      <c r="L47" s="115"/>
      <c r="M47" s="101"/>
      <c r="N47" s="101"/>
    </row>
    <row r="48" spans="1:15" ht="15.6">
      <c r="A48" s="43" t="str">
        <v>Stockton Unified School Dist. - Bush Elementary</v>
      </c>
      <c r="B48" s="40" t="str">
        <v>CA</v>
      </c>
      <c r="C48" s="28"/>
      <c r="D48" s="29"/>
      <c r="E48" s="29" t="str">
        <f t="shared" si="0"/>
        <v/>
      </c>
      <c r="F48" s="30" t="str">
        <f t="shared" si="3"/>
        <v/>
      </c>
      <c r="G48" s="31"/>
      <c r="H48" s="31" t="str">
        <f t="shared" si="1"/>
        <v/>
      </c>
      <c r="I48" s="32" t="str">
        <f t="shared" si="2"/>
        <v/>
      </c>
      <c r="J48" s="57"/>
      <c r="K48" s="78"/>
      <c r="L48" s="116"/>
      <c r="M48" s="101"/>
      <c r="N48" s="101"/>
    </row>
    <row r="49" spans="1:19" ht="15.6">
      <c r="A49" s="41" t="str">
        <v>CA: Stockton - SUSD - Marshall JHS</v>
      </c>
      <c r="B49" s="42" t="str">
        <v>CA</v>
      </c>
      <c r="C49" s="35"/>
      <c r="D49" s="36"/>
      <c r="E49" s="36" t="str">
        <f t="shared" si="0"/>
        <v/>
      </c>
      <c r="F49" s="37" t="str">
        <f t="shared" si="3"/>
        <v/>
      </c>
      <c r="G49" s="38"/>
      <c r="H49" s="38" t="str">
        <f t="shared" si="1"/>
        <v/>
      </c>
      <c r="I49" s="37" t="str">
        <f t="shared" si="2"/>
        <v/>
      </c>
      <c r="J49" s="112"/>
      <c r="K49" s="75"/>
      <c r="L49" s="115"/>
    </row>
    <row r="50" spans="1:19" ht="15.6">
      <c r="A50" s="43" t="str">
        <v>CA: Stockton - SUSD - Hong-Kingston ES</v>
      </c>
      <c r="B50" s="40" t="str">
        <v>CA</v>
      </c>
      <c r="C50" s="28"/>
      <c r="D50" s="29"/>
      <c r="E50" s="29" t="str">
        <f t="shared" si="0"/>
        <v/>
      </c>
      <c r="F50" s="30" t="str">
        <f t="shared" si="3"/>
        <v/>
      </c>
      <c r="G50" s="31"/>
      <c r="H50" s="31" t="str">
        <f t="shared" si="1"/>
        <v/>
      </c>
      <c r="I50" s="32" t="str">
        <f t="shared" si="2"/>
        <v/>
      </c>
      <c r="J50" s="57"/>
      <c r="K50" s="78"/>
      <c r="L50" s="115"/>
      <c r="M50" s="101"/>
    </row>
    <row r="51" spans="1:19" ht="15.6">
      <c r="A51" s="41" t="str">
        <v>CA: Stockton - SUSD - Hamilton ES</v>
      </c>
      <c r="B51" s="42" t="str">
        <v>CA</v>
      </c>
      <c r="C51" s="35"/>
      <c r="D51" s="36"/>
      <c r="E51" s="36" t="str">
        <f t="shared" si="0"/>
        <v/>
      </c>
      <c r="F51" s="37" t="str">
        <f t="shared" si="3"/>
        <v/>
      </c>
      <c r="G51" s="38"/>
      <c r="H51" s="38" t="str">
        <f t="shared" si="1"/>
        <v/>
      </c>
      <c r="I51" s="37" t="str">
        <f t="shared" si="2"/>
        <v/>
      </c>
      <c r="J51" s="112"/>
      <c r="K51" s="75"/>
      <c r="L51" s="115"/>
    </row>
    <row r="52" spans="1:19" ht="15.6">
      <c r="A52" s="43" t="str">
        <v>CA: Stockton - SUSD - Franklin - North</v>
      </c>
      <c r="B52" s="40" t="str">
        <v>CA</v>
      </c>
      <c r="C52" s="28"/>
      <c r="D52" s="29"/>
      <c r="E52" s="29" t="str">
        <f t="shared" si="0"/>
        <v/>
      </c>
      <c r="F52" s="30" t="str">
        <f t="shared" si="3"/>
        <v/>
      </c>
      <c r="G52" s="31"/>
      <c r="H52" s="31" t="str">
        <f t="shared" si="1"/>
        <v/>
      </c>
      <c r="I52" s="32" t="str">
        <f t="shared" si="2"/>
        <v/>
      </c>
      <c r="J52" s="57"/>
      <c r="K52" s="78"/>
      <c r="L52" s="116"/>
      <c r="M52" s="101"/>
      <c r="N52" s="101"/>
      <c r="O52" s="101"/>
    </row>
    <row r="53" spans="1:19" ht="15.6">
      <c r="A53" s="41" t="str">
        <v>Stockton Unified School Dist. - Fillmore Elementary</v>
      </c>
      <c r="B53" s="42" t="str">
        <v>CA</v>
      </c>
      <c r="C53" s="35"/>
      <c r="D53" s="36"/>
      <c r="E53" s="36" t="str">
        <f t="shared" si="0"/>
        <v/>
      </c>
      <c r="F53" s="37" t="str">
        <f t="shared" si="3"/>
        <v/>
      </c>
      <c r="G53" s="38"/>
      <c r="H53" s="38" t="str">
        <f t="shared" si="1"/>
        <v/>
      </c>
      <c r="I53" s="37" t="str">
        <f t="shared" si="2"/>
        <v/>
      </c>
      <c r="J53" s="112"/>
      <c r="K53" s="75"/>
      <c r="L53" s="115"/>
    </row>
    <row r="54" spans="1:19" ht="15.6">
      <c r="A54" s="43" t="str">
        <v>CA: Stockton - SUSD - El Dorado ES</v>
      </c>
      <c r="B54" s="40" t="str">
        <v>CA</v>
      </c>
      <c r="C54" s="28"/>
      <c r="D54" s="29"/>
      <c r="E54" s="29" t="str">
        <f t="shared" si="0"/>
        <v/>
      </c>
      <c r="F54" s="30" t="str">
        <f t="shared" si="3"/>
        <v/>
      </c>
      <c r="G54" s="31"/>
      <c r="H54" s="31" t="str">
        <f t="shared" si="1"/>
        <v/>
      </c>
      <c r="I54" s="32" t="str">
        <f t="shared" si="2"/>
        <v/>
      </c>
      <c r="J54" s="57"/>
      <c r="K54" s="78"/>
      <c r="L54" s="115"/>
    </row>
    <row r="55" spans="1:19" ht="15.6">
      <c r="A55" s="41" t="str">
        <v>CA: Stockton - SUSD - Edison HS</v>
      </c>
      <c r="B55" s="42" t="str">
        <v>CA</v>
      </c>
      <c r="C55" s="35"/>
      <c r="D55" s="36"/>
      <c r="E55" s="36" t="str">
        <f t="shared" si="0"/>
        <v/>
      </c>
      <c r="F55" s="37" t="str">
        <f t="shared" si="3"/>
        <v/>
      </c>
      <c r="G55" s="38"/>
      <c r="H55" s="38" t="str">
        <f t="shared" si="1"/>
        <v/>
      </c>
      <c r="I55" s="37" t="str">
        <f t="shared" si="2"/>
        <v/>
      </c>
      <c r="J55" s="112"/>
      <c r="K55" s="75"/>
      <c r="L55" s="116"/>
      <c r="M55" s="101"/>
      <c r="N55" s="101"/>
      <c r="O55" s="101"/>
      <c r="P55" s="101"/>
      <c r="Q55" s="101"/>
      <c r="R55" s="101"/>
      <c r="S55" s="101"/>
    </row>
    <row r="56" spans="1:19" ht="15.6">
      <c r="A56" s="43" t="str">
        <v>CA: Stockton - SUSD - Chavez HS - Large</v>
      </c>
      <c r="B56" s="40" t="str">
        <v>CA</v>
      </c>
      <c r="C56" s="28"/>
      <c r="D56" s="29"/>
      <c r="E56" s="29" t="str">
        <f t="shared" si="0"/>
        <v/>
      </c>
      <c r="F56" s="30" t="str">
        <f t="shared" si="3"/>
        <v/>
      </c>
      <c r="G56" s="31"/>
      <c r="H56" s="31" t="str">
        <f t="shared" si="1"/>
        <v/>
      </c>
      <c r="I56" s="32" t="str">
        <f t="shared" si="2"/>
        <v/>
      </c>
      <c r="J56" s="57"/>
      <c r="K56" s="78"/>
      <c r="L56" s="116"/>
      <c r="M56" s="101"/>
      <c r="N56" s="101"/>
    </row>
    <row r="57" spans="1:19" ht="32.65" customHeight="1">
      <c r="A57" s="41" t="str">
        <v>CA: San Jose - GE Mobile Water</v>
      </c>
      <c r="B57" s="42" t="str">
        <v>CA</v>
      </c>
      <c r="C57" s="35"/>
      <c r="D57" s="36"/>
      <c r="E57" s="36" t="str">
        <f t="shared" si="0"/>
        <v/>
      </c>
      <c r="F57" s="37" t="str">
        <f t="shared" si="3"/>
        <v/>
      </c>
      <c r="G57" s="38"/>
      <c r="H57" s="38" t="str">
        <f t="shared" si="1"/>
        <v/>
      </c>
      <c r="I57" s="37" t="str">
        <f t="shared" si="2"/>
        <v/>
      </c>
      <c r="J57" s="112"/>
      <c r="K57" s="75"/>
      <c r="L57" s="115"/>
    </row>
    <row r="58" spans="1:19" ht="15.6">
      <c r="A58" s="43" t="str">
        <v>CA: San Marcos - Vallecitos Water - Lift Station</v>
      </c>
      <c r="B58" s="40" t="str">
        <v>CA</v>
      </c>
      <c r="C58" s="28"/>
      <c r="D58" s="29"/>
      <c r="E58" s="29" t="str">
        <f t="shared" si="0"/>
        <v/>
      </c>
      <c r="F58" s="30" t="str">
        <f t="shared" si="3"/>
        <v/>
      </c>
      <c r="G58" s="31"/>
      <c r="H58" s="31" t="str">
        <f t="shared" si="1"/>
        <v/>
      </c>
      <c r="I58" s="32" t="str">
        <f t="shared" si="2"/>
        <v/>
      </c>
      <c r="J58" s="57"/>
      <c r="K58" s="78"/>
      <c r="L58" s="115"/>
    </row>
    <row r="59" spans="1:19" ht="30" customHeight="1">
      <c r="A59" s="41" t="str">
        <v>CA: San Marcos - Vallecitos Water - Twin Oaks Reservoir</v>
      </c>
      <c r="B59" s="42" t="str">
        <v>CA</v>
      </c>
      <c r="C59" s="35"/>
      <c r="D59" s="36"/>
      <c r="E59" s="36" t="str">
        <f t="shared" si="0"/>
        <v/>
      </c>
      <c r="F59" s="37" t="str">
        <f t="shared" si="3"/>
        <v/>
      </c>
      <c r="G59" s="38"/>
      <c r="H59" s="38" t="str">
        <f t="shared" si="1"/>
        <v/>
      </c>
      <c r="I59" s="37" t="str">
        <f t="shared" si="2"/>
        <v/>
      </c>
      <c r="J59" s="112"/>
      <c r="K59" s="75"/>
      <c r="L59" s="115"/>
      <c r="M59" s="101"/>
    </row>
    <row r="60" spans="1:19" ht="15.6">
      <c r="A60" s="43" t="str">
        <v>CA: Stockton - SUSD - Wilhelmina Henry ES</v>
      </c>
      <c r="B60" s="40" t="str">
        <v>CA</v>
      </c>
      <c r="C60" s="28"/>
      <c r="D60" s="29"/>
      <c r="E60" s="29" t="str">
        <f t="shared" si="0"/>
        <v/>
      </c>
      <c r="F60" s="30" t="str">
        <f t="shared" si="3"/>
        <v/>
      </c>
      <c r="G60" s="31"/>
      <c r="H60" s="31" t="str">
        <f t="shared" si="1"/>
        <v/>
      </c>
      <c r="I60" s="32" t="str">
        <f t="shared" si="2"/>
        <v/>
      </c>
      <c r="J60" s="57"/>
      <c r="K60" s="78"/>
      <c r="L60" s="115"/>
    </row>
    <row r="61" spans="1:19" ht="15.6">
      <c r="A61" s="41" t="str">
        <v>Stockton Unified School Dist. - Franklin (North)</v>
      </c>
      <c r="B61" s="42" t="str">
        <v>CA</v>
      </c>
      <c r="C61" s="35"/>
      <c r="D61" s="36"/>
      <c r="E61" s="36" t="str">
        <f t="shared" si="0"/>
        <v/>
      </c>
      <c r="F61" s="37" t="str">
        <f t="shared" si="3"/>
        <v/>
      </c>
      <c r="G61" s="38"/>
      <c r="H61" s="38" t="str">
        <f t="shared" si="1"/>
        <v/>
      </c>
      <c r="I61" s="37" t="str">
        <f t="shared" si="2"/>
        <v/>
      </c>
      <c r="J61" s="112"/>
      <c r="K61" s="75"/>
      <c r="L61" s="116"/>
      <c r="M61" s="101"/>
      <c r="N61" s="101"/>
      <c r="O61" s="101"/>
      <c r="P61" s="101"/>
    </row>
    <row r="62" spans="1:19" ht="15.6">
      <c r="A62" s="43" t="str">
        <v>CA: Stockton - SUSD - Franklin - South</v>
      </c>
      <c r="B62" s="40" t="str">
        <v>CA</v>
      </c>
      <c r="C62" s="28"/>
      <c r="D62" s="29"/>
      <c r="E62" s="29" t="str">
        <f t="shared" si="0"/>
        <v/>
      </c>
      <c r="F62" s="30" t="str">
        <f t="shared" si="3"/>
        <v/>
      </c>
      <c r="G62" s="31"/>
      <c r="H62" s="31" t="str">
        <f t="shared" si="1"/>
        <v/>
      </c>
      <c r="I62" s="32" t="str">
        <f t="shared" si="2"/>
        <v/>
      </c>
      <c r="J62" s="57"/>
      <c r="K62" s="78"/>
      <c r="L62" s="116"/>
      <c r="M62" s="101"/>
      <c r="N62" s="101"/>
      <c r="O62" s="101"/>
    </row>
    <row r="63" spans="1:19" ht="15.6">
      <c r="A63" s="41" t="str">
        <v>CA: Stockton - SUSD - Chavez HS - Small</v>
      </c>
      <c r="B63" s="42" t="str">
        <v>CA</v>
      </c>
      <c r="C63" s="35"/>
      <c r="D63" s="36"/>
      <c r="E63" s="36" t="str">
        <f t="shared" si="0"/>
        <v/>
      </c>
      <c r="F63" s="37" t="str">
        <f t="shared" si="3"/>
        <v/>
      </c>
      <c r="G63" s="38"/>
      <c r="H63" s="38" t="str">
        <f t="shared" si="1"/>
        <v/>
      </c>
      <c r="I63" s="37" t="str">
        <f t="shared" si="2"/>
        <v/>
      </c>
      <c r="J63" s="112"/>
      <c r="K63" s="75"/>
      <c r="L63" s="116"/>
    </row>
    <row r="64" spans="1:19" ht="15.6">
      <c r="A64" s="43" t="str">
        <v>CA: Stockton - SUSD - Facilities</v>
      </c>
      <c r="B64" s="40" t="str">
        <v>CA</v>
      </c>
      <c r="C64" s="28"/>
      <c r="D64" s="29"/>
      <c r="E64" s="29" t="str">
        <f t="shared" si="0"/>
        <v/>
      </c>
      <c r="F64" s="30" t="str">
        <f t="shared" si="3"/>
        <v/>
      </c>
      <c r="G64" s="31"/>
      <c r="H64" s="31" t="str">
        <f t="shared" si="1"/>
        <v/>
      </c>
      <c r="I64" s="32" t="str">
        <f t="shared" si="2"/>
        <v/>
      </c>
      <c r="J64" s="57"/>
      <c r="K64" s="78"/>
      <c r="L64" s="115"/>
    </row>
    <row r="65" spans="1:15" ht="15.6">
      <c r="A65" s="41" t="str">
        <v>CA: Stockton - SUSD - Harrison</v>
      </c>
      <c r="B65" s="42" t="str">
        <v>CA</v>
      </c>
      <c r="C65" s="35"/>
      <c r="D65" s="36"/>
      <c r="E65" s="36" t="str">
        <f t="shared" si="0"/>
        <v/>
      </c>
      <c r="F65" s="37" t="str">
        <f t="shared" si="3"/>
        <v/>
      </c>
      <c r="G65" s="38"/>
      <c r="H65" s="38" t="str">
        <f t="shared" si="1"/>
        <v/>
      </c>
      <c r="I65" s="37" t="str">
        <f t="shared" si="2"/>
        <v/>
      </c>
      <c r="J65" s="112"/>
      <c r="K65" s="75"/>
      <c r="L65" s="115"/>
    </row>
    <row r="66" spans="1:15" ht="15.6">
      <c r="A66" s="43" t="str">
        <v>CA: Stockton - SUSD - Commodore Skills School</v>
      </c>
      <c r="B66" s="40" t="str">
        <v>CA</v>
      </c>
      <c r="C66" s="28"/>
      <c r="D66" s="29"/>
      <c r="E66" s="29" t="str">
        <f t="shared" si="0"/>
        <v/>
      </c>
      <c r="F66" s="30" t="str">
        <f t="shared" si="3"/>
        <v/>
      </c>
      <c r="G66" s="31"/>
      <c r="H66" s="31" t="str">
        <f t="shared" si="1"/>
        <v/>
      </c>
      <c r="I66" s="32" t="str">
        <f t="shared" si="2"/>
        <v/>
      </c>
      <c r="J66" s="57"/>
      <c r="K66" s="78"/>
      <c r="L66" s="116"/>
      <c r="M66" s="101"/>
      <c r="N66" s="101"/>
    </row>
    <row r="67" spans="1:15" ht="15.6">
      <c r="A67" s="41" t="str">
        <v>CA: Stockton - SUSD - Nightingale ES</v>
      </c>
      <c r="B67" s="42" t="str">
        <v>CA</v>
      </c>
      <c r="C67" s="35"/>
      <c r="D67" s="36"/>
      <c r="E67" s="36" t="str">
        <f t="shared" si="0"/>
        <v/>
      </c>
      <c r="F67" s="37" t="str">
        <f t="shared" si="3"/>
        <v/>
      </c>
      <c r="G67" s="38"/>
      <c r="H67" s="38" t="str">
        <f t="shared" si="1"/>
        <v/>
      </c>
      <c r="I67" s="37" t="str">
        <f t="shared" si="2"/>
        <v/>
      </c>
      <c r="J67" s="112"/>
      <c r="K67" s="75"/>
      <c r="L67" s="115"/>
    </row>
    <row r="68" spans="1:15" ht="15.6">
      <c r="A68" s="43" t="str">
        <v>CA: Stockton - SUSD - Weber Institute</v>
      </c>
      <c r="B68" s="40" t="str">
        <v>CA</v>
      </c>
      <c r="C68" s="28"/>
      <c r="D68" s="29"/>
      <c r="E68" s="29" t="str">
        <f t="shared" si="0"/>
        <v/>
      </c>
      <c r="F68" s="30" t="str">
        <f t="shared" si="3"/>
        <v/>
      </c>
      <c r="G68" s="31"/>
      <c r="H68" s="31" t="str">
        <f t="shared" si="1"/>
        <v/>
      </c>
      <c r="I68" s="32" t="str">
        <f t="shared" si="2"/>
        <v/>
      </c>
      <c r="J68" s="57"/>
      <c r="K68" s="78"/>
      <c r="L68" s="115"/>
    </row>
    <row r="69" spans="1:15" ht="15.6">
      <c r="A69" s="41" t="str">
        <v>CA: Stockton - SUSD - Warehouse</v>
      </c>
      <c r="B69" s="42" t="str">
        <v>CA</v>
      </c>
      <c r="C69" s="35"/>
      <c r="D69" s="36"/>
      <c r="E69" s="36" t="str">
        <f t="shared" ref="E69:E85" si="4">IF(AND(ISNUMBER(C69),ISNUMBER(D69)), C69-D69, "")</f>
        <v/>
      </c>
      <c r="F69" s="37" t="str">
        <f t="shared" si="3"/>
        <v/>
      </c>
      <c r="G69" s="38"/>
      <c r="H69" s="38" t="str">
        <f t="shared" ref="H69:H85" si="5">IF(AND(ISNUMBER(C69),ISNUMBER(G69)), C69-G69, "")</f>
        <v/>
      </c>
      <c r="I69" s="37" t="str">
        <f t="shared" ref="I69:I85" si="6">IFERROR(H69/G69, "")</f>
        <v/>
      </c>
      <c r="J69" s="112"/>
      <c r="K69" s="75"/>
      <c r="L69" s="115"/>
      <c r="M69" s="101"/>
    </row>
    <row r="70" spans="1:15" ht="15.6">
      <c r="A70" s="43" t="str">
        <v>CA: Stockton - SUSD - Walton Special Center</v>
      </c>
      <c r="B70" s="40" t="str">
        <v>CA</v>
      </c>
      <c r="C70" s="28"/>
      <c r="D70" s="29"/>
      <c r="E70" s="29" t="str">
        <f t="shared" si="4"/>
        <v/>
      </c>
      <c r="F70" s="30" t="str">
        <f t="shared" ref="F70:F85" si="7">IFERROR(E70/D70, "")</f>
        <v/>
      </c>
      <c r="G70" s="31"/>
      <c r="H70" s="31" t="str">
        <f t="shared" si="5"/>
        <v/>
      </c>
      <c r="I70" s="32" t="str">
        <f t="shared" si="6"/>
        <v/>
      </c>
      <c r="J70" s="57"/>
      <c r="K70" s="78"/>
      <c r="L70" s="116"/>
      <c r="M70" s="101"/>
      <c r="N70" s="101"/>
    </row>
    <row r="71" spans="1:15" ht="15.6">
      <c r="A71" s="41" t="str">
        <v>CA: Stockton - SUSD - Stagg HS</v>
      </c>
      <c r="B71" s="42" t="str">
        <v>CA</v>
      </c>
      <c r="C71" s="35"/>
      <c r="D71" s="36"/>
      <c r="E71" s="36" t="str">
        <f t="shared" si="4"/>
        <v/>
      </c>
      <c r="F71" s="37" t="str">
        <f t="shared" si="7"/>
        <v/>
      </c>
      <c r="G71" s="38"/>
      <c r="H71" s="38" t="str">
        <f t="shared" si="5"/>
        <v/>
      </c>
      <c r="I71" s="37" t="str">
        <f t="shared" si="6"/>
        <v/>
      </c>
      <c r="J71" s="112"/>
      <c r="K71" s="75"/>
      <c r="L71" s="116"/>
      <c r="M71" s="101"/>
    </row>
    <row r="72" spans="1:15" ht="15.6">
      <c r="A72" s="43" t="str">
        <v>CA: Stockton - SUSD - School for Adults</v>
      </c>
      <c r="B72" s="40" t="str">
        <v>CA</v>
      </c>
      <c r="C72" s="28"/>
      <c r="D72" s="29"/>
      <c r="E72" s="29" t="str">
        <f t="shared" si="4"/>
        <v/>
      </c>
      <c r="F72" s="30" t="str">
        <f t="shared" si="7"/>
        <v/>
      </c>
      <c r="G72" s="31"/>
      <c r="H72" s="31" t="str">
        <f t="shared" si="5"/>
        <v/>
      </c>
      <c r="I72" s="32" t="str">
        <f t="shared" si="6"/>
        <v/>
      </c>
      <c r="J72" s="57"/>
      <c r="K72" s="78"/>
      <c r="L72" s="115"/>
    </row>
    <row r="73" spans="1:15" ht="15.6">
      <c r="A73" s="41" t="str">
        <v>CA: Stockton - SUSD - San Joaquin</v>
      </c>
      <c r="B73" s="42" t="str">
        <v>CA</v>
      </c>
      <c r="C73" s="35"/>
      <c r="D73" s="36"/>
      <c r="E73" s="36" t="str">
        <f t="shared" si="4"/>
        <v/>
      </c>
      <c r="F73" s="37" t="str">
        <f t="shared" si="7"/>
        <v/>
      </c>
      <c r="G73" s="38"/>
      <c r="H73" s="38" t="str">
        <f t="shared" si="5"/>
        <v/>
      </c>
      <c r="I73" s="37" t="str">
        <f t="shared" si="6"/>
        <v/>
      </c>
      <c r="J73" s="112"/>
      <c r="K73" s="75"/>
      <c r="L73" s="116"/>
      <c r="M73" s="101"/>
    </row>
    <row r="74" spans="1:15" ht="55.5" customHeight="1">
      <c r="A74" s="43" t="str">
        <v>CA: Stockton - SUSD - Rio Calaveras</v>
      </c>
      <c r="B74" s="40" t="str">
        <v>CA</v>
      </c>
      <c r="C74" s="28"/>
      <c r="D74" s="29"/>
      <c r="E74" s="29" t="str">
        <f t="shared" si="4"/>
        <v/>
      </c>
      <c r="F74" s="30" t="str">
        <f t="shared" si="7"/>
        <v/>
      </c>
      <c r="G74" s="31"/>
      <c r="H74" s="31" t="str">
        <f t="shared" si="5"/>
        <v/>
      </c>
      <c r="I74" s="32" t="str">
        <f t="shared" si="6"/>
        <v/>
      </c>
      <c r="J74" s="57"/>
      <c r="K74" s="78"/>
      <c r="L74" s="116"/>
      <c r="M74" s="101"/>
    </row>
    <row r="75" spans="1:15" ht="34.9" customHeight="1">
      <c r="A75" s="41" t="str">
        <v>CA: Stockton - SUSD - Peyton</v>
      </c>
      <c r="B75" s="42" t="str">
        <v>CA</v>
      </c>
      <c r="C75" s="35"/>
      <c r="D75" s="36"/>
      <c r="E75" s="36" t="str">
        <f t="shared" si="4"/>
        <v/>
      </c>
      <c r="F75" s="37" t="str">
        <f t="shared" si="7"/>
        <v/>
      </c>
      <c r="G75" s="38"/>
      <c r="H75" s="38" t="str">
        <f t="shared" si="5"/>
        <v/>
      </c>
      <c r="I75" s="37" t="str">
        <f t="shared" si="6"/>
        <v/>
      </c>
      <c r="J75" s="112"/>
      <c r="K75" s="75"/>
      <c r="L75" s="116"/>
      <c r="M75" s="101"/>
      <c r="N75" s="101"/>
    </row>
    <row r="76" spans="1:15" ht="15.6">
      <c r="A76" s="43" t="str">
        <v>TX: Barnhart - 42917 Ranch RD 2469</v>
      </c>
      <c r="B76" s="40" t="str">
        <v>TX</v>
      </c>
      <c r="C76" s="28"/>
      <c r="D76" s="29"/>
      <c r="E76" s="29" t="str">
        <f t="shared" si="4"/>
        <v/>
      </c>
      <c r="F76" s="30" t="str">
        <f t="shared" si="7"/>
        <v/>
      </c>
      <c r="G76" s="31"/>
      <c r="H76" s="31" t="str">
        <f t="shared" si="5"/>
        <v/>
      </c>
      <c r="I76" s="32" t="str">
        <f t="shared" si="6"/>
        <v/>
      </c>
      <c r="J76" s="57"/>
      <c r="K76" s="78"/>
      <c r="L76" s="116"/>
      <c r="M76" s="101"/>
      <c r="N76" s="101"/>
      <c r="O76" s="101"/>
    </row>
    <row r="77" spans="1:15" ht="30.75" customHeight="1">
      <c r="A77" s="41" t="str">
        <v>AZ: San Manuel - Senior &amp; Junior HS</v>
      </c>
      <c r="B77" s="42" t="str">
        <v>AZ</v>
      </c>
      <c r="C77" s="35"/>
      <c r="D77" s="36"/>
      <c r="E77" s="36" t="str">
        <f t="shared" si="4"/>
        <v/>
      </c>
      <c r="F77" s="37" t="str">
        <f t="shared" si="7"/>
        <v/>
      </c>
      <c r="G77" s="38"/>
      <c r="H77" s="38" t="str">
        <f t="shared" si="5"/>
        <v/>
      </c>
      <c r="I77" s="37" t="str">
        <f t="shared" si="6"/>
        <v/>
      </c>
      <c r="J77" s="112"/>
      <c r="K77" s="75"/>
      <c r="L77" s="115"/>
      <c r="M77" s="101"/>
    </row>
    <row r="78" spans="1:15" ht="15.6">
      <c r="A78" s="43" t="str">
        <v>AZ: Sierra Vista - Colonel Smith MS</v>
      </c>
      <c r="B78" s="40" t="str">
        <v>AZ</v>
      </c>
      <c r="C78" s="28"/>
      <c r="D78" s="29"/>
      <c r="E78" s="29" t="str">
        <f t="shared" si="4"/>
        <v/>
      </c>
      <c r="F78" s="30" t="str">
        <f t="shared" si="7"/>
        <v/>
      </c>
      <c r="G78" s="31"/>
      <c r="H78" s="31" t="str">
        <f t="shared" si="5"/>
        <v/>
      </c>
      <c r="I78" s="32" t="str">
        <f t="shared" si="6"/>
        <v/>
      </c>
      <c r="J78" s="57"/>
      <c r="K78" s="78"/>
      <c r="L78" s="115"/>
    </row>
    <row r="79" spans="1:15" ht="15.6">
      <c r="A79" s="41" t="str">
        <v>AZ: Sierra Vista - Colonel Johnston ES</v>
      </c>
      <c r="B79" s="42" t="str">
        <v>AZ</v>
      </c>
      <c r="C79" s="35"/>
      <c r="D79" s="36"/>
      <c r="E79" s="36" t="str">
        <f t="shared" si="4"/>
        <v/>
      </c>
      <c r="F79" s="37" t="str">
        <f t="shared" si="7"/>
        <v/>
      </c>
      <c r="G79" s="38"/>
      <c r="H79" s="38" t="str">
        <f t="shared" si="5"/>
        <v/>
      </c>
      <c r="I79" s="37" t="str">
        <f t="shared" si="6"/>
        <v/>
      </c>
      <c r="J79" s="112"/>
      <c r="K79" s="75"/>
      <c r="L79" s="115"/>
    </row>
    <row r="80" spans="1:15" ht="15.6">
      <c r="A80" s="43" t="str">
        <v>NH: Dover - Dover HS</v>
      </c>
      <c r="B80" s="40" t="str">
        <v>NH</v>
      </c>
      <c r="C80" s="28"/>
      <c r="D80" s="29"/>
      <c r="E80" s="29" t="str">
        <f t="shared" si="4"/>
        <v/>
      </c>
      <c r="F80" s="30" t="str">
        <f t="shared" si="7"/>
        <v/>
      </c>
      <c r="G80" s="31"/>
      <c r="H80" s="31" t="str">
        <f t="shared" si="5"/>
        <v/>
      </c>
      <c r="I80" s="32" t="str">
        <f t="shared" si="6"/>
        <v/>
      </c>
      <c r="J80" s="57"/>
      <c r="K80" s="78"/>
      <c r="L80" s="115"/>
    </row>
    <row r="81" spans="1:13" ht="15.6">
      <c r="A81" s="41" t="str">
        <v>MA: Somerville - 30 Inner Belt Rd</v>
      </c>
      <c r="B81" s="42" t="str">
        <v>MA</v>
      </c>
      <c r="C81" s="35"/>
      <c r="D81" s="36"/>
      <c r="E81" s="36" t="str">
        <f t="shared" si="4"/>
        <v/>
      </c>
      <c r="F81" s="37" t="str">
        <f t="shared" si="7"/>
        <v/>
      </c>
      <c r="G81" s="38"/>
      <c r="H81" s="38" t="str">
        <f t="shared" si="5"/>
        <v/>
      </c>
      <c r="I81" s="37" t="str">
        <f t="shared" si="6"/>
        <v/>
      </c>
      <c r="J81" s="112"/>
      <c r="K81" s="112"/>
      <c r="L81" s="115"/>
    </row>
    <row r="82" spans="1:13" ht="15.6">
      <c r="A82" s="43" t="str">
        <v>MA: Boxborough - 1414 Massachusetts Ave</v>
      </c>
      <c r="B82" s="40" t="str">
        <v>MA</v>
      </c>
      <c r="C82" s="28"/>
      <c r="D82" s="29"/>
      <c r="E82" s="29" t="str">
        <f t="shared" si="4"/>
        <v/>
      </c>
      <c r="F82" s="30" t="str">
        <f t="shared" si="7"/>
        <v/>
      </c>
      <c r="G82" s="31"/>
      <c r="H82" s="31" t="str">
        <f t="shared" si="5"/>
        <v/>
      </c>
      <c r="I82" s="32" t="str">
        <f t="shared" si="6"/>
        <v/>
      </c>
      <c r="J82" s="57"/>
      <c r="K82" s="78"/>
      <c r="L82" s="117"/>
    </row>
    <row r="83" spans="1:13" ht="15.6">
      <c r="A83" s="41" t="str">
        <v>NY: Amsterdam - 153 NY Route 67</v>
      </c>
      <c r="B83" s="42" t="str">
        <v>NY</v>
      </c>
      <c r="C83" s="35"/>
      <c r="D83" s="36"/>
      <c r="E83" s="36" t="str">
        <f t="shared" si="4"/>
        <v/>
      </c>
      <c r="F83" s="37" t="str">
        <f t="shared" si="7"/>
        <v/>
      </c>
      <c r="G83" s="38"/>
      <c r="H83" s="38" t="str">
        <f t="shared" si="5"/>
        <v/>
      </c>
      <c r="I83" s="37" t="str">
        <f t="shared" si="6"/>
        <v/>
      </c>
      <c r="J83" s="112"/>
      <c r="K83" s="75"/>
      <c r="L83" s="116"/>
      <c r="M83" s="101"/>
    </row>
    <row r="84" spans="1:13" ht="15.6">
      <c r="A84" s="43" t="str">
        <v>CA: San Jose - GE Mobile Water</v>
      </c>
      <c r="B84" s="40" t="str">
        <v>CA</v>
      </c>
      <c r="C84" s="28"/>
      <c r="D84" s="29"/>
      <c r="E84" s="29" t="str">
        <f t="shared" si="4"/>
        <v/>
      </c>
      <c r="F84" s="30" t="str">
        <f t="shared" si="7"/>
        <v/>
      </c>
      <c r="G84" s="31"/>
      <c r="H84" s="31" t="str">
        <f t="shared" si="5"/>
        <v/>
      </c>
      <c r="I84" s="32" t="str">
        <f t="shared" si="6"/>
        <v/>
      </c>
      <c r="J84" s="57"/>
      <c r="K84" s="78"/>
      <c r="L84" s="115"/>
    </row>
    <row r="85" spans="1:13" ht="15.6">
      <c r="A85" s="41" t="str">
        <v>NY: Rome - 7776 Tannery RD</v>
      </c>
      <c r="B85" s="42" t="str">
        <v>NY</v>
      </c>
      <c r="C85" s="35"/>
      <c r="D85" s="36"/>
      <c r="E85" s="36" t="str">
        <f t="shared" si="4"/>
        <v/>
      </c>
      <c r="F85" s="37" t="str">
        <f t="shared" si="7"/>
        <v/>
      </c>
      <c r="G85" s="38"/>
      <c r="H85" s="38" t="str">
        <f t="shared" si="5"/>
        <v/>
      </c>
      <c r="I85" s="37" t="str">
        <f t="shared" si="6"/>
        <v/>
      </c>
      <c r="J85" s="112"/>
      <c r="K85" s="112"/>
      <c r="L85" s="115"/>
    </row>
    <row r="86" spans="1:13">
      <c r="A86" s="8"/>
      <c r="B86" s="13"/>
      <c r="C86" s="8"/>
      <c r="D86" s="8"/>
      <c r="E86" s="8"/>
      <c r="F86" s="9"/>
      <c r="G86" s="8"/>
      <c r="H86" s="8"/>
      <c r="I86" s="9"/>
      <c r="J86" s="118"/>
      <c r="K86" s="118"/>
      <c r="L86" s="115"/>
    </row>
    <row r="87" spans="1:13">
      <c r="A87" s="8"/>
      <c r="B87" s="13"/>
      <c r="C87" s="8"/>
      <c r="D87" s="8"/>
      <c r="E87" s="8"/>
      <c r="F87" s="9"/>
      <c r="G87" s="8"/>
      <c r="H87" s="8"/>
      <c r="I87" s="9"/>
      <c r="J87" s="118"/>
      <c r="K87" s="118"/>
      <c r="L87" s="115"/>
    </row>
    <row r="88" spans="1:13">
      <c r="A88" s="8"/>
      <c r="B88" s="13"/>
      <c r="C88" s="8"/>
      <c r="D88" s="8"/>
      <c r="E88" s="8"/>
      <c r="F88" s="9"/>
      <c r="G88" s="8"/>
      <c r="H88" s="8"/>
      <c r="I88" s="9"/>
      <c r="J88" s="118"/>
      <c r="K88" s="118"/>
      <c r="L88" s="115"/>
    </row>
    <row r="89" spans="1:13">
      <c r="A89" s="8"/>
      <c r="B89" s="13"/>
      <c r="C89" s="8"/>
      <c r="D89" s="8"/>
      <c r="E89" s="8"/>
      <c r="F89" s="9"/>
      <c r="G89" s="8"/>
      <c r="H89" s="8"/>
      <c r="I89" s="9"/>
      <c r="J89" s="118"/>
      <c r="K89" s="118"/>
      <c r="L89" s="115"/>
    </row>
    <row r="90" spans="1:13">
      <c r="A90" s="8"/>
      <c r="B90" s="13"/>
      <c r="C90" s="8"/>
      <c r="D90" s="8"/>
      <c r="E90" s="8"/>
      <c r="F90" s="9"/>
      <c r="G90" s="8"/>
      <c r="H90" s="8"/>
      <c r="I90" s="9"/>
      <c r="J90" s="118"/>
      <c r="K90" s="118"/>
      <c r="L90" s="115"/>
    </row>
    <row r="91" spans="1:13">
      <c r="A91" s="8"/>
      <c r="B91" s="13"/>
      <c r="C91" s="8"/>
      <c r="D91" s="8"/>
      <c r="E91" s="8"/>
      <c r="F91" s="9"/>
      <c r="G91" s="8"/>
      <c r="H91" s="8"/>
      <c r="I91" s="9"/>
      <c r="J91" s="118"/>
      <c r="K91" s="118"/>
      <c r="L91" s="115"/>
    </row>
    <row r="92" spans="1:13">
      <c r="A92" s="8"/>
      <c r="B92" s="13"/>
      <c r="C92" s="8"/>
      <c r="D92" s="8"/>
      <c r="E92" s="8"/>
      <c r="F92" s="9"/>
      <c r="G92" s="8"/>
      <c r="H92" s="8"/>
      <c r="I92" s="9"/>
      <c r="J92" s="118"/>
      <c r="K92" s="118"/>
      <c r="L92" s="115"/>
    </row>
    <row r="93" spans="1:13">
      <c r="A93" s="8"/>
      <c r="B93" s="13"/>
      <c r="C93" s="8"/>
      <c r="D93" s="8"/>
      <c r="E93" s="8"/>
      <c r="F93" s="9"/>
      <c r="G93" s="8"/>
      <c r="H93" s="8"/>
      <c r="I93" s="9"/>
      <c r="J93" s="118"/>
      <c r="K93" s="118"/>
      <c r="L93" s="115"/>
    </row>
    <row r="94" spans="1:13">
      <c r="A94" s="8"/>
      <c r="B94" s="13"/>
      <c r="C94" s="8"/>
      <c r="D94" s="8"/>
      <c r="E94" s="8"/>
      <c r="F94" s="9"/>
      <c r="G94" s="8"/>
      <c r="H94" s="8"/>
      <c r="I94" s="9"/>
      <c r="J94" s="118"/>
      <c r="K94" s="118"/>
      <c r="L94" s="115"/>
    </row>
    <row r="95" spans="1:13">
      <c r="A95" s="8"/>
      <c r="B95" s="13"/>
      <c r="C95" s="8"/>
      <c r="D95" s="8"/>
      <c r="E95" s="8"/>
      <c r="F95" s="9"/>
      <c r="G95" s="8"/>
      <c r="H95" s="8"/>
      <c r="I95" s="9"/>
      <c r="J95" s="118"/>
      <c r="K95" s="118"/>
      <c r="L95" s="115"/>
    </row>
    <row r="96" spans="1:13">
      <c r="A96" s="8"/>
      <c r="B96" s="13"/>
      <c r="C96" s="8"/>
      <c r="D96" s="8"/>
      <c r="E96" s="8"/>
      <c r="F96" s="9"/>
      <c r="G96" s="8"/>
      <c r="H96" s="8"/>
      <c r="I96" s="9"/>
      <c r="J96" s="118"/>
      <c r="K96" s="118"/>
      <c r="L96" s="115"/>
    </row>
    <row r="97" spans="1:9">
      <c r="A97" s="8"/>
      <c r="B97" s="13"/>
      <c r="C97" s="8"/>
      <c r="D97" s="8"/>
      <c r="E97" s="8"/>
      <c r="F97" s="9"/>
      <c r="G97" s="8"/>
      <c r="H97" s="8"/>
      <c r="I97" s="9"/>
    </row>
    <row r="98" spans="1:9">
      <c r="A98" s="8"/>
      <c r="B98" s="13"/>
      <c r="C98" s="8"/>
      <c r="D98" s="8"/>
      <c r="E98" s="8"/>
      <c r="F98" s="9"/>
      <c r="G98" s="8"/>
      <c r="H98" s="8"/>
      <c r="I98" s="9"/>
    </row>
    <row r="99" spans="1:9">
      <c r="A99" s="8"/>
      <c r="B99" s="13"/>
      <c r="C99" s="8"/>
      <c r="D99" s="8"/>
      <c r="E99" s="8"/>
      <c r="F99" s="9"/>
      <c r="G99" s="8"/>
      <c r="H99" s="8"/>
      <c r="I99" s="9"/>
    </row>
    <row r="100" spans="1:9">
      <c r="A100" s="8"/>
      <c r="B100" s="13"/>
      <c r="C100" s="8"/>
      <c r="D100" s="8"/>
      <c r="E100" s="8"/>
      <c r="F100" s="9"/>
      <c r="G100" s="8"/>
      <c r="H100" s="8"/>
      <c r="I100" s="9"/>
    </row>
    <row r="101" spans="1:9">
      <c r="A101" s="8"/>
      <c r="B101" s="13"/>
      <c r="C101" s="8"/>
      <c r="D101" s="8"/>
      <c r="E101" s="8"/>
      <c r="F101" s="9"/>
      <c r="G101" s="8"/>
      <c r="H101" s="8"/>
      <c r="I101" s="9"/>
    </row>
    <row r="102" spans="1:9">
      <c r="A102" s="8"/>
      <c r="B102" s="13"/>
      <c r="C102" s="8"/>
      <c r="D102" s="8"/>
      <c r="E102" s="8"/>
      <c r="F102" s="9"/>
      <c r="G102" s="8"/>
      <c r="H102" s="8"/>
      <c r="I102" s="9"/>
    </row>
    <row r="103" spans="1:9">
      <c r="A103" s="8"/>
      <c r="B103" s="13"/>
      <c r="C103" s="8"/>
      <c r="D103" s="8"/>
      <c r="E103" s="8"/>
      <c r="F103" s="9"/>
      <c r="G103" s="8"/>
      <c r="H103" s="8"/>
      <c r="I103" s="9"/>
    </row>
    <row r="104" spans="1:9">
      <c r="A104" s="8"/>
      <c r="B104" s="13"/>
      <c r="C104" s="8"/>
      <c r="D104" s="8"/>
      <c r="E104" s="8"/>
      <c r="F104" s="9"/>
      <c r="G104" s="8"/>
      <c r="H104" s="8"/>
      <c r="I104" s="9"/>
    </row>
    <row r="105" spans="1:9">
      <c r="A105" s="8"/>
      <c r="B105" s="13"/>
      <c r="C105" s="8"/>
      <c r="D105" s="8"/>
      <c r="E105" s="8"/>
      <c r="F105" s="9"/>
      <c r="G105" s="8"/>
      <c r="H105" s="8"/>
      <c r="I105" s="9"/>
    </row>
    <row r="106" spans="1:9">
      <c r="A106" s="8"/>
      <c r="B106" s="13"/>
      <c r="C106" s="8"/>
      <c r="D106" s="8"/>
      <c r="E106" s="8"/>
      <c r="F106" s="9"/>
      <c r="G106" s="8"/>
      <c r="H106" s="8"/>
      <c r="I106" s="9"/>
    </row>
    <row r="107" spans="1:9">
      <c r="A107" s="8"/>
      <c r="B107" s="13"/>
      <c r="C107" s="8"/>
      <c r="D107" s="8"/>
      <c r="E107" s="8"/>
      <c r="F107" s="9"/>
      <c r="G107" s="8"/>
      <c r="H107" s="8"/>
      <c r="I107" s="9"/>
    </row>
    <row r="108" spans="1:9">
      <c r="A108" s="8"/>
      <c r="B108" s="13"/>
      <c r="C108" s="8"/>
      <c r="D108" s="8"/>
      <c r="E108" s="8"/>
      <c r="F108" s="9"/>
      <c r="G108" s="8"/>
      <c r="H108" s="8"/>
      <c r="I108" s="9"/>
    </row>
    <row r="109" spans="1:9">
      <c r="A109" s="8"/>
      <c r="B109" s="13"/>
      <c r="C109" s="8"/>
      <c r="D109" s="8"/>
      <c r="E109" s="8"/>
      <c r="F109" s="9"/>
      <c r="G109" s="8"/>
      <c r="H109" s="8"/>
      <c r="I109" s="9"/>
    </row>
    <row r="110" spans="1:9">
      <c r="A110" s="8"/>
      <c r="B110" s="13"/>
      <c r="C110" s="8"/>
      <c r="D110" s="8"/>
      <c r="E110" s="8"/>
      <c r="F110" s="9"/>
      <c r="G110" s="8"/>
      <c r="H110" s="8"/>
      <c r="I110" s="9"/>
    </row>
    <row r="111" spans="1:9">
      <c r="A111" s="8"/>
      <c r="B111" s="13"/>
      <c r="C111" s="8"/>
      <c r="D111" s="8"/>
      <c r="E111" s="8"/>
      <c r="F111" s="9"/>
      <c r="G111" s="8"/>
      <c r="H111" s="8"/>
      <c r="I111" s="9"/>
    </row>
    <row r="112" spans="1:9">
      <c r="A112" s="8"/>
      <c r="B112" s="13"/>
      <c r="C112" s="8"/>
      <c r="D112" s="8"/>
      <c r="E112" s="8"/>
      <c r="F112" s="9"/>
      <c r="G112" s="8"/>
      <c r="H112" s="8"/>
      <c r="I112" s="9"/>
    </row>
    <row r="113" spans="1:9">
      <c r="A113" s="8"/>
      <c r="B113" s="13"/>
      <c r="C113" s="8"/>
      <c r="D113" s="8"/>
      <c r="E113" s="8"/>
      <c r="F113" s="9"/>
      <c r="G113" s="8"/>
      <c r="H113" s="8"/>
      <c r="I113" s="9"/>
    </row>
    <row r="114" spans="1:9">
      <c r="A114" s="8"/>
      <c r="B114" s="13"/>
      <c r="C114" s="8"/>
      <c r="D114" s="8"/>
      <c r="E114" s="8"/>
      <c r="F114" s="9"/>
      <c r="G114" s="8"/>
      <c r="H114" s="8"/>
      <c r="I114" s="9"/>
    </row>
    <row r="115" spans="1:9">
      <c r="A115" s="8"/>
      <c r="B115" s="13"/>
      <c r="C115" s="8"/>
      <c r="D115" s="8"/>
      <c r="E115" s="8"/>
      <c r="F115" s="9"/>
      <c r="G115" s="8"/>
      <c r="H115" s="8"/>
      <c r="I115" s="9"/>
    </row>
    <row r="116" spans="1:9">
      <c r="A116" s="8"/>
      <c r="B116" s="13"/>
      <c r="C116" s="8"/>
      <c r="D116" s="8"/>
      <c r="E116" s="8"/>
      <c r="F116" s="9"/>
      <c r="G116" s="8"/>
      <c r="H116" s="8"/>
      <c r="I116" s="9"/>
    </row>
    <row r="117" spans="1:9">
      <c r="A117" s="8"/>
      <c r="B117" s="13"/>
      <c r="C117" s="8"/>
      <c r="D117" s="8"/>
      <c r="E117" s="8"/>
      <c r="F117" s="9"/>
      <c r="G117" s="8"/>
      <c r="H117" s="8"/>
      <c r="I117" s="9"/>
    </row>
    <row r="118" spans="1:9">
      <c r="A118" s="8"/>
      <c r="B118" s="13"/>
      <c r="C118" s="8"/>
      <c r="D118" s="8"/>
      <c r="E118" s="8"/>
      <c r="F118" s="9"/>
      <c r="G118" s="8"/>
      <c r="H118" s="8"/>
      <c r="I118" s="9"/>
    </row>
    <row r="119" spans="1:9">
      <c r="A119" s="8"/>
      <c r="B119" s="13"/>
      <c r="C119" s="8"/>
      <c r="D119" s="8"/>
      <c r="E119" s="8"/>
      <c r="F119" s="9"/>
      <c r="G119" s="8"/>
      <c r="H119" s="8"/>
      <c r="I119" s="9"/>
    </row>
    <row r="120" spans="1:9">
      <c r="A120" s="8"/>
      <c r="B120" s="13"/>
      <c r="C120" s="8"/>
      <c r="D120" s="8"/>
      <c r="E120" s="8"/>
      <c r="F120" s="9"/>
      <c r="G120" s="8"/>
      <c r="H120" s="8"/>
      <c r="I120" s="9"/>
    </row>
    <row r="121" spans="1:9">
      <c r="A121" s="8"/>
      <c r="B121" s="13"/>
      <c r="C121" s="8"/>
      <c r="D121" s="8"/>
      <c r="E121" s="8"/>
      <c r="F121" s="9"/>
      <c r="G121" s="8"/>
      <c r="H121" s="8"/>
      <c r="I121" s="9"/>
    </row>
    <row r="122" spans="1:9">
      <c r="A122" s="8"/>
      <c r="B122" s="13"/>
      <c r="C122" s="8"/>
      <c r="D122" s="8"/>
      <c r="E122" s="8"/>
      <c r="F122" s="9"/>
      <c r="G122" s="8"/>
      <c r="H122" s="8"/>
      <c r="I122" s="9"/>
    </row>
    <row r="123" spans="1:9">
      <c r="A123" s="8"/>
      <c r="B123" s="13"/>
      <c r="C123" s="8"/>
      <c r="D123" s="8"/>
      <c r="E123" s="8"/>
      <c r="F123" s="9"/>
      <c r="G123" s="8"/>
      <c r="H123" s="8"/>
      <c r="I123" s="9"/>
    </row>
    <row r="124" spans="1:9">
      <c r="A124" s="8"/>
      <c r="B124" s="13"/>
      <c r="C124" s="8"/>
      <c r="D124" s="8"/>
      <c r="E124" s="8"/>
      <c r="F124" s="9"/>
      <c r="G124" s="8"/>
      <c r="H124" s="8"/>
      <c r="I124" s="9"/>
    </row>
    <row r="125" spans="1:9">
      <c r="A125" s="8"/>
      <c r="B125" s="13"/>
      <c r="C125" s="8"/>
      <c r="D125" s="8"/>
      <c r="E125" s="8"/>
      <c r="F125" s="9"/>
      <c r="G125" s="8"/>
      <c r="H125" s="8"/>
      <c r="I125" s="9"/>
    </row>
    <row r="126" spans="1:9">
      <c r="A126" s="8"/>
      <c r="B126" s="13"/>
      <c r="C126" s="8"/>
      <c r="D126" s="8"/>
      <c r="E126" s="8"/>
      <c r="F126" s="9"/>
      <c r="G126" s="8"/>
      <c r="H126" s="8"/>
      <c r="I126" s="9"/>
    </row>
    <row r="127" spans="1:9">
      <c r="A127" s="8"/>
      <c r="B127" s="13"/>
      <c r="C127" s="8"/>
      <c r="D127" s="8"/>
      <c r="E127" s="8"/>
      <c r="F127" s="9"/>
      <c r="G127" s="8"/>
      <c r="H127" s="8"/>
      <c r="I127" s="9"/>
    </row>
    <row r="128" spans="1:9">
      <c r="A128" s="8"/>
      <c r="B128" s="13"/>
      <c r="C128" s="8"/>
      <c r="D128" s="8"/>
      <c r="E128" s="8"/>
      <c r="F128" s="9"/>
      <c r="G128" s="8"/>
      <c r="H128" s="8"/>
      <c r="I128" s="9"/>
    </row>
    <row r="129" spans="1:9">
      <c r="A129" s="8"/>
      <c r="B129" s="13"/>
      <c r="C129" s="8"/>
      <c r="D129" s="8"/>
      <c r="E129" s="8"/>
      <c r="F129" s="9"/>
      <c r="G129" s="8"/>
      <c r="H129" s="8"/>
      <c r="I129" s="9"/>
    </row>
    <row r="130" spans="1:9">
      <c r="A130" s="8"/>
      <c r="B130" s="13"/>
      <c r="C130" s="8"/>
      <c r="D130" s="8"/>
      <c r="E130" s="8"/>
      <c r="F130" s="9"/>
      <c r="G130" s="8"/>
      <c r="H130" s="8"/>
      <c r="I130" s="9"/>
    </row>
    <row r="131" spans="1:9">
      <c r="A131" s="8"/>
      <c r="B131" s="13"/>
      <c r="C131" s="8"/>
      <c r="D131" s="8"/>
      <c r="E131" s="8"/>
      <c r="F131" s="9"/>
      <c r="G131" s="8"/>
      <c r="H131" s="8"/>
      <c r="I131" s="9"/>
    </row>
    <row r="132" spans="1:9">
      <c r="A132" s="8"/>
      <c r="B132" s="13"/>
      <c r="C132" s="8"/>
      <c r="D132" s="8"/>
      <c r="E132" s="8"/>
      <c r="F132" s="9"/>
      <c r="G132" s="8"/>
      <c r="H132" s="8"/>
      <c r="I132" s="9"/>
    </row>
    <row r="133" spans="1:9">
      <c r="A133" s="8"/>
      <c r="B133" s="13"/>
      <c r="C133" s="8"/>
      <c r="D133" s="8"/>
      <c r="E133" s="8"/>
      <c r="F133" s="9"/>
      <c r="G133" s="8"/>
      <c r="H133" s="8"/>
      <c r="I133" s="9"/>
    </row>
    <row r="134" spans="1:9">
      <c r="A134" s="8"/>
      <c r="B134" s="13"/>
      <c r="C134" s="8"/>
      <c r="D134" s="8"/>
      <c r="E134" s="8"/>
      <c r="F134" s="9"/>
      <c r="G134" s="8"/>
      <c r="H134" s="8"/>
      <c r="I134" s="9"/>
    </row>
    <row r="135" spans="1:9">
      <c r="A135" s="8"/>
      <c r="B135" s="13"/>
      <c r="C135" s="8"/>
      <c r="D135" s="8"/>
      <c r="E135" s="8"/>
      <c r="F135" s="9"/>
      <c r="G135" s="8"/>
      <c r="H135" s="8"/>
      <c r="I135" s="9"/>
    </row>
    <row r="136" spans="1:9">
      <c r="A136" s="8"/>
      <c r="B136" s="13"/>
      <c r="C136" s="8"/>
      <c r="D136" s="8"/>
      <c r="E136" s="8"/>
      <c r="F136" s="9"/>
      <c r="G136" s="8"/>
      <c r="H136" s="8"/>
      <c r="I136" s="9"/>
    </row>
    <row r="137" spans="1:9">
      <c r="A137" s="8"/>
      <c r="B137" s="13"/>
      <c r="C137" s="8"/>
      <c r="D137" s="8"/>
      <c r="E137" s="8"/>
      <c r="F137" s="9"/>
      <c r="G137" s="8"/>
      <c r="H137" s="8"/>
      <c r="I137" s="9"/>
    </row>
    <row r="138" spans="1:9">
      <c r="A138" s="8"/>
      <c r="B138" s="13"/>
      <c r="C138" s="8"/>
      <c r="D138" s="8"/>
      <c r="E138" s="8"/>
      <c r="F138" s="9"/>
      <c r="G138" s="8"/>
      <c r="H138" s="8"/>
      <c r="I138" s="9"/>
    </row>
    <row r="139" spans="1:9">
      <c r="A139" s="8"/>
      <c r="B139" s="13"/>
      <c r="C139" s="8"/>
      <c r="D139" s="8"/>
      <c r="E139" s="8"/>
      <c r="F139" s="9"/>
      <c r="G139" s="8"/>
      <c r="H139" s="8"/>
      <c r="I139" s="9"/>
    </row>
    <row r="140" spans="1:9">
      <c r="A140" s="8"/>
      <c r="B140" s="13"/>
      <c r="C140" s="8"/>
      <c r="D140" s="8"/>
      <c r="E140" s="8"/>
      <c r="F140" s="9"/>
      <c r="G140" s="8"/>
      <c r="H140" s="8"/>
      <c r="I140" s="9"/>
    </row>
    <row r="141" spans="1:9">
      <c r="A141" s="8"/>
      <c r="B141" s="13"/>
      <c r="C141" s="8"/>
      <c r="D141" s="8"/>
      <c r="E141" s="8"/>
      <c r="F141" s="9"/>
      <c r="G141" s="8"/>
      <c r="H141" s="8"/>
      <c r="I141" s="9"/>
    </row>
    <row r="142" spans="1:9">
      <c r="A142" s="8"/>
      <c r="B142" s="13"/>
      <c r="C142" s="8"/>
      <c r="D142" s="8"/>
      <c r="E142" s="8"/>
      <c r="F142" s="9"/>
      <c r="G142" s="8"/>
      <c r="H142" s="8"/>
      <c r="I142" s="9"/>
    </row>
    <row r="143" spans="1:9">
      <c r="A143" s="8"/>
      <c r="B143" s="13"/>
      <c r="C143" s="8"/>
      <c r="D143" s="8"/>
      <c r="E143" s="8"/>
      <c r="F143" s="9"/>
      <c r="G143" s="8"/>
      <c r="H143" s="8"/>
      <c r="I143" s="9"/>
    </row>
    <row r="144" spans="1:9">
      <c r="A144" s="8"/>
      <c r="B144" s="13"/>
      <c r="C144" s="8"/>
      <c r="D144" s="8"/>
      <c r="E144" s="8"/>
      <c r="F144" s="9"/>
      <c r="G144" s="8"/>
      <c r="H144" s="8"/>
      <c r="I144" s="9"/>
    </row>
    <row r="145" spans="1:9">
      <c r="A145" s="8"/>
      <c r="B145" s="13"/>
      <c r="C145" s="8"/>
      <c r="D145" s="8"/>
      <c r="E145" s="8"/>
      <c r="F145" s="9"/>
      <c r="G145" s="8"/>
      <c r="H145" s="8"/>
      <c r="I145" s="9"/>
    </row>
    <row r="146" spans="1:9">
      <c r="A146" s="8"/>
      <c r="B146" s="13"/>
      <c r="C146" s="8"/>
      <c r="D146" s="8"/>
      <c r="E146" s="8"/>
      <c r="F146" s="9"/>
      <c r="G146" s="8"/>
      <c r="H146" s="8"/>
      <c r="I146" s="9"/>
    </row>
    <row r="147" spans="1:9">
      <c r="A147" s="8"/>
      <c r="B147" s="13"/>
      <c r="C147" s="8"/>
      <c r="D147" s="8"/>
      <c r="E147" s="8"/>
      <c r="F147" s="9"/>
      <c r="G147" s="8"/>
      <c r="H147" s="8"/>
      <c r="I147" s="9"/>
    </row>
    <row r="148" spans="1:9">
      <c r="A148" s="8"/>
      <c r="B148" s="13"/>
      <c r="C148" s="8"/>
      <c r="D148" s="8"/>
      <c r="E148" s="8"/>
      <c r="F148" s="9"/>
      <c r="G148" s="8"/>
      <c r="H148" s="8"/>
      <c r="I148" s="9"/>
    </row>
    <row r="149" spans="1:9">
      <c r="A149" s="8"/>
      <c r="B149" s="13"/>
      <c r="C149" s="8"/>
      <c r="D149" s="8"/>
      <c r="E149" s="8"/>
      <c r="F149" s="9"/>
      <c r="G149" s="8"/>
      <c r="H149" s="8"/>
      <c r="I149" s="9"/>
    </row>
    <row r="150" spans="1:9">
      <c r="A150" s="8"/>
      <c r="B150" s="13"/>
      <c r="C150" s="8"/>
      <c r="D150" s="8"/>
      <c r="E150" s="8"/>
      <c r="F150" s="9"/>
      <c r="G150" s="8"/>
      <c r="H150" s="8"/>
      <c r="I150" s="9"/>
    </row>
    <row r="151" spans="1:9">
      <c r="A151" s="8"/>
      <c r="B151" s="13"/>
      <c r="C151" s="8"/>
      <c r="D151" s="8"/>
      <c r="E151" s="8"/>
      <c r="F151" s="9"/>
      <c r="G151" s="8"/>
      <c r="H151" s="8"/>
      <c r="I151" s="9"/>
    </row>
    <row r="152" spans="1:9">
      <c r="A152" s="8"/>
      <c r="B152" s="13"/>
      <c r="C152" s="8"/>
      <c r="D152" s="8"/>
      <c r="E152" s="8"/>
      <c r="F152" s="9"/>
      <c r="G152" s="8"/>
      <c r="H152" s="8"/>
      <c r="I152" s="9"/>
    </row>
    <row r="153" spans="1:9">
      <c r="A153" s="8"/>
      <c r="B153" s="13"/>
      <c r="C153" s="8"/>
      <c r="D153" s="8"/>
      <c r="E153" s="8"/>
      <c r="F153" s="9"/>
      <c r="G153" s="8"/>
      <c r="H153" s="8"/>
      <c r="I153" s="9"/>
    </row>
    <row r="154" spans="1:9">
      <c r="A154" s="8"/>
      <c r="B154" s="13"/>
      <c r="C154" s="8"/>
      <c r="D154" s="8"/>
      <c r="E154" s="8"/>
      <c r="F154" s="9"/>
      <c r="G154" s="8"/>
      <c r="H154" s="8"/>
      <c r="I154" s="9"/>
    </row>
    <row r="155" spans="1:9">
      <c r="A155" s="8"/>
      <c r="B155" s="13"/>
      <c r="C155" s="8"/>
      <c r="D155" s="8"/>
      <c r="E155" s="8"/>
      <c r="F155" s="9"/>
      <c r="G155" s="8"/>
      <c r="H155" s="8"/>
      <c r="I155" s="9"/>
    </row>
    <row r="156" spans="1:9">
      <c r="A156" s="8"/>
      <c r="B156" s="13"/>
      <c r="C156" s="8"/>
      <c r="D156" s="8"/>
      <c r="E156" s="8"/>
      <c r="F156" s="9"/>
      <c r="G156" s="8"/>
      <c r="H156" s="8"/>
      <c r="I156" s="9"/>
    </row>
    <row r="157" spans="1:9">
      <c r="A157" s="8"/>
      <c r="B157" s="13"/>
      <c r="C157" s="8"/>
      <c r="D157" s="8"/>
      <c r="E157" s="8"/>
      <c r="F157" s="9"/>
      <c r="G157" s="8"/>
      <c r="H157" s="8"/>
      <c r="I157" s="9"/>
    </row>
    <row r="158" spans="1:9">
      <c r="A158" s="8"/>
      <c r="B158" s="13"/>
      <c r="C158" s="8"/>
      <c r="D158" s="8"/>
      <c r="E158" s="8"/>
      <c r="F158" s="9"/>
      <c r="G158" s="8"/>
      <c r="H158" s="8"/>
      <c r="I158" s="9"/>
    </row>
    <row r="159" spans="1:9">
      <c r="A159" s="8"/>
      <c r="B159" s="13"/>
      <c r="C159" s="8"/>
      <c r="D159" s="8"/>
      <c r="E159" s="8"/>
      <c r="F159" s="9"/>
      <c r="G159" s="8"/>
      <c r="H159" s="8"/>
      <c r="I159" s="9"/>
    </row>
    <row r="160" spans="1:9">
      <c r="A160" s="8"/>
      <c r="B160" s="13"/>
      <c r="C160" s="8"/>
      <c r="D160" s="8"/>
      <c r="E160" s="8"/>
      <c r="F160" s="9"/>
      <c r="G160" s="8"/>
      <c r="H160" s="8"/>
      <c r="I160" s="9"/>
    </row>
    <row r="161" spans="1:9">
      <c r="A161" s="8"/>
      <c r="B161" s="13"/>
      <c r="C161" s="8"/>
      <c r="D161" s="8"/>
      <c r="E161" s="8"/>
      <c r="F161" s="9"/>
      <c r="G161" s="8"/>
      <c r="H161" s="8"/>
      <c r="I161" s="9"/>
    </row>
    <row r="162" spans="1:9">
      <c r="A162" s="8"/>
      <c r="B162" s="13"/>
      <c r="C162" s="8"/>
      <c r="D162" s="8"/>
      <c r="E162" s="8"/>
      <c r="F162" s="9"/>
      <c r="G162" s="8"/>
      <c r="H162" s="8"/>
      <c r="I162" s="9"/>
    </row>
    <row r="163" spans="1:9">
      <c r="A163" s="8"/>
      <c r="B163" s="13"/>
      <c r="C163" s="8"/>
      <c r="D163" s="8"/>
      <c r="E163" s="8"/>
      <c r="F163" s="9"/>
      <c r="G163" s="8"/>
      <c r="H163" s="8"/>
      <c r="I163" s="9"/>
    </row>
    <row r="164" spans="1:9">
      <c r="A164" s="8"/>
      <c r="B164" s="13"/>
      <c r="C164" s="8"/>
      <c r="D164" s="8"/>
      <c r="E164" s="8"/>
      <c r="F164" s="9"/>
      <c r="G164" s="8"/>
      <c r="H164" s="8"/>
      <c r="I164" s="9"/>
    </row>
    <row r="165" spans="1:9">
      <c r="A165" s="8"/>
      <c r="B165" s="13"/>
      <c r="C165" s="8"/>
      <c r="D165" s="8"/>
      <c r="E165" s="8"/>
      <c r="F165" s="9"/>
      <c r="G165" s="8"/>
      <c r="H165" s="8"/>
      <c r="I165" s="9"/>
    </row>
    <row r="166" spans="1:9">
      <c r="A166" s="8"/>
      <c r="B166" s="13"/>
      <c r="C166" s="8"/>
      <c r="D166" s="8"/>
      <c r="E166" s="8"/>
      <c r="F166" s="9"/>
      <c r="G166" s="8"/>
      <c r="H166" s="8"/>
      <c r="I166" s="9"/>
    </row>
    <row r="167" spans="1:9">
      <c r="A167" s="8"/>
      <c r="B167" s="13"/>
      <c r="C167" s="8"/>
      <c r="D167" s="8"/>
      <c r="E167" s="8"/>
      <c r="F167" s="9"/>
      <c r="G167" s="8"/>
      <c r="H167" s="8"/>
      <c r="I167" s="9"/>
    </row>
    <row r="168" spans="1:9">
      <c r="A168" s="8"/>
      <c r="B168" s="13"/>
      <c r="C168" s="8"/>
      <c r="D168" s="8"/>
      <c r="E168" s="8"/>
      <c r="F168" s="9"/>
      <c r="G168" s="8"/>
      <c r="H168" s="8"/>
      <c r="I168" s="9"/>
    </row>
    <row r="169" spans="1:9">
      <c r="A169" s="8"/>
      <c r="B169" s="13"/>
      <c r="C169" s="8"/>
      <c r="D169" s="8"/>
      <c r="E169" s="8"/>
      <c r="F169" s="9"/>
      <c r="G169" s="8"/>
      <c r="H169" s="8"/>
      <c r="I169" s="9"/>
    </row>
    <row r="170" spans="1:9">
      <c r="A170" s="8"/>
      <c r="B170" s="13"/>
      <c r="C170" s="8"/>
      <c r="D170" s="8"/>
      <c r="E170" s="8"/>
      <c r="F170" s="9"/>
      <c r="G170" s="8"/>
      <c r="H170" s="8"/>
      <c r="I170" s="9"/>
    </row>
    <row r="171" spans="1:9">
      <c r="A171" s="8"/>
      <c r="B171" s="13"/>
      <c r="C171" s="8"/>
      <c r="D171" s="8"/>
      <c r="E171" s="8"/>
      <c r="F171" s="9"/>
      <c r="G171" s="8"/>
      <c r="H171" s="8"/>
      <c r="I171" s="9"/>
    </row>
    <row r="172" spans="1:9">
      <c r="A172" s="8"/>
      <c r="B172" s="13"/>
      <c r="C172" s="8"/>
      <c r="D172" s="8"/>
      <c r="E172" s="8"/>
      <c r="F172" s="9"/>
      <c r="G172" s="8"/>
      <c r="H172" s="8"/>
      <c r="I172" s="9"/>
    </row>
    <row r="173" spans="1:9">
      <c r="A173" s="8"/>
      <c r="B173" s="13"/>
      <c r="C173" s="8"/>
      <c r="D173" s="8"/>
      <c r="E173" s="8"/>
      <c r="F173" s="9"/>
      <c r="G173" s="8"/>
      <c r="H173" s="8"/>
      <c r="I173" s="9"/>
    </row>
    <row r="174" spans="1:9">
      <c r="A174" s="8"/>
      <c r="B174" s="13"/>
      <c r="C174" s="8"/>
      <c r="D174" s="8"/>
      <c r="E174" s="8"/>
      <c r="F174" s="9"/>
      <c r="G174" s="8"/>
      <c r="H174" s="8"/>
      <c r="I174" s="9"/>
    </row>
    <row r="175" spans="1:9">
      <c r="A175" s="8"/>
      <c r="B175" s="13"/>
      <c r="C175" s="8"/>
      <c r="D175" s="8"/>
      <c r="E175" s="8"/>
      <c r="F175" s="9"/>
      <c r="G175" s="8"/>
      <c r="H175" s="8"/>
      <c r="I175" s="9"/>
    </row>
    <row r="176" spans="1:9">
      <c r="A176" s="8"/>
      <c r="B176" s="13"/>
      <c r="C176" s="8"/>
      <c r="D176" s="8"/>
      <c r="E176" s="8"/>
      <c r="F176" s="9"/>
      <c r="G176" s="8"/>
      <c r="H176" s="8"/>
      <c r="I176" s="9"/>
    </row>
    <row r="177" spans="1:9">
      <c r="A177" s="8"/>
      <c r="B177" s="13"/>
      <c r="C177" s="8"/>
      <c r="D177" s="8"/>
      <c r="E177" s="8"/>
      <c r="F177" s="9"/>
      <c r="G177" s="8"/>
      <c r="H177" s="8"/>
      <c r="I177" s="9"/>
    </row>
    <row r="178" spans="1:9">
      <c r="A178" s="8"/>
      <c r="B178" s="13"/>
      <c r="C178" s="8"/>
      <c r="D178" s="8"/>
      <c r="E178" s="8"/>
      <c r="F178" s="9"/>
      <c r="G178" s="8"/>
      <c r="H178" s="8"/>
      <c r="I178" s="9"/>
    </row>
    <row r="179" spans="1:9">
      <c r="A179" s="8"/>
      <c r="B179" s="13"/>
      <c r="C179" s="8"/>
      <c r="D179" s="8"/>
      <c r="E179" s="8"/>
      <c r="F179" s="9"/>
      <c r="G179" s="8"/>
      <c r="H179" s="8"/>
      <c r="I179" s="9"/>
    </row>
    <row r="180" spans="1:9">
      <c r="A180" s="8"/>
      <c r="B180" s="13"/>
      <c r="C180" s="8"/>
      <c r="D180" s="8"/>
      <c r="E180" s="8"/>
      <c r="F180" s="9"/>
      <c r="G180" s="8"/>
      <c r="H180" s="8"/>
      <c r="I180" s="9"/>
    </row>
    <row r="181" spans="1:9">
      <c r="A181" s="8"/>
      <c r="B181" s="13"/>
      <c r="C181" s="8"/>
      <c r="D181" s="8"/>
      <c r="E181" s="8"/>
      <c r="F181" s="9"/>
      <c r="G181" s="8"/>
      <c r="H181" s="8"/>
      <c r="I181" s="9"/>
    </row>
    <row r="182" spans="1:9">
      <c r="A182" s="8"/>
      <c r="B182" s="13"/>
      <c r="C182" s="8"/>
      <c r="D182" s="8"/>
      <c r="E182" s="8"/>
      <c r="F182" s="9"/>
      <c r="G182" s="8"/>
      <c r="H182" s="8"/>
      <c r="I182" s="9"/>
    </row>
    <row r="183" spans="1:9">
      <c r="A183" s="8"/>
      <c r="B183" s="13"/>
      <c r="C183" s="8"/>
      <c r="D183" s="8"/>
      <c r="E183" s="8"/>
      <c r="F183" s="9"/>
      <c r="G183" s="8"/>
      <c r="H183" s="8"/>
      <c r="I183" s="9"/>
    </row>
    <row r="184" spans="1:9">
      <c r="A184" s="8"/>
      <c r="B184" s="13"/>
      <c r="C184" s="8"/>
      <c r="D184" s="8"/>
      <c r="E184" s="8"/>
      <c r="F184" s="9"/>
      <c r="G184" s="8"/>
      <c r="H184" s="8"/>
      <c r="I184" s="9"/>
    </row>
    <row r="185" spans="1:9">
      <c r="A185" s="8"/>
      <c r="B185" s="13"/>
      <c r="C185" s="8"/>
      <c r="D185" s="8"/>
      <c r="E185" s="8"/>
      <c r="F185" s="9"/>
      <c r="G185" s="8"/>
      <c r="H185" s="8"/>
      <c r="I185" s="9"/>
    </row>
    <row r="186" spans="1:9">
      <c r="A186" s="8"/>
      <c r="B186" s="13"/>
      <c r="C186" s="8"/>
      <c r="D186" s="8"/>
      <c r="E186" s="8"/>
      <c r="F186" s="9"/>
      <c r="G186" s="8"/>
      <c r="H186" s="8"/>
      <c r="I186" s="9"/>
    </row>
    <row r="187" spans="1:9">
      <c r="A187" s="8"/>
      <c r="B187" s="13"/>
      <c r="C187" s="8"/>
      <c r="D187" s="8"/>
      <c r="E187" s="8"/>
      <c r="F187" s="9"/>
      <c r="G187" s="8"/>
      <c r="H187" s="8"/>
      <c r="I187" s="9"/>
    </row>
    <row r="188" spans="1:9">
      <c r="A188" s="8"/>
      <c r="B188" s="13"/>
      <c r="C188" s="8"/>
      <c r="D188" s="8"/>
      <c r="E188" s="8"/>
      <c r="F188" s="9"/>
      <c r="G188" s="8"/>
      <c r="H188" s="8"/>
      <c r="I188" s="9"/>
    </row>
    <row r="189" spans="1:9">
      <c r="A189" s="8"/>
      <c r="B189" s="13"/>
      <c r="C189" s="8"/>
      <c r="D189" s="8"/>
      <c r="E189" s="8"/>
      <c r="F189" s="9"/>
      <c r="G189" s="8"/>
      <c r="H189" s="8"/>
      <c r="I189" s="9"/>
    </row>
    <row r="190" spans="1:9">
      <c r="A190" s="8"/>
      <c r="B190" s="13"/>
      <c r="C190" s="8"/>
      <c r="D190" s="8"/>
      <c r="E190" s="8"/>
      <c r="F190" s="9"/>
      <c r="G190" s="8"/>
      <c r="H190" s="8"/>
      <c r="I190" s="9"/>
    </row>
    <row r="191" spans="1:9">
      <c r="A191" s="8"/>
      <c r="B191" s="13"/>
      <c r="C191" s="8"/>
      <c r="D191" s="8"/>
      <c r="E191" s="8"/>
      <c r="F191" s="9"/>
      <c r="G191" s="8"/>
      <c r="H191" s="8"/>
      <c r="I191" s="9"/>
    </row>
    <row r="192" spans="1:9">
      <c r="A192" s="8"/>
      <c r="B192" s="13"/>
      <c r="C192" s="8"/>
      <c r="D192" s="8"/>
      <c r="E192" s="8"/>
      <c r="F192" s="9"/>
      <c r="G192" s="8"/>
      <c r="H192" s="8"/>
      <c r="I192" s="9"/>
    </row>
    <row r="193" spans="1:9">
      <c r="A193" s="8"/>
      <c r="B193" s="13"/>
      <c r="C193" s="8"/>
      <c r="D193" s="8"/>
      <c r="E193" s="8"/>
      <c r="F193" s="9"/>
      <c r="G193" s="8"/>
      <c r="H193" s="8"/>
      <c r="I193" s="9"/>
    </row>
    <row r="194" spans="1:9">
      <c r="A194" s="8"/>
      <c r="B194" s="13"/>
      <c r="C194" s="8"/>
      <c r="D194" s="8"/>
      <c r="E194" s="8"/>
      <c r="F194" s="9"/>
      <c r="G194" s="8"/>
      <c r="H194" s="8"/>
      <c r="I194" s="9"/>
    </row>
    <row r="195" spans="1:9">
      <c r="A195" s="8"/>
      <c r="B195" s="13"/>
      <c r="C195" s="8"/>
      <c r="D195" s="8"/>
      <c r="E195" s="8"/>
      <c r="F195" s="9"/>
      <c r="G195" s="8"/>
      <c r="H195" s="8"/>
      <c r="I195" s="9"/>
    </row>
    <row r="196" spans="1:9">
      <c r="A196" s="8"/>
      <c r="B196" s="13"/>
      <c r="C196" s="8"/>
      <c r="D196" s="8"/>
      <c r="E196" s="8"/>
      <c r="F196" s="9"/>
      <c r="G196" s="8"/>
      <c r="H196" s="8"/>
      <c r="I196" s="9"/>
    </row>
    <row r="197" spans="1:9">
      <c r="A197" s="8"/>
      <c r="B197" s="13"/>
      <c r="C197" s="8"/>
      <c r="D197" s="8"/>
      <c r="E197" s="8"/>
      <c r="F197" s="9"/>
      <c r="G197" s="8"/>
      <c r="H197" s="8"/>
      <c r="I197" s="9"/>
    </row>
    <row r="198" spans="1:9">
      <c r="A198" s="8"/>
      <c r="B198" s="13"/>
      <c r="C198" s="8"/>
      <c r="D198" s="8"/>
      <c r="E198" s="8"/>
      <c r="F198" s="9"/>
      <c r="G198" s="8"/>
      <c r="H198" s="8"/>
      <c r="I198" s="9"/>
    </row>
    <row r="199" spans="1:9">
      <c r="A199" s="8"/>
      <c r="B199" s="13"/>
      <c r="C199" s="8"/>
      <c r="D199" s="8"/>
      <c r="E199" s="8"/>
      <c r="F199" s="9"/>
      <c r="G199" s="8"/>
      <c r="H199" s="8"/>
      <c r="I199" s="9"/>
    </row>
    <row r="200" spans="1:9">
      <c r="A200" s="8"/>
      <c r="B200" s="13"/>
      <c r="C200" s="8"/>
      <c r="D200" s="8"/>
      <c r="E200" s="8"/>
      <c r="F200" s="9"/>
      <c r="G200" s="8"/>
      <c r="H200" s="8"/>
      <c r="I200" s="9"/>
    </row>
    <row r="201" spans="1:9">
      <c r="A201" s="8"/>
      <c r="B201" s="13"/>
      <c r="C201" s="8"/>
      <c r="D201" s="8"/>
      <c r="E201" s="8"/>
      <c r="F201" s="9"/>
      <c r="G201" s="8"/>
      <c r="H201" s="8"/>
      <c r="I201" s="9"/>
    </row>
    <row r="202" spans="1:9">
      <c r="A202" s="8"/>
      <c r="B202" s="13"/>
      <c r="C202" s="8"/>
      <c r="D202" s="8"/>
      <c r="E202" s="8"/>
      <c r="F202" s="9"/>
      <c r="G202" s="8"/>
      <c r="H202" s="8"/>
      <c r="I202" s="9"/>
    </row>
    <row r="203" spans="1:9">
      <c r="A203" s="8"/>
      <c r="B203" s="13"/>
      <c r="C203" s="8"/>
      <c r="D203" s="8"/>
      <c r="E203" s="8"/>
      <c r="F203" s="9"/>
      <c r="G203" s="8"/>
      <c r="H203" s="8"/>
      <c r="I203" s="9"/>
    </row>
    <row r="204" spans="1:9">
      <c r="A204" s="8"/>
      <c r="B204" s="13"/>
      <c r="C204" s="8"/>
      <c r="D204" s="8"/>
      <c r="E204" s="8"/>
      <c r="F204" s="9"/>
      <c r="G204" s="8"/>
      <c r="H204" s="8"/>
      <c r="I204" s="9"/>
    </row>
    <row r="205" spans="1:9">
      <c r="A205" s="8"/>
      <c r="B205" s="13"/>
      <c r="C205" s="8"/>
      <c r="D205" s="8"/>
      <c r="E205" s="8"/>
      <c r="F205" s="9"/>
      <c r="G205" s="8"/>
      <c r="H205" s="8"/>
      <c r="I205" s="9"/>
    </row>
    <row r="206" spans="1:9">
      <c r="A206" s="8"/>
      <c r="B206" s="13"/>
      <c r="C206" s="8"/>
      <c r="D206" s="8"/>
      <c r="E206" s="8"/>
      <c r="F206" s="9"/>
      <c r="G206" s="8"/>
      <c r="H206" s="8"/>
      <c r="I206" s="9"/>
    </row>
    <row r="207" spans="1:9">
      <c r="A207" s="8"/>
      <c r="B207" s="13"/>
      <c r="C207" s="8"/>
      <c r="D207" s="8"/>
      <c r="E207" s="8"/>
      <c r="F207" s="9"/>
      <c r="G207" s="8"/>
      <c r="H207" s="8"/>
      <c r="I207" s="9"/>
    </row>
    <row r="208" spans="1:9">
      <c r="A208" s="8"/>
      <c r="B208" s="13"/>
      <c r="C208" s="8"/>
      <c r="D208" s="8"/>
      <c r="E208" s="8"/>
      <c r="F208" s="9"/>
      <c r="G208" s="8"/>
      <c r="H208" s="8"/>
      <c r="I208" s="9"/>
    </row>
    <row r="209" spans="1:9">
      <c r="A209" s="8"/>
      <c r="B209" s="13"/>
      <c r="C209" s="8"/>
      <c r="D209" s="8"/>
      <c r="E209" s="8"/>
      <c r="F209" s="9"/>
      <c r="G209" s="8"/>
      <c r="H209" s="8"/>
      <c r="I209" s="9"/>
    </row>
    <row r="210" spans="1:9">
      <c r="A210" s="8"/>
      <c r="B210" s="13"/>
      <c r="C210" s="8"/>
      <c r="D210" s="8"/>
      <c r="E210" s="8"/>
      <c r="F210" s="9"/>
      <c r="G210" s="8"/>
      <c r="H210" s="8"/>
      <c r="I210" s="9"/>
    </row>
    <row r="211" spans="1:9">
      <c r="A211" s="8"/>
      <c r="B211" s="13"/>
      <c r="C211" s="8"/>
      <c r="D211" s="8"/>
      <c r="E211" s="8"/>
      <c r="F211" s="9"/>
      <c r="G211" s="8"/>
      <c r="H211" s="8"/>
      <c r="I211" s="9"/>
    </row>
    <row r="212" spans="1:9">
      <c r="A212" s="8"/>
      <c r="B212" s="13"/>
      <c r="C212" s="8"/>
      <c r="D212" s="8"/>
      <c r="E212" s="8"/>
      <c r="F212" s="9"/>
      <c r="G212" s="8"/>
      <c r="H212" s="8"/>
      <c r="I212" s="9"/>
    </row>
    <row r="213" spans="1:9">
      <c r="A213" s="8"/>
      <c r="B213" s="13"/>
      <c r="C213" s="8"/>
      <c r="D213" s="8"/>
      <c r="E213" s="8"/>
      <c r="F213" s="9"/>
      <c r="G213" s="8"/>
      <c r="H213" s="8"/>
      <c r="I213" s="9"/>
    </row>
    <row r="214" spans="1:9">
      <c r="A214" s="8"/>
      <c r="B214" s="13"/>
      <c r="C214" s="8"/>
      <c r="D214" s="8"/>
      <c r="E214" s="8"/>
      <c r="F214" s="9"/>
      <c r="G214" s="8"/>
      <c r="H214" s="8"/>
      <c r="I214" s="9"/>
    </row>
    <row r="215" spans="1:9">
      <c r="A215" s="8"/>
      <c r="B215" s="13"/>
      <c r="C215" s="8"/>
      <c r="D215" s="8"/>
      <c r="E215" s="8"/>
      <c r="F215" s="9"/>
      <c r="G215" s="8"/>
      <c r="H215" s="8"/>
      <c r="I215" s="9"/>
    </row>
    <row r="216" spans="1:9">
      <c r="A216" s="8"/>
      <c r="B216" s="13"/>
      <c r="C216" s="8"/>
      <c r="D216" s="8"/>
      <c r="E216" s="8"/>
      <c r="F216" s="9"/>
      <c r="G216" s="8"/>
      <c r="H216" s="8"/>
      <c r="I216" s="9"/>
    </row>
    <row r="217" spans="1:9">
      <c r="A217" s="8"/>
      <c r="B217" s="13"/>
      <c r="C217" s="8"/>
      <c r="D217" s="8"/>
      <c r="E217" s="8"/>
      <c r="F217" s="9"/>
      <c r="G217" s="8"/>
      <c r="H217" s="8"/>
      <c r="I217" s="9"/>
    </row>
    <row r="218" spans="1:9">
      <c r="A218" s="8"/>
      <c r="B218" s="13"/>
      <c r="C218" s="8"/>
      <c r="D218" s="8"/>
      <c r="E218" s="8"/>
      <c r="F218" s="9"/>
      <c r="G218" s="8"/>
      <c r="H218" s="8"/>
      <c r="I218" s="9"/>
    </row>
    <row r="219" spans="1:9">
      <c r="A219" s="8"/>
      <c r="B219" s="13"/>
      <c r="C219" s="8"/>
      <c r="D219" s="8"/>
      <c r="E219" s="8"/>
      <c r="F219" s="9"/>
      <c r="G219" s="8"/>
      <c r="H219" s="8"/>
      <c r="I219" s="9"/>
    </row>
    <row r="220" spans="1:9">
      <c r="A220" s="8"/>
      <c r="B220" s="13"/>
      <c r="C220" s="8"/>
      <c r="D220" s="8"/>
      <c r="E220" s="8"/>
      <c r="F220" s="9"/>
      <c r="G220" s="8"/>
      <c r="H220" s="8"/>
      <c r="I220" s="9"/>
    </row>
    <row r="221" spans="1:9">
      <c r="A221" s="8"/>
      <c r="B221" s="13"/>
      <c r="C221" s="8"/>
      <c r="D221" s="8"/>
      <c r="E221" s="8"/>
      <c r="F221" s="9"/>
      <c r="G221" s="8"/>
      <c r="H221" s="8"/>
      <c r="I221" s="9"/>
    </row>
    <row r="222" spans="1:9">
      <c r="A222" s="8"/>
      <c r="B222" s="13"/>
      <c r="C222" s="8"/>
      <c r="D222" s="8"/>
      <c r="E222" s="8"/>
      <c r="F222" s="9"/>
      <c r="G222" s="8"/>
      <c r="H222" s="8"/>
      <c r="I222" s="9"/>
    </row>
    <row r="223" spans="1:9">
      <c r="A223" s="8"/>
      <c r="B223" s="13"/>
      <c r="C223" s="8"/>
      <c r="D223" s="8"/>
      <c r="E223" s="8"/>
      <c r="F223" s="9"/>
      <c r="G223" s="8"/>
      <c r="H223" s="8"/>
      <c r="I223" s="9"/>
    </row>
    <row r="224" spans="1:9">
      <c r="A224" s="8"/>
      <c r="B224" s="13"/>
      <c r="C224" s="8"/>
      <c r="D224" s="8"/>
      <c r="E224" s="8"/>
      <c r="F224" s="9"/>
      <c r="G224" s="8"/>
      <c r="H224" s="8"/>
      <c r="I224" s="9"/>
    </row>
    <row r="225" spans="1:9">
      <c r="A225" s="8"/>
      <c r="B225" s="13"/>
      <c r="C225" s="8"/>
      <c r="D225" s="8"/>
      <c r="E225" s="8"/>
      <c r="F225" s="9"/>
      <c r="G225" s="8"/>
      <c r="H225" s="8"/>
      <c r="I225" s="9"/>
    </row>
    <row r="226" spans="1:9">
      <c r="A226" s="8"/>
      <c r="B226" s="13"/>
      <c r="C226" s="8"/>
      <c r="D226" s="8"/>
      <c r="E226" s="8"/>
      <c r="F226" s="9"/>
      <c r="G226" s="8"/>
      <c r="H226" s="8"/>
      <c r="I226" s="9"/>
    </row>
    <row r="227" spans="1:9">
      <c r="A227" s="8"/>
      <c r="B227" s="13"/>
      <c r="C227" s="8"/>
      <c r="D227" s="8"/>
      <c r="E227" s="8"/>
      <c r="F227" s="9"/>
      <c r="G227" s="8"/>
      <c r="H227" s="8"/>
      <c r="I227" s="9"/>
    </row>
    <row r="228" spans="1:9">
      <c r="A228" s="8"/>
      <c r="B228" s="13"/>
      <c r="C228" s="8"/>
      <c r="D228" s="8"/>
      <c r="E228" s="8"/>
      <c r="F228" s="9"/>
      <c r="G228" s="8"/>
      <c r="H228" s="8"/>
      <c r="I228" s="9"/>
    </row>
    <row r="229" spans="1:9">
      <c r="A229" s="8"/>
      <c r="B229" s="13"/>
      <c r="C229" s="8"/>
      <c r="D229" s="8"/>
      <c r="E229" s="8"/>
      <c r="F229" s="9"/>
      <c r="G229" s="8"/>
      <c r="H229" s="8"/>
      <c r="I229" s="9"/>
    </row>
    <row r="230" spans="1:9">
      <c r="A230" s="8"/>
      <c r="B230" s="13"/>
      <c r="C230" s="8"/>
      <c r="D230" s="8"/>
      <c r="E230" s="8"/>
      <c r="F230" s="9"/>
      <c r="G230" s="8"/>
      <c r="H230" s="8"/>
      <c r="I230" s="9"/>
    </row>
    <row r="231" spans="1:9">
      <c r="A231" s="8"/>
      <c r="B231" s="13"/>
      <c r="C231" s="8"/>
      <c r="D231" s="8"/>
      <c r="E231" s="8"/>
      <c r="F231" s="9"/>
      <c r="G231" s="8"/>
      <c r="H231" s="8"/>
      <c r="I231" s="9"/>
    </row>
    <row r="232" spans="1:9">
      <c r="A232" s="8"/>
      <c r="B232" s="13"/>
      <c r="C232" s="8"/>
      <c r="D232" s="8"/>
      <c r="E232" s="8"/>
      <c r="F232" s="9"/>
      <c r="G232" s="8"/>
      <c r="H232" s="8"/>
      <c r="I232" s="9"/>
    </row>
    <row r="233" spans="1:9">
      <c r="A233" s="8"/>
      <c r="B233" s="13"/>
      <c r="C233" s="8"/>
      <c r="D233" s="8"/>
      <c r="E233" s="8"/>
      <c r="F233" s="9"/>
      <c r="G233" s="8"/>
      <c r="H233" s="8"/>
      <c r="I233" s="9"/>
    </row>
    <row r="234" spans="1:9">
      <c r="A234" s="8"/>
      <c r="B234" s="13"/>
      <c r="C234" s="8"/>
      <c r="D234" s="8"/>
      <c r="E234" s="8"/>
      <c r="F234" s="9"/>
      <c r="G234" s="8"/>
      <c r="H234" s="8"/>
      <c r="I234" s="9"/>
    </row>
    <row r="235" spans="1:9">
      <c r="A235" s="8"/>
      <c r="B235" s="13"/>
      <c r="C235" s="8"/>
      <c r="D235" s="8"/>
      <c r="E235" s="8"/>
      <c r="F235" s="9"/>
      <c r="G235" s="8"/>
      <c r="H235" s="8"/>
      <c r="I235" s="9"/>
    </row>
    <row r="236" spans="1:9">
      <c r="A236" s="8"/>
      <c r="B236" s="13"/>
      <c r="C236" s="8"/>
      <c r="D236" s="8"/>
      <c r="E236" s="8"/>
      <c r="F236" s="9"/>
      <c r="G236" s="8"/>
      <c r="H236" s="8"/>
      <c r="I236" s="9"/>
    </row>
    <row r="237" spans="1:9">
      <c r="A237" s="8"/>
      <c r="B237" s="13"/>
      <c r="C237" s="8"/>
      <c r="D237" s="8"/>
      <c r="E237" s="8"/>
      <c r="F237" s="9"/>
      <c r="G237" s="8"/>
      <c r="H237" s="8"/>
      <c r="I237" s="9"/>
    </row>
    <row r="238" spans="1:9">
      <c r="A238" s="8"/>
      <c r="B238" s="13"/>
      <c r="C238" s="8"/>
      <c r="D238" s="8"/>
      <c r="E238" s="8"/>
      <c r="F238" s="9"/>
      <c r="G238" s="8"/>
      <c r="H238" s="8"/>
      <c r="I238" s="9"/>
    </row>
    <row r="239" spans="1:9">
      <c r="A239" s="8"/>
      <c r="B239" s="13"/>
      <c r="C239" s="8"/>
      <c r="D239" s="8"/>
      <c r="E239" s="8"/>
      <c r="F239" s="9"/>
      <c r="G239" s="8"/>
      <c r="H239" s="8"/>
      <c r="I239" s="9"/>
    </row>
    <row r="240" spans="1:9">
      <c r="A240" s="8"/>
      <c r="B240" s="13"/>
      <c r="C240" s="8"/>
      <c r="D240" s="8"/>
      <c r="E240" s="8"/>
      <c r="F240" s="9"/>
      <c r="G240" s="8"/>
      <c r="H240" s="8"/>
      <c r="I240" s="9"/>
    </row>
    <row r="241" spans="1:9">
      <c r="A241" s="8"/>
      <c r="B241" s="13"/>
      <c r="C241" s="8"/>
      <c r="D241" s="8"/>
      <c r="E241" s="8"/>
      <c r="F241" s="9"/>
      <c r="G241" s="8"/>
      <c r="H241" s="8"/>
      <c r="I241" s="9"/>
    </row>
    <row r="242" spans="1:9">
      <c r="A242" s="8"/>
      <c r="B242" s="13"/>
      <c r="C242" s="8"/>
      <c r="D242" s="8"/>
      <c r="E242" s="8"/>
      <c r="F242" s="9"/>
      <c r="G242" s="8"/>
      <c r="H242" s="8"/>
      <c r="I242" s="9"/>
    </row>
    <row r="243" spans="1:9">
      <c r="A243" s="8"/>
      <c r="B243" s="13"/>
      <c r="C243" s="8"/>
      <c r="D243" s="8"/>
      <c r="E243" s="8"/>
      <c r="F243" s="9"/>
      <c r="G243" s="8"/>
      <c r="H243" s="8"/>
      <c r="I243" s="9"/>
    </row>
    <row r="244" spans="1:9">
      <c r="A244" s="8"/>
      <c r="B244" s="13"/>
      <c r="C244" s="8"/>
      <c r="D244" s="8"/>
      <c r="E244" s="8"/>
      <c r="F244" s="9"/>
      <c r="G244" s="8"/>
      <c r="H244" s="8"/>
      <c r="I244" s="9"/>
    </row>
    <row r="245" spans="1:9">
      <c r="A245" s="8"/>
      <c r="B245" s="13"/>
      <c r="C245" s="8"/>
      <c r="D245" s="8"/>
      <c r="E245" s="8"/>
      <c r="F245" s="9"/>
      <c r="G245" s="8"/>
      <c r="H245" s="8"/>
      <c r="I245" s="9"/>
    </row>
    <row r="246" spans="1:9">
      <c r="A246" s="8"/>
      <c r="B246" s="13"/>
      <c r="C246" s="8"/>
      <c r="D246" s="8"/>
      <c r="E246" s="8"/>
      <c r="F246" s="9"/>
      <c r="G246" s="8"/>
      <c r="H246" s="8"/>
      <c r="I246" s="9"/>
    </row>
    <row r="247" spans="1:9">
      <c r="A247" s="8"/>
      <c r="B247" s="13"/>
      <c r="C247" s="8"/>
      <c r="D247" s="8"/>
      <c r="E247" s="8"/>
      <c r="F247" s="9"/>
      <c r="G247" s="8"/>
      <c r="H247" s="8"/>
      <c r="I247" s="9"/>
    </row>
    <row r="248" spans="1:9">
      <c r="A248" s="8"/>
      <c r="B248" s="13"/>
      <c r="C248" s="8"/>
      <c r="D248" s="8"/>
      <c r="E248" s="8"/>
      <c r="F248" s="9"/>
      <c r="G248" s="8"/>
      <c r="H248" s="8"/>
      <c r="I248" s="9"/>
    </row>
    <row r="249" spans="1:9">
      <c r="A249" s="8"/>
      <c r="B249" s="13"/>
      <c r="C249" s="8"/>
      <c r="D249" s="8"/>
      <c r="E249" s="8"/>
      <c r="F249" s="9"/>
      <c r="G249" s="8"/>
      <c r="H249" s="8"/>
      <c r="I249" s="9"/>
    </row>
    <row r="250" spans="1:9">
      <c r="A250" s="8"/>
      <c r="B250" s="13"/>
      <c r="C250" s="8"/>
      <c r="D250" s="8"/>
      <c r="E250" s="8"/>
      <c r="F250" s="9"/>
      <c r="G250" s="8"/>
      <c r="H250" s="8"/>
      <c r="I250" s="9"/>
    </row>
    <row r="251" spans="1:9">
      <c r="A251" s="8"/>
      <c r="B251" s="13"/>
      <c r="C251" s="8"/>
      <c r="D251" s="8"/>
      <c r="E251" s="8"/>
      <c r="F251" s="9"/>
      <c r="G251" s="8"/>
      <c r="H251" s="8"/>
      <c r="I251" s="9"/>
    </row>
    <row r="252" spans="1:9">
      <c r="A252" s="8"/>
      <c r="B252" s="13"/>
      <c r="C252" s="8"/>
      <c r="D252" s="8"/>
      <c r="E252" s="8"/>
      <c r="F252" s="9"/>
      <c r="G252" s="8"/>
      <c r="H252" s="8"/>
      <c r="I252" s="9"/>
    </row>
    <row r="253" spans="1:9">
      <c r="A253" s="8"/>
      <c r="B253" s="13"/>
      <c r="C253" s="8"/>
      <c r="D253" s="8"/>
      <c r="E253" s="8"/>
      <c r="F253" s="9"/>
      <c r="G253" s="8"/>
      <c r="H253" s="8"/>
      <c r="I253" s="9"/>
    </row>
    <row r="254" spans="1:9">
      <c r="A254" s="8"/>
      <c r="B254" s="13"/>
      <c r="C254" s="8"/>
      <c r="D254" s="8"/>
      <c r="E254" s="8"/>
      <c r="F254" s="9"/>
      <c r="G254" s="8"/>
      <c r="H254" s="8"/>
      <c r="I254" s="9"/>
    </row>
    <row r="255" spans="1:9">
      <c r="A255" s="8"/>
      <c r="B255" s="13"/>
      <c r="C255" s="8"/>
      <c r="D255" s="8"/>
      <c r="E255" s="8"/>
      <c r="F255" s="9"/>
      <c r="G255" s="8"/>
      <c r="H255" s="8"/>
      <c r="I255" s="9"/>
    </row>
    <row r="256" spans="1:9">
      <c r="A256" s="8"/>
      <c r="B256" s="13"/>
      <c r="C256" s="8"/>
      <c r="D256" s="8"/>
      <c r="E256" s="8"/>
      <c r="F256" s="9"/>
      <c r="G256" s="8"/>
      <c r="H256" s="8"/>
      <c r="I256" s="9"/>
    </row>
    <row r="257" spans="1:9">
      <c r="A257" s="8"/>
      <c r="B257" s="13"/>
      <c r="C257" s="8"/>
      <c r="D257" s="8"/>
      <c r="E257" s="8"/>
      <c r="F257" s="9"/>
      <c r="G257" s="8"/>
      <c r="H257" s="8"/>
      <c r="I257" s="9"/>
    </row>
    <row r="258" spans="1:9">
      <c r="A258" s="8"/>
      <c r="B258" s="13"/>
      <c r="C258" s="8"/>
      <c r="D258" s="8"/>
      <c r="E258" s="8"/>
      <c r="F258" s="9"/>
      <c r="G258" s="8"/>
      <c r="H258" s="8"/>
      <c r="I258" s="9"/>
    </row>
    <row r="259" spans="1:9">
      <c r="A259" s="8"/>
      <c r="B259" s="13"/>
      <c r="C259" s="8"/>
      <c r="D259" s="8"/>
      <c r="E259" s="8"/>
      <c r="F259" s="9"/>
      <c r="G259" s="8"/>
      <c r="H259" s="8"/>
      <c r="I259" s="9"/>
    </row>
    <row r="260" spans="1:9">
      <c r="A260" s="8"/>
      <c r="B260" s="13"/>
      <c r="C260" s="8"/>
      <c r="D260" s="8"/>
      <c r="E260" s="8"/>
      <c r="F260" s="9"/>
      <c r="G260" s="8"/>
      <c r="H260" s="8"/>
      <c r="I260" s="9"/>
    </row>
    <row r="261" spans="1:9">
      <c r="A261" s="8"/>
      <c r="B261" s="13"/>
      <c r="C261" s="8"/>
      <c r="D261" s="8"/>
      <c r="E261" s="8"/>
      <c r="F261" s="9"/>
      <c r="G261" s="8"/>
      <c r="H261" s="8"/>
      <c r="I261" s="9"/>
    </row>
    <row r="262" spans="1:9">
      <c r="A262" s="8"/>
      <c r="B262" s="13"/>
      <c r="C262" s="8"/>
      <c r="D262" s="8"/>
      <c r="E262" s="8"/>
      <c r="F262" s="9"/>
      <c r="G262" s="8"/>
      <c r="H262" s="8"/>
      <c r="I262" s="9"/>
    </row>
    <row r="263" spans="1:9">
      <c r="A263" s="8"/>
      <c r="B263" s="13"/>
      <c r="C263" s="8"/>
      <c r="D263" s="8"/>
      <c r="E263" s="8"/>
      <c r="F263" s="9"/>
      <c r="G263" s="8"/>
      <c r="H263" s="8"/>
      <c r="I263" s="9"/>
    </row>
    <row r="264" spans="1:9">
      <c r="A264" s="8"/>
      <c r="B264" s="13"/>
      <c r="C264" s="8"/>
      <c r="D264" s="8"/>
      <c r="E264" s="8"/>
      <c r="F264" s="9"/>
      <c r="G264" s="8"/>
      <c r="H264" s="8"/>
      <c r="I264" s="9"/>
    </row>
    <row r="265" spans="1:9">
      <c r="A265" s="8"/>
      <c r="B265" s="13"/>
      <c r="C265" s="8"/>
      <c r="D265" s="8"/>
      <c r="E265" s="8"/>
      <c r="F265" s="9"/>
      <c r="G265" s="8"/>
      <c r="H265" s="8"/>
      <c r="I265" s="9"/>
    </row>
    <row r="266" spans="1:9">
      <c r="A266" s="8"/>
      <c r="B266" s="13"/>
      <c r="C266" s="8"/>
      <c r="D266" s="8"/>
      <c r="E266" s="8"/>
      <c r="F266" s="9"/>
      <c r="G266" s="8"/>
      <c r="H266" s="8"/>
      <c r="I266" s="9"/>
    </row>
    <row r="267" spans="1:9">
      <c r="A267" s="8"/>
      <c r="B267" s="13"/>
      <c r="C267" s="8"/>
      <c r="D267" s="8"/>
      <c r="E267" s="8"/>
      <c r="F267" s="9"/>
      <c r="G267" s="8"/>
      <c r="H267" s="8"/>
      <c r="I267" s="9"/>
    </row>
    <row r="268" spans="1:9">
      <c r="A268" s="8"/>
      <c r="B268" s="13"/>
      <c r="C268" s="8"/>
      <c r="D268" s="8"/>
      <c r="E268" s="8"/>
      <c r="F268" s="9"/>
      <c r="G268" s="8"/>
      <c r="H268" s="8"/>
      <c r="I268" s="9"/>
    </row>
    <row r="269" spans="1:9">
      <c r="A269" s="8"/>
      <c r="B269" s="13"/>
      <c r="C269" s="8"/>
      <c r="D269" s="8"/>
      <c r="E269" s="8"/>
      <c r="F269" s="9"/>
      <c r="G269" s="8"/>
      <c r="H269" s="8"/>
      <c r="I269" s="9"/>
    </row>
    <row r="270" spans="1:9">
      <c r="A270" s="8"/>
      <c r="B270" s="13"/>
      <c r="C270" s="8"/>
      <c r="D270" s="8"/>
      <c r="E270" s="8"/>
      <c r="F270" s="9"/>
      <c r="G270" s="8"/>
      <c r="H270" s="8"/>
      <c r="I270" s="9"/>
    </row>
    <row r="271" spans="1:9">
      <c r="A271" s="8"/>
      <c r="B271" s="13"/>
      <c r="C271" s="8"/>
      <c r="D271" s="8"/>
      <c r="E271" s="8"/>
      <c r="F271" s="9"/>
      <c r="G271" s="8"/>
      <c r="H271" s="8"/>
      <c r="I271" s="9"/>
    </row>
    <row r="272" spans="1:9">
      <c r="A272" s="8"/>
      <c r="B272" s="13"/>
      <c r="C272" s="8"/>
      <c r="D272" s="8"/>
      <c r="E272" s="8"/>
      <c r="F272" s="9"/>
      <c r="G272" s="8"/>
      <c r="H272" s="8"/>
      <c r="I272" s="9"/>
    </row>
    <row r="273" spans="1:9">
      <c r="A273" s="8"/>
      <c r="B273" s="13"/>
      <c r="C273" s="8"/>
      <c r="D273" s="8"/>
      <c r="E273" s="8"/>
      <c r="F273" s="9"/>
      <c r="G273" s="8"/>
      <c r="H273" s="8"/>
      <c r="I273" s="9"/>
    </row>
    <row r="274" spans="1:9">
      <c r="A274" s="8"/>
      <c r="B274" s="13"/>
      <c r="C274" s="8"/>
      <c r="D274" s="8"/>
      <c r="E274" s="8"/>
      <c r="F274" s="9"/>
      <c r="G274" s="8"/>
      <c r="H274" s="8"/>
      <c r="I274" s="9"/>
    </row>
    <row r="275" spans="1:9">
      <c r="A275" s="8"/>
      <c r="B275" s="13"/>
      <c r="C275" s="8"/>
      <c r="D275" s="8"/>
      <c r="E275" s="8"/>
      <c r="F275" s="9"/>
      <c r="G275" s="8"/>
      <c r="H275" s="8"/>
      <c r="I275" s="9"/>
    </row>
    <row r="276" spans="1:9">
      <c r="A276" s="8"/>
      <c r="B276" s="13"/>
      <c r="C276" s="8"/>
      <c r="D276" s="8"/>
      <c r="E276" s="8"/>
      <c r="F276" s="9"/>
      <c r="G276" s="8"/>
      <c r="H276" s="8"/>
      <c r="I276" s="9"/>
    </row>
    <row r="277" spans="1:9">
      <c r="A277" s="8"/>
      <c r="B277" s="13"/>
      <c r="C277" s="8"/>
      <c r="D277" s="8"/>
      <c r="E277" s="8"/>
      <c r="F277" s="9"/>
      <c r="G277" s="8"/>
      <c r="H277" s="8"/>
      <c r="I277" s="9"/>
    </row>
    <row r="278" spans="1:9">
      <c r="A278" s="8"/>
      <c r="B278" s="13"/>
      <c r="C278" s="8"/>
      <c r="D278" s="8"/>
      <c r="E278" s="8"/>
      <c r="F278" s="9"/>
      <c r="G278" s="8"/>
      <c r="H278" s="8"/>
      <c r="I278" s="9"/>
    </row>
    <row r="279" spans="1:9">
      <c r="A279" s="8"/>
      <c r="B279" s="13"/>
      <c r="C279" s="8"/>
      <c r="D279" s="8"/>
      <c r="E279" s="8"/>
      <c r="F279" s="9"/>
      <c r="G279" s="8"/>
      <c r="H279" s="8"/>
      <c r="I279" s="9"/>
    </row>
    <row r="280" spans="1:9">
      <c r="A280" s="8"/>
      <c r="B280" s="13"/>
      <c r="C280" s="8"/>
      <c r="D280" s="8"/>
      <c r="E280" s="8"/>
      <c r="F280" s="9"/>
      <c r="G280" s="8"/>
      <c r="H280" s="8"/>
      <c r="I280" s="9"/>
    </row>
    <row r="281" spans="1:9">
      <c r="A281" s="8"/>
      <c r="B281" s="13"/>
      <c r="C281" s="8"/>
      <c r="D281" s="8"/>
      <c r="E281" s="8"/>
      <c r="F281" s="9"/>
      <c r="G281" s="8"/>
      <c r="H281" s="8"/>
      <c r="I281" s="9"/>
    </row>
    <row r="282" spans="1:9">
      <c r="A282" s="8"/>
      <c r="B282" s="13"/>
      <c r="C282" s="8"/>
      <c r="D282" s="8"/>
      <c r="E282" s="8"/>
      <c r="F282" s="9"/>
      <c r="G282" s="8"/>
      <c r="H282" s="8"/>
      <c r="I282" s="9"/>
    </row>
    <row r="283" spans="1:9">
      <c r="A283" s="8"/>
      <c r="B283" s="13"/>
      <c r="C283" s="8"/>
      <c r="D283" s="8"/>
      <c r="E283" s="8"/>
      <c r="F283" s="9"/>
      <c r="G283" s="8"/>
      <c r="H283" s="8"/>
      <c r="I283" s="9"/>
    </row>
    <row r="284" spans="1:9">
      <c r="A284" s="8"/>
      <c r="B284" s="13"/>
      <c r="C284" s="8"/>
      <c r="D284" s="8"/>
      <c r="E284" s="8"/>
      <c r="F284" s="9"/>
      <c r="G284" s="8"/>
      <c r="H284" s="8"/>
      <c r="I284" s="9"/>
    </row>
    <row r="285" spans="1:9">
      <c r="A285" s="8"/>
      <c r="B285" s="13"/>
      <c r="C285" s="8"/>
      <c r="D285" s="8"/>
      <c r="E285" s="8"/>
      <c r="F285" s="9"/>
      <c r="G285" s="8"/>
      <c r="H285" s="8"/>
      <c r="I285" s="9"/>
    </row>
    <row r="286" spans="1:9">
      <c r="A286" s="8"/>
      <c r="B286" s="13"/>
      <c r="C286" s="8"/>
      <c r="D286" s="8"/>
      <c r="E286" s="8"/>
      <c r="F286" s="9"/>
      <c r="G286" s="8"/>
      <c r="H286" s="8"/>
      <c r="I286" s="9"/>
    </row>
    <row r="287" spans="1:9">
      <c r="A287" s="8"/>
      <c r="B287" s="13"/>
      <c r="C287" s="8"/>
      <c r="D287" s="8"/>
      <c r="E287" s="8"/>
      <c r="F287" s="9"/>
      <c r="G287" s="8"/>
      <c r="H287" s="8"/>
      <c r="I287" s="9"/>
    </row>
    <row r="288" spans="1:9">
      <c r="A288" s="8"/>
      <c r="B288" s="13"/>
      <c r="C288" s="8"/>
      <c r="D288" s="8"/>
      <c r="E288" s="8"/>
      <c r="F288" s="9"/>
      <c r="G288" s="8"/>
      <c r="H288" s="8"/>
      <c r="I288" s="9"/>
    </row>
    <row r="289" spans="1:9">
      <c r="A289" s="8"/>
      <c r="B289" s="13"/>
      <c r="C289" s="8"/>
      <c r="D289" s="8"/>
      <c r="E289" s="8"/>
      <c r="F289" s="9"/>
      <c r="G289" s="8"/>
      <c r="H289" s="8"/>
      <c r="I289" s="9"/>
    </row>
    <row r="290" spans="1:9">
      <c r="A290" s="8"/>
      <c r="B290" s="13"/>
      <c r="C290" s="8"/>
      <c r="D290" s="8"/>
      <c r="E290" s="8"/>
      <c r="F290" s="9"/>
      <c r="G290" s="8"/>
      <c r="H290" s="8"/>
      <c r="I290" s="9"/>
    </row>
    <row r="291" spans="1:9">
      <c r="A291" s="8"/>
      <c r="B291" s="13"/>
      <c r="C291" s="8"/>
      <c r="D291" s="8"/>
      <c r="E291" s="8"/>
      <c r="F291" s="9"/>
      <c r="G291" s="8"/>
      <c r="H291" s="8"/>
      <c r="I291" s="9"/>
    </row>
    <row r="292" spans="1:9">
      <c r="A292" s="8"/>
      <c r="B292" s="13"/>
      <c r="C292" s="8"/>
      <c r="D292" s="8"/>
      <c r="E292" s="8"/>
      <c r="F292" s="9"/>
      <c r="G292" s="8"/>
      <c r="H292" s="8"/>
      <c r="I292" s="9"/>
    </row>
    <row r="293" spans="1:9">
      <c r="A293" s="8"/>
      <c r="B293" s="13"/>
      <c r="C293" s="8"/>
      <c r="D293" s="8"/>
      <c r="E293" s="8"/>
      <c r="F293" s="9"/>
      <c r="G293" s="8"/>
      <c r="H293" s="8"/>
      <c r="I293" s="9"/>
    </row>
    <row r="294" spans="1:9">
      <c r="A294" s="8"/>
      <c r="B294" s="13"/>
      <c r="C294" s="8"/>
      <c r="D294" s="8"/>
      <c r="E294" s="8"/>
      <c r="F294" s="9"/>
      <c r="G294" s="8"/>
      <c r="H294" s="8"/>
      <c r="I294" s="9"/>
    </row>
    <row r="295" spans="1:9">
      <c r="A295" s="8"/>
      <c r="B295" s="13"/>
      <c r="C295" s="8"/>
      <c r="D295" s="8"/>
      <c r="E295" s="8"/>
      <c r="F295" s="9"/>
      <c r="G295" s="8"/>
      <c r="H295" s="8"/>
      <c r="I295" s="9"/>
    </row>
    <row r="296" spans="1:9">
      <c r="A296" s="8"/>
      <c r="B296" s="13"/>
      <c r="C296" s="8"/>
      <c r="D296" s="8"/>
      <c r="E296" s="8"/>
      <c r="F296" s="9"/>
      <c r="G296" s="8"/>
      <c r="H296" s="8"/>
      <c r="I296" s="9"/>
    </row>
    <row r="297" spans="1:9">
      <c r="A297" s="8"/>
      <c r="B297" s="13"/>
      <c r="C297" s="8"/>
      <c r="D297" s="8"/>
      <c r="E297" s="8"/>
      <c r="F297" s="9"/>
      <c r="G297" s="8"/>
      <c r="H297" s="8"/>
      <c r="I297" s="9"/>
    </row>
    <row r="298" spans="1:9">
      <c r="A298" s="8"/>
      <c r="B298" s="13"/>
      <c r="C298" s="8"/>
      <c r="D298" s="8"/>
      <c r="E298" s="8"/>
      <c r="F298" s="9"/>
      <c r="G298" s="8"/>
      <c r="H298" s="8"/>
      <c r="I298" s="9"/>
    </row>
    <row r="299" spans="1:9">
      <c r="A299" s="8"/>
      <c r="B299" s="13"/>
      <c r="C299" s="8"/>
      <c r="D299" s="8"/>
      <c r="E299" s="8"/>
      <c r="F299" s="9"/>
      <c r="G299" s="8"/>
      <c r="H299" s="8"/>
      <c r="I299" s="9"/>
    </row>
    <row r="300" spans="1:9">
      <c r="A300" s="8"/>
      <c r="B300" s="13"/>
      <c r="C300" s="8"/>
      <c r="D300" s="8"/>
      <c r="E300" s="8"/>
      <c r="F300" s="9"/>
      <c r="G300" s="8"/>
      <c r="H300" s="8"/>
      <c r="I300" s="9"/>
    </row>
    <row r="301" spans="1:9">
      <c r="A301" s="8"/>
      <c r="B301" s="13"/>
      <c r="C301" s="8"/>
      <c r="D301" s="8"/>
      <c r="E301" s="8"/>
      <c r="F301" s="9"/>
      <c r="G301" s="8"/>
      <c r="H301" s="8"/>
      <c r="I301" s="9"/>
    </row>
    <row r="302" spans="1:9">
      <c r="A302" s="8"/>
      <c r="B302" s="13"/>
      <c r="C302" s="8"/>
      <c r="D302" s="8"/>
      <c r="E302" s="8"/>
      <c r="F302" s="9"/>
      <c r="G302" s="8"/>
      <c r="H302" s="8"/>
      <c r="I302" s="9"/>
    </row>
    <row r="303" spans="1:9">
      <c r="A303" s="8"/>
      <c r="B303" s="13"/>
      <c r="C303" s="8"/>
      <c r="D303" s="8"/>
      <c r="E303" s="8"/>
      <c r="F303" s="9"/>
      <c r="G303" s="8"/>
      <c r="H303" s="8"/>
      <c r="I303" s="9"/>
    </row>
    <row r="304" spans="1:9">
      <c r="A304" s="8"/>
      <c r="B304" s="13"/>
      <c r="C304" s="8"/>
      <c r="D304" s="8"/>
      <c r="E304" s="8"/>
      <c r="F304" s="9"/>
      <c r="G304" s="8"/>
      <c r="H304" s="8"/>
      <c r="I304" s="9"/>
    </row>
    <row r="305" spans="1:9">
      <c r="A305" s="8"/>
      <c r="B305" s="13"/>
      <c r="C305" s="8"/>
      <c r="D305" s="8"/>
      <c r="E305" s="8"/>
      <c r="F305" s="9"/>
      <c r="G305" s="8"/>
      <c r="H305" s="8"/>
      <c r="I305" s="9"/>
    </row>
    <row r="306" spans="1:9">
      <c r="A306" s="8"/>
      <c r="B306" s="13"/>
      <c r="C306" s="8"/>
      <c r="D306" s="8"/>
      <c r="E306" s="8"/>
      <c r="F306" s="9"/>
      <c r="G306" s="8"/>
      <c r="H306" s="8"/>
      <c r="I306" s="9"/>
    </row>
    <row r="307" spans="1:9">
      <c r="A307" s="8"/>
      <c r="B307" s="13"/>
      <c r="C307" s="8"/>
      <c r="D307" s="8"/>
      <c r="E307" s="8"/>
      <c r="F307" s="9"/>
      <c r="G307" s="8"/>
      <c r="H307" s="8"/>
      <c r="I307" s="9"/>
    </row>
    <row r="308" spans="1:9">
      <c r="A308" s="8"/>
      <c r="B308" s="13"/>
      <c r="C308" s="8"/>
      <c r="D308" s="8"/>
      <c r="E308" s="8"/>
      <c r="F308" s="9"/>
      <c r="G308" s="8"/>
      <c r="H308" s="8"/>
      <c r="I308" s="9"/>
    </row>
    <row r="309" spans="1:9">
      <c r="A309" s="8"/>
      <c r="B309" s="13"/>
      <c r="C309" s="8"/>
      <c r="D309" s="8"/>
      <c r="E309" s="8"/>
      <c r="F309" s="9"/>
      <c r="G309" s="8"/>
      <c r="H309" s="8"/>
      <c r="I309" s="9"/>
    </row>
    <row r="310" spans="1:9">
      <c r="A310" s="8"/>
      <c r="B310" s="13"/>
      <c r="C310" s="8"/>
      <c r="D310" s="8"/>
      <c r="E310" s="8"/>
      <c r="F310" s="9"/>
      <c r="G310" s="8"/>
      <c r="H310" s="8"/>
      <c r="I310" s="9"/>
    </row>
    <row r="311" spans="1:9">
      <c r="A311" s="8"/>
      <c r="B311" s="13"/>
      <c r="C311" s="8"/>
      <c r="D311" s="8"/>
      <c r="E311" s="8"/>
      <c r="F311" s="9"/>
      <c r="G311" s="8"/>
      <c r="H311" s="8"/>
      <c r="I311" s="9"/>
    </row>
    <row r="312" spans="1:9">
      <c r="A312" s="8"/>
      <c r="B312" s="13"/>
      <c r="C312" s="8"/>
      <c r="D312" s="8"/>
      <c r="E312" s="8"/>
      <c r="F312" s="9"/>
      <c r="G312" s="8"/>
      <c r="H312" s="8"/>
      <c r="I312" s="9"/>
    </row>
    <row r="313" spans="1:9">
      <c r="A313" s="8"/>
      <c r="B313" s="13"/>
      <c r="C313" s="8"/>
      <c r="D313" s="8"/>
      <c r="E313" s="8"/>
      <c r="F313" s="9"/>
      <c r="G313" s="8"/>
      <c r="H313" s="8"/>
      <c r="I313" s="9"/>
    </row>
    <row r="314" spans="1:9">
      <c r="A314" s="8"/>
      <c r="B314" s="13"/>
      <c r="C314" s="8"/>
      <c r="D314" s="8"/>
      <c r="E314" s="8"/>
      <c r="F314" s="9"/>
      <c r="G314" s="8"/>
      <c r="H314" s="8"/>
      <c r="I314" s="9"/>
    </row>
    <row r="315" spans="1:9">
      <c r="A315" s="8"/>
      <c r="B315" s="13"/>
      <c r="C315" s="8"/>
      <c r="D315" s="8"/>
      <c r="E315" s="8"/>
      <c r="F315" s="9"/>
      <c r="G315" s="8"/>
      <c r="H315" s="8"/>
      <c r="I315" s="9"/>
    </row>
    <row r="316" spans="1:9">
      <c r="A316" s="8"/>
      <c r="B316" s="13"/>
      <c r="C316" s="8"/>
      <c r="D316" s="8"/>
      <c r="E316" s="8"/>
      <c r="F316" s="9"/>
      <c r="G316" s="8"/>
      <c r="H316" s="8"/>
      <c r="I316" s="9"/>
    </row>
    <row r="317" spans="1:9">
      <c r="A317" s="8"/>
      <c r="B317" s="13"/>
      <c r="C317" s="8"/>
      <c r="D317" s="8"/>
      <c r="E317" s="8"/>
      <c r="F317" s="9"/>
      <c r="G317" s="8"/>
      <c r="H317" s="8"/>
      <c r="I317" s="9"/>
    </row>
    <row r="318" spans="1:9">
      <c r="A318" s="8"/>
      <c r="B318" s="13"/>
      <c r="C318" s="8"/>
      <c r="D318" s="8"/>
      <c r="E318" s="8"/>
      <c r="F318" s="9"/>
      <c r="G318" s="8"/>
      <c r="H318" s="8"/>
      <c r="I318" s="9"/>
    </row>
    <row r="319" spans="1:9">
      <c r="A319" s="8"/>
      <c r="B319" s="13"/>
      <c r="C319" s="8"/>
      <c r="D319" s="8"/>
      <c r="E319" s="8"/>
      <c r="F319" s="9"/>
      <c r="G319" s="8"/>
      <c r="H319" s="8"/>
      <c r="I319" s="9"/>
    </row>
    <row r="320" spans="1:9">
      <c r="A320" s="8"/>
      <c r="B320" s="13"/>
      <c r="C320" s="8"/>
      <c r="D320" s="8"/>
      <c r="E320" s="8"/>
      <c r="F320" s="9"/>
      <c r="G320" s="8"/>
      <c r="H320" s="8"/>
      <c r="I320" s="9"/>
    </row>
    <row r="321" spans="1:9">
      <c r="A321" s="8"/>
      <c r="B321" s="13"/>
      <c r="C321" s="8"/>
      <c r="D321" s="8"/>
      <c r="E321" s="8"/>
      <c r="F321" s="9"/>
      <c r="G321" s="8"/>
      <c r="H321" s="8"/>
      <c r="I321" s="9"/>
    </row>
    <row r="322" spans="1:9">
      <c r="A322" s="8"/>
      <c r="B322" s="13"/>
      <c r="C322" s="8"/>
      <c r="D322" s="8"/>
      <c r="E322" s="8"/>
      <c r="F322" s="9"/>
      <c r="G322" s="8"/>
      <c r="H322" s="8"/>
      <c r="I322" s="9"/>
    </row>
    <row r="323" spans="1:9">
      <c r="A323" s="8"/>
      <c r="B323" s="13"/>
      <c r="C323" s="8"/>
      <c r="D323" s="8"/>
      <c r="E323" s="8"/>
      <c r="F323" s="9"/>
      <c r="G323" s="8"/>
      <c r="H323" s="8"/>
      <c r="I323" s="9"/>
    </row>
    <row r="324" spans="1:9">
      <c r="A324" s="8"/>
      <c r="B324" s="13"/>
      <c r="C324" s="8"/>
      <c r="D324" s="8"/>
      <c r="E324" s="8"/>
      <c r="F324" s="9"/>
      <c r="G324" s="8"/>
      <c r="H324" s="8"/>
      <c r="I324" s="9"/>
    </row>
    <row r="325" spans="1:9">
      <c r="A325" s="8"/>
      <c r="B325" s="13"/>
      <c r="C325" s="8"/>
      <c r="D325" s="8"/>
      <c r="E325" s="8"/>
      <c r="F325" s="9"/>
      <c r="G325" s="8"/>
      <c r="H325" s="8"/>
      <c r="I325" s="9"/>
    </row>
    <row r="326" spans="1:9">
      <c r="C326" s="8"/>
      <c r="D326" s="8"/>
      <c r="E326" s="8"/>
      <c r="F326" s="9"/>
      <c r="G326" s="8"/>
      <c r="H326" s="8"/>
      <c r="I326" s="9"/>
    </row>
  </sheetData>
  <mergeCells count="4">
    <mergeCell ref="G1:I1"/>
    <mergeCell ref="A1:C1"/>
    <mergeCell ref="D1:F1"/>
    <mergeCell ref="A2:B2"/>
  </mergeCells>
  <conditionalFormatting sqref="F2 I2 F4:F85 I4:I8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P326"/>
  <sheetViews>
    <sheetView zoomScale="50" zoomScaleNormal="50" workbookViewId="0">
      <pane xSplit="2" ySplit="3" topLeftCell="F18" activePane="bottomRight" state="frozen"/>
      <selection pane="bottomRight" activeCell="L21" sqref="L21"/>
      <selection pane="bottomLeft" activeCell="J4" sqref="J4:Y85"/>
      <selection pane="topRight" activeCell="J4" sqref="J4:Y85"/>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6.5703125" style="102" customWidth="1"/>
  </cols>
  <sheetData>
    <row r="1" spans="1:15" ht="19.5" customHeight="1">
      <c r="A1" s="122" t="str" cm="1">
        <f t="array" ref="A1">portfolio</f>
        <v>Clean Capital</v>
      </c>
      <c r="B1" s="122"/>
      <c r="C1" s="122"/>
      <c r="D1" s="123" t="s">
        <v>288</v>
      </c>
      <c r="E1" s="123"/>
      <c r="F1" s="123"/>
      <c r="G1" s="121" t="s">
        <v>289</v>
      </c>
      <c r="H1" s="121"/>
      <c r="I1" s="121"/>
      <c r="J1" s="4"/>
      <c r="K1" s="4"/>
      <c r="L1" s="4"/>
    </row>
    <row r="2" spans="1:15" ht="19.5" customHeight="1">
      <c r="A2" s="124" t="s">
        <v>2</v>
      </c>
      <c r="B2" s="124"/>
      <c r="C2" s="5">
        <f>SUM(C4:C184)</f>
        <v>0</v>
      </c>
      <c r="D2" s="5">
        <f>SUM(D4:D184)</f>
        <v>0</v>
      </c>
      <c r="E2" s="5">
        <f>C2-D2</f>
        <v>0</v>
      </c>
      <c r="F2" s="6">
        <f>IFERROR(E2/D2, 0)</f>
        <v>0</v>
      </c>
      <c r="G2" s="5">
        <f>SUM(G4:G184)</f>
        <v>0</v>
      </c>
      <c r="H2" s="7">
        <f>C2-G2</f>
        <v>0</v>
      </c>
      <c r="I2" s="6">
        <f>IFERROR(H2/G2, 0)</f>
        <v>0</v>
      </c>
      <c r="J2" s="11"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row>
    <row r="3" spans="1:15" ht="14.25" customHeight="1">
      <c r="A3" s="12" t="s">
        <v>4</v>
      </c>
      <c r="B3" s="12" t="s">
        <v>5</v>
      </c>
      <c r="C3" s="19" t="s">
        <v>6</v>
      </c>
      <c r="D3" s="20" t="s">
        <v>7</v>
      </c>
      <c r="E3" s="20" t="s">
        <v>8</v>
      </c>
      <c r="F3" s="21" t="s">
        <v>9</v>
      </c>
      <c r="G3" s="22" t="s">
        <v>10</v>
      </c>
      <c r="H3" s="23" t="s">
        <v>8</v>
      </c>
      <c r="I3" s="24" t="s">
        <v>9</v>
      </c>
      <c r="J3" s="10" t="s">
        <v>272</v>
      </c>
      <c r="K3" s="10" t="s">
        <v>22</v>
      </c>
      <c r="L3" s="10" t="s">
        <v>287</v>
      </c>
    </row>
    <row r="4" spans="1:15" ht="123" customHeight="1">
      <c r="A4" s="39" t="str" cm="1">
        <f t="array" ref="A4:A85">Sites[Site]</f>
        <v>Lexington - Cotting School</v>
      </c>
      <c r="B4" s="40" t="str" cm="1">
        <f t="array" ref="B4:B85">Sites[State]</f>
        <v>MA</v>
      </c>
      <c r="C4" s="28"/>
      <c r="D4" s="29"/>
      <c r="E4" s="29" t="str">
        <f>IF(AND(ISNUMBER(C4),ISNUMBER(D4)), C4-D4, "")</f>
        <v/>
      </c>
      <c r="F4" s="30" t="str">
        <f>IFERROR(E4/D4, "")</f>
        <v/>
      </c>
      <c r="G4" s="73"/>
      <c r="H4" s="31" t="str">
        <f>IF(AND(ISNUMBER(C4),ISNUMBER(G4)), C4-G4, "")</f>
        <v/>
      </c>
      <c r="I4" s="32" t="str">
        <f>IFERROR(H4/G4, "")</f>
        <v/>
      </c>
      <c r="J4" s="62"/>
      <c r="K4" s="78"/>
      <c r="L4" s="62"/>
      <c r="M4" s="101"/>
    </row>
    <row r="5" spans="1:15" ht="102"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75"/>
      <c r="L5" s="60"/>
      <c r="M5" s="101"/>
      <c r="N5" s="101"/>
      <c r="O5" s="101"/>
    </row>
    <row r="6" spans="1:15" ht="49.5" customHeight="1">
      <c r="A6" s="43" t="str">
        <v>Hyannis - Sturgis Charter School</v>
      </c>
      <c r="B6" s="40" t="str">
        <v>MA</v>
      </c>
      <c r="C6" s="28"/>
      <c r="D6" s="29"/>
      <c r="E6" s="29" t="str">
        <f t="shared" si="0"/>
        <v/>
      </c>
      <c r="F6" s="30" t="str">
        <f t="shared" ref="F6:F12" si="3">IFERROR(E6/D6, "")</f>
        <v/>
      </c>
      <c r="G6" s="31"/>
      <c r="H6" s="31" t="str">
        <f t="shared" si="1"/>
        <v/>
      </c>
      <c r="I6" s="32" t="str">
        <f t="shared" si="2"/>
        <v/>
      </c>
      <c r="J6" s="62"/>
      <c r="K6" s="62"/>
      <c r="L6" s="62"/>
    </row>
    <row r="7" spans="1:15" ht="15.6">
      <c r="A7" s="41" t="str">
        <v>South Dennis - Tony Kent Arena</v>
      </c>
      <c r="B7" s="42" t="str">
        <v>MA</v>
      </c>
      <c r="C7" s="35"/>
      <c r="D7" s="36"/>
      <c r="E7" s="36" t="str">
        <f t="shared" si="0"/>
        <v/>
      </c>
      <c r="F7" s="37" t="str">
        <f t="shared" si="3"/>
        <v/>
      </c>
      <c r="G7" s="83"/>
      <c r="H7" s="38" t="str">
        <f t="shared" si="1"/>
        <v/>
      </c>
      <c r="I7" s="37" t="str">
        <f t="shared" si="2"/>
        <v/>
      </c>
      <c r="J7" s="60"/>
      <c r="K7" s="59"/>
      <c r="L7" s="59"/>
    </row>
    <row r="8" spans="1:15" ht="15.6">
      <c r="A8" s="43" t="str">
        <v xml:space="preserve"> Caropolis - Felician Sisters</v>
      </c>
      <c r="B8" s="40" t="str">
        <v>PA</v>
      </c>
      <c r="C8" s="28"/>
      <c r="D8" s="29"/>
      <c r="E8" s="29" t="str">
        <f t="shared" si="0"/>
        <v/>
      </c>
      <c r="F8" s="30" t="str">
        <f t="shared" si="3"/>
        <v/>
      </c>
      <c r="G8" s="73"/>
      <c r="H8" s="31" t="str">
        <f t="shared" si="1"/>
        <v/>
      </c>
      <c r="I8" s="32" t="str">
        <f t="shared" si="2"/>
        <v/>
      </c>
      <c r="J8" s="62"/>
      <c r="K8" s="78"/>
      <c r="L8" s="62"/>
    </row>
    <row r="9" spans="1:15" ht="54" customHeight="1">
      <c r="A9" s="41" t="str">
        <v>Clear Lake - Eastlake Gohman</v>
      </c>
      <c r="B9" s="42" t="str">
        <v>MN</v>
      </c>
      <c r="C9" s="35"/>
      <c r="D9" s="36"/>
      <c r="E9" s="36" t="str">
        <f t="shared" si="0"/>
        <v/>
      </c>
      <c r="F9" s="37" t="str">
        <f t="shared" si="3"/>
        <v/>
      </c>
      <c r="G9" s="38"/>
      <c r="H9" s="38" t="str">
        <f t="shared" si="1"/>
        <v/>
      </c>
      <c r="I9" s="37" t="str">
        <f t="shared" si="2"/>
        <v/>
      </c>
      <c r="J9" s="60"/>
      <c r="K9" s="75"/>
      <c r="L9" s="63"/>
      <c r="M9" s="101"/>
    </row>
    <row r="10" spans="1:15" ht="15.6">
      <c r="A10" s="43" t="str">
        <v>Zumbrota - Eastlake Brenda Luhman</v>
      </c>
      <c r="B10" s="40" t="str">
        <v>MN</v>
      </c>
      <c r="C10" s="28"/>
      <c r="D10" s="29"/>
      <c r="E10" s="29" t="str">
        <f t="shared" si="0"/>
        <v/>
      </c>
      <c r="F10" s="30" t="str">
        <f t="shared" si="3"/>
        <v/>
      </c>
      <c r="G10" s="31"/>
      <c r="H10" s="31" t="str">
        <f t="shared" si="1"/>
        <v/>
      </c>
      <c r="I10" s="32" t="str">
        <f t="shared" si="2"/>
        <v/>
      </c>
      <c r="J10" s="62"/>
      <c r="K10" s="62"/>
      <c r="L10" s="62"/>
    </row>
    <row r="11" spans="1:15" ht="15.6">
      <c r="A11" s="41" t="str">
        <v>Cokato - Eastlake Carlson</v>
      </c>
      <c r="B11" s="42" t="str">
        <v>MN</v>
      </c>
      <c r="C11" s="35"/>
      <c r="D11" s="36"/>
      <c r="E11" s="36" t="str">
        <f t="shared" si="0"/>
        <v/>
      </c>
      <c r="F11" s="37" t="str">
        <f t="shared" si="3"/>
        <v/>
      </c>
      <c r="G11" s="38"/>
      <c r="H11" s="38" t="str">
        <f t="shared" si="1"/>
        <v/>
      </c>
      <c r="I11" s="37" t="str">
        <f t="shared" si="2"/>
        <v/>
      </c>
      <c r="J11" s="60"/>
      <c r="K11" s="75"/>
      <c r="L11" s="59"/>
    </row>
    <row r="12" spans="1:15" ht="123" customHeight="1">
      <c r="A12" s="43" t="str">
        <v>North Branch - Cornille 2</v>
      </c>
      <c r="B12" s="40" t="str">
        <v>MN</v>
      </c>
      <c r="C12" s="28"/>
      <c r="D12" s="29"/>
      <c r="E12" s="29" t="str">
        <f t="shared" si="0"/>
        <v/>
      </c>
      <c r="F12" s="30" t="str">
        <f t="shared" si="3"/>
        <v/>
      </c>
      <c r="G12" s="31"/>
      <c r="H12" s="31" t="str">
        <f t="shared" si="1"/>
        <v/>
      </c>
      <c r="I12" s="32" t="str">
        <f t="shared" si="2"/>
        <v/>
      </c>
      <c r="J12" s="62"/>
      <c r="K12" s="78"/>
      <c r="L12" s="62"/>
      <c r="M12" s="101"/>
    </row>
    <row r="13" spans="1:15" ht="15.6">
      <c r="A13" s="41" t="str">
        <v>Clear Lake - Eastlake Hammer</v>
      </c>
      <c r="B13" s="42" t="str">
        <v>MN</v>
      </c>
      <c r="C13" s="35"/>
      <c r="D13" s="36"/>
      <c r="E13" s="36" t="str">
        <f t="shared" ref="E13:E76" si="4">IF(AND(ISNUMBER(C13),ISNUMBER(D13)), C13-D13, "")</f>
        <v/>
      </c>
      <c r="F13" s="37" t="str">
        <f t="shared" ref="F13:F76" si="5">IFERROR(E13/D13, "")</f>
        <v/>
      </c>
      <c r="G13" s="38"/>
      <c r="H13" s="38" t="str">
        <f t="shared" ref="H13:H76" si="6">IF(AND(ISNUMBER(C13),ISNUMBER(G13)), C13-G13, "")</f>
        <v/>
      </c>
      <c r="I13" s="37" t="str">
        <f t="shared" ref="I13:I76" si="7">IFERROR(H13/G13, "")</f>
        <v/>
      </c>
      <c r="J13" s="60"/>
      <c r="K13" s="75"/>
      <c r="L13" s="59"/>
    </row>
    <row r="14" spans="1:15" ht="15.6">
      <c r="A14" s="43" t="str">
        <v>Eastlake - Hertzberg CSG 1</v>
      </c>
      <c r="B14" s="40" t="str">
        <v>MN</v>
      </c>
      <c r="C14" s="28"/>
      <c r="D14" s="29"/>
      <c r="E14" s="29" t="str">
        <f t="shared" si="4"/>
        <v/>
      </c>
      <c r="F14" s="30" t="str">
        <f t="shared" si="5"/>
        <v/>
      </c>
      <c r="G14" s="31"/>
      <c r="H14" s="31" t="str">
        <f t="shared" si="6"/>
        <v/>
      </c>
      <c r="I14" s="32" t="str">
        <f t="shared" si="7"/>
        <v/>
      </c>
      <c r="J14" s="62"/>
      <c r="K14" s="62"/>
      <c r="L14" s="62"/>
    </row>
    <row r="15" spans="1:15" ht="15.6">
      <c r="A15" s="41" t="str">
        <v>Cokato - Eastlake Laurel Village</v>
      </c>
      <c r="B15" s="42" t="str">
        <v>MN</v>
      </c>
      <c r="C15" s="35"/>
      <c r="D15" s="36"/>
      <c r="E15" s="36" t="str">
        <f t="shared" si="4"/>
        <v/>
      </c>
      <c r="F15" s="37" t="str">
        <f t="shared" si="5"/>
        <v/>
      </c>
      <c r="G15" s="38"/>
      <c r="H15" s="38" t="str">
        <f t="shared" si="6"/>
        <v/>
      </c>
      <c r="I15" s="37" t="str">
        <f t="shared" si="7"/>
        <v/>
      </c>
      <c r="J15" s="60"/>
      <c r="K15" s="75"/>
      <c r="L15" s="59"/>
    </row>
    <row r="16" spans="1:15" ht="15.6">
      <c r="A16" s="43" t="str">
        <v>St. Peter - Eastlake Paulson</v>
      </c>
      <c r="B16" s="40" t="str">
        <v>MN</v>
      </c>
      <c r="C16" s="28"/>
      <c r="D16" s="29"/>
      <c r="E16" s="29" t="str">
        <f t="shared" si="4"/>
        <v/>
      </c>
      <c r="F16" s="30" t="str">
        <f t="shared" si="5"/>
        <v/>
      </c>
      <c r="G16" s="31"/>
      <c r="H16" s="31" t="str">
        <f t="shared" si="6"/>
        <v/>
      </c>
      <c r="I16" s="32" t="str">
        <f t="shared" si="7"/>
        <v/>
      </c>
      <c r="J16" s="62"/>
      <c r="K16" s="78"/>
      <c r="L16" s="62"/>
    </row>
    <row r="17" spans="1:16" ht="15.6">
      <c r="A17" s="41" t="str">
        <v>Felician Sisters Convent</v>
      </c>
      <c r="B17" s="42" t="str">
        <v>NJ</v>
      </c>
      <c r="C17" s="35"/>
      <c r="D17" s="36"/>
      <c r="E17" s="36" t="str">
        <f t="shared" si="4"/>
        <v/>
      </c>
      <c r="F17" s="37" t="str">
        <f t="shared" si="5"/>
        <v/>
      </c>
      <c r="G17" s="38"/>
      <c r="H17" s="38" t="str">
        <f t="shared" si="6"/>
        <v/>
      </c>
      <c r="I17" s="37" t="str">
        <f t="shared" si="7"/>
        <v/>
      </c>
      <c r="J17" s="60"/>
      <c r="K17" s="75"/>
      <c r="L17" s="59"/>
      <c r="M17" s="101"/>
    </row>
    <row r="18" spans="1:16" ht="62.25" customHeight="1">
      <c r="A18" s="43" t="str">
        <v>Sussex County Fairgrounds</v>
      </c>
      <c r="B18" s="40" t="str">
        <v>NJ</v>
      </c>
      <c r="C18" s="28"/>
      <c r="D18" s="29"/>
      <c r="E18" s="29" t="str">
        <f t="shared" si="4"/>
        <v/>
      </c>
      <c r="F18" s="30" t="str">
        <f t="shared" si="5"/>
        <v/>
      </c>
      <c r="G18" s="31"/>
      <c r="H18" s="31" t="str">
        <f t="shared" si="6"/>
        <v/>
      </c>
      <c r="I18" s="32" t="str">
        <f t="shared" si="7"/>
        <v/>
      </c>
      <c r="J18" s="62"/>
      <c r="K18" s="62"/>
      <c r="L18" s="62"/>
    </row>
    <row r="19" spans="1:16" ht="15.6">
      <c r="A19" s="41" t="str">
        <v>Gateway Church</v>
      </c>
      <c r="B19" s="42" t="str">
        <v>NJ</v>
      </c>
      <c r="C19" s="35"/>
      <c r="D19" s="36"/>
      <c r="E19" s="36" t="str">
        <f t="shared" si="4"/>
        <v/>
      </c>
      <c r="F19" s="37" t="str">
        <f t="shared" si="5"/>
        <v/>
      </c>
      <c r="G19" s="38"/>
      <c r="H19" s="38" t="str">
        <f t="shared" si="6"/>
        <v/>
      </c>
      <c r="I19" s="37" t="str">
        <f t="shared" si="7"/>
        <v/>
      </c>
      <c r="J19" s="60"/>
      <c r="K19" s="75"/>
      <c r="L19" s="59"/>
      <c r="M19" s="101"/>
      <c r="N19" s="101"/>
      <c r="O19" s="101"/>
    </row>
    <row r="20" spans="1:16" ht="15.6">
      <c r="A20" s="43" t="str">
        <v>Beaver Falls - Felician Sisters</v>
      </c>
      <c r="B20" s="40" t="str">
        <v>PA</v>
      </c>
      <c r="C20" s="28"/>
      <c r="D20" s="29"/>
      <c r="E20" s="29" t="str">
        <f t="shared" si="4"/>
        <v/>
      </c>
      <c r="F20" s="30" t="str">
        <f t="shared" si="5"/>
        <v/>
      </c>
      <c r="G20" s="31"/>
      <c r="H20" s="31" t="str">
        <f t="shared" si="6"/>
        <v/>
      </c>
      <c r="I20" s="32" t="str">
        <f t="shared" si="7"/>
        <v/>
      </c>
      <c r="J20" s="62"/>
      <c r="K20" s="78"/>
      <c r="L20" s="62"/>
      <c r="M20" s="101"/>
    </row>
    <row r="21" spans="1:16" ht="83.25" customHeight="1">
      <c r="A21" s="41" t="str">
        <v>Livonia - Felician Sisters Ground</v>
      </c>
      <c r="B21" s="42" t="str">
        <v>MI</v>
      </c>
      <c r="C21" s="35"/>
      <c r="D21" s="36"/>
      <c r="E21" s="36" t="str">
        <f t="shared" si="4"/>
        <v/>
      </c>
      <c r="F21" s="37" t="str">
        <f t="shared" si="5"/>
        <v/>
      </c>
      <c r="G21" s="38"/>
      <c r="H21" s="38" t="str">
        <f t="shared" si="6"/>
        <v/>
      </c>
      <c r="I21" s="37" t="str">
        <f t="shared" si="7"/>
        <v/>
      </c>
      <c r="J21" s="60"/>
      <c r="K21" s="111"/>
      <c r="L21" s="59"/>
      <c r="M21" s="101"/>
      <c r="N21" s="101"/>
      <c r="O21" s="101"/>
      <c r="P21" s="101"/>
    </row>
    <row r="22" spans="1:16" ht="15.6">
      <c r="A22" s="43" t="str">
        <v>Livonia - Felician Sisters Roof</v>
      </c>
      <c r="B22" s="40" t="str">
        <v>MI</v>
      </c>
      <c r="C22" s="28"/>
      <c r="D22" s="29"/>
      <c r="E22" s="29" t="str">
        <f t="shared" si="4"/>
        <v/>
      </c>
      <c r="F22" s="30" t="str">
        <f t="shared" si="5"/>
        <v/>
      </c>
      <c r="G22" s="31"/>
      <c r="H22" s="31" t="str">
        <f t="shared" si="6"/>
        <v/>
      </c>
      <c r="I22" s="32" t="str">
        <f t="shared" si="7"/>
        <v/>
      </c>
      <c r="J22" s="62"/>
      <c r="K22" s="62"/>
      <c r="L22" s="62"/>
    </row>
    <row r="23" spans="1:16" ht="15.6">
      <c r="A23" s="41" t="str">
        <v>Monmouth Worship Ctr</v>
      </c>
      <c r="B23" s="42" t="str">
        <v>NJ</v>
      </c>
      <c r="C23" s="35"/>
      <c r="D23" s="36"/>
      <c r="E23" s="36" t="str">
        <f t="shared" si="4"/>
        <v/>
      </c>
      <c r="F23" s="37" t="str">
        <f t="shared" si="5"/>
        <v/>
      </c>
      <c r="G23" s="38"/>
      <c r="H23" s="38" t="str">
        <f t="shared" si="6"/>
        <v/>
      </c>
      <c r="I23" s="37" t="str">
        <f t="shared" si="7"/>
        <v/>
      </c>
      <c r="J23" s="60"/>
      <c r="K23" s="75"/>
      <c r="L23" s="59"/>
    </row>
    <row r="24" spans="1:16" ht="15.6">
      <c r="A24" s="43" t="str">
        <v xml:space="preserve"> Audubon - Senior Citizens United</v>
      </c>
      <c r="B24" s="40" t="str">
        <v>NJ</v>
      </c>
      <c r="C24" s="28"/>
      <c r="D24" s="29"/>
      <c r="E24" s="29" t="str">
        <f t="shared" si="4"/>
        <v/>
      </c>
      <c r="F24" s="30" t="str">
        <f t="shared" si="5"/>
        <v/>
      </c>
      <c r="G24" s="31"/>
      <c r="H24" s="31" t="str">
        <f t="shared" si="6"/>
        <v/>
      </c>
      <c r="I24" s="32" t="str">
        <f t="shared" si="7"/>
        <v/>
      </c>
      <c r="J24" s="62"/>
      <c r="K24" s="78"/>
      <c r="L24" s="62"/>
    </row>
    <row r="25" spans="1:16" ht="15.6">
      <c r="A25" s="41" t="str">
        <v>Hollister - PG&amp;E (Enerparc)</v>
      </c>
      <c r="B25" s="42" t="str">
        <v>CA</v>
      </c>
      <c r="C25" s="35"/>
      <c r="D25" s="36"/>
      <c r="E25" s="36" t="str">
        <f t="shared" si="4"/>
        <v/>
      </c>
      <c r="F25" s="37" t="str">
        <f t="shared" si="5"/>
        <v/>
      </c>
      <c r="G25" s="38"/>
      <c r="H25" s="38" t="str">
        <f t="shared" si="6"/>
        <v/>
      </c>
      <c r="I25" s="37" t="str">
        <f t="shared" si="7"/>
        <v/>
      </c>
      <c r="J25" s="60"/>
      <c r="K25" s="75"/>
      <c r="L25" s="59"/>
      <c r="M25" s="101"/>
      <c r="N25" s="101"/>
      <c r="O25" s="101"/>
      <c r="P25" s="101"/>
    </row>
    <row r="26" spans="1:16" ht="15.6">
      <c r="A26" s="43" t="str">
        <v>Taos County - Kit Carson Electric Co-Op</v>
      </c>
      <c r="B26" s="40" t="str">
        <v>NM</v>
      </c>
      <c r="C26" s="28"/>
      <c r="D26" s="29"/>
      <c r="E26" s="29" t="str">
        <f t="shared" si="4"/>
        <v/>
      </c>
      <c r="F26" s="30" t="str">
        <f t="shared" si="5"/>
        <v/>
      </c>
      <c r="G26" s="31"/>
      <c r="H26" s="31" t="str">
        <f t="shared" si="6"/>
        <v/>
      </c>
      <c r="I26" s="32" t="str">
        <f t="shared" si="7"/>
        <v/>
      </c>
      <c r="J26" s="62"/>
      <c r="K26" s="78"/>
      <c r="L26" s="62"/>
      <c r="M26" s="101"/>
      <c r="N26" s="101"/>
      <c r="O26" s="101"/>
    </row>
    <row r="27" spans="1:16" ht="15.6">
      <c r="A27" s="41" t="str">
        <v>Commerce City - Adams City HS</v>
      </c>
      <c r="B27" s="42" t="str">
        <v>CO</v>
      </c>
      <c r="C27" s="35"/>
      <c r="D27" s="36"/>
      <c r="E27" s="36" t="str">
        <f t="shared" si="4"/>
        <v/>
      </c>
      <c r="F27" s="37" t="str">
        <f t="shared" si="5"/>
        <v/>
      </c>
      <c r="G27" s="38"/>
      <c r="H27" s="38" t="str">
        <f t="shared" si="6"/>
        <v/>
      </c>
      <c r="I27" s="37" t="str">
        <f t="shared" si="7"/>
        <v/>
      </c>
      <c r="J27" s="60"/>
      <c r="K27" s="59"/>
      <c r="L27" s="59"/>
    </row>
    <row r="28" spans="1:16" ht="15.6">
      <c r="A28" s="43" t="str">
        <v>Commerce City - Adams City MS</v>
      </c>
      <c r="B28" s="40" t="str">
        <v>CO</v>
      </c>
      <c r="C28" s="28"/>
      <c r="D28" s="29"/>
      <c r="E28" s="29" t="str">
        <f t="shared" si="4"/>
        <v/>
      </c>
      <c r="F28" s="30" t="str">
        <f t="shared" si="5"/>
        <v/>
      </c>
      <c r="G28" s="31"/>
      <c r="H28" s="31" t="str">
        <f t="shared" si="6"/>
        <v/>
      </c>
      <c r="I28" s="32" t="str">
        <f t="shared" si="7"/>
        <v/>
      </c>
      <c r="J28" s="62"/>
      <c r="K28" s="62"/>
      <c r="L28" s="62"/>
    </row>
    <row r="29" spans="1:16" ht="15.6">
      <c r="A29" s="41" t="str">
        <v>Commerce City - Central ES</v>
      </c>
      <c r="B29" s="42" t="str">
        <v>CO</v>
      </c>
      <c r="C29" s="35"/>
      <c r="D29" s="36"/>
      <c r="E29" s="36" t="str">
        <f t="shared" si="4"/>
        <v/>
      </c>
      <c r="F29" s="37" t="str">
        <f t="shared" si="5"/>
        <v/>
      </c>
      <c r="G29" s="38"/>
      <c r="H29" s="38" t="str">
        <f t="shared" si="6"/>
        <v/>
      </c>
      <c r="I29" s="37" t="str">
        <f t="shared" si="7"/>
        <v/>
      </c>
      <c r="J29" s="60"/>
      <c r="K29" s="59"/>
      <c r="L29" s="59"/>
    </row>
    <row r="30" spans="1:16" ht="15.6">
      <c r="A30" s="43" t="str">
        <v>Commerce City - Dupont ES</v>
      </c>
      <c r="B30" s="40" t="str">
        <v>CO</v>
      </c>
      <c r="C30" s="28"/>
      <c r="D30" s="29"/>
      <c r="E30" s="29" t="str">
        <f t="shared" si="4"/>
        <v/>
      </c>
      <c r="F30" s="30" t="str">
        <f t="shared" si="5"/>
        <v/>
      </c>
      <c r="G30" s="31"/>
      <c r="H30" s="31" t="str">
        <f t="shared" si="6"/>
        <v/>
      </c>
      <c r="I30" s="32" t="str">
        <f t="shared" si="7"/>
        <v/>
      </c>
      <c r="J30" s="62"/>
      <c r="K30" s="62"/>
      <c r="L30" s="62"/>
    </row>
    <row r="31" spans="1:16" ht="15.6">
      <c r="A31" s="41" t="str">
        <v>Commerce City - Educational Support Services</v>
      </c>
      <c r="B31" s="42" t="str">
        <v>CO</v>
      </c>
      <c r="C31" s="35"/>
      <c r="D31" s="36"/>
      <c r="E31" s="36" t="str">
        <f t="shared" si="4"/>
        <v/>
      </c>
      <c r="F31" s="37" t="str">
        <f t="shared" si="5"/>
        <v/>
      </c>
      <c r="G31" s="38"/>
      <c r="H31" s="38" t="str">
        <f t="shared" si="6"/>
        <v/>
      </c>
      <c r="I31" s="37" t="str">
        <f t="shared" si="7"/>
        <v/>
      </c>
      <c r="J31" s="112"/>
      <c r="K31" s="75"/>
      <c r="L31" s="59"/>
    </row>
    <row r="32" spans="1:16" ht="15.6">
      <c r="A32" s="43" t="str">
        <v>Commerce City - Hanson ES</v>
      </c>
      <c r="B32" s="40" t="str">
        <v>CO</v>
      </c>
      <c r="C32" s="28"/>
      <c r="D32" s="29"/>
      <c r="E32" s="29" t="str">
        <f t="shared" si="4"/>
        <v/>
      </c>
      <c r="F32" s="30" t="str">
        <f t="shared" si="5"/>
        <v/>
      </c>
      <c r="G32" s="31"/>
      <c r="H32" s="31" t="str">
        <f t="shared" si="6"/>
        <v/>
      </c>
      <c r="I32" s="32" t="str">
        <f t="shared" si="7"/>
        <v/>
      </c>
      <c r="J32" s="62"/>
      <c r="K32" s="62"/>
      <c r="L32" s="62"/>
    </row>
    <row r="33" spans="1:15" ht="15.6">
      <c r="A33" s="41" t="str">
        <v>Commerce City - Kemp ES</v>
      </c>
      <c r="B33" s="42" t="str">
        <v>CO</v>
      </c>
      <c r="C33" s="35"/>
      <c r="D33" s="36"/>
      <c r="E33" s="36" t="str">
        <f t="shared" si="4"/>
        <v/>
      </c>
      <c r="F33" s="37" t="str">
        <f t="shared" si="5"/>
        <v/>
      </c>
      <c r="G33" s="38"/>
      <c r="H33" s="38" t="str">
        <f t="shared" si="6"/>
        <v/>
      </c>
      <c r="I33" s="37" t="str">
        <f t="shared" si="7"/>
        <v/>
      </c>
      <c r="J33" s="60"/>
      <c r="K33" s="59"/>
      <c r="L33" s="59"/>
    </row>
    <row r="34" spans="1:15" ht="15.6">
      <c r="A34" s="43" t="str">
        <v>Commerce City -  Lester Arnold HS</v>
      </c>
      <c r="B34" s="40" t="str">
        <v>CO</v>
      </c>
      <c r="C34" s="28"/>
      <c r="D34" s="29"/>
      <c r="E34" s="29" t="str">
        <f t="shared" si="4"/>
        <v/>
      </c>
      <c r="F34" s="30" t="str">
        <f t="shared" si="5"/>
        <v/>
      </c>
      <c r="G34" s="31"/>
      <c r="H34" s="31" t="str">
        <f t="shared" si="6"/>
        <v/>
      </c>
      <c r="I34" s="32" t="str">
        <f t="shared" si="7"/>
        <v/>
      </c>
      <c r="J34" s="62"/>
      <c r="K34" s="62"/>
      <c r="L34" s="62"/>
    </row>
    <row r="35" spans="1:15" ht="15.6">
      <c r="A35" s="41" t="str">
        <v>Commerce City - Monaco ES</v>
      </c>
      <c r="B35" s="42" t="str">
        <v>CO</v>
      </c>
      <c r="C35" s="35"/>
      <c r="D35" s="36"/>
      <c r="E35" s="36" t="str">
        <f t="shared" si="4"/>
        <v/>
      </c>
      <c r="F35" s="37" t="str">
        <f t="shared" si="5"/>
        <v/>
      </c>
      <c r="G35" s="38"/>
      <c r="H35" s="38" t="str">
        <f t="shared" si="6"/>
        <v/>
      </c>
      <c r="I35" s="37" t="str">
        <f t="shared" si="7"/>
        <v/>
      </c>
      <c r="J35" s="60"/>
      <c r="K35" s="59"/>
      <c r="L35" s="59"/>
    </row>
    <row r="36" spans="1:15" ht="15.6">
      <c r="A36" s="43" t="str">
        <v>Denver - Northgate / Old Fort Logan ES</v>
      </c>
      <c r="B36" s="40" t="str">
        <v>CO</v>
      </c>
      <c r="C36" s="28"/>
      <c r="D36" s="29"/>
      <c r="E36" s="29" t="str">
        <f t="shared" si="4"/>
        <v/>
      </c>
      <c r="F36" s="30" t="str">
        <f t="shared" si="5"/>
        <v/>
      </c>
      <c r="G36" s="31"/>
      <c r="H36" s="31" t="str">
        <f t="shared" si="6"/>
        <v/>
      </c>
      <c r="I36" s="32" t="str">
        <f t="shared" si="7"/>
        <v/>
      </c>
      <c r="J36" s="57"/>
      <c r="K36" s="62"/>
      <c r="L36" s="62"/>
    </row>
    <row r="37" spans="1:15" ht="15.6">
      <c r="A37" s="41" t="str">
        <v>Denver - Sheridan High School</v>
      </c>
      <c r="B37" s="42" t="str">
        <v>CO</v>
      </c>
      <c r="C37" s="35"/>
      <c r="D37" s="36"/>
      <c r="E37" s="36" t="str">
        <f t="shared" si="4"/>
        <v/>
      </c>
      <c r="F37" s="37" t="str">
        <f t="shared" si="5"/>
        <v/>
      </c>
      <c r="G37" s="38"/>
      <c r="H37" s="38" t="str">
        <f t="shared" si="6"/>
        <v/>
      </c>
      <c r="I37" s="37" t="str">
        <f t="shared" si="7"/>
        <v/>
      </c>
      <c r="J37" s="60"/>
      <c r="K37" s="59"/>
      <c r="L37" s="59"/>
    </row>
    <row r="38" spans="1:15" ht="15.6">
      <c r="A38" s="43" t="str">
        <v>Englewood -  Alice Terry Elementary</v>
      </c>
      <c r="B38" s="40" t="str">
        <v>CO</v>
      </c>
      <c r="C38" s="28"/>
      <c r="D38" s="29"/>
      <c r="E38" s="29" t="str">
        <f t="shared" si="4"/>
        <v/>
      </c>
      <c r="F38" s="30" t="str">
        <f t="shared" si="5"/>
        <v/>
      </c>
      <c r="G38" s="31"/>
      <c r="H38" s="31" t="str">
        <f t="shared" si="6"/>
        <v/>
      </c>
      <c r="I38" s="32" t="str">
        <f t="shared" si="7"/>
        <v/>
      </c>
      <c r="J38" s="62"/>
      <c r="K38" s="62"/>
      <c r="L38" s="62"/>
    </row>
    <row r="39" spans="1:15" ht="15.6">
      <c r="A39" s="41" t="str">
        <v>Englewood - Sheridan Middle School</v>
      </c>
      <c r="B39" s="42" t="str">
        <v>CO</v>
      </c>
      <c r="C39" s="35"/>
      <c r="D39" s="36"/>
      <c r="E39" s="36" t="str">
        <f t="shared" si="4"/>
        <v/>
      </c>
      <c r="F39" s="37" t="str">
        <f t="shared" si="5"/>
        <v/>
      </c>
      <c r="G39" s="38"/>
      <c r="H39" s="38" t="str">
        <f t="shared" si="6"/>
        <v/>
      </c>
      <c r="I39" s="37" t="str">
        <f t="shared" si="7"/>
        <v/>
      </c>
      <c r="J39" s="60"/>
      <c r="K39" s="75"/>
      <c r="L39" s="59"/>
      <c r="M39" s="101"/>
    </row>
    <row r="40" spans="1:15" ht="15.6">
      <c r="A40" s="43" t="str">
        <v>Goshen - NIPSCO</v>
      </c>
      <c r="B40" s="40" t="str">
        <v>IN</v>
      </c>
      <c r="C40" s="28"/>
      <c r="D40" s="29"/>
      <c r="E40" s="29" t="str">
        <f t="shared" si="4"/>
        <v/>
      </c>
      <c r="F40" s="30" t="str">
        <f t="shared" si="5"/>
        <v/>
      </c>
      <c r="G40" s="31"/>
      <c r="H40" s="31" t="str">
        <f t="shared" si="6"/>
        <v/>
      </c>
      <c r="I40" s="32" t="str">
        <f t="shared" si="7"/>
        <v/>
      </c>
      <c r="J40" s="62"/>
      <c r="K40" s="78"/>
      <c r="L40" s="62"/>
      <c r="M40" s="101"/>
    </row>
    <row r="41" spans="1:15" ht="15.6">
      <c r="A41" s="41" t="str">
        <v>Alamogordo - City of Alamogordo - Effluent</v>
      </c>
      <c r="B41" s="42" t="str">
        <v>NM</v>
      </c>
      <c r="C41" s="35"/>
      <c r="D41" s="36"/>
      <c r="E41" s="36" t="str">
        <f t="shared" si="4"/>
        <v/>
      </c>
      <c r="F41" s="37" t="str">
        <f t="shared" si="5"/>
        <v/>
      </c>
      <c r="G41" s="38"/>
      <c r="H41" s="38" t="str">
        <f t="shared" si="6"/>
        <v/>
      </c>
      <c r="I41" s="37" t="str">
        <f t="shared" si="7"/>
        <v/>
      </c>
      <c r="J41" s="60"/>
      <c r="K41" s="75"/>
      <c r="L41" s="59"/>
    </row>
    <row r="42" spans="1:15" ht="42.75" customHeight="1">
      <c r="A42" s="43" t="str">
        <v>Alamogordo - City of Alamogordo - WWTP</v>
      </c>
      <c r="B42" s="40" t="str">
        <v>NM</v>
      </c>
      <c r="C42" s="28"/>
      <c r="D42" s="29"/>
      <c r="E42" s="29" t="str">
        <f t="shared" si="4"/>
        <v/>
      </c>
      <c r="F42" s="30" t="str">
        <f t="shared" si="5"/>
        <v/>
      </c>
      <c r="G42" s="31"/>
      <c r="H42" s="31" t="str">
        <f t="shared" si="6"/>
        <v/>
      </c>
      <c r="I42" s="32" t="str">
        <f t="shared" si="7"/>
        <v/>
      </c>
      <c r="J42" s="62"/>
      <c r="K42" s="78"/>
      <c r="L42" s="62"/>
      <c r="M42" s="101"/>
    </row>
    <row r="43" spans="1:15" ht="15.6">
      <c r="A43" s="41" t="str">
        <v>Deming - Bilbo Booster</v>
      </c>
      <c r="B43" s="42" t="str">
        <v>NM</v>
      </c>
      <c r="C43" s="35"/>
      <c r="D43" s="36"/>
      <c r="E43" s="36" t="str">
        <f t="shared" si="4"/>
        <v/>
      </c>
      <c r="F43" s="37" t="str">
        <f t="shared" si="5"/>
        <v/>
      </c>
      <c r="G43" s="38"/>
      <c r="H43" s="38" t="str">
        <f t="shared" si="6"/>
        <v/>
      </c>
      <c r="I43" s="37" t="str">
        <f t="shared" si="7"/>
        <v/>
      </c>
      <c r="J43" s="60"/>
      <c r="K43" s="75"/>
      <c r="L43" s="59"/>
    </row>
    <row r="44" spans="1:15" ht="15.6">
      <c r="A44" s="43" t="str">
        <v>Deming - Bilbo Well</v>
      </c>
      <c r="B44" s="40" t="str">
        <v>NM</v>
      </c>
      <c r="C44" s="28"/>
      <c r="D44" s="29"/>
      <c r="E44" s="29" t="str">
        <f t="shared" si="4"/>
        <v/>
      </c>
      <c r="F44" s="30" t="str">
        <f t="shared" si="5"/>
        <v/>
      </c>
      <c r="G44" s="31"/>
      <c r="H44" s="31" t="str">
        <f t="shared" si="6"/>
        <v/>
      </c>
      <c r="I44" s="32" t="str">
        <f t="shared" si="7"/>
        <v/>
      </c>
      <c r="J44" s="62"/>
      <c r="K44" s="78"/>
      <c r="L44" s="62"/>
      <c r="M44" s="101"/>
    </row>
    <row r="45" spans="1:15" ht="15.6">
      <c r="A45" s="41" t="str">
        <v>Deming - WWTP</v>
      </c>
      <c r="B45" s="42" t="str">
        <v>NM</v>
      </c>
      <c r="C45" s="35"/>
      <c r="D45" s="36"/>
      <c r="E45" s="36" t="str">
        <f t="shared" si="4"/>
        <v/>
      </c>
      <c r="F45" s="37" t="str">
        <f t="shared" si="5"/>
        <v/>
      </c>
      <c r="G45" s="38"/>
      <c r="H45" s="38" t="str">
        <f t="shared" si="6"/>
        <v/>
      </c>
      <c r="I45" s="37" t="str">
        <f t="shared" si="7"/>
        <v/>
      </c>
      <c r="J45" s="60"/>
      <c r="K45" s="75"/>
      <c r="L45" s="59"/>
      <c r="M45" s="101"/>
      <c r="N45" s="101"/>
    </row>
    <row r="46" spans="1:15" ht="64.5" customHeight="1">
      <c r="A46" s="43" t="str">
        <v>Truth or Consequences - Walmart</v>
      </c>
      <c r="B46" s="40" t="str">
        <v>NM</v>
      </c>
      <c r="C46" s="28"/>
      <c r="D46" s="29"/>
      <c r="E46" s="29" t="str">
        <f t="shared" si="4"/>
        <v/>
      </c>
      <c r="F46" s="30" t="str">
        <f t="shared" si="5"/>
        <v/>
      </c>
      <c r="G46" s="31"/>
      <c r="H46" s="31" t="str">
        <f t="shared" si="6"/>
        <v/>
      </c>
      <c r="I46" s="32" t="str">
        <f t="shared" si="7"/>
        <v/>
      </c>
      <c r="J46" s="62"/>
      <c r="K46" s="78"/>
      <c r="L46" s="62"/>
      <c r="M46" s="101"/>
      <c r="N46" s="101"/>
      <c r="O46" s="101"/>
    </row>
    <row r="47" spans="1:15" ht="15.6">
      <c r="A47" s="41" t="str">
        <v>CA: Stockton - SUSD - Merlo</v>
      </c>
      <c r="B47" s="42" t="str">
        <v>CA</v>
      </c>
      <c r="C47" s="35"/>
      <c r="D47" s="36"/>
      <c r="E47" s="36" t="str">
        <f t="shared" si="4"/>
        <v/>
      </c>
      <c r="F47" s="37" t="str">
        <f t="shared" si="5"/>
        <v/>
      </c>
      <c r="G47" s="38"/>
      <c r="H47" s="38" t="str">
        <f t="shared" si="6"/>
        <v/>
      </c>
      <c r="I47" s="37" t="str">
        <f t="shared" si="7"/>
        <v/>
      </c>
      <c r="J47" s="60"/>
      <c r="K47" s="75"/>
      <c r="L47" s="59"/>
      <c r="M47" s="101"/>
      <c r="N47" s="101"/>
    </row>
    <row r="48" spans="1:15" ht="15.6">
      <c r="A48" s="43" t="str">
        <v>Stockton Unified School Dist. - Bush Elementary</v>
      </c>
      <c r="B48" s="40" t="str">
        <v>CA</v>
      </c>
      <c r="C48" s="28"/>
      <c r="D48" s="29"/>
      <c r="E48" s="29" t="str">
        <f t="shared" si="4"/>
        <v/>
      </c>
      <c r="F48" s="30" t="str">
        <f t="shared" si="5"/>
        <v/>
      </c>
      <c r="G48" s="31"/>
      <c r="H48" s="31" t="str">
        <f t="shared" si="6"/>
        <v/>
      </c>
      <c r="I48" s="32" t="str">
        <f t="shared" si="7"/>
        <v/>
      </c>
      <c r="J48" s="62"/>
      <c r="K48" s="78"/>
      <c r="L48" s="62"/>
      <c r="M48" s="101"/>
      <c r="N48" s="101"/>
    </row>
    <row r="49" spans="1:16" ht="15.6">
      <c r="A49" s="41" t="str">
        <v>CA: Stockton - SUSD - Marshall JHS</v>
      </c>
      <c r="B49" s="42" t="str">
        <v>CA</v>
      </c>
      <c r="C49" s="35"/>
      <c r="D49" s="36"/>
      <c r="E49" s="36" t="str">
        <f t="shared" si="4"/>
        <v/>
      </c>
      <c r="F49" s="37" t="str">
        <f t="shared" si="5"/>
        <v/>
      </c>
      <c r="G49" s="38"/>
      <c r="H49" s="38" t="str">
        <f t="shared" si="6"/>
        <v/>
      </c>
      <c r="I49" s="37" t="str">
        <f t="shared" si="7"/>
        <v/>
      </c>
      <c r="J49" s="60"/>
      <c r="K49" s="75"/>
      <c r="L49" s="59"/>
    </row>
    <row r="50" spans="1:16" ht="15.6">
      <c r="A50" s="43" t="str">
        <v>CA: Stockton - SUSD - Hong-Kingston ES</v>
      </c>
      <c r="B50" s="40" t="str">
        <v>CA</v>
      </c>
      <c r="C50" s="28"/>
      <c r="D50" s="29"/>
      <c r="E50" s="29" t="str">
        <f t="shared" si="4"/>
        <v/>
      </c>
      <c r="F50" s="30" t="str">
        <f t="shared" si="5"/>
        <v/>
      </c>
      <c r="G50" s="31"/>
      <c r="H50" s="31" t="str">
        <f t="shared" si="6"/>
        <v/>
      </c>
      <c r="I50" s="32" t="str">
        <f t="shared" si="7"/>
        <v/>
      </c>
      <c r="J50" s="62"/>
      <c r="K50" s="78"/>
      <c r="L50" s="62"/>
      <c r="M50" s="101"/>
    </row>
    <row r="51" spans="1:16" ht="15.6">
      <c r="A51" s="41" t="str">
        <v>CA: Stockton - SUSD - Hamilton ES</v>
      </c>
      <c r="B51" s="42" t="str">
        <v>CA</v>
      </c>
      <c r="C51" s="35"/>
      <c r="D51" s="36"/>
      <c r="E51" s="36" t="str">
        <f t="shared" si="4"/>
        <v/>
      </c>
      <c r="F51" s="37" t="str">
        <f t="shared" si="5"/>
        <v/>
      </c>
      <c r="G51" s="38"/>
      <c r="H51" s="38" t="str">
        <f t="shared" si="6"/>
        <v/>
      </c>
      <c r="I51" s="37" t="str">
        <f t="shared" si="7"/>
        <v/>
      </c>
      <c r="J51" s="60"/>
      <c r="K51" s="75"/>
      <c r="L51" s="59"/>
    </row>
    <row r="52" spans="1:16" ht="15.6">
      <c r="A52" s="43" t="str">
        <v>CA: Stockton - SUSD - Franklin - North</v>
      </c>
      <c r="B52" s="40" t="str">
        <v>CA</v>
      </c>
      <c r="C52" s="28"/>
      <c r="D52" s="29"/>
      <c r="E52" s="29" t="str">
        <f t="shared" si="4"/>
        <v/>
      </c>
      <c r="F52" s="30" t="str">
        <f t="shared" si="5"/>
        <v/>
      </c>
      <c r="G52" s="31"/>
      <c r="H52" s="31" t="str">
        <f t="shared" si="6"/>
        <v/>
      </c>
      <c r="I52" s="32" t="str">
        <f t="shared" si="7"/>
        <v/>
      </c>
      <c r="J52" s="62"/>
      <c r="K52" s="78"/>
      <c r="L52" s="62"/>
      <c r="M52" s="101"/>
      <c r="N52" s="101"/>
      <c r="O52" s="101"/>
    </row>
    <row r="53" spans="1:16" ht="15.6">
      <c r="A53" s="41" t="str">
        <v>Stockton Unified School Dist. - Fillmore Elementary</v>
      </c>
      <c r="B53" s="42" t="str">
        <v>CA</v>
      </c>
      <c r="C53" s="35"/>
      <c r="D53" s="36"/>
      <c r="E53" s="36" t="str">
        <f t="shared" si="4"/>
        <v/>
      </c>
      <c r="F53" s="37" t="str">
        <f t="shared" si="5"/>
        <v/>
      </c>
      <c r="G53" s="38"/>
      <c r="H53" s="38" t="str">
        <f t="shared" si="6"/>
        <v/>
      </c>
      <c r="I53" s="37" t="str">
        <f t="shared" si="7"/>
        <v/>
      </c>
      <c r="J53" s="60"/>
      <c r="K53" s="75"/>
      <c r="L53" s="59"/>
    </row>
    <row r="54" spans="1:16" ht="15.6">
      <c r="A54" s="43" t="str">
        <v>CA: Stockton - SUSD - El Dorado ES</v>
      </c>
      <c r="B54" s="40" t="str">
        <v>CA</v>
      </c>
      <c r="C54" s="28"/>
      <c r="D54" s="29"/>
      <c r="E54" s="29" t="str">
        <f t="shared" si="4"/>
        <v/>
      </c>
      <c r="F54" s="30" t="str">
        <f t="shared" si="5"/>
        <v/>
      </c>
      <c r="G54" s="31"/>
      <c r="H54" s="31" t="str">
        <f t="shared" si="6"/>
        <v/>
      </c>
      <c r="I54" s="32" t="str">
        <f t="shared" si="7"/>
        <v/>
      </c>
      <c r="J54" s="62"/>
      <c r="K54" s="78"/>
      <c r="L54" s="62"/>
    </row>
    <row r="55" spans="1:16" ht="15.6">
      <c r="A55" s="41" t="str">
        <v>CA: Stockton - SUSD - Edison HS</v>
      </c>
      <c r="B55" s="42" t="str">
        <v>CA</v>
      </c>
      <c r="C55" s="35"/>
      <c r="D55" s="36"/>
      <c r="E55" s="36" t="str">
        <f t="shared" si="4"/>
        <v/>
      </c>
      <c r="F55" s="37" t="str">
        <f t="shared" si="5"/>
        <v/>
      </c>
      <c r="G55" s="38"/>
      <c r="H55" s="38" t="str">
        <f t="shared" si="6"/>
        <v/>
      </c>
      <c r="I55" s="37" t="str">
        <f t="shared" si="7"/>
        <v/>
      </c>
      <c r="J55" s="60"/>
      <c r="K55" s="75"/>
      <c r="L55" s="59"/>
      <c r="M55" s="101"/>
      <c r="N55" s="101"/>
      <c r="O55" s="101"/>
    </row>
    <row r="56" spans="1:16" ht="15.6">
      <c r="A56" s="43" t="str">
        <v>CA: Stockton - SUSD - Chavez HS - Large</v>
      </c>
      <c r="B56" s="40" t="str">
        <v>CA</v>
      </c>
      <c r="C56" s="28"/>
      <c r="D56" s="29"/>
      <c r="E56" s="29" t="str">
        <f t="shared" si="4"/>
        <v/>
      </c>
      <c r="F56" s="30" t="str">
        <f t="shared" si="5"/>
        <v/>
      </c>
      <c r="G56" s="31"/>
      <c r="H56" s="31" t="str">
        <f t="shared" si="6"/>
        <v/>
      </c>
      <c r="I56" s="32" t="str">
        <f t="shared" si="7"/>
        <v/>
      </c>
      <c r="J56" s="62"/>
      <c r="K56" s="78"/>
      <c r="L56" s="62"/>
      <c r="M56" s="101"/>
      <c r="N56" s="101"/>
    </row>
    <row r="57" spans="1:16" ht="15.6">
      <c r="A57" s="41" t="str">
        <v>CA: San Jose - GE Mobile Water</v>
      </c>
      <c r="B57" s="42" t="str">
        <v>CA</v>
      </c>
      <c r="C57" s="35"/>
      <c r="D57" s="36"/>
      <c r="E57" s="36" t="str">
        <f t="shared" si="4"/>
        <v/>
      </c>
      <c r="F57" s="37" t="str">
        <f t="shared" si="5"/>
        <v/>
      </c>
      <c r="G57" s="38"/>
      <c r="H57" s="38" t="str">
        <f t="shared" si="6"/>
        <v/>
      </c>
      <c r="I57" s="37" t="str">
        <f t="shared" si="7"/>
        <v/>
      </c>
      <c r="J57" s="60"/>
      <c r="K57" s="75"/>
      <c r="L57" s="59"/>
    </row>
    <row r="58" spans="1:16" ht="15.6">
      <c r="A58" s="43" t="str">
        <v>CA: San Marcos - Vallecitos Water - Lift Station</v>
      </c>
      <c r="B58" s="40" t="str">
        <v>CA</v>
      </c>
      <c r="C58" s="28"/>
      <c r="D58" s="29"/>
      <c r="E58" s="29" t="str">
        <f t="shared" si="4"/>
        <v/>
      </c>
      <c r="F58" s="30" t="str">
        <f t="shared" si="5"/>
        <v/>
      </c>
      <c r="G58" s="31"/>
      <c r="H58" s="31" t="str">
        <f t="shared" si="6"/>
        <v/>
      </c>
      <c r="I58" s="32" t="str">
        <f t="shared" si="7"/>
        <v/>
      </c>
      <c r="J58" s="62"/>
      <c r="K58" s="78"/>
      <c r="L58" s="62"/>
    </row>
    <row r="59" spans="1:16" ht="15.6">
      <c r="A59" s="41" t="str">
        <v>CA: San Marcos - Vallecitos Water - Twin Oaks Reservoir</v>
      </c>
      <c r="B59" s="42" t="str">
        <v>CA</v>
      </c>
      <c r="C59" s="35"/>
      <c r="D59" s="36"/>
      <c r="E59" s="36" t="str">
        <f t="shared" si="4"/>
        <v/>
      </c>
      <c r="F59" s="37" t="str">
        <f t="shared" si="5"/>
        <v/>
      </c>
      <c r="G59" s="38"/>
      <c r="H59" s="38" t="str">
        <f t="shared" si="6"/>
        <v/>
      </c>
      <c r="I59" s="37" t="str">
        <f t="shared" si="7"/>
        <v/>
      </c>
      <c r="J59" s="60"/>
      <c r="K59" s="75"/>
      <c r="L59" s="59"/>
      <c r="M59" s="101"/>
    </row>
    <row r="60" spans="1:16" ht="15.6">
      <c r="A60" s="43" t="str">
        <v>CA: Stockton - SUSD - Wilhelmina Henry ES</v>
      </c>
      <c r="B60" s="40" t="str">
        <v>CA</v>
      </c>
      <c r="C60" s="28"/>
      <c r="D60" s="29"/>
      <c r="E60" s="29" t="str">
        <f t="shared" si="4"/>
        <v/>
      </c>
      <c r="F60" s="30" t="str">
        <f t="shared" si="5"/>
        <v/>
      </c>
      <c r="G60" s="31"/>
      <c r="H60" s="31" t="str">
        <f t="shared" si="6"/>
        <v/>
      </c>
      <c r="I60" s="32" t="str">
        <f t="shared" si="7"/>
        <v/>
      </c>
      <c r="J60" s="62"/>
      <c r="K60" s="78"/>
      <c r="L60" s="62"/>
    </row>
    <row r="61" spans="1:16" ht="15.6">
      <c r="A61" s="41" t="str">
        <v>Stockton Unified School Dist. - Franklin (North)</v>
      </c>
      <c r="B61" s="42" t="str">
        <v>CA</v>
      </c>
      <c r="C61" s="35"/>
      <c r="D61" s="36"/>
      <c r="E61" s="36" t="str">
        <f t="shared" si="4"/>
        <v/>
      </c>
      <c r="F61" s="37" t="str">
        <f t="shared" si="5"/>
        <v/>
      </c>
      <c r="G61" s="38"/>
      <c r="H61" s="38" t="str">
        <f t="shared" si="6"/>
        <v/>
      </c>
      <c r="I61" s="37" t="str">
        <f t="shared" si="7"/>
        <v/>
      </c>
      <c r="J61" s="60"/>
      <c r="K61" s="75"/>
      <c r="L61" s="59"/>
      <c r="M61" s="101"/>
      <c r="N61" s="101"/>
      <c r="O61" s="101"/>
      <c r="P61" s="101"/>
    </row>
    <row r="62" spans="1:16" ht="15.6">
      <c r="A62" s="43" t="str">
        <v>CA: Stockton - SUSD - Franklin - South</v>
      </c>
      <c r="B62" s="40" t="str">
        <v>CA</v>
      </c>
      <c r="C62" s="28"/>
      <c r="D62" s="29"/>
      <c r="E62" s="29" t="str">
        <f t="shared" si="4"/>
        <v/>
      </c>
      <c r="F62" s="30" t="str">
        <f t="shared" si="5"/>
        <v/>
      </c>
      <c r="G62" s="31"/>
      <c r="H62" s="31" t="str">
        <f t="shared" si="6"/>
        <v/>
      </c>
      <c r="I62" s="32" t="str">
        <f t="shared" si="7"/>
        <v/>
      </c>
      <c r="J62" s="62"/>
      <c r="K62" s="78"/>
      <c r="L62" s="62"/>
      <c r="M62" s="101"/>
      <c r="N62" s="101"/>
      <c r="O62" s="101"/>
    </row>
    <row r="63" spans="1:16" ht="15.6">
      <c r="A63" s="41" t="str">
        <v>CA: Stockton - SUSD - Chavez HS - Small</v>
      </c>
      <c r="B63" s="42" t="str">
        <v>CA</v>
      </c>
      <c r="C63" s="35"/>
      <c r="D63" s="36"/>
      <c r="E63" s="36" t="str">
        <f t="shared" si="4"/>
        <v/>
      </c>
      <c r="F63" s="37" t="str">
        <f t="shared" si="5"/>
        <v/>
      </c>
      <c r="G63" s="38"/>
      <c r="H63" s="38" t="str">
        <f t="shared" si="6"/>
        <v/>
      </c>
      <c r="I63" s="37" t="str">
        <f t="shared" si="7"/>
        <v/>
      </c>
      <c r="J63" s="60"/>
      <c r="K63" s="75"/>
      <c r="L63" s="59"/>
      <c r="M63" s="101"/>
    </row>
    <row r="64" spans="1:16" ht="15.6">
      <c r="A64" s="43" t="str">
        <v>CA: Stockton - SUSD - Facilities</v>
      </c>
      <c r="B64" s="40" t="str">
        <v>CA</v>
      </c>
      <c r="C64" s="28"/>
      <c r="D64" s="29"/>
      <c r="E64" s="29" t="str">
        <f t="shared" si="4"/>
        <v/>
      </c>
      <c r="F64" s="30" t="str">
        <f t="shared" si="5"/>
        <v/>
      </c>
      <c r="G64" s="31"/>
      <c r="H64" s="31" t="str">
        <f t="shared" si="6"/>
        <v/>
      </c>
      <c r="I64" s="32" t="str">
        <f t="shared" si="7"/>
        <v/>
      </c>
      <c r="J64" s="62"/>
      <c r="K64" s="78"/>
      <c r="L64" s="62"/>
    </row>
    <row r="65" spans="1:15" ht="15.6">
      <c r="A65" s="41" t="str">
        <v>CA: Stockton - SUSD - Harrison</v>
      </c>
      <c r="B65" s="42" t="str">
        <v>CA</v>
      </c>
      <c r="C65" s="35"/>
      <c r="D65" s="36"/>
      <c r="E65" s="36" t="str">
        <f t="shared" si="4"/>
        <v/>
      </c>
      <c r="F65" s="37" t="str">
        <f t="shared" si="5"/>
        <v/>
      </c>
      <c r="G65" s="38"/>
      <c r="H65" s="38" t="str">
        <f t="shared" si="6"/>
        <v/>
      </c>
      <c r="I65" s="37" t="str">
        <f t="shared" si="7"/>
        <v/>
      </c>
      <c r="J65" s="60"/>
      <c r="K65" s="75"/>
      <c r="L65" s="59"/>
      <c r="M65" s="101"/>
      <c r="N65" s="101"/>
    </row>
    <row r="66" spans="1:15" ht="15.6">
      <c r="A66" s="43" t="str">
        <v>CA: Stockton - SUSD - Commodore Skills School</v>
      </c>
      <c r="B66" s="40" t="str">
        <v>CA</v>
      </c>
      <c r="C66" s="28"/>
      <c r="D66" s="29"/>
      <c r="E66" s="29" t="str">
        <f t="shared" si="4"/>
        <v/>
      </c>
      <c r="F66" s="30" t="str">
        <f t="shared" si="5"/>
        <v/>
      </c>
      <c r="G66" s="31"/>
      <c r="H66" s="31" t="str">
        <f t="shared" si="6"/>
        <v/>
      </c>
      <c r="I66" s="32" t="str">
        <f t="shared" si="7"/>
        <v/>
      </c>
      <c r="J66" s="62"/>
      <c r="K66" s="78"/>
      <c r="L66" s="62"/>
      <c r="M66" s="101"/>
      <c r="N66" s="101"/>
    </row>
    <row r="67" spans="1:15" ht="15.6">
      <c r="A67" s="41" t="str">
        <v>CA: Stockton - SUSD - Nightingale ES</v>
      </c>
      <c r="B67" s="42" t="str">
        <v>CA</v>
      </c>
      <c r="C67" s="35"/>
      <c r="D67" s="36"/>
      <c r="E67" s="36" t="str">
        <f t="shared" si="4"/>
        <v/>
      </c>
      <c r="F67" s="37" t="str">
        <f t="shared" si="5"/>
        <v/>
      </c>
      <c r="G67" s="38"/>
      <c r="H67" s="38" t="str">
        <f t="shared" si="6"/>
        <v/>
      </c>
      <c r="I67" s="37" t="str">
        <f t="shared" si="7"/>
        <v/>
      </c>
      <c r="J67" s="60"/>
      <c r="K67" s="75"/>
      <c r="L67" s="59"/>
    </row>
    <row r="68" spans="1:15" ht="15.6">
      <c r="A68" s="43" t="str">
        <v>CA: Stockton - SUSD - Weber Institute</v>
      </c>
      <c r="B68" s="40" t="str">
        <v>CA</v>
      </c>
      <c r="C68" s="28"/>
      <c r="D68" s="29"/>
      <c r="E68" s="29" t="str">
        <f t="shared" si="4"/>
        <v/>
      </c>
      <c r="F68" s="30" t="str">
        <f t="shared" si="5"/>
        <v/>
      </c>
      <c r="G68" s="31"/>
      <c r="H68" s="31" t="str">
        <f t="shared" si="6"/>
        <v/>
      </c>
      <c r="I68" s="32" t="str">
        <f t="shared" si="7"/>
        <v/>
      </c>
      <c r="J68" s="62"/>
      <c r="K68" s="78"/>
      <c r="L68" s="62"/>
      <c r="M68" s="101"/>
    </row>
    <row r="69" spans="1:15" ht="15.6">
      <c r="A69" s="41" t="str">
        <v>CA: Stockton - SUSD - Warehouse</v>
      </c>
      <c r="B69" s="42" t="str">
        <v>CA</v>
      </c>
      <c r="C69" s="35"/>
      <c r="D69" s="36"/>
      <c r="E69" s="36" t="str">
        <f t="shared" si="4"/>
        <v/>
      </c>
      <c r="F69" s="37" t="str">
        <f t="shared" si="5"/>
        <v/>
      </c>
      <c r="G69" s="38"/>
      <c r="H69" s="38" t="str">
        <f t="shared" si="6"/>
        <v/>
      </c>
      <c r="I69" s="37" t="str">
        <f t="shared" si="7"/>
        <v/>
      </c>
      <c r="J69" s="60"/>
      <c r="K69" s="75"/>
      <c r="L69" s="59"/>
      <c r="M69" s="101"/>
    </row>
    <row r="70" spans="1:15" ht="15.6">
      <c r="A70" s="43" t="str">
        <v>CA: Stockton - SUSD - Walton Special Center</v>
      </c>
      <c r="B70" s="40" t="str">
        <v>CA</v>
      </c>
      <c r="C70" s="28"/>
      <c r="D70" s="29"/>
      <c r="E70" s="29" t="str">
        <f t="shared" si="4"/>
        <v/>
      </c>
      <c r="F70" s="30" t="str">
        <f t="shared" si="5"/>
        <v/>
      </c>
      <c r="G70" s="31"/>
      <c r="H70" s="31" t="str">
        <f t="shared" si="6"/>
        <v/>
      </c>
      <c r="I70" s="32" t="str">
        <f t="shared" si="7"/>
        <v/>
      </c>
      <c r="J70" s="62"/>
      <c r="K70" s="78"/>
      <c r="L70" s="62"/>
      <c r="M70" s="101"/>
      <c r="N70" s="101"/>
    </row>
    <row r="71" spans="1:15" ht="15.6">
      <c r="A71" s="41" t="str">
        <v>CA: Stockton - SUSD - Stagg HS</v>
      </c>
      <c r="B71" s="42" t="str">
        <v>CA</v>
      </c>
      <c r="C71" s="35"/>
      <c r="D71" s="36"/>
      <c r="E71" s="36" t="str">
        <f t="shared" si="4"/>
        <v/>
      </c>
      <c r="F71" s="37" t="str">
        <f t="shared" si="5"/>
        <v/>
      </c>
      <c r="G71" s="38"/>
      <c r="H71" s="38" t="str">
        <f t="shared" si="6"/>
        <v/>
      </c>
      <c r="I71" s="37" t="str">
        <f t="shared" si="7"/>
        <v/>
      </c>
      <c r="J71" s="60"/>
      <c r="K71" s="75"/>
      <c r="L71" s="59"/>
      <c r="M71" s="101"/>
    </row>
    <row r="72" spans="1:15" ht="15.6">
      <c r="A72" s="43" t="str">
        <v>CA: Stockton - SUSD - School for Adults</v>
      </c>
      <c r="B72" s="40" t="str">
        <v>CA</v>
      </c>
      <c r="C72" s="28"/>
      <c r="D72" s="29"/>
      <c r="E72" s="29" t="str">
        <f t="shared" si="4"/>
        <v/>
      </c>
      <c r="F72" s="30" t="str">
        <f t="shared" si="5"/>
        <v/>
      </c>
      <c r="G72" s="31"/>
      <c r="H72" s="31" t="str">
        <f t="shared" si="6"/>
        <v/>
      </c>
      <c r="I72" s="32" t="str">
        <f t="shared" si="7"/>
        <v/>
      </c>
      <c r="J72" s="62"/>
      <c r="K72" s="78"/>
      <c r="L72" s="62"/>
    </row>
    <row r="73" spans="1:15" ht="15.6">
      <c r="A73" s="41" t="str">
        <v>CA: Stockton - SUSD - San Joaquin</v>
      </c>
      <c r="B73" s="42" t="str">
        <v>CA</v>
      </c>
      <c r="C73" s="35"/>
      <c r="D73" s="36"/>
      <c r="E73" s="36" t="str">
        <f t="shared" si="4"/>
        <v/>
      </c>
      <c r="F73" s="37" t="str">
        <f t="shared" si="5"/>
        <v/>
      </c>
      <c r="G73" s="38"/>
      <c r="H73" s="38" t="str">
        <f t="shared" si="6"/>
        <v/>
      </c>
      <c r="I73" s="37" t="str">
        <f t="shared" si="7"/>
        <v/>
      </c>
      <c r="J73" s="60"/>
      <c r="K73" s="75"/>
      <c r="L73" s="59"/>
      <c r="M73" s="101"/>
    </row>
    <row r="74" spans="1:15" ht="15.6">
      <c r="A74" s="43" t="str">
        <v>CA: Stockton - SUSD - Rio Calaveras</v>
      </c>
      <c r="B74" s="40" t="str">
        <v>CA</v>
      </c>
      <c r="C74" s="28"/>
      <c r="D74" s="29"/>
      <c r="E74" s="29" t="str">
        <f t="shared" si="4"/>
        <v/>
      </c>
      <c r="F74" s="30" t="str">
        <f t="shared" si="5"/>
        <v/>
      </c>
      <c r="G74" s="31"/>
      <c r="H74" s="31" t="str">
        <f t="shared" si="6"/>
        <v/>
      </c>
      <c r="I74" s="32" t="str">
        <f t="shared" si="7"/>
        <v/>
      </c>
      <c r="J74" s="62"/>
      <c r="K74" s="78"/>
      <c r="L74" s="62"/>
      <c r="M74" s="101"/>
      <c r="N74" s="101"/>
    </row>
    <row r="75" spans="1:15" ht="15.6">
      <c r="A75" s="41" t="str">
        <v>CA: Stockton - SUSD - Peyton</v>
      </c>
      <c r="B75" s="42" t="str">
        <v>CA</v>
      </c>
      <c r="C75" s="35"/>
      <c r="D75" s="36"/>
      <c r="E75" s="36" t="str">
        <f t="shared" si="4"/>
        <v/>
      </c>
      <c r="F75" s="37" t="str">
        <f t="shared" si="5"/>
        <v/>
      </c>
      <c r="G75" s="38"/>
      <c r="H75" s="38" t="str">
        <f t="shared" si="6"/>
        <v/>
      </c>
      <c r="I75" s="37" t="str">
        <f t="shared" si="7"/>
        <v/>
      </c>
      <c r="J75" s="60"/>
      <c r="K75" s="75"/>
      <c r="L75" s="59"/>
      <c r="M75" s="101"/>
      <c r="N75" s="101"/>
    </row>
    <row r="76" spans="1:15" ht="15.6">
      <c r="A76" s="43" t="str">
        <v>TX: Barnhart - 42917 Ranch RD 2469</v>
      </c>
      <c r="B76" s="40" t="str">
        <v>TX</v>
      </c>
      <c r="C76" s="28"/>
      <c r="D76" s="29"/>
      <c r="E76" s="29" t="str">
        <f t="shared" si="4"/>
        <v/>
      </c>
      <c r="F76" s="30" t="str">
        <f t="shared" si="5"/>
        <v/>
      </c>
      <c r="G76" s="31"/>
      <c r="H76" s="31" t="str">
        <f t="shared" si="6"/>
        <v/>
      </c>
      <c r="I76" s="32" t="str">
        <f t="shared" si="7"/>
        <v/>
      </c>
      <c r="J76" s="62"/>
      <c r="K76" s="78"/>
      <c r="L76" s="62"/>
      <c r="M76" s="101"/>
      <c r="N76" s="101"/>
      <c r="O76" s="101"/>
    </row>
    <row r="77" spans="1:15" ht="15.6">
      <c r="A77" s="41" t="str">
        <v>AZ: San Manuel - Senior &amp; Junior HS</v>
      </c>
      <c r="B77" s="42" t="str">
        <v>AZ</v>
      </c>
      <c r="C77" s="35"/>
      <c r="D77" s="36"/>
      <c r="E77" s="36" t="str">
        <f t="shared" ref="E77:E85" si="8">IF(AND(ISNUMBER(C77),ISNUMBER(D77)), C77-D77, "")</f>
        <v/>
      </c>
      <c r="F77" s="37" t="str">
        <f t="shared" ref="F77:F85" si="9">IFERROR(E77/D77, "")</f>
        <v/>
      </c>
      <c r="G77" s="38"/>
      <c r="H77" s="38" t="str">
        <f t="shared" ref="H77:H85" si="10">IF(AND(ISNUMBER(C77),ISNUMBER(G77)), C77-G77, "")</f>
        <v/>
      </c>
      <c r="I77" s="37" t="str">
        <f t="shared" ref="I77:I85" si="11">IFERROR(H77/G77, "")</f>
        <v/>
      </c>
      <c r="J77" s="60"/>
      <c r="K77" s="75"/>
      <c r="L77" s="59"/>
      <c r="M77" s="101"/>
    </row>
    <row r="78" spans="1:15" ht="15.6">
      <c r="A78" s="43" t="str">
        <v>AZ: Sierra Vista - Colonel Smith MS</v>
      </c>
      <c r="B78" s="40" t="str">
        <v>AZ</v>
      </c>
      <c r="C78" s="28"/>
      <c r="D78" s="29"/>
      <c r="E78" s="29" t="str">
        <f t="shared" si="8"/>
        <v/>
      </c>
      <c r="F78" s="30" t="str">
        <f t="shared" si="9"/>
        <v/>
      </c>
      <c r="G78" s="31"/>
      <c r="H78" s="31" t="str">
        <f t="shared" si="10"/>
        <v/>
      </c>
      <c r="I78" s="32" t="str">
        <f t="shared" si="11"/>
        <v/>
      </c>
      <c r="J78" s="62"/>
      <c r="K78" s="78"/>
      <c r="L78" s="62"/>
      <c r="M78" s="101"/>
    </row>
    <row r="79" spans="1:15" ht="15.6">
      <c r="A79" s="41" t="str">
        <v>AZ: Sierra Vista - Colonel Johnston ES</v>
      </c>
      <c r="B79" s="42" t="str">
        <v>AZ</v>
      </c>
      <c r="C79" s="35"/>
      <c r="D79" s="36"/>
      <c r="E79" s="36" t="str">
        <f t="shared" si="8"/>
        <v/>
      </c>
      <c r="F79" s="37" t="str">
        <f t="shared" si="9"/>
        <v/>
      </c>
      <c r="G79" s="38"/>
      <c r="H79" s="38" t="str">
        <f t="shared" si="10"/>
        <v/>
      </c>
      <c r="I79" s="37" t="str">
        <f t="shared" si="11"/>
        <v/>
      </c>
      <c r="J79" s="60"/>
      <c r="K79" s="75"/>
      <c r="L79" s="59"/>
    </row>
    <row r="80" spans="1:15" ht="15.6">
      <c r="A80" s="43" t="str">
        <v>NH: Dover - Dover HS</v>
      </c>
      <c r="B80" s="40" t="str">
        <v>NH</v>
      </c>
      <c r="C80" s="28"/>
      <c r="D80" s="29"/>
      <c r="E80" s="29" t="str">
        <f t="shared" si="8"/>
        <v/>
      </c>
      <c r="F80" s="30" t="str">
        <f t="shared" si="9"/>
        <v/>
      </c>
      <c r="G80" s="31"/>
      <c r="H80" s="31" t="str">
        <f t="shared" si="10"/>
        <v/>
      </c>
      <c r="I80" s="32" t="str">
        <f t="shared" si="11"/>
        <v/>
      </c>
      <c r="J80" s="62"/>
      <c r="K80" s="78"/>
      <c r="L80" s="62"/>
    </row>
    <row r="81" spans="1:15" ht="15.6">
      <c r="A81" s="41" t="str">
        <v>MA: Somerville - 30 Inner Belt Rd</v>
      </c>
      <c r="B81" s="42" t="str">
        <v>MA</v>
      </c>
      <c r="C81" s="35"/>
      <c r="D81" s="36"/>
      <c r="E81" s="36" t="str">
        <f t="shared" si="8"/>
        <v/>
      </c>
      <c r="F81" s="37" t="str">
        <f t="shared" si="9"/>
        <v/>
      </c>
      <c r="G81" s="38"/>
      <c r="H81" s="38" t="str">
        <f t="shared" si="10"/>
        <v/>
      </c>
      <c r="I81" s="37" t="str">
        <f t="shared" si="11"/>
        <v/>
      </c>
      <c r="J81" s="60"/>
      <c r="K81" s="75"/>
      <c r="L81" s="59"/>
    </row>
    <row r="82" spans="1:15" ht="15.6">
      <c r="A82" s="43" t="str">
        <v>MA: Boxborough - 1414 Massachusetts Ave</v>
      </c>
      <c r="B82" s="40" t="str">
        <v>MA</v>
      </c>
      <c r="C82" s="28"/>
      <c r="D82" s="29"/>
      <c r="E82" s="29" t="str">
        <f t="shared" si="8"/>
        <v/>
      </c>
      <c r="F82" s="30" t="str">
        <f t="shared" si="9"/>
        <v/>
      </c>
      <c r="G82" s="31"/>
      <c r="H82" s="31" t="str">
        <f t="shared" si="10"/>
        <v/>
      </c>
      <c r="I82" s="32" t="str">
        <f t="shared" si="11"/>
        <v/>
      </c>
      <c r="J82" s="62"/>
      <c r="K82" s="78"/>
      <c r="L82" s="62"/>
      <c r="M82" s="101"/>
      <c r="N82" s="101"/>
    </row>
    <row r="83" spans="1:15" ht="15.6">
      <c r="A83" s="41" t="str">
        <v>NY: Amsterdam - 153 NY Route 67</v>
      </c>
      <c r="B83" s="42" t="str">
        <v>NY</v>
      </c>
      <c r="C83" s="35"/>
      <c r="D83" s="36"/>
      <c r="E83" s="36" t="str">
        <f t="shared" si="8"/>
        <v/>
      </c>
      <c r="F83" s="37" t="str">
        <f t="shared" si="9"/>
        <v/>
      </c>
      <c r="G83" s="38"/>
      <c r="H83" s="38" t="str">
        <f t="shared" si="10"/>
        <v/>
      </c>
      <c r="I83" s="37" t="str">
        <f t="shared" si="11"/>
        <v/>
      </c>
      <c r="J83" s="60"/>
      <c r="K83" s="75"/>
      <c r="L83" s="59"/>
      <c r="M83" s="101"/>
    </row>
    <row r="84" spans="1:15" ht="15.6">
      <c r="A84" s="43" t="str">
        <v>CA: San Jose - GE Mobile Water</v>
      </c>
      <c r="B84" s="40" t="str">
        <v>CA</v>
      </c>
      <c r="C84" s="28"/>
      <c r="D84" s="29"/>
      <c r="E84" s="29" t="str">
        <f t="shared" si="8"/>
        <v/>
      </c>
      <c r="F84" s="30" t="str">
        <f t="shared" si="9"/>
        <v/>
      </c>
      <c r="G84" s="31"/>
      <c r="H84" s="31" t="str">
        <f t="shared" si="10"/>
        <v/>
      </c>
      <c r="I84" s="32" t="str">
        <f t="shared" si="11"/>
        <v/>
      </c>
      <c r="J84" s="62"/>
      <c r="K84" s="78"/>
      <c r="L84" s="62"/>
    </row>
    <row r="85" spans="1:15" ht="15.6">
      <c r="A85" s="41" t="str">
        <v>NY: Rome - 7776 Tannery RD</v>
      </c>
      <c r="B85" s="42" t="str">
        <v>NY</v>
      </c>
      <c r="C85" s="35"/>
      <c r="D85" s="36"/>
      <c r="E85" s="36" t="str">
        <f t="shared" si="8"/>
        <v/>
      </c>
      <c r="F85" s="37" t="str">
        <f t="shared" si="9"/>
        <v/>
      </c>
      <c r="G85" s="38"/>
      <c r="H85" s="38" t="str">
        <f t="shared" si="10"/>
        <v/>
      </c>
      <c r="I85" s="37" t="str">
        <f t="shared" si="11"/>
        <v/>
      </c>
      <c r="J85" s="60"/>
      <c r="K85" s="75"/>
      <c r="L85" s="59"/>
      <c r="M85" s="101"/>
      <c r="N85" s="101"/>
      <c r="O85" s="101"/>
    </row>
    <row r="86" spans="1:15" ht="14.45">
      <c r="A86" s="8"/>
      <c r="B86" s="13"/>
      <c r="C86" s="8"/>
      <c r="D86" s="8"/>
      <c r="E86" s="8"/>
      <c r="F86" s="9"/>
      <c r="G86" s="8"/>
      <c r="H86" s="8"/>
      <c r="I86" s="9"/>
      <c r="J86" s="8"/>
      <c r="K86" s="8"/>
      <c r="L86" s="8"/>
    </row>
    <row r="87" spans="1:15" ht="14.45">
      <c r="A87" s="8"/>
      <c r="B87" s="13"/>
      <c r="C87" s="8"/>
      <c r="D87" s="8"/>
      <c r="E87" s="8"/>
      <c r="F87" s="9"/>
      <c r="G87" s="8"/>
      <c r="H87" s="8"/>
      <c r="I87" s="9"/>
      <c r="J87" s="8"/>
      <c r="K87" s="8"/>
      <c r="L87" s="8"/>
    </row>
    <row r="88" spans="1:15" ht="14.45">
      <c r="A88" s="8"/>
      <c r="B88" s="13"/>
      <c r="C88" s="8"/>
      <c r="D88" s="8"/>
      <c r="E88" s="8"/>
      <c r="F88" s="9"/>
      <c r="G88" s="8"/>
      <c r="H88" s="8"/>
      <c r="I88" s="9"/>
      <c r="J88" s="8"/>
      <c r="K88" s="8"/>
      <c r="L88" s="8"/>
    </row>
    <row r="89" spans="1:15" ht="14.45">
      <c r="A89" s="8"/>
      <c r="B89" s="13"/>
      <c r="C89" s="8"/>
      <c r="D89" s="8"/>
      <c r="E89" s="8"/>
      <c r="F89" s="9"/>
      <c r="G89" s="8"/>
      <c r="H89" s="8"/>
      <c r="I89" s="9"/>
      <c r="J89" s="8"/>
      <c r="K89" s="8"/>
      <c r="L89" s="8"/>
    </row>
    <row r="90" spans="1:15" ht="14.45">
      <c r="A90" s="8"/>
      <c r="B90" s="13"/>
      <c r="C90" s="8"/>
      <c r="D90" s="8"/>
      <c r="E90" s="8"/>
      <c r="F90" s="9"/>
      <c r="G90" s="8"/>
      <c r="H90" s="8"/>
      <c r="I90" s="9"/>
      <c r="J90" s="8"/>
      <c r="K90" s="8"/>
      <c r="L90" s="8"/>
    </row>
    <row r="91" spans="1:15" ht="14.45">
      <c r="A91" s="8"/>
      <c r="B91" s="13"/>
      <c r="C91" s="8"/>
      <c r="D91" s="8"/>
      <c r="E91" s="8"/>
      <c r="F91" s="9"/>
      <c r="G91" s="8"/>
      <c r="H91" s="8"/>
      <c r="I91" s="9"/>
      <c r="J91" s="8"/>
      <c r="K91" s="8"/>
      <c r="L91" s="8"/>
    </row>
    <row r="92" spans="1:15" ht="14.45">
      <c r="A92" s="8"/>
      <c r="B92" s="13"/>
      <c r="C92" s="8"/>
      <c r="D92" s="8"/>
      <c r="E92" s="8"/>
      <c r="F92" s="9"/>
      <c r="G92" s="8"/>
      <c r="H92" s="8"/>
      <c r="I92" s="9"/>
      <c r="J92" s="8"/>
      <c r="K92" s="8"/>
      <c r="L92" s="8"/>
    </row>
    <row r="93" spans="1:15" ht="14.45">
      <c r="A93" s="8"/>
      <c r="B93" s="13"/>
      <c r="C93" s="8"/>
      <c r="D93" s="8"/>
      <c r="E93" s="8"/>
      <c r="F93" s="9"/>
      <c r="G93" s="8"/>
      <c r="H93" s="8"/>
      <c r="I93" s="9"/>
      <c r="J93" s="8"/>
      <c r="K93" s="8"/>
      <c r="L93" s="8"/>
    </row>
    <row r="94" spans="1:15" ht="14.45">
      <c r="A94" s="8"/>
      <c r="B94" s="13"/>
      <c r="C94" s="8"/>
      <c r="D94" s="8"/>
      <c r="E94" s="8"/>
      <c r="F94" s="9"/>
      <c r="G94" s="8"/>
      <c r="H94" s="8"/>
      <c r="I94" s="9"/>
      <c r="J94" s="8"/>
      <c r="K94" s="8"/>
      <c r="L94" s="8"/>
    </row>
    <row r="95" spans="1:15" ht="14.45">
      <c r="A95" s="8"/>
      <c r="B95" s="13"/>
      <c r="C95" s="8"/>
      <c r="D95" s="8"/>
      <c r="E95" s="8"/>
      <c r="F95" s="9"/>
      <c r="G95" s="8"/>
      <c r="H95" s="8"/>
      <c r="I95" s="9"/>
      <c r="J95" s="8"/>
      <c r="K95" s="8"/>
      <c r="L95" s="8"/>
    </row>
    <row r="96" spans="1:15" ht="14.45">
      <c r="A96" s="8"/>
      <c r="B96" s="13"/>
      <c r="C96" s="8"/>
      <c r="D96" s="8"/>
      <c r="E96" s="8"/>
      <c r="F96" s="9"/>
      <c r="G96" s="8"/>
      <c r="H96" s="8"/>
      <c r="I96" s="9"/>
      <c r="J96" s="8"/>
      <c r="K96" s="8"/>
      <c r="L96" s="8"/>
    </row>
    <row r="97" spans="1:12" ht="14.45">
      <c r="A97" s="8"/>
      <c r="B97" s="13"/>
      <c r="C97" s="8"/>
      <c r="D97" s="8"/>
      <c r="E97" s="8"/>
      <c r="F97" s="9"/>
      <c r="G97" s="8"/>
      <c r="H97" s="8"/>
      <c r="I97" s="9"/>
      <c r="J97" s="8"/>
      <c r="K97" s="8"/>
      <c r="L97" s="8"/>
    </row>
    <row r="98" spans="1:12" ht="14.45">
      <c r="A98" s="8"/>
      <c r="B98" s="13"/>
      <c r="C98" s="8"/>
      <c r="D98" s="8"/>
      <c r="E98" s="8"/>
      <c r="F98" s="9"/>
      <c r="G98" s="8"/>
      <c r="H98" s="8"/>
      <c r="I98" s="9"/>
      <c r="J98" s="8"/>
      <c r="K98" s="8"/>
      <c r="L98" s="8"/>
    </row>
    <row r="99" spans="1:12" ht="14.45">
      <c r="A99" s="8"/>
      <c r="B99" s="13"/>
      <c r="C99" s="8"/>
      <c r="D99" s="8"/>
      <c r="E99" s="8"/>
      <c r="F99" s="9"/>
      <c r="G99" s="8"/>
      <c r="H99" s="8"/>
      <c r="I99" s="9"/>
      <c r="J99" s="8"/>
      <c r="K99" s="8"/>
      <c r="L99" s="8"/>
    </row>
    <row r="100" spans="1:12" ht="14.45">
      <c r="A100" s="8"/>
      <c r="B100" s="13"/>
      <c r="C100" s="8"/>
      <c r="D100" s="8"/>
      <c r="E100" s="8"/>
      <c r="F100" s="9"/>
      <c r="G100" s="8"/>
      <c r="H100" s="8"/>
      <c r="I100" s="9"/>
      <c r="J100" s="8"/>
      <c r="K100" s="8"/>
      <c r="L100" s="8"/>
    </row>
    <row r="101" spans="1:12" ht="14.45">
      <c r="A101" s="8"/>
      <c r="B101" s="13"/>
      <c r="C101" s="8"/>
      <c r="D101" s="8"/>
      <c r="E101" s="8"/>
      <c r="F101" s="9"/>
      <c r="G101" s="8"/>
      <c r="H101" s="8"/>
      <c r="I101" s="9"/>
      <c r="J101" s="8"/>
      <c r="K101" s="8"/>
      <c r="L101" s="8"/>
    </row>
    <row r="102" spans="1:12" ht="14.45">
      <c r="A102" s="8"/>
      <c r="B102" s="13"/>
      <c r="C102" s="8"/>
      <c r="D102" s="8"/>
      <c r="E102" s="8"/>
      <c r="F102" s="9"/>
      <c r="G102" s="8"/>
      <c r="H102" s="8"/>
      <c r="I102" s="9"/>
      <c r="J102" s="8"/>
      <c r="K102" s="8"/>
      <c r="L102" s="8"/>
    </row>
    <row r="103" spans="1:12" ht="14.45">
      <c r="A103" s="8"/>
      <c r="B103" s="13"/>
      <c r="C103" s="8"/>
      <c r="D103" s="8"/>
      <c r="E103" s="8"/>
      <c r="F103" s="9"/>
      <c r="G103" s="8"/>
      <c r="H103" s="8"/>
      <c r="I103" s="9"/>
      <c r="J103" s="8"/>
      <c r="K103" s="8"/>
      <c r="L103" s="8"/>
    </row>
    <row r="104" spans="1:12" ht="14.45">
      <c r="A104" s="8"/>
      <c r="B104" s="13"/>
      <c r="C104" s="8"/>
      <c r="D104" s="8"/>
      <c r="E104" s="8"/>
      <c r="F104" s="9"/>
      <c r="G104" s="8"/>
      <c r="H104" s="8"/>
      <c r="I104" s="9"/>
      <c r="J104" s="8"/>
      <c r="K104" s="8"/>
      <c r="L104" s="8"/>
    </row>
    <row r="105" spans="1:12" ht="14.45">
      <c r="A105" s="8"/>
      <c r="B105" s="13"/>
      <c r="C105" s="8"/>
      <c r="D105" s="8"/>
      <c r="E105" s="8"/>
      <c r="F105" s="9"/>
      <c r="G105" s="8"/>
      <c r="H105" s="8"/>
      <c r="I105" s="9"/>
      <c r="J105" s="8"/>
      <c r="K105" s="8"/>
      <c r="L105" s="8"/>
    </row>
    <row r="106" spans="1:12" ht="14.45">
      <c r="A106" s="8"/>
      <c r="B106" s="13"/>
      <c r="C106" s="8"/>
      <c r="D106" s="8"/>
      <c r="E106" s="8"/>
      <c r="F106" s="9"/>
      <c r="G106" s="8"/>
      <c r="H106" s="8"/>
      <c r="I106" s="9"/>
      <c r="J106" s="8"/>
      <c r="K106" s="8"/>
      <c r="L106" s="8"/>
    </row>
    <row r="107" spans="1:12" ht="14.45">
      <c r="A107" s="8"/>
      <c r="B107" s="13"/>
      <c r="C107" s="8"/>
      <c r="D107" s="8"/>
      <c r="E107" s="8"/>
      <c r="F107" s="9"/>
      <c r="G107" s="8"/>
      <c r="H107" s="8"/>
      <c r="I107" s="9"/>
      <c r="J107" s="8"/>
      <c r="K107" s="8"/>
      <c r="L107" s="8"/>
    </row>
    <row r="108" spans="1:12" ht="14.45">
      <c r="A108" s="8"/>
      <c r="B108" s="13"/>
      <c r="C108" s="8"/>
      <c r="D108" s="8"/>
      <c r="E108" s="8"/>
      <c r="F108" s="9"/>
      <c r="G108" s="8"/>
      <c r="H108" s="8"/>
      <c r="I108" s="9"/>
      <c r="J108" s="8"/>
      <c r="K108" s="8"/>
      <c r="L108" s="8"/>
    </row>
    <row r="109" spans="1:12" ht="14.45">
      <c r="A109" s="8"/>
      <c r="B109" s="13"/>
      <c r="C109" s="8"/>
      <c r="D109" s="8"/>
      <c r="E109" s="8"/>
      <c r="F109" s="9"/>
      <c r="G109" s="8"/>
      <c r="H109" s="8"/>
      <c r="I109" s="9"/>
      <c r="J109" s="8"/>
      <c r="K109" s="8"/>
      <c r="L109" s="8"/>
    </row>
    <row r="110" spans="1:12" ht="14.45">
      <c r="A110" s="8"/>
      <c r="B110" s="13"/>
      <c r="C110" s="8"/>
      <c r="D110" s="8"/>
      <c r="E110" s="8"/>
      <c r="F110" s="9"/>
      <c r="G110" s="8"/>
      <c r="H110" s="8"/>
      <c r="I110" s="9"/>
      <c r="J110" s="8"/>
      <c r="K110" s="8"/>
      <c r="L110" s="8"/>
    </row>
    <row r="111" spans="1:12" ht="14.45">
      <c r="A111" s="8"/>
      <c r="B111" s="13"/>
      <c r="C111" s="8"/>
      <c r="D111" s="8"/>
      <c r="E111" s="8"/>
      <c r="F111" s="9"/>
      <c r="G111" s="8"/>
      <c r="H111" s="8"/>
      <c r="I111" s="9"/>
      <c r="J111" s="8"/>
      <c r="K111" s="8"/>
      <c r="L111" s="8"/>
    </row>
    <row r="112" spans="1:12" ht="14.45">
      <c r="A112" s="8"/>
      <c r="B112" s="13"/>
      <c r="C112" s="8"/>
      <c r="D112" s="8"/>
      <c r="E112" s="8"/>
      <c r="F112" s="9"/>
      <c r="G112" s="8"/>
      <c r="H112" s="8"/>
      <c r="I112" s="9"/>
      <c r="J112" s="8"/>
      <c r="K112" s="8"/>
      <c r="L112" s="8"/>
    </row>
    <row r="113" spans="1:12" ht="14.45">
      <c r="A113" s="8"/>
      <c r="B113" s="13"/>
      <c r="C113" s="8"/>
      <c r="D113" s="8"/>
      <c r="E113" s="8"/>
      <c r="F113" s="9"/>
      <c r="G113" s="8"/>
      <c r="H113" s="8"/>
      <c r="I113" s="9"/>
      <c r="J113" s="8"/>
      <c r="K113" s="8"/>
      <c r="L113" s="8"/>
    </row>
    <row r="114" spans="1:12" ht="14.45">
      <c r="A114" s="8"/>
      <c r="B114" s="13"/>
      <c r="C114" s="8"/>
      <c r="D114" s="8"/>
      <c r="E114" s="8"/>
      <c r="F114" s="9"/>
      <c r="G114" s="8"/>
      <c r="H114" s="8"/>
      <c r="I114" s="9"/>
      <c r="J114" s="8"/>
      <c r="K114" s="8"/>
      <c r="L114" s="8"/>
    </row>
    <row r="115" spans="1:12" ht="14.45">
      <c r="A115" s="8"/>
      <c r="B115" s="13"/>
      <c r="C115" s="8"/>
      <c r="D115" s="8"/>
      <c r="E115" s="8"/>
      <c r="F115" s="9"/>
      <c r="G115" s="8"/>
      <c r="H115" s="8"/>
      <c r="I115" s="9"/>
      <c r="J115" s="8"/>
      <c r="K115" s="8"/>
      <c r="L115" s="8"/>
    </row>
    <row r="116" spans="1:12" ht="14.45">
      <c r="A116" s="8"/>
      <c r="B116" s="13"/>
      <c r="C116" s="8"/>
      <c r="D116" s="8"/>
      <c r="E116" s="8"/>
      <c r="F116" s="9"/>
      <c r="G116" s="8"/>
      <c r="H116" s="8"/>
      <c r="I116" s="9"/>
      <c r="J116" s="8"/>
      <c r="K116" s="8"/>
      <c r="L116" s="8"/>
    </row>
    <row r="117" spans="1:12" ht="14.45">
      <c r="A117" s="8"/>
      <c r="B117" s="13"/>
      <c r="C117" s="8"/>
      <c r="D117" s="8"/>
      <c r="E117" s="8"/>
      <c r="F117" s="9"/>
      <c r="G117" s="8"/>
      <c r="H117" s="8"/>
      <c r="I117" s="9"/>
      <c r="J117" s="8"/>
      <c r="K117" s="8"/>
      <c r="L117" s="8"/>
    </row>
    <row r="118" spans="1:12" ht="14.45">
      <c r="A118" s="8"/>
      <c r="B118" s="13"/>
      <c r="C118" s="8"/>
      <c r="D118" s="8"/>
      <c r="E118" s="8"/>
      <c r="F118" s="9"/>
      <c r="G118" s="8"/>
      <c r="H118" s="8"/>
      <c r="I118" s="9"/>
      <c r="J118" s="8"/>
      <c r="K118" s="8"/>
      <c r="L118" s="8"/>
    </row>
    <row r="119" spans="1:12" ht="14.45">
      <c r="A119" s="8"/>
      <c r="B119" s="13"/>
      <c r="C119" s="8"/>
      <c r="D119" s="8"/>
      <c r="E119" s="8"/>
      <c r="F119" s="9"/>
      <c r="G119" s="8"/>
      <c r="H119" s="8"/>
      <c r="I119" s="9"/>
      <c r="J119" s="8"/>
      <c r="K119" s="8"/>
      <c r="L119" s="8"/>
    </row>
    <row r="120" spans="1:12" ht="14.45">
      <c r="A120" s="8"/>
      <c r="B120" s="13"/>
      <c r="C120" s="8"/>
      <c r="D120" s="8"/>
      <c r="E120" s="8"/>
      <c r="F120" s="9"/>
      <c r="G120" s="8"/>
      <c r="H120" s="8"/>
      <c r="I120" s="9"/>
      <c r="J120" s="8"/>
      <c r="K120" s="8"/>
      <c r="L120" s="8"/>
    </row>
    <row r="121" spans="1:12" ht="14.45">
      <c r="A121" s="8"/>
      <c r="B121" s="13"/>
      <c r="C121" s="8"/>
      <c r="D121" s="8"/>
      <c r="E121" s="8"/>
      <c r="F121" s="9"/>
      <c r="G121" s="8"/>
      <c r="H121" s="8"/>
      <c r="I121" s="9"/>
      <c r="J121" s="8"/>
      <c r="K121" s="8"/>
      <c r="L121" s="8"/>
    </row>
    <row r="122" spans="1:12" ht="14.45">
      <c r="A122" s="8"/>
      <c r="B122" s="13"/>
      <c r="C122" s="8"/>
      <c r="D122" s="8"/>
      <c r="E122" s="8"/>
      <c r="F122" s="9"/>
      <c r="G122" s="8"/>
      <c r="H122" s="8"/>
      <c r="I122" s="9"/>
      <c r="J122" s="8"/>
      <c r="K122" s="8"/>
      <c r="L122" s="8"/>
    </row>
    <row r="123" spans="1:12" ht="14.45">
      <c r="A123" s="8"/>
      <c r="B123" s="13"/>
      <c r="C123" s="8"/>
      <c r="D123" s="8"/>
      <c r="E123" s="8"/>
      <c r="F123" s="9"/>
      <c r="G123" s="8"/>
      <c r="H123" s="8"/>
      <c r="I123" s="9"/>
      <c r="J123" s="8"/>
      <c r="K123" s="8"/>
      <c r="L123" s="8"/>
    </row>
    <row r="124" spans="1:12" ht="14.45">
      <c r="A124" s="8"/>
      <c r="B124" s="13"/>
      <c r="C124" s="8"/>
      <c r="D124" s="8"/>
      <c r="E124" s="8"/>
      <c r="F124" s="9"/>
      <c r="G124" s="8"/>
      <c r="H124" s="8"/>
      <c r="I124" s="9"/>
      <c r="J124" s="8"/>
      <c r="K124" s="8"/>
      <c r="L124" s="8"/>
    </row>
    <row r="125" spans="1:12" ht="14.45">
      <c r="A125" s="8"/>
      <c r="B125" s="13"/>
      <c r="C125" s="8"/>
      <c r="D125" s="8"/>
      <c r="E125" s="8"/>
      <c r="F125" s="9"/>
      <c r="G125" s="8"/>
      <c r="H125" s="8"/>
      <c r="I125" s="9"/>
      <c r="J125" s="8"/>
      <c r="K125" s="8"/>
      <c r="L125" s="8"/>
    </row>
    <row r="126" spans="1:12" ht="14.45">
      <c r="A126" s="8"/>
      <c r="B126" s="13"/>
      <c r="C126" s="8"/>
      <c r="D126" s="8"/>
      <c r="E126" s="8"/>
      <c r="F126" s="9"/>
      <c r="G126" s="8"/>
      <c r="H126" s="8"/>
      <c r="I126" s="9"/>
      <c r="J126" s="8"/>
      <c r="K126" s="8"/>
      <c r="L126" s="8"/>
    </row>
    <row r="127" spans="1:12" ht="14.45">
      <c r="A127" s="8"/>
      <c r="B127" s="13"/>
      <c r="C127" s="8"/>
      <c r="D127" s="8"/>
      <c r="E127" s="8"/>
      <c r="F127" s="9"/>
      <c r="G127" s="8"/>
      <c r="H127" s="8"/>
      <c r="I127" s="9"/>
      <c r="J127" s="8"/>
      <c r="K127" s="8"/>
      <c r="L127" s="8"/>
    </row>
    <row r="128" spans="1:12" ht="14.45">
      <c r="A128" s="8"/>
      <c r="B128" s="13"/>
      <c r="C128" s="8"/>
      <c r="D128" s="8"/>
      <c r="E128" s="8"/>
      <c r="F128" s="9"/>
      <c r="G128" s="8"/>
      <c r="H128" s="8"/>
      <c r="I128" s="9"/>
      <c r="J128" s="8"/>
      <c r="K128" s="8"/>
      <c r="L128" s="8"/>
    </row>
    <row r="129" spans="1:12" ht="14.45">
      <c r="A129" s="8"/>
      <c r="B129" s="13"/>
      <c r="C129" s="8"/>
      <c r="D129" s="8"/>
      <c r="E129" s="8"/>
      <c r="F129" s="9"/>
      <c r="G129" s="8"/>
      <c r="H129" s="8"/>
      <c r="I129" s="9"/>
      <c r="J129" s="8"/>
      <c r="K129" s="8"/>
      <c r="L129" s="8"/>
    </row>
    <row r="130" spans="1:12" ht="14.45">
      <c r="A130" s="8"/>
      <c r="B130" s="13"/>
      <c r="C130" s="8"/>
      <c r="D130" s="8"/>
      <c r="E130" s="8"/>
      <c r="F130" s="9"/>
      <c r="G130" s="8"/>
      <c r="H130" s="8"/>
      <c r="I130" s="9"/>
      <c r="J130" s="8"/>
      <c r="K130" s="8"/>
      <c r="L130" s="8"/>
    </row>
    <row r="131" spans="1:12" ht="14.45">
      <c r="A131" s="8"/>
      <c r="B131" s="13"/>
      <c r="C131" s="8"/>
      <c r="D131" s="8"/>
      <c r="E131" s="8"/>
      <c r="F131" s="9"/>
      <c r="G131" s="8"/>
      <c r="H131" s="8"/>
      <c r="I131" s="9"/>
      <c r="J131" s="8"/>
      <c r="K131" s="8"/>
      <c r="L131" s="8"/>
    </row>
    <row r="132" spans="1:12" ht="14.45">
      <c r="A132" s="8"/>
      <c r="B132" s="13"/>
      <c r="C132" s="8"/>
      <c r="D132" s="8"/>
      <c r="E132" s="8"/>
      <c r="F132" s="9"/>
      <c r="G132" s="8"/>
      <c r="H132" s="8"/>
      <c r="I132" s="9"/>
      <c r="J132" s="8"/>
      <c r="K132" s="8"/>
      <c r="L132" s="8"/>
    </row>
    <row r="133" spans="1:12" ht="14.45">
      <c r="A133" s="8"/>
      <c r="B133" s="13"/>
      <c r="C133" s="8"/>
      <c r="D133" s="8"/>
      <c r="E133" s="8"/>
      <c r="F133" s="9"/>
      <c r="G133" s="8"/>
      <c r="H133" s="8"/>
      <c r="I133" s="9"/>
      <c r="J133" s="8"/>
      <c r="K133" s="8"/>
      <c r="L133" s="8"/>
    </row>
    <row r="134" spans="1:12" ht="14.45">
      <c r="A134" s="8"/>
      <c r="B134" s="13"/>
      <c r="C134" s="8"/>
      <c r="D134" s="8"/>
      <c r="E134" s="8"/>
      <c r="F134" s="9"/>
      <c r="G134" s="8"/>
      <c r="H134" s="8"/>
      <c r="I134" s="9"/>
      <c r="J134" s="8"/>
      <c r="K134" s="8"/>
      <c r="L134" s="8"/>
    </row>
    <row r="135" spans="1:12" ht="14.45">
      <c r="A135" s="8"/>
      <c r="B135" s="13"/>
      <c r="C135" s="8"/>
      <c r="D135" s="8"/>
      <c r="E135" s="8"/>
      <c r="F135" s="9"/>
      <c r="G135" s="8"/>
      <c r="H135" s="8"/>
      <c r="I135" s="9"/>
      <c r="J135" s="8"/>
      <c r="K135" s="8"/>
      <c r="L135" s="8"/>
    </row>
    <row r="136" spans="1:12" ht="14.45">
      <c r="A136" s="8"/>
      <c r="B136" s="13"/>
      <c r="C136" s="8"/>
      <c r="D136" s="8"/>
      <c r="E136" s="8"/>
      <c r="F136" s="9"/>
      <c r="G136" s="8"/>
      <c r="H136" s="8"/>
      <c r="I136" s="9"/>
      <c r="J136" s="8"/>
      <c r="K136" s="8"/>
      <c r="L136" s="8"/>
    </row>
    <row r="137" spans="1:12" ht="14.45">
      <c r="A137" s="8"/>
      <c r="B137" s="13"/>
      <c r="C137" s="8"/>
      <c r="D137" s="8"/>
      <c r="E137" s="8"/>
      <c r="F137" s="9"/>
      <c r="G137" s="8"/>
      <c r="H137" s="8"/>
      <c r="I137" s="9"/>
      <c r="J137" s="8"/>
      <c r="K137" s="8"/>
      <c r="L137" s="8"/>
    </row>
    <row r="138" spans="1:12" ht="14.45">
      <c r="A138" s="8"/>
      <c r="B138" s="13"/>
      <c r="C138" s="8"/>
      <c r="D138" s="8"/>
      <c r="E138" s="8"/>
      <c r="F138" s="9"/>
      <c r="G138" s="8"/>
      <c r="H138" s="8"/>
      <c r="I138" s="9"/>
      <c r="J138" s="8"/>
      <c r="K138" s="8"/>
      <c r="L138" s="8"/>
    </row>
    <row r="139" spans="1:12" ht="14.45">
      <c r="A139" s="8"/>
      <c r="B139" s="13"/>
      <c r="C139" s="8"/>
      <c r="D139" s="8"/>
      <c r="E139" s="8"/>
      <c r="F139" s="9"/>
      <c r="G139" s="8"/>
      <c r="H139" s="8"/>
      <c r="I139" s="9"/>
      <c r="J139" s="8"/>
      <c r="K139" s="8"/>
      <c r="L139" s="8"/>
    </row>
    <row r="140" spans="1:12" ht="14.45">
      <c r="A140" s="8"/>
      <c r="B140" s="13"/>
      <c r="C140" s="8"/>
      <c r="D140" s="8"/>
      <c r="E140" s="8"/>
      <c r="F140" s="9"/>
      <c r="G140" s="8"/>
      <c r="H140" s="8"/>
      <c r="I140" s="9"/>
      <c r="J140" s="8"/>
      <c r="K140" s="8"/>
      <c r="L140" s="8"/>
    </row>
    <row r="141" spans="1:12" ht="14.45">
      <c r="A141" s="8"/>
      <c r="B141" s="13"/>
      <c r="C141" s="8"/>
      <c r="D141" s="8"/>
      <c r="E141" s="8"/>
      <c r="F141" s="9"/>
      <c r="G141" s="8"/>
      <c r="H141" s="8"/>
      <c r="I141" s="9"/>
      <c r="J141" s="8"/>
      <c r="K141" s="8"/>
      <c r="L141" s="8"/>
    </row>
    <row r="142" spans="1:12" ht="14.45">
      <c r="A142" s="8"/>
      <c r="B142" s="13"/>
      <c r="C142" s="8"/>
      <c r="D142" s="8"/>
      <c r="E142" s="8"/>
      <c r="F142" s="9"/>
      <c r="G142" s="8"/>
      <c r="H142" s="8"/>
      <c r="I142" s="9"/>
      <c r="J142" s="8"/>
      <c r="K142" s="8"/>
      <c r="L142" s="8"/>
    </row>
    <row r="143" spans="1:12" ht="14.45">
      <c r="A143" s="8"/>
      <c r="B143" s="13"/>
      <c r="C143" s="8"/>
      <c r="D143" s="8"/>
      <c r="E143" s="8"/>
      <c r="F143" s="9"/>
      <c r="G143" s="8"/>
      <c r="H143" s="8"/>
      <c r="I143" s="9"/>
      <c r="J143" s="8"/>
      <c r="K143" s="8"/>
      <c r="L143" s="8"/>
    </row>
    <row r="144" spans="1:12" ht="14.45">
      <c r="A144" s="8"/>
      <c r="B144" s="13"/>
      <c r="C144" s="8"/>
      <c r="D144" s="8"/>
      <c r="E144" s="8"/>
      <c r="F144" s="9"/>
      <c r="G144" s="8"/>
      <c r="H144" s="8"/>
      <c r="I144" s="9"/>
      <c r="J144" s="8"/>
      <c r="K144" s="8"/>
      <c r="L144" s="8"/>
    </row>
    <row r="145" spans="1:12" ht="14.45">
      <c r="A145" s="8"/>
      <c r="B145" s="13"/>
      <c r="C145" s="8"/>
      <c r="D145" s="8"/>
      <c r="E145" s="8"/>
      <c r="F145" s="9"/>
      <c r="G145" s="8"/>
      <c r="H145" s="8"/>
      <c r="I145" s="9"/>
      <c r="J145" s="8"/>
      <c r="K145" s="8"/>
      <c r="L145" s="8"/>
    </row>
    <row r="146" spans="1:12" ht="14.45">
      <c r="A146" s="8"/>
      <c r="B146" s="13"/>
      <c r="C146" s="8"/>
      <c r="D146" s="8"/>
      <c r="E146" s="8"/>
      <c r="F146" s="9"/>
      <c r="G146" s="8"/>
      <c r="H146" s="8"/>
      <c r="I146" s="9"/>
      <c r="J146" s="8"/>
      <c r="K146" s="8"/>
      <c r="L146" s="8"/>
    </row>
    <row r="147" spans="1:12" ht="14.45">
      <c r="A147" s="8"/>
      <c r="B147" s="13"/>
      <c r="C147" s="8"/>
      <c r="D147" s="8"/>
      <c r="E147" s="8"/>
      <c r="F147" s="9"/>
      <c r="G147" s="8"/>
      <c r="H147" s="8"/>
      <c r="I147" s="9"/>
      <c r="J147" s="8"/>
      <c r="K147" s="8"/>
      <c r="L147" s="8"/>
    </row>
    <row r="148" spans="1:12" ht="14.45">
      <c r="A148" s="8"/>
      <c r="B148" s="13"/>
      <c r="C148" s="8"/>
      <c r="D148" s="8"/>
      <c r="E148" s="8"/>
      <c r="F148" s="9"/>
      <c r="G148" s="8"/>
      <c r="H148" s="8"/>
      <c r="I148" s="9"/>
      <c r="J148" s="8"/>
      <c r="K148" s="8"/>
      <c r="L148" s="8"/>
    </row>
    <row r="149" spans="1:12" ht="14.45">
      <c r="A149" s="8"/>
      <c r="B149" s="13"/>
      <c r="C149" s="8"/>
      <c r="D149" s="8"/>
      <c r="E149" s="8"/>
      <c r="F149" s="9"/>
      <c r="G149" s="8"/>
      <c r="H149" s="8"/>
      <c r="I149" s="9"/>
      <c r="J149" s="8"/>
      <c r="K149" s="8"/>
      <c r="L149" s="8"/>
    </row>
    <row r="150" spans="1:12" ht="14.45">
      <c r="A150" s="8"/>
      <c r="B150" s="13"/>
      <c r="C150" s="8"/>
      <c r="D150" s="8"/>
      <c r="E150" s="8"/>
      <c r="F150" s="9"/>
      <c r="G150" s="8"/>
      <c r="H150" s="8"/>
      <c r="I150" s="9"/>
      <c r="J150" s="8"/>
      <c r="K150" s="8"/>
      <c r="L150" s="8"/>
    </row>
    <row r="151" spans="1:12" ht="14.45">
      <c r="A151" s="8"/>
      <c r="B151" s="13"/>
      <c r="C151" s="8"/>
      <c r="D151" s="8"/>
      <c r="E151" s="8"/>
      <c r="F151" s="9"/>
      <c r="G151" s="8"/>
      <c r="H151" s="8"/>
      <c r="I151" s="9"/>
      <c r="J151" s="8"/>
      <c r="K151" s="8"/>
      <c r="L151" s="8"/>
    </row>
    <row r="152" spans="1:12" ht="14.45">
      <c r="A152" s="8"/>
      <c r="B152" s="13"/>
      <c r="C152" s="8"/>
      <c r="D152" s="8"/>
      <c r="E152" s="8"/>
      <c r="F152" s="9"/>
      <c r="G152" s="8"/>
      <c r="H152" s="8"/>
      <c r="I152" s="9"/>
      <c r="J152" s="8"/>
      <c r="K152" s="8"/>
      <c r="L152" s="8"/>
    </row>
    <row r="153" spans="1:12" ht="14.45">
      <c r="A153" s="8"/>
      <c r="B153" s="13"/>
      <c r="C153" s="8"/>
      <c r="D153" s="8"/>
      <c r="E153" s="8"/>
      <c r="F153" s="9"/>
      <c r="G153" s="8"/>
      <c r="H153" s="8"/>
      <c r="I153" s="9"/>
      <c r="J153" s="8"/>
      <c r="K153" s="8"/>
      <c r="L153" s="8"/>
    </row>
    <row r="154" spans="1:12" ht="14.45">
      <c r="A154" s="8"/>
      <c r="B154" s="13"/>
      <c r="C154" s="8"/>
      <c r="D154" s="8"/>
      <c r="E154" s="8"/>
      <c r="F154" s="9"/>
      <c r="G154" s="8"/>
      <c r="H154" s="8"/>
      <c r="I154" s="9"/>
      <c r="J154" s="8"/>
      <c r="K154" s="8"/>
      <c r="L154" s="8"/>
    </row>
    <row r="155" spans="1:12" ht="14.45">
      <c r="A155" s="8"/>
      <c r="B155" s="13"/>
      <c r="C155" s="8"/>
      <c r="D155" s="8"/>
      <c r="E155" s="8"/>
      <c r="F155" s="9"/>
      <c r="G155" s="8"/>
      <c r="H155" s="8"/>
      <c r="I155" s="9"/>
      <c r="J155" s="8"/>
      <c r="K155" s="8"/>
      <c r="L155" s="8"/>
    </row>
    <row r="156" spans="1:12" ht="14.45">
      <c r="A156" s="8"/>
      <c r="B156" s="13"/>
      <c r="C156" s="8"/>
      <c r="D156" s="8"/>
      <c r="E156" s="8"/>
      <c r="F156" s="9"/>
      <c r="G156" s="8"/>
      <c r="H156" s="8"/>
      <c r="I156" s="9"/>
      <c r="J156" s="8"/>
      <c r="K156" s="8"/>
      <c r="L156" s="8"/>
    </row>
    <row r="157" spans="1:12" ht="14.45">
      <c r="A157" s="8"/>
      <c r="B157" s="13"/>
      <c r="C157" s="8"/>
      <c r="D157" s="8"/>
      <c r="E157" s="8"/>
      <c r="F157" s="9"/>
      <c r="G157" s="8"/>
      <c r="H157" s="8"/>
      <c r="I157" s="9"/>
      <c r="J157" s="8"/>
      <c r="K157" s="8"/>
      <c r="L157" s="8"/>
    </row>
    <row r="158" spans="1:12" ht="14.45">
      <c r="A158" s="8"/>
      <c r="B158" s="13"/>
      <c r="C158" s="8"/>
      <c r="D158" s="8"/>
      <c r="E158" s="8"/>
      <c r="F158" s="9"/>
      <c r="G158" s="8"/>
      <c r="H158" s="8"/>
      <c r="I158" s="9"/>
      <c r="J158" s="8"/>
      <c r="K158" s="8"/>
      <c r="L158" s="8"/>
    </row>
    <row r="159" spans="1:12" ht="14.45">
      <c r="A159" s="8"/>
      <c r="B159" s="13"/>
      <c r="C159" s="8"/>
      <c r="D159" s="8"/>
      <c r="E159" s="8"/>
      <c r="F159" s="9"/>
      <c r="G159" s="8"/>
      <c r="H159" s="8"/>
      <c r="I159" s="9"/>
      <c r="J159" s="8"/>
      <c r="K159" s="8"/>
      <c r="L159" s="8"/>
    </row>
    <row r="160" spans="1:12" ht="14.45">
      <c r="A160" s="8"/>
      <c r="B160" s="13"/>
      <c r="C160" s="8"/>
      <c r="D160" s="8"/>
      <c r="E160" s="8"/>
      <c r="F160" s="9"/>
      <c r="G160" s="8"/>
      <c r="H160" s="8"/>
      <c r="I160" s="9"/>
      <c r="J160" s="8"/>
      <c r="K160" s="8"/>
      <c r="L160" s="8"/>
    </row>
    <row r="161" spans="1:12" ht="14.45">
      <c r="A161" s="8"/>
      <c r="B161" s="13"/>
      <c r="C161" s="8"/>
      <c r="D161" s="8"/>
      <c r="E161" s="8"/>
      <c r="F161" s="9"/>
      <c r="G161" s="8"/>
      <c r="H161" s="8"/>
      <c r="I161" s="9"/>
      <c r="J161" s="8"/>
      <c r="K161" s="8"/>
      <c r="L161" s="8"/>
    </row>
    <row r="162" spans="1:12" ht="14.45">
      <c r="A162" s="8"/>
      <c r="B162" s="13"/>
      <c r="C162" s="8"/>
      <c r="D162" s="8"/>
      <c r="E162" s="8"/>
      <c r="F162" s="9"/>
      <c r="G162" s="8"/>
      <c r="H162" s="8"/>
      <c r="I162" s="9"/>
      <c r="J162" s="8"/>
      <c r="K162" s="8"/>
      <c r="L162" s="8"/>
    </row>
    <row r="163" spans="1:12" ht="14.45">
      <c r="A163" s="8"/>
      <c r="B163" s="13"/>
      <c r="C163" s="8"/>
      <c r="D163" s="8"/>
      <c r="E163" s="8"/>
      <c r="F163" s="9"/>
      <c r="G163" s="8"/>
      <c r="H163" s="8"/>
      <c r="I163" s="9"/>
      <c r="J163" s="8"/>
      <c r="K163" s="8"/>
      <c r="L163" s="8"/>
    </row>
    <row r="164" spans="1:12" ht="14.45">
      <c r="A164" s="8"/>
      <c r="B164" s="13"/>
      <c r="C164" s="8"/>
      <c r="D164" s="8"/>
      <c r="E164" s="8"/>
      <c r="F164" s="9"/>
      <c r="G164" s="8"/>
      <c r="H164" s="8"/>
      <c r="I164" s="9"/>
      <c r="J164" s="8"/>
      <c r="K164" s="8"/>
      <c r="L164" s="8"/>
    </row>
    <row r="165" spans="1:12" ht="14.45">
      <c r="A165" s="8"/>
      <c r="B165" s="13"/>
      <c r="C165" s="8"/>
      <c r="D165" s="8"/>
      <c r="E165" s="8"/>
      <c r="F165" s="9"/>
      <c r="G165" s="8"/>
      <c r="H165" s="8"/>
      <c r="I165" s="9"/>
      <c r="J165" s="8"/>
      <c r="K165" s="8"/>
      <c r="L165" s="8"/>
    </row>
    <row r="166" spans="1:12" ht="14.45">
      <c r="A166" s="8"/>
      <c r="B166" s="13"/>
      <c r="C166" s="8"/>
      <c r="D166" s="8"/>
      <c r="E166" s="8"/>
      <c r="F166" s="9"/>
      <c r="G166" s="8"/>
      <c r="H166" s="8"/>
      <c r="I166" s="9"/>
      <c r="J166" s="8"/>
      <c r="K166" s="8"/>
      <c r="L166" s="8"/>
    </row>
    <row r="167" spans="1:12" ht="14.45">
      <c r="A167" s="8"/>
      <c r="B167" s="13"/>
      <c r="C167" s="8"/>
      <c r="D167" s="8"/>
      <c r="E167" s="8"/>
      <c r="F167" s="9"/>
      <c r="G167" s="8"/>
      <c r="H167" s="8"/>
      <c r="I167" s="9"/>
      <c r="J167" s="8"/>
      <c r="K167" s="8"/>
      <c r="L167" s="8"/>
    </row>
    <row r="168" spans="1:12" ht="14.45">
      <c r="A168" s="8"/>
      <c r="B168" s="13"/>
      <c r="C168" s="8"/>
      <c r="D168" s="8"/>
      <c r="E168" s="8"/>
      <c r="F168" s="9"/>
      <c r="G168" s="8"/>
      <c r="H168" s="8"/>
      <c r="I168" s="9"/>
      <c r="J168" s="8"/>
      <c r="K168" s="8"/>
      <c r="L168" s="8"/>
    </row>
    <row r="169" spans="1:12" ht="14.45">
      <c r="A169" s="8"/>
      <c r="B169" s="13"/>
      <c r="C169" s="8"/>
      <c r="D169" s="8"/>
      <c r="E169" s="8"/>
      <c r="F169" s="9"/>
      <c r="G169" s="8"/>
      <c r="H169" s="8"/>
      <c r="I169" s="9"/>
      <c r="J169" s="8"/>
      <c r="K169" s="8"/>
      <c r="L169" s="8"/>
    </row>
    <row r="170" spans="1:12" ht="14.45">
      <c r="A170" s="8"/>
      <c r="B170" s="13"/>
      <c r="C170" s="8"/>
      <c r="D170" s="8"/>
      <c r="E170" s="8"/>
      <c r="F170" s="9"/>
      <c r="G170" s="8"/>
      <c r="H170" s="8"/>
      <c r="I170" s="9"/>
      <c r="J170" s="8"/>
      <c r="K170" s="8"/>
      <c r="L170" s="8"/>
    </row>
    <row r="171" spans="1:12" ht="14.45">
      <c r="A171" s="8"/>
      <c r="B171" s="13"/>
      <c r="C171" s="8"/>
      <c r="D171" s="8"/>
      <c r="E171" s="8"/>
      <c r="F171" s="9"/>
      <c r="G171" s="8"/>
      <c r="H171" s="8"/>
      <c r="I171" s="9"/>
      <c r="J171" s="8"/>
      <c r="K171" s="8"/>
      <c r="L171" s="8"/>
    </row>
    <row r="172" spans="1:12" ht="14.45">
      <c r="A172" s="8"/>
      <c r="B172" s="13"/>
      <c r="C172" s="8"/>
      <c r="D172" s="8"/>
      <c r="E172" s="8"/>
      <c r="F172" s="9"/>
      <c r="G172" s="8"/>
      <c r="H172" s="8"/>
      <c r="I172" s="9"/>
      <c r="J172" s="8"/>
      <c r="K172" s="8"/>
      <c r="L172" s="8"/>
    </row>
    <row r="173" spans="1:12" ht="14.45">
      <c r="A173" s="8"/>
      <c r="B173" s="13"/>
      <c r="C173" s="8"/>
      <c r="D173" s="8"/>
      <c r="E173" s="8"/>
      <c r="F173" s="9"/>
      <c r="G173" s="8"/>
      <c r="H173" s="8"/>
      <c r="I173" s="9"/>
      <c r="J173" s="8"/>
      <c r="K173" s="8"/>
      <c r="L173" s="8"/>
    </row>
    <row r="174" spans="1:12" ht="14.45">
      <c r="A174" s="8"/>
      <c r="B174" s="13"/>
      <c r="C174" s="8"/>
      <c r="D174" s="8"/>
      <c r="E174" s="8"/>
      <c r="F174" s="9"/>
      <c r="G174" s="8"/>
      <c r="H174" s="8"/>
      <c r="I174" s="9"/>
      <c r="J174" s="8"/>
      <c r="K174" s="8"/>
      <c r="L174" s="8"/>
    </row>
    <row r="175" spans="1:12" ht="14.45">
      <c r="A175" s="8"/>
      <c r="B175" s="13"/>
      <c r="C175" s="8"/>
      <c r="D175" s="8"/>
      <c r="E175" s="8"/>
      <c r="F175" s="9"/>
      <c r="G175" s="8"/>
      <c r="H175" s="8"/>
      <c r="I175" s="9"/>
      <c r="J175" s="8"/>
      <c r="K175" s="8"/>
      <c r="L175" s="8"/>
    </row>
    <row r="176" spans="1:12" ht="14.45">
      <c r="A176" s="8"/>
      <c r="B176" s="13"/>
      <c r="C176" s="8"/>
      <c r="D176" s="8"/>
      <c r="E176" s="8"/>
      <c r="F176" s="9"/>
      <c r="G176" s="8"/>
      <c r="H176" s="8"/>
      <c r="I176" s="9"/>
      <c r="J176" s="8"/>
      <c r="K176" s="8"/>
      <c r="L176" s="8"/>
    </row>
    <row r="177" spans="1:12" ht="14.45">
      <c r="A177" s="8"/>
      <c r="B177" s="13"/>
      <c r="C177" s="8"/>
      <c r="D177" s="8"/>
      <c r="E177" s="8"/>
      <c r="F177" s="9"/>
      <c r="G177" s="8"/>
      <c r="H177" s="8"/>
      <c r="I177" s="9"/>
      <c r="J177" s="8"/>
      <c r="K177" s="8"/>
      <c r="L177" s="8"/>
    </row>
    <row r="178" spans="1:12" ht="14.45">
      <c r="A178" s="8"/>
      <c r="B178" s="13"/>
      <c r="C178" s="8"/>
      <c r="D178" s="8"/>
      <c r="E178" s="8"/>
      <c r="F178" s="9"/>
      <c r="G178" s="8"/>
      <c r="H178" s="8"/>
      <c r="I178" s="9"/>
      <c r="J178" s="8"/>
      <c r="K178" s="8"/>
      <c r="L178" s="8"/>
    </row>
    <row r="179" spans="1:12" ht="14.45">
      <c r="A179" s="8"/>
      <c r="B179" s="13"/>
      <c r="C179" s="8"/>
      <c r="D179" s="8"/>
      <c r="E179" s="8"/>
      <c r="F179" s="9"/>
      <c r="G179" s="8"/>
      <c r="H179" s="8"/>
      <c r="I179" s="9"/>
      <c r="J179" s="8"/>
      <c r="K179" s="8"/>
      <c r="L179" s="8"/>
    </row>
    <row r="180" spans="1:12" ht="14.45">
      <c r="A180" s="8"/>
      <c r="B180" s="13"/>
      <c r="C180" s="8"/>
      <c r="D180" s="8"/>
      <c r="E180" s="8"/>
      <c r="F180" s="9"/>
      <c r="G180" s="8"/>
      <c r="H180" s="8"/>
      <c r="I180" s="9"/>
      <c r="J180" s="8"/>
      <c r="K180" s="8"/>
      <c r="L180" s="8"/>
    </row>
    <row r="181" spans="1:12" ht="14.45">
      <c r="A181" s="8"/>
      <c r="B181" s="13"/>
      <c r="C181" s="8"/>
      <c r="D181" s="8"/>
      <c r="E181" s="8"/>
      <c r="F181" s="9"/>
      <c r="G181" s="8"/>
      <c r="H181" s="8"/>
      <c r="I181" s="9"/>
      <c r="J181" s="8"/>
      <c r="K181" s="8"/>
      <c r="L181" s="8"/>
    </row>
    <row r="182" spans="1:12" ht="14.45">
      <c r="A182" s="8"/>
      <c r="B182" s="13"/>
      <c r="C182" s="8"/>
      <c r="D182" s="8"/>
      <c r="E182" s="8"/>
      <c r="F182" s="9"/>
      <c r="G182" s="8"/>
      <c r="H182" s="8"/>
      <c r="I182" s="9"/>
      <c r="J182" s="8"/>
      <c r="K182" s="8"/>
      <c r="L182" s="8"/>
    </row>
    <row r="183" spans="1:12" ht="14.45">
      <c r="A183" s="8"/>
      <c r="B183" s="13"/>
      <c r="C183" s="8"/>
      <c r="D183" s="8"/>
      <c r="E183" s="8"/>
      <c r="F183" s="9"/>
      <c r="G183" s="8"/>
      <c r="H183" s="8"/>
      <c r="I183" s="9"/>
      <c r="J183" s="8"/>
      <c r="K183" s="8"/>
      <c r="L183" s="8"/>
    </row>
    <row r="184" spans="1:12" ht="14.45">
      <c r="A184" s="8"/>
      <c r="B184" s="13"/>
      <c r="C184" s="8"/>
      <c r="D184" s="8"/>
      <c r="E184" s="8"/>
      <c r="F184" s="9"/>
      <c r="G184" s="8"/>
      <c r="H184" s="8"/>
      <c r="I184" s="9"/>
      <c r="J184" s="8"/>
      <c r="K184" s="8"/>
      <c r="L184" s="8"/>
    </row>
    <row r="185" spans="1:12" ht="14.45">
      <c r="A185" s="8"/>
      <c r="B185" s="13"/>
      <c r="C185" s="8"/>
      <c r="D185" s="8"/>
      <c r="E185" s="8"/>
      <c r="F185" s="9"/>
      <c r="G185" s="8"/>
      <c r="H185" s="8"/>
      <c r="I185" s="9"/>
      <c r="J185" s="8"/>
      <c r="K185" s="8"/>
      <c r="L185" s="8"/>
    </row>
    <row r="186" spans="1:12" ht="14.45">
      <c r="A186" s="8"/>
      <c r="B186" s="13"/>
      <c r="C186" s="8"/>
      <c r="D186" s="8"/>
      <c r="E186" s="8"/>
      <c r="F186" s="9"/>
      <c r="G186" s="8"/>
      <c r="H186" s="8"/>
      <c r="I186" s="9"/>
      <c r="J186" s="8"/>
      <c r="K186" s="8"/>
      <c r="L186" s="8"/>
    </row>
    <row r="187" spans="1:12" ht="14.45">
      <c r="A187" s="8"/>
      <c r="B187" s="13"/>
      <c r="C187" s="8"/>
      <c r="D187" s="8"/>
      <c r="E187" s="8"/>
      <c r="F187" s="9"/>
      <c r="G187" s="8"/>
      <c r="H187" s="8"/>
      <c r="I187" s="9"/>
      <c r="J187" s="8"/>
      <c r="K187" s="8"/>
      <c r="L187" s="8"/>
    </row>
    <row r="188" spans="1:12" ht="14.45">
      <c r="A188" s="8"/>
      <c r="B188" s="13"/>
      <c r="C188" s="8"/>
      <c r="D188" s="8"/>
      <c r="E188" s="8"/>
      <c r="F188" s="9"/>
      <c r="G188" s="8"/>
      <c r="H188" s="8"/>
      <c r="I188" s="9"/>
      <c r="J188" s="8"/>
      <c r="K188" s="8"/>
      <c r="L188" s="8"/>
    </row>
    <row r="189" spans="1:12" ht="14.45">
      <c r="A189" s="8"/>
      <c r="B189" s="13"/>
      <c r="C189" s="8"/>
      <c r="D189" s="8"/>
      <c r="E189" s="8"/>
      <c r="F189" s="9"/>
      <c r="G189" s="8"/>
      <c r="H189" s="8"/>
      <c r="I189" s="9"/>
      <c r="J189" s="8"/>
      <c r="K189" s="8"/>
      <c r="L189" s="8"/>
    </row>
    <row r="190" spans="1:12" ht="14.45">
      <c r="A190" s="8"/>
      <c r="B190" s="13"/>
      <c r="C190" s="8"/>
      <c r="D190" s="8"/>
      <c r="E190" s="8"/>
      <c r="F190" s="9"/>
      <c r="G190" s="8"/>
      <c r="H190" s="8"/>
      <c r="I190" s="9"/>
      <c r="J190" s="8"/>
      <c r="K190" s="8"/>
      <c r="L190" s="8"/>
    </row>
    <row r="191" spans="1:12" ht="14.45">
      <c r="A191" s="8"/>
      <c r="B191" s="13"/>
      <c r="C191" s="8"/>
      <c r="D191" s="8"/>
      <c r="E191" s="8"/>
      <c r="F191" s="9"/>
      <c r="G191" s="8"/>
      <c r="H191" s="8"/>
      <c r="I191" s="9"/>
      <c r="J191" s="8"/>
      <c r="K191" s="8"/>
      <c r="L191" s="8"/>
    </row>
    <row r="192" spans="1:12" ht="14.45">
      <c r="A192" s="8"/>
      <c r="B192" s="13"/>
      <c r="C192" s="8"/>
      <c r="D192" s="8"/>
      <c r="E192" s="8"/>
      <c r="F192" s="9"/>
      <c r="G192" s="8"/>
      <c r="H192" s="8"/>
      <c r="I192" s="9"/>
      <c r="J192" s="8"/>
      <c r="K192" s="8"/>
      <c r="L192" s="8"/>
    </row>
    <row r="193" spans="1:12" ht="14.45">
      <c r="A193" s="8"/>
      <c r="B193" s="13"/>
      <c r="C193" s="8"/>
      <c r="D193" s="8"/>
      <c r="E193" s="8"/>
      <c r="F193" s="9"/>
      <c r="G193" s="8"/>
      <c r="H193" s="8"/>
      <c r="I193" s="9"/>
      <c r="J193" s="8"/>
      <c r="K193" s="8"/>
      <c r="L193" s="8"/>
    </row>
    <row r="194" spans="1:12" ht="14.45">
      <c r="A194" s="8"/>
      <c r="B194" s="13"/>
      <c r="C194" s="8"/>
      <c r="D194" s="8"/>
      <c r="E194" s="8"/>
      <c r="F194" s="9"/>
      <c r="G194" s="8"/>
      <c r="H194" s="8"/>
      <c r="I194" s="9"/>
      <c r="J194" s="8"/>
      <c r="K194" s="8"/>
      <c r="L194" s="8"/>
    </row>
    <row r="195" spans="1:12" ht="14.45">
      <c r="A195" s="8"/>
      <c r="B195" s="13"/>
      <c r="C195" s="8"/>
      <c r="D195" s="8"/>
      <c r="E195" s="8"/>
      <c r="F195" s="9"/>
      <c r="G195" s="8"/>
      <c r="H195" s="8"/>
      <c r="I195" s="9"/>
      <c r="J195" s="8"/>
      <c r="K195" s="8"/>
      <c r="L195" s="8"/>
    </row>
    <row r="196" spans="1:12" ht="14.45">
      <c r="A196" s="8"/>
      <c r="B196" s="13"/>
      <c r="C196" s="8"/>
      <c r="D196" s="8"/>
      <c r="E196" s="8"/>
      <c r="F196" s="9"/>
      <c r="G196" s="8"/>
      <c r="H196" s="8"/>
      <c r="I196" s="9"/>
      <c r="J196" s="8"/>
      <c r="K196" s="8"/>
      <c r="L196" s="8"/>
    </row>
    <row r="197" spans="1:12" ht="14.45">
      <c r="A197" s="8"/>
      <c r="B197" s="13"/>
      <c r="C197" s="8"/>
      <c r="D197" s="8"/>
      <c r="E197" s="8"/>
      <c r="F197" s="9"/>
      <c r="G197" s="8"/>
      <c r="H197" s="8"/>
      <c r="I197" s="9"/>
      <c r="J197" s="8"/>
      <c r="K197" s="8"/>
      <c r="L197" s="8"/>
    </row>
    <row r="198" spans="1:12" ht="14.45">
      <c r="A198" s="8"/>
      <c r="B198" s="13"/>
      <c r="C198" s="8"/>
      <c r="D198" s="8"/>
      <c r="E198" s="8"/>
      <c r="F198" s="9"/>
      <c r="G198" s="8"/>
      <c r="H198" s="8"/>
      <c r="I198" s="9"/>
      <c r="J198" s="8"/>
      <c r="K198" s="8"/>
      <c r="L198" s="8"/>
    </row>
    <row r="199" spans="1:12" ht="14.45">
      <c r="A199" s="8"/>
      <c r="B199" s="13"/>
      <c r="C199" s="8"/>
      <c r="D199" s="8"/>
      <c r="E199" s="8"/>
      <c r="F199" s="9"/>
      <c r="G199" s="8"/>
      <c r="H199" s="8"/>
      <c r="I199" s="9"/>
      <c r="J199" s="8"/>
      <c r="K199" s="8"/>
      <c r="L199" s="8"/>
    </row>
    <row r="200" spans="1:12" ht="14.45">
      <c r="A200" s="8"/>
      <c r="B200" s="13"/>
      <c r="C200" s="8"/>
      <c r="D200" s="8"/>
      <c r="E200" s="8"/>
      <c r="F200" s="9"/>
      <c r="G200" s="8"/>
      <c r="H200" s="8"/>
      <c r="I200" s="9"/>
      <c r="J200" s="8"/>
      <c r="K200" s="8"/>
      <c r="L200" s="8"/>
    </row>
    <row r="201" spans="1:12" ht="14.45">
      <c r="A201" s="8"/>
      <c r="B201" s="13"/>
      <c r="C201" s="8"/>
      <c r="D201" s="8"/>
      <c r="E201" s="8"/>
      <c r="F201" s="9"/>
      <c r="G201" s="8"/>
      <c r="H201" s="8"/>
      <c r="I201" s="9"/>
      <c r="J201" s="8"/>
      <c r="K201" s="8"/>
      <c r="L201" s="8"/>
    </row>
    <row r="202" spans="1:12" ht="14.45">
      <c r="A202" s="8"/>
      <c r="B202" s="13"/>
      <c r="C202" s="8"/>
      <c r="D202" s="8"/>
      <c r="E202" s="8"/>
      <c r="F202" s="9"/>
      <c r="G202" s="8"/>
      <c r="H202" s="8"/>
      <c r="I202" s="9"/>
      <c r="J202" s="8"/>
      <c r="K202" s="8"/>
      <c r="L202" s="8"/>
    </row>
    <row r="203" spans="1:12" ht="14.45">
      <c r="A203" s="8"/>
      <c r="B203" s="13"/>
      <c r="C203" s="8"/>
      <c r="D203" s="8"/>
      <c r="E203" s="8"/>
      <c r="F203" s="9"/>
      <c r="G203" s="8"/>
      <c r="H203" s="8"/>
      <c r="I203" s="9"/>
      <c r="J203" s="8"/>
      <c r="K203" s="8"/>
      <c r="L203" s="8"/>
    </row>
    <row r="204" spans="1:12" ht="14.45">
      <c r="A204" s="8"/>
      <c r="B204" s="13"/>
      <c r="C204" s="8"/>
      <c r="D204" s="8"/>
      <c r="E204" s="8"/>
      <c r="F204" s="9"/>
      <c r="G204" s="8"/>
      <c r="H204" s="8"/>
      <c r="I204" s="9"/>
      <c r="J204" s="8"/>
      <c r="K204" s="8"/>
      <c r="L204" s="8"/>
    </row>
    <row r="205" spans="1:12" ht="14.45">
      <c r="A205" s="8"/>
      <c r="B205" s="13"/>
      <c r="C205" s="8"/>
      <c r="D205" s="8"/>
      <c r="E205" s="8"/>
      <c r="F205" s="9"/>
      <c r="G205" s="8"/>
      <c r="H205" s="8"/>
      <c r="I205" s="9"/>
      <c r="J205" s="8"/>
      <c r="K205" s="8"/>
      <c r="L205" s="8"/>
    </row>
    <row r="206" spans="1:12" ht="14.45">
      <c r="A206" s="8"/>
      <c r="B206" s="13"/>
      <c r="C206" s="8"/>
      <c r="D206" s="8"/>
      <c r="E206" s="8"/>
      <c r="F206" s="9"/>
      <c r="G206" s="8"/>
      <c r="H206" s="8"/>
      <c r="I206" s="9"/>
      <c r="J206" s="8"/>
      <c r="K206" s="8"/>
      <c r="L206" s="8"/>
    </row>
    <row r="207" spans="1:12" ht="14.45">
      <c r="A207" s="8"/>
      <c r="B207" s="13"/>
      <c r="C207" s="8"/>
      <c r="D207" s="8"/>
      <c r="E207" s="8"/>
      <c r="F207" s="9"/>
      <c r="G207" s="8"/>
      <c r="H207" s="8"/>
      <c r="I207" s="9"/>
      <c r="J207" s="8"/>
      <c r="K207" s="8"/>
      <c r="L207" s="8"/>
    </row>
    <row r="208" spans="1:12" ht="14.45">
      <c r="A208" s="8"/>
      <c r="B208" s="13"/>
      <c r="C208" s="8"/>
      <c r="D208" s="8"/>
      <c r="E208" s="8"/>
      <c r="F208" s="9"/>
      <c r="G208" s="8"/>
      <c r="H208" s="8"/>
      <c r="I208" s="9"/>
      <c r="J208" s="8"/>
      <c r="K208" s="8"/>
      <c r="L208" s="8"/>
    </row>
    <row r="209" spans="1:12" ht="14.45">
      <c r="A209" s="8"/>
      <c r="B209" s="13"/>
      <c r="C209" s="8"/>
      <c r="D209" s="8"/>
      <c r="E209" s="8"/>
      <c r="F209" s="9"/>
      <c r="G209" s="8"/>
      <c r="H209" s="8"/>
      <c r="I209" s="9"/>
      <c r="J209" s="8"/>
      <c r="K209" s="8"/>
      <c r="L209" s="8"/>
    </row>
    <row r="210" spans="1:12" ht="14.45">
      <c r="A210" s="8"/>
      <c r="B210" s="13"/>
      <c r="C210" s="8"/>
      <c r="D210" s="8"/>
      <c r="E210" s="8"/>
      <c r="F210" s="9"/>
      <c r="G210" s="8"/>
      <c r="H210" s="8"/>
      <c r="I210" s="9"/>
      <c r="J210" s="8"/>
      <c r="K210" s="8"/>
      <c r="L210" s="8"/>
    </row>
    <row r="211" spans="1:12" ht="14.45">
      <c r="A211" s="8"/>
      <c r="B211" s="13"/>
      <c r="C211" s="8"/>
      <c r="D211" s="8"/>
      <c r="E211" s="8"/>
      <c r="F211" s="9"/>
      <c r="G211" s="8"/>
      <c r="H211" s="8"/>
      <c r="I211" s="9"/>
      <c r="J211" s="8"/>
      <c r="K211" s="8"/>
      <c r="L211" s="8"/>
    </row>
    <row r="212" spans="1:12" ht="14.45">
      <c r="A212" s="8"/>
      <c r="B212" s="13"/>
      <c r="C212" s="8"/>
      <c r="D212" s="8"/>
      <c r="E212" s="8"/>
      <c r="F212" s="9"/>
      <c r="G212" s="8"/>
      <c r="H212" s="8"/>
      <c r="I212" s="9"/>
      <c r="J212" s="8"/>
      <c r="K212" s="8"/>
      <c r="L212" s="8"/>
    </row>
    <row r="213" spans="1:12" ht="14.45">
      <c r="A213" s="8"/>
      <c r="B213" s="13"/>
      <c r="C213" s="8"/>
      <c r="D213" s="8"/>
      <c r="E213" s="8"/>
      <c r="F213" s="9"/>
      <c r="G213" s="8"/>
      <c r="H213" s="8"/>
      <c r="I213" s="9"/>
      <c r="J213" s="8"/>
      <c r="K213" s="8"/>
      <c r="L213" s="8"/>
    </row>
    <row r="214" spans="1:12" ht="14.45">
      <c r="A214" s="8"/>
      <c r="B214" s="13"/>
      <c r="C214" s="8"/>
      <c r="D214" s="8"/>
      <c r="E214" s="8"/>
      <c r="F214" s="9"/>
      <c r="G214" s="8"/>
      <c r="H214" s="8"/>
      <c r="I214" s="9"/>
      <c r="J214" s="8"/>
      <c r="K214" s="8"/>
      <c r="L214" s="8"/>
    </row>
    <row r="215" spans="1:12" ht="14.45">
      <c r="A215" s="8"/>
      <c r="B215" s="13"/>
      <c r="C215" s="8"/>
      <c r="D215" s="8"/>
      <c r="E215" s="8"/>
      <c r="F215" s="9"/>
      <c r="G215" s="8"/>
      <c r="H215" s="8"/>
      <c r="I215" s="9"/>
      <c r="J215" s="8"/>
      <c r="K215" s="8"/>
      <c r="L215" s="8"/>
    </row>
    <row r="216" spans="1:12" ht="14.45">
      <c r="A216" s="8"/>
      <c r="B216" s="13"/>
      <c r="C216" s="8"/>
      <c r="D216" s="8"/>
      <c r="E216" s="8"/>
      <c r="F216" s="9"/>
      <c r="G216" s="8"/>
      <c r="H216" s="8"/>
      <c r="I216" s="9"/>
      <c r="J216" s="8"/>
      <c r="K216" s="8"/>
      <c r="L216" s="8"/>
    </row>
    <row r="217" spans="1:12" ht="14.45">
      <c r="A217" s="8"/>
      <c r="B217" s="13"/>
      <c r="C217" s="8"/>
      <c r="D217" s="8"/>
      <c r="E217" s="8"/>
      <c r="F217" s="9"/>
      <c r="G217" s="8"/>
      <c r="H217" s="8"/>
      <c r="I217" s="9"/>
      <c r="J217" s="8"/>
      <c r="K217" s="8"/>
      <c r="L217" s="8"/>
    </row>
    <row r="218" spans="1:12" ht="14.45">
      <c r="A218" s="8"/>
      <c r="B218" s="13"/>
      <c r="C218" s="8"/>
      <c r="D218" s="8"/>
      <c r="E218" s="8"/>
      <c r="F218" s="9"/>
      <c r="G218" s="8"/>
      <c r="H218" s="8"/>
      <c r="I218" s="9"/>
      <c r="J218" s="8"/>
      <c r="K218" s="8"/>
      <c r="L218" s="8"/>
    </row>
    <row r="219" spans="1:12" ht="14.45">
      <c r="A219" s="8"/>
      <c r="B219" s="13"/>
      <c r="C219" s="8"/>
      <c r="D219" s="8"/>
      <c r="E219" s="8"/>
      <c r="F219" s="9"/>
      <c r="G219" s="8"/>
      <c r="H219" s="8"/>
      <c r="I219" s="9"/>
      <c r="J219" s="8"/>
      <c r="K219" s="8"/>
      <c r="L219" s="8"/>
    </row>
    <row r="220" spans="1:12" ht="14.45">
      <c r="A220" s="8"/>
      <c r="B220" s="13"/>
      <c r="C220" s="8"/>
      <c r="D220" s="8"/>
      <c r="E220" s="8"/>
      <c r="F220" s="9"/>
      <c r="G220" s="8"/>
      <c r="H220" s="8"/>
      <c r="I220" s="9"/>
      <c r="J220" s="8"/>
      <c r="K220" s="8"/>
      <c r="L220" s="8"/>
    </row>
    <row r="221" spans="1:12" ht="14.45">
      <c r="A221" s="8"/>
      <c r="B221" s="13"/>
      <c r="C221" s="8"/>
      <c r="D221" s="8"/>
      <c r="E221" s="8"/>
      <c r="F221" s="9"/>
      <c r="G221" s="8"/>
      <c r="H221" s="8"/>
      <c r="I221" s="9"/>
      <c r="J221" s="8"/>
      <c r="K221" s="8"/>
      <c r="L221" s="8"/>
    </row>
    <row r="222" spans="1:12" ht="14.45">
      <c r="A222" s="8"/>
      <c r="B222" s="13"/>
      <c r="C222" s="8"/>
      <c r="D222" s="8"/>
      <c r="E222" s="8"/>
      <c r="F222" s="9"/>
      <c r="G222" s="8"/>
      <c r="H222" s="8"/>
      <c r="I222" s="9"/>
      <c r="J222" s="8"/>
      <c r="K222" s="8"/>
      <c r="L222" s="8"/>
    </row>
    <row r="223" spans="1:12" ht="14.45">
      <c r="A223" s="8"/>
      <c r="B223" s="13"/>
      <c r="C223" s="8"/>
      <c r="D223" s="8"/>
      <c r="E223" s="8"/>
      <c r="F223" s="9"/>
      <c r="G223" s="8"/>
      <c r="H223" s="8"/>
      <c r="I223" s="9"/>
      <c r="J223" s="8"/>
      <c r="K223" s="8"/>
      <c r="L223" s="8"/>
    </row>
    <row r="224" spans="1:12" ht="14.45">
      <c r="A224" s="8"/>
      <c r="B224" s="13"/>
      <c r="C224" s="8"/>
      <c r="D224" s="8"/>
      <c r="E224" s="8"/>
      <c r="F224" s="9"/>
      <c r="G224" s="8"/>
      <c r="H224" s="8"/>
      <c r="I224" s="9"/>
      <c r="J224" s="8"/>
      <c r="K224" s="8"/>
      <c r="L224" s="8"/>
    </row>
    <row r="225" spans="1:12" ht="14.45">
      <c r="A225" s="8"/>
      <c r="B225" s="13"/>
      <c r="C225" s="8"/>
      <c r="D225" s="8"/>
      <c r="E225" s="8"/>
      <c r="F225" s="9"/>
      <c r="G225" s="8"/>
      <c r="H225" s="8"/>
      <c r="I225" s="9"/>
      <c r="J225" s="8"/>
      <c r="K225" s="8"/>
      <c r="L225" s="8"/>
    </row>
    <row r="226" spans="1:12" ht="14.45">
      <c r="A226" s="8"/>
      <c r="B226" s="13"/>
      <c r="C226" s="8"/>
      <c r="D226" s="8"/>
      <c r="E226" s="8"/>
      <c r="F226" s="9"/>
      <c r="G226" s="8"/>
      <c r="H226" s="8"/>
      <c r="I226" s="9"/>
      <c r="J226" s="8"/>
      <c r="K226" s="8"/>
      <c r="L226" s="8"/>
    </row>
    <row r="227" spans="1:12" ht="14.45">
      <c r="A227" s="8"/>
      <c r="B227" s="13"/>
      <c r="C227" s="8"/>
      <c r="D227" s="8"/>
      <c r="E227" s="8"/>
      <c r="F227" s="9"/>
      <c r="G227" s="8"/>
      <c r="H227" s="8"/>
      <c r="I227" s="9"/>
      <c r="J227" s="8"/>
      <c r="K227" s="8"/>
      <c r="L227" s="8"/>
    </row>
    <row r="228" spans="1:12" ht="14.45">
      <c r="A228" s="8"/>
      <c r="B228" s="13"/>
      <c r="C228" s="8"/>
      <c r="D228" s="8"/>
      <c r="E228" s="8"/>
      <c r="F228" s="9"/>
      <c r="G228" s="8"/>
      <c r="H228" s="8"/>
      <c r="I228" s="9"/>
      <c r="J228" s="8"/>
      <c r="K228" s="8"/>
      <c r="L228" s="8"/>
    </row>
    <row r="229" spans="1:12" ht="14.45">
      <c r="A229" s="8"/>
      <c r="B229" s="13"/>
      <c r="C229" s="8"/>
      <c r="D229" s="8"/>
      <c r="E229" s="8"/>
      <c r="F229" s="9"/>
      <c r="G229" s="8"/>
      <c r="H229" s="8"/>
      <c r="I229" s="9"/>
      <c r="J229" s="8"/>
      <c r="K229" s="8"/>
      <c r="L229" s="8"/>
    </row>
    <row r="230" spans="1:12" ht="14.45">
      <c r="A230" s="8"/>
      <c r="B230" s="13"/>
      <c r="C230" s="8"/>
      <c r="D230" s="8"/>
      <c r="E230" s="8"/>
      <c r="F230" s="9"/>
      <c r="G230" s="8"/>
      <c r="H230" s="8"/>
      <c r="I230" s="9"/>
      <c r="J230" s="8"/>
      <c r="K230" s="8"/>
      <c r="L230" s="8"/>
    </row>
    <row r="231" spans="1:12" ht="14.45">
      <c r="A231" s="8"/>
      <c r="B231" s="13"/>
      <c r="C231" s="8"/>
      <c r="D231" s="8"/>
      <c r="E231" s="8"/>
      <c r="F231" s="9"/>
      <c r="G231" s="8"/>
      <c r="H231" s="8"/>
      <c r="I231" s="9"/>
      <c r="J231" s="8"/>
      <c r="K231" s="8"/>
      <c r="L231" s="8"/>
    </row>
    <row r="232" spans="1:12" ht="14.45">
      <c r="A232" s="8"/>
      <c r="B232" s="13"/>
      <c r="C232" s="8"/>
      <c r="D232" s="8"/>
      <c r="E232" s="8"/>
      <c r="F232" s="9"/>
      <c r="G232" s="8"/>
      <c r="H232" s="8"/>
      <c r="I232" s="9"/>
      <c r="J232" s="8"/>
      <c r="K232" s="8"/>
      <c r="L232" s="8"/>
    </row>
    <row r="233" spans="1:12" ht="14.45">
      <c r="A233" s="8"/>
      <c r="B233" s="13"/>
      <c r="C233" s="8"/>
      <c r="D233" s="8"/>
      <c r="E233" s="8"/>
      <c r="F233" s="9"/>
      <c r="G233" s="8"/>
      <c r="H233" s="8"/>
      <c r="I233" s="9"/>
      <c r="J233" s="8"/>
      <c r="K233" s="8"/>
      <c r="L233" s="8"/>
    </row>
    <row r="234" spans="1:12" ht="14.45">
      <c r="A234" s="8"/>
      <c r="B234" s="13"/>
      <c r="C234" s="8"/>
      <c r="D234" s="8"/>
      <c r="E234" s="8"/>
      <c r="F234" s="9"/>
      <c r="G234" s="8"/>
      <c r="H234" s="8"/>
      <c r="I234" s="9"/>
      <c r="J234" s="8"/>
      <c r="K234" s="8"/>
      <c r="L234" s="8"/>
    </row>
    <row r="235" spans="1:12" ht="14.45">
      <c r="A235" s="8"/>
      <c r="B235" s="13"/>
      <c r="C235" s="8"/>
      <c r="D235" s="8"/>
      <c r="E235" s="8"/>
      <c r="F235" s="9"/>
      <c r="G235" s="8"/>
      <c r="H235" s="8"/>
      <c r="I235" s="9"/>
      <c r="J235" s="8"/>
      <c r="K235" s="8"/>
      <c r="L235" s="8"/>
    </row>
    <row r="236" spans="1:12" ht="14.45">
      <c r="A236" s="8"/>
      <c r="B236" s="13"/>
      <c r="C236" s="8"/>
      <c r="D236" s="8"/>
      <c r="E236" s="8"/>
      <c r="F236" s="9"/>
      <c r="G236" s="8"/>
      <c r="H236" s="8"/>
      <c r="I236" s="9"/>
      <c r="J236" s="8"/>
      <c r="K236" s="8"/>
      <c r="L236" s="8"/>
    </row>
    <row r="237" spans="1:12" ht="14.45">
      <c r="A237" s="8"/>
      <c r="B237" s="13"/>
      <c r="C237" s="8"/>
      <c r="D237" s="8"/>
      <c r="E237" s="8"/>
      <c r="F237" s="9"/>
      <c r="G237" s="8"/>
      <c r="H237" s="8"/>
      <c r="I237" s="9"/>
      <c r="J237" s="8"/>
      <c r="K237" s="8"/>
      <c r="L237" s="8"/>
    </row>
    <row r="238" spans="1:12" ht="14.45">
      <c r="A238" s="8"/>
      <c r="B238" s="13"/>
      <c r="C238" s="8"/>
      <c r="D238" s="8"/>
      <c r="E238" s="8"/>
      <c r="F238" s="9"/>
      <c r="G238" s="8"/>
      <c r="H238" s="8"/>
      <c r="I238" s="9"/>
      <c r="J238" s="8"/>
      <c r="K238" s="8"/>
      <c r="L238" s="8"/>
    </row>
    <row r="239" spans="1:12" ht="14.45">
      <c r="A239" s="8"/>
      <c r="B239" s="13"/>
      <c r="C239" s="8"/>
      <c r="D239" s="8"/>
      <c r="E239" s="8"/>
      <c r="F239" s="9"/>
      <c r="G239" s="8"/>
      <c r="H239" s="8"/>
      <c r="I239" s="9"/>
      <c r="J239" s="8"/>
      <c r="K239" s="8"/>
      <c r="L239" s="8"/>
    </row>
    <row r="240" spans="1:12" ht="14.45">
      <c r="A240" s="8"/>
      <c r="B240" s="13"/>
      <c r="C240" s="8"/>
      <c r="D240" s="8"/>
      <c r="E240" s="8"/>
      <c r="F240" s="9"/>
      <c r="G240" s="8"/>
      <c r="H240" s="8"/>
      <c r="I240" s="9"/>
      <c r="J240" s="8"/>
      <c r="K240" s="8"/>
      <c r="L240" s="8"/>
    </row>
    <row r="241" spans="1:12" ht="14.45">
      <c r="A241" s="8"/>
      <c r="B241" s="13"/>
      <c r="C241" s="8"/>
      <c r="D241" s="8"/>
      <c r="E241" s="8"/>
      <c r="F241" s="9"/>
      <c r="G241" s="8"/>
      <c r="H241" s="8"/>
      <c r="I241" s="9"/>
      <c r="J241" s="8"/>
      <c r="K241" s="8"/>
      <c r="L241" s="8"/>
    </row>
    <row r="242" spans="1:12" ht="14.45">
      <c r="A242" s="8"/>
      <c r="B242" s="13"/>
      <c r="C242" s="8"/>
      <c r="D242" s="8"/>
      <c r="E242" s="8"/>
      <c r="F242" s="9"/>
      <c r="G242" s="8"/>
      <c r="H242" s="8"/>
      <c r="I242" s="9"/>
      <c r="J242" s="8"/>
      <c r="K242" s="8"/>
      <c r="L242" s="8"/>
    </row>
    <row r="243" spans="1:12" ht="14.45">
      <c r="A243" s="8"/>
      <c r="B243" s="13"/>
      <c r="C243" s="8"/>
      <c r="D243" s="8"/>
      <c r="E243" s="8"/>
      <c r="F243" s="9"/>
      <c r="G243" s="8"/>
      <c r="H243" s="8"/>
      <c r="I243" s="9"/>
      <c r="J243" s="8"/>
      <c r="K243" s="8"/>
      <c r="L243" s="8"/>
    </row>
    <row r="244" spans="1:12" ht="14.45">
      <c r="A244" s="8"/>
      <c r="B244" s="13"/>
      <c r="C244" s="8"/>
      <c r="D244" s="8"/>
      <c r="E244" s="8"/>
      <c r="F244" s="9"/>
      <c r="G244" s="8"/>
      <c r="H244" s="8"/>
      <c r="I244" s="9"/>
      <c r="J244" s="8"/>
      <c r="K244" s="8"/>
      <c r="L244" s="8"/>
    </row>
    <row r="245" spans="1:12" ht="14.45">
      <c r="A245" s="8"/>
      <c r="B245" s="13"/>
      <c r="C245" s="8"/>
      <c r="D245" s="8"/>
      <c r="E245" s="8"/>
      <c r="F245" s="9"/>
      <c r="G245" s="8"/>
      <c r="H245" s="8"/>
      <c r="I245" s="9"/>
      <c r="J245" s="8"/>
      <c r="K245" s="8"/>
      <c r="L245" s="8"/>
    </row>
    <row r="246" spans="1:12" ht="14.45">
      <c r="A246" s="8"/>
      <c r="B246" s="13"/>
      <c r="C246" s="8"/>
      <c r="D246" s="8"/>
      <c r="E246" s="8"/>
      <c r="F246" s="9"/>
      <c r="G246" s="8"/>
      <c r="H246" s="8"/>
      <c r="I246" s="9"/>
      <c r="J246" s="8"/>
      <c r="K246" s="8"/>
      <c r="L246" s="8"/>
    </row>
    <row r="247" spans="1:12" ht="14.45">
      <c r="A247" s="8"/>
      <c r="B247" s="13"/>
      <c r="C247" s="8"/>
      <c r="D247" s="8"/>
      <c r="E247" s="8"/>
      <c r="F247" s="9"/>
      <c r="G247" s="8"/>
      <c r="H247" s="8"/>
      <c r="I247" s="9"/>
      <c r="J247" s="8"/>
      <c r="K247" s="8"/>
      <c r="L247" s="8"/>
    </row>
    <row r="248" spans="1:12" ht="14.45">
      <c r="A248" s="8"/>
      <c r="B248" s="13"/>
      <c r="C248" s="8"/>
      <c r="D248" s="8"/>
      <c r="E248" s="8"/>
      <c r="F248" s="9"/>
      <c r="G248" s="8"/>
      <c r="H248" s="8"/>
      <c r="I248" s="9"/>
      <c r="J248" s="8"/>
      <c r="K248" s="8"/>
      <c r="L248" s="8"/>
    </row>
    <row r="249" spans="1:12" ht="14.45">
      <c r="A249" s="8"/>
      <c r="B249" s="13"/>
      <c r="C249" s="8"/>
      <c r="D249" s="8"/>
      <c r="E249" s="8"/>
      <c r="F249" s="9"/>
      <c r="G249" s="8"/>
      <c r="H249" s="8"/>
      <c r="I249" s="9"/>
      <c r="J249" s="8"/>
      <c r="K249" s="8"/>
      <c r="L249" s="8"/>
    </row>
    <row r="250" spans="1:12" ht="14.45">
      <c r="A250" s="8"/>
      <c r="B250" s="13"/>
      <c r="C250" s="8"/>
      <c r="D250" s="8"/>
      <c r="E250" s="8"/>
      <c r="F250" s="9"/>
      <c r="G250" s="8"/>
      <c r="H250" s="8"/>
      <c r="I250" s="9"/>
      <c r="J250" s="8"/>
      <c r="K250" s="8"/>
      <c r="L250" s="8"/>
    </row>
    <row r="251" spans="1:12" ht="14.45">
      <c r="A251" s="8"/>
      <c r="B251" s="13"/>
      <c r="C251" s="8"/>
      <c r="D251" s="8"/>
      <c r="E251" s="8"/>
      <c r="F251" s="9"/>
      <c r="G251" s="8"/>
      <c r="H251" s="8"/>
      <c r="I251" s="9"/>
      <c r="J251" s="8"/>
      <c r="K251" s="8"/>
      <c r="L251" s="8"/>
    </row>
    <row r="252" spans="1:12" ht="14.45">
      <c r="A252" s="8"/>
      <c r="B252" s="13"/>
      <c r="C252" s="8"/>
      <c r="D252" s="8"/>
      <c r="E252" s="8"/>
      <c r="F252" s="9"/>
      <c r="G252" s="8"/>
      <c r="H252" s="8"/>
      <c r="I252" s="9"/>
      <c r="J252" s="8"/>
      <c r="K252" s="8"/>
      <c r="L252" s="8"/>
    </row>
    <row r="253" spans="1:12" ht="14.45">
      <c r="A253" s="8"/>
      <c r="B253" s="13"/>
      <c r="C253" s="8"/>
      <c r="D253" s="8"/>
      <c r="E253" s="8"/>
      <c r="F253" s="9"/>
      <c r="G253" s="8"/>
      <c r="H253" s="8"/>
      <c r="I253" s="9"/>
      <c r="J253" s="8"/>
      <c r="K253" s="8"/>
      <c r="L253" s="8"/>
    </row>
    <row r="254" spans="1:12" ht="14.45">
      <c r="A254" s="8"/>
      <c r="B254" s="13"/>
      <c r="C254" s="8"/>
      <c r="D254" s="8"/>
      <c r="E254" s="8"/>
      <c r="F254" s="9"/>
      <c r="G254" s="8"/>
      <c r="H254" s="8"/>
      <c r="I254" s="9"/>
      <c r="J254" s="8"/>
      <c r="K254" s="8"/>
      <c r="L254" s="8"/>
    </row>
    <row r="255" spans="1:12" ht="14.45">
      <c r="A255" s="8"/>
      <c r="B255" s="13"/>
      <c r="C255" s="8"/>
      <c r="D255" s="8"/>
      <c r="E255" s="8"/>
      <c r="F255" s="9"/>
      <c r="G255" s="8"/>
      <c r="H255" s="8"/>
      <c r="I255" s="9"/>
      <c r="J255" s="8"/>
      <c r="K255" s="8"/>
      <c r="L255" s="8"/>
    </row>
    <row r="256" spans="1:12" ht="14.45">
      <c r="A256" s="8"/>
      <c r="B256" s="13"/>
      <c r="C256" s="8"/>
      <c r="D256" s="8"/>
      <c r="E256" s="8"/>
      <c r="F256" s="9"/>
      <c r="G256" s="8"/>
      <c r="H256" s="8"/>
      <c r="I256" s="9"/>
      <c r="J256" s="8"/>
      <c r="K256" s="8"/>
      <c r="L256" s="8"/>
    </row>
    <row r="257" spans="1:12" ht="14.45">
      <c r="A257" s="8"/>
      <c r="B257" s="13"/>
      <c r="C257" s="8"/>
      <c r="D257" s="8"/>
      <c r="E257" s="8"/>
      <c r="F257" s="9"/>
      <c r="G257" s="8"/>
      <c r="H257" s="8"/>
      <c r="I257" s="9"/>
      <c r="J257" s="8"/>
      <c r="K257" s="8"/>
      <c r="L257" s="8"/>
    </row>
    <row r="258" spans="1:12" ht="14.45">
      <c r="A258" s="8"/>
      <c r="B258" s="13"/>
      <c r="C258" s="8"/>
      <c r="D258" s="8"/>
      <c r="E258" s="8"/>
      <c r="F258" s="9"/>
      <c r="G258" s="8"/>
      <c r="H258" s="8"/>
      <c r="I258" s="9"/>
      <c r="J258" s="8"/>
      <c r="K258" s="8"/>
      <c r="L258" s="8"/>
    </row>
    <row r="259" spans="1:12" ht="14.45">
      <c r="A259" s="8"/>
      <c r="B259" s="13"/>
      <c r="C259" s="8"/>
      <c r="D259" s="8"/>
      <c r="E259" s="8"/>
      <c r="F259" s="9"/>
      <c r="G259" s="8"/>
      <c r="H259" s="8"/>
      <c r="I259" s="9"/>
      <c r="J259" s="8"/>
      <c r="K259" s="8"/>
      <c r="L259" s="8"/>
    </row>
    <row r="260" spans="1:12" ht="14.45">
      <c r="A260" s="8"/>
      <c r="B260" s="13"/>
      <c r="C260" s="8"/>
      <c r="D260" s="8"/>
      <c r="E260" s="8"/>
      <c r="F260" s="9"/>
      <c r="G260" s="8"/>
      <c r="H260" s="8"/>
      <c r="I260" s="9"/>
      <c r="J260" s="8"/>
      <c r="K260" s="8"/>
      <c r="L260" s="8"/>
    </row>
    <row r="261" spans="1:12" ht="14.45">
      <c r="A261" s="8"/>
      <c r="B261" s="13"/>
      <c r="C261" s="8"/>
      <c r="D261" s="8"/>
      <c r="E261" s="8"/>
      <c r="F261" s="9"/>
      <c r="G261" s="8"/>
      <c r="H261" s="8"/>
      <c r="I261" s="9"/>
      <c r="J261" s="8"/>
      <c r="K261" s="8"/>
      <c r="L261" s="8"/>
    </row>
    <row r="262" spans="1:12" ht="14.45">
      <c r="A262" s="8"/>
      <c r="B262" s="13"/>
      <c r="C262" s="8"/>
      <c r="D262" s="8"/>
      <c r="E262" s="8"/>
      <c r="F262" s="9"/>
      <c r="G262" s="8"/>
      <c r="H262" s="8"/>
      <c r="I262" s="9"/>
      <c r="J262" s="8"/>
      <c r="K262" s="8"/>
      <c r="L262" s="8"/>
    </row>
    <row r="263" spans="1:12" ht="14.45">
      <c r="A263" s="8"/>
      <c r="B263" s="13"/>
      <c r="C263" s="8"/>
      <c r="D263" s="8"/>
      <c r="E263" s="8"/>
      <c r="F263" s="9"/>
      <c r="G263" s="8"/>
      <c r="H263" s="8"/>
      <c r="I263" s="9"/>
      <c r="J263" s="8"/>
      <c r="K263" s="8"/>
      <c r="L263" s="8"/>
    </row>
    <row r="264" spans="1:12" ht="14.45">
      <c r="A264" s="8"/>
      <c r="B264" s="13"/>
      <c r="C264" s="8"/>
      <c r="D264" s="8"/>
      <c r="E264" s="8"/>
      <c r="F264" s="9"/>
      <c r="G264" s="8"/>
      <c r="H264" s="8"/>
      <c r="I264" s="9"/>
      <c r="J264" s="8"/>
      <c r="K264" s="8"/>
      <c r="L264" s="8"/>
    </row>
    <row r="265" spans="1:12" ht="14.45">
      <c r="A265" s="8"/>
      <c r="B265" s="13"/>
      <c r="C265" s="8"/>
      <c r="D265" s="8"/>
      <c r="E265" s="8"/>
      <c r="F265" s="9"/>
      <c r="G265" s="8"/>
      <c r="H265" s="8"/>
      <c r="I265" s="9"/>
      <c r="J265" s="8"/>
      <c r="K265" s="8"/>
      <c r="L265" s="8"/>
    </row>
    <row r="266" spans="1:12" ht="14.45">
      <c r="A266" s="8"/>
      <c r="B266" s="13"/>
      <c r="C266" s="8"/>
      <c r="D266" s="8"/>
      <c r="E266" s="8"/>
      <c r="F266" s="9"/>
      <c r="G266" s="8"/>
      <c r="H266" s="8"/>
      <c r="I266" s="9"/>
      <c r="J266" s="8"/>
      <c r="K266" s="8"/>
      <c r="L266" s="8"/>
    </row>
    <row r="267" spans="1:12" ht="14.45">
      <c r="A267" s="8"/>
      <c r="B267" s="13"/>
      <c r="C267" s="8"/>
      <c r="D267" s="8"/>
      <c r="E267" s="8"/>
      <c r="F267" s="9"/>
      <c r="G267" s="8"/>
      <c r="H267" s="8"/>
      <c r="I267" s="9"/>
      <c r="J267" s="8"/>
      <c r="K267" s="8"/>
      <c r="L267" s="8"/>
    </row>
    <row r="268" spans="1:12" ht="14.45">
      <c r="A268" s="8"/>
      <c r="B268" s="13"/>
      <c r="C268" s="8"/>
      <c r="D268" s="8"/>
      <c r="E268" s="8"/>
      <c r="F268" s="9"/>
      <c r="G268" s="8"/>
      <c r="H268" s="8"/>
      <c r="I268" s="9"/>
      <c r="J268" s="8"/>
      <c r="K268" s="8"/>
      <c r="L268" s="8"/>
    </row>
    <row r="269" spans="1:12" ht="14.45">
      <c r="A269" s="8"/>
      <c r="B269" s="13"/>
      <c r="C269" s="8"/>
      <c r="D269" s="8"/>
      <c r="E269" s="8"/>
      <c r="F269" s="9"/>
      <c r="G269" s="8"/>
      <c r="H269" s="8"/>
      <c r="I269" s="9"/>
      <c r="J269" s="8"/>
      <c r="K269" s="8"/>
      <c r="L269" s="8"/>
    </row>
    <row r="270" spans="1:12" ht="14.45">
      <c r="A270" s="8"/>
      <c r="B270" s="13"/>
      <c r="C270" s="8"/>
      <c r="D270" s="8"/>
      <c r="E270" s="8"/>
      <c r="F270" s="9"/>
      <c r="G270" s="8"/>
      <c r="H270" s="8"/>
      <c r="I270" s="9"/>
      <c r="J270" s="8"/>
      <c r="K270" s="8"/>
      <c r="L270" s="8"/>
    </row>
    <row r="271" spans="1:12" ht="14.45">
      <c r="A271" s="8"/>
      <c r="B271" s="13"/>
      <c r="C271" s="8"/>
      <c r="D271" s="8"/>
      <c r="E271" s="8"/>
      <c r="F271" s="9"/>
      <c r="G271" s="8"/>
      <c r="H271" s="8"/>
      <c r="I271" s="9"/>
      <c r="J271" s="8"/>
      <c r="K271" s="8"/>
      <c r="L271" s="8"/>
    </row>
    <row r="272" spans="1:12" ht="14.45">
      <c r="A272" s="8"/>
      <c r="B272" s="13"/>
      <c r="C272" s="8"/>
      <c r="D272" s="8"/>
      <c r="E272" s="8"/>
      <c r="F272" s="9"/>
      <c r="G272" s="8"/>
      <c r="H272" s="8"/>
      <c r="I272" s="9"/>
      <c r="J272" s="8"/>
      <c r="K272" s="8"/>
      <c r="L272" s="8"/>
    </row>
    <row r="273" spans="1:12" ht="14.45">
      <c r="A273" s="8"/>
      <c r="B273" s="13"/>
      <c r="C273" s="8"/>
      <c r="D273" s="8"/>
      <c r="E273" s="8"/>
      <c r="F273" s="9"/>
      <c r="G273" s="8"/>
      <c r="H273" s="8"/>
      <c r="I273" s="9"/>
      <c r="J273" s="8"/>
      <c r="K273" s="8"/>
      <c r="L273" s="8"/>
    </row>
    <row r="274" spans="1:12" ht="14.45">
      <c r="A274" s="8"/>
      <c r="B274" s="13"/>
      <c r="C274" s="8"/>
      <c r="D274" s="8"/>
      <c r="E274" s="8"/>
      <c r="F274" s="9"/>
      <c r="G274" s="8"/>
      <c r="H274" s="8"/>
      <c r="I274" s="9"/>
      <c r="J274" s="8"/>
      <c r="K274" s="8"/>
      <c r="L274" s="8"/>
    </row>
    <row r="275" spans="1:12" ht="14.45">
      <c r="A275" s="8"/>
      <c r="B275" s="13"/>
      <c r="C275" s="8"/>
      <c r="D275" s="8"/>
      <c r="E275" s="8"/>
      <c r="F275" s="9"/>
      <c r="G275" s="8"/>
      <c r="H275" s="8"/>
      <c r="I275" s="9"/>
      <c r="J275" s="8"/>
      <c r="K275" s="8"/>
      <c r="L275" s="8"/>
    </row>
    <row r="276" spans="1:12" ht="14.45">
      <c r="A276" s="8"/>
      <c r="B276" s="13"/>
      <c r="C276" s="8"/>
      <c r="D276" s="8"/>
      <c r="E276" s="8"/>
      <c r="F276" s="9"/>
      <c r="G276" s="8"/>
      <c r="H276" s="8"/>
      <c r="I276" s="9"/>
      <c r="J276" s="8"/>
      <c r="K276" s="8"/>
      <c r="L276" s="8"/>
    </row>
    <row r="277" spans="1:12" ht="14.45">
      <c r="A277" s="8"/>
      <c r="B277" s="13"/>
      <c r="C277" s="8"/>
      <c r="D277" s="8"/>
      <c r="E277" s="8"/>
      <c r="F277" s="9"/>
      <c r="G277" s="8"/>
      <c r="H277" s="8"/>
      <c r="I277" s="9"/>
      <c r="J277" s="8"/>
      <c r="K277" s="8"/>
      <c r="L277" s="8"/>
    </row>
    <row r="278" spans="1:12" ht="14.45">
      <c r="A278" s="8"/>
      <c r="B278" s="13"/>
      <c r="C278" s="8"/>
      <c r="D278" s="8"/>
      <c r="E278" s="8"/>
      <c r="F278" s="9"/>
      <c r="G278" s="8"/>
      <c r="H278" s="8"/>
      <c r="I278" s="9"/>
      <c r="J278" s="8"/>
      <c r="K278" s="8"/>
      <c r="L278" s="8"/>
    </row>
    <row r="279" spans="1:12" ht="14.45">
      <c r="A279" s="8"/>
      <c r="B279" s="13"/>
      <c r="C279" s="8"/>
      <c r="D279" s="8"/>
      <c r="E279" s="8"/>
      <c r="F279" s="9"/>
      <c r="G279" s="8"/>
      <c r="H279" s="8"/>
      <c r="I279" s="9"/>
      <c r="J279" s="8"/>
      <c r="K279" s="8"/>
      <c r="L279" s="8"/>
    </row>
    <row r="280" spans="1:12" ht="14.45">
      <c r="A280" s="8"/>
      <c r="B280" s="13"/>
      <c r="C280" s="8"/>
      <c r="D280" s="8"/>
      <c r="E280" s="8"/>
      <c r="F280" s="9"/>
      <c r="G280" s="8"/>
      <c r="H280" s="8"/>
      <c r="I280" s="9"/>
      <c r="J280" s="8"/>
      <c r="K280" s="8"/>
      <c r="L280" s="8"/>
    </row>
    <row r="281" spans="1:12" ht="14.45">
      <c r="A281" s="8"/>
      <c r="B281" s="13"/>
      <c r="C281" s="8"/>
      <c r="D281" s="8"/>
      <c r="E281" s="8"/>
      <c r="F281" s="9"/>
      <c r="G281" s="8"/>
      <c r="H281" s="8"/>
      <c r="I281" s="9"/>
      <c r="J281" s="8"/>
      <c r="K281" s="8"/>
      <c r="L281" s="8"/>
    </row>
    <row r="282" spans="1:12" ht="14.45">
      <c r="A282" s="8"/>
      <c r="B282" s="13"/>
      <c r="C282" s="8"/>
      <c r="D282" s="8"/>
      <c r="E282" s="8"/>
      <c r="F282" s="9"/>
      <c r="G282" s="8"/>
      <c r="H282" s="8"/>
      <c r="I282" s="9"/>
      <c r="J282" s="8"/>
      <c r="K282" s="8"/>
      <c r="L282" s="8"/>
    </row>
    <row r="283" spans="1:12" ht="14.45">
      <c r="A283" s="8"/>
      <c r="B283" s="13"/>
      <c r="C283" s="8"/>
      <c r="D283" s="8"/>
      <c r="E283" s="8"/>
      <c r="F283" s="9"/>
      <c r="G283" s="8"/>
      <c r="H283" s="8"/>
      <c r="I283" s="9"/>
      <c r="J283" s="8"/>
      <c r="K283" s="8"/>
      <c r="L283" s="8"/>
    </row>
    <row r="284" spans="1:12" ht="14.45">
      <c r="A284" s="8"/>
      <c r="B284" s="13"/>
      <c r="C284" s="8"/>
      <c r="D284" s="8"/>
      <c r="E284" s="8"/>
      <c r="F284" s="9"/>
      <c r="G284" s="8"/>
      <c r="H284" s="8"/>
      <c r="I284" s="9"/>
      <c r="J284" s="8"/>
      <c r="K284" s="8"/>
      <c r="L284" s="8"/>
    </row>
    <row r="285" spans="1:12" ht="14.45">
      <c r="A285" s="8"/>
      <c r="B285" s="13"/>
      <c r="C285" s="8"/>
      <c r="D285" s="8"/>
      <c r="E285" s="8"/>
      <c r="F285" s="9"/>
      <c r="G285" s="8"/>
      <c r="H285" s="8"/>
      <c r="I285" s="9"/>
      <c r="J285" s="8"/>
      <c r="K285" s="8"/>
      <c r="L285" s="8"/>
    </row>
    <row r="286" spans="1:12" ht="14.45">
      <c r="A286" s="8"/>
      <c r="B286" s="13"/>
      <c r="C286" s="8"/>
      <c r="D286" s="8"/>
      <c r="E286" s="8"/>
      <c r="F286" s="9"/>
      <c r="G286" s="8"/>
      <c r="H286" s="8"/>
      <c r="I286" s="9"/>
      <c r="J286" s="8"/>
      <c r="K286" s="8"/>
      <c r="L286" s="8"/>
    </row>
    <row r="287" spans="1:12" ht="14.45">
      <c r="A287" s="8"/>
      <c r="B287" s="13"/>
      <c r="C287" s="8"/>
      <c r="D287" s="8"/>
      <c r="E287" s="8"/>
      <c r="F287" s="9"/>
      <c r="G287" s="8"/>
      <c r="H287" s="8"/>
      <c r="I287" s="9"/>
      <c r="J287" s="8"/>
      <c r="K287" s="8"/>
      <c r="L287" s="8"/>
    </row>
    <row r="288" spans="1:12" ht="14.45">
      <c r="A288" s="8"/>
      <c r="B288" s="13"/>
      <c r="C288" s="8"/>
      <c r="D288" s="8"/>
      <c r="E288" s="8"/>
      <c r="F288" s="9"/>
      <c r="G288" s="8"/>
      <c r="H288" s="8"/>
      <c r="I288" s="9"/>
      <c r="J288" s="8"/>
      <c r="K288" s="8"/>
      <c r="L288" s="8"/>
    </row>
    <row r="289" spans="1:12" ht="14.45">
      <c r="A289" s="8"/>
      <c r="B289" s="13"/>
      <c r="C289" s="8"/>
      <c r="D289" s="8"/>
      <c r="E289" s="8"/>
      <c r="F289" s="9"/>
      <c r="G289" s="8"/>
      <c r="H289" s="8"/>
      <c r="I289" s="9"/>
      <c r="J289" s="8"/>
      <c r="K289" s="8"/>
      <c r="L289" s="8"/>
    </row>
    <row r="290" spans="1:12" ht="14.45">
      <c r="A290" s="8"/>
      <c r="B290" s="13"/>
      <c r="C290" s="8"/>
      <c r="D290" s="8"/>
      <c r="E290" s="8"/>
      <c r="F290" s="9"/>
      <c r="G290" s="8"/>
      <c r="H290" s="8"/>
      <c r="I290" s="9"/>
      <c r="J290" s="8"/>
      <c r="K290" s="8"/>
      <c r="L290" s="8"/>
    </row>
    <row r="291" spans="1:12" ht="14.45">
      <c r="A291" s="8"/>
      <c r="B291" s="13"/>
      <c r="C291" s="8"/>
      <c r="D291" s="8"/>
      <c r="E291" s="8"/>
      <c r="F291" s="9"/>
      <c r="G291" s="8"/>
      <c r="H291" s="8"/>
      <c r="I291" s="9"/>
      <c r="J291" s="8"/>
      <c r="K291" s="8"/>
      <c r="L291" s="8"/>
    </row>
    <row r="292" spans="1:12" ht="14.45">
      <c r="A292" s="8"/>
      <c r="B292" s="13"/>
      <c r="C292" s="8"/>
      <c r="D292" s="8"/>
      <c r="E292" s="8"/>
      <c r="F292" s="9"/>
      <c r="G292" s="8"/>
      <c r="H292" s="8"/>
      <c r="I292" s="9"/>
      <c r="J292" s="8"/>
      <c r="K292" s="8"/>
      <c r="L292" s="8"/>
    </row>
    <row r="293" spans="1:12" ht="14.45">
      <c r="A293" s="8"/>
      <c r="B293" s="13"/>
      <c r="C293" s="8"/>
      <c r="D293" s="8"/>
      <c r="E293" s="8"/>
      <c r="F293" s="9"/>
      <c r="G293" s="8"/>
      <c r="H293" s="8"/>
      <c r="I293" s="9"/>
      <c r="J293" s="8"/>
      <c r="K293" s="8"/>
      <c r="L293" s="8"/>
    </row>
    <row r="294" spans="1:12" ht="14.45">
      <c r="A294" s="8"/>
      <c r="B294" s="13"/>
      <c r="C294" s="8"/>
      <c r="D294" s="8"/>
      <c r="E294" s="8"/>
      <c r="F294" s="9"/>
      <c r="G294" s="8"/>
      <c r="H294" s="8"/>
      <c r="I294" s="9"/>
      <c r="J294" s="8"/>
      <c r="K294" s="8"/>
      <c r="L294" s="8"/>
    </row>
    <row r="295" spans="1:12" ht="14.45">
      <c r="A295" s="8"/>
      <c r="B295" s="13"/>
      <c r="C295" s="8"/>
      <c r="D295" s="8"/>
      <c r="E295" s="8"/>
      <c r="F295" s="9"/>
      <c r="G295" s="8"/>
      <c r="H295" s="8"/>
      <c r="I295" s="9"/>
      <c r="J295" s="8"/>
      <c r="K295" s="8"/>
      <c r="L295" s="8"/>
    </row>
    <row r="296" spans="1:12" ht="14.45">
      <c r="A296" s="8"/>
      <c r="B296" s="13"/>
      <c r="C296" s="8"/>
      <c r="D296" s="8"/>
      <c r="E296" s="8"/>
      <c r="F296" s="9"/>
      <c r="G296" s="8"/>
      <c r="H296" s="8"/>
      <c r="I296" s="9"/>
      <c r="J296" s="8"/>
      <c r="K296" s="8"/>
      <c r="L296" s="8"/>
    </row>
    <row r="297" spans="1:12" ht="14.45">
      <c r="A297" s="8"/>
      <c r="B297" s="13"/>
      <c r="C297" s="8"/>
      <c r="D297" s="8"/>
      <c r="E297" s="8"/>
      <c r="F297" s="9"/>
      <c r="G297" s="8"/>
      <c r="H297" s="8"/>
      <c r="I297" s="9"/>
      <c r="J297" s="8"/>
      <c r="K297" s="8"/>
      <c r="L297" s="8"/>
    </row>
    <row r="298" spans="1:12" ht="14.45">
      <c r="A298" s="8"/>
      <c r="B298" s="13"/>
      <c r="C298" s="8"/>
      <c r="D298" s="8"/>
      <c r="E298" s="8"/>
      <c r="F298" s="9"/>
      <c r="G298" s="8"/>
      <c r="H298" s="8"/>
      <c r="I298" s="9"/>
      <c r="J298" s="8"/>
      <c r="K298" s="8"/>
      <c r="L298" s="8"/>
    </row>
    <row r="299" spans="1:12" ht="14.45">
      <c r="A299" s="8"/>
      <c r="B299" s="13"/>
      <c r="C299" s="8"/>
      <c r="D299" s="8"/>
      <c r="E299" s="8"/>
      <c r="F299" s="9"/>
      <c r="G299" s="8"/>
      <c r="H299" s="8"/>
      <c r="I299" s="9"/>
      <c r="J299" s="8"/>
      <c r="K299" s="8"/>
      <c r="L299" s="8"/>
    </row>
    <row r="300" spans="1:12" ht="14.45">
      <c r="A300" s="8"/>
      <c r="B300" s="13"/>
      <c r="C300" s="8"/>
      <c r="D300" s="8"/>
      <c r="E300" s="8"/>
      <c r="F300" s="9"/>
      <c r="G300" s="8"/>
      <c r="H300" s="8"/>
      <c r="I300" s="9"/>
      <c r="J300" s="8"/>
      <c r="K300" s="8"/>
      <c r="L300" s="8"/>
    </row>
    <row r="301" spans="1:12" ht="14.45">
      <c r="A301" s="8"/>
      <c r="B301" s="13"/>
      <c r="C301" s="8"/>
      <c r="D301" s="8"/>
      <c r="E301" s="8"/>
      <c r="F301" s="9"/>
      <c r="G301" s="8"/>
      <c r="H301" s="8"/>
      <c r="I301" s="9"/>
      <c r="J301" s="8"/>
      <c r="K301" s="8"/>
      <c r="L301" s="8"/>
    </row>
    <row r="302" spans="1:12" ht="14.45">
      <c r="A302" s="8"/>
      <c r="B302" s="13"/>
      <c r="C302" s="8"/>
      <c r="D302" s="8"/>
      <c r="E302" s="8"/>
      <c r="F302" s="9"/>
      <c r="G302" s="8"/>
      <c r="H302" s="8"/>
      <c r="I302" s="9"/>
      <c r="J302" s="8"/>
      <c r="K302" s="8"/>
      <c r="L302" s="8"/>
    </row>
    <row r="303" spans="1:12" ht="14.45">
      <c r="A303" s="8"/>
      <c r="B303" s="13"/>
      <c r="C303" s="8"/>
      <c r="D303" s="8"/>
      <c r="E303" s="8"/>
      <c r="F303" s="9"/>
      <c r="G303" s="8"/>
      <c r="H303" s="8"/>
      <c r="I303" s="9"/>
      <c r="J303" s="8"/>
      <c r="K303" s="8"/>
      <c r="L303" s="8"/>
    </row>
    <row r="304" spans="1:12" ht="14.45">
      <c r="A304" s="8"/>
      <c r="B304" s="13"/>
      <c r="C304" s="8"/>
      <c r="D304" s="8"/>
      <c r="E304" s="8"/>
      <c r="F304" s="9"/>
      <c r="G304" s="8"/>
      <c r="H304" s="8"/>
      <c r="I304" s="9"/>
      <c r="J304" s="8"/>
      <c r="K304" s="8"/>
      <c r="L304" s="8"/>
    </row>
    <row r="305" spans="1:12" ht="14.45">
      <c r="A305" s="8"/>
      <c r="B305" s="13"/>
      <c r="C305" s="8"/>
      <c r="D305" s="8"/>
      <c r="E305" s="8"/>
      <c r="F305" s="9"/>
      <c r="G305" s="8"/>
      <c r="H305" s="8"/>
      <c r="I305" s="9"/>
      <c r="J305" s="8"/>
      <c r="K305" s="8"/>
      <c r="L305" s="8"/>
    </row>
    <row r="306" spans="1:12" ht="14.45">
      <c r="A306" s="8"/>
      <c r="B306" s="13"/>
      <c r="C306" s="8"/>
      <c r="D306" s="8"/>
      <c r="E306" s="8"/>
      <c r="F306" s="9"/>
      <c r="G306" s="8"/>
      <c r="H306" s="8"/>
      <c r="I306" s="9"/>
      <c r="J306" s="8"/>
      <c r="K306" s="8"/>
      <c r="L306" s="8"/>
    </row>
    <row r="307" spans="1:12" ht="14.45">
      <c r="A307" s="8"/>
      <c r="B307" s="13"/>
      <c r="C307" s="8"/>
      <c r="D307" s="8"/>
      <c r="E307" s="8"/>
      <c r="F307" s="9"/>
      <c r="G307" s="8"/>
      <c r="H307" s="8"/>
      <c r="I307" s="9"/>
      <c r="J307" s="8"/>
      <c r="K307" s="8"/>
      <c r="L307" s="8"/>
    </row>
    <row r="308" spans="1:12" ht="14.45">
      <c r="A308" s="8"/>
      <c r="B308" s="13"/>
      <c r="C308" s="8"/>
      <c r="D308" s="8"/>
      <c r="E308" s="8"/>
      <c r="F308" s="9"/>
      <c r="G308" s="8"/>
      <c r="H308" s="8"/>
      <c r="I308" s="9"/>
      <c r="J308" s="8"/>
      <c r="K308" s="8"/>
      <c r="L308" s="8"/>
    </row>
    <row r="309" spans="1:12" ht="14.45">
      <c r="A309" s="8"/>
      <c r="B309" s="13"/>
      <c r="C309" s="8"/>
      <c r="D309" s="8"/>
      <c r="E309" s="8"/>
      <c r="F309" s="9"/>
      <c r="G309" s="8"/>
      <c r="H309" s="8"/>
      <c r="I309" s="9"/>
      <c r="J309" s="8"/>
      <c r="K309" s="8"/>
      <c r="L309" s="8"/>
    </row>
    <row r="310" spans="1:12" ht="14.45">
      <c r="A310" s="8"/>
      <c r="B310" s="13"/>
      <c r="C310" s="8"/>
      <c r="D310" s="8"/>
      <c r="E310" s="8"/>
      <c r="F310" s="9"/>
      <c r="G310" s="8"/>
      <c r="H310" s="8"/>
      <c r="I310" s="9"/>
      <c r="J310" s="8"/>
      <c r="K310" s="8"/>
      <c r="L310" s="8"/>
    </row>
    <row r="311" spans="1:12" ht="14.45">
      <c r="A311" s="8"/>
      <c r="B311" s="13"/>
      <c r="C311" s="8"/>
      <c r="D311" s="8"/>
      <c r="E311" s="8"/>
      <c r="F311" s="9"/>
      <c r="G311" s="8"/>
      <c r="H311" s="8"/>
      <c r="I311" s="9"/>
      <c r="J311" s="8"/>
      <c r="K311" s="8"/>
      <c r="L311" s="8"/>
    </row>
    <row r="312" spans="1:12" ht="14.45">
      <c r="A312" s="8"/>
      <c r="B312" s="13"/>
      <c r="C312" s="8"/>
      <c r="D312" s="8"/>
      <c r="E312" s="8"/>
      <c r="F312" s="9"/>
      <c r="G312" s="8"/>
      <c r="H312" s="8"/>
      <c r="I312" s="9"/>
      <c r="J312" s="8"/>
      <c r="K312" s="8"/>
      <c r="L312" s="8"/>
    </row>
    <row r="313" spans="1:12" ht="14.45">
      <c r="A313" s="8"/>
      <c r="B313" s="13"/>
      <c r="C313" s="8"/>
      <c r="D313" s="8"/>
      <c r="E313" s="8"/>
      <c r="F313" s="9"/>
      <c r="G313" s="8"/>
      <c r="H313" s="8"/>
      <c r="I313" s="9"/>
      <c r="J313" s="8"/>
      <c r="K313" s="8"/>
      <c r="L313" s="8"/>
    </row>
    <row r="314" spans="1:12" ht="14.45">
      <c r="A314" s="8"/>
      <c r="B314" s="13"/>
      <c r="C314" s="8"/>
      <c r="D314" s="8"/>
      <c r="E314" s="8"/>
      <c r="F314" s="9"/>
      <c r="G314" s="8"/>
      <c r="H314" s="8"/>
      <c r="I314" s="9"/>
      <c r="J314" s="8"/>
      <c r="K314" s="8"/>
      <c r="L314" s="8"/>
    </row>
    <row r="315" spans="1:12" ht="14.45">
      <c r="A315" s="8"/>
      <c r="B315" s="13"/>
      <c r="C315" s="8"/>
      <c r="D315" s="8"/>
      <c r="E315" s="8"/>
      <c r="F315" s="9"/>
      <c r="G315" s="8"/>
      <c r="H315" s="8"/>
      <c r="I315" s="9"/>
      <c r="J315" s="8"/>
      <c r="K315" s="8"/>
      <c r="L315" s="8"/>
    </row>
    <row r="316" spans="1:12" ht="14.45">
      <c r="A316" s="8"/>
      <c r="B316" s="13"/>
      <c r="C316" s="8"/>
      <c r="D316" s="8"/>
      <c r="E316" s="8"/>
      <c r="F316" s="9"/>
      <c r="G316" s="8"/>
      <c r="H316" s="8"/>
      <c r="I316" s="9"/>
      <c r="J316" s="8"/>
      <c r="K316" s="8"/>
      <c r="L316" s="8"/>
    </row>
    <row r="317" spans="1:12" ht="14.45">
      <c r="A317" s="8"/>
      <c r="B317" s="13"/>
      <c r="C317" s="8"/>
      <c r="D317" s="8"/>
      <c r="E317" s="8"/>
      <c r="F317" s="9"/>
      <c r="G317" s="8"/>
      <c r="H317" s="8"/>
      <c r="I317" s="9"/>
      <c r="J317" s="8"/>
      <c r="K317" s="8"/>
      <c r="L317" s="8"/>
    </row>
    <row r="318" spans="1:12" ht="14.45">
      <c r="A318" s="8"/>
      <c r="B318" s="13"/>
      <c r="C318" s="8"/>
      <c r="D318" s="8"/>
      <c r="E318" s="8"/>
      <c r="F318" s="9"/>
      <c r="G318" s="8"/>
      <c r="H318" s="8"/>
      <c r="I318" s="9"/>
      <c r="J318" s="8"/>
      <c r="K318" s="8"/>
      <c r="L318" s="8"/>
    </row>
    <row r="319" spans="1:12" ht="14.45">
      <c r="A319" s="8"/>
      <c r="B319" s="13"/>
      <c r="C319" s="8"/>
      <c r="D319" s="8"/>
      <c r="E319" s="8"/>
      <c r="F319" s="9"/>
      <c r="G319" s="8"/>
      <c r="H319" s="8"/>
      <c r="I319" s="9"/>
      <c r="J319" s="8"/>
      <c r="K319" s="8"/>
      <c r="L319" s="8"/>
    </row>
    <row r="320" spans="1:12" ht="14.45">
      <c r="A320" s="8"/>
      <c r="B320" s="13"/>
      <c r="C320" s="8"/>
      <c r="D320" s="8"/>
      <c r="E320" s="8"/>
      <c r="F320" s="9"/>
      <c r="G320" s="8"/>
      <c r="H320" s="8"/>
      <c r="I320" s="9"/>
      <c r="J320" s="8"/>
      <c r="K320" s="8"/>
      <c r="L320" s="8"/>
    </row>
    <row r="321" spans="1:12" ht="14.45">
      <c r="A321" s="8"/>
      <c r="B321" s="13"/>
      <c r="C321" s="8"/>
      <c r="D321" s="8"/>
      <c r="E321" s="8"/>
      <c r="F321" s="9"/>
      <c r="G321" s="8"/>
      <c r="H321" s="8"/>
      <c r="I321" s="9"/>
      <c r="J321" s="8"/>
      <c r="K321" s="8"/>
      <c r="L321" s="8"/>
    </row>
    <row r="322" spans="1:12" ht="14.45">
      <c r="A322" s="8"/>
      <c r="B322" s="13"/>
      <c r="C322" s="8"/>
      <c r="D322" s="8"/>
      <c r="E322" s="8"/>
      <c r="F322" s="9"/>
      <c r="G322" s="8"/>
      <c r="H322" s="8"/>
      <c r="I322" s="9"/>
      <c r="J322" s="8"/>
      <c r="K322" s="8"/>
      <c r="L322" s="8"/>
    </row>
    <row r="323" spans="1:12" ht="14.45">
      <c r="A323" s="8"/>
      <c r="B323" s="13"/>
      <c r="C323" s="8"/>
      <c r="D323" s="8"/>
      <c r="E323" s="8"/>
      <c r="F323" s="9"/>
      <c r="G323" s="8"/>
      <c r="H323" s="8"/>
      <c r="I323" s="9"/>
      <c r="J323" s="8"/>
      <c r="K323" s="8"/>
      <c r="L323" s="8"/>
    </row>
    <row r="324" spans="1:12" ht="14.45">
      <c r="A324" s="8"/>
      <c r="B324" s="13"/>
      <c r="C324" s="8"/>
      <c r="D324" s="8"/>
      <c r="E324" s="8"/>
      <c r="F324" s="9"/>
      <c r="G324" s="8"/>
      <c r="H324" s="8"/>
      <c r="I324" s="9"/>
      <c r="J324" s="8"/>
      <c r="K324" s="8"/>
      <c r="L324" s="8"/>
    </row>
    <row r="325" spans="1:12" ht="14.45">
      <c r="A325" s="8"/>
      <c r="B325" s="13"/>
      <c r="C325" s="8"/>
      <c r="D325" s="8"/>
      <c r="E325" s="8"/>
      <c r="F325" s="9"/>
      <c r="G325" s="8"/>
      <c r="H325" s="8"/>
      <c r="I325" s="9"/>
      <c r="J325" s="8"/>
      <c r="K325" s="8"/>
      <c r="L325" s="8"/>
    </row>
    <row r="326" spans="1:12" ht="14.45">
      <c r="C326" s="8"/>
      <c r="D326" s="8"/>
      <c r="E326" s="8"/>
      <c r="F326" s="9"/>
      <c r="G326" s="8"/>
      <c r="H326" s="8"/>
      <c r="I326" s="9"/>
      <c r="J326" s="8"/>
      <c r="K326" s="8"/>
      <c r="L326" s="8"/>
    </row>
  </sheetData>
  <mergeCells count="4">
    <mergeCell ref="G1:I1"/>
    <mergeCell ref="A1:C1"/>
    <mergeCell ref="D1:F1"/>
    <mergeCell ref="A2:B2"/>
  </mergeCells>
  <conditionalFormatting sqref="F2 I2 F4:F85 I4:I85">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Q326"/>
  <sheetViews>
    <sheetView zoomScale="50" zoomScaleNormal="50" workbookViewId="0">
      <pane xSplit="2" ySplit="3" topLeftCell="D14" activePane="bottomRight" state="frozen"/>
      <selection pane="bottomRight" activeCell="O4" sqref="O4"/>
      <selection pane="bottomLeft" activeCell="J4" sqref="J4:Y85"/>
      <selection pane="topRight" activeCell="J4" sqref="J4:Y85"/>
    </sheetView>
  </sheetViews>
  <sheetFormatPr defaultRowHeight="13.9"/>
  <cols>
    <col min="1" max="1" width="38"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9.28515625" customWidth="1"/>
  </cols>
  <sheetData>
    <row r="1" spans="1:16" ht="19.5" customHeight="1">
      <c r="A1" s="122" t="str" cm="1">
        <f t="array" ref="A1">portfolio</f>
        <v>Clean Capital</v>
      </c>
      <c r="B1" s="122"/>
      <c r="C1" s="122"/>
      <c r="D1" s="123" t="s">
        <v>290</v>
      </c>
      <c r="E1" s="123"/>
      <c r="F1" s="123"/>
      <c r="G1" s="121" t="s">
        <v>291</v>
      </c>
      <c r="H1" s="121"/>
      <c r="I1" s="121"/>
      <c r="J1" s="4"/>
      <c r="K1" s="4"/>
      <c r="L1" s="4"/>
    </row>
    <row r="2" spans="1:16" ht="19.5" customHeight="1">
      <c r="A2" s="124" t="s">
        <v>2</v>
      </c>
      <c r="B2" s="124"/>
      <c r="C2" s="5">
        <f>SUM(C4:C84)</f>
        <v>0</v>
      </c>
      <c r="D2" s="5">
        <f>SUM(D4:D84)</f>
        <v>0</v>
      </c>
      <c r="E2" s="5">
        <f>C2-D2</f>
        <v>0</v>
      </c>
      <c r="F2" s="6">
        <f>IFERROR(E2/D2, 0)</f>
        <v>0</v>
      </c>
      <c r="G2" s="5">
        <f>SUM(G4:G84)</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row>
    <row r="3" spans="1:16" ht="14.25" customHeight="1">
      <c r="A3" s="12" t="s">
        <v>4</v>
      </c>
      <c r="B3" s="12" t="s">
        <v>5</v>
      </c>
      <c r="C3" s="19" t="s">
        <v>6</v>
      </c>
      <c r="D3" s="20" t="s">
        <v>7</v>
      </c>
      <c r="E3" s="20" t="s">
        <v>8</v>
      </c>
      <c r="F3" s="21" t="s">
        <v>9</v>
      </c>
      <c r="G3" s="22" t="s">
        <v>10</v>
      </c>
      <c r="H3" s="23" t="s">
        <v>8</v>
      </c>
      <c r="I3" s="24" t="s">
        <v>9</v>
      </c>
      <c r="J3" s="10" t="s">
        <v>272</v>
      </c>
      <c r="K3" s="10" t="s">
        <v>22</v>
      </c>
      <c r="L3" s="10" t="s">
        <v>287</v>
      </c>
    </row>
    <row r="4" spans="1:16" ht="68.25" customHeight="1">
      <c r="A4" s="39" t="str" cm="1">
        <f t="array" ref="A4:A85">Sites[Site]</f>
        <v>Lexington - Cotting School</v>
      </c>
      <c r="B4" s="40" t="str" cm="1">
        <f t="array" ref="B4:B85">Sites[State]</f>
        <v>MA</v>
      </c>
      <c r="C4" s="28"/>
      <c r="D4" s="29"/>
      <c r="E4" s="29" t="str">
        <f>IF(AND(ISNUMBER(C4),ISNUMBER(D4)), C4-D4, "")</f>
        <v/>
      </c>
      <c r="F4" s="30" t="str">
        <f>IFERROR(E4/D4, "")</f>
        <v/>
      </c>
      <c r="G4" s="73"/>
      <c r="H4" s="31" t="str">
        <f>IF(AND(ISNUMBER(C4),ISNUMBER(G4)), C4-G4, "")</f>
        <v/>
      </c>
      <c r="I4" s="32" t="str">
        <f>IFERROR(H4/G4, "")</f>
        <v/>
      </c>
      <c r="J4" s="49"/>
      <c r="K4" s="67"/>
      <c r="L4" s="49"/>
    </row>
    <row r="5" spans="1:16" ht="15.6">
      <c r="A5" s="41" t="str">
        <v>Pacoima - Whiteman Airport</v>
      </c>
      <c r="B5" s="42" t="str">
        <v>CA</v>
      </c>
      <c r="C5" s="35"/>
      <c r="D5" s="36"/>
      <c r="E5" s="36" t="str">
        <f t="shared" ref="E5:E12" si="0">IF(AND(ISNUMBER(C5),ISNUMBER(D5)), C5-D5, "")</f>
        <v/>
      </c>
      <c r="F5" s="37" t="str">
        <f t="shared" ref="F5:F12" si="1">IFERROR(E5/D5, "")</f>
        <v/>
      </c>
      <c r="G5" s="38"/>
      <c r="H5" s="38" t="str">
        <f t="shared" ref="H5:H12" si="2">IF(AND(ISNUMBER(C5),ISNUMBER(G5)), C5-G5, "")</f>
        <v/>
      </c>
      <c r="I5" s="37" t="str">
        <f t="shared" ref="I5:I12" si="3">IFERROR(H5/G5, "")</f>
        <v/>
      </c>
      <c r="J5" s="60"/>
      <c r="K5" s="75"/>
      <c r="L5" s="60"/>
      <c r="M5" s="101"/>
      <c r="N5" s="101"/>
      <c r="O5" s="101"/>
      <c r="P5" s="101"/>
    </row>
    <row r="6" spans="1:16" ht="15.6">
      <c r="A6" s="43" t="str">
        <v>Hyannis - Sturgis Charter School</v>
      </c>
      <c r="B6" s="40" t="str">
        <v>MA</v>
      </c>
      <c r="C6" s="28"/>
      <c r="D6" s="29"/>
      <c r="E6" s="29" t="str">
        <f t="shared" si="0"/>
        <v/>
      </c>
      <c r="F6" s="30" t="str">
        <f t="shared" si="1"/>
        <v/>
      </c>
      <c r="G6" s="31"/>
      <c r="H6" s="31" t="str">
        <f t="shared" si="2"/>
        <v/>
      </c>
      <c r="I6" s="32" t="str">
        <f t="shared" si="3"/>
        <v/>
      </c>
      <c r="J6" s="49"/>
      <c r="K6" s="49"/>
      <c r="L6" s="49"/>
    </row>
    <row r="7" spans="1:16" ht="15.6">
      <c r="A7" s="41" t="str">
        <v>South Dennis - Tony Kent Arena</v>
      </c>
      <c r="B7" s="42" t="str">
        <v>MA</v>
      </c>
      <c r="C7" s="35"/>
      <c r="D7" s="36"/>
      <c r="E7" s="36" t="str">
        <f t="shared" si="0"/>
        <v/>
      </c>
      <c r="F7" s="37" t="str">
        <f t="shared" si="1"/>
        <v/>
      </c>
      <c r="G7" s="74"/>
      <c r="H7" s="38" t="str">
        <f t="shared" si="2"/>
        <v/>
      </c>
      <c r="I7" s="37" t="str">
        <f t="shared" si="3"/>
        <v/>
      </c>
      <c r="J7" s="60"/>
      <c r="K7" s="60"/>
      <c r="L7" s="60"/>
    </row>
    <row r="8" spans="1:16" ht="15.6">
      <c r="A8" s="43" t="str">
        <v xml:space="preserve"> Caropolis - Felician Sisters</v>
      </c>
      <c r="B8" s="40" t="str">
        <v>PA</v>
      </c>
      <c r="C8" s="28"/>
      <c r="D8" s="29"/>
      <c r="E8" s="29" t="str">
        <f t="shared" si="0"/>
        <v/>
      </c>
      <c r="F8" s="30" t="str">
        <f t="shared" si="1"/>
        <v/>
      </c>
      <c r="G8" s="73"/>
      <c r="H8" s="31" t="str">
        <f t="shared" si="2"/>
        <v/>
      </c>
      <c r="I8" s="32" t="str">
        <f t="shared" si="3"/>
        <v/>
      </c>
      <c r="J8" s="49"/>
      <c r="K8" s="67"/>
      <c r="L8" s="49"/>
      <c r="M8" s="101"/>
    </row>
    <row r="9" spans="1:16" ht="15.6">
      <c r="A9" s="41" t="str">
        <v>Clear Lake - Eastlake Gohman</v>
      </c>
      <c r="B9" s="42" t="str">
        <v>MN</v>
      </c>
      <c r="C9" s="35"/>
      <c r="D9" s="36"/>
      <c r="E9" s="36" t="str">
        <f t="shared" si="0"/>
        <v/>
      </c>
      <c r="F9" s="37" t="str">
        <f t="shared" si="1"/>
        <v/>
      </c>
      <c r="G9" s="38"/>
      <c r="H9" s="38" t="str">
        <f t="shared" si="2"/>
        <v/>
      </c>
      <c r="I9" s="37" t="str">
        <f t="shared" si="3"/>
        <v/>
      </c>
      <c r="J9" s="60"/>
      <c r="K9" s="75"/>
      <c r="L9" s="60"/>
    </row>
    <row r="10" spans="1:16" ht="15.6">
      <c r="A10" s="43" t="str">
        <v>Zumbrota - Eastlake Brenda Luhman</v>
      </c>
      <c r="B10" s="40" t="str">
        <v>MN</v>
      </c>
      <c r="C10" s="28"/>
      <c r="D10" s="29"/>
      <c r="E10" s="29" t="str">
        <f t="shared" si="0"/>
        <v/>
      </c>
      <c r="F10" s="30" t="str">
        <f t="shared" si="1"/>
        <v/>
      </c>
      <c r="G10" s="31"/>
      <c r="H10" s="31" t="str">
        <f t="shared" si="2"/>
        <v/>
      </c>
      <c r="I10" s="32" t="str">
        <f t="shared" si="3"/>
        <v/>
      </c>
      <c r="J10" s="49"/>
      <c r="K10" s="49"/>
      <c r="L10" s="49"/>
    </row>
    <row r="11" spans="1:16" ht="15.6">
      <c r="A11" s="41" t="str">
        <v>Cokato - Eastlake Carlson</v>
      </c>
      <c r="B11" s="42" t="str">
        <v>MN</v>
      </c>
      <c r="C11" s="35"/>
      <c r="D11" s="36"/>
      <c r="E11" s="36" t="str">
        <f t="shared" si="0"/>
        <v/>
      </c>
      <c r="F11" s="37" t="str">
        <f t="shared" si="1"/>
        <v/>
      </c>
      <c r="G11" s="38"/>
      <c r="H11" s="38" t="str">
        <f t="shared" si="2"/>
        <v/>
      </c>
      <c r="I11" s="37" t="str">
        <f t="shared" si="3"/>
        <v/>
      </c>
      <c r="J11" s="60"/>
      <c r="K11" s="60"/>
      <c r="L11" s="60"/>
    </row>
    <row r="12" spans="1:16" ht="15.6">
      <c r="A12" s="43" t="str">
        <v>North Branch - Cornille 2</v>
      </c>
      <c r="B12" s="40" t="str">
        <v>MN</v>
      </c>
      <c r="C12" s="28"/>
      <c r="D12" s="29"/>
      <c r="E12" s="29" t="str">
        <f t="shared" si="0"/>
        <v/>
      </c>
      <c r="F12" s="30" t="str">
        <f t="shared" si="1"/>
        <v/>
      </c>
      <c r="G12" s="31"/>
      <c r="H12" s="31" t="str">
        <f t="shared" si="2"/>
        <v/>
      </c>
      <c r="I12" s="32" t="str">
        <f t="shared" si="3"/>
        <v/>
      </c>
      <c r="J12" s="49"/>
      <c r="K12" s="49"/>
      <c r="L12" s="49"/>
    </row>
    <row r="13" spans="1:16" ht="15.6">
      <c r="A13" s="41" t="str">
        <v>Clear Lake - Eastlake Hammer</v>
      </c>
      <c r="B13" s="42" t="str">
        <v>MN</v>
      </c>
      <c r="C13" s="35"/>
      <c r="D13" s="36"/>
      <c r="E13" s="36" t="str">
        <f t="shared" ref="E13:E76" si="4">IF(AND(ISNUMBER(C13),ISNUMBER(D13)), C13-D13, "")</f>
        <v/>
      </c>
      <c r="F13" s="37" t="str">
        <f t="shared" ref="F13:F76" si="5">IFERROR(E13/D13, "")</f>
        <v/>
      </c>
      <c r="G13" s="38"/>
      <c r="H13" s="38" t="str">
        <f t="shared" ref="H13:H76" si="6">IF(AND(ISNUMBER(C13),ISNUMBER(G13)), C13-G13, "")</f>
        <v/>
      </c>
      <c r="I13" s="37" t="str">
        <f t="shared" ref="I13:I76" si="7">IFERROR(H13/G13, "")</f>
        <v/>
      </c>
      <c r="J13" s="60"/>
      <c r="K13" s="60"/>
      <c r="L13" s="60"/>
    </row>
    <row r="14" spans="1:16" ht="15.6">
      <c r="A14" s="43" t="str">
        <v>Eastlake - Hertzberg CSG 1</v>
      </c>
      <c r="B14" s="40" t="str">
        <v>MN</v>
      </c>
      <c r="C14" s="28"/>
      <c r="D14" s="29"/>
      <c r="E14" s="29" t="str">
        <f t="shared" si="4"/>
        <v/>
      </c>
      <c r="F14" s="30" t="str">
        <f t="shared" si="5"/>
        <v/>
      </c>
      <c r="G14" s="31"/>
      <c r="H14" s="31" t="str">
        <f t="shared" si="6"/>
        <v/>
      </c>
      <c r="I14" s="32" t="str">
        <f t="shared" si="7"/>
        <v/>
      </c>
      <c r="J14" s="49"/>
      <c r="K14" s="49"/>
      <c r="L14" s="49"/>
    </row>
    <row r="15" spans="1:16" ht="15.6">
      <c r="A15" s="41" t="str">
        <v>Cokato - Eastlake Laurel Village</v>
      </c>
      <c r="B15" s="42" t="str">
        <v>MN</v>
      </c>
      <c r="C15" s="35"/>
      <c r="D15" s="36"/>
      <c r="E15" s="36" t="str">
        <f t="shared" si="4"/>
        <v/>
      </c>
      <c r="F15" s="37" t="str">
        <f t="shared" si="5"/>
        <v/>
      </c>
      <c r="G15" s="38"/>
      <c r="H15" s="38" t="str">
        <f t="shared" si="6"/>
        <v/>
      </c>
      <c r="I15" s="37" t="str">
        <f t="shared" si="7"/>
        <v/>
      </c>
      <c r="J15" s="60"/>
      <c r="K15" s="60"/>
      <c r="L15" s="60"/>
    </row>
    <row r="16" spans="1:16" ht="15.6">
      <c r="A16" s="43" t="str">
        <v>St. Peter - Eastlake Paulson</v>
      </c>
      <c r="B16" s="40" t="str">
        <v>MN</v>
      </c>
      <c r="C16" s="28"/>
      <c r="D16" s="29"/>
      <c r="E16" s="29" t="str">
        <f t="shared" si="4"/>
        <v/>
      </c>
      <c r="F16" s="30" t="str">
        <f t="shared" si="5"/>
        <v/>
      </c>
      <c r="G16" s="31"/>
      <c r="H16" s="31" t="str">
        <f t="shared" si="6"/>
        <v/>
      </c>
      <c r="I16" s="32" t="str">
        <f t="shared" si="7"/>
        <v/>
      </c>
      <c r="J16" s="49"/>
      <c r="K16" s="67"/>
      <c r="L16" s="49"/>
    </row>
    <row r="17" spans="1:16" ht="15.6">
      <c r="A17" s="41" t="str">
        <v>Felician Sisters Convent</v>
      </c>
      <c r="B17" s="42" t="str">
        <v>NJ</v>
      </c>
      <c r="C17" s="35"/>
      <c r="D17" s="36"/>
      <c r="E17" s="36" t="str">
        <f t="shared" si="4"/>
        <v/>
      </c>
      <c r="F17" s="37" t="str">
        <f t="shared" si="5"/>
        <v/>
      </c>
      <c r="G17" s="38"/>
      <c r="H17" s="38" t="str">
        <f t="shared" si="6"/>
        <v/>
      </c>
      <c r="I17" s="37" t="str">
        <f t="shared" si="7"/>
        <v/>
      </c>
      <c r="J17" s="60"/>
      <c r="K17" s="75"/>
      <c r="L17" s="60"/>
      <c r="M17" s="101"/>
    </row>
    <row r="18" spans="1:16" ht="15.6">
      <c r="A18" s="43" t="str">
        <v>Sussex County Fairgrounds</v>
      </c>
      <c r="B18" s="40" t="str">
        <v>NJ</v>
      </c>
      <c r="C18" s="28"/>
      <c r="D18" s="29"/>
      <c r="E18" s="29" t="str">
        <f t="shared" si="4"/>
        <v/>
      </c>
      <c r="F18" s="30" t="str">
        <f t="shared" si="5"/>
        <v/>
      </c>
      <c r="G18" s="31"/>
      <c r="H18" s="31" t="str">
        <f t="shared" si="6"/>
        <v/>
      </c>
      <c r="I18" s="32" t="str">
        <f t="shared" si="7"/>
        <v/>
      </c>
      <c r="J18" s="49"/>
      <c r="K18" s="49"/>
      <c r="L18" s="49"/>
    </row>
    <row r="19" spans="1:16" ht="15.6">
      <c r="A19" s="41" t="str">
        <v>Gateway Church</v>
      </c>
      <c r="B19" s="42" t="str">
        <v>NJ</v>
      </c>
      <c r="C19" s="35"/>
      <c r="D19" s="36"/>
      <c r="E19" s="36" t="str">
        <f t="shared" si="4"/>
        <v/>
      </c>
      <c r="F19" s="37" t="str">
        <f t="shared" si="5"/>
        <v/>
      </c>
      <c r="G19" s="38"/>
      <c r="H19" s="38" t="str">
        <f t="shared" si="6"/>
        <v/>
      </c>
      <c r="I19" s="37" t="str">
        <f t="shared" si="7"/>
        <v/>
      </c>
      <c r="J19" s="60"/>
      <c r="K19" s="75"/>
      <c r="L19" s="60"/>
      <c r="M19" s="101"/>
      <c r="N19" s="101"/>
    </row>
    <row r="20" spans="1:16" ht="15.6">
      <c r="A20" s="43" t="str">
        <v>Beaver Falls - Felician Sisters</v>
      </c>
      <c r="B20" s="40" t="str">
        <v>PA</v>
      </c>
      <c r="C20" s="28"/>
      <c r="D20" s="29"/>
      <c r="E20" s="29" t="str">
        <f t="shared" si="4"/>
        <v/>
      </c>
      <c r="F20" s="30" t="str">
        <f t="shared" si="5"/>
        <v/>
      </c>
      <c r="G20" s="31"/>
      <c r="H20" s="31" t="str">
        <f t="shared" si="6"/>
        <v/>
      </c>
      <c r="I20" s="32" t="str">
        <f t="shared" si="7"/>
        <v/>
      </c>
      <c r="J20" s="49"/>
      <c r="K20" s="67"/>
      <c r="L20" s="49"/>
    </row>
    <row r="21" spans="1:16" ht="15.6">
      <c r="A21" s="41" t="str">
        <v>Livonia - Felician Sisters Ground</v>
      </c>
      <c r="B21" s="42" t="str">
        <v>MI</v>
      </c>
      <c r="C21" s="35"/>
      <c r="D21" s="36"/>
      <c r="E21" s="36" t="str">
        <f t="shared" si="4"/>
        <v/>
      </c>
      <c r="F21" s="37" t="str">
        <f t="shared" si="5"/>
        <v/>
      </c>
      <c r="G21" s="38"/>
      <c r="H21" s="38" t="str">
        <f t="shared" si="6"/>
        <v/>
      </c>
      <c r="I21" s="37" t="str">
        <f t="shared" si="7"/>
        <v/>
      </c>
      <c r="J21" s="60"/>
      <c r="K21" s="75"/>
      <c r="L21" s="60"/>
      <c r="M21" s="101"/>
      <c r="N21" s="101"/>
      <c r="O21" s="101"/>
      <c r="P21" s="101"/>
    </row>
    <row r="22" spans="1:16" ht="15.6">
      <c r="A22" s="43" t="str">
        <v>Livonia - Felician Sisters Roof</v>
      </c>
      <c r="B22" s="40" t="str">
        <v>MI</v>
      </c>
      <c r="C22" s="28"/>
      <c r="D22" s="29"/>
      <c r="E22" s="29" t="str">
        <f t="shared" si="4"/>
        <v/>
      </c>
      <c r="F22" s="30" t="str">
        <f t="shared" si="5"/>
        <v/>
      </c>
      <c r="G22" s="31"/>
      <c r="H22" s="31" t="str">
        <f t="shared" si="6"/>
        <v/>
      </c>
      <c r="I22" s="32" t="str">
        <f t="shared" si="7"/>
        <v/>
      </c>
      <c r="J22" s="49"/>
      <c r="K22" s="49"/>
      <c r="L22" s="49"/>
    </row>
    <row r="23" spans="1:16" ht="15.6">
      <c r="A23" s="41" t="str">
        <v>Monmouth Worship Ctr</v>
      </c>
      <c r="B23" s="42" t="str">
        <v>NJ</v>
      </c>
      <c r="C23" s="35"/>
      <c r="D23" s="36"/>
      <c r="E23" s="36" t="str">
        <f t="shared" si="4"/>
        <v/>
      </c>
      <c r="F23" s="37" t="str">
        <f t="shared" si="5"/>
        <v/>
      </c>
      <c r="G23" s="38"/>
      <c r="H23" s="38" t="str">
        <f t="shared" si="6"/>
        <v/>
      </c>
      <c r="I23" s="37" t="str">
        <f t="shared" si="7"/>
        <v/>
      </c>
      <c r="J23" s="60"/>
      <c r="K23" s="75"/>
      <c r="L23" s="60"/>
      <c r="M23" s="101"/>
    </row>
    <row r="24" spans="1:16" ht="15.6">
      <c r="A24" s="43" t="str">
        <v xml:space="preserve"> Audubon - Senior Citizens United</v>
      </c>
      <c r="B24" s="40" t="str">
        <v>NJ</v>
      </c>
      <c r="C24" s="28"/>
      <c r="D24" s="29"/>
      <c r="E24" s="29" t="str">
        <f t="shared" si="4"/>
        <v/>
      </c>
      <c r="F24" s="30" t="str">
        <f t="shared" si="5"/>
        <v/>
      </c>
      <c r="G24" s="31"/>
      <c r="H24" s="31" t="str">
        <f t="shared" si="6"/>
        <v/>
      </c>
      <c r="I24" s="32" t="str">
        <f t="shared" si="7"/>
        <v/>
      </c>
      <c r="J24" s="49"/>
      <c r="K24" s="67"/>
      <c r="L24" s="49"/>
    </row>
    <row r="25" spans="1:16" ht="15.6">
      <c r="A25" s="41" t="str">
        <v>Hollister - PG&amp;E (Enerparc)</v>
      </c>
      <c r="B25" s="42" t="str">
        <v>CA</v>
      </c>
      <c r="C25" s="35"/>
      <c r="D25" s="36"/>
      <c r="E25" s="36" t="str">
        <f t="shared" si="4"/>
        <v/>
      </c>
      <c r="F25" s="37" t="str">
        <f t="shared" si="5"/>
        <v/>
      </c>
      <c r="G25" s="38"/>
      <c r="H25" s="38" t="str">
        <f t="shared" si="6"/>
        <v/>
      </c>
      <c r="I25" s="37" t="str">
        <f t="shared" si="7"/>
        <v/>
      </c>
      <c r="J25" s="60"/>
      <c r="K25" s="75"/>
      <c r="L25" s="60"/>
      <c r="M25" s="101"/>
      <c r="N25" s="101"/>
      <c r="O25" s="101"/>
    </row>
    <row r="26" spans="1:16" ht="15.6">
      <c r="A26" s="43" t="str">
        <v>Taos County - Kit Carson Electric Co-Op</v>
      </c>
      <c r="B26" s="40" t="str">
        <v>NM</v>
      </c>
      <c r="C26" s="28"/>
      <c r="D26" s="29"/>
      <c r="E26" s="29" t="str">
        <f t="shared" si="4"/>
        <v/>
      </c>
      <c r="F26" s="30" t="str">
        <f t="shared" si="5"/>
        <v/>
      </c>
      <c r="G26" s="31"/>
      <c r="H26" s="31" t="str">
        <f t="shared" si="6"/>
        <v/>
      </c>
      <c r="I26" s="32" t="str">
        <f t="shared" si="7"/>
        <v/>
      </c>
      <c r="J26" s="49"/>
      <c r="K26" s="67"/>
      <c r="L26" s="49"/>
      <c r="M26" s="101"/>
      <c r="N26" s="101"/>
    </row>
    <row r="27" spans="1:16" ht="15.6">
      <c r="A27" s="41" t="str">
        <v>Commerce City - Adams City HS</v>
      </c>
      <c r="B27" s="42" t="str">
        <v>CO</v>
      </c>
      <c r="C27" s="35"/>
      <c r="D27" s="36"/>
      <c r="E27" s="36" t="str">
        <f t="shared" si="4"/>
        <v/>
      </c>
      <c r="F27" s="37" t="str">
        <f t="shared" si="5"/>
        <v/>
      </c>
      <c r="G27" s="38"/>
      <c r="H27" s="38" t="str">
        <f t="shared" si="6"/>
        <v/>
      </c>
      <c r="I27" s="37" t="str">
        <f t="shared" si="7"/>
        <v/>
      </c>
      <c r="J27" s="60"/>
      <c r="K27" s="60"/>
      <c r="L27" s="60"/>
    </row>
    <row r="28" spans="1:16" ht="15.6">
      <c r="A28" s="43" t="str">
        <v>Commerce City - Adams City MS</v>
      </c>
      <c r="B28" s="40" t="str">
        <v>CO</v>
      </c>
      <c r="C28" s="28"/>
      <c r="D28" s="29"/>
      <c r="E28" s="29" t="str">
        <f t="shared" si="4"/>
        <v/>
      </c>
      <c r="F28" s="30" t="str">
        <f t="shared" si="5"/>
        <v/>
      </c>
      <c r="G28" s="31"/>
      <c r="H28" s="31" t="str">
        <f t="shared" si="6"/>
        <v/>
      </c>
      <c r="I28" s="32" t="str">
        <f t="shared" si="7"/>
        <v/>
      </c>
      <c r="J28" s="49"/>
      <c r="K28" s="49"/>
      <c r="L28" s="49"/>
    </row>
    <row r="29" spans="1:16" ht="15.6">
      <c r="A29" s="41" t="str">
        <v>Commerce City - Central ES</v>
      </c>
      <c r="B29" s="42" t="str">
        <v>CO</v>
      </c>
      <c r="C29" s="35"/>
      <c r="D29" s="36"/>
      <c r="E29" s="36" t="str">
        <f t="shared" si="4"/>
        <v/>
      </c>
      <c r="F29" s="37" t="str">
        <f t="shared" si="5"/>
        <v/>
      </c>
      <c r="G29" s="38"/>
      <c r="H29" s="38" t="str">
        <f t="shared" si="6"/>
        <v/>
      </c>
      <c r="I29" s="37" t="str">
        <f t="shared" si="7"/>
        <v/>
      </c>
      <c r="J29" s="60"/>
      <c r="K29" s="75"/>
      <c r="L29" s="60"/>
    </row>
    <row r="30" spans="1:16" ht="15.6">
      <c r="A30" s="43" t="str">
        <v>Commerce City - Dupont ES</v>
      </c>
      <c r="B30" s="40" t="str">
        <v>CO</v>
      </c>
      <c r="C30" s="28"/>
      <c r="D30" s="29"/>
      <c r="E30" s="29" t="str">
        <f t="shared" si="4"/>
        <v/>
      </c>
      <c r="F30" s="30" t="str">
        <f t="shared" si="5"/>
        <v/>
      </c>
      <c r="G30" s="31"/>
      <c r="H30" s="31" t="str">
        <f t="shared" si="6"/>
        <v/>
      </c>
      <c r="I30" s="32" t="str">
        <f t="shared" si="7"/>
        <v/>
      </c>
      <c r="J30" s="49"/>
      <c r="K30" s="67"/>
      <c r="L30" s="49"/>
    </row>
    <row r="31" spans="1:16" ht="15.6">
      <c r="A31" s="41" t="str">
        <v>Commerce City - Educational Support Services</v>
      </c>
      <c r="B31" s="42" t="str">
        <v>CO</v>
      </c>
      <c r="C31" s="35"/>
      <c r="D31" s="36"/>
      <c r="E31" s="36" t="str">
        <f t="shared" si="4"/>
        <v/>
      </c>
      <c r="F31" s="37" t="str">
        <f t="shared" si="5"/>
        <v/>
      </c>
      <c r="G31" s="38"/>
      <c r="H31" s="38" t="str">
        <f t="shared" si="6"/>
        <v/>
      </c>
      <c r="I31" s="37" t="str">
        <f t="shared" si="7"/>
        <v/>
      </c>
      <c r="J31" s="60"/>
      <c r="K31" s="60"/>
      <c r="L31" s="60"/>
    </row>
    <row r="32" spans="1:16" ht="15.6">
      <c r="A32" s="43" t="str">
        <v>Commerce City - Hanson ES</v>
      </c>
      <c r="B32" s="40" t="str">
        <v>CO</v>
      </c>
      <c r="C32" s="28"/>
      <c r="D32" s="29"/>
      <c r="E32" s="29" t="str">
        <f t="shared" si="4"/>
        <v/>
      </c>
      <c r="F32" s="30" t="str">
        <f t="shared" si="5"/>
        <v/>
      </c>
      <c r="G32" s="31"/>
      <c r="H32" s="31" t="str">
        <f t="shared" si="6"/>
        <v/>
      </c>
      <c r="I32" s="32" t="str">
        <f t="shared" si="7"/>
        <v/>
      </c>
      <c r="J32" s="49"/>
      <c r="K32" s="67"/>
      <c r="L32" s="49"/>
    </row>
    <row r="33" spans="1:15" ht="15.6">
      <c r="A33" s="41" t="str">
        <v>Commerce City - Kemp ES</v>
      </c>
      <c r="B33" s="42" t="str">
        <v>CO</v>
      </c>
      <c r="C33" s="35"/>
      <c r="D33" s="36"/>
      <c r="E33" s="36" t="str">
        <f t="shared" si="4"/>
        <v/>
      </c>
      <c r="F33" s="37" t="str">
        <f t="shared" si="5"/>
        <v/>
      </c>
      <c r="G33" s="38"/>
      <c r="H33" s="38" t="str">
        <f t="shared" si="6"/>
        <v/>
      </c>
      <c r="I33" s="37" t="str">
        <f t="shared" si="7"/>
        <v/>
      </c>
      <c r="J33" s="60"/>
      <c r="K33" s="75"/>
      <c r="L33" s="60"/>
    </row>
    <row r="34" spans="1:15" ht="15.6">
      <c r="A34" s="43" t="str">
        <v>Commerce City -  Lester Arnold HS</v>
      </c>
      <c r="B34" s="40" t="str">
        <v>CO</v>
      </c>
      <c r="C34" s="28"/>
      <c r="D34" s="29"/>
      <c r="E34" s="29" t="str">
        <f t="shared" si="4"/>
        <v/>
      </c>
      <c r="F34" s="30" t="str">
        <f t="shared" si="5"/>
        <v/>
      </c>
      <c r="G34" s="31"/>
      <c r="H34" s="31" t="str">
        <f t="shared" si="6"/>
        <v/>
      </c>
      <c r="I34" s="32" t="str">
        <f t="shared" si="7"/>
        <v/>
      </c>
      <c r="J34" s="49"/>
      <c r="K34" s="49"/>
      <c r="L34" s="49"/>
    </row>
    <row r="35" spans="1:15" ht="15.6">
      <c r="A35" s="41" t="str">
        <v>Commerce City - Monaco ES</v>
      </c>
      <c r="B35" s="42" t="str">
        <v>CO</v>
      </c>
      <c r="C35" s="35"/>
      <c r="D35" s="36"/>
      <c r="E35" s="36" t="str">
        <f t="shared" si="4"/>
        <v/>
      </c>
      <c r="F35" s="37" t="str">
        <f t="shared" si="5"/>
        <v/>
      </c>
      <c r="G35" s="38"/>
      <c r="H35" s="38" t="str">
        <f t="shared" si="6"/>
        <v/>
      </c>
      <c r="I35" s="37" t="str">
        <f t="shared" si="7"/>
        <v/>
      </c>
      <c r="J35" s="60"/>
      <c r="K35" s="60"/>
      <c r="L35" s="60"/>
    </row>
    <row r="36" spans="1:15" ht="15.6">
      <c r="A36" s="43" t="str">
        <v>Denver - Northgate / Old Fort Logan ES</v>
      </c>
      <c r="B36" s="40" t="str">
        <v>CO</v>
      </c>
      <c r="C36" s="28"/>
      <c r="D36" s="29"/>
      <c r="E36" s="29" t="str">
        <f t="shared" si="4"/>
        <v/>
      </c>
      <c r="F36" s="30" t="str">
        <f t="shared" si="5"/>
        <v/>
      </c>
      <c r="G36" s="31"/>
      <c r="H36" s="31" t="str">
        <f t="shared" si="6"/>
        <v/>
      </c>
      <c r="I36" s="32" t="str">
        <f t="shared" si="7"/>
        <v/>
      </c>
      <c r="J36" s="49"/>
      <c r="K36" s="49"/>
      <c r="L36" s="49"/>
    </row>
    <row r="37" spans="1:15" ht="15.6">
      <c r="A37" s="41" t="str">
        <v>Denver - Sheridan High School</v>
      </c>
      <c r="B37" s="42" t="str">
        <v>CO</v>
      </c>
      <c r="C37" s="35"/>
      <c r="D37" s="36"/>
      <c r="E37" s="36" t="str">
        <f t="shared" si="4"/>
        <v/>
      </c>
      <c r="F37" s="37" t="str">
        <f t="shared" si="5"/>
        <v/>
      </c>
      <c r="G37" s="38"/>
      <c r="H37" s="38" t="str">
        <f t="shared" si="6"/>
        <v/>
      </c>
      <c r="I37" s="37" t="str">
        <f t="shared" si="7"/>
        <v/>
      </c>
      <c r="J37" s="60"/>
      <c r="K37" s="60"/>
      <c r="L37" s="60"/>
    </row>
    <row r="38" spans="1:15" ht="15.6">
      <c r="A38" s="43" t="str">
        <v>Englewood -  Alice Terry Elementary</v>
      </c>
      <c r="B38" s="40" t="str">
        <v>CO</v>
      </c>
      <c r="C38" s="28"/>
      <c r="D38" s="29"/>
      <c r="E38" s="29" t="str">
        <f t="shared" si="4"/>
        <v/>
      </c>
      <c r="F38" s="30" t="str">
        <f t="shared" si="5"/>
        <v/>
      </c>
      <c r="G38" s="31"/>
      <c r="H38" s="31" t="str">
        <f t="shared" si="6"/>
        <v/>
      </c>
      <c r="I38" s="32" t="str">
        <f t="shared" si="7"/>
        <v/>
      </c>
      <c r="J38" s="49"/>
      <c r="K38" s="49"/>
      <c r="L38" s="49"/>
    </row>
    <row r="39" spans="1:15" ht="15.6">
      <c r="A39" s="41" t="str">
        <v>Englewood - Sheridan Middle School</v>
      </c>
      <c r="B39" s="42" t="str">
        <v>CO</v>
      </c>
      <c r="C39" s="35"/>
      <c r="D39" s="36"/>
      <c r="E39" s="36" t="str">
        <f t="shared" si="4"/>
        <v/>
      </c>
      <c r="F39" s="37" t="str">
        <f t="shared" si="5"/>
        <v/>
      </c>
      <c r="G39" s="38"/>
      <c r="H39" s="38" t="str">
        <f t="shared" si="6"/>
        <v/>
      </c>
      <c r="I39" s="37" t="str">
        <f t="shared" si="7"/>
        <v/>
      </c>
      <c r="J39" s="60"/>
      <c r="K39" s="75"/>
      <c r="L39" s="60"/>
    </row>
    <row r="40" spans="1:15" ht="15.6">
      <c r="A40" s="43" t="str">
        <v>Goshen - NIPSCO</v>
      </c>
      <c r="B40" s="40" t="str">
        <v>IN</v>
      </c>
      <c r="C40" s="28"/>
      <c r="D40" s="29"/>
      <c r="E40" s="29" t="str">
        <f t="shared" si="4"/>
        <v/>
      </c>
      <c r="F40" s="30" t="str">
        <f t="shared" si="5"/>
        <v/>
      </c>
      <c r="G40" s="31"/>
      <c r="H40" s="31" t="str">
        <f t="shared" si="6"/>
        <v/>
      </c>
      <c r="I40" s="32" t="str">
        <f t="shared" si="7"/>
        <v/>
      </c>
      <c r="J40" s="49"/>
      <c r="K40" s="67"/>
      <c r="L40" s="49"/>
      <c r="M40" s="101"/>
    </row>
    <row r="41" spans="1:15" ht="15.6">
      <c r="A41" s="41" t="str">
        <v>Alamogordo - City of Alamogordo - Effluent</v>
      </c>
      <c r="B41" s="42" t="str">
        <v>NM</v>
      </c>
      <c r="C41" s="35"/>
      <c r="D41" s="36"/>
      <c r="E41" s="36" t="str">
        <f t="shared" si="4"/>
        <v/>
      </c>
      <c r="F41" s="37" t="str">
        <f t="shared" si="5"/>
        <v/>
      </c>
      <c r="G41" s="38"/>
      <c r="H41" s="38" t="str">
        <f t="shared" si="6"/>
        <v/>
      </c>
      <c r="I41" s="37" t="str">
        <f t="shared" si="7"/>
        <v/>
      </c>
      <c r="J41" s="60"/>
      <c r="K41" s="75"/>
      <c r="L41" s="60"/>
    </row>
    <row r="42" spans="1:15" ht="15.6">
      <c r="A42" s="43" t="str">
        <v>Alamogordo - City of Alamogordo - WWTP</v>
      </c>
      <c r="B42" s="40" t="str">
        <v>NM</v>
      </c>
      <c r="C42" s="28"/>
      <c r="D42" s="29"/>
      <c r="E42" s="29" t="str">
        <f t="shared" si="4"/>
        <v/>
      </c>
      <c r="F42" s="30" t="str">
        <f t="shared" si="5"/>
        <v/>
      </c>
      <c r="G42" s="31"/>
      <c r="H42" s="31" t="str">
        <f t="shared" si="6"/>
        <v/>
      </c>
      <c r="I42" s="32" t="str">
        <f t="shared" si="7"/>
        <v/>
      </c>
      <c r="J42" s="49"/>
      <c r="K42" s="67"/>
      <c r="L42" s="49"/>
      <c r="M42" s="101"/>
    </row>
    <row r="43" spans="1:15" ht="15.6">
      <c r="A43" s="41" t="str">
        <v>Deming - Bilbo Booster</v>
      </c>
      <c r="B43" s="42" t="str">
        <v>NM</v>
      </c>
      <c r="C43" s="35"/>
      <c r="D43" s="36"/>
      <c r="E43" s="36" t="str">
        <f t="shared" si="4"/>
        <v/>
      </c>
      <c r="F43" s="37" t="str">
        <f t="shared" si="5"/>
        <v/>
      </c>
      <c r="G43" s="38"/>
      <c r="H43" s="38" t="str">
        <f t="shared" si="6"/>
        <v/>
      </c>
      <c r="I43" s="37" t="str">
        <f t="shared" si="7"/>
        <v/>
      </c>
      <c r="J43" s="60"/>
      <c r="K43" s="75"/>
      <c r="L43" s="60"/>
    </row>
    <row r="44" spans="1:15" ht="15.6">
      <c r="A44" s="43" t="str">
        <v>Deming - Bilbo Well</v>
      </c>
      <c r="B44" s="40" t="str">
        <v>NM</v>
      </c>
      <c r="C44" s="28"/>
      <c r="D44" s="29"/>
      <c r="E44" s="29" t="str">
        <f t="shared" si="4"/>
        <v/>
      </c>
      <c r="F44" s="30" t="str">
        <f t="shared" si="5"/>
        <v/>
      </c>
      <c r="G44" s="31"/>
      <c r="H44" s="31" t="str">
        <f t="shared" si="6"/>
        <v/>
      </c>
      <c r="I44" s="32" t="str">
        <f t="shared" si="7"/>
        <v/>
      </c>
      <c r="J44" s="49"/>
      <c r="K44" s="67"/>
      <c r="L44" s="49"/>
      <c r="M44" s="101"/>
    </row>
    <row r="45" spans="1:15" ht="15.6">
      <c r="A45" s="41" t="str">
        <v>Deming - WWTP</v>
      </c>
      <c r="B45" s="42" t="str">
        <v>NM</v>
      </c>
      <c r="C45" s="35"/>
      <c r="D45" s="36"/>
      <c r="E45" s="36" t="str">
        <f t="shared" si="4"/>
        <v/>
      </c>
      <c r="F45" s="37" t="str">
        <f t="shared" si="5"/>
        <v/>
      </c>
      <c r="G45" s="38"/>
      <c r="H45" s="38" t="str">
        <f t="shared" si="6"/>
        <v/>
      </c>
      <c r="I45" s="37" t="str">
        <f t="shared" si="7"/>
        <v/>
      </c>
      <c r="J45" s="60"/>
      <c r="K45" s="75"/>
      <c r="L45" s="60"/>
      <c r="M45" s="101"/>
    </row>
    <row r="46" spans="1:15" ht="15.6">
      <c r="A46" s="43" t="str">
        <v>Truth or Consequences - Walmart</v>
      </c>
      <c r="B46" s="40" t="str">
        <v>NM</v>
      </c>
      <c r="C46" s="28"/>
      <c r="D46" s="29"/>
      <c r="E46" s="29" t="str">
        <f t="shared" si="4"/>
        <v/>
      </c>
      <c r="F46" s="30" t="str">
        <f t="shared" si="5"/>
        <v/>
      </c>
      <c r="G46" s="31"/>
      <c r="H46" s="31" t="str">
        <f t="shared" si="6"/>
        <v/>
      </c>
      <c r="I46" s="32" t="str">
        <f t="shared" si="7"/>
        <v/>
      </c>
      <c r="J46" s="49"/>
      <c r="K46" s="67"/>
      <c r="L46" s="49"/>
      <c r="M46" s="101"/>
      <c r="N46" s="101"/>
      <c r="O46" s="101"/>
    </row>
    <row r="47" spans="1:15" ht="39.75" customHeight="1">
      <c r="A47" s="41" t="str">
        <v>CA: Stockton - SUSD - Merlo</v>
      </c>
      <c r="B47" s="42" t="str">
        <v>CA</v>
      </c>
      <c r="C47" s="35"/>
      <c r="D47" s="36"/>
      <c r="E47" s="36" t="str">
        <f t="shared" si="4"/>
        <v/>
      </c>
      <c r="F47" s="37" t="str">
        <f t="shared" si="5"/>
        <v/>
      </c>
      <c r="G47" s="38"/>
      <c r="H47" s="38" t="str">
        <f t="shared" si="6"/>
        <v/>
      </c>
      <c r="I47" s="37" t="str">
        <f t="shared" si="7"/>
        <v/>
      </c>
      <c r="J47" s="60"/>
      <c r="K47" s="75"/>
      <c r="L47" s="60"/>
      <c r="M47" s="101"/>
      <c r="N47" s="101"/>
    </row>
    <row r="48" spans="1:15" ht="15.6">
      <c r="A48" s="43" t="str">
        <v>Stockton Unified School Dist. - Bush Elementary</v>
      </c>
      <c r="B48" s="40" t="str">
        <v>CA</v>
      </c>
      <c r="C48" s="28"/>
      <c r="D48" s="29"/>
      <c r="E48" s="29" t="str">
        <f t="shared" si="4"/>
        <v/>
      </c>
      <c r="F48" s="30" t="str">
        <f t="shared" si="5"/>
        <v/>
      </c>
      <c r="G48" s="31"/>
      <c r="H48" s="31" t="str">
        <f t="shared" si="6"/>
        <v/>
      </c>
      <c r="I48" s="32" t="str">
        <f t="shared" si="7"/>
        <v/>
      </c>
      <c r="J48" s="49"/>
      <c r="K48" s="67"/>
      <c r="L48" s="49"/>
      <c r="M48" s="101"/>
      <c r="N48" s="101"/>
    </row>
    <row r="49" spans="1:17" ht="15.6">
      <c r="A49" s="41" t="str">
        <v>CA: Stockton - SUSD - Marshall JHS</v>
      </c>
      <c r="B49" s="42" t="str">
        <v>CA</v>
      </c>
      <c r="C49" s="35"/>
      <c r="D49" s="36"/>
      <c r="E49" s="36" t="str">
        <f t="shared" si="4"/>
        <v/>
      </c>
      <c r="F49" s="37" t="str">
        <f t="shared" si="5"/>
        <v/>
      </c>
      <c r="G49" s="38"/>
      <c r="H49" s="38" t="str">
        <f t="shared" si="6"/>
        <v/>
      </c>
      <c r="I49" s="37" t="str">
        <f t="shared" si="7"/>
        <v/>
      </c>
      <c r="J49" s="60"/>
      <c r="K49" s="75"/>
      <c r="L49" s="60"/>
    </row>
    <row r="50" spans="1:17" ht="48" customHeight="1">
      <c r="A50" s="43" t="str">
        <v>CA: Stockton - SUSD - Hong-Kingston ES</v>
      </c>
      <c r="B50" s="40" t="str">
        <v>CA</v>
      </c>
      <c r="C50" s="28"/>
      <c r="D50" s="29"/>
      <c r="E50" s="29" t="str">
        <f t="shared" si="4"/>
        <v/>
      </c>
      <c r="F50" s="30" t="str">
        <f t="shared" si="5"/>
        <v/>
      </c>
      <c r="G50" s="31"/>
      <c r="H50" s="31" t="str">
        <f t="shared" si="6"/>
        <v/>
      </c>
      <c r="I50" s="32" t="str">
        <f t="shared" si="7"/>
        <v/>
      </c>
      <c r="J50" s="49"/>
      <c r="K50" s="67"/>
      <c r="L50" s="49"/>
      <c r="M50" s="101"/>
    </row>
    <row r="51" spans="1:17" ht="15.6">
      <c r="A51" s="41" t="str">
        <v>CA: Stockton - SUSD - Hamilton ES</v>
      </c>
      <c r="B51" s="42" t="str">
        <v>CA</v>
      </c>
      <c r="C51" s="35"/>
      <c r="D51" s="36"/>
      <c r="E51" s="36" t="str">
        <f t="shared" si="4"/>
        <v/>
      </c>
      <c r="F51" s="37" t="str">
        <f t="shared" si="5"/>
        <v/>
      </c>
      <c r="G51" s="38"/>
      <c r="H51" s="38" t="str">
        <f t="shared" si="6"/>
        <v/>
      </c>
      <c r="I51" s="37" t="str">
        <f t="shared" si="7"/>
        <v/>
      </c>
      <c r="J51" s="60"/>
      <c r="K51" s="75"/>
      <c r="L51" s="60"/>
    </row>
    <row r="52" spans="1:17" ht="15.6">
      <c r="A52" s="43" t="str">
        <v>CA: Stockton - SUSD - Franklin - North</v>
      </c>
      <c r="B52" s="40" t="str">
        <v>CA</v>
      </c>
      <c r="C52" s="28"/>
      <c r="D52" s="29"/>
      <c r="E52" s="29" t="str">
        <f t="shared" si="4"/>
        <v/>
      </c>
      <c r="F52" s="30" t="str">
        <f t="shared" si="5"/>
        <v/>
      </c>
      <c r="G52" s="31"/>
      <c r="H52" s="31" t="str">
        <f t="shared" si="6"/>
        <v/>
      </c>
      <c r="I52" s="32" t="str">
        <f t="shared" si="7"/>
        <v/>
      </c>
      <c r="J52" s="49"/>
      <c r="K52" s="67"/>
      <c r="L52" s="49"/>
      <c r="M52" s="101"/>
      <c r="N52" s="101"/>
      <c r="O52" s="101"/>
    </row>
    <row r="53" spans="1:17" ht="15.6">
      <c r="A53" s="41" t="str">
        <v>Stockton Unified School Dist. - Fillmore Elementary</v>
      </c>
      <c r="B53" s="42" t="str">
        <v>CA</v>
      </c>
      <c r="C53" s="35"/>
      <c r="D53" s="36"/>
      <c r="E53" s="36" t="str">
        <f t="shared" si="4"/>
        <v/>
      </c>
      <c r="F53" s="37" t="str">
        <f t="shared" si="5"/>
        <v/>
      </c>
      <c r="G53" s="38"/>
      <c r="H53" s="38" t="str">
        <f t="shared" si="6"/>
        <v/>
      </c>
      <c r="I53" s="37" t="str">
        <f t="shared" si="7"/>
        <v/>
      </c>
      <c r="J53" s="60"/>
      <c r="K53" s="75"/>
      <c r="L53" s="60"/>
    </row>
    <row r="54" spans="1:17" ht="15.6">
      <c r="A54" s="43" t="str">
        <v>CA: Stockton - SUSD - El Dorado ES</v>
      </c>
      <c r="B54" s="40" t="str">
        <v>CA</v>
      </c>
      <c r="C54" s="28"/>
      <c r="D54" s="29"/>
      <c r="E54" s="29" t="str">
        <f t="shared" si="4"/>
        <v/>
      </c>
      <c r="F54" s="30" t="str">
        <f t="shared" si="5"/>
        <v/>
      </c>
      <c r="G54" s="31"/>
      <c r="H54" s="31" t="str">
        <f t="shared" si="6"/>
        <v/>
      </c>
      <c r="I54" s="32" t="str">
        <f t="shared" si="7"/>
        <v/>
      </c>
      <c r="J54" s="49"/>
      <c r="K54" s="67"/>
      <c r="L54" s="49"/>
    </row>
    <row r="55" spans="1:17" ht="15.6">
      <c r="A55" s="41" t="str">
        <v>CA: Stockton - SUSD - Edison HS</v>
      </c>
      <c r="B55" s="42" t="str">
        <v>CA</v>
      </c>
      <c r="C55" s="35"/>
      <c r="D55" s="36"/>
      <c r="E55" s="36" t="str">
        <f t="shared" si="4"/>
        <v/>
      </c>
      <c r="F55" s="37" t="str">
        <f t="shared" si="5"/>
        <v/>
      </c>
      <c r="G55" s="38"/>
      <c r="H55" s="38" t="str">
        <f t="shared" si="6"/>
        <v/>
      </c>
      <c r="I55" s="37" t="str">
        <f t="shared" si="7"/>
        <v/>
      </c>
      <c r="J55" s="60"/>
      <c r="K55" s="75"/>
      <c r="L55" s="60"/>
      <c r="M55" s="101"/>
      <c r="N55" s="101"/>
      <c r="O55" s="101"/>
      <c r="P55" s="101"/>
    </row>
    <row r="56" spans="1:17" ht="15.6">
      <c r="A56" s="43" t="str">
        <v>CA: Stockton - SUSD - Chavez HS - Large</v>
      </c>
      <c r="B56" s="40" t="str">
        <v>CA</v>
      </c>
      <c r="C56" s="28"/>
      <c r="D56" s="29"/>
      <c r="E56" s="29" t="str">
        <f t="shared" si="4"/>
        <v/>
      </c>
      <c r="F56" s="30" t="str">
        <f t="shared" si="5"/>
        <v/>
      </c>
      <c r="G56" s="31"/>
      <c r="H56" s="31" t="str">
        <f t="shared" si="6"/>
        <v/>
      </c>
      <c r="I56" s="32" t="str">
        <f t="shared" si="7"/>
        <v/>
      </c>
      <c r="J56" s="49"/>
      <c r="K56" s="67"/>
      <c r="L56" s="49"/>
      <c r="M56" s="101"/>
      <c r="N56" s="101"/>
    </row>
    <row r="57" spans="1:17" ht="15.6">
      <c r="A57" s="41" t="str">
        <v>CA: San Jose - GE Mobile Water</v>
      </c>
      <c r="B57" s="42" t="str">
        <v>CA</v>
      </c>
      <c r="C57" s="35"/>
      <c r="D57" s="36"/>
      <c r="E57" s="36" t="str">
        <f t="shared" si="4"/>
        <v/>
      </c>
      <c r="F57" s="37" t="str">
        <f t="shared" si="5"/>
        <v/>
      </c>
      <c r="G57" s="38"/>
      <c r="H57" s="38" t="str">
        <f t="shared" si="6"/>
        <v/>
      </c>
      <c r="I57" s="37" t="str">
        <f t="shared" si="7"/>
        <v/>
      </c>
      <c r="J57" s="60"/>
      <c r="K57" s="75"/>
      <c r="L57" s="60"/>
    </row>
    <row r="58" spans="1:17" ht="15.6">
      <c r="A58" s="43" t="str">
        <v>CA: San Marcos - Vallecitos Water - Lift Station</v>
      </c>
      <c r="B58" s="40" t="str">
        <v>CA</v>
      </c>
      <c r="C58" s="28"/>
      <c r="D58" s="29"/>
      <c r="E58" s="29" t="str">
        <f t="shared" si="4"/>
        <v/>
      </c>
      <c r="F58" s="30" t="str">
        <f t="shared" si="5"/>
        <v/>
      </c>
      <c r="G58" s="31"/>
      <c r="H58" s="31" t="str">
        <f t="shared" si="6"/>
        <v/>
      </c>
      <c r="I58" s="32" t="str">
        <f t="shared" si="7"/>
        <v/>
      </c>
      <c r="J58" s="49"/>
      <c r="K58" s="67"/>
      <c r="L58" s="49"/>
    </row>
    <row r="59" spans="1:17" ht="15.6">
      <c r="A59" s="41" t="str">
        <v>CA: San Marcos - Vallecitos Water - Twin Oaks Reservoir</v>
      </c>
      <c r="B59" s="42" t="str">
        <v>CA</v>
      </c>
      <c r="C59" s="35"/>
      <c r="D59" s="36"/>
      <c r="E59" s="36" t="str">
        <f t="shared" si="4"/>
        <v/>
      </c>
      <c r="F59" s="37" t="str">
        <f t="shared" si="5"/>
        <v/>
      </c>
      <c r="G59" s="38"/>
      <c r="H59" s="38" t="str">
        <f t="shared" si="6"/>
        <v/>
      </c>
      <c r="I59" s="37" t="str">
        <f t="shared" si="7"/>
        <v/>
      </c>
      <c r="J59" s="60"/>
      <c r="K59" s="75"/>
      <c r="L59" s="60"/>
      <c r="M59" s="101"/>
    </row>
    <row r="60" spans="1:17" ht="15.6">
      <c r="A60" s="43" t="str">
        <v>CA: Stockton - SUSD - Wilhelmina Henry ES</v>
      </c>
      <c r="B60" s="40" t="str">
        <v>CA</v>
      </c>
      <c r="C60" s="28"/>
      <c r="D60" s="29"/>
      <c r="E60" s="29" t="str">
        <f t="shared" si="4"/>
        <v/>
      </c>
      <c r="F60" s="30" t="str">
        <f t="shared" si="5"/>
        <v/>
      </c>
      <c r="G60" s="31"/>
      <c r="H60" s="31" t="str">
        <f t="shared" si="6"/>
        <v/>
      </c>
      <c r="I60" s="32" t="str">
        <f t="shared" si="7"/>
        <v/>
      </c>
      <c r="J60" s="49"/>
      <c r="K60" s="67"/>
      <c r="L60" s="49"/>
    </row>
    <row r="61" spans="1:17" ht="15.6">
      <c r="A61" s="41" t="str">
        <v>Stockton Unified School Dist. - Franklin (North)</v>
      </c>
      <c r="B61" s="42" t="str">
        <v>CA</v>
      </c>
      <c r="C61" s="35"/>
      <c r="D61" s="36"/>
      <c r="E61" s="36" t="str">
        <f t="shared" si="4"/>
        <v/>
      </c>
      <c r="F61" s="37" t="str">
        <f t="shared" si="5"/>
        <v/>
      </c>
      <c r="G61" s="38"/>
      <c r="H61" s="38" t="str">
        <f t="shared" si="6"/>
        <v/>
      </c>
      <c r="I61" s="37" t="str">
        <f t="shared" si="7"/>
        <v/>
      </c>
      <c r="J61" s="60"/>
      <c r="K61" s="75"/>
      <c r="L61" s="60"/>
      <c r="M61" s="101"/>
      <c r="N61" s="101"/>
      <c r="O61" s="101"/>
      <c r="P61" s="101"/>
    </row>
    <row r="62" spans="1:17" ht="15.6">
      <c r="A62" s="43" t="str">
        <v>CA: Stockton - SUSD - Franklin - South</v>
      </c>
      <c r="B62" s="40" t="str">
        <v>CA</v>
      </c>
      <c r="C62" s="28"/>
      <c r="D62" s="29"/>
      <c r="E62" s="29" t="str">
        <f t="shared" si="4"/>
        <v/>
      </c>
      <c r="F62" s="30" t="str">
        <f t="shared" si="5"/>
        <v/>
      </c>
      <c r="G62" s="31"/>
      <c r="H62" s="31" t="str">
        <f t="shared" si="6"/>
        <v/>
      </c>
      <c r="I62" s="32" t="str">
        <f t="shared" si="7"/>
        <v/>
      </c>
      <c r="J62" s="49"/>
      <c r="K62" s="67"/>
      <c r="L62" s="49"/>
      <c r="M62" s="101"/>
      <c r="N62" s="101"/>
      <c r="O62" s="101"/>
      <c r="P62" s="101"/>
      <c r="Q62" s="101"/>
    </row>
    <row r="63" spans="1:17" ht="15.6">
      <c r="A63" s="41" t="str">
        <v>CA: Stockton - SUSD - Chavez HS - Small</v>
      </c>
      <c r="B63" s="42" t="str">
        <v>CA</v>
      </c>
      <c r="C63" s="35"/>
      <c r="D63" s="36"/>
      <c r="E63" s="36" t="str">
        <f t="shared" si="4"/>
        <v/>
      </c>
      <c r="F63" s="37" t="str">
        <f t="shared" si="5"/>
        <v/>
      </c>
      <c r="G63" s="38"/>
      <c r="H63" s="38" t="str">
        <f t="shared" si="6"/>
        <v/>
      </c>
      <c r="I63" s="37" t="str">
        <f t="shared" si="7"/>
        <v/>
      </c>
      <c r="J63" s="60"/>
      <c r="K63" s="75"/>
      <c r="L63" s="60"/>
      <c r="M63" s="101"/>
      <c r="N63" s="101"/>
    </row>
    <row r="64" spans="1:17" ht="15.6">
      <c r="A64" s="43" t="str">
        <v>CA: Stockton - SUSD - Facilities</v>
      </c>
      <c r="B64" s="40" t="str">
        <v>CA</v>
      </c>
      <c r="C64" s="28"/>
      <c r="D64" s="29"/>
      <c r="E64" s="29" t="str">
        <f t="shared" si="4"/>
        <v/>
      </c>
      <c r="F64" s="30" t="str">
        <f t="shared" si="5"/>
        <v/>
      </c>
      <c r="G64" s="31"/>
      <c r="H64" s="31" t="str">
        <f t="shared" si="6"/>
        <v/>
      </c>
      <c r="I64" s="32" t="str">
        <f t="shared" si="7"/>
        <v/>
      </c>
      <c r="J64" s="49"/>
      <c r="K64" s="67"/>
      <c r="L64" s="49"/>
      <c r="M64" s="101"/>
    </row>
    <row r="65" spans="1:15" ht="15.6">
      <c r="A65" s="41" t="str">
        <v>CA: Stockton - SUSD - Harrison</v>
      </c>
      <c r="B65" s="42" t="str">
        <v>CA</v>
      </c>
      <c r="C65" s="35"/>
      <c r="D65" s="36"/>
      <c r="E65" s="36" t="str">
        <f t="shared" si="4"/>
        <v/>
      </c>
      <c r="F65" s="37" t="str">
        <f t="shared" si="5"/>
        <v/>
      </c>
      <c r="G65" s="38"/>
      <c r="H65" s="38" t="str">
        <f t="shared" si="6"/>
        <v/>
      </c>
      <c r="I65" s="37" t="str">
        <f t="shared" si="7"/>
        <v/>
      </c>
      <c r="J65" s="60"/>
      <c r="K65" s="75"/>
      <c r="L65" s="60"/>
      <c r="M65" s="101"/>
      <c r="N65" s="101"/>
    </row>
    <row r="66" spans="1:15" ht="33.75" customHeight="1">
      <c r="A66" s="43" t="str">
        <v>CA: Stockton - SUSD - Commodore Skills School</v>
      </c>
      <c r="B66" s="40" t="str">
        <v>CA</v>
      </c>
      <c r="C66" s="28"/>
      <c r="D66" s="29"/>
      <c r="E66" s="29" t="str">
        <f t="shared" si="4"/>
        <v/>
      </c>
      <c r="F66" s="30" t="str">
        <f t="shared" si="5"/>
        <v/>
      </c>
      <c r="G66" s="31"/>
      <c r="H66" s="31" t="str">
        <f t="shared" si="6"/>
        <v/>
      </c>
      <c r="I66" s="32" t="str">
        <f t="shared" si="7"/>
        <v/>
      </c>
      <c r="J66" s="49"/>
      <c r="K66" s="67"/>
      <c r="L66" s="49"/>
      <c r="M66" s="101"/>
      <c r="N66" s="101"/>
    </row>
    <row r="67" spans="1:15" ht="15.6">
      <c r="A67" s="41" t="str">
        <v>CA: Stockton - SUSD - Nightingale ES</v>
      </c>
      <c r="B67" s="42" t="str">
        <v>CA</v>
      </c>
      <c r="C67" s="35"/>
      <c r="D67" s="36"/>
      <c r="E67" s="36" t="str">
        <f t="shared" si="4"/>
        <v/>
      </c>
      <c r="F67" s="37" t="str">
        <f t="shared" si="5"/>
        <v/>
      </c>
      <c r="G67" s="38"/>
      <c r="H67" s="38" t="str">
        <f t="shared" si="6"/>
        <v/>
      </c>
      <c r="I67" s="37" t="str">
        <f t="shared" si="7"/>
        <v/>
      </c>
      <c r="J67" s="60"/>
      <c r="K67" s="75"/>
      <c r="L67" s="60"/>
    </row>
    <row r="68" spans="1:15" ht="15.6">
      <c r="A68" s="43" t="str">
        <v>CA: Stockton - SUSD - Weber Institute</v>
      </c>
      <c r="B68" s="40" t="str">
        <v>CA</v>
      </c>
      <c r="C68" s="28"/>
      <c r="D68" s="29"/>
      <c r="E68" s="29" t="str">
        <f t="shared" si="4"/>
        <v/>
      </c>
      <c r="F68" s="30" t="str">
        <f t="shared" si="5"/>
        <v/>
      </c>
      <c r="G68" s="31"/>
      <c r="H68" s="31" t="str">
        <f t="shared" si="6"/>
        <v/>
      </c>
      <c r="I68" s="32" t="str">
        <f t="shared" si="7"/>
        <v/>
      </c>
      <c r="J68" s="49"/>
      <c r="K68" s="67"/>
      <c r="L68" s="49"/>
      <c r="M68" s="101"/>
      <c r="N68" s="101"/>
    </row>
    <row r="69" spans="1:15" ht="15.6">
      <c r="A69" s="41" t="str">
        <v>CA: Stockton - SUSD - Warehouse</v>
      </c>
      <c r="B69" s="42" t="str">
        <v>CA</v>
      </c>
      <c r="C69" s="35"/>
      <c r="D69" s="36"/>
      <c r="E69" s="36" t="str">
        <f t="shared" si="4"/>
        <v/>
      </c>
      <c r="F69" s="37" t="str">
        <f t="shared" si="5"/>
        <v/>
      </c>
      <c r="G69" s="38"/>
      <c r="H69" s="38" t="str">
        <f t="shared" si="6"/>
        <v/>
      </c>
      <c r="I69" s="37" t="str">
        <f t="shared" si="7"/>
        <v/>
      </c>
      <c r="J69" s="60"/>
      <c r="K69" s="75"/>
      <c r="L69" s="60"/>
      <c r="M69" s="101"/>
      <c r="N69" s="101"/>
    </row>
    <row r="70" spans="1:15" ht="15.6">
      <c r="A70" s="43" t="str">
        <v>CA: Stockton - SUSD - Walton Special Center</v>
      </c>
      <c r="B70" s="40" t="str">
        <v>CA</v>
      </c>
      <c r="C70" s="28"/>
      <c r="D70" s="29"/>
      <c r="E70" s="29" t="str">
        <f t="shared" si="4"/>
        <v/>
      </c>
      <c r="F70" s="30" t="str">
        <f t="shared" si="5"/>
        <v/>
      </c>
      <c r="G70" s="31"/>
      <c r="H70" s="31" t="str">
        <f t="shared" si="6"/>
        <v/>
      </c>
      <c r="I70" s="32" t="str">
        <f t="shared" si="7"/>
        <v/>
      </c>
      <c r="J70" s="49"/>
      <c r="K70" s="67"/>
      <c r="L70" s="49"/>
      <c r="M70" s="101"/>
    </row>
    <row r="71" spans="1:15" ht="15.6">
      <c r="A71" s="41" t="str">
        <v>CA: Stockton - SUSD - Stagg HS</v>
      </c>
      <c r="B71" s="42" t="str">
        <v>CA</v>
      </c>
      <c r="C71" s="35"/>
      <c r="D71" s="36"/>
      <c r="E71" s="36" t="str">
        <f t="shared" si="4"/>
        <v/>
      </c>
      <c r="F71" s="37" t="str">
        <f t="shared" si="5"/>
        <v/>
      </c>
      <c r="G71" s="38"/>
      <c r="H71" s="38" t="str">
        <f t="shared" si="6"/>
        <v/>
      </c>
      <c r="I71" s="37" t="str">
        <f t="shared" si="7"/>
        <v/>
      </c>
      <c r="J71" s="60"/>
      <c r="K71" s="75"/>
      <c r="L71" s="60"/>
      <c r="M71" s="101"/>
    </row>
    <row r="72" spans="1:15" ht="15.6">
      <c r="A72" s="43" t="str">
        <v>CA: Stockton - SUSD - School for Adults</v>
      </c>
      <c r="B72" s="40" t="str">
        <v>CA</v>
      </c>
      <c r="C72" s="28"/>
      <c r="D72" s="29"/>
      <c r="E72" s="29" t="str">
        <f t="shared" si="4"/>
        <v/>
      </c>
      <c r="F72" s="30" t="str">
        <f t="shared" si="5"/>
        <v/>
      </c>
      <c r="G72" s="31"/>
      <c r="H72" s="31" t="str">
        <f t="shared" si="6"/>
        <v/>
      </c>
      <c r="I72" s="32" t="str">
        <f t="shared" si="7"/>
        <v/>
      </c>
      <c r="J72" s="49"/>
      <c r="K72" s="67"/>
      <c r="L72" s="49"/>
      <c r="M72" s="101"/>
    </row>
    <row r="73" spans="1:15" ht="15.6">
      <c r="A73" s="41" t="str">
        <v>CA: Stockton - SUSD - San Joaquin</v>
      </c>
      <c r="B73" s="42" t="str">
        <v>CA</v>
      </c>
      <c r="C73" s="35"/>
      <c r="D73" s="36"/>
      <c r="E73" s="36" t="str">
        <f t="shared" si="4"/>
        <v/>
      </c>
      <c r="F73" s="37" t="str">
        <f t="shared" si="5"/>
        <v/>
      </c>
      <c r="G73" s="38"/>
      <c r="H73" s="38" t="str">
        <f t="shared" si="6"/>
        <v/>
      </c>
      <c r="I73" s="37" t="str">
        <f t="shared" si="7"/>
        <v/>
      </c>
      <c r="J73" s="60"/>
      <c r="K73" s="75"/>
      <c r="L73" s="60"/>
      <c r="M73" s="101"/>
    </row>
    <row r="74" spans="1:15" ht="15.6">
      <c r="A74" s="43" t="str">
        <v>CA: Stockton - SUSD - Rio Calaveras</v>
      </c>
      <c r="B74" s="40" t="str">
        <v>CA</v>
      </c>
      <c r="C74" s="28"/>
      <c r="D74" s="29"/>
      <c r="E74" s="29" t="str">
        <f t="shared" si="4"/>
        <v/>
      </c>
      <c r="F74" s="30" t="str">
        <f t="shared" si="5"/>
        <v/>
      </c>
      <c r="G74" s="31"/>
      <c r="H74" s="31" t="str">
        <f t="shared" si="6"/>
        <v/>
      </c>
      <c r="I74" s="32" t="str">
        <f t="shared" si="7"/>
        <v/>
      </c>
      <c r="J74" s="49"/>
      <c r="K74" s="67"/>
      <c r="L74" s="49"/>
      <c r="M74" s="101"/>
      <c r="N74" s="101"/>
    </row>
    <row r="75" spans="1:15" ht="15.6">
      <c r="A75" s="41" t="str">
        <v>CA: Stockton - SUSD - Peyton</v>
      </c>
      <c r="B75" s="42" t="str">
        <v>CA</v>
      </c>
      <c r="C75" s="35"/>
      <c r="D75" s="36"/>
      <c r="E75" s="36" t="str">
        <f t="shared" si="4"/>
        <v/>
      </c>
      <c r="F75" s="37" t="str">
        <f t="shared" si="5"/>
        <v/>
      </c>
      <c r="G75" s="38"/>
      <c r="H75" s="38" t="str">
        <f t="shared" si="6"/>
        <v/>
      </c>
      <c r="I75" s="37" t="str">
        <f t="shared" si="7"/>
        <v/>
      </c>
      <c r="J75" s="60"/>
      <c r="K75" s="75"/>
      <c r="L75" s="60"/>
      <c r="M75" s="101"/>
      <c r="N75" s="101"/>
    </row>
    <row r="76" spans="1:15" ht="15.6">
      <c r="A76" s="43" t="str">
        <v>TX: Barnhart - 42917 Ranch RD 2469</v>
      </c>
      <c r="B76" s="40" t="str">
        <v>TX</v>
      </c>
      <c r="C76" s="28"/>
      <c r="D76" s="29"/>
      <c r="E76" s="29" t="str">
        <f t="shared" si="4"/>
        <v/>
      </c>
      <c r="F76" s="30" t="str">
        <f t="shared" si="5"/>
        <v/>
      </c>
      <c r="G76" s="31"/>
      <c r="H76" s="31" t="str">
        <f t="shared" si="6"/>
        <v/>
      </c>
      <c r="I76" s="32" t="str">
        <f t="shared" si="7"/>
        <v/>
      </c>
      <c r="J76" s="49"/>
      <c r="K76" s="67"/>
      <c r="L76" s="49"/>
      <c r="M76" s="101"/>
      <c r="N76" s="101"/>
      <c r="O76" s="101"/>
    </row>
    <row r="77" spans="1:15" ht="15.6">
      <c r="A77" s="41" t="str">
        <v>AZ: San Manuel - Senior &amp; Junior HS</v>
      </c>
      <c r="B77" s="42" t="str">
        <v>AZ</v>
      </c>
      <c r="C77" s="35"/>
      <c r="D77" s="36"/>
      <c r="E77" s="36" t="str">
        <f t="shared" ref="E77:E85" si="8">IF(AND(ISNUMBER(C77),ISNUMBER(D77)), C77-D77, "")</f>
        <v/>
      </c>
      <c r="F77" s="37" t="str">
        <f t="shared" ref="F77:F85" si="9">IFERROR(E77/D77, "")</f>
        <v/>
      </c>
      <c r="G77" s="38"/>
      <c r="H77" s="38" t="str">
        <f t="shared" ref="H77:H85" si="10">IF(AND(ISNUMBER(C77),ISNUMBER(G77)), C77-G77, "")</f>
        <v/>
      </c>
      <c r="I77" s="37" t="str">
        <f t="shared" ref="I77:I85" si="11">IFERROR(H77/G77, "")</f>
        <v/>
      </c>
      <c r="J77" s="60"/>
      <c r="K77" s="75"/>
      <c r="L77" s="60"/>
      <c r="M77" s="101"/>
    </row>
    <row r="78" spans="1:15" ht="15.6">
      <c r="A78" s="43" t="str">
        <v>AZ: Sierra Vista - Colonel Smith MS</v>
      </c>
      <c r="B78" s="40" t="str">
        <v>AZ</v>
      </c>
      <c r="C78" s="28"/>
      <c r="D78" s="29"/>
      <c r="E78" s="29" t="str">
        <f t="shared" si="8"/>
        <v/>
      </c>
      <c r="F78" s="30" t="str">
        <f t="shared" si="9"/>
        <v/>
      </c>
      <c r="G78" s="31"/>
      <c r="H78" s="31" t="str">
        <f t="shared" si="10"/>
        <v/>
      </c>
      <c r="I78" s="32" t="str">
        <f t="shared" si="11"/>
        <v/>
      </c>
      <c r="J78" s="49"/>
      <c r="K78" s="67"/>
      <c r="L78" s="49"/>
      <c r="M78" s="101"/>
    </row>
    <row r="79" spans="1:15" ht="15.6">
      <c r="A79" s="41" t="str">
        <v>AZ: Sierra Vista - Colonel Johnston ES</v>
      </c>
      <c r="B79" s="42" t="str">
        <v>AZ</v>
      </c>
      <c r="C79" s="35"/>
      <c r="D79" s="36"/>
      <c r="E79" s="36" t="str">
        <f t="shared" si="8"/>
        <v/>
      </c>
      <c r="F79" s="37" t="str">
        <f t="shared" si="9"/>
        <v/>
      </c>
      <c r="G79" s="38"/>
      <c r="H79" s="38" t="str">
        <f t="shared" si="10"/>
        <v/>
      </c>
      <c r="I79" s="37" t="str">
        <f t="shared" si="11"/>
        <v/>
      </c>
      <c r="J79" s="60"/>
      <c r="K79" s="75"/>
      <c r="L79" s="60"/>
    </row>
    <row r="80" spans="1:15" ht="15.6">
      <c r="A80" s="43" t="str">
        <v>NH: Dover - Dover HS</v>
      </c>
      <c r="B80" s="40" t="str">
        <v>NH</v>
      </c>
      <c r="C80" s="28"/>
      <c r="D80" s="29"/>
      <c r="E80" s="29" t="str">
        <f t="shared" si="8"/>
        <v/>
      </c>
      <c r="F80" s="30" t="str">
        <f t="shared" si="9"/>
        <v/>
      </c>
      <c r="G80" s="31"/>
      <c r="H80" s="31" t="str">
        <f t="shared" si="10"/>
        <v/>
      </c>
      <c r="I80" s="32" t="str">
        <f t="shared" si="11"/>
        <v/>
      </c>
      <c r="J80" s="49"/>
      <c r="K80" s="67"/>
      <c r="L80" s="49"/>
      <c r="M80" s="101"/>
    </row>
    <row r="81" spans="1:13" ht="15.6">
      <c r="A81" s="41" t="str">
        <v>MA: Somerville - 30 Inner Belt Rd</v>
      </c>
      <c r="B81" s="42" t="str">
        <v>MA</v>
      </c>
      <c r="C81" s="35"/>
      <c r="D81" s="36"/>
      <c r="E81" s="36" t="str">
        <f t="shared" si="8"/>
        <v/>
      </c>
      <c r="F81" s="37" t="str">
        <f t="shared" si="9"/>
        <v/>
      </c>
      <c r="G81" s="38"/>
      <c r="H81" s="38" t="str">
        <f t="shared" si="10"/>
        <v/>
      </c>
      <c r="I81" s="37" t="str">
        <f t="shared" si="11"/>
        <v/>
      </c>
      <c r="J81" s="60"/>
      <c r="K81" s="75"/>
      <c r="L81" s="60"/>
      <c r="M81" s="101"/>
    </row>
    <row r="82" spans="1:13" ht="15.6">
      <c r="A82" s="43" t="str">
        <v>MA: Boxborough - 1414 Massachusetts Ave</v>
      </c>
      <c r="B82" s="40" t="str">
        <v>MA</v>
      </c>
      <c r="C82" s="28"/>
      <c r="D82" s="29"/>
      <c r="E82" s="29" t="str">
        <f t="shared" si="8"/>
        <v/>
      </c>
      <c r="F82" s="30" t="str">
        <f t="shared" si="9"/>
        <v/>
      </c>
      <c r="G82" s="31"/>
      <c r="H82" s="31" t="str">
        <f t="shared" si="10"/>
        <v/>
      </c>
      <c r="I82" s="32" t="str">
        <f t="shared" si="11"/>
        <v/>
      </c>
      <c r="J82" s="49"/>
      <c r="K82" s="67"/>
      <c r="L82" s="49"/>
    </row>
    <row r="83" spans="1:13" ht="15.6">
      <c r="A83" s="41" t="str">
        <v>NY: Amsterdam - 153 NY Route 67</v>
      </c>
      <c r="B83" s="42" t="str">
        <v>NY</v>
      </c>
      <c r="C83" s="35"/>
      <c r="D83" s="36"/>
      <c r="E83" s="36" t="str">
        <f t="shared" si="8"/>
        <v/>
      </c>
      <c r="F83" s="37" t="str">
        <f t="shared" si="9"/>
        <v/>
      </c>
      <c r="G83" s="38"/>
      <c r="H83" s="38" t="str">
        <f t="shared" si="10"/>
        <v/>
      </c>
      <c r="I83" s="37" t="str">
        <f t="shared" si="11"/>
        <v/>
      </c>
      <c r="J83" s="60"/>
      <c r="K83" s="75"/>
      <c r="L83" s="60"/>
      <c r="M83" s="101"/>
    </row>
    <row r="84" spans="1:13" ht="15.6">
      <c r="A84" s="43" t="str">
        <v>CA: San Jose - GE Mobile Water</v>
      </c>
      <c r="B84" s="40" t="str">
        <v>CA</v>
      </c>
      <c r="C84" s="28"/>
      <c r="D84" s="29"/>
      <c r="E84" s="29" t="str">
        <f t="shared" si="8"/>
        <v/>
      </c>
      <c r="F84" s="30" t="str">
        <f t="shared" si="9"/>
        <v/>
      </c>
      <c r="G84" s="31"/>
      <c r="H84" s="31" t="str">
        <f t="shared" si="10"/>
        <v/>
      </c>
      <c r="I84" s="32" t="str">
        <f t="shared" si="11"/>
        <v/>
      </c>
      <c r="J84" s="49"/>
      <c r="K84" s="67"/>
      <c r="L84" s="49"/>
      <c r="M84" s="101"/>
    </row>
    <row r="85" spans="1:13" ht="15.6">
      <c r="A85" s="41" t="str">
        <v>NY: Rome - 7776 Tannery RD</v>
      </c>
      <c r="B85" s="42" t="str">
        <v>NY</v>
      </c>
      <c r="C85" s="35"/>
      <c r="D85" s="36"/>
      <c r="E85" s="36" t="str">
        <f t="shared" si="8"/>
        <v/>
      </c>
      <c r="F85" s="37" t="str">
        <f t="shared" si="9"/>
        <v/>
      </c>
      <c r="G85" s="38"/>
      <c r="H85" s="38" t="str">
        <f t="shared" si="10"/>
        <v/>
      </c>
      <c r="I85" s="37" t="str">
        <f t="shared" si="11"/>
        <v/>
      </c>
      <c r="J85" s="60"/>
      <c r="K85" s="60"/>
      <c r="L85" s="60"/>
    </row>
    <row r="86" spans="1:13" ht="14.45">
      <c r="A86" s="8"/>
      <c r="B86" s="13"/>
      <c r="C86" s="8"/>
      <c r="D86" s="8"/>
      <c r="E86" s="8"/>
      <c r="F86" s="9"/>
      <c r="G86" s="8"/>
      <c r="H86" s="8"/>
      <c r="I86" s="9"/>
      <c r="J86" s="8"/>
      <c r="K86" s="8"/>
      <c r="L86" s="8"/>
    </row>
    <row r="87" spans="1:13" ht="14.45">
      <c r="A87" s="8"/>
      <c r="B87" s="13"/>
      <c r="C87" s="8"/>
      <c r="D87" s="8"/>
      <c r="E87" s="8"/>
      <c r="F87" s="9"/>
      <c r="G87" s="8"/>
      <c r="H87" s="8"/>
      <c r="I87" s="9"/>
      <c r="J87" s="8"/>
      <c r="K87" s="8"/>
      <c r="L87" s="8"/>
    </row>
    <row r="88" spans="1:13" ht="14.45">
      <c r="A88" s="8"/>
      <c r="B88" s="13"/>
      <c r="C88" s="8"/>
      <c r="D88" s="8"/>
      <c r="E88" s="8"/>
      <c r="F88" s="9"/>
      <c r="G88" s="8"/>
      <c r="H88" s="8"/>
      <c r="I88" s="9"/>
      <c r="J88" s="8"/>
      <c r="K88" s="8"/>
      <c r="L88" s="8"/>
    </row>
    <row r="89" spans="1:13" ht="14.45">
      <c r="A89" s="8"/>
      <c r="B89" s="13"/>
      <c r="C89" s="8"/>
      <c r="D89" s="8"/>
      <c r="E89" s="8"/>
      <c r="F89" s="9"/>
      <c r="G89" s="8"/>
      <c r="H89" s="8"/>
      <c r="I89" s="9"/>
      <c r="J89" s="8"/>
      <c r="K89" s="8"/>
      <c r="L89" s="8"/>
    </row>
    <row r="90" spans="1:13" ht="14.45">
      <c r="A90" s="8"/>
      <c r="B90" s="13"/>
      <c r="C90" s="8"/>
      <c r="D90" s="8"/>
      <c r="E90" s="8"/>
      <c r="F90" s="9"/>
      <c r="G90" s="8"/>
      <c r="H90" s="8"/>
      <c r="I90" s="9"/>
      <c r="J90" s="8"/>
      <c r="K90" s="8"/>
      <c r="L90" s="8"/>
    </row>
    <row r="91" spans="1:13" ht="14.45">
      <c r="A91" s="8"/>
      <c r="B91" s="13"/>
      <c r="C91" s="8"/>
      <c r="D91" s="8"/>
      <c r="E91" s="8"/>
      <c r="F91" s="9"/>
      <c r="G91" s="8"/>
      <c r="H91" s="8"/>
      <c r="I91" s="9"/>
      <c r="J91" s="8"/>
      <c r="K91" s="8"/>
      <c r="L91" s="8"/>
    </row>
    <row r="92" spans="1:13" ht="14.45">
      <c r="A92" s="8"/>
      <c r="B92" s="13"/>
      <c r="C92" s="8"/>
      <c r="D92" s="8"/>
      <c r="E92" s="8"/>
      <c r="F92" s="9"/>
      <c r="G92" s="8"/>
      <c r="H92" s="8"/>
      <c r="I92" s="9"/>
      <c r="J92" s="8"/>
      <c r="K92" s="8"/>
      <c r="L92" s="8"/>
    </row>
    <row r="93" spans="1:13" ht="14.45">
      <c r="A93" s="8"/>
      <c r="B93" s="13"/>
      <c r="C93" s="8"/>
      <c r="D93" s="8"/>
      <c r="E93" s="8"/>
      <c r="F93" s="9"/>
      <c r="G93" s="8"/>
      <c r="H93" s="8"/>
      <c r="I93" s="9"/>
      <c r="J93" s="8"/>
      <c r="K93" s="8"/>
      <c r="L93" s="8"/>
    </row>
    <row r="94" spans="1:13" ht="14.45">
      <c r="A94" s="8"/>
      <c r="B94" s="13"/>
      <c r="C94" s="8"/>
      <c r="D94" s="8"/>
      <c r="E94" s="8"/>
      <c r="F94" s="9"/>
      <c r="G94" s="8"/>
      <c r="H94" s="8"/>
      <c r="I94" s="9"/>
      <c r="J94" s="8"/>
      <c r="K94" s="8"/>
      <c r="L94" s="8"/>
    </row>
    <row r="95" spans="1:13" ht="14.45">
      <c r="A95" s="8"/>
      <c r="B95" s="13"/>
      <c r="C95" s="8"/>
      <c r="D95" s="8"/>
      <c r="E95" s="8"/>
      <c r="F95" s="9"/>
      <c r="G95" s="8"/>
      <c r="H95" s="8"/>
      <c r="I95" s="9"/>
      <c r="J95" s="8"/>
      <c r="K95" s="8"/>
      <c r="L95" s="8"/>
    </row>
    <row r="96" spans="1:13" ht="14.45">
      <c r="A96" s="8"/>
      <c r="B96" s="13"/>
      <c r="C96" s="8"/>
      <c r="D96" s="8"/>
      <c r="E96" s="8"/>
      <c r="F96" s="9"/>
      <c r="G96" s="8"/>
      <c r="H96" s="8"/>
      <c r="I96" s="9"/>
      <c r="J96" s="8"/>
      <c r="K96" s="8"/>
      <c r="L96" s="8"/>
    </row>
    <row r="97" spans="1:12" ht="14.45">
      <c r="A97" s="8"/>
      <c r="B97" s="13"/>
      <c r="C97" s="8"/>
      <c r="D97" s="8"/>
      <c r="E97" s="8"/>
      <c r="F97" s="9"/>
      <c r="G97" s="8"/>
      <c r="H97" s="8"/>
      <c r="I97" s="9"/>
      <c r="J97" s="8"/>
      <c r="K97" s="8"/>
      <c r="L97" s="8"/>
    </row>
    <row r="98" spans="1:12" ht="14.45">
      <c r="A98" s="8"/>
      <c r="B98" s="13"/>
      <c r="C98" s="8"/>
      <c r="D98" s="8"/>
      <c r="E98" s="8"/>
      <c r="F98" s="9"/>
      <c r="G98" s="8"/>
      <c r="H98" s="8"/>
      <c r="I98" s="9"/>
      <c r="J98" s="8"/>
      <c r="K98" s="8"/>
      <c r="L98" s="8"/>
    </row>
    <row r="99" spans="1:12" ht="14.45">
      <c r="A99" s="8"/>
      <c r="B99" s="13"/>
      <c r="C99" s="8"/>
      <c r="D99" s="8"/>
      <c r="E99" s="8"/>
      <c r="F99" s="9"/>
      <c r="G99" s="8"/>
      <c r="H99" s="8"/>
      <c r="I99" s="9"/>
      <c r="J99" s="8"/>
      <c r="K99" s="8"/>
      <c r="L99" s="8"/>
    </row>
    <row r="100" spans="1:12" ht="14.45">
      <c r="A100" s="8"/>
      <c r="B100" s="13"/>
      <c r="C100" s="8"/>
      <c r="D100" s="8"/>
      <c r="E100" s="8"/>
      <c r="F100" s="9"/>
      <c r="G100" s="8"/>
      <c r="H100" s="8"/>
      <c r="I100" s="9"/>
      <c r="J100" s="8"/>
      <c r="K100" s="8"/>
      <c r="L100" s="8"/>
    </row>
    <row r="101" spans="1:12" ht="14.45">
      <c r="A101" s="8"/>
      <c r="B101" s="13"/>
      <c r="C101" s="8"/>
      <c r="D101" s="8"/>
      <c r="E101" s="8"/>
      <c r="F101" s="9"/>
      <c r="G101" s="8"/>
      <c r="H101" s="8"/>
      <c r="I101" s="9"/>
      <c r="J101" s="8"/>
      <c r="K101" s="8"/>
      <c r="L101" s="8"/>
    </row>
    <row r="102" spans="1:12" ht="14.45">
      <c r="A102" s="8"/>
      <c r="B102" s="13"/>
      <c r="C102" s="8"/>
      <c r="D102" s="8"/>
      <c r="E102" s="8"/>
      <c r="F102" s="9"/>
      <c r="G102" s="8"/>
      <c r="H102" s="8"/>
      <c r="I102" s="9"/>
      <c r="J102" s="8"/>
      <c r="K102" s="8"/>
      <c r="L102" s="8"/>
    </row>
    <row r="103" spans="1:12" ht="14.45">
      <c r="A103" s="8"/>
      <c r="B103" s="13"/>
      <c r="C103" s="8"/>
      <c r="D103" s="8"/>
      <c r="E103" s="8"/>
      <c r="F103" s="9"/>
      <c r="G103" s="8"/>
      <c r="H103" s="8"/>
      <c r="I103" s="9"/>
      <c r="J103" s="8"/>
      <c r="K103" s="8"/>
      <c r="L103" s="8"/>
    </row>
    <row r="104" spans="1:12" ht="14.45">
      <c r="A104" s="8"/>
      <c r="B104" s="13"/>
      <c r="C104" s="8"/>
      <c r="D104" s="8"/>
      <c r="E104" s="8"/>
      <c r="F104" s="9"/>
      <c r="G104" s="8"/>
      <c r="H104" s="8"/>
      <c r="I104" s="9"/>
      <c r="J104" s="8"/>
      <c r="K104" s="8"/>
      <c r="L104" s="8"/>
    </row>
    <row r="105" spans="1:12" ht="14.45">
      <c r="A105" s="8"/>
      <c r="B105" s="13"/>
      <c r="C105" s="8"/>
      <c r="D105" s="8"/>
      <c r="E105" s="8"/>
      <c r="F105" s="9"/>
      <c r="G105" s="8"/>
      <c r="H105" s="8"/>
      <c r="I105" s="9"/>
      <c r="J105" s="8"/>
      <c r="K105" s="8"/>
      <c r="L105" s="8"/>
    </row>
    <row r="106" spans="1:12" ht="14.45">
      <c r="A106" s="8"/>
      <c r="B106" s="13"/>
      <c r="C106" s="8"/>
      <c r="D106" s="8"/>
      <c r="E106" s="8"/>
      <c r="F106" s="9"/>
      <c r="G106" s="8"/>
      <c r="H106" s="8"/>
      <c r="I106" s="9"/>
      <c r="J106" s="8"/>
      <c r="K106" s="8"/>
      <c r="L106" s="8"/>
    </row>
    <row r="107" spans="1:12" ht="14.45">
      <c r="A107" s="8"/>
      <c r="B107" s="13"/>
      <c r="C107" s="8"/>
      <c r="D107" s="8"/>
      <c r="E107" s="8"/>
      <c r="F107" s="9"/>
      <c r="G107" s="8"/>
      <c r="H107" s="8"/>
      <c r="I107" s="9"/>
      <c r="J107" s="8"/>
      <c r="K107" s="8"/>
      <c r="L107" s="8"/>
    </row>
    <row r="108" spans="1:12" ht="14.45">
      <c r="A108" s="8"/>
      <c r="B108" s="13"/>
      <c r="C108" s="8"/>
      <c r="D108" s="8"/>
      <c r="E108" s="8"/>
      <c r="F108" s="9"/>
      <c r="G108" s="8"/>
      <c r="H108" s="8"/>
      <c r="I108" s="9"/>
      <c r="J108" s="8"/>
      <c r="K108" s="8"/>
      <c r="L108" s="8"/>
    </row>
    <row r="109" spans="1:12" ht="14.45">
      <c r="A109" s="8"/>
      <c r="B109" s="13"/>
      <c r="C109" s="8"/>
      <c r="D109" s="8"/>
      <c r="E109" s="8"/>
      <c r="F109" s="9"/>
      <c r="G109" s="8"/>
      <c r="H109" s="8"/>
      <c r="I109" s="9"/>
      <c r="J109" s="8"/>
      <c r="K109" s="8"/>
      <c r="L109" s="8"/>
    </row>
    <row r="110" spans="1:12" ht="14.45">
      <c r="A110" s="8"/>
      <c r="B110" s="13"/>
      <c r="C110" s="8"/>
      <c r="D110" s="8"/>
      <c r="E110" s="8"/>
      <c r="F110" s="9"/>
      <c r="G110" s="8"/>
      <c r="H110" s="8"/>
      <c r="I110" s="9"/>
      <c r="J110" s="8"/>
      <c r="K110" s="8"/>
      <c r="L110" s="8"/>
    </row>
    <row r="111" spans="1:12" ht="14.45">
      <c r="A111" s="8"/>
      <c r="B111" s="13"/>
      <c r="C111" s="8"/>
      <c r="D111" s="8"/>
      <c r="E111" s="8"/>
      <c r="F111" s="9"/>
      <c r="G111" s="8"/>
      <c r="H111" s="8"/>
      <c r="I111" s="9"/>
      <c r="J111" s="8"/>
      <c r="K111" s="8"/>
      <c r="L111" s="8"/>
    </row>
    <row r="112" spans="1:12" ht="14.45">
      <c r="A112" s="8"/>
      <c r="B112" s="13"/>
      <c r="C112" s="8"/>
      <c r="D112" s="8"/>
      <c r="E112" s="8"/>
      <c r="F112" s="9"/>
      <c r="G112" s="8"/>
      <c r="H112" s="8"/>
      <c r="I112" s="9"/>
      <c r="J112" s="8"/>
      <c r="K112" s="8"/>
      <c r="L112" s="8"/>
    </row>
    <row r="113" spans="1:12" ht="14.45">
      <c r="A113" s="8"/>
      <c r="B113" s="13"/>
      <c r="C113" s="8"/>
      <c r="D113" s="8"/>
      <c r="E113" s="8"/>
      <c r="F113" s="9"/>
      <c r="G113" s="8"/>
      <c r="H113" s="8"/>
      <c r="I113" s="9"/>
      <c r="J113" s="8"/>
      <c r="K113" s="8"/>
      <c r="L113" s="8"/>
    </row>
    <row r="114" spans="1:12" ht="14.45">
      <c r="A114" s="8"/>
      <c r="B114" s="13"/>
      <c r="C114" s="8"/>
      <c r="D114" s="8"/>
      <c r="E114" s="8"/>
      <c r="F114" s="9"/>
      <c r="G114" s="8"/>
      <c r="H114" s="8"/>
      <c r="I114" s="9"/>
      <c r="J114" s="8"/>
      <c r="K114" s="8"/>
      <c r="L114" s="8"/>
    </row>
    <row r="115" spans="1:12" ht="14.45">
      <c r="A115" s="8"/>
      <c r="B115" s="13"/>
      <c r="C115" s="8"/>
      <c r="D115" s="8"/>
      <c r="E115" s="8"/>
      <c r="F115" s="9"/>
      <c r="G115" s="8"/>
      <c r="H115" s="8"/>
      <c r="I115" s="9"/>
      <c r="J115" s="8"/>
      <c r="K115" s="8"/>
      <c r="L115" s="8"/>
    </row>
    <row r="116" spans="1:12" ht="14.45">
      <c r="A116" s="8"/>
      <c r="B116" s="13"/>
      <c r="C116" s="8"/>
      <c r="D116" s="8"/>
      <c r="E116" s="8"/>
      <c r="F116" s="9"/>
      <c r="G116" s="8"/>
      <c r="H116" s="8"/>
      <c r="I116" s="9"/>
      <c r="J116" s="8"/>
      <c r="K116" s="8"/>
      <c r="L116" s="8"/>
    </row>
    <row r="117" spans="1:12" ht="14.45">
      <c r="A117" s="8"/>
      <c r="B117" s="13"/>
      <c r="C117" s="8"/>
      <c r="D117" s="8"/>
      <c r="E117" s="8"/>
      <c r="F117" s="9"/>
      <c r="G117" s="8"/>
      <c r="H117" s="8"/>
      <c r="I117" s="9"/>
      <c r="J117" s="8"/>
      <c r="K117" s="8"/>
      <c r="L117" s="8"/>
    </row>
    <row r="118" spans="1:12" ht="14.45">
      <c r="A118" s="8"/>
      <c r="B118" s="13"/>
      <c r="C118" s="8"/>
      <c r="D118" s="8"/>
      <c r="E118" s="8"/>
      <c r="F118" s="9"/>
      <c r="G118" s="8"/>
      <c r="H118" s="8"/>
      <c r="I118" s="9"/>
      <c r="J118" s="8"/>
      <c r="K118" s="8"/>
      <c r="L118" s="8"/>
    </row>
    <row r="119" spans="1:12" ht="14.45">
      <c r="A119" s="8"/>
      <c r="B119" s="13"/>
      <c r="C119" s="8"/>
      <c r="D119" s="8"/>
      <c r="E119" s="8"/>
      <c r="F119" s="9"/>
      <c r="G119" s="8"/>
      <c r="H119" s="8"/>
      <c r="I119" s="9"/>
      <c r="J119" s="8"/>
      <c r="K119" s="8"/>
      <c r="L119" s="8"/>
    </row>
    <row r="120" spans="1:12" ht="14.45">
      <c r="A120" s="8"/>
      <c r="B120" s="13"/>
      <c r="C120" s="8"/>
      <c r="D120" s="8"/>
      <c r="E120" s="8"/>
      <c r="F120" s="9"/>
      <c r="G120" s="8"/>
      <c r="H120" s="8"/>
      <c r="I120" s="9"/>
      <c r="J120" s="8"/>
      <c r="K120" s="8"/>
      <c r="L120" s="8"/>
    </row>
    <row r="121" spans="1:12" ht="14.45">
      <c r="A121" s="8"/>
      <c r="B121" s="13"/>
      <c r="C121" s="8"/>
      <c r="D121" s="8"/>
      <c r="E121" s="8"/>
      <c r="F121" s="9"/>
      <c r="G121" s="8"/>
      <c r="H121" s="8"/>
      <c r="I121" s="9"/>
      <c r="J121" s="8"/>
      <c r="K121" s="8"/>
      <c r="L121" s="8"/>
    </row>
    <row r="122" spans="1:12" ht="14.45">
      <c r="A122" s="8"/>
      <c r="B122" s="13"/>
      <c r="C122" s="8"/>
      <c r="D122" s="8"/>
      <c r="E122" s="8"/>
      <c r="F122" s="9"/>
      <c r="G122" s="8"/>
      <c r="H122" s="8"/>
      <c r="I122" s="9"/>
      <c r="J122" s="8"/>
      <c r="K122" s="8"/>
      <c r="L122" s="8"/>
    </row>
    <row r="123" spans="1:12" ht="14.45">
      <c r="A123" s="8"/>
      <c r="B123" s="13"/>
      <c r="C123" s="8"/>
      <c r="D123" s="8"/>
      <c r="E123" s="8"/>
      <c r="F123" s="9"/>
      <c r="G123" s="8"/>
      <c r="H123" s="8"/>
      <c r="I123" s="9"/>
      <c r="J123" s="8"/>
      <c r="K123" s="8"/>
      <c r="L123" s="8"/>
    </row>
    <row r="124" spans="1:12" ht="14.45">
      <c r="A124" s="8"/>
      <c r="B124" s="13"/>
      <c r="C124" s="8"/>
      <c r="D124" s="8"/>
      <c r="E124" s="8"/>
      <c r="F124" s="9"/>
      <c r="G124" s="8"/>
      <c r="H124" s="8"/>
      <c r="I124" s="9"/>
      <c r="J124" s="8"/>
      <c r="K124" s="8"/>
      <c r="L124" s="8"/>
    </row>
    <row r="125" spans="1:12" ht="14.45">
      <c r="A125" s="8"/>
      <c r="B125" s="13"/>
      <c r="C125" s="8"/>
      <c r="D125" s="8"/>
      <c r="E125" s="8"/>
      <c r="F125" s="9"/>
      <c r="G125" s="8"/>
      <c r="H125" s="8"/>
      <c r="I125" s="9"/>
      <c r="J125" s="8"/>
      <c r="K125" s="8"/>
      <c r="L125" s="8"/>
    </row>
    <row r="126" spans="1:12" ht="14.45">
      <c r="A126" s="8"/>
      <c r="B126" s="13"/>
      <c r="C126" s="8"/>
      <c r="D126" s="8"/>
      <c r="E126" s="8"/>
      <c r="F126" s="9"/>
      <c r="G126" s="8"/>
      <c r="H126" s="8"/>
      <c r="I126" s="9"/>
      <c r="J126" s="8"/>
      <c r="K126" s="8"/>
      <c r="L126" s="8"/>
    </row>
    <row r="127" spans="1:12" ht="14.45">
      <c r="A127" s="8"/>
      <c r="B127" s="13"/>
      <c r="C127" s="8"/>
      <c r="D127" s="8"/>
      <c r="E127" s="8"/>
      <c r="F127" s="9"/>
      <c r="G127" s="8"/>
      <c r="H127" s="8"/>
      <c r="I127" s="9"/>
      <c r="J127" s="8"/>
      <c r="K127" s="8"/>
      <c r="L127" s="8"/>
    </row>
    <row r="128" spans="1:12" ht="14.45">
      <c r="A128" s="8"/>
      <c r="B128" s="13"/>
      <c r="C128" s="8"/>
      <c r="D128" s="8"/>
      <c r="E128" s="8"/>
      <c r="F128" s="9"/>
      <c r="G128" s="8"/>
      <c r="H128" s="8"/>
      <c r="I128" s="9"/>
      <c r="J128" s="8"/>
      <c r="K128" s="8"/>
      <c r="L128" s="8"/>
    </row>
    <row r="129" spans="1:12" ht="14.45">
      <c r="A129" s="8"/>
      <c r="B129" s="13"/>
      <c r="C129" s="8"/>
      <c r="D129" s="8"/>
      <c r="E129" s="8"/>
      <c r="F129" s="9"/>
      <c r="G129" s="8"/>
      <c r="H129" s="8"/>
      <c r="I129" s="9"/>
      <c r="J129" s="8"/>
      <c r="K129" s="8"/>
      <c r="L129" s="8"/>
    </row>
    <row r="130" spans="1:12" ht="14.45">
      <c r="A130" s="8"/>
      <c r="B130" s="13"/>
      <c r="C130" s="8"/>
      <c r="D130" s="8"/>
      <c r="E130" s="8"/>
      <c r="F130" s="9"/>
      <c r="G130" s="8"/>
      <c r="H130" s="8"/>
      <c r="I130" s="9"/>
      <c r="J130" s="8"/>
      <c r="K130" s="8"/>
      <c r="L130" s="8"/>
    </row>
    <row r="131" spans="1:12" ht="14.45">
      <c r="A131" s="8"/>
      <c r="B131" s="13"/>
      <c r="C131" s="8"/>
      <c r="D131" s="8"/>
      <c r="E131" s="8"/>
      <c r="F131" s="9"/>
      <c r="G131" s="8"/>
      <c r="H131" s="8"/>
      <c r="I131" s="9"/>
      <c r="J131" s="8"/>
      <c r="K131" s="8"/>
      <c r="L131" s="8"/>
    </row>
    <row r="132" spans="1:12" ht="14.45">
      <c r="A132" s="8"/>
      <c r="B132" s="13"/>
      <c r="C132" s="8"/>
      <c r="D132" s="8"/>
      <c r="E132" s="8"/>
      <c r="F132" s="9"/>
      <c r="G132" s="8"/>
      <c r="H132" s="8"/>
      <c r="I132" s="9"/>
      <c r="J132" s="8"/>
      <c r="K132" s="8"/>
      <c r="L132" s="8"/>
    </row>
    <row r="133" spans="1:12" ht="14.45">
      <c r="A133" s="8"/>
      <c r="B133" s="13"/>
      <c r="C133" s="8"/>
      <c r="D133" s="8"/>
      <c r="E133" s="8"/>
      <c r="F133" s="9"/>
      <c r="G133" s="8"/>
      <c r="H133" s="8"/>
      <c r="I133" s="9"/>
      <c r="J133" s="8"/>
      <c r="K133" s="8"/>
      <c r="L133" s="8"/>
    </row>
    <row r="134" spans="1:12" ht="14.45">
      <c r="A134" s="8"/>
      <c r="B134" s="13"/>
      <c r="C134" s="8"/>
      <c r="D134" s="8"/>
      <c r="E134" s="8"/>
      <c r="F134" s="9"/>
      <c r="G134" s="8"/>
      <c r="H134" s="8"/>
      <c r="I134" s="9"/>
      <c r="J134" s="8"/>
      <c r="K134" s="8"/>
      <c r="L134" s="8"/>
    </row>
    <row r="135" spans="1:12" ht="14.45">
      <c r="A135" s="8"/>
      <c r="B135" s="13"/>
      <c r="C135" s="8"/>
      <c r="D135" s="8"/>
      <c r="E135" s="8"/>
      <c r="F135" s="9"/>
      <c r="G135" s="8"/>
      <c r="H135" s="8"/>
      <c r="I135" s="9"/>
      <c r="J135" s="8"/>
      <c r="K135" s="8"/>
      <c r="L135" s="8"/>
    </row>
    <row r="136" spans="1:12" ht="14.45">
      <c r="A136" s="8"/>
      <c r="B136" s="13"/>
      <c r="C136" s="8"/>
      <c r="D136" s="8"/>
      <c r="E136" s="8"/>
      <c r="F136" s="9"/>
      <c r="G136" s="8"/>
      <c r="H136" s="8"/>
      <c r="I136" s="9"/>
      <c r="J136" s="8"/>
      <c r="K136" s="8"/>
      <c r="L136" s="8"/>
    </row>
    <row r="137" spans="1:12" ht="14.45">
      <c r="A137" s="8"/>
      <c r="B137" s="13"/>
      <c r="C137" s="8"/>
      <c r="D137" s="8"/>
      <c r="E137" s="8"/>
      <c r="F137" s="9"/>
      <c r="G137" s="8"/>
      <c r="H137" s="8"/>
      <c r="I137" s="9"/>
      <c r="J137" s="8"/>
      <c r="K137" s="8"/>
      <c r="L137" s="8"/>
    </row>
    <row r="138" spans="1:12" ht="14.45">
      <c r="A138" s="8"/>
      <c r="B138" s="13"/>
      <c r="C138" s="8"/>
      <c r="D138" s="8"/>
      <c r="E138" s="8"/>
      <c r="F138" s="9"/>
      <c r="G138" s="8"/>
      <c r="H138" s="8"/>
      <c r="I138" s="9"/>
      <c r="J138" s="8"/>
      <c r="K138" s="8"/>
      <c r="L138" s="8"/>
    </row>
    <row r="139" spans="1:12" ht="14.45">
      <c r="A139" s="8"/>
      <c r="B139" s="13"/>
      <c r="C139" s="8"/>
      <c r="D139" s="8"/>
      <c r="E139" s="8"/>
      <c r="F139" s="9"/>
      <c r="G139" s="8"/>
      <c r="H139" s="8"/>
      <c r="I139" s="9"/>
      <c r="J139" s="8"/>
      <c r="K139" s="8"/>
      <c r="L139" s="8"/>
    </row>
    <row r="140" spans="1:12" ht="14.45">
      <c r="A140" s="8"/>
      <c r="B140" s="13"/>
      <c r="C140" s="8"/>
      <c r="D140" s="8"/>
      <c r="E140" s="8"/>
      <c r="F140" s="9"/>
      <c r="G140" s="8"/>
      <c r="H140" s="8"/>
      <c r="I140" s="9"/>
      <c r="J140" s="8"/>
      <c r="K140" s="8"/>
      <c r="L140" s="8"/>
    </row>
    <row r="141" spans="1:12" ht="14.45">
      <c r="A141" s="8"/>
      <c r="B141" s="13"/>
      <c r="C141" s="8"/>
      <c r="D141" s="8"/>
      <c r="E141" s="8"/>
      <c r="F141" s="9"/>
      <c r="G141" s="8"/>
      <c r="H141" s="8"/>
      <c r="I141" s="9"/>
      <c r="J141" s="8"/>
      <c r="K141" s="8"/>
      <c r="L141" s="8"/>
    </row>
    <row r="142" spans="1:12" ht="14.45">
      <c r="A142" s="8"/>
      <c r="B142" s="13"/>
      <c r="C142" s="8"/>
      <c r="D142" s="8"/>
      <c r="E142" s="8"/>
      <c r="F142" s="9"/>
      <c r="G142" s="8"/>
      <c r="H142" s="8"/>
      <c r="I142" s="9"/>
      <c r="J142" s="8"/>
      <c r="K142" s="8"/>
      <c r="L142" s="8"/>
    </row>
    <row r="143" spans="1:12" ht="14.45">
      <c r="A143" s="8"/>
      <c r="B143" s="13"/>
      <c r="C143" s="8"/>
      <c r="D143" s="8"/>
      <c r="E143" s="8"/>
      <c r="F143" s="9"/>
      <c r="G143" s="8"/>
      <c r="H143" s="8"/>
      <c r="I143" s="9"/>
      <c r="J143" s="8"/>
      <c r="K143" s="8"/>
      <c r="L143" s="8"/>
    </row>
    <row r="144" spans="1:12" ht="14.45">
      <c r="A144" s="8"/>
      <c r="B144" s="13"/>
      <c r="C144" s="8"/>
      <c r="D144" s="8"/>
      <c r="E144" s="8"/>
      <c r="F144" s="9"/>
      <c r="G144" s="8"/>
      <c r="H144" s="8"/>
      <c r="I144" s="9"/>
      <c r="J144" s="8"/>
      <c r="K144" s="8"/>
      <c r="L144" s="8"/>
    </row>
    <row r="145" spans="1:12" ht="14.45">
      <c r="A145" s="8"/>
      <c r="B145" s="13"/>
      <c r="C145" s="8"/>
      <c r="D145" s="8"/>
      <c r="E145" s="8"/>
      <c r="F145" s="9"/>
      <c r="G145" s="8"/>
      <c r="H145" s="8"/>
      <c r="I145" s="9"/>
      <c r="J145" s="8"/>
      <c r="K145" s="8"/>
      <c r="L145" s="8"/>
    </row>
    <row r="146" spans="1:12" ht="14.45">
      <c r="A146" s="8"/>
      <c r="B146" s="13"/>
      <c r="C146" s="8"/>
      <c r="D146" s="8"/>
      <c r="E146" s="8"/>
      <c r="F146" s="9"/>
      <c r="G146" s="8"/>
      <c r="H146" s="8"/>
      <c r="I146" s="9"/>
      <c r="J146" s="8"/>
      <c r="K146" s="8"/>
      <c r="L146" s="8"/>
    </row>
    <row r="147" spans="1:12" ht="14.45">
      <c r="A147" s="8"/>
      <c r="B147" s="13"/>
      <c r="C147" s="8"/>
      <c r="D147" s="8"/>
      <c r="E147" s="8"/>
      <c r="F147" s="9"/>
      <c r="G147" s="8"/>
      <c r="H147" s="8"/>
      <c r="I147" s="9"/>
      <c r="J147" s="8"/>
      <c r="K147" s="8"/>
      <c r="L147" s="8"/>
    </row>
    <row r="148" spans="1:12" ht="14.45">
      <c r="A148" s="8"/>
      <c r="B148" s="13"/>
      <c r="C148" s="8"/>
      <c r="D148" s="8"/>
      <c r="E148" s="8"/>
      <c r="F148" s="9"/>
      <c r="G148" s="8"/>
      <c r="H148" s="8"/>
      <c r="I148" s="9"/>
      <c r="J148" s="8"/>
      <c r="K148" s="8"/>
      <c r="L148" s="8"/>
    </row>
    <row r="149" spans="1:12" ht="14.45">
      <c r="A149" s="8"/>
      <c r="B149" s="13"/>
      <c r="C149" s="8"/>
      <c r="D149" s="8"/>
      <c r="E149" s="8"/>
      <c r="F149" s="9"/>
      <c r="G149" s="8"/>
      <c r="H149" s="8"/>
      <c r="I149" s="9"/>
      <c r="J149" s="8"/>
      <c r="K149" s="8"/>
      <c r="L149" s="8"/>
    </row>
    <row r="150" spans="1:12" ht="14.45">
      <c r="A150" s="8"/>
      <c r="B150" s="13"/>
      <c r="C150" s="8"/>
      <c r="D150" s="8"/>
      <c r="E150" s="8"/>
      <c r="F150" s="9"/>
      <c r="G150" s="8"/>
      <c r="H150" s="8"/>
      <c r="I150" s="9"/>
      <c r="J150" s="8"/>
      <c r="K150" s="8"/>
      <c r="L150" s="8"/>
    </row>
    <row r="151" spans="1:12" ht="14.45">
      <c r="A151" s="8"/>
      <c r="B151" s="13"/>
      <c r="C151" s="8"/>
      <c r="D151" s="8"/>
      <c r="E151" s="8"/>
      <c r="F151" s="9"/>
      <c r="G151" s="8"/>
      <c r="H151" s="8"/>
      <c r="I151" s="9"/>
      <c r="J151" s="8"/>
      <c r="K151" s="8"/>
      <c r="L151" s="8"/>
    </row>
    <row r="152" spans="1:12" ht="14.45">
      <c r="A152" s="8"/>
      <c r="B152" s="13"/>
      <c r="C152" s="8"/>
      <c r="D152" s="8"/>
      <c r="E152" s="8"/>
      <c r="F152" s="9"/>
      <c r="G152" s="8"/>
      <c r="H152" s="8"/>
      <c r="I152" s="9"/>
      <c r="J152" s="8"/>
      <c r="K152" s="8"/>
      <c r="L152" s="8"/>
    </row>
    <row r="153" spans="1:12" ht="14.45">
      <c r="A153" s="8"/>
      <c r="B153" s="13"/>
      <c r="C153" s="8"/>
      <c r="D153" s="8"/>
      <c r="E153" s="8"/>
      <c r="F153" s="9"/>
      <c r="G153" s="8"/>
      <c r="H153" s="8"/>
      <c r="I153" s="9"/>
      <c r="J153" s="8"/>
      <c r="K153" s="8"/>
      <c r="L153" s="8"/>
    </row>
    <row r="154" spans="1:12" ht="14.45">
      <c r="A154" s="8"/>
      <c r="B154" s="13"/>
      <c r="C154" s="8"/>
      <c r="D154" s="8"/>
      <c r="E154" s="8"/>
      <c r="F154" s="9"/>
      <c r="G154" s="8"/>
      <c r="H154" s="8"/>
      <c r="I154" s="9"/>
      <c r="J154" s="8"/>
      <c r="K154" s="8"/>
      <c r="L154" s="8"/>
    </row>
    <row r="155" spans="1:12" ht="14.45">
      <c r="A155" s="8"/>
      <c r="B155" s="13"/>
      <c r="C155" s="8"/>
      <c r="D155" s="8"/>
      <c r="E155" s="8"/>
      <c r="F155" s="9"/>
      <c r="G155" s="8"/>
      <c r="H155" s="8"/>
      <c r="I155" s="9"/>
      <c r="J155" s="8"/>
      <c r="K155" s="8"/>
      <c r="L155" s="8"/>
    </row>
    <row r="156" spans="1:12" ht="14.45">
      <c r="A156" s="8"/>
      <c r="B156" s="13"/>
      <c r="C156" s="8"/>
      <c r="D156" s="8"/>
      <c r="E156" s="8"/>
      <c r="F156" s="9"/>
      <c r="G156" s="8"/>
      <c r="H156" s="8"/>
      <c r="I156" s="9"/>
      <c r="J156" s="8"/>
      <c r="K156" s="8"/>
      <c r="L156" s="8"/>
    </row>
    <row r="157" spans="1:12" ht="14.45">
      <c r="A157" s="8"/>
      <c r="B157" s="13"/>
      <c r="C157" s="8"/>
      <c r="D157" s="8"/>
      <c r="E157" s="8"/>
      <c r="F157" s="9"/>
      <c r="G157" s="8"/>
      <c r="H157" s="8"/>
      <c r="I157" s="9"/>
      <c r="J157" s="8"/>
      <c r="K157" s="8"/>
      <c r="L157" s="8"/>
    </row>
    <row r="158" spans="1:12" ht="14.45">
      <c r="A158" s="8"/>
      <c r="B158" s="13"/>
      <c r="C158" s="8"/>
      <c r="D158" s="8"/>
      <c r="E158" s="8"/>
      <c r="F158" s="9"/>
      <c r="G158" s="8"/>
      <c r="H158" s="8"/>
      <c r="I158" s="9"/>
      <c r="J158" s="8"/>
      <c r="K158" s="8"/>
      <c r="L158" s="8"/>
    </row>
    <row r="159" spans="1:12" ht="14.45">
      <c r="A159" s="8"/>
      <c r="B159" s="13"/>
      <c r="C159" s="8"/>
      <c r="D159" s="8"/>
      <c r="E159" s="8"/>
      <c r="F159" s="9"/>
      <c r="G159" s="8"/>
      <c r="H159" s="8"/>
      <c r="I159" s="9"/>
      <c r="J159" s="8"/>
      <c r="K159" s="8"/>
      <c r="L159" s="8"/>
    </row>
    <row r="160" spans="1:12" ht="14.45">
      <c r="A160" s="8"/>
      <c r="B160" s="13"/>
      <c r="C160" s="8"/>
      <c r="D160" s="8"/>
      <c r="E160" s="8"/>
      <c r="F160" s="9"/>
      <c r="G160" s="8"/>
      <c r="H160" s="8"/>
      <c r="I160" s="9"/>
      <c r="J160" s="8"/>
      <c r="K160" s="8"/>
      <c r="L160" s="8"/>
    </row>
    <row r="161" spans="1:12" ht="14.45">
      <c r="A161" s="8"/>
      <c r="B161" s="13"/>
      <c r="C161" s="8"/>
      <c r="D161" s="8"/>
      <c r="E161" s="8"/>
      <c r="F161" s="9"/>
      <c r="G161" s="8"/>
      <c r="H161" s="8"/>
      <c r="I161" s="9"/>
      <c r="J161" s="8"/>
      <c r="K161" s="8"/>
      <c r="L161" s="8"/>
    </row>
    <row r="162" spans="1:12" ht="14.45">
      <c r="A162" s="8"/>
      <c r="B162" s="13"/>
      <c r="C162" s="8"/>
      <c r="D162" s="8"/>
      <c r="E162" s="8"/>
      <c r="F162" s="9"/>
      <c r="G162" s="8"/>
      <c r="H162" s="8"/>
      <c r="I162" s="9"/>
      <c r="J162" s="8"/>
      <c r="K162" s="8"/>
      <c r="L162" s="8"/>
    </row>
    <row r="163" spans="1:12" ht="14.45">
      <c r="A163" s="8"/>
      <c r="B163" s="13"/>
      <c r="C163" s="8"/>
      <c r="D163" s="8"/>
      <c r="E163" s="8"/>
      <c r="F163" s="9"/>
      <c r="G163" s="8"/>
      <c r="H163" s="8"/>
      <c r="I163" s="9"/>
      <c r="J163" s="8"/>
      <c r="K163" s="8"/>
      <c r="L163" s="8"/>
    </row>
    <row r="164" spans="1:12" ht="14.45">
      <c r="A164" s="8"/>
      <c r="B164" s="13"/>
      <c r="C164" s="8"/>
      <c r="D164" s="8"/>
      <c r="E164" s="8"/>
      <c r="F164" s="9"/>
      <c r="G164" s="8"/>
      <c r="H164" s="8"/>
      <c r="I164" s="9"/>
      <c r="J164" s="8"/>
      <c r="K164" s="8"/>
      <c r="L164" s="8"/>
    </row>
    <row r="165" spans="1:12" ht="14.45">
      <c r="A165" s="8"/>
      <c r="B165" s="13"/>
      <c r="C165" s="8"/>
      <c r="D165" s="8"/>
      <c r="E165" s="8"/>
      <c r="F165" s="9"/>
      <c r="G165" s="8"/>
      <c r="H165" s="8"/>
      <c r="I165" s="9"/>
      <c r="J165" s="8"/>
      <c r="K165" s="8"/>
      <c r="L165" s="8"/>
    </row>
    <row r="166" spans="1:12" ht="14.45">
      <c r="A166" s="8"/>
      <c r="B166" s="13"/>
      <c r="C166" s="8"/>
      <c r="D166" s="8"/>
      <c r="E166" s="8"/>
      <c r="F166" s="9"/>
      <c r="G166" s="8"/>
      <c r="H166" s="8"/>
      <c r="I166" s="9"/>
      <c r="J166" s="8"/>
      <c r="K166" s="8"/>
      <c r="L166" s="8"/>
    </row>
    <row r="167" spans="1:12" ht="14.45">
      <c r="A167" s="8"/>
      <c r="B167" s="13"/>
      <c r="C167" s="8"/>
      <c r="D167" s="8"/>
      <c r="E167" s="8"/>
      <c r="F167" s="9"/>
      <c r="G167" s="8"/>
      <c r="H167" s="8"/>
      <c r="I167" s="9"/>
      <c r="J167" s="8"/>
      <c r="K167" s="8"/>
      <c r="L167" s="8"/>
    </row>
    <row r="168" spans="1:12" ht="14.45">
      <c r="A168" s="8"/>
      <c r="B168" s="13"/>
      <c r="C168" s="8"/>
      <c r="D168" s="8"/>
      <c r="E168" s="8"/>
      <c r="F168" s="9"/>
      <c r="G168" s="8"/>
      <c r="H168" s="8"/>
      <c r="I168" s="9"/>
      <c r="J168" s="8"/>
      <c r="K168" s="8"/>
      <c r="L168" s="8"/>
    </row>
    <row r="169" spans="1:12" ht="14.45">
      <c r="A169" s="8"/>
      <c r="B169" s="13"/>
      <c r="C169" s="8"/>
      <c r="D169" s="8"/>
      <c r="E169" s="8"/>
      <c r="F169" s="9"/>
      <c r="G169" s="8"/>
      <c r="H169" s="8"/>
      <c r="I169" s="9"/>
      <c r="J169" s="8"/>
      <c r="K169" s="8"/>
      <c r="L169" s="8"/>
    </row>
    <row r="170" spans="1:12" ht="14.45">
      <c r="A170" s="8"/>
      <c r="B170" s="13"/>
      <c r="C170" s="8"/>
      <c r="D170" s="8"/>
      <c r="E170" s="8"/>
      <c r="F170" s="9"/>
      <c r="G170" s="8"/>
      <c r="H170" s="8"/>
      <c r="I170" s="9"/>
      <c r="J170" s="8"/>
      <c r="K170" s="8"/>
      <c r="L170" s="8"/>
    </row>
    <row r="171" spans="1:12" ht="14.45">
      <c r="A171" s="8"/>
      <c r="B171" s="13"/>
      <c r="C171" s="8"/>
      <c r="D171" s="8"/>
      <c r="E171" s="8"/>
      <c r="F171" s="9"/>
      <c r="G171" s="8"/>
      <c r="H171" s="8"/>
      <c r="I171" s="9"/>
      <c r="J171" s="8"/>
      <c r="K171" s="8"/>
      <c r="L171" s="8"/>
    </row>
    <row r="172" spans="1:12" ht="14.45">
      <c r="A172" s="8"/>
      <c r="B172" s="13"/>
      <c r="C172" s="8"/>
      <c r="D172" s="8"/>
      <c r="E172" s="8"/>
      <c r="F172" s="9"/>
      <c r="G172" s="8"/>
      <c r="H172" s="8"/>
      <c r="I172" s="9"/>
      <c r="J172" s="8"/>
      <c r="K172" s="8"/>
      <c r="L172" s="8"/>
    </row>
    <row r="173" spans="1:12" ht="14.45">
      <c r="A173" s="8"/>
      <c r="B173" s="13"/>
      <c r="C173" s="8"/>
      <c r="D173" s="8"/>
      <c r="E173" s="8"/>
      <c r="F173" s="9"/>
      <c r="G173" s="8"/>
      <c r="H173" s="8"/>
      <c r="I173" s="9"/>
      <c r="J173" s="8"/>
      <c r="K173" s="8"/>
      <c r="L173" s="8"/>
    </row>
    <row r="174" spans="1:12" ht="14.45">
      <c r="A174" s="8"/>
      <c r="B174" s="13"/>
      <c r="C174" s="8"/>
      <c r="D174" s="8"/>
      <c r="E174" s="8"/>
      <c r="F174" s="9"/>
      <c r="G174" s="8"/>
      <c r="H174" s="8"/>
      <c r="I174" s="9"/>
      <c r="J174" s="8"/>
      <c r="K174" s="8"/>
      <c r="L174" s="8"/>
    </row>
    <row r="175" spans="1:12" ht="14.45">
      <c r="A175" s="8"/>
      <c r="B175" s="13"/>
      <c r="C175" s="8"/>
      <c r="D175" s="8"/>
      <c r="E175" s="8"/>
      <c r="F175" s="9"/>
      <c r="G175" s="8"/>
      <c r="H175" s="8"/>
      <c r="I175" s="9"/>
      <c r="J175" s="8"/>
      <c r="K175" s="8"/>
      <c r="L175" s="8"/>
    </row>
    <row r="176" spans="1:12" ht="14.45">
      <c r="A176" s="8"/>
      <c r="B176" s="13"/>
      <c r="C176" s="8"/>
      <c r="D176" s="8"/>
      <c r="E176" s="8"/>
      <c r="F176" s="9"/>
      <c r="G176" s="8"/>
      <c r="H176" s="8"/>
      <c r="I176" s="9"/>
      <c r="J176" s="8"/>
      <c r="K176" s="8"/>
      <c r="L176" s="8"/>
    </row>
    <row r="177" spans="1:12" ht="14.45">
      <c r="A177" s="8"/>
      <c r="B177" s="13"/>
      <c r="C177" s="8"/>
      <c r="D177" s="8"/>
      <c r="E177" s="8"/>
      <c r="F177" s="9"/>
      <c r="G177" s="8"/>
      <c r="H177" s="8"/>
      <c r="I177" s="9"/>
      <c r="J177" s="8"/>
      <c r="K177" s="8"/>
      <c r="L177" s="8"/>
    </row>
    <row r="178" spans="1:12" ht="14.45">
      <c r="A178" s="8"/>
      <c r="B178" s="13"/>
      <c r="C178" s="8"/>
      <c r="D178" s="8"/>
      <c r="E178" s="8"/>
      <c r="F178" s="9"/>
      <c r="G178" s="8"/>
      <c r="H178" s="8"/>
      <c r="I178" s="9"/>
      <c r="J178" s="8"/>
      <c r="K178" s="8"/>
      <c r="L178" s="8"/>
    </row>
    <row r="179" spans="1:12" ht="14.45">
      <c r="A179" s="8"/>
      <c r="B179" s="13"/>
      <c r="C179" s="8"/>
      <c r="D179" s="8"/>
      <c r="E179" s="8"/>
      <c r="F179" s="9"/>
      <c r="G179" s="8"/>
      <c r="H179" s="8"/>
      <c r="I179" s="9"/>
      <c r="J179" s="8"/>
      <c r="K179" s="8"/>
      <c r="L179" s="8"/>
    </row>
    <row r="180" spans="1:12" ht="14.45">
      <c r="A180" s="8"/>
      <c r="B180" s="13"/>
      <c r="C180" s="8"/>
      <c r="D180" s="8"/>
      <c r="E180" s="8"/>
      <c r="F180" s="9"/>
      <c r="G180" s="8"/>
      <c r="H180" s="8"/>
      <c r="I180" s="9"/>
      <c r="J180" s="8"/>
      <c r="K180" s="8"/>
      <c r="L180" s="8"/>
    </row>
    <row r="181" spans="1:12" ht="14.45">
      <c r="A181" s="8"/>
      <c r="B181" s="13"/>
      <c r="C181" s="8"/>
      <c r="D181" s="8"/>
      <c r="E181" s="8"/>
      <c r="F181" s="9"/>
      <c r="G181" s="8"/>
      <c r="H181" s="8"/>
      <c r="I181" s="9"/>
      <c r="J181" s="8"/>
      <c r="K181" s="8"/>
      <c r="L181" s="8"/>
    </row>
    <row r="182" spans="1:12" ht="14.45">
      <c r="A182" s="8"/>
      <c r="B182" s="13"/>
      <c r="C182" s="8"/>
      <c r="D182" s="8"/>
      <c r="E182" s="8"/>
      <c r="F182" s="9"/>
      <c r="G182" s="8"/>
      <c r="H182" s="8"/>
      <c r="I182" s="9"/>
      <c r="J182" s="8"/>
      <c r="K182" s="8"/>
      <c r="L182" s="8"/>
    </row>
    <row r="183" spans="1:12" ht="14.45">
      <c r="A183" s="8"/>
      <c r="B183" s="13"/>
      <c r="C183" s="8"/>
      <c r="D183" s="8"/>
      <c r="E183" s="8"/>
      <c r="F183" s="9"/>
      <c r="G183" s="8"/>
      <c r="H183" s="8"/>
      <c r="I183" s="9"/>
      <c r="J183" s="8"/>
      <c r="K183" s="8"/>
      <c r="L183" s="8"/>
    </row>
    <row r="184" spans="1:12" ht="14.45">
      <c r="A184" s="8"/>
      <c r="B184" s="13"/>
      <c r="C184" s="8"/>
      <c r="D184" s="8"/>
      <c r="E184" s="8"/>
      <c r="F184" s="9"/>
      <c r="G184" s="8"/>
      <c r="H184" s="8"/>
      <c r="I184" s="9"/>
      <c r="J184" s="8"/>
      <c r="K184" s="8"/>
      <c r="L184" s="8"/>
    </row>
    <row r="185" spans="1:12" ht="14.45">
      <c r="A185" s="8"/>
      <c r="B185" s="13"/>
      <c r="C185" s="8"/>
      <c r="D185" s="8"/>
      <c r="E185" s="8"/>
      <c r="F185" s="9"/>
      <c r="G185" s="8"/>
      <c r="H185" s="8"/>
      <c r="I185" s="9"/>
      <c r="J185" s="8"/>
      <c r="K185" s="8"/>
      <c r="L185" s="8"/>
    </row>
    <row r="186" spans="1:12" ht="14.45">
      <c r="A186" s="8"/>
      <c r="B186" s="13"/>
      <c r="C186" s="8"/>
      <c r="D186" s="8"/>
      <c r="E186" s="8"/>
      <c r="F186" s="9"/>
      <c r="G186" s="8"/>
      <c r="H186" s="8"/>
      <c r="I186" s="9"/>
      <c r="J186" s="8"/>
      <c r="K186" s="8"/>
      <c r="L186" s="8"/>
    </row>
    <row r="187" spans="1:12" ht="14.45">
      <c r="A187" s="8"/>
      <c r="B187" s="13"/>
      <c r="C187" s="8"/>
      <c r="D187" s="8"/>
      <c r="E187" s="8"/>
      <c r="F187" s="9"/>
      <c r="G187" s="8"/>
      <c r="H187" s="8"/>
      <c r="I187" s="9"/>
      <c r="J187" s="8"/>
      <c r="K187" s="8"/>
      <c r="L187" s="8"/>
    </row>
    <row r="188" spans="1:12" ht="14.45">
      <c r="A188" s="8"/>
      <c r="B188" s="13"/>
      <c r="C188" s="8"/>
      <c r="D188" s="8"/>
      <c r="E188" s="8"/>
      <c r="F188" s="9"/>
      <c r="G188" s="8"/>
      <c r="H188" s="8"/>
      <c r="I188" s="9"/>
      <c r="J188" s="8"/>
      <c r="K188" s="8"/>
      <c r="L188" s="8"/>
    </row>
    <row r="189" spans="1:12" ht="14.45">
      <c r="A189" s="8"/>
      <c r="B189" s="13"/>
      <c r="C189" s="8"/>
      <c r="D189" s="8"/>
      <c r="E189" s="8"/>
      <c r="F189" s="9"/>
      <c r="G189" s="8"/>
      <c r="H189" s="8"/>
      <c r="I189" s="9"/>
      <c r="J189" s="8"/>
      <c r="K189" s="8"/>
      <c r="L189" s="8"/>
    </row>
    <row r="190" spans="1:12" ht="14.45">
      <c r="A190" s="8"/>
      <c r="B190" s="13"/>
      <c r="C190" s="8"/>
      <c r="D190" s="8"/>
      <c r="E190" s="8"/>
      <c r="F190" s="9"/>
      <c r="G190" s="8"/>
      <c r="H190" s="8"/>
      <c r="I190" s="9"/>
      <c r="J190" s="8"/>
      <c r="K190" s="8"/>
      <c r="L190" s="8"/>
    </row>
    <row r="191" spans="1:12" ht="14.45">
      <c r="A191" s="8"/>
      <c r="B191" s="13"/>
      <c r="C191" s="8"/>
      <c r="D191" s="8"/>
      <c r="E191" s="8"/>
      <c r="F191" s="9"/>
      <c r="G191" s="8"/>
      <c r="H191" s="8"/>
      <c r="I191" s="9"/>
      <c r="J191" s="8"/>
      <c r="K191" s="8"/>
      <c r="L191" s="8"/>
    </row>
    <row r="192" spans="1:12" ht="14.45">
      <c r="A192" s="8"/>
      <c r="B192" s="13"/>
      <c r="C192" s="8"/>
      <c r="D192" s="8"/>
      <c r="E192" s="8"/>
      <c r="F192" s="9"/>
      <c r="G192" s="8"/>
      <c r="H192" s="8"/>
      <c r="I192" s="9"/>
      <c r="J192" s="8"/>
      <c r="K192" s="8"/>
      <c r="L192" s="8"/>
    </row>
    <row r="193" spans="1:12" ht="14.45">
      <c r="A193" s="8"/>
      <c r="B193" s="13"/>
      <c r="C193" s="8"/>
      <c r="D193" s="8"/>
      <c r="E193" s="8"/>
      <c r="F193" s="9"/>
      <c r="G193" s="8"/>
      <c r="H193" s="8"/>
      <c r="I193" s="9"/>
      <c r="J193" s="8"/>
      <c r="K193" s="8"/>
      <c r="L193" s="8"/>
    </row>
    <row r="194" spans="1:12" ht="14.45">
      <c r="A194" s="8"/>
      <c r="B194" s="13"/>
      <c r="C194" s="8"/>
      <c r="D194" s="8"/>
      <c r="E194" s="8"/>
      <c r="F194" s="9"/>
      <c r="G194" s="8"/>
      <c r="H194" s="8"/>
      <c r="I194" s="9"/>
      <c r="J194" s="8"/>
      <c r="K194" s="8"/>
      <c r="L194" s="8"/>
    </row>
    <row r="195" spans="1:12" ht="14.45">
      <c r="A195" s="8"/>
      <c r="B195" s="13"/>
      <c r="C195" s="8"/>
      <c r="D195" s="8"/>
      <c r="E195" s="8"/>
      <c r="F195" s="9"/>
      <c r="G195" s="8"/>
      <c r="H195" s="8"/>
      <c r="I195" s="9"/>
      <c r="J195" s="8"/>
      <c r="K195" s="8"/>
      <c r="L195" s="8"/>
    </row>
    <row r="196" spans="1:12" ht="14.45">
      <c r="A196" s="8"/>
      <c r="B196" s="13"/>
      <c r="C196" s="8"/>
      <c r="D196" s="8"/>
      <c r="E196" s="8"/>
      <c r="F196" s="9"/>
      <c r="G196" s="8"/>
      <c r="H196" s="8"/>
      <c r="I196" s="9"/>
      <c r="J196" s="8"/>
      <c r="K196" s="8"/>
      <c r="L196" s="8"/>
    </row>
    <row r="197" spans="1:12" ht="14.45">
      <c r="A197" s="8"/>
      <c r="B197" s="13"/>
      <c r="C197" s="8"/>
      <c r="D197" s="8"/>
      <c r="E197" s="8"/>
      <c r="F197" s="9"/>
      <c r="G197" s="8"/>
      <c r="H197" s="8"/>
      <c r="I197" s="9"/>
      <c r="J197" s="8"/>
      <c r="K197" s="8"/>
      <c r="L197" s="8"/>
    </row>
    <row r="198" spans="1:12" ht="14.45">
      <c r="A198" s="8"/>
      <c r="B198" s="13"/>
      <c r="C198" s="8"/>
      <c r="D198" s="8"/>
      <c r="E198" s="8"/>
      <c r="F198" s="9"/>
      <c r="G198" s="8"/>
      <c r="H198" s="8"/>
      <c r="I198" s="9"/>
      <c r="J198" s="8"/>
      <c r="K198" s="8"/>
      <c r="L198" s="8"/>
    </row>
    <row r="199" spans="1:12" ht="14.45">
      <c r="A199" s="8"/>
      <c r="B199" s="13"/>
      <c r="C199" s="8"/>
      <c r="D199" s="8"/>
      <c r="E199" s="8"/>
      <c r="F199" s="9"/>
      <c r="G199" s="8"/>
      <c r="H199" s="8"/>
      <c r="I199" s="9"/>
      <c r="J199" s="8"/>
      <c r="K199" s="8"/>
      <c r="L199" s="8"/>
    </row>
    <row r="200" spans="1:12" ht="14.45">
      <c r="A200" s="8"/>
      <c r="B200" s="13"/>
      <c r="C200" s="8"/>
      <c r="D200" s="8"/>
      <c r="E200" s="8"/>
      <c r="F200" s="9"/>
      <c r="G200" s="8"/>
      <c r="H200" s="8"/>
      <c r="I200" s="9"/>
      <c r="J200" s="8"/>
      <c r="K200" s="8"/>
      <c r="L200" s="8"/>
    </row>
    <row r="201" spans="1:12" ht="14.45">
      <c r="A201" s="8"/>
      <c r="B201" s="13"/>
      <c r="C201" s="8"/>
      <c r="D201" s="8"/>
      <c r="E201" s="8"/>
      <c r="F201" s="9"/>
      <c r="G201" s="8"/>
      <c r="H201" s="8"/>
      <c r="I201" s="9"/>
      <c r="J201" s="8"/>
      <c r="K201" s="8"/>
      <c r="L201" s="8"/>
    </row>
    <row r="202" spans="1:12" ht="14.45">
      <c r="A202" s="8"/>
      <c r="B202" s="13"/>
      <c r="C202" s="8"/>
      <c r="D202" s="8"/>
      <c r="E202" s="8"/>
      <c r="F202" s="9"/>
      <c r="G202" s="8"/>
      <c r="H202" s="8"/>
      <c r="I202" s="9"/>
      <c r="J202" s="8"/>
      <c r="K202" s="8"/>
      <c r="L202" s="8"/>
    </row>
    <row r="203" spans="1:12" ht="14.45">
      <c r="A203" s="8"/>
      <c r="B203" s="13"/>
      <c r="C203" s="8"/>
      <c r="D203" s="8"/>
      <c r="E203" s="8"/>
      <c r="F203" s="9"/>
      <c r="G203" s="8"/>
      <c r="H203" s="8"/>
      <c r="I203" s="9"/>
      <c r="J203" s="8"/>
      <c r="K203" s="8"/>
      <c r="L203" s="8"/>
    </row>
    <row r="204" spans="1:12" ht="14.45">
      <c r="A204" s="8"/>
      <c r="B204" s="13"/>
      <c r="C204" s="8"/>
      <c r="D204" s="8"/>
      <c r="E204" s="8"/>
      <c r="F204" s="9"/>
      <c r="G204" s="8"/>
      <c r="H204" s="8"/>
      <c r="I204" s="9"/>
      <c r="J204" s="8"/>
      <c r="K204" s="8"/>
      <c r="L204" s="8"/>
    </row>
    <row r="205" spans="1:12" ht="14.45">
      <c r="A205" s="8"/>
      <c r="B205" s="13"/>
      <c r="C205" s="8"/>
      <c r="D205" s="8"/>
      <c r="E205" s="8"/>
      <c r="F205" s="9"/>
      <c r="G205" s="8"/>
      <c r="H205" s="8"/>
      <c r="I205" s="9"/>
      <c r="J205" s="8"/>
      <c r="K205" s="8"/>
      <c r="L205" s="8"/>
    </row>
    <row r="206" spans="1:12" ht="14.45">
      <c r="A206" s="8"/>
      <c r="B206" s="13"/>
      <c r="C206" s="8"/>
      <c r="D206" s="8"/>
      <c r="E206" s="8"/>
      <c r="F206" s="9"/>
      <c r="G206" s="8"/>
      <c r="H206" s="8"/>
      <c r="I206" s="9"/>
      <c r="J206" s="8"/>
      <c r="K206" s="8"/>
      <c r="L206" s="8"/>
    </row>
    <row r="207" spans="1:12" ht="14.45">
      <c r="A207" s="8"/>
      <c r="B207" s="13"/>
      <c r="C207" s="8"/>
      <c r="D207" s="8"/>
      <c r="E207" s="8"/>
      <c r="F207" s="9"/>
      <c r="G207" s="8"/>
      <c r="H207" s="8"/>
      <c r="I207" s="9"/>
      <c r="J207" s="8"/>
      <c r="K207" s="8"/>
      <c r="L207" s="8"/>
    </row>
    <row r="208" spans="1:12" ht="14.45">
      <c r="A208" s="8"/>
      <c r="B208" s="13"/>
      <c r="C208" s="8"/>
      <c r="D208" s="8"/>
      <c r="E208" s="8"/>
      <c r="F208" s="9"/>
      <c r="G208" s="8"/>
      <c r="H208" s="8"/>
      <c r="I208" s="9"/>
      <c r="J208" s="8"/>
      <c r="K208" s="8"/>
      <c r="L208" s="8"/>
    </row>
    <row r="209" spans="1:12" ht="14.45">
      <c r="A209" s="8"/>
      <c r="B209" s="13"/>
      <c r="C209" s="8"/>
      <c r="D209" s="8"/>
      <c r="E209" s="8"/>
      <c r="F209" s="9"/>
      <c r="G209" s="8"/>
      <c r="H209" s="8"/>
      <c r="I209" s="9"/>
      <c r="J209" s="8"/>
      <c r="K209" s="8"/>
      <c r="L209" s="8"/>
    </row>
    <row r="210" spans="1:12" ht="14.45">
      <c r="A210" s="8"/>
      <c r="B210" s="13"/>
      <c r="C210" s="8"/>
      <c r="D210" s="8"/>
      <c r="E210" s="8"/>
      <c r="F210" s="9"/>
      <c r="G210" s="8"/>
      <c r="H210" s="8"/>
      <c r="I210" s="9"/>
      <c r="J210" s="8"/>
      <c r="K210" s="8"/>
      <c r="L210" s="8"/>
    </row>
    <row r="211" spans="1:12" ht="14.45">
      <c r="A211" s="8"/>
      <c r="B211" s="13"/>
      <c r="C211" s="8"/>
      <c r="D211" s="8"/>
      <c r="E211" s="8"/>
      <c r="F211" s="9"/>
      <c r="G211" s="8"/>
      <c r="H211" s="8"/>
      <c r="I211" s="9"/>
      <c r="J211" s="8"/>
      <c r="K211" s="8"/>
      <c r="L211" s="8"/>
    </row>
    <row r="212" spans="1:12" ht="14.45">
      <c r="A212" s="8"/>
      <c r="B212" s="13"/>
      <c r="C212" s="8"/>
      <c r="D212" s="8"/>
      <c r="E212" s="8"/>
      <c r="F212" s="9"/>
      <c r="G212" s="8"/>
      <c r="H212" s="8"/>
      <c r="I212" s="9"/>
      <c r="J212" s="8"/>
      <c r="K212" s="8"/>
      <c r="L212" s="8"/>
    </row>
    <row r="213" spans="1:12" ht="14.45">
      <c r="A213" s="8"/>
      <c r="B213" s="13"/>
      <c r="C213" s="8"/>
      <c r="D213" s="8"/>
      <c r="E213" s="8"/>
      <c r="F213" s="9"/>
      <c r="G213" s="8"/>
      <c r="H213" s="8"/>
      <c r="I213" s="9"/>
      <c r="J213" s="8"/>
      <c r="K213" s="8"/>
      <c r="L213" s="8"/>
    </row>
    <row r="214" spans="1:12" ht="14.45">
      <c r="A214" s="8"/>
      <c r="B214" s="13"/>
      <c r="C214" s="8"/>
      <c r="D214" s="8"/>
      <c r="E214" s="8"/>
      <c r="F214" s="9"/>
      <c r="G214" s="8"/>
      <c r="H214" s="8"/>
      <c r="I214" s="9"/>
      <c r="J214" s="8"/>
      <c r="K214" s="8"/>
      <c r="L214" s="8"/>
    </row>
    <row r="215" spans="1:12" ht="14.45">
      <c r="A215" s="8"/>
      <c r="B215" s="13"/>
      <c r="C215" s="8"/>
      <c r="D215" s="8"/>
      <c r="E215" s="8"/>
      <c r="F215" s="9"/>
      <c r="G215" s="8"/>
      <c r="H215" s="8"/>
      <c r="I215" s="9"/>
      <c r="J215" s="8"/>
      <c r="K215" s="8"/>
      <c r="L215" s="8"/>
    </row>
    <row r="216" spans="1:12" ht="14.45">
      <c r="A216" s="8"/>
      <c r="B216" s="13"/>
      <c r="C216" s="8"/>
      <c r="D216" s="8"/>
      <c r="E216" s="8"/>
      <c r="F216" s="9"/>
      <c r="G216" s="8"/>
      <c r="H216" s="8"/>
      <c r="I216" s="9"/>
      <c r="J216" s="8"/>
      <c r="K216" s="8"/>
      <c r="L216" s="8"/>
    </row>
    <row r="217" spans="1:12" ht="14.45">
      <c r="A217" s="8"/>
      <c r="B217" s="13"/>
      <c r="C217" s="8"/>
      <c r="D217" s="8"/>
      <c r="E217" s="8"/>
      <c r="F217" s="9"/>
      <c r="G217" s="8"/>
      <c r="H217" s="8"/>
      <c r="I217" s="9"/>
      <c r="J217" s="8"/>
      <c r="K217" s="8"/>
      <c r="L217" s="8"/>
    </row>
    <row r="218" spans="1:12" ht="14.45">
      <c r="A218" s="8"/>
      <c r="B218" s="13"/>
      <c r="C218" s="8"/>
      <c r="D218" s="8"/>
      <c r="E218" s="8"/>
      <c r="F218" s="9"/>
      <c r="G218" s="8"/>
      <c r="H218" s="8"/>
      <c r="I218" s="9"/>
      <c r="J218" s="8"/>
      <c r="K218" s="8"/>
      <c r="L218" s="8"/>
    </row>
    <row r="219" spans="1:12" ht="14.45">
      <c r="A219" s="8"/>
      <c r="B219" s="13"/>
      <c r="C219" s="8"/>
      <c r="D219" s="8"/>
      <c r="E219" s="8"/>
      <c r="F219" s="9"/>
      <c r="G219" s="8"/>
      <c r="H219" s="8"/>
      <c r="I219" s="9"/>
      <c r="J219" s="8"/>
      <c r="K219" s="8"/>
      <c r="L219" s="8"/>
    </row>
    <row r="220" spans="1:12" ht="14.45">
      <c r="A220" s="8"/>
      <c r="B220" s="13"/>
      <c r="C220" s="8"/>
      <c r="D220" s="8"/>
      <c r="E220" s="8"/>
      <c r="F220" s="9"/>
      <c r="G220" s="8"/>
      <c r="H220" s="8"/>
      <c r="I220" s="9"/>
      <c r="J220" s="8"/>
      <c r="K220" s="8"/>
      <c r="L220" s="8"/>
    </row>
    <row r="221" spans="1:12" ht="14.45">
      <c r="A221" s="8"/>
      <c r="B221" s="13"/>
      <c r="C221" s="8"/>
      <c r="D221" s="8"/>
      <c r="E221" s="8"/>
      <c r="F221" s="9"/>
      <c r="G221" s="8"/>
      <c r="H221" s="8"/>
      <c r="I221" s="9"/>
      <c r="J221" s="8"/>
      <c r="K221" s="8"/>
      <c r="L221" s="8"/>
    </row>
    <row r="222" spans="1:12" ht="14.45">
      <c r="A222" s="8"/>
      <c r="B222" s="13"/>
      <c r="C222" s="8"/>
      <c r="D222" s="8"/>
      <c r="E222" s="8"/>
      <c r="F222" s="9"/>
      <c r="G222" s="8"/>
      <c r="H222" s="8"/>
      <c r="I222" s="9"/>
      <c r="J222" s="8"/>
      <c r="K222" s="8"/>
      <c r="L222" s="8"/>
    </row>
    <row r="223" spans="1:12" ht="14.45">
      <c r="A223" s="8"/>
      <c r="B223" s="13"/>
      <c r="C223" s="8"/>
      <c r="D223" s="8"/>
      <c r="E223" s="8"/>
      <c r="F223" s="9"/>
      <c r="G223" s="8"/>
      <c r="H223" s="8"/>
      <c r="I223" s="9"/>
      <c r="J223" s="8"/>
      <c r="K223" s="8"/>
      <c r="L223" s="8"/>
    </row>
    <row r="224" spans="1:12" ht="14.45">
      <c r="A224" s="8"/>
      <c r="B224" s="13"/>
      <c r="C224" s="8"/>
      <c r="D224" s="8"/>
      <c r="E224" s="8"/>
      <c r="F224" s="9"/>
      <c r="G224" s="8"/>
      <c r="H224" s="8"/>
      <c r="I224" s="9"/>
      <c r="J224" s="8"/>
      <c r="K224" s="8"/>
      <c r="L224" s="8"/>
    </row>
    <row r="225" spans="1:12" ht="14.45">
      <c r="A225" s="8"/>
      <c r="B225" s="13"/>
      <c r="C225" s="8"/>
      <c r="D225" s="8"/>
      <c r="E225" s="8"/>
      <c r="F225" s="9"/>
      <c r="G225" s="8"/>
      <c r="H225" s="8"/>
      <c r="I225" s="9"/>
      <c r="J225" s="8"/>
      <c r="K225" s="8"/>
      <c r="L225" s="8"/>
    </row>
    <row r="226" spans="1:12" ht="14.45">
      <c r="A226" s="8"/>
      <c r="B226" s="13"/>
      <c r="C226" s="8"/>
      <c r="D226" s="8"/>
      <c r="E226" s="8"/>
      <c r="F226" s="9"/>
      <c r="G226" s="8"/>
      <c r="H226" s="8"/>
      <c r="I226" s="9"/>
      <c r="J226" s="8"/>
      <c r="K226" s="8"/>
      <c r="L226" s="8"/>
    </row>
    <row r="227" spans="1:12" ht="14.45">
      <c r="A227" s="8"/>
      <c r="B227" s="13"/>
      <c r="C227" s="8"/>
      <c r="D227" s="8"/>
      <c r="E227" s="8"/>
      <c r="F227" s="9"/>
      <c r="G227" s="8"/>
      <c r="H227" s="8"/>
      <c r="I227" s="9"/>
      <c r="J227" s="8"/>
      <c r="K227" s="8"/>
      <c r="L227" s="8"/>
    </row>
    <row r="228" spans="1:12" ht="14.45">
      <c r="A228" s="8"/>
      <c r="B228" s="13"/>
      <c r="C228" s="8"/>
      <c r="D228" s="8"/>
      <c r="E228" s="8"/>
      <c r="F228" s="9"/>
      <c r="G228" s="8"/>
      <c r="H228" s="8"/>
      <c r="I228" s="9"/>
      <c r="J228" s="8"/>
      <c r="K228" s="8"/>
      <c r="L228" s="8"/>
    </row>
    <row r="229" spans="1:12" ht="14.45">
      <c r="A229" s="8"/>
      <c r="B229" s="13"/>
      <c r="C229" s="8"/>
      <c r="D229" s="8"/>
      <c r="E229" s="8"/>
      <c r="F229" s="9"/>
      <c r="G229" s="8"/>
      <c r="H229" s="8"/>
      <c r="I229" s="9"/>
      <c r="J229" s="8"/>
      <c r="K229" s="8"/>
      <c r="L229" s="8"/>
    </row>
    <row r="230" spans="1:12" ht="14.45">
      <c r="A230" s="8"/>
      <c r="B230" s="13"/>
      <c r="C230" s="8"/>
      <c r="D230" s="8"/>
      <c r="E230" s="8"/>
      <c r="F230" s="9"/>
      <c r="G230" s="8"/>
      <c r="H230" s="8"/>
      <c r="I230" s="9"/>
      <c r="J230" s="8"/>
      <c r="K230" s="8"/>
      <c r="L230" s="8"/>
    </row>
    <row r="231" spans="1:12" ht="14.45">
      <c r="A231" s="8"/>
      <c r="B231" s="13"/>
      <c r="C231" s="8"/>
      <c r="D231" s="8"/>
      <c r="E231" s="8"/>
      <c r="F231" s="9"/>
      <c r="G231" s="8"/>
      <c r="H231" s="8"/>
      <c r="I231" s="9"/>
      <c r="J231" s="8"/>
      <c r="K231" s="8"/>
      <c r="L231" s="8"/>
    </row>
    <row r="232" spans="1:12" ht="14.45">
      <c r="A232" s="8"/>
      <c r="B232" s="13"/>
      <c r="C232" s="8"/>
      <c r="D232" s="8"/>
      <c r="E232" s="8"/>
      <c r="F232" s="9"/>
      <c r="G232" s="8"/>
      <c r="H232" s="8"/>
      <c r="I232" s="9"/>
      <c r="J232" s="8"/>
      <c r="K232" s="8"/>
      <c r="L232" s="8"/>
    </row>
    <row r="233" spans="1:12" ht="14.45">
      <c r="A233" s="8"/>
      <c r="B233" s="13"/>
      <c r="C233" s="8"/>
      <c r="D233" s="8"/>
      <c r="E233" s="8"/>
      <c r="F233" s="9"/>
      <c r="G233" s="8"/>
      <c r="H233" s="8"/>
      <c r="I233" s="9"/>
      <c r="J233" s="8"/>
      <c r="K233" s="8"/>
      <c r="L233" s="8"/>
    </row>
    <row r="234" spans="1:12" ht="14.45">
      <c r="A234" s="8"/>
      <c r="B234" s="13"/>
      <c r="C234" s="8"/>
      <c r="D234" s="8"/>
      <c r="E234" s="8"/>
      <c r="F234" s="9"/>
      <c r="G234" s="8"/>
      <c r="H234" s="8"/>
      <c r="I234" s="9"/>
      <c r="J234" s="8"/>
      <c r="K234" s="8"/>
      <c r="L234" s="8"/>
    </row>
    <row r="235" spans="1:12" ht="14.45">
      <c r="A235" s="8"/>
      <c r="B235" s="13"/>
      <c r="C235" s="8"/>
      <c r="D235" s="8"/>
      <c r="E235" s="8"/>
      <c r="F235" s="9"/>
      <c r="G235" s="8"/>
      <c r="H235" s="8"/>
      <c r="I235" s="9"/>
      <c r="J235" s="8"/>
      <c r="K235" s="8"/>
      <c r="L235" s="8"/>
    </row>
    <row r="236" spans="1:12" ht="14.45">
      <c r="A236" s="8"/>
      <c r="B236" s="13"/>
      <c r="C236" s="8"/>
      <c r="D236" s="8"/>
      <c r="E236" s="8"/>
      <c r="F236" s="9"/>
      <c r="G236" s="8"/>
      <c r="H236" s="8"/>
      <c r="I236" s="9"/>
      <c r="J236" s="8"/>
      <c r="K236" s="8"/>
      <c r="L236" s="8"/>
    </row>
    <row r="237" spans="1:12" ht="14.45">
      <c r="A237" s="8"/>
      <c r="B237" s="13"/>
      <c r="C237" s="8"/>
      <c r="D237" s="8"/>
      <c r="E237" s="8"/>
      <c r="F237" s="9"/>
      <c r="G237" s="8"/>
      <c r="H237" s="8"/>
      <c r="I237" s="9"/>
      <c r="J237" s="8"/>
      <c r="K237" s="8"/>
      <c r="L237" s="8"/>
    </row>
    <row r="238" spans="1:12" ht="14.45">
      <c r="A238" s="8"/>
      <c r="B238" s="13"/>
      <c r="C238" s="8"/>
      <c r="D238" s="8"/>
      <c r="E238" s="8"/>
      <c r="F238" s="9"/>
      <c r="G238" s="8"/>
      <c r="H238" s="8"/>
      <c r="I238" s="9"/>
      <c r="J238" s="8"/>
      <c r="K238" s="8"/>
      <c r="L238" s="8"/>
    </row>
    <row r="239" spans="1:12" ht="14.45">
      <c r="A239" s="8"/>
      <c r="B239" s="13"/>
      <c r="C239" s="8"/>
      <c r="D239" s="8"/>
      <c r="E239" s="8"/>
      <c r="F239" s="9"/>
      <c r="G239" s="8"/>
      <c r="H239" s="8"/>
      <c r="I239" s="9"/>
      <c r="J239" s="8"/>
      <c r="K239" s="8"/>
      <c r="L239" s="8"/>
    </row>
    <row r="240" spans="1:12" ht="14.45">
      <c r="A240" s="8"/>
      <c r="B240" s="13"/>
      <c r="C240" s="8"/>
      <c r="D240" s="8"/>
      <c r="E240" s="8"/>
      <c r="F240" s="9"/>
      <c r="G240" s="8"/>
      <c r="H240" s="8"/>
      <c r="I240" s="9"/>
      <c r="J240" s="8"/>
      <c r="K240" s="8"/>
      <c r="L240" s="8"/>
    </row>
    <row r="241" spans="1:12" ht="14.45">
      <c r="A241" s="8"/>
      <c r="B241" s="13"/>
      <c r="C241" s="8"/>
      <c r="D241" s="8"/>
      <c r="E241" s="8"/>
      <c r="F241" s="9"/>
      <c r="G241" s="8"/>
      <c r="H241" s="8"/>
      <c r="I241" s="9"/>
      <c r="J241" s="8"/>
      <c r="K241" s="8"/>
      <c r="L241" s="8"/>
    </row>
    <row r="242" spans="1:12" ht="14.45">
      <c r="A242" s="8"/>
      <c r="B242" s="13"/>
      <c r="C242" s="8"/>
      <c r="D242" s="8"/>
      <c r="E242" s="8"/>
      <c r="F242" s="9"/>
      <c r="G242" s="8"/>
      <c r="H242" s="8"/>
      <c r="I242" s="9"/>
      <c r="J242" s="8"/>
      <c r="K242" s="8"/>
      <c r="L242" s="8"/>
    </row>
    <row r="243" spans="1:12" ht="14.45">
      <c r="A243" s="8"/>
      <c r="B243" s="13"/>
      <c r="C243" s="8"/>
      <c r="D243" s="8"/>
      <c r="E243" s="8"/>
      <c r="F243" s="9"/>
      <c r="G243" s="8"/>
      <c r="H243" s="8"/>
      <c r="I243" s="9"/>
      <c r="J243" s="8"/>
      <c r="K243" s="8"/>
      <c r="L243" s="8"/>
    </row>
    <row r="244" spans="1:12" ht="14.45">
      <c r="A244" s="8"/>
      <c r="B244" s="13"/>
      <c r="C244" s="8"/>
      <c r="D244" s="8"/>
      <c r="E244" s="8"/>
      <c r="F244" s="9"/>
      <c r="G244" s="8"/>
      <c r="H244" s="8"/>
      <c r="I244" s="9"/>
      <c r="J244" s="8"/>
      <c r="K244" s="8"/>
      <c r="L244" s="8"/>
    </row>
    <row r="245" spans="1:12" ht="14.45">
      <c r="A245" s="8"/>
      <c r="B245" s="13"/>
      <c r="C245" s="8"/>
      <c r="D245" s="8"/>
      <c r="E245" s="8"/>
      <c r="F245" s="9"/>
      <c r="G245" s="8"/>
      <c r="H245" s="8"/>
      <c r="I245" s="9"/>
      <c r="J245" s="8"/>
      <c r="K245" s="8"/>
      <c r="L245" s="8"/>
    </row>
    <row r="246" spans="1:12" ht="14.45">
      <c r="A246" s="8"/>
      <c r="B246" s="13"/>
      <c r="C246" s="8"/>
      <c r="D246" s="8"/>
      <c r="E246" s="8"/>
      <c r="F246" s="9"/>
      <c r="G246" s="8"/>
      <c r="H246" s="8"/>
      <c r="I246" s="9"/>
      <c r="J246" s="8"/>
      <c r="K246" s="8"/>
      <c r="L246" s="8"/>
    </row>
    <row r="247" spans="1:12" ht="14.45">
      <c r="A247" s="8"/>
      <c r="B247" s="13"/>
      <c r="C247" s="8"/>
      <c r="D247" s="8"/>
      <c r="E247" s="8"/>
      <c r="F247" s="9"/>
      <c r="G247" s="8"/>
      <c r="H247" s="8"/>
      <c r="I247" s="9"/>
      <c r="J247" s="8"/>
      <c r="K247" s="8"/>
      <c r="L247" s="8"/>
    </row>
    <row r="248" spans="1:12" ht="14.45">
      <c r="A248" s="8"/>
      <c r="B248" s="13"/>
      <c r="C248" s="8"/>
      <c r="D248" s="8"/>
      <c r="E248" s="8"/>
      <c r="F248" s="9"/>
      <c r="G248" s="8"/>
      <c r="H248" s="8"/>
      <c r="I248" s="9"/>
      <c r="J248" s="8"/>
      <c r="K248" s="8"/>
      <c r="L248" s="8"/>
    </row>
    <row r="249" spans="1:12" ht="14.45">
      <c r="A249" s="8"/>
      <c r="B249" s="13"/>
      <c r="C249" s="8"/>
      <c r="D249" s="8"/>
      <c r="E249" s="8"/>
      <c r="F249" s="9"/>
      <c r="G249" s="8"/>
      <c r="H249" s="8"/>
      <c r="I249" s="9"/>
      <c r="J249" s="8"/>
      <c r="K249" s="8"/>
      <c r="L249" s="8"/>
    </row>
    <row r="250" spans="1:12" ht="14.45">
      <c r="A250" s="8"/>
      <c r="B250" s="13"/>
      <c r="C250" s="8"/>
      <c r="D250" s="8"/>
      <c r="E250" s="8"/>
      <c r="F250" s="9"/>
      <c r="G250" s="8"/>
      <c r="H250" s="8"/>
      <c r="I250" s="9"/>
      <c r="J250" s="8"/>
      <c r="K250" s="8"/>
      <c r="L250" s="8"/>
    </row>
    <row r="251" spans="1:12" ht="14.45">
      <c r="A251" s="8"/>
      <c r="B251" s="13"/>
      <c r="C251" s="8"/>
      <c r="D251" s="8"/>
      <c r="E251" s="8"/>
      <c r="F251" s="9"/>
      <c r="G251" s="8"/>
      <c r="H251" s="8"/>
      <c r="I251" s="9"/>
      <c r="J251" s="8"/>
      <c r="K251" s="8"/>
      <c r="L251" s="8"/>
    </row>
    <row r="252" spans="1:12" ht="14.45">
      <c r="A252" s="8"/>
      <c r="B252" s="13"/>
      <c r="C252" s="8"/>
      <c r="D252" s="8"/>
      <c r="E252" s="8"/>
      <c r="F252" s="9"/>
      <c r="G252" s="8"/>
      <c r="H252" s="8"/>
      <c r="I252" s="9"/>
      <c r="J252" s="8"/>
      <c r="K252" s="8"/>
      <c r="L252" s="8"/>
    </row>
    <row r="253" spans="1:12" ht="14.45">
      <c r="A253" s="8"/>
      <c r="B253" s="13"/>
      <c r="C253" s="8"/>
      <c r="D253" s="8"/>
      <c r="E253" s="8"/>
      <c r="F253" s="9"/>
      <c r="G253" s="8"/>
      <c r="H253" s="8"/>
      <c r="I253" s="9"/>
      <c r="J253" s="8"/>
      <c r="K253" s="8"/>
      <c r="L253" s="8"/>
    </row>
    <row r="254" spans="1:12" ht="14.45">
      <c r="A254" s="8"/>
      <c r="B254" s="13"/>
      <c r="C254" s="8"/>
      <c r="D254" s="8"/>
      <c r="E254" s="8"/>
      <c r="F254" s="9"/>
      <c r="G254" s="8"/>
      <c r="H254" s="8"/>
      <c r="I254" s="9"/>
      <c r="J254" s="8"/>
      <c r="K254" s="8"/>
      <c r="L254" s="8"/>
    </row>
    <row r="255" spans="1:12" ht="14.45">
      <c r="A255" s="8"/>
      <c r="B255" s="13"/>
      <c r="C255" s="8"/>
      <c r="D255" s="8"/>
      <c r="E255" s="8"/>
      <c r="F255" s="9"/>
      <c r="G255" s="8"/>
      <c r="H255" s="8"/>
      <c r="I255" s="9"/>
      <c r="J255" s="8"/>
      <c r="K255" s="8"/>
      <c r="L255" s="8"/>
    </row>
    <row r="256" spans="1:12" ht="14.45">
      <c r="A256" s="8"/>
      <c r="B256" s="13"/>
      <c r="C256" s="8"/>
      <c r="D256" s="8"/>
      <c r="E256" s="8"/>
      <c r="F256" s="9"/>
      <c r="G256" s="8"/>
      <c r="H256" s="8"/>
      <c r="I256" s="9"/>
      <c r="J256" s="8"/>
      <c r="K256" s="8"/>
      <c r="L256" s="8"/>
    </row>
    <row r="257" spans="1:12" ht="14.45">
      <c r="A257" s="8"/>
      <c r="B257" s="13"/>
      <c r="C257" s="8"/>
      <c r="D257" s="8"/>
      <c r="E257" s="8"/>
      <c r="F257" s="9"/>
      <c r="G257" s="8"/>
      <c r="H257" s="8"/>
      <c r="I257" s="9"/>
      <c r="J257" s="8"/>
      <c r="K257" s="8"/>
      <c r="L257" s="8"/>
    </row>
    <row r="258" spans="1:12" ht="14.45">
      <c r="A258" s="8"/>
      <c r="B258" s="13"/>
      <c r="C258" s="8"/>
      <c r="D258" s="8"/>
      <c r="E258" s="8"/>
      <c r="F258" s="9"/>
      <c r="G258" s="8"/>
      <c r="H258" s="8"/>
      <c r="I258" s="9"/>
      <c r="J258" s="8"/>
      <c r="K258" s="8"/>
      <c r="L258" s="8"/>
    </row>
    <row r="259" spans="1:12" ht="14.45">
      <c r="A259" s="8"/>
      <c r="B259" s="13"/>
      <c r="C259" s="8"/>
      <c r="D259" s="8"/>
      <c r="E259" s="8"/>
      <c r="F259" s="9"/>
      <c r="G259" s="8"/>
      <c r="H259" s="8"/>
      <c r="I259" s="9"/>
      <c r="J259" s="8"/>
      <c r="K259" s="8"/>
      <c r="L259" s="8"/>
    </row>
    <row r="260" spans="1:12" ht="14.45">
      <c r="A260" s="8"/>
      <c r="B260" s="13"/>
      <c r="C260" s="8"/>
      <c r="D260" s="8"/>
      <c r="E260" s="8"/>
      <c r="F260" s="9"/>
      <c r="G260" s="8"/>
      <c r="H260" s="8"/>
      <c r="I260" s="9"/>
      <c r="J260" s="8"/>
      <c r="K260" s="8"/>
      <c r="L260" s="8"/>
    </row>
    <row r="261" spans="1:12" ht="14.45">
      <c r="A261" s="8"/>
      <c r="B261" s="13"/>
      <c r="C261" s="8"/>
      <c r="D261" s="8"/>
      <c r="E261" s="8"/>
      <c r="F261" s="9"/>
      <c r="G261" s="8"/>
      <c r="H261" s="8"/>
      <c r="I261" s="9"/>
      <c r="J261" s="8"/>
      <c r="K261" s="8"/>
      <c r="L261" s="8"/>
    </row>
    <row r="262" spans="1:12" ht="14.45">
      <c r="A262" s="8"/>
      <c r="B262" s="13"/>
      <c r="C262" s="8"/>
      <c r="D262" s="8"/>
      <c r="E262" s="8"/>
      <c r="F262" s="9"/>
      <c r="G262" s="8"/>
      <c r="H262" s="8"/>
      <c r="I262" s="9"/>
      <c r="J262" s="8"/>
      <c r="K262" s="8"/>
      <c r="L262" s="8"/>
    </row>
    <row r="263" spans="1:12" ht="14.45">
      <c r="A263" s="8"/>
      <c r="B263" s="13"/>
      <c r="C263" s="8"/>
      <c r="D263" s="8"/>
      <c r="E263" s="8"/>
      <c r="F263" s="9"/>
      <c r="G263" s="8"/>
      <c r="H263" s="8"/>
      <c r="I263" s="9"/>
      <c r="J263" s="8"/>
      <c r="K263" s="8"/>
      <c r="L263" s="8"/>
    </row>
    <row r="264" spans="1:12" ht="14.45">
      <c r="A264" s="8"/>
      <c r="B264" s="13"/>
      <c r="C264" s="8"/>
      <c r="D264" s="8"/>
      <c r="E264" s="8"/>
      <c r="F264" s="9"/>
      <c r="G264" s="8"/>
      <c r="H264" s="8"/>
      <c r="I264" s="9"/>
      <c r="J264" s="8"/>
      <c r="K264" s="8"/>
      <c r="L264" s="8"/>
    </row>
    <row r="265" spans="1:12" ht="14.45">
      <c r="A265" s="8"/>
      <c r="B265" s="13"/>
      <c r="C265" s="8"/>
      <c r="D265" s="8"/>
      <c r="E265" s="8"/>
      <c r="F265" s="9"/>
      <c r="G265" s="8"/>
      <c r="H265" s="8"/>
      <c r="I265" s="9"/>
      <c r="J265" s="8"/>
      <c r="K265" s="8"/>
      <c r="L265" s="8"/>
    </row>
    <row r="266" spans="1:12" ht="14.45">
      <c r="A266" s="8"/>
      <c r="B266" s="13"/>
      <c r="C266" s="8"/>
      <c r="D266" s="8"/>
      <c r="E266" s="8"/>
      <c r="F266" s="9"/>
      <c r="G266" s="8"/>
      <c r="H266" s="8"/>
      <c r="I266" s="9"/>
      <c r="J266" s="8"/>
      <c r="K266" s="8"/>
      <c r="L266" s="8"/>
    </row>
    <row r="267" spans="1:12" ht="14.45">
      <c r="A267" s="8"/>
      <c r="B267" s="13"/>
      <c r="C267" s="8"/>
      <c r="D267" s="8"/>
      <c r="E267" s="8"/>
      <c r="F267" s="9"/>
      <c r="G267" s="8"/>
      <c r="H267" s="8"/>
      <c r="I267" s="9"/>
      <c r="J267" s="8"/>
      <c r="K267" s="8"/>
      <c r="L267" s="8"/>
    </row>
    <row r="268" spans="1:12" ht="14.45">
      <c r="A268" s="8"/>
      <c r="B268" s="13"/>
      <c r="C268" s="8"/>
      <c r="D268" s="8"/>
      <c r="E268" s="8"/>
      <c r="F268" s="9"/>
      <c r="G268" s="8"/>
      <c r="H268" s="8"/>
      <c r="I268" s="9"/>
      <c r="J268" s="8"/>
      <c r="K268" s="8"/>
      <c r="L268" s="8"/>
    </row>
    <row r="269" spans="1:12" ht="14.45">
      <c r="A269" s="8"/>
      <c r="B269" s="13"/>
      <c r="C269" s="8"/>
      <c r="D269" s="8"/>
      <c r="E269" s="8"/>
      <c r="F269" s="9"/>
      <c r="G269" s="8"/>
      <c r="H269" s="8"/>
      <c r="I269" s="9"/>
      <c r="J269" s="8"/>
      <c r="K269" s="8"/>
      <c r="L269" s="8"/>
    </row>
    <row r="270" spans="1:12" ht="14.45">
      <c r="A270" s="8"/>
      <c r="B270" s="13"/>
      <c r="C270" s="8"/>
      <c r="D270" s="8"/>
      <c r="E270" s="8"/>
      <c r="F270" s="9"/>
      <c r="G270" s="8"/>
      <c r="H270" s="8"/>
      <c r="I270" s="9"/>
      <c r="J270" s="8"/>
      <c r="K270" s="8"/>
      <c r="L270" s="8"/>
    </row>
    <row r="271" spans="1:12" ht="14.45">
      <c r="A271" s="8"/>
      <c r="B271" s="13"/>
      <c r="C271" s="8"/>
      <c r="D271" s="8"/>
      <c r="E271" s="8"/>
      <c r="F271" s="9"/>
      <c r="G271" s="8"/>
      <c r="H271" s="8"/>
      <c r="I271" s="9"/>
      <c r="J271" s="8"/>
      <c r="K271" s="8"/>
      <c r="L271" s="8"/>
    </row>
    <row r="272" spans="1:12" ht="14.45">
      <c r="A272" s="8"/>
      <c r="B272" s="13"/>
      <c r="C272" s="8"/>
      <c r="D272" s="8"/>
      <c r="E272" s="8"/>
      <c r="F272" s="9"/>
      <c r="G272" s="8"/>
      <c r="H272" s="8"/>
      <c r="I272" s="9"/>
      <c r="J272" s="8"/>
      <c r="K272" s="8"/>
      <c r="L272" s="8"/>
    </row>
    <row r="273" spans="1:12" ht="14.45">
      <c r="A273" s="8"/>
      <c r="B273" s="13"/>
      <c r="C273" s="8"/>
      <c r="D273" s="8"/>
      <c r="E273" s="8"/>
      <c r="F273" s="9"/>
      <c r="G273" s="8"/>
      <c r="H273" s="8"/>
      <c r="I273" s="9"/>
      <c r="J273" s="8"/>
      <c r="K273" s="8"/>
      <c r="L273" s="8"/>
    </row>
    <row r="274" spans="1:12" ht="14.45">
      <c r="A274" s="8"/>
      <c r="B274" s="13"/>
      <c r="C274" s="8"/>
      <c r="D274" s="8"/>
      <c r="E274" s="8"/>
      <c r="F274" s="9"/>
      <c r="G274" s="8"/>
      <c r="H274" s="8"/>
      <c r="I274" s="9"/>
      <c r="J274" s="8"/>
      <c r="K274" s="8"/>
      <c r="L274" s="8"/>
    </row>
    <row r="275" spans="1:12" ht="14.45">
      <c r="A275" s="8"/>
      <c r="B275" s="13"/>
      <c r="C275" s="8"/>
      <c r="D275" s="8"/>
      <c r="E275" s="8"/>
      <c r="F275" s="9"/>
      <c r="G275" s="8"/>
      <c r="H275" s="8"/>
      <c r="I275" s="9"/>
      <c r="J275" s="8"/>
      <c r="K275" s="8"/>
      <c r="L275" s="8"/>
    </row>
    <row r="276" spans="1:12" ht="14.45">
      <c r="A276" s="8"/>
      <c r="B276" s="13"/>
      <c r="C276" s="8"/>
      <c r="D276" s="8"/>
      <c r="E276" s="8"/>
      <c r="F276" s="9"/>
      <c r="G276" s="8"/>
      <c r="H276" s="8"/>
      <c r="I276" s="9"/>
      <c r="J276" s="8"/>
      <c r="K276" s="8"/>
      <c r="L276" s="8"/>
    </row>
    <row r="277" spans="1:12" ht="14.45">
      <c r="A277" s="8"/>
      <c r="B277" s="13"/>
      <c r="C277" s="8"/>
      <c r="D277" s="8"/>
      <c r="E277" s="8"/>
      <c r="F277" s="9"/>
      <c r="G277" s="8"/>
      <c r="H277" s="8"/>
      <c r="I277" s="9"/>
      <c r="J277" s="8"/>
      <c r="K277" s="8"/>
      <c r="L277" s="8"/>
    </row>
    <row r="278" spans="1:12" ht="14.45">
      <c r="A278" s="8"/>
      <c r="B278" s="13"/>
      <c r="C278" s="8"/>
      <c r="D278" s="8"/>
      <c r="E278" s="8"/>
      <c r="F278" s="9"/>
      <c r="G278" s="8"/>
      <c r="H278" s="8"/>
      <c r="I278" s="9"/>
      <c r="J278" s="8"/>
      <c r="K278" s="8"/>
      <c r="L278" s="8"/>
    </row>
    <row r="279" spans="1:12" ht="14.45">
      <c r="A279" s="8"/>
      <c r="B279" s="13"/>
      <c r="C279" s="8"/>
      <c r="D279" s="8"/>
      <c r="E279" s="8"/>
      <c r="F279" s="9"/>
      <c r="G279" s="8"/>
      <c r="H279" s="8"/>
      <c r="I279" s="9"/>
      <c r="J279" s="8"/>
      <c r="K279" s="8"/>
      <c r="L279" s="8"/>
    </row>
    <row r="280" spans="1:12" ht="14.45">
      <c r="A280" s="8"/>
      <c r="B280" s="13"/>
      <c r="C280" s="8"/>
      <c r="D280" s="8"/>
      <c r="E280" s="8"/>
      <c r="F280" s="9"/>
      <c r="G280" s="8"/>
      <c r="H280" s="8"/>
      <c r="I280" s="9"/>
      <c r="J280" s="8"/>
      <c r="K280" s="8"/>
      <c r="L280" s="8"/>
    </row>
    <row r="281" spans="1:12" ht="14.45">
      <c r="A281" s="8"/>
      <c r="B281" s="13"/>
      <c r="C281" s="8"/>
      <c r="D281" s="8"/>
      <c r="E281" s="8"/>
      <c r="F281" s="9"/>
      <c r="G281" s="8"/>
      <c r="H281" s="8"/>
      <c r="I281" s="9"/>
      <c r="J281" s="8"/>
      <c r="K281" s="8"/>
      <c r="L281" s="8"/>
    </row>
    <row r="282" spans="1:12" ht="14.45">
      <c r="A282" s="8"/>
      <c r="B282" s="13"/>
      <c r="C282" s="8"/>
      <c r="D282" s="8"/>
      <c r="E282" s="8"/>
      <c r="F282" s="9"/>
      <c r="G282" s="8"/>
      <c r="H282" s="8"/>
      <c r="I282" s="9"/>
      <c r="J282" s="8"/>
      <c r="K282" s="8"/>
      <c r="L282" s="8"/>
    </row>
    <row r="283" spans="1:12" ht="14.45">
      <c r="A283" s="8"/>
      <c r="B283" s="13"/>
      <c r="C283" s="8"/>
      <c r="D283" s="8"/>
      <c r="E283" s="8"/>
      <c r="F283" s="9"/>
      <c r="G283" s="8"/>
      <c r="H283" s="8"/>
      <c r="I283" s="9"/>
      <c r="J283" s="8"/>
      <c r="K283" s="8"/>
      <c r="L283" s="8"/>
    </row>
    <row r="284" spans="1:12" ht="14.45">
      <c r="A284" s="8"/>
      <c r="B284" s="13"/>
      <c r="C284" s="8"/>
      <c r="D284" s="8"/>
      <c r="E284" s="8"/>
      <c r="F284" s="9"/>
      <c r="G284" s="8"/>
      <c r="H284" s="8"/>
      <c r="I284" s="9"/>
      <c r="J284" s="8"/>
      <c r="K284" s="8"/>
      <c r="L284" s="8"/>
    </row>
    <row r="285" spans="1:12" ht="14.45">
      <c r="A285" s="8"/>
      <c r="B285" s="13"/>
      <c r="C285" s="8"/>
      <c r="D285" s="8"/>
      <c r="E285" s="8"/>
      <c r="F285" s="9"/>
      <c r="G285" s="8"/>
      <c r="H285" s="8"/>
      <c r="I285" s="9"/>
      <c r="J285" s="8"/>
      <c r="K285" s="8"/>
      <c r="L285" s="8"/>
    </row>
    <row r="286" spans="1:12" ht="14.45">
      <c r="A286" s="8"/>
      <c r="B286" s="13"/>
      <c r="C286" s="8"/>
      <c r="D286" s="8"/>
      <c r="E286" s="8"/>
      <c r="F286" s="9"/>
      <c r="G286" s="8"/>
      <c r="H286" s="8"/>
      <c r="I286" s="9"/>
      <c r="J286" s="8"/>
      <c r="K286" s="8"/>
      <c r="L286" s="8"/>
    </row>
    <row r="287" spans="1:12" ht="14.45">
      <c r="A287" s="8"/>
      <c r="B287" s="13"/>
      <c r="C287" s="8"/>
      <c r="D287" s="8"/>
      <c r="E287" s="8"/>
      <c r="F287" s="9"/>
      <c r="G287" s="8"/>
      <c r="H287" s="8"/>
      <c r="I287" s="9"/>
      <c r="J287" s="8"/>
      <c r="K287" s="8"/>
      <c r="L287" s="8"/>
    </row>
    <row r="288" spans="1:12" ht="14.45">
      <c r="A288" s="8"/>
      <c r="B288" s="13"/>
      <c r="C288" s="8"/>
      <c r="D288" s="8"/>
      <c r="E288" s="8"/>
      <c r="F288" s="9"/>
      <c r="G288" s="8"/>
      <c r="H288" s="8"/>
      <c r="I288" s="9"/>
      <c r="J288" s="8"/>
      <c r="K288" s="8"/>
      <c r="L288" s="8"/>
    </row>
    <row r="289" spans="1:12" ht="14.45">
      <c r="A289" s="8"/>
      <c r="B289" s="13"/>
      <c r="C289" s="8"/>
      <c r="D289" s="8"/>
      <c r="E289" s="8"/>
      <c r="F289" s="9"/>
      <c r="G289" s="8"/>
      <c r="H289" s="8"/>
      <c r="I289" s="9"/>
      <c r="J289" s="8"/>
      <c r="K289" s="8"/>
      <c r="L289" s="8"/>
    </row>
    <row r="290" spans="1:12" ht="14.45">
      <c r="A290" s="8"/>
      <c r="B290" s="13"/>
      <c r="C290" s="8"/>
      <c r="D290" s="8"/>
      <c r="E290" s="8"/>
      <c r="F290" s="9"/>
      <c r="G290" s="8"/>
      <c r="H290" s="8"/>
      <c r="I290" s="9"/>
      <c r="J290" s="8"/>
      <c r="K290" s="8"/>
      <c r="L290" s="8"/>
    </row>
    <row r="291" spans="1:12" ht="14.45">
      <c r="A291" s="8"/>
      <c r="B291" s="13"/>
      <c r="C291" s="8"/>
      <c r="D291" s="8"/>
      <c r="E291" s="8"/>
      <c r="F291" s="9"/>
      <c r="G291" s="8"/>
      <c r="H291" s="8"/>
      <c r="I291" s="9"/>
      <c r="J291" s="8"/>
      <c r="K291" s="8"/>
      <c r="L291" s="8"/>
    </row>
    <row r="292" spans="1:12" ht="14.45">
      <c r="A292" s="8"/>
      <c r="B292" s="13"/>
      <c r="C292" s="8"/>
      <c r="D292" s="8"/>
      <c r="E292" s="8"/>
      <c r="F292" s="9"/>
      <c r="G292" s="8"/>
      <c r="H292" s="8"/>
      <c r="I292" s="9"/>
      <c r="J292" s="8"/>
      <c r="K292" s="8"/>
      <c r="L292" s="8"/>
    </row>
    <row r="293" spans="1:12" ht="14.45">
      <c r="A293" s="8"/>
      <c r="B293" s="13"/>
      <c r="C293" s="8"/>
      <c r="D293" s="8"/>
      <c r="E293" s="8"/>
      <c r="F293" s="9"/>
      <c r="G293" s="8"/>
      <c r="H293" s="8"/>
      <c r="I293" s="9"/>
      <c r="J293" s="8"/>
      <c r="K293" s="8"/>
      <c r="L293" s="8"/>
    </row>
    <row r="294" spans="1:12" ht="14.45">
      <c r="A294" s="8"/>
      <c r="B294" s="13"/>
      <c r="C294" s="8"/>
      <c r="D294" s="8"/>
      <c r="E294" s="8"/>
      <c r="F294" s="9"/>
      <c r="G294" s="8"/>
      <c r="H294" s="8"/>
      <c r="I294" s="9"/>
      <c r="J294" s="8"/>
      <c r="K294" s="8"/>
      <c r="L294" s="8"/>
    </row>
    <row r="295" spans="1:12" ht="14.45">
      <c r="A295" s="8"/>
      <c r="B295" s="13"/>
      <c r="C295" s="8"/>
      <c r="D295" s="8"/>
      <c r="E295" s="8"/>
      <c r="F295" s="9"/>
      <c r="G295" s="8"/>
      <c r="H295" s="8"/>
      <c r="I295" s="9"/>
      <c r="J295" s="8"/>
      <c r="K295" s="8"/>
      <c r="L295" s="8"/>
    </row>
    <row r="296" spans="1:12" ht="14.45">
      <c r="A296" s="8"/>
      <c r="B296" s="13"/>
      <c r="C296" s="8"/>
      <c r="D296" s="8"/>
      <c r="E296" s="8"/>
      <c r="F296" s="9"/>
      <c r="G296" s="8"/>
      <c r="H296" s="8"/>
      <c r="I296" s="9"/>
      <c r="J296" s="8"/>
      <c r="K296" s="8"/>
      <c r="L296" s="8"/>
    </row>
    <row r="297" spans="1:12" ht="14.45">
      <c r="A297" s="8"/>
      <c r="B297" s="13"/>
      <c r="C297" s="8"/>
      <c r="D297" s="8"/>
      <c r="E297" s="8"/>
      <c r="F297" s="9"/>
      <c r="G297" s="8"/>
      <c r="H297" s="8"/>
      <c r="I297" s="9"/>
      <c r="J297" s="8"/>
      <c r="K297" s="8"/>
      <c r="L297" s="8"/>
    </row>
    <row r="298" spans="1:12" ht="14.45">
      <c r="A298" s="8"/>
      <c r="B298" s="13"/>
      <c r="C298" s="8"/>
      <c r="D298" s="8"/>
      <c r="E298" s="8"/>
      <c r="F298" s="9"/>
      <c r="G298" s="8"/>
      <c r="H298" s="8"/>
      <c r="I298" s="9"/>
      <c r="J298" s="8"/>
      <c r="K298" s="8"/>
      <c r="L298" s="8"/>
    </row>
    <row r="299" spans="1:12" ht="14.45">
      <c r="A299" s="8"/>
      <c r="B299" s="13"/>
      <c r="C299" s="8"/>
      <c r="D299" s="8"/>
      <c r="E299" s="8"/>
      <c r="F299" s="9"/>
      <c r="G299" s="8"/>
      <c r="H299" s="8"/>
      <c r="I299" s="9"/>
      <c r="J299" s="8"/>
      <c r="K299" s="8"/>
      <c r="L299" s="8"/>
    </row>
    <row r="300" spans="1:12" ht="14.45">
      <c r="A300" s="8"/>
      <c r="B300" s="13"/>
      <c r="C300" s="8"/>
      <c r="D300" s="8"/>
      <c r="E300" s="8"/>
      <c r="F300" s="9"/>
      <c r="G300" s="8"/>
      <c r="H300" s="8"/>
      <c r="I300" s="9"/>
      <c r="J300" s="8"/>
      <c r="K300" s="8"/>
      <c r="L300" s="8"/>
    </row>
    <row r="301" spans="1:12" ht="14.45">
      <c r="A301" s="8"/>
      <c r="B301" s="13"/>
      <c r="C301" s="8"/>
      <c r="D301" s="8"/>
      <c r="E301" s="8"/>
      <c r="F301" s="9"/>
      <c r="G301" s="8"/>
      <c r="H301" s="8"/>
      <c r="I301" s="9"/>
      <c r="J301" s="8"/>
      <c r="K301" s="8"/>
      <c r="L301" s="8"/>
    </row>
    <row r="302" spans="1:12" ht="14.45">
      <c r="A302" s="8"/>
      <c r="B302" s="13"/>
      <c r="C302" s="8"/>
      <c r="D302" s="8"/>
      <c r="E302" s="8"/>
      <c r="F302" s="9"/>
      <c r="G302" s="8"/>
      <c r="H302" s="8"/>
      <c r="I302" s="9"/>
      <c r="J302" s="8"/>
      <c r="K302" s="8"/>
      <c r="L302" s="8"/>
    </row>
    <row r="303" spans="1:12" ht="14.45">
      <c r="A303" s="8"/>
      <c r="B303" s="13"/>
      <c r="C303" s="8"/>
      <c r="D303" s="8"/>
      <c r="E303" s="8"/>
      <c r="F303" s="9"/>
      <c r="G303" s="8"/>
      <c r="H303" s="8"/>
      <c r="I303" s="9"/>
      <c r="J303" s="8"/>
      <c r="K303" s="8"/>
      <c r="L303" s="8"/>
    </row>
    <row r="304" spans="1:12" ht="14.45">
      <c r="A304" s="8"/>
      <c r="B304" s="13"/>
      <c r="C304" s="8"/>
      <c r="D304" s="8"/>
      <c r="E304" s="8"/>
      <c r="F304" s="9"/>
      <c r="G304" s="8"/>
      <c r="H304" s="8"/>
      <c r="I304" s="9"/>
      <c r="J304" s="8"/>
      <c r="K304" s="8"/>
      <c r="L304" s="8"/>
    </row>
    <row r="305" spans="1:12" ht="14.45">
      <c r="A305" s="8"/>
      <c r="B305" s="13"/>
      <c r="C305" s="8"/>
      <c r="D305" s="8"/>
      <c r="E305" s="8"/>
      <c r="F305" s="9"/>
      <c r="G305" s="8"/>
      <c r="H305" s="8"/>
      <c r="I305" s="9"/>
      <c r="J305" s="8"/>
      <c r="K305" s="8"/>
      <c r="L305" s="8"/>
    </row>
    <row r="306" spans="1:12" ht="14.45">
      <c r="A306" s="8"/>
      <c r="B306" s="13"/>
      <c r="C306" s="8"/>
      <c r="D306" s="8"/>
      <c r="E306" s="8"/>
      <c r="F306" s="9"/>
      <c r="G306" s="8"/>
      <c r="H306" s="8"/>
      <c r="I306" s="9"/>
      <c r="J306" s="8"/>
      <c r="K306" s="8"/>
      <c r="L306" s="8"/>
    </row>
    <row r="307" spans="1:12" ht="14.45">
      <c r="A307" s="8"/>
      <c r="B307" s="13"/>
      <c r="C307" s="8"/>
      <c r="D307" s="8"/>
      <c r="E307" s="8"/>
      <c r="F307" s="9"/>
      <c r="G307" s="8"/>
      <c r="H307" s="8"/>
      <c r="I307" s="9"/>
      <c r="J307" s="8"/>
      <c r="K307" s="8"/>
      <c r="L307" s="8"/>
    </row>
    <row r="308" spans="1:12" ht="14.45">
      <c r="A308" s="8"/>
      <c r="B308" s="13"/>
      <c r="C308" s="8"/>
      <c r="D308" s="8"/>
      <c r="E308" s="8"/>
      <c r="F308" s="9"/>
      <c r="G308" s="8"/>
      <c r="H308" s="8"/>
      <c r="I308" s="9"/>
      <c r="J308" s="8"/>
      <c r="K308" s="8"/>
      <c r="L308" s="8"/>
    </row>
    <row r="309" spans="1:12" ht="14.45">
      <c r="A309" s="8"/>
      <c r="B309" s="13"/>
      <c r="C309" s="8"/>
      <c r="D309" s="8"/>
      <c r="E309" s="8"/>
      <c r="F309" s="9"/>
      <c r="G309" s="8"/>
      <c r="H309" s="8"/>
      <c r="I309" s="9"/>
      <c r="J309" s="8"/>
      <c r="K309" s="8"/>
      <c r="L309" s="8"/>
    </row>
    <row r="310" spans="1:12" ht="14.45">
      <c r="A310" s="8"/>
      <c r="B310" s="13"/>
      <c r="C310" s="8"/>
      <c r="D310" s="8"/>
      <c r="E310" s="8"/>
      <c r="F310" s="9"/>
      <c r="G310" s="8"/>
      <c r="H310" s="8"/>
      <c r="I310" s="9"/>
      <c r="J310" s="8"/>
      <c r="K310" s="8"/>
      <c r="L310" s="8"/>
    </row>
    <row r="311" spans="1:12" ht="14.45">
      <c r="A311" s="8"/>
      <c r="B311" s="13"/>
      <c r="C311" s="8"/>
      <c r="D311" s="8"/>
      <c r="E311" s="8"/>
      <c r="F311" s="9"/>
      <c r="G311" s="8"/>
      <c r="H311" s="8"/>
      <c r="I311" s="9"/>
      <c r="J311" s="8"/>
      <c r="K311" s="8"/>
      <c r="L311" s="8"/>
    </row>
    <row r="312" spans="1:12" ht="14.45">
      <c r="A312" s="8"/>
      <c r="B312" s="13"/>
      <c r="C312" s="8"/>
      <c r="D312" s="8"/>
      <c r="E312" s="8"/>
      <c r="F312" s="9"/>
      <c r="G312" s="8"/>
      <c r="H312" s="8"/>
      <c r="I312" s="9"/>
      <c r="J312" s="8"/>
      <c r="K312" s="8"/>
      <c r="L312" s="8"/>
    </row>
    <row r="313" spans="1:12" ht="14.45">
      <c r="A313" s="8"/>
      <c r="B313" s="13"/>
      <c r="C313" s="8"/>
      <c r="D313" s="8"/>
      <c r="E313" s="8"/>
      <c r="F313" s="9"/>
      <c r="G313" s="8"/>
      <c r="H313" s="8"/>
      <c r="I313" s="9"/>
      <c r="J313" s="8"/>
      <c r="K313" s="8"/>
      <c r="L313" s="8"/>
    </row>
    <row r="314" spans="1:12" ht="14.45">
      <c r="A314" s="8"/>
      <c r="B314" s="13"/>
      <c r="C314" s="8"/>
      <c r="D314" s="8"/>
      <c r="E314" s="8"/>
      <c r="F314" s="9"/>
      <c r="G314" s="8"/>
      <c r="H314" s="8"/>
      <c r="I314" s="9"/>
      <c r="J314" s="8"/>
      <c r="K314" s="8"/>
      <c r="L314" s="8"/>
    </row>
    <row r="315" spans="1:12" ht="14.45">
      <c r="A315" s="8"/>
      <c r="B315" s="13"/>
      <c r="C315" s="8"/>
      <c r="D315" s="8"/>
      <c r="E315" s="8"/>
      <c r="F315" s="9"/>
      <c r="G315" s="8"/>
      <c r="H315" s="8"/>
      <c r="I315" s="9"/>
      <c r="J315" s="8"/>
      <c r="K315" s="8"/>
      <c r="L315" s="8"/>
    </row>
    <row r="316" spans="1:12" ht="14.45">
      <c r="A316" s="8"/>
      <c r="B316" s="13"/>
      <c r="C316" s="8"/>
      <c r="D316" s="8"/>
      <c r="E316" s="8"/>
      <c r="F316" s="9"/>
      <c r="G316" s="8"/>
      <c r="H316" s="8"/>
      <c r="I316" s="9"/>
      <c r="J316" s="8"/>
      <c r="K316" s="8"/>
      <c r="L316" s="8"/>
    </row>
    <row r="317" spans="1:12" ht="14.45">
      <c r="A317" s="8"/>
      <c r="B317" s="13"/>
      <c r="C317" s="8"/>
      <c r="D317" s="8"/>
      <c r="E317" s="8"/>
      <c r="F317" s="9"/>
      <c r="G317" s="8"/>
      <c r="H317" s="8"/>
      <c r="I317" s="9"/>
      <c r="J317" s="8"/>
      <c r="K317" s="8"/>
      <c r="L317" s="8"/>
    </row>
    <row r="318" spans="1:12" ht="14.45">
      <c r="A318" s="8"/>
      <c r="B318" s="13"/>
      <c r="C318" s="8"/>
      <c r="D318" s="8"/>
      <c r="E318" s="8"/>
      <c r="F318" s="9"/>
      <c r="G318" s="8"/>
      <c r="H318" s="8"/>
      <c r="I318" s="9"/>
      <c r="J318" s="8"/>
      <c r="K318" s="8"/>
      <c r="L318" s="8"/>
    </row>
    <row r="319" spans="1:12" ht="14.45">
      <c r="A319" s="8"/>
      <c r="B319" s="13"/>
      <c r="C319" s="8"/>
      <c r="D319" s="8"/>
      <c r="E319" s="8"/>
      <c r="F319" s="9"/>
      <c r="G319" s="8"/>
      <c r="H319" s="8"/>
      <c r="I319" s="9"/>
      <c r="J319" s="8"/>
      <c r="K319" s="8"/>
      <c r="L319" s="8"/>
    </row>
    <row r="320" spans="1:12" ht="14.45">
      <c r="A320" s="8"/>
      <c r="B320" s="13"/>
      <c r="C320" s="8"/>
      <c r="D320" s="8"/>
      <c r="E320" s="8"/>
      <c r="F320" s="9"/>
      <c r="G320" s="8"/>
      <c r="H320" s="8"/>
      <c r="I320" s="9"/>
      <c r="J320" s="8"/>
      <c r="K320" s="8"/>
      <c r="L320" s="8"/>
    </row>
    <row r="321" spans="1:12" ht="14.45">
      <c r="A321" s="8"/>
      <c r="B321" s="13"/>
      <c r="C321" s="8"/>
      <c r="D321" s="8"/>
      <c r="E321" s="8"/>
      <c r="F321" s="9"/>
      <c r="G321" s="8"/>
      <c r="H321" s="8"/>
      <c r="I321" s="9"/>
      <c r="J321" s="8"/>
      <c r="K321" s="8"/>
      <c r="L321" s="8"/>
    </row>
    <row r="322" spans="1:12" ht="14.45">
      <c r="A322" s="8"/>
      <c r="B322" s="13"/>
      <c r="C322" s="8"/>
      <c r="D322" s="8"/>
      <c r="E322" s="8"/>
      <c r="F322" s="9"/>
      <c r="G322" s="8"/>
      <c r="H322" s="8"/>
      <c r="I322" s="9"/>
      <c r="J322" s="8"/>
      <c r="K322" s="8"/>
      <c r="L322" s="8"/>
    </row>
    <row r="323" spans="1:12" ht="14.45">
      <c r="A323" s="8"/>
      <c r="B323" s="13"/>
      <c r="C323" s="8"/>
      <c r="D323" s="8"/>
      <c r="E323" s="8"/>
      <c r="F323" s="9"/>
      <c r="G323" s="8"/>
      <c r="H323" s="8"/>
      <c r="I323" s="9"/>
      <c r="J323" s="8"/>
      <c r="K323" s="8"/>
      <c r="L323" s="8"/>
    </row>
    <row r="324" spans="1:12" ht="14.45">
      <c r="A324" s="8"/>
      <c r="B324" s="13"/>
      <c r="C324" s="8"/>
      <c r="D324" s="8"/>
      <c r="E324" s="8"/>
      <c r="F324" s="9"/>
      <c r="G324" s="8"/>
      <c r="H324" s="8"/>
      <c r="I324" s="9"/>
      <c r="J324" s="8"/>
      <c r="K324" s="8"/>
      <c r="L324" s="8"/>
    </row>
    <row r="325" spans="1:12" ht="14.45">
      <c r="A325" s="8"/>
      <c r="B325" s="13"/>
      <c r="C325" s="8"/>
      <c r="D325" s="8"/>
      <c r="E325" s="8"/>
      <c r="F325" s="9"/>
      <c r="G325" s="8"/>
      <c r="H325" s="8"/>
      <c r="I325" s="9"/>
      <c r="J325" s="8"/>
      <c r="K325" s="8"/>
      <c r="L325" s="8"/>
    </row>
    <row r="326" spans="1:12" ht="14.45">
      <c r="C326" s="8"/>
      <c r="D326" s="8"/>
      <c r="E326" s="8"/>
      <c r="F326" s="9"/>
      <c r="G326" s="8"/>
      <c r="H326" s="8"/>
      <c r="I326" s="9"/>
      <c r="J326" s="8"/>
      <c r="K326" s="8"/>
      <c r="L326" s="8"/>
    </row>
  </sheetData>
  <mergeCells count="4">
    <mergeCell ref="G1:I1"/>
    <mergeCell ref="A1:C1"/>
    <mergeCell ref="D1:F1"/>
    <mergeCell ref="A2:B2"/>
  </mergeCells>
  <conditionalFormatting sqref="F2 I2 F4:F85 I4:I85">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85"/>
  <sheetViews>
    <sheetView workbookViewId="0">
      <pane ySplit="3" topLeftCell="A4" activePane="bottomLeft" state="frozen"/>
      <selection pane="bottomLeft" activeCell="A22" sqref="A22"/>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292</v>
      </c>
      <c r="B1" t="s">
        <v>293</v>
      </c>
    </row>
    <row r="3" spans="1:12" ht="13.15">
      <c r="A3" t="s">
        <v>294</v>
      </c>
      <c r="B3" t="s">
        <v>4</v>
      </c>
      <c r="C3" t="s">
        <v>5</v>
      </c>
      <c r="D3" t="s">
        <v>295</v>
      </c>
      <c r="E3" s="2" t="s">
        <v>296</v>
      </c>
    </row>
    <row r="4" spans="1:12" ht="14.45">
      <c r="A4" s="18" t="s">
        <v>297</v>
      </c>
      <c r="B4" t="s">
        <v>298</v>
      </c>
      <c r="C4" s="17" t="s">
        <v>299</v>
      </c>
      <c r="D4" s="16"/>
      <c r="E4" t="s">
        <v>300</v>
      </c>
      <c r="G4" s="3"/>
    </row>
    <row r="5" spans="1:12" ht="14.45">
      <c r="A5" s="18" t="s">
        <v>301</v>
      </c>
      <c r="B5" t="s">
        <v>302</v>
      </c>
      <c r="C5" s="17" t="s">
        <v>303</v>
      </c>
      <c r="D5" s="16"/>
      <c r="E5" t="s">
        <v>304</v>
      </c>
      <c r="G5" s="3"/>
    </row>
    <row r="6" spans="1:12" ht="12.75" customHeight="1">
      <c r="A6" s="18" t="s">
        <v>305</v>
      </c>
      <c r="B6" t="s">
        <v>305</v>
      </c>
      <c r="C6" s="17" t="s">
        <v>299</v>
      </c>
      <c r="D6" s="16"/>
      <c r="E6" t="s">
        <v>306</v>
      </c>
      <c r="K6" s="15"/>
      <c r="L6" s="15"/>
    </row>
    <row r="7" spans="1:12" ht="12.75" customHeight="1">
      <c r="A7" s="64" t="s">
        <v>307</v>
      </c>
      <c r="B7" s="65" t="s">
        <v>308</v>
      </c>
      <c r="C7" s="17" t="s">
        <v>299</v>
      </c>
      <c r="E7" t="s">
        <v>300</v>
      </c>
      <c r="K7" s="15"/>
      <c r="L7" s="15"/>
    </row>
    <row r="8" spans="1:12" ht="12.75" customHeight="1">
      <c r="A8" s="64" t="s">
        <v>309</v>
      </c>
      <c r="B8" s="65" t="s">
        <v>310</v>
      </c>
      <c r="C8" s="17" t="s">
        <v>311</v>
      </c>
      <c r="E8" s="70" t="s">
        <v>312</v>
      </c>
      <c r="K8" s="15"/>
      <c r="L8" s="15"/>
    </row>
    <row r="9" spans="1:12" ht="12.75" customHeight="1">
      <c r="A9" s="64" t="s">
        <v>313</v>
      </c>
      <c r="B9" s="65" t="s">
        <v>314</v>
      </c>
      <c r="C9" s="17" t="s">
        <v>315</v>
      </c>
      <c r="D9" t="s">
        <v>316</v>
      </c>
      <c r="E9" t="s">
        <v>306</v>
      </c>
      <c r="K9" s="15"/>
      <c r="L9" s="15"/>
    </row>
    <row r="10" spans="1:12" ht="12.75" customHeight="1">
      <c r="A10" s="64" t="s">
        <v>317</v>
      </c>
      <c r="B10" s="65" t="s">
        <v>318</v>
      </c>
      <c r="C10" s="17" t="s">
        <v>315</v>
      </c>
      <c r="D10" t="s">
        <v>316</v>
      </c>
      <c r="E10" t="s">
        <v>306</v>
      </c>
    </row>
    <row r="11" spans="1:12" ht="12.75" customHeight="1">
      <c r="A11" s="64" t="s">
        <v>319</v>
      </c>
      <c r="B11" s="65" t="s">
        <v>320</v>
      </c>
      <c r="C11" s="17" t="s">
        <v>315</v>
      </c>
      <c r="D11" t="s">
        <v>316</v>
      </c>
      <c r="E11" t="s">
        <v>306</v>
      </c>
    </row>
    <row r="12" spans="1:12" ht="12.75" customHeight="1">
      <c r="A12" s="64" t="s">
        <v>321</v>
      </c>
      <c r="B12" s="65" t="s">
        <v>322</v>
      </c>
      <c r="C12" s="17" t="s">
        <v>315</v>
      </c>
      <c r="D12" t="s">
        <v>316</v>
      </c>
      <c r="E12" t="s">
        <v>306</v>
      </c>
    </row>
    <row r="13" spans="1:12" ht="12.75" customHeight="1">
      <c r="A13" s="64" t="s">
        <v>323</v>
      </c>
      <c r="B13" s="65" t="s">
        <v>324</v>
      </c>
      <c r="C13" s="17" t="s">
        <v>315</v>
      </c>
      <c r="D13" t="s">
        <v>316</v>
      </c>
      <c r="E13" t="s">
        <v>306</v>
      </c>
    </row>
    <row r="14" spans="1:12" ht="12.75" customHeight="1">
      <c r="A14" s="64" t="s">
        <v>325</v>
      </c>
      <c r="B14" s="65" t="s">
        <v>326</v>
      </c>
      <c r="C14" s="17" t="s">
        <v>315</v>
      </c>
      <c r="E14" t="s">
        <v>306</v>
      </c>
    </row>
    <row r="15" spans="1:12" ht="12.75" customHeight="1">
      <c r="A15" s="64" t="s">
        <v>327</v>
      </c>
      <c r="B15" s="65" t="s">
        <v>328</v>
      </c>
      <c r="C15" s="17" t="s">
        <v>315</v>
      </c>
      <c r="D15" t="s">
        <v>316</v>
      </c>
      <c r="E15" t="s">
        <v>306</v>
      </c>
    </row>
    <row r="16" spans="1:12" ht="12.75" customHeight="1">
      <c r="A16" s="64" t="s">
        <v>329</v>
      </c>
      <c r="B16" s="65" t="s">
        <v>330</v>
      </c>
      <c r="C16" s="17" t="s">
        <v>315</v>
      </c>
      <c r="D16" t="s">
        <v>316</v>
      </c>
      <c r="E16" t="s">
        <v>306</v>
      </c>
    </row>
    <row r="17" spans="1:5" ht="12.75" customHeight="1">
      <c r="A17" s="64" t="s">
        <v>331</v>
      </c>
      <c r="B17" s="65" t="s">
        <v>332</v>
      </c>
      <c r="C17" s="17" t="s">
        <v>333</v>
      </c>
      <c r="E17" t="s">
        <v>334</v>
      </c>
    </row>
    <row r="18" spans="1:5" ht="12.75" customHeight="1">
      <c r="A18" s="64" t="s">
        <v>335</v>
      </c>
      <c r="B18" s="65" t="s">
        <v>336</v>
      </c>
      <c r="C18" s="17" t="s">
        <v>333</v>
      </c>
      <c r="E18" t="s">
        <v>334</v>
      </c>
    </row>
    <row r="19" spans="1:5" ht="12.75" customHeight="1">
      <c r="A19" s="64" t="s">
        <v>337</v>
      </c>
      <c r="B19" s="65" t="s">
        <v>338</v>
      </c>
      <c r="C19" s="17" t="s">
        <v>333</v>
      </c>
      <c r="E19" t="s">
        <v>339</v>
      </c>
    </row>
    <row r="20" spans="1:5" ht="12.75" customHeight="1">
      <c r="A20" s="64" t="s">
        <v>340</v>
      </c>
      <c r="B20" s="65" t="s">
        <v>341</v>
      </c>
      <c r="C20" s="17" t="s">
        <v>311</v>
      </c>
      <c r="E20" t="s">
        <v>339</v>
      </c>
    </row>
    <row r="21" spans="1:5" ht="12.75" customHeight="1">
      <c r="A21" s="64" t="s">
        <v>342</v>
      </c>
      <c r="B21" s="65" t="s">
        <v>343</v>
      </c>
      <c r="C21" s="17" t="s">
        <v>344</v>
      </c>
      <c r="E21" t="s">
        <v>339</v>
      </c>
    </row>
    <row r="22" spans="1:5" ht="12.75" customHeight="1">
      <c r="A22" s="64" t="s">
        <v>345</v>
      </c>
      <c r="B22" s="65" t="s">
        <v>346</v>
      </c>
      <c r="C22" s="17" t="s">
        <v>344</v>
      </c>
      <c r="E22" t="s">
        <v>339</v>
      </c>
    </row>
    <row r="23" spans="1:5" ht="12.75" customHeight="1">
      <c r="A23" s="64" t="s">
        <v>347</v>
      </c>
      <c r="B23" s="65" t="s">
        <v>347</v>
      </c>
      <c r="C23" s="17" t="s">
        <v>333</v>
      </c>
      <c r="E23" t="s">
        <v>348</v>
      </c>
    </row>
    <row r="24" spans="1:5" ht="12.75" customHeight="1">
      <c r="A24" s="64" t="s">
        <v>349</v>
      </c>
      <c r="B24" s="65" t="s">
        <v>350</v>
      </c>
      <c r="C24" s="17" t="s">
        <v>333</v>
      </c>
      <c r="E24" t="s">
        <v>348</v>
      </c>
    </row>
    <row r="25" spans="1:5" ht="12.75" customHeight="1">
      <c r="A25" s="64" t="s">
        <v>351</v>
      </c>
      <c r="B25" s="65" t="s">
        <v>352</v>
      </c>
      <c r="C25" s="17" t="s">
        <v>303</v>
      </c>
      <c r="D25" t="s">
        <v>353</v>
      </c>
      <c r="E25" t="s">
        <v>354</v>
      </c>
    </row>
    <row r="26" spans="1:5" ht="12.75" customHeight="1">
      <c r="A26" s="64" t="s">
        <v>355</v>
      </c>
      <c r="B26" s="65" t="s">
        <v>356</v>
      </c>
      <c r="C26" s="17" t="s">
        <v>357</v>
      </c>
      <c r="D26" t="s">
        <v>353</v>
      </c>
      <c r="E26" t="s">
        <v>354</v>
      </c>
    </row>
    <row r="27" spans="1:5" ht="12.75" customHeight="1">
      <c r="A27" s="64" t="s">
        <v>358</v>
      </c>
      <c r="B27" s="65" t="s">
        <v>359</v>
      </c>
      <c r="C27" s="17" t="s">
        <v>360</v>
      </c>
      <c r="D27" t="s">
        <v>353</v>
      </c>
      <c r="E27" t="s">
        <v>354</v>
      </c>
    </row>
    <row r="28" spans="1:5" ht="12.75" customHeight="1">
      <c r="A28" s="64" t="s">
        <v>361</v>
      </c>
      <c r="B28" s="65" t="s">
        <v>362</v>
      </c>
      <c r="C28" s="17" t="s">
        <v>360</v>
      </c>
      <c r="D28" t="s">
        <v>353</v>
      </c>
      <c r="E28" t="s">
        <v>354</v>
      </c>
    </row>
    <row r="29" spans="1:5" ht="12.75" customHeight="1">
      <c r="A29" s="64" t="s">
        <v>363</v>
      </c>
      <c r="B29" s="65" t="s">
        <v>364</v>
      </c>
      <c r="C29" s="17" t="s">
        <v>360</v>
      </c>
      <c r="E29" t="s">
        <v>354</v>
      </c>
    </row>
    <row r="30" spans="1:5" ht="12.75" customHeight="1">
      <c r="A30" s="64" t="s">
        <v>365</v>
      </c>
      <c r="B30" s="65" t="s">
        <v>366</v>
      </c>
      <c r="C30" s="17" t="s">
        <v>360</v>
      </c>
      <c r="D30" t="s">
        <v>353</v>
      </c>
      <c r="E30" t="s">
        <v>354</v>
      </c>
    </row>
    <row r="31" spans="1:5" ht="12.75" customHeight="1">
      <c r="A31" s="64" t="s">
        <v>367</v>
      </c>
      <c r="B31" s="65" t="s">
        <v>368</v>
      </c>
      <c r="C31" s="17" t="s">
        <v>360</v>
      </c>
      <c r="D31" t="s">
        <v>353</v>
      </c>
      <c r="E31" t="s">
        <v>354</v>
      </c>
    </row>
    <row r="32" spans="1:5" ht="12.75" customHeight="1">
      <c r="A32" s="64" t="s">
        <v>369</v>
      </c>
      <c r="B32" s="65" t="s">
        <v>370</v>
      </c>
      <c r="C32" s="17" t="s">
        <v>360</v>
      </c>
      <c r="D32" t="s">
        <v>353</v>
      </c>
      <c r="E32" t="s">
        <v>354</v>
      </c>
    </row>
    <row r="33" spans="1:5" ht="12.75" customHeight="1">
      <c r="A33" s="64" t="s">
        <v>371</v>
      </c>
      <c r="B33" s="65" t="s">
        <v>372</v>
      </c>
      <c r="C33" s="17" t="s">
        <v>360</v>
      </c>
      <c r="E33" t="s">
        <v>354</v>
      </c>
    </row>
    <row r="34" spans="1:5" ht="12.75" customHeight="1">
      <c r="A34" s="64" t="s">
        <v>373</v>
      </c>
      <c r="B34" s="65" t="s">
        <v>374</v>
      </c>
      <c r="C34" s="17" t="s">
        <v>360</v>
      </c>
      <c r="D34" t="s">
        <v>353</v>
      </c>
      <c r="E34" t="s">
        <v>354</v>
      </c>
    </row>
    <row r="35" spans="1:5" ht="12.75" customHeight="1">
      <c r="A35" s="64" t="s">
        <v>375</v>
      </c>
      <c r="B35" s="65" t="s">
        <v>376</v>
      </c>
      <c r="C35" s="17" t="s">
        <v>360</v>
      </c>
      <c r="D35" t="s">
        <v>353</v>
      </c>
      <c r="E35" t="s">
        <v>354</v>
      </c>
    </row>
    <row r="36" spans="1:5" ht="12.75" customHeight="1">
      <c r="A36" s="64" t="s">
        <v>377</v>
      </c>
      <c r="B36" s="65" t="s">
        <v>378</v>
      </c>
      <c r="C36" s="17" t="s">
        <v>360</v>
      </c>
      <c r="D36" t="s">
        <v>353</v>
      </c>
      <c r="E36" t="s">
        <v>354</v>
      </c>
    </row>
    <row r="37" spans="1:5" ht="12.75" customHeight="1">
      <c r="A37" s="64" t="s">
        <v>379</v>
      </c>
      <c r="B37" s="65" t="s">
        <v>380</v>
      </c>
      <c r="C37" s="17" t="s">
        <v>360</v>
      </c>
      <c r="D37" t="s">
        <v>353</v>
      </c>
      <c r="E37" t="s">
        <v>354</v>
      </c>
    </row>
    <row r="38" spans="1:5" ht="12.75" customHeight="1">
      <c r="A38" s="64" t="s">
        <v>381</v>
      </c>
      <c r="B38" s="65" t="s">
        <v>382</v>
      </c>
      <c r="C38" s="17" t="s">
        <v>360</v>
      </c>
      <c r="D38" t="s">
        <v>353</v>
      </c>
      <c r="E38" t="s">
        <v>354</v>
      </c>
    </row>
    <row r="39" spans="1:5" ht="12.75" customHeight="1">
      <c r="A39" s="64" t="s">
        <v>383</v>
      </c>
      <c r="B39" s="65" t="s">
        <v>384</v>
      </c>
      <c r="C39" s="17" t="s">
        <v>360</v>
      </c>
      <c r="D39" t="s">
        <v>353</v>
      </c>
      <c r="E39" t="s">
        <v>354</v>
      </c>
    </row>
    <row r="40" spans="1:5" ht="12.75" customHeight="1">
      <c r="A40" s="64" t="s">
        <v>385</v>
      </c>
      <c r="B40" s="65" t="s">
        <v>386</v>
      </c>
      <c r="C40" s="17" t="s">
        <v>387</v>
      </c>
      <c r="D40" t="s">
        <v>353</v>
      </c>
      <c r="E40" t="s">
        <v>354</v>
      </c>
    </row>
    <row r="41" spans="1:5" ht="12.75" customHeight="1">
      <c r="A41" s="64" t="s">
        <v>388</v>
      </c>
      <c r="B41" s="65" t="s">
        <v>389</v>
      </c>
      <c r="C41" s="17" t="s">
        <v>357</v>
      </c>
      <c r="D41" t="s">
        <v>353</v>
      </c>
      <c r="E41" t="s">
        <v>354</v>
      </c>
    </row>
    <row r="42" spans="1:5" ht="12.75" customHeight="1">
      <c r="A42" s="64" t="s">
        <v>390</v>
      </c>
      <c r="B42" s="65" t="s">
        <v>391</v>
      </c>
      <c r="C42" s="17" t="s">
        <v>357</v>
      </c>
      <c r="D42" t="s">
        <v>316</v>
      </c>
      <c r="E42" t="s">
        <v>354</v>
      </c>
    </row>
    <row r="43" spans="1:5" ht="12.75" customHeight="1">
      <c r="A43" s="64" t="s">
        <v>392</v>
      </c>
      <c r="B43" s="65" t="s">
        <v>393</v>
      </c>
      <c r="C43" s="17" t="s">
        <v>357</v>
      </c>
      <c r="D43" t="s">
        <v>316</v>
      </c>
      <c r="E43" t="s">
        <v>354</v>
      </c>
    </row>
    <row r="44" spans="1:5" ht="12.75" customHeight="1">
      <c r="A44" s="64" t="s">
        <v>394</v>
      </c>
      <c r="B44" s="65" t="s">
        <v>395</v>
      </c>
      <c r="C44" s="17" t="s">
        <v>357</v>
      </c>
      <c r="D44" t="s">
        <v>353</v>
      </c>
      <c r="E44" t="s">
        <v>354</v>
      </c>
    </row>
    <row r="45" spans="1:5" ht="12.75" customHeight="1">
      <c r="A45" s="64" t="s">
        <v>396</v>
      </c>
      <c r="B45" s="65" t="s">
        <v>397</v>
      </c>
      <c r="C45" s="17" t="s">
        <v>357</v>
      </c>
      <c r="D45" t="s">
        <v>353</v>
      </c>
      <c r="E45" t="s">
        <v>354</v>
      </c>
    </row>
    <row r="46" spans="1:5" ht="12.75" customHeight="1">
      <c r="A46" s="64" t="s">
        <v>398</v>
      </c>
      <c r="B46" s="65" t="s">
        <v>399</v>
      </c>
      <c r="C46" s="17" t="s">
        <v>357</v>
      </c>
      <c r="D46" t="s">
        <v>353</v>
      </c>
      <c r="E46" t="s">
        <v>354</v>
      </c>
    </row>
    <row r="47" spans="1:5" ht="12.75" customHeight="1">
      <c r="A47" s="64" t="s">
        <v>400</v>
      </c>
      <c r="B47" s="65" t="s">
        <v>401</v>
      </c>
      <c r="C47" s="17" t="s">
        <v>303</v>
      </c>
      <c r="D47" t="s">
        <v>353</v>
      </c>
      <c r="E47" t="s">
        <v>354</v>
      </c>
    </row>
    <row r="48" spans="1:5" ht="12.75" customHeight="1">
      <c r="A48" s="64" t="s">
        <v>402</v>
      </c>
      <c r="B48" s="65" t="s">
        <v>403</v>
      </c>
      <c r="C48" s="17" t="s">
        <v>303</v>
      </c>
      <c r="E48" t="s">
        <v>354</v>
      </c>
    </row>
    <row r="49" spans="1:5" ht="12.75" customHeight="1">
      <c r="A49" s="64" t="s">
        <v>404</v>
      </c>
      <c r="B49" s="65" t="s">
        <v>405</v>
      </c>
      <c r="C49" s="17" t="s">
        <v>303</v>
      </c>
      <c r="D49" t="s">
        <v>353</v>
      </c>
      <c r="E49" t="s">
        <v>354</v>
      </c>
    </row>
    <row r="50" spans="1:5" ht="12.75" customHeight="1">
      <c r="A50" s="64" t="s">
        <v>406</v>
      </c>
      <c r="B50" s="65" t="s">
        <v>407</v>
      </c>
      <c r="C50" s="17" t="s">
        <v>303</v>
      </c>
      <c r="D50" t="s">
        <v>353</v>
      </c>
      <c r="E50" t="s">
        <v>354</v>
      </c>
    </row>
    <row r="51" spans="1:5" ht="12.75" customHeight="1">
      <c r="A51" s="64" t="s">
        <v>408</v>
      </c>
      <c r="B51" s="65" t="s">
        <v>409</v>
      </c>
      <c r="C51" s="17" t="s">
        <v>303</v>
      </c>
      <c r="D51" t="s">
        <v>353</v>
      </c>
      <c r="E51" t="s">
        <v>354</v>
      </c>
    </row>
    <row r="52" spans="1:5" ht="12.75" customHeight="1">
      <c r="A52" s="64" t="s">
        <v>410</v>
      </c>
      <c r="B52" s="65" t="s">
        <v>411</v>
      </c>
      <c r="C52" s="17" t="s">
        <v>303</v>
      </c>
      <c r="D52" t="s">
        <v>353</v>
      </c>
      <c r="E52" t="s">
        <v>354</v>
      </c>
    </row>
    <row r="53" spans="1:5" ht="12.75" customHeight="1">
      <c r="A53" s="64" t="s">
        <v>412</v>
      </c>
      <c r="B53" s="65" t="s">
        <v>413</v>
      </c>
      <c r="C53" s="17" t="s">
        <v>303</v>
      </c>
      <c r="E53" t="s">
        <v>354</v>
      </c>
    </row>
    <row r="54" spans="1:5" ht="12.75" customHeight="1">
      <c r="A54" s="64" t="s">
        <v>414</v>
      </c>
      <c r="B54" s="65" t="s">
        <v>415</v>
      </c>
      <c r="C54" s="17" t="s">
        <v>303</v>
      </c>
      <c r="D54" t="s">
        <v>353</v>
      </c>
      <c r="E54" t="s">
        <v>354</v>
      </c>
    </row>
    <row r="55" spans="1:5" ht="12.75" customHeight="1">
      <c r="A55" s="64" t="s">
        <v>416</v>
      </c>
      <c r="B55" s="65" t="s">
        <v>417</v>
      </c>
      <c r="C55" s="17" t="s">
        <v>303</v>
      </c>
      <c r="D55" t="s">
        <v>353</v>
      </c>
      <c r="E55" t="s">
        <v>354</v>
      </c>
    </row>
    <row r="56" spans="1:5" ht="12.75" customHeight="1">
      <c r="A56" s="64" t="s">
        <v>418</v>
      </c>
      <c r="B56" s="65" t="s">
        <v>419</v>
      </c>
      <c r="C56" s="17" t="s">
        <v>303</v>
      </c>
      <c r="D56" t="s">
        <v>353</v>
      </c>
      <c r="E56" t="s">
        <v>354</v>
      </c>
    </row>
    <row r="57" spans="1:5" ht="12.75" customHeight="1">
      <c r="A57" s="64" t="s">
        <v>420</v>
      </c>
      <c r="B57" s="65" t="s">
        <v>421</v>
      </c>
      <c r="C57" s="17" t="s">
        <v>303</v>
      </c>
      <c r="D57" t="s">
        <v>353</v>
      </c>
      <c r="E57" t="s">
        <v>354</v>
      </c>
    </row>
    <row r="58" spans="1:5" ht="12.75" customHeight="1">
      <c r="A58" s="64" t="s">
        <v>422</v>
      </c>
      <c r="B58" s="65" t="s">
        <v>423</v>
      </c>
      <c r="C58" s="17" t="s">
        <v>303</v>
      </c>
      <c r="D58" t="s">
        <v>353</v>
      </c>
      <c r="E58" t="s">
        <v>354</v>
      </c>
    </row>
    <row r="59" spans="1:5" ht="12.75" customHeight="1">
      <c r="A59" s="64" t="s">
        <v>424</v>
      </c>
      <c r="B59" s="65" t="s">
        <v>425</v>
      </c>
      <c r="C59" s="17" t="s">
        <v>303</v>
      </c>
      <c r="D59" t="s">
        <v>353</v>
      </c>
      <c r="E59" t="s">
        <v>354</v>
      </c>
    </row>
    <row r="60" spans="1:5" ht="12.75" customHeight="1">
      <c r="A60" s="64" t="s">
        <v>426</v>
      </c>
      <c r="B60" s="65" t="s">
        <v>427</v>
      </c>
      <c r="C60" s="17" t="s">
        <v>303</v>
      </c>
      <c r="D60" t="s">
        <v>353</v>
      </c>
      <c r="E60" t="s">
        <v>354</v>
      </c>
    </row>
    <row r="61" spans="1:5" ht="12.75" customHeight="1">
      <c r="A61" s="64" t="s">
        <v>411</v>
      </c>
      <c r="B61" s="65" t="s">
        <v>410</v>
      </c>
      <c r="C61" s="17" t="s">
        <v>303</v>
      </c>
      <c r="E61" t="s">
        <v>354</v>
      </c>
    </row>
    <row r="62" spans="1:5" ht="12.75" customHeight="1">
      <c r="A62" s="64" t="s">
        <v>428</v>
      </c>
      <c r="B62" s="65" t="s">
        <v>429</v>
      </c>
      <c r="C62" s="17" t="s">
        <v>303</v>
      </c>
      <c r="D62" t="s">
        <v>353</v>
      </c>
      <c r="E62" t="s">
        <v>354</v>
      </c>
    </row>
    <row r="63" spans="1:5" ht="12.75" customHeight="1">
      <c r="A63" s="64" t="s">
        <v>430</v>
      </c>
      <c r="B63" s="65" t="s">
        <v>431</v>
      </c>
      <c r="C63" s="17" t="s">
        <v>303</v>
      </c>
      <c r="D63" t="s">
        <v>353</v>
      </c>
      <c r="E63" t="s">
        <v>354</v>
      </c>
    </row>
    <row r="64" spans="1:5" ht="12.75" customHeight="1">
      <c r="A64" s="64" t="s">
        <v>432</v>
      </c>
      <c r="B64" s="65" t="s">
        <v>433</v>
      </c>
      <c r="C64" s="17" t="s">
        <v>303</v>
      </c>
      <c r="D64" t="s">
        <v>353</v>
      </c>
      <c r="E64" t="s">
        <v>354</v>
      </c>
    </row>
    <row r="65" spans="1:5" ht="12.75" customHeight="1">
      <c r="A65" s="64" t="s">
        <v>434</v>
      </c>
      <c r="B65" s="65" t="s">
        <v>435</v>
      </c>
      <c r="C65" s="17" t="s">
        <v>303</v>
      </c>
      <c r="D65" t="s">
        <v>353</v>
      </c>
      <c r="E65" t="s">
        <v>354</v>
      </c>
    </row>
    <row r="66" spans="1:5" ht="12.75" customHeight="1">
      <c r="A66" s="64" t="s">
        <v>436</v>
      </c>
      <c r="B66" s="65" t="s">
        <v>437</v>
      </c>
      <c r="C66" s="17" t="s">
        <v>303</v>
      </c>
      <c r="D66" t="s">
        <v>353</v>
      </c>
      <c r="E66" t="s">
        <v>354</v>
      </c>
    </row>
    <row r="67" spans="1:5" ht="12.75" customHeight="1">
      <c r="A67" s="64" t="s">
        <v>438</v>
      </c>
      <c r="B67" s="65" t="s">
        <v>439</v>
      </c>
      <c r="C67" s="17" t="s">
        <v>303</v>
      </c>
      <c r="D67" t="s">
        <v>353</v>
      </c>
      <c r="E67" t="s">
        <v>354</v>
      </c>
    </row>
    <row r="68" spans="1:5" ht="12.75" customHeight="1">
      <c r="A68" s="64" t="s">
        <v>440</v>
      </c>
      <c r="B68" s="65" t="s">
        <v>441</v>
      </c>
      <c r="C68" s="17" t="s">
        <v>303</v>
      </c>
      <c r="D68" t="s">
        <v>353</v>
      </c>
      <c r="E68" t="s">
        <v>354</v>
      </c>
    </row>
    <row r="69" spans="1:5" ht="12.75" customHeight="1">
      <c r="A69" s="64" t="s">
        <v>442</v>
      </c>
      <c r="B69" s="65" t="s">
        <v>443</v>
      </c>
      <c r="C69" s="17" t="s">
        <v>303</v>
      </c>
      <c r="D69" t="s">
        <v>353</v>
      </c>
      <c r="E69" t="s">
        <v>354</v>
      </c>
    </row>
    <row r="70" spans="1:5" ht="12.75" customHeight="1">
      <c r="A70" s="64" t="s">
        <v>444</v>
      </c>
      <c r="B70" s="65" t="s">
        <v>445</v>
      </c>
      <c r="C70" s="17" t="s">
        <v>303</v>
      </c>
      <c r="D70" t="s">
        <v>353</v>
      </c>
      <c r="E70" t="s">
        <v>354</v>
      </c>
    </row>
    <row r="71" spans="1:5" ht="12.75" customHeight="1">
      <c r="A71" s="64" t="s">
        <v>446</v>
      </c>
      <c r="B71" s="65" t="s">
        <v>447</v>
      </c>
      <c r="C71" s="17" t="s">
        <v>303</v>
      </c>
      <c r="D71" t="s">
        <v>353</v>
      </c>
      <c r="E71" t="s">
        <v>354</v>
      </c>
    </row>
    <row r="72" spans="1:5" ht="12.75" customHeight="1">
      <c r="A72" s="64" t="s">
        <v>448</v>
      </c>
      <c r="B72" s="65" t="s">
        <v>449</v>
      </c>
      <c r="C72" s="17" t="s">
        <v>303</v>
      </c>
      <c r="D72" t="s">
        <v>353</v>
      </c>
      <c r="E72" t="s">
        <v>354</v>
      </c>
    </row>
    <row r="73" spans="1:5" ht="12.75" customHeight="1">
      <c r="A73" s="64" t="s">
        <v>450</v>
      </c>
      <c r="B73" s="65" t="s">
        <v>451</v>
      </c>
      <c r="C73" s="17" t="s">
        <v>303</v>
      </c>
      <c r="D73" t="s">
        <v>353</v>
      </c>
      <c r="E73" t="s">
        <v>354</v>
      </c>
    </row>
    <row r="74" spans="1:5" ht="12.75" customHeight="1">
      <c r="A74" s="64" t="s">
        <v>452</v>
      </c>
      <c r="B74" s="65" t="s">
        <v>453</v>
      </c>
      <c r="C74" s="17" t="s">
        <v>303</v>
      </c>
      <c r="D74" t="s">
        <v>353</v>
      </c>
      <c r="E74" t="s">
        <v>354</v>
      </c>
    </row>
    <row r="75" spans="1:5" ht="12.75" customHeight="1">
      <c r="A75" s="64" t="s">
        <v>454</v>
      </c>
      <c r="B75" s="65" t="s">
        <v>455</v>
      </c>
      <c r="C75" s="17" t="s">
        <v>303</v>
      </c>
      <c r="D75" t="s">
        <v>353</v>
      </c>
      <c r="E75" t="s">
        <v>354</v>
      </c>
    </row>
    <row r="76" spans="1:5" ht="12.75" customHeight="1">
      <c r="A76" s="64" t="s">
        <v>456</v>
      </c>
      <c r="B76" s="65" t="s">
        <v>457</v>
      </c>
      <c r="C76" s="17" t="s">
        <v>458</v>
      </c>
      <c r="D76" t="s">
        <v>353</v>
      </c>
      <c r="E76" t="s">
        <v>354</v>
      </c>
    </row>
    <row r="77" spans="1:5" ht="12.75" customHeight="1">
      <c r="A77" s="64" t="s">
        <v>459</v>
      </c>
      <c r="B77" s="65" t="s">
        <v>460</v>
      </c>
      <c r="C77" s="17" t="s">
        <v>461</v>
      </c>
      <c r="D77" t="s">
        <v>462</v>
      </c>
      <c r="E77" t="s">
        <v>354</v>
      </c>
    </row>
    <row r="78" spans="1:5" ht="12.75" customHeight="1">
      <c r="A78" s="64" t="s">
        <v>463</v>
      </c>
      <c r="B78" s="65" t="s">
        <v>464</v>
      </c>
      <c r="C78" s="17" t="s">
        <v>461</v>
      </c>
      <c r="D78" t="s">
        <v>353</v>
      </c>
      <c r="E78" t="s">
        <v>354</v>
      </c>
    </row>
    <row r="79" spans="1:5" ht="12.75" customHeight="1">
      <c r="A79" s="64" t="s">
        <v>465</v>
      </c>
      <c r="B79" s="65" t="s">
        <v>466</v>
      </c>
      <c r="C79" s="17" t="s">
        <v>461</v>
      </c>
      <c r="D79" t="s">
        <v>353</v>
      </c>
      <c r="E79" t="s">
        <v>354</v>
      </c>
    </row>
    <row r="80" spans="1:5" ht="12.75" customHeight="1">
      <c r="A80" s="64" t="s">
        <v>467</v>
      </c>
      <c r="B80" s="65" t="s">
        <v>468</v>
      </c>
      <c r="C80" s="17" t="s">
        <v>469</v>
      </c>
      <c r="D80" t="s">
        <v>353</v>
      </c>
      <c r="E80" t="s">
        <v>354</v>
      </c>
    </row>
    <row r="81" spans="1:5" ht="12.75" customHeight="1">
      <c r="A81" s="64" t="s">
        <v>470</v>
      </c>
      <c r="B81" s="65" t="s">
        <v>471</v>
      </c>
      <c r="C81" s="17" t="s">
        <v>299</v>
      </c>
      <c r="D81" t="s">
        <v>353</v>
      </c>
      <c r="E81" t="s">
        <v>354</v>
      </c>
    </row>
    <row r="82" spans="1:5" ht="12.75" customHeight="1">
      <c r="A82" s="64" t="s">
        <v>472</v>
      </c>
      <c r="B82" s="65" t="s">
        <v>473</v>
      </c>
      <c r="C82" s="17" t="s">
        <v>299</v>
      </c>
      <c r="D82" t="s">
        <v>353</v>
      </c>
      <c r="E82" t="s">
        <v>354</v>
      </c>
    </row>
    <row r="83" spans="1:5" ht="12.75" customHeight="1">
      <c r="A83" s="64" t="s">
        <v>474</v>
      </c>
      <c r="B83" s="65" t="s">
        <v>475</v>
      </c>
      <c r="C83" s="17" t="s">
        <v>476</v>
      </c>
      <c r="D83" t="s">
        <v>353</v>
      </c>
      <c r="E83" t="s">
        <v>354</v>
      </c>
    </row>
    <row r="84" spans="1:5" ht="12.75" customHeight="1">
      <c r="A84" s="64" t="s">
        <v>420</v>
      </c>
      <c r="B84" s="65" t="s">
        <v>421</v>
      </c>
      <c r="C84" s="17" t="s">
        <v>303</v>
      </c>
      <c r="E84" t="s">
        <v>354</v>
      </c>
    </row>
    <row r="85" spans="1:5" ht="12.75" customHeight="1">
      <c r="A85" s="64" t="s">
        <v>477</v>
      </c>
      <c r="B85" s="65" t="s">
        <v>478</v>
      </c>
      <c r="C85" s="17" t="s">
        <v>476</v>
      </c>
      <c r="D85" t="s">
        <v>353</v>
      </c>
      <c r="E85" t="s">
        <v>354</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78388C9-06F9-42F4-B857-EF76B5CAF1FD}"/>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F6B2B1A1-1C4B-4AC9-9A7D-7A102DD1C942}"/>
</file>

<file path=customXml/itemProps7.xml><?xml version="1.0" encoding="utf-8"?>
<ds:datastoreItem xmlns:ds="http://schemas.openxmlformats.org/officeDocument/2006/customXml" ds:itemID="{DB1E79A0-39A1-4983-BF4E-62E727A9F1F0}"/>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D3A7101F-9A85-4235-8B03-415370C100B2}"/>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BF5C6359-7763-4C37-8EAF-2BC4698CB285}"/>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2026-02-20T18:14:00Z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2025-02-19T13:13:26Z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