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E56FC163-D4DD-47E4-9F4E-287995E4E06D}" xr6:coauthVersionLast="47" xr6:coauthVersionMax="47" xr10:uidLastSave="{390DC210-C794-407A-91CB-C85D83160032}"/>
  <bookViews>
    <workbookView xWindow="-108" yWindow="-108" windowWidth="23256" windowHeight="12456" tabRatio="872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72" l="1"/>
  <c r="I31" i="72"/>
  <c r="I51" i="72"/>
  <c r="F9" i="72"/>
  <c r="F10" i="72"/>
  <c r="F79" i="72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16" i="72"/>
  <c r="I16" i="72" s="1"/>
  <c r="H17" i="72"/>
  <c r="I17" i="72" s="1"/>
  <c r="H18" i="72"/>
  <c r="I18" i="72" s="1"/>
  <c r="H19" i="72"/>
  <c r="I19" i="72" s="1"/>
  <c r="H20" i="72"/>
  <c r="I20" i="72" s="1"/>
  <c r="H21" i="72"/>
  <c r="I21" i="72" s="1"/>
  <c r="H22" i="72"/>
  <c r="I22" i="72" s="1"/>
  <c r="H23" i="72"/>
  <c r="I23" i="72" s="1"/>
  <c r="H24" i="72"/>
  <c r="H25" i="72"/>
  <c r="I25" i="72" s="1"/>
  <c r="H26" i="72"/>
  <c r="I26" i="72" s="1"/>
  <c r="H27" i="72"/>
  <c r="I27" i="72" s="1"/>
  <c r="H28" i="72"/>
  <c r="I28" i="72" s="1"/>
  <c r="H29" i="72"/>
  <c r="I29" i="72" s="1"/>
  <c r="H30" i="72"/>
  <c r="I30" i="72" s="1"/>
  <c r="H31" i="72"/>
  <c r="H32" i="72"/>
  <c r="I32" i="72" s="1"/>
  <c r="H33" i="72"/>
  <c r="I33" i="72" s="1"/>
  <c r="H34" i="72"/>
  <c r="I34" i="72" s="1"/>
  <c r="H35" i="72"/>
  <c r="I35" i="72" s="1"/>
  <c r="H36" i="72"/>
  <c r="I36" i="72" s="1"/>
  <c r="H37" i="72"/>
  <c r="I37" i="72" s="1"/>
  <c r="H38" i="72"/>
  <c r="I38" i="72" s="1"/>
  <c r="H39" i="72"/>
  <c r="I39" i="72" s="1"/>
  <c r="H40" i="72"/>
  <c r="I40" i="72" s="1"/>
  <c r="H41" i="72"/>
  <c r="I41" i="72" s="1"/>
  <c r="H42" i="72"/>
  <c r="I42" i="72" s="1"/>
  <c r="H43" i="72"/>
  <c r="I43" i="72" s="1"/>
  <c r="H44" i="72"/>
  <c r="I44" i="72" s="1"/>
  <c r="H45" i="72"/>
  <c r="I45" i="72" s="1"/>
  <c r="H46" i="72"/>
  <c r="I46" i="72" s="1"/>
  <c r="H47" i="72"/>
  <c r="I47" i="72" s="1"/>
  <c r="H48" i="72"/>
  <c r="I48" i="72" s="1"/>
  <c r="H49" i="72"/>
  <c r="I49" i="72" s="1"/>
  <c r="H50" i="72"/>
  <c r="I50" i="72" s="1"/>
  <c r="H51" i="72"/>
  <c r="H52" i="72"/>
  <c r="I52" i="72" s="1"/>
  <c r="H53" i="72"/>
  <c r="I53" i="72" s="1"/>
  <c r="H54" i="72"/>
  <c r="I54" i="72" s="1"/>
  <c r="H55" i="72"/>
  <c r="I55" i="72" s="1"/>
  <c r="H56" i="72"/>
  <c r="I56" i="72" s="1"/>
  <c r="H57" i="72"/>
  <c r="I57" i="72" s="1"/>
  <c r="H58" i="72"/>
  <c r="I58" i="72" s="1"/>
  <c r="H59" i="72"/>
  <c r="I59" i="72" s="1"/>
  <c r="H60" i="72"/>
  <c r="I60" i="72" s="1"/>
  <c r="H61" i="72"/>
  <c r="I61" i="72" s="1"/>
  <c r="H62" i="72"/>
  <c r="I62" i="72" s="1"/>
  <c r="H63" i="72"/>
  <c r="I63" i="72" s="1"/>
  <c r="H64" i="72"/>
  <c r="I64" i="72" s="1"/>
  <c r="H65" i="72"/>
  <c r="I65" i="72" s="1"/>
  <c r="H66" i="72"/>
  <c r="I66" i="72" s="1"/>
  <c r="H67" i="72"/>
  <c r="I67" i="72" s="1"/>
  <c r="H68" i="72"/>
  <c r="I68" i="72" s="1"/>
  <c r="H69" i="72"/>
  <c r="I69" i="72" s="1"/>
  <c r="H70" i="72"/>
  <c r="I70" i="72" s="1"/>
  <c r="H71" i="72"/>
  <c r="I71" i="72" s="1"/>
  <c r="H72" i="72"/>
  <c r="I72" i="72" s="1"/>
  <c r="H73" i="72"/>
  <c r="I73" i="72" s="1"/>
  <c r="H74" i="72"/>
  <c r="I74" i="72" s="1"/>
  <c r="H75" i="72"/>
  <c r="I75" i="72" s="1"/>
  <c r="H76" i="72"/>
  <c r="I76" i="72" s="1"/>
  <c r="H77" i="72"/>
  <c r="I77" i="72" s="1"/>
  <c r="H78" i="72"/>
  <c r="I78" i="72" s="1"/>
  <c r="H79" i="72"/>
  <c r="I79" i="72" s="1"/>
  <c r="H80" i="72"/>
  <c r="I80" i="72" s="1"/>
  <c r="H81" i="72"/>
  <c r="I81" i="72" s="1"/>
  <c r="H82" i="72"/>
  <c r="I82" i="72" s="1"/>
  <c r="H83" i="72"/>
  <c r="I83" i="72" s="1"/>
  <c r="H84" i="72"/>
  <c r="I84" i="72" s="1"/>
  <c r="H85" i="72"/>
  <c r="I85" i="72" s="1"/>
  <c r="H86" i="72"/>
  <c r="I86" i="72" s="1"/>
  <c r="H87" i="72"/>
  <c r="I87" i="72" s="1"/>
  <c r="H88" i="72"/>
  <c r="I88" i="72" s="1"/>
  <c r="H89" i="72"/>
  <c r="I89" i="72" s="1"/>
  <c r="H90" i="72"/>
  <c r="I90" i="72" s="1"/>
  <c r="H91" i="72"/>
  <c r="E6" i="72"/>
  <c r="E7" i="72"/>
  <c r="F7" i="72" s="1"/>
  <c r="E8" i="72"/>
  <c r="F8" i="72" s="1"/>
  <c r="E9" i="72"/>
  <c r="E10" i="72"/>
  <c r="E11" i="72"/>
  <c r="F11" i="72" s="1"/>
  <c r="E12" i="72"/>
  <c r="F12" i="72" s="1"/>
  <c r="E13" i="72"/>
  <c r="F13" i="72" s="1"/>
  <c r="E14" i="72"/>
  <c r="F14" i="72" s="1"/>
  <c r="E15" i="72"/>
  <c r="F15" i="72" s="1"/>
  <c r="E16" i="72"/>
  <c r="F16" i="72" s="1"/>
  <c r="E17" i="72"/>
  <c r="F17" i="72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E26" i="72"/>
  <c r="F26" i="72" s="1"/>
  <c r="E27" i="72"/>
  <c r="F27" i="72" s="1"/>
  <c r="E28" i="72"/>
  <c r="F28" i="72" s="1"/>
  <c r="E29" i="72"/>
  <c r="F29" i="72" s="1"/>
  <c r="E30" i="72"/>
  <c r="F30" i="72" s="1"/>
  <c r="E31" i="72"/>
  <c r="F31" i="72" s="1"/>
  <c r="E32" i="72"/>
  <c r="F32" i="72" s="1"/>
  <c r="E33" i="72"/>
  <c r="F33" i="72" s="1"/>
  <c r="E34" i="72"/>
  <c r="F34" i="72" s="1"/>
  <c r="E35" i="72"/>
  <c r="F35" i="72" s="1"/>
  <c r="E36" i="72"/>
  <c r="F36" i="72" s="1"/>
  <c r="E37" i="72"/>
  <c r="F37" i="72" s="1"/>
  <c r="E38" i="72"/>
  <c r="F38" i="72" s="1"/>
  <c r="E39" i="72"/>
  <c r="F39" i="72" s="1"/>
  <c r="E40" i="72"/>
  <c r="F40" i="72" s="1"/>
  <c r="E41" i="72"/>
  <c r="F41" i="72" s="1"/>
  <c r="E42" i="72"/>
  <c r="F42" i="72" s="1"/>
  <c r="E43" i="72"/>
  <c r="F43" i="72" s="1"/>
  <c r="E44" i="72"/>
  <c r="F44" i="72" s="1"/>
  <c r="E45" i="72"/>
  <c r="F45" i="72" s="1"/>
  <c r="E46" i="72"/>
  <c r="F46" i="72" s="1"/>
  <c r="E47" i="72"/>
  <c r="F47" i="72" s="1"/>
  <c r="E48" i="72"/>
  <c r="F48" i="72" s="1"/>
  <c r="E49" i="72"/>
  <c r="F49" i="72" s="1"/>
  <c r="E50" i="72"/>
  <c r="F50" i="72" s="1"/>
  <c r="E51" i="72"/>
  <c r="F51" i="72" s="1"/>
  <c r="E52" i="72"/>
  <c r="F52" i="72" s="1"/>
  <c r="E53" i="72"/>
  <c r="F53" i="72" s="1"/>
  <c r="E54" i="72"/>
  <c r="F54" i="72" s="1"/>
  <c r="E55" i="72"/>
  <c r="F55" i="72" s="1"/>
  <c r="E56" i="72"/>
  <c r="F56" i="72" s="1"/>
  <c r="E57" i="72"/>
  <c r="F57" i="72" s="1"/>
  <c r="E58" i="72"/>
  <c r="F58" i="72" s="1"/>
  <c r="E59" i="72"/>
  <c r="F59" i="72" s="1"/>
  <c r="E60" i="72"/>
  <c r="F60" i="72" s="1"/>
  <c r="E61" i="72"/>
  <c r="F61" i="72" s="1"/>
  <c r="E62" i="72"/>
  <c r="F62" i="72" s="1"/>
  <c r="E63" i="72"/>
  <c r="F63" i="72" s="1"/>
  <c r="E64" i="72"/>
  <c r="F64" i="72" s="1"/>
  <c r="E65" i="72"/>
  <c r="F65" i="72" s="1"/>
  <c r="E66" i="72"/>
  <c r="F66" i="72" s="1"/>
  <c r="E67" i="72"/>
  <c r="F67" i="72" s="1"/>
  <c r="E68" i="72"/>
  <c r="F68" i="72" s="1"/>
  <c r="E69" i="72"/>
  <c r="F69" i="72" s="1"/>
  <c r="E70" i="72"/>
  <c r="F70" i="72" s="1"/>
  <c r="E71" i="72"/>
  <c r="F71" i="72" s="1"/>
  <c r="E72" i="72"/>
  <c r="F72" i="72" s="1"/>
  <c r="E73" i="72"/>
  <c r="F73" i="72" s="1"/>
  <c r="E74" i="72"/>
  <c r="F74" i="72" s="1"/>
  <c r="E75" i="72"/>
  <c r="F75" i="72" s="1"/>
  <c r="E76" i="72"/>
  <c r="F76" i="72" s="1"/>
  <c r="E77" i="72"/>
  <c r="F77" i="72" s="1"/>
  <c r="E78" i="72"/>
  <c r="F78" i="72" s="1"/>
  <c r="E79" i="72"/>
  <c r="E80" i="72"/>
  <c r="F80" i="72" s="1"/>
  <c r="E81" i="72"/>
  <c r="F81" i="72" s="1"/>
  <c r="E82" i="72"/>
  <c r="F82" i="72" s="1"/>
  <c r="E83" i="72"/>
  <c r="F83" i="72" s="1"/>
  <c r="E84" i="72"/>
  <c r="F84" i="72" s="1"/>
  <c r="E85" i="72"/>
  <c r="F85" i="72" s="1"/>
  <c r="E86" i="72"/>
  <c r="F86" i="72" s="1"/>
  <c r="E87" i="72"/>
  <c r="F87" i="72" s="1"/>
  <c r="E88" i="72"/>
  <c r="F88" i="72" s="1"/>
  <c r="E89" i="72"/>
  <c r="F89" i="72" s="1"/>
  <c r="E90" i="72"/>
  <c r="F90" i="72" s="1"/>
  <c r="H5" i="72"/>
  <c r="E5" i="72"/>
  <c r="H4" i="72"/>
  <c r="E4" i="72"/>
  <c r="F6" i="4"/>
  <c r="I4" i="3"/>
  <c r="I6" i="3"/>
  <c r="I7" i="3"/>
  <c r="F6" i="3"/>
  <c r="F7" i="3"/>
  <c r="A5" i="27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F6" i="19"/>
  <c r="F7" i="19"/>
  <c r="I6" i="19"/>
  <c r="I7" i="19"/>
  <c r="A4" i="32" a="1"/>
  <c r="A4" i="32" s="1"/>
  <c r="F5" i="3"/>
  <c r="F4" i="3"/>
  <c r="C2" i="3"/>
  <c r="I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I7" i="33"/>
  <c r="F7" i="33"/>
  <c r="I6" i="33"/>
  <c r="F6" i="33"/>
  <c r="I5" i="33"/>
  <c r="F5" i="33"/>
  <c r="I4" i="33"/>
  <c r="F4" i="33"/>
  <c r="B4" i="33" a="1"/>
  <c r="B4" i="33" s="1"/>
  <c r="A4" i="33" a="1"/>
  <c r="A4" i="33" s="1"/>
  <c r="I7" i="32"/>
  <c r="F7" i="32"/>
  <c r="I6" i="32"/>
  <c r="F6" i="32"/>
  <c r="I5" i="32"/>
  <c r="F5" i="32"/>
  <c r="I4" i="32"/>
  <c r="F4" i="32"/>
  <c r="B4" i="32" a="1"/>
  <c r="B4" i="32" s="1"/>
  <c r="I7" i="31"/>
  <c r="F7" i="31"/>
  <c r="I6" i="31"/>
  <c r="F6" i="31"/>
  <c r="I5" i="31"/>
  <c r="F5" i="31"/>
  <c r="I4" i="31"/>
  <c r="B4" i="31" a="1"/>
  <c r="B4" i="31" s="1"/>
  <c r="A4" i="31" a="1"/>
  <c r="A4" i="31" s="1"/>
  <c r="I7" i="28"/>
  <c r="F7" i="28"/>
  <c r="I6" i="28"/>
  <c r="F6" i="28"/>
  <c r="I5" i="28"/>
  <c r="F5" i="28"/>
  <c r="I4" i="28"/>
  <c r="F4" i="28"/>
  <c r="B4" i="28" a="1"/>
  <c r="B4" i="28" s="1"/>
  <c r="A4" i="28" a="1"/>
  <c r="A4" i="28" s="1"/>
  <c r="I7" i="27"/>
  <c r="F7" i="27"/>
  <c r="I6" i="27"/>
  <c r="F6" i="27"/>
  <c r="I5" i="27"/>
  <c r="F5" i="27"/>
  <c r="I4" i="27"/>
  <c r="F4" i="27"/>
  <c r="B4" i="27" a="1"/>
  <c r="B4" i="27" s="1"/>
  <c r="I7" i="26"/>
  <c r="F7" i="26"/>
  <c r="I6" i="26"/>
  <c r="F6" i="26"/>
  <c r="I5" i="26"/>
  <c r="F5" i="26"/>
  <c r="I4" i="26"/>
  <c r="F4" i="26"/>
  <c r="B4" i="26" a="1"/>
  <c r="B4" i="26" s="1"/>
  <c r="A4" i="26" a="1"/>
  <c r="A4" i="26" s="1"/>
  <c r="I5" i="19"/>
  <c r="F5" i="19"/>
  <c r="I4" i="19"/>
  <c r="F4" i="19"/>
  <c r="B4" i="19" a="1"/>
  <c r="B4" i="19" s="1"/>
  <c r="A4" i="19" a="1"/>
  <c r="A4" i="19" s="1"/>
  <c r="I7" i="20"/>
  <c r="F7" i="20"/>
  <c r="I6" i="20"/>
  <c r="F6" i="20"/>
  <c r="I5" i="20"/>
  <c r="F5" i="20"/>
  <c r="I4" i="20"/>
  <c r="F4" i="20"/>
  <c r="B4" i="20" a="1"/>
  <c r="B4" i="20" s="1"/>
  <c r="A4" i="20" a="1"/>
  <c r="A4" i="20" s="1"/>
  <c r="I7" i="21"/>
  <c r="F7" i="21"/>
  <c r="I6" i="21"/>
  <c r="F6" i="21"/>
  <c r="I5" i="21"/>
  <c r="F5" i="21"/>
  <c r="I4" i="21"/>
  <c r="F4" i="21"/>
  <c r="B4" i="21" a="1"/>
  <c r="B4" i="21" s="1"/>
  <c r="A4" i="21" a="1"/>
  <c r="A4" i="21" s="1"/>
  <c r="I7" i="4"/>
  <c r="F7" i="4"/>
  <c r="I6" i="4"/>
  <c r="I5" i="4"/>
  <c r="F5" i="4"/>
  <c r="I4" i="4"/>
  <c r="F4" i="4"/>
  <c r="B4" i="4" a="1"/>
  <c r="B4" i="4" s="1"/>
  <c r="A4" i="4" a="1"/>
  <c r="A4" i="4" s="1"/>
  <c r="B4" i="3" a="1"/>
  <c r="B4" i="3" s="1"/>
  <c r="A4" i="3" a="1"/>
  <c r="A4" i="3" s="1"/>
  <c r="A4" i="1" a="1"/>
  <c r="A4" i="1" s="1"/>
  <c r="F12" i="18" l="1"/>
  <c r="C11" i="18"/>
  <c r="C12" i="18"/>
  <c r="B11" i="18"/>
  <c r="B12" i="18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6" i="18"/>
  <c r="C9" i="18"/>
  <c r="B7" i="18"/>
  <c r="F9" i="18"/>
  <c r="C7" i="18"/>
  <c r="B10" i="18"/>
  <c r="B5" i="18"/>
  <c r="F7" i="18"/>
  <c r="C10" i="18"/>
  <c r="C5" i="18"/>
  <c r="B8" i="18"/>
  <c r="F10" i="18"/>
  <c r="F5" i="18"/>
  <c r="C8" i="18"/>
  <c r="B6" i="18"/>
  <c r="F8" i="18"/>
  <c r="C6" i="18"/>
  <c r="B9" i="18"/>
  <c r="A4" i="30"/>
  <c r="A4" i="29"/>
  <c r="A4" i="18"/>
  <c r="F6" i="72"/>
  <c r="F5" i="72"/>
  <c r="F4" i="72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I5" i="72"/>
  <c r="I4" i="72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2" i="29"/>
  <c r="C2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B4" i="34" l="1"/>
  <c r="D4" i="1"/>
  <c r="E4" i="1" s="1"/>
  <c r="G11" i="1"/>
  <c r="H11" i="1" s="1"/>
  <c r="B12" i="34"/>
  <c r="G12" i="1"/>
  <c r="H12" i="1" s="1"/>
  <c r="D12" i="1"/>
  <c r="E12" i="1" s="1"/>
  <c r="D5" i="1"/>
  <c r="E5" i="1" s="1"/>
  <c r="F2" i="1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  <c r="B2" i="30"/>
  <c r="G2" i="30" s="1"/>
  <c r="H2" i="30" s="1"/>
  <c r="D2" i="30" l="1"/>
  <c r="E2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tc={EE5B06D0-94D1-470F-9DE9-BE6BDE5C4E13}</author>
  </authors>
  <commentList>
    <comment ref="C84" authorId="0" shapeId="0" xr:uid="{EE5B06D0-94D1-470F-9DE9-BE6BDE5C4E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energy is taken from total inverters data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tc={1609F2C4-F5CB-40A3-9AF8-B04F56E06930}</author>
  </authors>
  <commentList>
    <comment ref="C84" authorId="0" shapeId="0" xr:uid="{1609F2C4-F5CB-40A3-9AF8-B04F56E069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energy is taken from total inverters data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<sst xmlns="http://schemas.openxmlformats.org/spreadsheetml/2006/main" count="795" uniqueCount="324">
  <si>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</si>
  <si>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</si>
  <si>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</si>
  <si>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</si>
  <si>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</si>
  <si>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</si>
  <si>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</si>
  <si>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</si>
  <si>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</si>
  <si>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</si>
  <si>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</si>
  <si>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</si>
  <si>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</si>
  <si>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</si>
  <si>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</si>
  <si>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</si>
  <si>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</si>
  <si>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</si>
  <si>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</si>
  <si>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</si>
  <si>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</si>
  <si>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</si>
  <si>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</si>
  <si>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 Compared to last year’s delta values, we can still see a negative variance for this site, which suggests an issue with the forecasted value.</t>
  </si>
  <si>
    <t>N/A</t>
  </si>
  <si>
    <t xml:space="preserve">1. Production data taken from consumption meter.
</t>
  </si>
  <si>
    <t>1. Site was not communicated for whole month.</t>
  </si>
  <si>
    <t>1. SR099548</t>
  </si>
  <si>
    <t xml:space="preserve">1. Pending
</t>
  </si>
  <si>
    <t>1. Inverter 1 has heavy shading from afternoon to evening.</t>
  </si>
  <si>
    <t>1. Inverter 1 and 7 have morning to afternoon shading.</t>
  </si>
  <si>
    <t>1. Inverter 2 has heavy shading in the morning.</t>
  </si>
  <si>
    <t>1. Inverters 1, 4, and 5 have some afternoon shading. Inverter 5 is underperforming by 3kW; likely soiling.</t>
  </si>
  <si>
    <t>1. SR101247</t>
  </si>
  <si>
    <t>1. Closed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</si>
  <si>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</si>
  <si>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</si>
  <si>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Inverter 1 is underperforming by 13kW and inverter 2 by 10kW. Pending quote for return visit.</t>
  </si>
  <si>
    <t>1. SR104629</t>
  </si>
  <si>
    <t>1. No communication to the inverters, As per technician visit on 08/08 inverter 3 is offline and inverter 1 is underperforming. 
2.  Site stopped communicating to the DAS at 23:00 on 11/02 because the modem is not powering up. The modem is currently under RMA.</t>
  </si>
  <si>
    <t>1. SR105604
2. SR111494</t>
  </si>
  <si>
    <t>1. Closed
2. Pending</t>
  </si>
  <si>
    <t>SR111494</t>
  </si>
  <si>
    <t>1. Meter phase A and B currents dropped to 18 amps on 10/01, and the meter also showed a production drop of 5–6 kW, possibly due to thermal damage to the CTs. Additionally, on 01/15, a technician found that the inverter was offline at the site.</t>
  </si>
  <si>
    <t>1. SR110707</t>
  </si>
  <si>
    <t>1. Inverter 2 was offline for the entire month.</t>
  </si>
  <si>
    <t>1. SR101743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</si>
  <si>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
2. Weather station reporting erroneous 1237.82w/m^2 values since commissioning</t>
  </si>
  <si>
    <t>1. The Site was offline for most days during the month due to snow.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</si>
  <si>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</si>
  <si>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1. SR107668, SR088667, SR107670
2. SR077700, SR113568</t>
  </si>
  <si>
    <t>1. Pending
2. Denied</t>
  </si>
  <si>
    <t>SR088667</t>
  </si>
  <si>
    <t>SR107670</t>
  </si>
  <si>
    <t>SR077700</t>
  </si>
  <si>
    <t>SR113568</t>
  </si>
  <si>
    <t>1. Site underperforming by ~15 kW. Production appears capped at 1.6 kW on high irradiance days, with brief spikes. Will be investigating during next site visit.</t>
  </si>
  <si>
    <t>1. SR098782</t>
  </si>
  <si>
    <t>1.  Phase A on the meter is lower than phases B and C, corresponding to the meter not capturing full inverter production since 01/12.</t>
  </si>
  <si>
    <t>1. SR114480</t>
  </si>
  <si>
    <t>1. Pending</t>
  </si>
  <si>
    <t>1. The production was low on 01/02,01/03,01/05,01/09,01/10,01/14,01/17,01/18 and 01/22 to 01/25 due to snow.</t>
  </si>
  <si>
    <t>1. All inverters have morning shading.</t>
  </si>
  <si>
    <t>1. Site production was low most of the days in a month due to snow.</t>
  </si>
  <si>
    <t>1. The site stopped communicating to the DAS at 11:00 on 11/14, possibly due to being offline after installed with new roof and back online at 07:00 on 01/14.
2. The Site was offline for most days during the month due to snow.</t>
  </si>
  <si>
    <t>1.  SR111319</t>
  </si>
  <si>
    <t>1. Site production was minimal from 01/17 to 01/21, 01/25 to 01/31 due to snow.</t>
  </si>
  <si>
    <t>1. The production was low on 01/02,01/03,01/06,01/10,01/17,01/18,01/25 to 01/28 due to snow.</t>
  </si>
  <si>
    <t>1. The production was low on 01/02,01/10,01/17,01/18 and 01/25 due to snow.</t>
  </si>
  <si>
    <t>1. The production was low on 01/02,01/05,01/10,01/14,01/17 to 01/21 and 01/25 to 01/30 due to snow.</t>
  </si>
  <si>
    <t>1. The Laurelton Site has been closed down and sold as of 7/31/25</t>
  </si>
  <si>
    <t xml:space="preserve">1. SR108795 </t>
  </si>
  <si>
    <t>1. Weather station is frequently reporting erroneous values ( 0 w/m^2) during mid days.We have reached out to AlsoEnergy for remote assistance and waiting for their response
2. The Site production was low most days during the month due to snow.</t>
  </si>
  <si>
    <t>1. SR100593</t>
  </si>
  <si>
    <t>1. The production was low on 01/02,01/10,01/14,01/17 to 01/20 and 01/25 to 01/28 due to snow.</t>
  </si>
  <si>
    <t>1. The production was low on 01/02,01/03,01/05,01/10,01/14,01/17 to 01/21 and 01/25 to 01/28 due to snow.</t>
  </si>
  <si>
    <t>1. Compared to last year’s delta values, we can still see a negative variance for this site, which suggests an issue with the forecasted value.
2. The production was low on 01/02,01/05,01/10,01/14,01/17 to 01/21 and 01/25 to 01/28 due to snow.</t>
  </si>
  <si>
    <t>1. Compared to last year’s delta values, we can still see a negative variance for this site, which suggests an issue with the forecasted value.
2. The production was low on 01/02,01/05,01/10,01/14,01/17 to 01/21 and 01/25 to 01/29 due to snow.</t>
  </si>
  <si>
    <t>1. Compared to last year’s delta values, we can still see a negative variance for this site, which suggests an issue with the forecasted value.
2. The production was low on 01/02,01/10,01/14,01/17 to 01/19 and 01/25 to 01/31 due to snow.</t>
  </si>
  <si>
    <t>1. The production was low on 01/02,01/03,01/05,01/10,01/14,01/17 to 01/19 and 01/25 due to snow.</t>
  </si>
  <si>
    <t>1. Inverter 5 is underproducing by about 20kw.
2. Inverter 6 is offline from 13:30 on 12/11 and back online at 09:00 on 01/12.</t>
  </si>
  <si>
    <t>1. SR113672, SR112821
2. SR112821</t>
  </si>
  <si>
    <t>1. Closed
2. Closed</t>
  </si>
  <si>
    <t>SR112821</t>
  </si>
  <si>
    <t>1. Inverter 4 was offline at 07:00 on 09/18/25 and after technician replaced the inverter is back online at 11:15 on 01/08.</t>
  </si>
  <si>
    <t>1. SR112934</t>
  </si>
  <si>
    <t>1. Inverter 4 is down a string from 02/16/25.</t>
  </si>
  <si>
    <t>1. SR097581</t>
  </si>
  <si>
    <t>1.Inverter 4 underperformed by 6kW from 08/17</t>
  </si>
  <si>
    <t>1.SR106526</t>
  </si>
  <si>
    <t>1.Closed</t>
  </si>
  <si>
    <t>1. The Weather station was a virtual weather station of San Antonio 203.</t>
  </si>
  <si>
    <t>1. Meter A and C phase are underreporting. Meter A and B power factor are less than 1 and on 08/21 phase C currents are showing more amps additional troubleshoot required
Actual energy is taken from total inverters data</t>
  </si>
  <si>
    <t>1. SR104705</t>
  </si>
  <si>
    <t>1. Inverter 2 has been tripped offline since 06:15 on 06/18/25 and is currently under RMA.</t>
  </si>
  <si>
    <t>1.SR112285</t>
  </si>
  <si>
    <t>1.Pending</t>
  </si>
  <si>
    <t>1. The site stopped communicating with the DAS at 11:00 on 09/25/25 and is possibly offline.</t>
  </si>
  <si>
    <t>1.SR112290</t>
  </si>
  <si>
    <t>1. Inverter 2 having morning and afetrnoon shading.</t>
  </si>
  <si>
    <t>1. Inverter 2 has shading for whole day.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</si>
  <si>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</si>
  <si>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</si>
  <si>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</si>
  <si>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</si>
  <si>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</si>
  <si>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</si>
  <si>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</si>
  <si>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</si>
  <si>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</si>
  <si>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</si>
  <si>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</si>
  <si>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</si>
  <si>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</si>
  <si>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Performance vs Prior Year</t>
  </si>
  <si>
    <t>+ or -</t>
  </si>
  <si>
    <t xml:space="preserve"> </t>
  </si>
  <si>
    <t>August Actual v. Expected</t>
  </si>
  <si>
    <t>August Actual v. Forecasted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</si>
  <si>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</si>
  <si>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</si>
  <si>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</si>
  <si>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</si>
  <si>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</si>
  <si>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</si>
  <si>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</si>
  <si>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</si>
  <si>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</si>
  <si>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</si>
  <si>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</si>
  <si>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</si>
  <si>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</si>
  <si>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Status 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</si>
  <si>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</si>
  <si>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</si>
  <si>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</si>
  <si>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</si>
  <si>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</si>
  <si>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</si>
  <si>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</si>
  <si>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</si>
  <si>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AEF</t>
  </si>
  <si>
    <t>PowerTrack</t>
  </si>
  <si>
    <t>BE 196270 - Otay Mesa (ATM)</t>
  </si>
  <si>
    <t>Otay Mesa</t>
  </si>
  <si>
    <t>BE 144682 - San Leandro Ops Center</t>
  </si>
  <si>
    <t>San Leandro</t>
  </si>
  <si>
    <t>BE 191705 - Van Nuys</t>
  </si>
  <si>
    <t>Van Nuys</t>
  </si>
  <si>
    <t>AF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</si>
  <si>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</si>
  <si>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</si>
  <si>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</si>
  <si>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</si>
  <si>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</si>
  <si>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</si>
  <si>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</si>
  <si>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</si>
  <si>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</si>
  <si>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</si>
  <si>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</si>
  <si>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</si>
  <si>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</si>
  <si>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</si>
  <si>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</si>
  <si>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</si>
  <si>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</si>
  <si>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</si>
  <si>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</si>
  <si>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</si>
  <si>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</si>
  <si>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</si>
  <si>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</si>
  <si>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</si>
  <si>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CA: San Jose - Westgate</t>
  </si>
  <si>
    <t>BE 199502 - Westgate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</si>
  <si>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</si>
  <si>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</si>
  <si>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</si>
  <si>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</si>
  <si>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</si>
  <si>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</si>
  <si>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</si>
  <si>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</si>
  <si>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</si>
  <si>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</si>
  <si>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</si>
  <si>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</si>
  <si>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</si>
  <si>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</si>
  <si>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</si>
  <si>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</si>
  <si>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</si>
  <si>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</si>
  <si>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</si>
  <si>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</si>
  <si>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</si>
  <si>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</si>
  <si>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</si>
  <si>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</si>
  <si>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</si>
  <si>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</si>
  <si>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</si>
  <si>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</si>
  <si>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</si>
  <si>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</si>
  <si>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</si>
  <si>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</si>
  <si>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</si>
  <si>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</si>
  <si>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</si>
  <si>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</si>
  <si>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</si>
  <si>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</si>
  <si>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</si>
  <si>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</si>
  <si>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</si>
  <si>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</si>
  <si>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</si>
  <si>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</si>
  <si>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</si>
  <si>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</si>
  <si>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</si>
  <si>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</si>
  <si>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</si>
  <si>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</si>
  <si>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</si>
  <si>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</si>
  <si>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</si>
  <si>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</si>
  <si>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</si>
  <si>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</si>
  <si>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</si>
  <si>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</si>
  <si>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</si>
  <si>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</si>
  <si>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</si>
  <si>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</si>
  <si>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</si>
  <si>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</si>
  <si>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</si>
  <si>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</si>
  <si>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</si>
  <si>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</si>
  <si>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</si>
  <si>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</si>
  <si>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</si>
  <si>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</si>
  <si>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</si>
  <si>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</si>
  <si>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</si>
  <si>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</si>
  <si>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</si>
  <si>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</si>
  <si>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</si>
  <si>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</si>
  <si>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</si>
  <si>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</si>
  <si>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</si>
  <si>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</si>
  <si>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</si>
  <si>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</si>
  <si>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</si>
  <si>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</si>
  <si>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</si>
  <si>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</si>
  <si>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</si>
  <si>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</si>
  <si>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</si>
  <si>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</si>
  <si>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</si>
  <si>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</si>
  <si>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</si>
  <si>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</si>
  <si>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</si>
  <si>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</si>
  <si>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</si>
  <si>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</si>
  <si>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</si>
  <si>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</si>
  <si>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</si>
  <si>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</si>
  <si>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</si>
  <si>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</si>
  <si>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</si>
  <si>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</si>
  <si>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</si>
  <si>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</si>
  <si>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</si>
  <si>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</si>
  <si>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</si>
  <si>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</si>
  <si>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</si>
  <si>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</si>
  <si>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</si>
  <si>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</si>
  <si>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</si>
  <si>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</si>
  <si>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</si>
  <si>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</si>
  <si>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</si>
  <si>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</si>
  <si>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</si>
  <si>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</si>
  <si>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</si>
  <si>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</si>
  <si>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</si>
  <si>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</si>
  <si>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</si>
  <si>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</si>
  <si>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</si>
  <si>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</si>
  <si>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BE 101969 - A Building, Chandler Campus</t>
  </si>
  <si>
    <t>AZ: Chandler - Chandler Campus - Bldg A</t>
  </si>
  <si>
    <t>BE 102493 - Pinnacle Peak Operation Center</t>
  </si>
  <si>
    <t>AZ: Phoenix - Pinnacle Peak Ops</t>
  </si>
  <si>
    <t>BE 191231 - North Alhambra</t>
  </si>
  <si>
    <t>CA: Alhambra - North Alhambra</t>
  </si>
  <si>
    <t>BE 144444 - La Cañada</t>
  </si>
  <si>
    <t>CA: La Canada - La Canada</t>
  </si>
  <si>
    <t>BE 199475 - Laguna Beach</t>
  </si>
  <si>
    <t>CA: Laguna Beach - LAGUNA BEACH</t>
  </si>
  <si>
    <t>BE 191839 - Mariners</t>
  </si>
  <si>
    <t>CA: Newport Beach - MARINERS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</si>
</sst>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60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b/>
      <sz val="11"/>
      <name val="Aptos"/>
      <family val="2"/>
    </font>
    <font>
      <b/>
      <sz val="10"/>
      <name val="Calibri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6" fillId="0" borderId="0"/>
    <xf numFmtId="43" fontId="4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253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4" fillId="39" borderId="1" xfId="0" applyFont="1" applyFill="1" applyBorder="1" applyAlignment="1">
      <alignment horizontal="center" vertical="center"/>
    </xf>
    <xf numFmtId="0" fontId="4" fillId="0" borderId="0" xfId="0" applyFont="1"/>
    <xf numFmtId="164" fontId="28" fillId="44" borderId="0" xfId="1" applyNumberFormat="1" applyFont="1" applyFill="1" applyBorder="1" applyAlignment="1">
      <alignment horizontal="center" vertical="center" indent="1"/>
    </xf>
    <xf numFmtId="0" fontId="35" fillId="46" borderId="15" xfId="0" applyFont="1" applyFill="1" applyBorder="1"/>
    <xf numFmtId="0" fontId="35" fillId="0" borderId="0" xfId="0" applyFont="1"/>
    <xf numFmtId="0" fontId="35" fillId="46" borderId="0" xfId="0" applyFont="1" applyFill="1"/>
    <xf numFmtId="0" fontId="35" fillId="0" borderId="16" xfId="0" applyFont="1" applyBorder="1"/>
    <xf numFmtId="0" fontId="35" fillId="0" borderId="16" xfId="0" applyFont="1" applyBorder="1" applyAlignment="1">
      <alignment wrapText="1"/>
    </xf>
    <xf numFmtId="49" fontId="2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8" fillId="0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Border="1" applyAlignment="1">
      <alignment horizontal="center" vertical="center"/>
    </xf>
    <xf numFmtId="49" fontId="37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49" fontId="38" fillId="38" borderId="0" xfId="2" applyNumberFormat="1" applyFont="1" applyFill="1" applyBorder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49" fontId="38" fillId="38" borderId="0" xfId="2" applyNumberFormat="1" applyFont="1" applyFill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40" fillId="0" borderId="0" xfId="0" applyFont="1" applyAlignment="1">
      <alignment wrapText="1"/>
    </xf>
    <xf numFmtId="3" fontId="30" fillId="0" borderId="0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5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left" vertical="top" wrapText="1"/>
    </xf>
    <xf numFmtId="0" fontId="54" fillId="0" borderId="0" xfId="0" applyFont="1"/>
    <xf numFmtId="0" fontId="24" fillId="0" borderId="0" xfId="0" applyFont="1"/>
    <xf numFmtId="10" fontId="54" fillId="0" borderId="0" xfId="0" applyNumberFormat="1" applyFont="1"/>
    <xf numFmtId="0" fontId="0" fillId="49" borderId="0" xfId="0" applyFill="1"/>
    <xf numFmtId="9" fontId="31" fillId="0" borderId="0" xfId="2" applyFont="1" applyFill="1" applyAlignment="1">
      <alignment horizontal="center"/>
    </xf>
    <xf numFmtId="0" fontId="0" fillId="50" borderId="0" xfId="0" applyFill="1"/>
    <xf numFmtId="0" fontId="55" fillId="0" borderId="0" xfId="0" applyFont="1" applyAlignment="1">
      <alignment vertical="center"/>
    </xf>
    <xf numFmtId="0" fontId="56" fillId="0" borderId="0" xfId="0" applyFont="1"/>
    <xf numFmtId="0" fontId="34" fillId="0" borderId="17" xfId="0" applyFont="1" applyBorder="1" applyAlignment="1">
      <alignment horizontal="center"/>
    </xf>
    <xf numFmtId="0" fontId="28" fillId="0" borderId="17" xfId="0" applyFont="1" applyBorder="1" applyAlignment="1">
      <alignment horizontal="center" vertical="center"/>
    </xf>
    <xf numFmtId="164" fontId="28" fillId="0" borderId="17" xfId="1" applyNumberFormat="1" applyFont="1" applyFill="1" applyBorder="1" applyAlignment="1">
      <alignment horizontal="center" vertical="center"/>
    </xf>
    <xf numFmtId="3" fontId="30" fillId="0" borderId="17" xfId="0" applyNumberFormat="1" applyFont="1" applyBorder="1" applyAlignment="1">
      <alignment horizontal="right" vertical="center"/>
    </xf>
    <xf numFmtId="9" fontId="30" fillId="0" borderId="17" xfId="2" applyFont="1" applyFill="1" applyBorder="1" applyAlignment="1">
      <alignment horizontal="center" vertical="center"/>
    </xf>
    <xf numFmtId="3" fontId="30" fillId="0" borderId="17" xfId="1" applyNumberFormat="1" applyFont="1" applyFill="1" applyBorder="1" applyAlignment="1">
      <alignment vertical="center"/>
    </xf>
    <xf numFmtId="49" fontId="30" fillId="0" borderId="17" xfId="2" applyNumberFormat="1" applyFont="1" applyFill="1" applyBorder="1" applyAlignment="1">
      <alignment vertical="top" wrapText="1"/>
    </xf>
    <xf numFmtId="0" fontId="0" fillId="0" borderId="17" xfId="0" applyBorder="1" applyAlignment="1">
      <alignment horizontal="left" vertical="top"/>
    </xf>
    <xf numFmtId="0" fontId="27" fillId="0" borderId="17" xfId="0" applyFont="1" applyBorder="1" applyAlignment="1">
      <alignment horizontal="center" vertical="center"/>
    </xf>
    <xf numFmtId="3" fontId="30" fillId="0" borderId="17" xfId="1" applyNumberFormat="1" applyFont="1" applyFill="1" applyBorder="1" applyAlignment="1">
      <alignment horizontal="right"/>
    </xf>
    <xf numFmtId="49" fontId="28" fillId="0" borderId="17" xfId="0" applyNumberFormat="1" applyFont="1" applyBorder="1" applyAlignment="1">
      <alignment horizontal="left" vertical="center" wrapText="1"/>
    </xf>
    <xf numFmtId="49" fontId="28" fillId="0" borderId="17" xfId="0" applyNumberFormat="1" applyFont="1" applyBorder="1" applyAlignment="1">
      <alignment vertical="top" wrapText="1"/>
    </xf>
    <xf numFmtId="49" fontId="30" fillId="0" borderId="17" xfId="2" applyNumberFormat="1" applyFont="1" applyFill="1" applyBorder="1" applyAlignment="1">
      <alignment horizontal="left" vertical="top" wrapText="1"/>
    </xf>
    <xf numFmtId="49" fontId="42" fillId="0" borderId="17" xfId="47" applyNumberFormat="1" applyFill="1" applyBorder="1" applyAlignment="1">
      <alignment vertical="top" wrapText="1"/>
    </xf>
    <xf numFmtId="0" fontId="27" fillId="49" borderId="17" xfId="0" applyFont="1" applyFill="1" applyBorder="1" applyAlignment="1">
      <alignment horizontal="center" vertical="center"/>
    </xf>
    <xf numFmtId="0" fontId="28" fillId="49" borderId="17" xfId="0" applyFont="1" applyFill="1" applyBorder="1" applyAlignment="1">
      <alignment horizontal="center" vertical="center"/>
    </xf>
    <xf numFmtId="164" fontId="28" fillId="49" borderId="17" xfId="1" applyNumberFormat="1" applyFont="1" applyFill="1" applyBorder="1" applyAlignment="1">
      <alignment horizontal="center" vertical="center"/>
    </xf>
    <xf numFmtId="3" fontId="30" fillId="49" borderId="17" xfId="0" applyNumberFormat="1" applyFont="1" applyFill="1" applyBorder="1" applyAlignment="1">
      <alignment horizontal="right" vertical="center"/>
    </xf>
    <xf numFmtId="9" fontId="30" fillId="49" borderId="17" xfId="2" applyFont="1" applyFill="1" applyBorder="1" applyAlignment="1">
      <alignment horizontal="center" vertical="center"/>
    </xf>
    <xf numFmtId="3" fontId="30" fillId="49" borderId="17" xfId="1" applyNumberFormat="1" applyFont="1" applyFill="1" applyBorder="1" applyAlignment="1">
      <alignment vertical="center"/>
    </xf>
    <xf numFmtId="49" fontId="30" fillId="49" borderId="17" xfId="2" applyNumberFormat="1" applyFont="1" applyFill="1" applyBorder="1" applyAlignment="1">
      <alignment vertical="top" wrapText="1"/>
    </xf>
    <xf numFmtId="49" fontId="42" fillId="49" borderId="17" xfId="47" applyNumberFormat="1" applyFill="1" applyBorder="1" applyAlignment="1">
      <alignment vertical="top" wrapText="1"/>
    </xf>
    <xf numFmtId="0" fontId="42" fillId="0" borderId="17" xfId="47" applyFill="1" applyBorder="1" applyAlignment="1">
      <alignment horizontal="left" vertical="top"/>
    </xf>
    <xf numFmtId="49" fontId="28" fillId="49" borderId="17" xfId="0" applyNumberFormat="1" applyFont="1" applyFill="1" applyBorder="1" applyAlignment="1">
      <alignment vertical="top" wrapText="1"/>
    </xf>
    <xf numFmtId="49" fontId="28" fillId="0" borderId="17" xfId="0" applyNumberFormat="1" applyFont="1" applyBorder="1" applyAlignment="1">
      <alignment horizontal="left" vertical="top" wrapText="1"/>
    </xf>
    <xf numFmtId="49" fontId="42" fillId="0" borderId="17" xfId="47" applyNumberFormat="1" applyFill="1" applyBorder="1" applyAlignment="1">
      <alignment horizontal="left" vertical="top" wrapText="1"/>
    </xf>
    <xf numFmtId="49" fontId="28" fillId="0" borderId="17" xfId="0" applyNumberFormat="1" applyFont="1" applyBorder="1" applyAlignment="1">
      <alignment vertical="center" wrapText="1"/>
    </xf>
    <xf numFmtId="49" fontId="27" fillId="0" borderId="17" xfId="0" applyNumberFormat="1" applyFont="1" applyBorder="1" applyAlignment="1">
      <alignment vertical="center" wrapText="1"/>
    </xf>
    <xf numFmtId="0" fontId="27" fillId="50" borderId="17" xfId="0" applyFont="1" applyFill="1" applyBorder="1" applyAlignment="1">
      <alignment horizontal="center" vertical="center"/>
    </xf>
    <xf numFmtId="0" fontId="28" fillId="50" borderId="17" xfId="0" applyFont="1" applyFill="1" applyBorder="1" applyAlignment="1">
      <alignment horizontal="center" vertical="center"/>
    </xf>
    <xf numFmtId="164" fontId="28" fillId="50" borderId="17" xfId="1" applyNumberFormat="1" applyFont="1" applyFill="1" applyBorder="1" applyAlignment="1">
      <alignment horizontal="center" vertical="center"/>
    </xf>
    <xf numFmtId="3" fontId="30" fillId="50" borderId="17" xfId="0" applyNumberFormat="1" applyFont="1" applyFill="1" applyBorder="1" applyAlignment="1">
      <alignment horizontal="right" vertical="center"/>
    </xf>
    <xf numFmtId="9" fontId="30" fillId="50" borderId="17" xfId="2" applyFont="1" applyFill="1" applyBorder="1" applyAlignment="1">
      <alignment horizontal="center" vertical="center"/>
    </xf>
    <xf numFmtId="3" fontId="30" fillId="50" borderId="17" xfId="1" applyNumberFormat="1" applyFont="1" applyFill="1" applyBorder="1" applyAlignment="1">
      <alignment vertical="center"/>
    </xf>
    <xf numFmtId="49" fontId="28" fillId="50" borderId="17" xfId="0" applyNumberFormat="1" applyFont="1" applyFill="1" applyBorder="1" applyAlignment="1">
      <alignment vertical="center" wrapText="1"/>
    </xf>
    <xf numFmtId="49" fontId="27" fillId="50" borderId="17" xfId="0" applyNumberFormat="1" applyFont="1" applyFill="1" applyBorder="1" applyAlignment="1">
      <alignment vertical="center" wrapText="1"/>
    </xf>
    <xf numFmtId="49" fontId="30" fillId="50" borderId="17" xfId="2" applyNumberFormat="1" applyFont="1" applyFill="1" applyBorder="1" applyAlignment="1">
      <alignment vertical="top" wrapText="1"/>
    </xf>
    <xf numFmtId="49" fontId="42" fillId="50" borderId="17" xfId="47" applyNumberFormat="1" applyFill="1" applyBorder="1" applyAlignment="1">
      <alignment vertical="top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7" fillId="45" borderId="11" xfId="0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7" fillId="45" borderId="1" xfId="0" applyFont="1" applyFill="1" applyBorder="1" applyAlignment="1">
      <alignment horizontal="left" vertical="top"/>
    </xf>
    <xf numFmtId="0" fontId="53" fillId="0" borderId="0" xfId="0" applyFont="1"/>
    <xf numFmtId="0" fontId="53" fillId="0" borderId="0" xfId="0" applyFont="1" applyAlignment="1">
      <alignment horizontal="left" vertical="center"/>
    </xf>
    <xf numFmtId="0" fontId="55" fillId="0" borderId="0" xfId="0" applyFont="1"/>
    <xf numFmtId="9" fontId="55" fillId="0" borderId="0" xfId="2" applyFont="1" applyAlignment="1">
      <alignment horizontal="center"/>
    </xf>
    <xf numFmtId="9" fontId="53" fillId="0" borderId="0" xfId="2" applyFont="1" applyAlignment="1">
      <alignment horizontal="center"/>
    </xf>
    <xf numFmtId="3" fontId="32" fillId="0" borderId="0" xfId="0" applyNumberFormat="1" applyFont="1"/>
    <xf numFmtId="3" fontId="37" fillId="51" borderId="0" xfId="0" applyNumberFormat="1" applyFont="1" applyFill="1" applyAlignment="1">
      <alignment horizontal="center" vertical="center"/>
    </xf>
    <xf numFmtId="3" fontId="30" fillId="52" borderId="0" xfId="0" applyNumberFormat="1" applyFont="1" applyFill="1" applyAlignment="1">
      <alignment horizontal="right" vertical="center"/>
    </xf>
    <xf numFmtId="0" fontId="30" fillId="52" borderId="0" xfId="0" applyFont="1" applyFill="1" applyAlignment="1">
      <alignment horizontal="right" vertical="center"/>
    </xf>
    <xf numFmtId="3" fontId="30" fillId="53" borderId="0" xfId="0" applyNumberFormat="1" applyFont="1" applyFill="1" applyAlignment="1">
      <alignment vertical="center"/>
    </xf>
    <xf numFmtId="0" fontId="30" fillId="54" borderId="0" xfId="0" applyFont="1" applyFill="1" applyAlignment="1">
      <alignment vertical="top" wrapText="1"/>
    </xf>
    <xf numFmtId="3" fontId="3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top" wrapText="1"/>
    </xf>
    <xf numFmtId="0" fontId="37" fillId="51" borderId="0" xfId="0" applyFont="1" applyFill="1" applyAlignment="1">
      <alignment horizontal="center" vertical="center"/>
    </xf>
    <xf numFmtId="0" fontId="30" fillId="53" borderId="0" xfId="0" applyFont="1" applyFill="1" applyAlignment="1">
      <alignment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42" fillId="54" borderId="0" xfId="47" applyFill="1" applyAlignment="1">
      <alignment vertical="top" wrapText="1"/>
    </xf>
    <xf numFmtId="0" fontId="42" fillId="0" borderId="0" xfId="47" applyAlignment="1">
      <alignment horizontal="left" vertical="top" wrapText="1"/>
    </xf>
    <xf numFmtId="49" fontId="57" fillId="38" borderId="0" xfId="2" applyNumberFormat="1" applyFont="1" applyFill="1" applyBorder="1" applyAlignment="1">
      <alignment vertical="top" wrapText="1"/>
    </xf>
    <xf numFmtId="49" fontId="57" fillId="38" borderId="0" xfId="2" applyNumberFormat="1" applyFont="1" applyFill="1" applyAlignment="1">
      <alignment vertical="top" wrapText="1"/>
    </xf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8" fillId="45" borderId="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vertical="top"/>
    </xf>
    <xf numFmtId="0" fontId="57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 wrapText="1"/>
    </xf>
    <xf numFmtId="49" fontId="42" fillId="38" borderId="0" xfId="47" applyNumberFormat="1" applyFill="1" applyAlignment="1">
      <alignment vertical="top" wrapText="1"/>
    </xf>
    <xf numFmtId="0" fontId="0" fillId="0" borderId="0" xfId="0" applyAlignment="1">
      <alignment vertical="top"/>
    </xf>
    <xf numFmtId="164" fontId="28" fillId="0" borderId="0" xfId="1" applyNumberFormat="1" applyFont="1" applyBorder="1" applyAlignment="1">
      <alignment horizontal="right"/>
    </xf>
    <xf numFmtId="164" fontId="28" fillId="0" borderId="0" xfId="1" applyNumberFormat="1" applyFont="1" applyBorder="1" applyAlignment="1">
      <alignment horizontal="right" vertical="center"/>
    </xf>
    <xf numFmtId="49" fontId="27" fillId="0" borderId="0" xfId="0" applyNumberFormat="1" applyFont="1" applyAlignment="1">
      <alignment vertical="top" wrapText="1"/>
    </xf>
    <xf numFmtId="0" fontId="42" fillId="0" borderId="0" xfId="47" applyAlignment="1">
      <alignment vertical="top"/>
    </xf>
    <xf numFmtId="3" fontId="30" fillId="4" borderId="0" xfId="1" applyNumberFormat="1" applyFont="1" applyFill="1" applyBorder="1" applyAlignment="1">
      <alignment horizontal="right" vertical="center"/>
    </xf>
    <xf numFmtId="0" fontId="54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5135F35E-81D7-42FB-912D-64B7957596A0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0" totalsRowShown="0">
  <autoFilter ref="A3:E90" xr:uid="{C9C95D9E-67ED-41E0-9F41-9C3DA4ACF4CD}"/>
  <sortState xmlns:xlrd2="http://schemas.microsoft.com/office/spreadsheetml/2017/richdata2" ref="A4:E68">
    <sortCondition ref="C3:C68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4" dT="2025-12-04T05:58:23.97" personId="{5135F35E-81D7-42FB-912D-64B7957596A0}" id="{EE5B06D0-94D1-470F-9DE9-BE6BDE5C4E13}">
    <text>Actual energy is taken from total inverters data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4" dT="2026-01-07T03:55:47.82" personId="{5135F35E-81D7-42FB-912D-64B7957596A0}" id="{1609F2C4-F5CB-40A3-9AF8-B04F56E06930}">
    <text>Actual energy is taken from total inverters data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7668" TargetMode="External"/><Relationship Id="rId13" Type="http://schemas.openxmlformats.org/officeDocument/2006/relationships/hyperlink" Target="https://us3.assetplanner.com/service_request?ID=098782" TargetMode="External"/><Relationship Id="rId18" Type="http://schemas.openxmlformats.org/officeDocument/2006/relationships/hyperlink" Target="https://us3.assetplanner.com/service_request?ID=113672" TargetMode="External"/><Relationship Id="rId26" Type="http://schemas.openxmlformats.org/officeDocument/2006/relationships/hyperlink" Target="https://us3.assetplanner.com/service_request?ID=112290" TargetMode="External"/><Relationship Id="rId3" Type="http://schemas.openxmlformats.org/officeDocument/2006/relationships/hyperlink" Target="https://us3.assetplanner.com/service_request?ID=104629" TargetMode="External"/><Relationship Id="rId21" Type="http://schemas.openxmlformats.org/officeDocument/2006/relationships/hyperlink" Target="https://us3.assetplanner.com/service_request?ID=112934" TargetMode="External"/><Relationship Id="rId7" Type="http://schemas.openxmlformats.org/officeDocument/2006/relationships/hyperlink" Target="https://us3.assetplanner.com/service_request?ID=101743" TargetMode="External"/><Relationship Id="rId12" Type="http://schemas.openxmlformats.org/officeDocument/2006/relationships/hyperlink" Target="https://us3.assetplanner.com/service_request?ID=113568" TargetMode="External"/><Relationship Id="rId17" Type="http://schemas.openxmlformats.org/officeDocument/2006/relationships/hyperlink" Target="https://us3.assetplanner.com/service_request?ID=100593" TargetMode="External"/><Relationship Id="rId25" Type="http://schemas.openxmlformats.org/officeDocument/2006/relationships/hyperlink" Target="https://us3.assetplanner.com/service_request?ID=112285" TargetMode="External"/><Relationship Id="rId2" Type="http://schemas.openxmlformats.org/officeDocument/2006/relationships/hyperlink" Target="https://us3.assetplanner.com/service_request?ID=101247" TargetMode="External"/><Relationship Id="rId16" Type="http://schemas.openxmlformats.org/officeDocument/2006/relationships/hyperlink" Target="https://us3.assetplanner.com/service_request?ID=108795" TargetMode="External"/><Relationship Id="rId20" Type="http://schemas.openxmlformats.org/officeDocument/2006/relationships/hyperlink" Target="https://us3.assetplanner.com/service_request?ID=112821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10707" TargetMode="External"/><Relationship Id="rId11" Type="http://schemas.openxmlformats.org/officeDocument/2006/relationships/hyperlink" Target="https://us3.assetplanner.com/service_request?ID=077700" TargetMode="External"/><Relationship Id="rId24" Type="http://schemas.openxmlformats.org/officeDocument/2006/relationships/hyperlink" Target="https://us3.assetplanner.com/service_request?ID=104705" TargetMode="External"/><Relationship Id="rId5" Type="http://schemas.openxmlformats.org/officeDocument/2006/relationships/hyperlink" Target="https://us3.assetplanner.com/service_request?ID=111494" TargetMode="External"/><Relationship Id="rId15" Type="http://schemas.openxmlformats.org/officeDocument/2006/relationships/hyperlink" Target="https://us3.assetplanner.com/service_request?ID=111319" TargetMode="External"/><Relationship Id="rId23" Type="http://schemas.openxmlformats.org/officeDocument/2006/relationships/hyperlink" Target="https://us3.assetplanner.com/service_request?ID=106526" TargetMode="External"/><Relationship Id="rId10" Type="http://schemas.openxmlformats.org/officeDocument/2006/relationships/hyperlink" Target="https://us3.assetplanner.com/service_request?ID=107670" TargetMode="External"/><Relationship Id="rId19" Type="http://schemas.openxmlformats.org/officeDocument/2006/relationships/hyperlink" Target="https://us3.assetplanner.com/service_request?ID=112821" TargetMode="External"/><Relationship Id="rId4" Type="http://schemas.openxmlformats.org/officeDocument/2006/relationships/hyperlink" Target="https://us3.assetplanner.com/service_request?ID=105604" TargetMode="External"/><Relationship Id="rId9" Type="http://schemas.openxmlformats.org/officeDocument/2006/relationships/hyperlink" Target="https://us3.assetplanner.com/service_request?ID=088667" TargetMode="External"/><Relationship Id="rId14" Type="http://schemas.openxmlformats.org/officeDocument/2006/relationships/hyperlink" Target="https://us3.assetplanner.com/service_request?ID=114480" TargetMode="External"/><Relationship Id="rId22" Type="http://schemas.openxmlformats.org/officeDocument/2006/relationships/hyperlink" Target="https://us3.assetplanner.com/service_request?ID=097581" TargetMode="External"/><Relationship Id="rId27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workbookViewId="0">
      <pane xSplit="1" ySplit="3" topLeftCell="B4" activePane="bottomRight" state="frozen"/>
      <selection pane="bottomRight" activeCell="F22" sqref="F22"/>
      <selection pane="bottomLeft"/>
      <selection pane="topRight"/>
    </sheetView>
  </sheetViews>
  <sheetFormatPr defaultRowHeight="13.1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35" t="str" cm="1">
        <f t="array" ref="A1">portfolio</f>
        <v>Wells Fargo</v>
      </c>
      <c r="B1" s="235"/>
      <c r="C1" s="236" t="s">
        <v>0</v>
      </c>
      <c r="D1" s="236"/>
      <c r="E1" s="236"/>
      <c r="F1" s="234" t="s">
        <v>1</v>
      </c>
      <c r="G1" s="234"/>
      <c r="H1" s="234"/>
    </row>
    <row r="2" spans="1:8" ht="19.5" customHeight="1">
      <c r="A2" s="41" t="s">
        <v>2</v>
      </c>
      <c r="B2" s="4">
        <f ca="1">SUM(B4:B95)</f>
        <v>1139669.8037719396</v>
      </c>
      <c r="C2" s="4">
        <f ca="1">SUM(C4:C94)</f>
        <v>1251030.8158999998</v>
      </c>
      <c r="D2" s="4">
        <f ca="1">B2-C2</f>
        <v>-111361.01212806022</v>
      </c>
      <c r="E2" s="5">
        <f ca="1">IFERROR(D2/C2, 0)</f>
        <v>-8.9015402908317942E-2</v>
      </c>
      <c r="F2" s="4">
        <f ca="1">SUM(F4:F94)</f>
        <v>1283420.2811</v>
      </c>
      <c r="G2" s="6">
        <f ca="1">B2-F2</f>
        <v>-143750.47732806043</v>
      </c>
      <c r="H2" s="5">
        <f ca="1">IFERROR(G2/F2, 0)</f>
        <v>-0.11200577039724982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68153.670543474916</v>
      </c>
      <c r="C4" s="11">
        <f ca="1">SUM('1st Qtr'!C4, '2nd Qtr'!C4, '3rd Qtr'!C4, '4th Qtr'!C4)</f>
        <v>61975.617000000006</v>
      </c>
      <c r="D4" s="11">
        <f ca="1">IF(AND(ISNUMBER($B4),ISNUMBER(C4)), $B4-C4, "")</f>
        <v>6178.0535434749108</v>
      </c>
      <c r="E4" s="12">
        <f ca="1">IFERROR(D4/C4, "")</f>
        <v>9.9685228522612537E-2</v>
      </c>
      <c r="F4" s="13">
        <f ca="1">SUM('1st Qtr'!F4, '2nd Qtr'!F4, '3rd Qtr'!F4, '4th Qtr'!F4)</f>
        <v>74698.394</v>
      </c>
      <c r="G4" s="13">
        <f ca="1">IF(AND(ISNUMBER($B4),ISNUMBER(F4)), $B4-F4, "")</f>
        <v>-6544.7234565250837</v>
      </c>
      <c r="H4" s="14">
        <f ca="1">IFERROR(G4/F4, "")</f>
        <v>-8.7615316823613149E-2</v>
      </c>
    </row>
    <row r="5" spans="1:8" ht="15.6">
      <c r="A5" s="27" t="str">
        <v>CO</v>
      </c>
      <c r="B5" s="10">
        <f ca="1">SUM('1st Qtr'!B5, '2nd Qtr'!B5, '3rd Qtr'!B5, '4th Qtr'!B5)</f>
        <v>12717.192305880853</v>
      </c>
      <c r="C5" s="15">
        <f ca="1">SUM('1st Qtr'!C5, '2nd Qtr'!C5, '3rd Qtr'!C5, '4th Qtr'!C5)</f>
        <v>14574.416000000001</v>
      </c>
      <c r="D5" s="15">
        <f ca="1">IF(AND(ISNUMBER($B5),ISNUMBER(C5)), $B5-C5, "")</f>
        <v>-1857.2236941191477</v>
      </c>
      <c r="E5" s="16">
        <f ca="1">IFERROR(D5/C5, "")</f>
        <v>-0.12743040229667849</v>
      </c>
      <c r="F5" s="17">
        <f ca="1">SUM('1st Qtr'!F5, '2nd Qtr'!F5, '3rd Qtr'!F5, '4th Qtr'!F5)</f>
        <v>13249.6</v>
      </c>
      <c r="G5" s="17">
        <f ca="1">IF(AND(ISNUMBER($B5),ISNUMBER(F5)), $B5-F5, "")</f>
        <v>-532.40769411914698</v>
      </c>
      <c r="H5" s="16">
        <f ca="1">IFERROR(G5/F5, "")</f>
        <v>-4.018292583316832E-2</v>
      </c>
    </row>
    <row r="6" spans="1:8" ht="15.6">
      <c r="A6" s="25" t="str">
        <v>CT</v>
      </c>
      <c r="B6" s="21">
        <f ca="1">SUM('1st Qtr'!B6, '2nd Qtr'!B6, '3rd Qtr'!B6, '4th Qtr'!B6)</f>
        <v>34.599999999998502</v>
      </c>
      <c r="C6" s="11">
        <f ca="1">SUM('1st Qtr'!C6, '2nd Qtr'!C6, '3rd Qtr'!C6, '4th Qtr'!C6)</f>
        <v>391.14249999999998</v>
      </c>
      <c r="D6" s="11">
        <f t="shared" ref="D6:D11" ca="1" si="0">IF(AND(ISNUMBER($B6),ISNUMBER(C6)), $B6-C6, "")</f>
        <v>-356.5425000000015</v>
      </c>
      <c r="E6" s="12">
        <f t="shared" ref="E6:E11" ca="1" si="1">IFERROR(D6/C6, "")</f>
        <v>-0.91154119023118563</v>
      </c>
      <c r="F6" s="13">
        <f ca="1">SUM('1st Qtr'!F6, '2nd Qtr'!F6, '3rd Qtr'!F6, '4th Qtr'!F6)</f>
        <v>647.92450000000008</v>
      </c>
      <c r="G6" s="13">
        <f t="shared" ref="G6:G11" ca="1" si="2">IF(AND(ISNUMBER($B6),ISNUMBER(F6)), $B6-F6, "")</f>
        <v>-613.32450000000154</v>
      </c>
      <c r="H6" s="14">
        <f t="shared" ref="H6:H11" ca="1" si="3">IFERROR(G6/F6, "")</f>
        <v>-0.94659871636278836</v>
      </c>
    </row>
    <row r="7" spans="1:8" ht="15.6">
      <c r="A7" s="27" t="str">
        <v>FL</v>
      </c>
      <c r="B7" s="10">
        <f ca="1">SUM('1st Qtr'!B7, '2nd Qtr'!B7, '3rd Qtr'!B7, '4th Qtr'!B7)</f>
        <v>662.60439568757999</v>
      </c>
      <c r="C7" s="15">
        <f ca="1">SUM('1st Qtr'!C7, '2nd Qtr'!C7, '3rd Qtr'!C7, '4th Qtr'!C7)</f>
        <v>4236.7879999999996</v>
      </c>
      <c r="D7" s="15">
        <f t="shared" ca="1" si="0"/>
        <v>-3574.1836043124194</v>
      </c>
      <c r="E7" s="16">
        <f t="shared" ca="1" si="1"/>
        <v>-0.84360690322773291</v>
      </c>
      <c r="F7" s="17">
        <f ca="1">SUM('1st Qtr'!F7, '2nd Qtr'!F7, '3rd Qtr'!F7, '4th Qtr'!F7)</f>
        <v>3416</v>
      </c>
      <c r="G7" s="17">
        <f t="shared" ca="1" si="2"/>
        <v>-2753.3956043124199</v>
      </c>
      <c r="H7" s="16">
        <f t="shared" ca="1" si="3"/>
        <v>-0.80602915817108312</v>
      </c>
    </row>
    <row r="8" spans="1:8" ht="15.6">
      <c r="A8" s="25" t="str">
        <v>IA</v>
      </c>
      <c r="B8" s="21">
        <f ca="1">SUM('1st Qtr'!B8, '2nd Qtr'!B8, '3rd Qtr'!B8, '4th Qtr'!B8)</f>
        <v>158231.50000000099</v>
      </c>
      <c r="C8" s="11">
        <f ca="1">SUM('1st Qtr'!C8, '2nd Qtr'!C8, '3rd Qtr'!C8, '4th Qtr'!C8)</f>
        <v>182371.45</v>
      </c>
      <c r="D8" s="11">
        <f t="shared" ca="1" si="0"/>
        <v>-24139.949999999022</v>
      </c>
      <c r="E8" s="12">
        <f t="shared" ca="1" si="1"/>
        <v>-0.1323669357237606</v>
      </c>
      <c r="F8" s="13">
        <f ca="1">SUM('1st Qtr'!F8, '2nd Qtr'!F8, '3rd Qtr'!F8, '4th Qtr'!F8)</f>
        <v>158543.48000000001</v>
      </c>
      <c r="G8" s="13">
        <f t="shared" ca="1" si="2"/>
        <v>-311.97999999902095</v>
      </c>
      <c r="H8" s="14">
        <f t="shared" ca="1" si="3"/>
        <v>-1.9677882685495544E-3</v>
      </c>
    </row>
    <row r="9" spans="1:8" ht="15.6">
      <c r="A9" s="27" t="str">
        <v>NC</v>
      </c>
      <c r="B9" s="10">
        <f ca="1">SUM('1st Qtr'!B9, '2nd Qtr'!B9, '3rd Qtr'!B9, '4th Qtr'!B9)</f>
        <v>91934.3</v>
      </c>
      <c r="C9" s="15">
        <f ca="1">SUM('1st Qtr'!C9, '2nd Qtr'!C9, '3rd Qtr'!C9, '4th Qtr'!C9)</f>
        <v>93258.401000000013</v>
      </c>
      <c r="D9" s="15">
        <f t="shared" ca="1" si="0"/>
        <v>-1324.1010000000097</v>
      </c>
      <c r="E9" s="16">
        <f t="shared" ca="1" si="1"/>
        <v>-1.4198195399039808E-2</v>
      </c>
      <c r="F9" s="17">
        <f ca="1">SUM('1st Qtr'!F9, '2nd Qtr'!F9, '3rd Qtr'!F9, '4th Qtr'!F9)</f>
        <v>108350.378</v>
      </c>
      <c r="G9" s="17">
        <f t="shared" ca="1" si="2"/>
        <v>-16416.077999999994</v>
      </c>
      <c r="H9" s="16">
        <f t="shared" ca="1" si="3"/>
        <v>-0.15150918993563636</v>
      </c>
    </row>
    <row r="10" spans="1:8" ht="15.6">
      <c r="A10" s="25" t="str">
        <v>NJ</v>
      </c>
      <c r="B10" s="21">
        <f ca="1">SUM('1st Qtr'!B10, '2nd Qtr'!B10, '3rd Qtr'!B10, '4th Qtr'!B10)</f>
        <v>25827.001562500012</v>
      </c>
      <c r="C10" s="11">
        <f ca="1">SUM('1st Qtr'!C10, '2nd Qtr'!C10, '3rd Qtr'!C10, '4th Qtr'!C10)</f>
        <v>38938.495399999993</v>
      </c>
      <c r="D10" s="11">
        <f t="shared" ca="1" si="0"/>
        <v>-13111.49383749998</v>
      </c>
      <c r="E10" s="12">
        <f t="shared" ca="1" si="1"/>
        <v>-0.33672317594223178</v>
      </c>
      <c r="F10" s="13">
        <f ca="1">SUM('1st Qtr'!F10, '2nd Qtr'!F10, '3rd Qtr'!F10, '4th Qtr'!F10)</f>
        <v>39314.464599999999</v>
      </c>
      <c r="G10" s="13">
        <f t="shared" ca="1" si="2"/>
        <v>-13487.463037499987</v>
      </c>
      <c r="H10" s="14">
        <f t="shared" ca="1" si="3"/>
        <v>-0.34306617614474616</v>
      </c>
    </row>
    <row r="11" spans="1:8" ht="15.6">
      <c r="A11" s="27" t="str">
        <v>TX</v>
      </c>
      <c r="B11" s="10">
        <f ca="1">SUM('1st Qtr'!B11, '2nd Qtr'!B11, '3rd Qtr'!B11, '4th Qtr'!B11)</f>
        <v>502655.15625</v>
      </c>
      <c r="C11" s="15">
        <f ca="1">SUM('1st Qtr'!C11, '2nd Qtr'!C11, '3rd Qtr'!C11, '4th Qtr'!C11)</f>
        <v>542020.70999999985</v>
      </c>
      <c r="D11" s="15">
        <f t="shared" ca="1" si="0"/>
        <v>-39365.553749999846</v>
      </c>
      <c r="E11" s="16">
        <f t="shared" ca="1" si="1"/>
        <v>-7.2627397853487666E-2</v>
      </c>
      <c r="F11" s="17">
        <f ca="1">SUM('1st Qtr'!F11, '2nd Qtr'!F11, '3rd Qtr'!F11, '4th Qtr'!F11)</f>
        <v>540479.5</v>
      </c>
      <c r="G11" s="17">
        <f t="shared" ca="1" si="2"/>
        <v>-37824.34375</v>
      </c>
      <c r="H11" s="16">
        <f t="shared" ca="1" si="3"/>
        <v>-6.9982938760859564E-2</v>
      </c>
    </row>
    <row r="12" spans="1:8" ht="12.75" customHeight="1">
      <c r="A12" s="25" t="str">
        <v>AZ</v>
      </c>
      <c r="B12" s="57">
        <f ca="1">SUM('1st Qtr'!B12, '2nd Qtr'!B12, '3rd Qtr'!B12, '4th Qtr'!B12)</f>
        <v>279453.77871439513</v>
      </c>
      <c r="C12" s="11">
        <f ca="1">SUM('1st Qtr'!C12, '2nd Qtr'!C12, '3rd Qtr'!C12, '4th Qtr'!C12)</f>
        <v>313263.79599999997</v>
      </c>
      <c r="D12" s="11">
        <f t="shared" ref="D12" ca="1" si="4">IF(AND(ISNUMBER($B12),ISNUMBER(C12)), $B12-C12, "")</f>
        <v>-33810.017285604845</v>
      </c>
      <c r="E12" s="58">
        <f t="shared" ref="E12" ca="1" si="5">IFERROR(D12/C12, "")</f>
        <v>-0.10792826275272757</v>
      </c>
      <c r="F12" s="73">
        <f ca="1">SUM('1st Qtr'!F12, '2nd Qtr'!F12, '3rd Qtr'!F12, '4th Qtr'!F12)</f>
        <v>344720.54000000004</v>
      </c>
      <c r="G12" s="73">
        <f t="shared" ref="G12" ca="1" si="6">IF(AND(ISNUMBER($B12),ISNUMBER(F12)), $B12-F12, "")</f>
        <v>-65266.761285604909</v>
      </c>
      <c r="H12" s="74">
        <f t="shared" ref="H12" ca="1" si="7">IFERROR(G12/F12, "")</f>
        <v>-0.18933238293721893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4.45">
      <c r="A16" s="18"/>
      <c r="B16" s="18"/>
      <c r="C16" s="135"/>
      <c r="D16" s="18"/>
      <c r="E16" s="18"/>
      <c r="F16" s="18"/>
      <c r="G16" s="18"/>
      <c r="H16" s="18"/>
    </row>
    <row r="17" spans="1:8" ht="14.45">
      <c r="A17" s="18"/>
      <c r="B17" s="18"/>
      <c r="C17" s="135"/>
      <c r="D17" s="18"/>
      <c r="E17" s="18"/>
      <c r="F17" s="18"/>
      <c r="G17" s="18"/>
      <c r="H17" s="18"/>
    </row>
    <row r="18" spans="1:8" ht="14.45">
      <c r="A18" s="18"/>
      <c r="B18" s="18"/>
      <c r="C18" s="135"/>
      <c r="D18" s="18"/>
      <c r="E18" s="18"/>
      <c r="F18" s="18"/>
      <c r="G18" s="18"/>
      <c r="H18" s="18"/>
    </row>
    <row r="19" spans="1:8" ht="14.45">
      <c r="A19" s="18"/>
      <c r="B19" s="18"/>
      <c r="C19" s="135"/>
      <c r="D19" s="18"/>
      <c r="E19" s="18"/>
      <c r="F19" s="18"/>
      <c r="G19" s="18"/>
      <c r="H19" s="18"/>
    </row>
    <row r="20" spans="1:8" ht="14.45">
      <c r="A20" s="18"/>
      <c r="B20" s="18"/>
      <c r="C20" s="144"/>
      <c r="D20" s="145"/>
      <c r="E20" s="145"/>
      <c r="F20" s="145"/>
      <c r="G20" s="18"/>
      <c r="H20" s="18"/>
    </row>
    <row r="21" spans="1:8" ht="14.45">
      <c r="A21" s="18"/>
      <c r="B21" s="18"/>
      <c r="C21" s="135"/>
      <c r="D21" s="18"/>
      <c r="E21" s="19"/>
      <c r="F21" s="18"/>
      <c r="G21" s="18"/>
      <c r="H21" s="19"/>
    </row>
    <row r="22" spans="1:8" ht="13.9">
      <c r="A22" s="18"/>
      <c r="B22" s="18"/>
      <c r="D22" s="18"/>
      <c r="E22" s="19"/>
      <c r="F22" s="18"/>
      <c r="G22" s="18"/>
      <c r="H22" s="19"/>
    </row>
    <row r="23" spans="1:8" ht="14.45">
      <c r="A23" s="18"/>
      <c r="B23" s="18"/>
      <c r="C23" s="135"/>
      <c r="D23" s="18"/>
      <c r="E23" s="19"/>
      <c r="F23" s="18"/>
      <c r="G23" s="18"/>
      <c r="H23" s="19"/>
    </row>
    <row r="24" spans="1:8" ht="14.45">
      <c r="A24" s="18"/>
      <c r="B24" s="18"/>
      <c r="C24" s="135"/>
      <c r="D24" s="18"/>
      <c r="E24" s="19"/>
      <c r="F24" s="18"/>
      <c r="G24" s="18"/>
      <c r="H24" s="19"/>
    </row>
    <row r="25" spans="1:8" ht="14.45">
      <c r="A25" s="18"/>
      <c r="B25" s="18"/>
      <c r="C25" s="135"/>
      <c r="D25" s="18"/>
      <c r="E25" s="19"/>
      <c r="F25" s="18"/>
      <c r="G25" s="18"/>
      <c r="H25" s="19"/>
    </row>
    <row r="26" spans="1:8" ht="14.45">
      <c r="A26" s="18"/>
      <c r="B26" s="18"/>
      <c r="C26" s="144"/>
      <c r="D26" s="18"/>
      <c r="E26" s="19"/>
      <c r="F26" s="18"/>
      <c r="G26" s="18"/>
      <c r="H26" s="19"/>
    </row>
    <row r="27" spans="1:8" ht="14.45">
      <c r="A27" s="18"/>
      <c r="B27" s="18"/>
      <c r="C27" s="135"/>
      <c r="D27" s="197"/>
      <c r="E27" s="198"/>
      <c r="F27" s="195"/>
      <c r="G27" s="18"/>
      <c r="H27" s="19"/>
    </row>
    <row r="28" spans="1:8" ht="14.45">
      <c r="A28" s="18"/>
      <c r="B28" s="18"/>
      <c r="C28" s="195"/>
      <c r="D28" s="195"/>
      <c r="E28" s="199"/>
      <c r="F28" s="195"/>
      <c r="G28" s="18"/>
      <c r="H28" s="19"/>
    </row>
    <row r="29" spans="1:8" ht="14.45">
      <c r="A29" s="18"/>
      <c r="B29" s="18"/>
      <c r="C29" s="135"/>
      <c r="D29" s="195"/>
      <c r="E29" s="199"/>
      <c r="F29" s="195"/>
      <c r="G29" s="18"/>
      <c r="H29" s="19"/>
    </row>
    <row r="30" spans="1:8" ht="14.45">
      <c r="A30" s="18"/>
      <c r="B30" s="18"/>
      <c r="C30" s="135"/>
      <c r="D30" s="195"/>
      <c r="E30" s="199"/>
      <c r="F30" s="195"/>
      <c r="G30" s="18"/>
      <c r="H30" s="19"/>
    </row>
    <row r="31" spans="1:8" ht="14.45">
      <c r="A31" s="18"/>
      <c r="B31" s="18"/>
      <c r="C31" s="135"/>
      <c r="D31" s="195"/>
      <c r="E31" s="199"/>
      <c r="F31" s="195"/>
      <c r="G31" s="18"/>
      <c r="H31" s="19"/>
    </row>
    <row r="32" spans="1:8" ht="14.45">
      <c r="A32" s="18"/>
      <c r="B32" s="18"/>
      <c r="C32" s="135"/>
      <c r="D32" s="195"/>
      <c r="E32" s="199"/>
      <c r="F32" s="196"/>
      <c r="G32" s="18"/>
      <c r="H32" s="19"/>
    </row>
    <row r="33" spans="1:10" ht="14.45">
      <c r="A33" s="18"/>
      <c r="B33" s="18"/>
      <c r="C33" s="135"/>
      <c r="D33" s="18"/>
      <c r="E33" s="19"/>
      <c r="F33" s="18"/>
      <c r="G33" s="18"/>
      <c r="H33" s="19"/>
    </row>
    <row r="34" spans="1:10" ht="14.45">
      <c r="A34" s="18"/>
      <c r="B34" s="18"/>
      <c r="C34" s="144"/>
      <c r="D34" s="145"/>
      <c r="E34" s="19"/>
      <c r="F34" s="18"/>
      <c r="G34" s="18"/>
      <c r="H34" s="19"/>
    </row>
    <row r="35" spans="1:10" ht="14.45">
      <c r="A35" s="18"/>
      <c r="B35" s="18"/>
      <c r="C35" s="135"/>
      <c r="D35" s="18"/>
      <c r="E35" s="19"/>
      <c r="F35" s="18"/>
      <c r="G35" s="18"/>
      <c r="H35" s="19"/>
    </row>
    <row r="36" spans="1:10" ht="14.45">
      <c r="A36" s="18"/>
      <c r="B36" s="18"/>
      <c r="C36" s="135"/>
      <c r="D36" s="18"/>
      <c r="E36" s="19"/>
      <c r="F36" s="18"/>
      <c r="G36" s="18"/>
      <c r="H36" s="19"/>
    </row>
    <row r="37" spans="1:10" ht="14.45">
      <c r="A37" s="18"/>
      <c r="B37" s="18"/>
      <c r="C37" s="135"/>
      <c r="D37" s="18"/>
      <c r="E37" s="19"/>
      <c r="F37" s="18"/>
      <c r="G37" s="18"/>
      <c r="H37" s="19"/>
    </row>
    <row r="38" spans="1:10" ht="14.45">
      <c r="A38" s="18"/>
      <c r="B38" s="18"/>
      <c r="C38" s="144"/>
      <c r="D38" s="145"/>
      <c r="E38" s="19"/>
      <c r="F38" s="18"/>
      <c r="G38" s="18"/>
      <c r="H38" s="19"/>
    </row>
    <row r="39" spans="1:10" ht="14.45">
      <c r="A39" s="18"/>
      <c r="B39" s="18"/>
      <c r="C39" s="135"/>
      <c r="D39" s="18"/>
      <c r="E39" s="19"/>
      <c r="F39" s="18"/>
      <c r="G39" s="18"/>
      <c r="H39" s="19"/>
    </row>
    <row r="40" spans="1:10" ht="13.9">
      <c r="A40" s="18"/>
      <c r="B40" s="18"/>
      <c r="C40" s="18"/>
      <c r="D40" s="18"/>
      <c r="E40" s="19"/>
      <c r="F40" s="18"/>
      <c r="G40" s="18"/>
      <c r="H40" s="19"/>
    </row>
    <row r="41" spans="1:10" ht="13.9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38"/>
      <c r="B42" s="18"/>
      <c r="E42" s="138"/>
      <c r="F42" s="138"/>
      <c r="G42" s="233"/>
      <c r="H42" s="233"/>
      <c r="I42" s="138"/>
      <c r="J42" s="138"/>
    </row>
    <row r="43" spans="1:10" ht="14.45">
      <c r="A43" s="138"/>
      <c r="E43" s="138"/>
      <c r="F43" s="138"/>
      <c r="G43" s="138"/>
      <c r="H43" s="138"/>
      <c r="I43" s="138"/>
      <c r="J43" s="138"/>
    </row>
    <row r="44" spans="1:10" ht="14.45">
      <c r="A44" s="138"/>
      <c r="E44" s="138"/>
      <c r="F44" s="138"/>
      <c r="G44" s="138"/>
      <c r="H44" s="138"/>
      <c r="I44" s="138"/>
      <c r="J44" s="138"/>
    </row>
    <row r="45" spans="1:10" ht="14.45">
      <c r="A45" s="138"/>
      <c r="E45" s="138"/>
      <c r="F45" s="138"/>
      <c r="G45" s="138"/>
      <c r="H45" s="138"/>
      <c r="I45" s="138"/>
      <c r="J45" s="138"/>
    </row>
    <row r="46" spans="1:10" ht="14.45">
      <c r="A46" s="138"/>
      <c r="E46" s="138"/>
      <c r="F46" s="138"/>
      <c r="G46" s="138"/>
      <c r="H46" s="138"/>
      <c r="I46" s="138"/>
      <c r="J46" s="138"/>
    </row>
    <row r="47" spans="1:10" ht="14.45">
      <c r="A47" s="138"/>
      <c r="E47" s="138"/>
      <c r="F47" s="138"/>
      <c r="G47" s="138"/>
      <c r="H47" s="138"/>
      <c r="I47" s="138"/>
      <c r="J47" s="138"/>
    </row>
    <row r="48" spans="1:10" ht="13.9" customHeight="1">
      <c r="A48" s="138"/>
      <c r="E48" s="138"/>
      <c r="F48" s="138"/>
      <c r="G48" s="138"/>
      <c r="H48" s="138"/>
      <c r="I48" s="138"/>
      <c r="J48" s="138"/>
    </row>
    <row r="49" spans="1:10" ht="14.45">
      <c r="A49" s="138"/>
      <c r="E49" s="138"/>
      <c r="F49" s="138"/>
      <c r="G49" s="138"/>
      <c r="H49" s="138"/>
      <c r="I49" s="138"/>
      <c r="J49" s="138"/>
    </row>
    <row r="50" spans="1:10" ht="14.45">
      <c r="A50" s="138"/>
      <c r="E50" s="138"/>
      <c r="F50" s="138"/>
      <c r="G50" s="138"/>
      <c r="H50" s="138"/>
      <c r="I50" s="138"/>
      <c r="J50" s="138"/>
    </row>
    <row r="51" spans="1:10" ht="14.45">
      <c r="A51" s="138"/>
      <c r="E51" s="138"/>
      <c r="F51" s="138"/>
      <c r="G51" s="138"/>
      <c r="H51" s="138"/>
      <c r="I51" s="138"/>
      <c r="J51" s="138"/>
    </row>
    <row r="52" spans="1:10" ht="14.45">
      <c r="A52" s="138"/>
      <c r="C52" s="138"/>
      <c r="D52" s="138"/>
      <c r="E52" s="138"/>
      <c r="F52" s="138"/>
      <c r="G52" s="138"/>
      <c r="H52" s="138"/>
      <c r="I52" s="138"/>
      <c r="J52" s="138"/>
    </row>
    <row r="53" spans="1:10" ht="14.45">
      <c r="A53" s="138"/>
      <c r="B53" s="138"/>
      <c r="C53" s="138"/>
      <c r="D53" s="138"/>
      <c r="E53" s="138"/>
      <c r="F53" s="138"/>
      <c r="G53" s="138"/>
      <c r="H53" s="138"/>
      <c r="I53" s="138"/>
      <c r="J53" s="138"/>
    </row>
    <row r="54" spans="1:10" ht="14.45">
      <c r="A54" s="138"/>
      <c r="B54" s="138"/>
      <c r="C54" s="138"/>
      <c r="D54" s="138"/>
      <c r="E54" s="138"/>
      <c r="F54" s="138"/>
      <c r="G54" s="138"/>
      <c r="H54" s="138"/>
      <c r="I54" s="138"/>
    </row>
    <row r="55" spans="1:10" ht="14.45">
      <c r="A55" s="139"/>
      <c r="B55" s="138"/>
      <c r="C55" s="138"/>
      <c r="D55" s="138"/>
      <c r="E55" s="138"/>
      <c r="F55" s="138"/>
      <c r="G55" s="138"/>
      <c r="H55" s="138"/>
      <c r="I55" s="138"/>
    </row>
    <row r="56" spans="1:10" ht="14.45">
      <c r="A56" s="138"/>
      <c r="B56" s="139"/>
      <c r="C56" s="138"/>
      <c r="D56" s="138"/>
      <c r="E56" s="138"/>
      <c r="F56" s="138"/>
      <c r="G56" s="138"/>
      <c r="H56" s="138"/>
      <c r="I56" s="138"/>
    </row>
    <row r="57" spans="1:10" ht="14.45">
      <c r="A57" s="18"/>
      <c r="B57" s="138"/>
      <c r="C57" s="138"/>
      <c r="D57" s="138"/>
      <c r="E57" s="138"/>
      <c r="F57" s="138"/>
      <c r="G57" s="138"/>
      <c r="H57" s="138"/>
      <c r="I57" s="138"/>
    </row>
    <row r="58" spans="1:10" ht="14.45">
      <c r="A58" s="18"/>
      <c r="B58" s="138"/>
      <c r="C58" s="138"/>
      <c r="D58" s="138"/>
      <c r="E58" s="138"/>
      <c r="F58" s="138"/>
      <c r="G58" s="138"/>
      <c r="H58" s="138"/>
      <c r="I58" s="138"/>
    </row>
    <row r="59" spans="1:10" ht="14.45">
      <c r="A59" s="18"/>
      <c r="B59" s="138"/>
      <c r="C59" s="138"/>
      <c r="D59" s="138"/>
      <c r="E59" s="138"/>
      <c r="F59" s="138"/>
      <c r="G59" s="138"/>
      <c r="H59" s="138"/>
      <c r="I59" s="138"/>
    </row>
    <row r="60" spans="1:10" ht="14.45">
      <c r="A60" s="18"/>
      <c r="B60" s="138"/>
      <c r="C60" s="18"/>
      <c r="D60" s="18"/>
      <c r="E60" s="19"/>
      <c r="F60" s="18"/>
      <c r="G60" s="18"/>
      <c r="H60" s="19"/>
    </row>
    <row r="61" spans="1:10" ht="13.9">
      <c r="A61" s="18"/>
      <c r="B61" s="18"/>
      <c r="C61" s="18"/>
      <c r="D61" s="18"/>
      <c r="E61" s="19"/>
      <c r="F61" s="18"/>
      <c r="G61" s="18"/>
      <c r="H61" s="19"/>
    </row>
    <row r="62" spans="1:10" ht="13.9">
      <c r="A62" s="18"/>
      <c r="B62" s="18"/>
      <c r="C62" s="18"/>
      <c r="D62" s="18"/>
      <c r="E62" s="19"/>
      <c r="F62" s="18"/>
      <c r="G62" s="18"/>
      <c r="H62" s="19"/>
    </row>
    <row r="63" spans="1:10" ht="13.9">
      <c r="A63" s="18"/>
      <c r="B63" s="18"/>
      <c r="C63" s="18"/>
      <c r="D63" s="18"/>
      <c r="E63" s="19"/>
      <c r="F63" s="18"/>
      <c r="G63" s="18"/>
      <c r="H63" s="19"/>
    </row>
    <row r="64" spans="1:10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  <row r="337" spans="2:2" ht="13.9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4:E41 H4:H41 E60:E94 H60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G20" sqref="G20"/>
      <selection pane="bottomLeft" activeCell="A4" sqref="A4"/>
      <selection pane="topRight" activeCell="B1" sqref="B1"/>
    </sheetView>
  </sheetViews>
  <sheetFormatPr defaultRowHeight="13.1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37" t="str" cm="1">
        <f t="array" ref="A1">portfolio</f>
        <v>Wells Fargo</v>
      </c>
      <c r="B1" s="238"/>
      <c r="C1" s="239" t="s">
        <v>9</v>
      </c>
      <c r="D1" s="240"/>
      <c r="E1" s="241"/>
      <c r="F1" s="242" t="s">
        <v>10</v>
      </c>
      <c r="G1" s="243"/>
      <c r="H1" s="244"/>
    </row>
    <row r="2" spans="1:8" ht="19.5" customHeight="1">
      <c r="A2" s="41" t="s">
        <v>2</v>
      </c>
      <c r="B2" s="4">
        <f ca="1">SUM(B4:B90)</f>
        <v>1139669.8037719396</v>
      </c>
      <c r="C2" s="4">
        <f ca="1">SUM(C4:C90)</f>
        <v>1251030.8158999998</v>
      </c>
      <c r="D2" s="4">
        <f ca="1">B2-C2</f>
        <v>-111361.01212806022</v>
      </c>
      <c r="E2" s="5">
        <f ca="1">IFERROR(D2/C2, 0)</f>
        <v>-8.9015402908317942E-2</v>
      </c>
      <c r="F2" s="4">
        <f ca="1">SUM(F4:F90)</f>
        <v>1283420.2811</v>
      </c>
      <c r="G2" s="6">
        <f ca="1">B2-F2</f>
        <v>-143750.47732806043</v>
      </c>
      <c r="H2" s="5">
        <f ca="1">IFERROR(G2/F2, 0)</f>
        <v>-0.11200577039724982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68153.670543474916</v>
      </c>
      <c r="C4" s="11">
        <f ca="1">SUM(SUMIF(_xlfn.ANCHORARRAY(Jan!$B$4), $A4, Jan!D$4:D$65), SUMIF(_xlfn.ANCHORARRAY(Feb!$B$4), $A4, Feb!D$4:D$76), SUMIF(_xlfn.ANCHORARRAY(Mar!$B$4), $A4, Mar!D$4:D$65))</f>
        <v>61975.617000000006</v>
      </c>
      <c r="D4" s="11">
        <f ca="1">IF(AND(ISNUMBER(B4),ISNUMBER(C4)), B4-C4, "")</f>
        <v>6178.0535434749108</v>
      </c>
      <c r="E4" s="12">
        <f ca="1">IFERROR(D4/C4, "")</f>
        <v>9.9685228522612537E-2</v>
      </c>
      <c r="F4" s="13">
        <f ca="1">SUM(SUMIF(_xlfn.ANCHORARRAY(Jan!$B$4), $A4, Jan!G$4:G$65), SUMIF(_xlfn.ANCHORARRAY(Feb!$B$4), $A4, Feb!G$4:G$76), SUMIF(_xlfn.ANCHORARRAY(Mar!$B$4), $A4, Mar!G$4:G$65))</f>
        <v>74698.394</v>
      </c>
      <c r="G4" s="13">
        <f ca="1">IF(AND(ISNUMBER(B4),ISNUMBER(F4)), B4-F4, "")</f>
        <v>-6544.7234565250837</v>
      </c>
      <c r="H4" s="14">
        <f ca="1">IFERROR(G4/F4, "")</f>
        <v>-8.7615316823613149E-2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12717.192305880853</v>
      </c>
      <c r="C5" s="15">
        <f ca="1">SUM(SUMIF(_xlfn.ANCHORARRAY(Jan!$B$4), $A5, Jan!D$4:D$65), SUMIF(_xlfn.ANCHORARRAY(Feb!$B$4), $A5, Feb!D$4:D$76), SUMIF(_xlfn.ANCHORARRAY(Mar!$B$4), $A5, Mar!D$4:D$65))</f>
        <v>14574.416000000001</v>
      </c>
      <c r="D5" s="15">
        <f t="shared" ref="D5:D6" ca="1" si="0">IF(AND(ISNUMBER(B5),ISNUMBER(C5)), B5-C5, "")</f>
        <v>-1857.2236941191477</v>
      </c>
      <c r="E5" s="16">
        <f ca="1">IFERROR(D5/C5, "")</f>
        <v>-0.12743040229667849</v>
      </c>
      <c r="F5" s="15">
        <f ca="1">SUM(SUMIF(_xlfn.ANCHORARRAY(Jan!$B$4), $A5, Jan!G$4:G$65), SUMIF(_xlfn.ANCHORARRAY(Feb!$B$4), $A5, Feb!G$4:G$76), SUMIF(_xlfn.ANCHORARRAY(Mar!$B$4), $A5, Mar!G$4:G$65))</f>
        <v>13249.6</v>
      </c>
      <c r="G5" s="15">
        <f ca="1">IF(AND(ISNUMBER(B5),ISNUMBER(F5)), B5-F5, "")</f>
        <v>-532.40769411914698</v>
      </c>
      <c r="H5" s="16">
        <f ca="1">IFERROR(G5/F5, "")</f>
        <v>-4.018292583316832E-2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34.599999999998502</v>
      </c>
      <c r="C6" s="11">
        <f ca="1">SUM(SUMIF(_xlfn.ANCHORARRAY(Jan!$B$4), $A6, Jan!D$4:D$65), SUMIF(_xlfn.ANCHORARRAY(Feb!$B$4), $A6, Feb!D$4:D$76), SUMIF(_xlfn.ANCHORARRAY(Mar!$B$4), $A6, Mar!D$4:D$65))</f>
        <v>391.14249999999998</v>
      </c>
      <c r="D6" s="11">
        <f t="shared" ca="1" si="0"/>
        <v>-356.5425000000015</v>
      </c>
      <c r="E6" s="12">
        <f t="shared" ref="E6:E12" ca="1" si="1">IFERROR(D6/C6, "")</f>
        <v>-0.91154119023118563</v>
      </c>
      <c r="F6" s="13">
        <f ca="1">SUM(SUMIF(_xlfn.ANCHORARRAY(Jan!$B$4), $A6, Jan!G$4:G$65), SUMIF(_xlfn.ANCHORARRAY(Feb!$B$4), $A6, Feb!G$4:G$76), SUMIF(_xlfn.ANCHORARRAY(Mar!$B$4), $A6, Mar!G$4:G$65))</f>
        <v>647.92450000000008</v>
      </c>
      <c r="G6" s="13">
        <f t="shared" ref="G6:G12" ca="1" si="2">IF(AND(ISNUMBER(B6),ISNUMBER(F6)), B6-F6, "")</f>
        <v>-613.32450000000154</v>
      </c>
      <c r="H6" s="14">
        <f t="shared" ref="H6:H12" ca="1" si="3">IFERROR(G6/F6, "")</f>
        <v>-0.94659871636278836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662.60439568757999</v>
      </c>
      <c r="C7" s="15">
        <f ca="1">SUM(SUMIF(_xlfn.ANCHORARRAY(Jan!$B$4), $A7, Jan!D$4:D$65), SUMIF(_xlfn.ANCHORARRAY(Feb!$B$4), $A7, Feb!D$4:D$76), SUMIF(_xlfn.ANCHORARRAY(Mar!$B$4), $A7, Mar!D$4:D$65))</f>
        <v>4236.7879999999996</v>
      </c>
      <c r="D7" s="15">
        <f t="shared" ref="D7:D12" ca="1" si="4">IF(AND(ISNUMBER(B7),ISNUMBER(C7)), B7-C7, "")</f>
        <v>-3574.1836043124194</v>
      </c>
      <c r="E7" s="16">
        <f t="shared" ca="1" si="1"/>
        <v>-0.84360690322773291</v>
      </c>
      <c r="F7" s="15">
        <f ca="1">SUM(SUMIF(_xlfn.ANCHORARRAY(Jan!$B$4), $A7, Jan!G$4:G$65), SUMIF(_xlfn.ANCHORARRAY(Feb!$B$4), $A7, Feb!G$4:G$76), SUMIF(_xlfn.ANCHORARRAY(Mar!$B$4), $A7, Mar!G$4:G$65))</f>
        <v>3416</v>
      </c>
      <c r="G7" s="15">
        <f t="shared" ca="1" si="2"/>
        <v>-2753.3956043124199</v>
      </c>
      <c r="H7" s="16">
        <f t="shared" ca="1" si="3"/>
        <v>-0.80602915817108312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158231.50000000099</v>
      </c>
      <c r="C8" s="11">
        <f ca="1">SUM(SUMIF(_xlfn.ANCHORARRAY(Jan!$B$4), $A8, Jan!D$4:D$65), SUMIF(_xlfn.ANCHORARRAY(Feb!$B$4), $A8, Feb!D$4:D$76), SUMIF(_xlfn.ANCHORARRAY(Mar!$B$4), $A8, Mar!D$4:D$65))</f>
        <v>182371.45</v>
      </c>
      <c r="D8" s="11">
        <f t="shared" ca="1" si="4"/>
        <v>-24139.949999999022</v>
      </c>
      <c r="E8" s="12">
        <f t="shared" ca="1" si="1"/>
        <v>-0.1323669357237606</v>
      </c>
      <c r="F8" s="13">
        <f ca="1">SUM(SUMIF(_xlfn.ANCHORARRAY(Jan!$B$4), $A8, Jan!G$4:G$65), SUMIF(_xlfn.ANCHORARRAY(Feb!$B$4), $A8, Feb!G$4:G$76), SUMIF(_xlfn.ANCHORARRAY(Mar!$B$4), $A8, Mar!G$4:G$65))</f>
        <v>158543.48000000001</v>
      </c>
      <c r="G8" s="13">
        <f t="shared" ca="1" si="2"/>
        <v>-311.97999999902095</v>
      </c>
      <c r="H8" s="14">
        <f t="shared" ca="1" si="3"/>
        <v>-1.9677882685495544E-3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91934.3</v>
      </c>
      <c r="C9" s="15">
        <f ca="1">SUM(SUMIF(_xlfn.ANCHORARRAY(Jan!$B$4), $A9, Jan!D$4:D$65), SUMIF(_xlfn.ANCHORARRAY(Feb!$B$4), $A9, Feb!D$4:D$76), SUMIF(_xlfn.ANCHORARRAY(Mar!$B$4), $A9, Mar!D$4:D$65))</f>
        <v>93258.401000000013</v>
      </c>
      <c r="D9" s="15">
        <f t="shared" ca="1" si="4"/>
        <v>-1324.1010000000097</v>
      </c>
      <c r="E9" s="16">
        <f t="shared" ca="1" si="1"/>
        <v>-1.4198195399039808E-2</v>
      </c>
      <c r="F9" s="15">
        <f ca="1">SUM(SUMIF(_xlfn.ANCHORARRAY(Jan!$B$4), $A9, Jan!G$4:G$65), SUMIF(_xlfn.ANCHORARRAY(Feb!$B$4), $A9, Feb!G$4:G$76), SUMIF(_xlfn.ANCHORARRAY(Mar!$B$4), $A9, Mar!G$4:G$65))</f>
        <v>108350.378</v>
      </c>
      <c r="G9" s="15">
        <f t="shared" ca="1" si="2"/>
        <v>-16416.077999999994</v>
      </c>
      <c r="H9" s="16">
        <f t="shared" ca="1" si="3"/>
        <v>-0.15150918993563636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25827.001562500012</v>
      </c>
      <c r="C10" s="11">
        <f ca="1">SUM(SUMIF(_xlfn.ANCHORARRAY(Jan!$B$4), $A10, Jan!D$4:D$65), SUMIF(_xlfn.ANCHORARRAY(Feb!$B$4), $A10, Feb!D$4:D$76), SUMIF(_xlfn.ANCHORARRAY(Mar!$B$4), $A10, Mar!D$4:D$65))</f>
        <v>38938.495399999993</v>
      </c>
      <c r="D10" s="11">
        <f t="shared" ca="1" si="4"/>
        <v>-13111.49383749998</v>
      </c>
      <c r="E10" s="12">
        <f t="shared" ca="1" si="1"/>
        <v>-0.33672317594223178</v>
      </c>
      <c r="F10" s="13">
        <f ca="1">SUM(SUMIF(_xlfn.ANCHORARRAY(Jan!$B$4), $A10, Jan!G$4:G$65), SUMIF(_xlfn.ANCHORARRAY(Feb!$B$4), $A10, Feb!G$4:G$76), SUMIF(_xlfn.ANCHORARRAY(Mar!$B$4), $A10, Mar!G$4:G$65))</f>
        <v>39314.464599999999</v>
      </c>
      <c r="G10" s="13">
        <f t="shared" ca="1" si="2"/>
        <v>-13487.463037499987</v>
      </c>
      <c r="H10" s="14">
        <f t="shared" ca="1" si="3"/>
        <v>-0.34306617614474616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502655.15625</v>
      </c>
      <c r="C11" s="15">
        <f ca="1">SUM(SUMIF(_xlfn.ANCHORARRAY(Jan!$B$4), $A11, Jan!D$4:D$65), SUMIF(_xlfn.ANCHORARRAY(Feb!$B$4), $A11, Feb!D$4:D$76), SUMIF(_xlfn.ANCHORARRAY(Mar!$B$4), $A11, Mar!D$4:D$65))</f>
        <v>542020.70999999985</v>
      </c>
      <c r="D11" s="15">
        <f t="shared" ca="1" si="4"/>
        <v>-39365.553749999846</v>
      </c>
      <c r="E11" s="16">
        <f t="shared" ca="1" si="1"/>
        <v>-7.2627397853487666E-2</v>
      </c>
      <c r="F11" s="15">
        <f ca="1">SUM(SUMIF(_xlfn.ANCHORARRAY(Jan!$B$4), $A11, Jan!G$4:G$65), SUMIF(_xlfn.ANCHORARRAY(Feb!$B$4), $A11, Feb!G$4:G$76), SUMIF(_xlfn.ANCHORARRAY(Mar!$B$4), $A11, Mar!G$4:G$65))</f>
        <v>540479.5</v>
      </c>
      <c r="G11" s="15">
        <f t="shared" ca="1" si="2"/>
        <v>-37824.34375</v>
      </c>
      <c r="H11" s="16">
        <f t="shared" ca="1" si="3"/>
        <v>-6.9982938760859564E-2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279453.77871439513</v>
      </c>
      <c r="C12" s="11">
        <f ca="1">SUM(SUMIF(_xlfn.ANCHORARRAY(Jan!$B$4), $A12, Jan!D$4:D$65), SUMIF(_xlfn.ANCHORARRAY(Feb!$B$4), $A12, Feb!D$4:D$76), SUMIF(_xlfn.ANCHORARRAY(Mar!$B$4), $A12, Mar!D$4:D$65))</f>
        <v>313263.79599999997</v>
      </c>
      <c r="D12" s="11">
        <f t="shared" ca="1" si="4"/>
        <v>-33810.017285604845</v>
      </c>
      <c r="E12" s="12">
        <f t="shared" ca="1" si="1"/>
        <v>-0.10792826275272757</v>
      </c>
      <c r="F12" s="13">
        <f ca="1">SUM(SUMIF(_xlfn.ANCHORARRAY(Jan!$B$4), $A12, Jan!G$4:G$65), SUMIF(_xlfn.ANCHORARRAY(Feb!$B$4), $A12, Feb!G$4:G$76), SUMIF(_xlfn.ANCHORARRAY(Mar!$B$4), $A12, Mar!G$4:G$65))</f>
        <v>344720.54000000004</v>
      </c>
      <c r="G12" s="13">
        <f t="shared" ca="1" si="2"/>
        <v>-65266.761285604909</v>
      </c>
      <c r="H12" s="14">
        <f t="shared" ca="1" si="3"/>
        <v>-0.18933238293721893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37" t="str" cm="1">
        <f t="array" ref="A1">portfolio</f>
        <v>Wells Fargo</v>
      </c>
      <c r="B1" s="238"/>
      <c r="C1" s="239" t="s">
        <v>12</v>
      </c>
      <c r="D1" s="240"/>
      <c r="E1" s="241"/>
      <c r="F1" s="242" t="s">
        <v>13</v>
      </c>
      <c r="G1" s="243"/>
      <c r="H1" s="244"/>
    </row>
    <row r="2" spans="1:8" ht="19.5" customHeight="1">
      <c r="A2" s="41" t="s">
        <v>2</v>
      </c>
      <c r="B2" s="4">
        <f ca="1">SUM(B4:B85)</f>
        <v>0</v>
      </c>
      <c r="C2" s="4">
        <f ca="1">SUM(C4:C85)</f>
        <v>0</v>
      </c>
      <c r="D2" s="4">
        <f ca="1">B2-C2</f>
        <v>0</v>
      </c>
      <c r="E2" s="5">
        <f ca="1">IFERROR(D2/C2, 0)</f>
        <v>0</v>
      </c>
      <c r="F2" s="4">
        <f ca="1">SUM(F4:F85)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0</v>
      </c>
      <c r="C4" s="11">
        <f ca="1">SUM(SUMIF(_xlfn.ANCHORARRAY(Apr!$B$4), $A4, Apr!D$4:D$78), SUMIF(_xlfn.ANCHORARRAY(May!$B$4), $A4, May!D$4:D$65), SUMIF(_xlfn.ANCHORARRAY(Jun!$B$4), $A4, Jun!D$4:D$65))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SUM(SUMIF(_xlfn.ANCHORARRAY(Apr!$B$4), $A4, Apr!G$4:G$78), SUMIF(_xlfn.ANCHORARRAY(May!$B$4), $A4, May!G$4:G$65), SUMIF(_xlfn.ANCHORARRAY(Jun!$B$4), $A4, Jun!G$4:G$65))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0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0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0</v>
      </c>
      <c r="C6" s="11">
        <f ca="1">SUM(SUMIF(_xlfn.ANCHORARRAY(Apr!$B$4), $A6, Apr!D$4:D$78), SUMIF(_xlfn.ANCHORARRAY(May!$B$4), $A6, May!D$4:D$65), SUMIF(_xlfn.ANCHORARRAY(Jun!$B$4), $A6, Jun!D$4:D$65))</f>
        <v>0</v>
      </c>
      <c r="D6" s="11">
        <f t="shared" ca="1" si="0"/>
        <v>0</v>
      </c>
      <c r="E6" s="12" t="str">
        <f t="shared" ref="E6:E12" ca="1" si="1">IFERROR(D6/C6, "")</f>
        <v/>
      </c>
      <c r="F6" s="13">
        <f ca="1">SUM(SUMIF(_xlfn.ANCHORARRAY(Apr!$B$4), $A6, Apr!G$4:G$78), SUMIF(_xlfn.ANCHORARRAY(May!$B$4), $A6, May!G$4:G$65), SUMIF(_xlfn.ANCHORARRAY(Jun!$B$4), $A6, Jun!G$4:G$65))</f>
        <v>0</v>
      </c>
      <c r="G6" s="13">
        <f t="shared" ref="G6:G12" ca="1" si="2">IF(AND(ISNUMBER(B6),ISNUMBER(F6)), B6-F6, "")</f>
        <v>0</v>
      </c>
      <c r="H6" s="14" t="str">
        <f t="shared" ref="H6:H12" ca="1" si="3">IFERROR(G6/F6, "")</f>
        <v/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0</v>
      </c>
      <c r="C7" s="15">
        <f ca="1">SUM(SUMIF(_xlfn.ANCHORARRAY(Apr!$B$4), $A7, Apr!D$4:D$78), SUMIF(_xlfn.ANCHORARRAY(May!$B$4), $A7, May!D$4:D$65), SUMIF(_xlfn.ANCHORARRAY(Jun!$B$4), $A7, Jun!D$4:D$65))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SUM(SUMIF(_xlfn.ANCHORARRAY(Apr!$B$4), $A7, Apr!G$4:G$78), SUMIF(_xlfn.ANCHORARRAY(May!$B$4), $A7, May!G$4:G$65), SUMIF(_xlfn.ANCHORARRAY(Jun!$B$4), $A7, Jun!G$4:G$65))</f>
        <v>0</v>
      </c>
      <c r="G7" s="15">
        <f t="shared" ca="1" si="2"/>
        <v>0</v>
      </c>
      <c r="H7" s="16" t="str">
        <f t="shared" ca="1" si="3"/>
        <v/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0</v>
      </c>
      <c r="C8" s="11">
        <f ca="1">SUM(SUMIF(_xlfn.ANCHORARRAY(Apr!$B$4), $A8, Apr!D$4:D$78), SUMIF(_xlfn.ANCHORARRAY(May!$B$4), $A8, May!D$4:D$65), SUMIF(_xlfn.ANCHORARRAY(Jun!$B$4), $A8, Jun!D$4:D$65))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SUM(SUMIF(_xlfn.ANCHORARRAY(Apr!$B$4), $A8, Apr!G$4:G$78), SUMIF(_xlfn.ANCHORARRAY(May!$B$4), $A8, May!G$4:G$65), SUMIF(_xlfn.ANCHORARRAY(Jun!$B$4), $A8, Jun!G$4:G$65))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0</v>
      </c>
      <c r="C9" s="15">
        <f ca="1">SUM(SUMIF(_xlfn.ANCHORARRAY(Apr!$B$4), $A9, Apr!D$4:D$78), SUMIF(_xlfn.ANCHORARRAY(May!$B$4), $A9, May!D$4:D$65), SUMIF(_xlfn.ANCHORARRAY(Jun!$B$4), $A9, Jun!D$4:D$65))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SUM(SUMIF(_xlfn.ANCHORARRAY(Apr!$B$4), $A9, Apr!G$4:G$78), SUMIF(_xlfn.ANCHORARRAY(May!$B$4), $A9, May!G$4:G$65), SUMIF(_xlfn.ANCHORARRAY(Jun!$B$4), $A9, Jun!G$4:G$65))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0</v>
      </c>
      <c r="C10" s="11">
        <f ca="1">SUM(SUMIF(_xlfn.ANCHORARRAY(Apr!$B$4), $A10, Apr!D$4:D$78), SUMIF(_xlfn.ANCHORARRAY(May!$B$4), $A10, May!D$4:D$65), SUMIF(_xlfn.ANCHORARRAY(Jun!$B$4), $A10, Jun!D$4:D$65))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SUM(SUMIF(_xlfn.ANCHORARRAY(Apr!$B$4), $A10, Apr!G$4:G$78), SUMIF(_xlfn.ANCHORARRAY(May!$B$4), $A10, May!G$4:G$65), SUMIF(_xlfn.ANCHORARRAY(Jun!$B$4), $A10, Jun!G$4:G$65))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0</v>
      </c>
      <c r="C11" s="15">
        <f ca="1">SUM(SUMIF(_xlfn.ANCHORARRAY(Apr!$B$4), $A11, Apr!D$4:D$78), SUMIF(_xlfn.ANCHORARRAY(May!$B$4), $A11, May!D$4:D$65), SUMIF(_xlfn.ANCHORARRAY(Jun!$B$4), $A11, Jun!D$4:D$65))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SUM(SUMIF(_xlfn.ANCHORARRAY(Apr!$B$4), $A11, Apr!G$4:G$78), SUMIF(_xlfn.ANCHORARRAY(May!$B$4), $A11, May!G$4:G$65), SUMIF(_xlfn.ANCHORARRAY(Jun!$B$4), $A11, Jun!G$4:G$65))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0</v>
      </c>
      <c r="C12" s="11">
        <f ca="1">SUM(SUMIF(_xlfn.ANCHORARRAY(Apr!$B$4), $A12, Apr!D$4:D$78), SUMIF(_xlfn.ANCHORARRAY(May!$B$4), $A12, May!D$4:D$65), SUMIF(_xlfn.ANCHORARRAY(Jun!$B$4), $A12, Jun!D$4:D$65))</f>
        <v>0</v>
      </c>
      <c r="D12" s="11">
        <f t="shared" ca="1" si="0"/>
        <v>0</v>
      </c>
      <c r="E12" s="12" t="str">
        <f t="shared" ca="1" si="1"/>
        <v/>
      </c>
      <c r="F12" s="13">
        <f ca="1">SUM(SUMIF(_xlfn.ANCHORARRAY(Apr!$B$4), $A12, Apr!G$4:G$78), SUMIF(_xlfn.ANCHORARRAY(May!$B$4), $A12, May!G$4:G$65), SUMIF(_xlfn.ANCHORARRAY(Jun!$B$4), $A12, Jun!G$4:G$65))</f>
        <v>0</v>
      </c>
      <c r="G12" s="13">
        <f t="shared" ca="1" si="2"/>
        <v>0</v>
      </c>
      <c r="H12" s="14" t="str">
        <f t="shared" ca="1" si="3"/>
        <v/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37" t="str" cm="1">
        <f t="array" ref="A1">portfolio</f>
        <v>Wells Fargo</v>
      </c>
      <c r="B1" s="238"/>
      <c r="C1" s="239" t="s">
        <v>14</v>
      </c>
      <c r="D1" s="240"/>
      <c r="E1" s="241"/>
      <c r="F1" s="242" t="s">
        <v>15</v>
      </c>
      <c r="G1" s="243"/>
      <c r="H1" s="244"/>
    </row>
    <row r="2" spans="1:8" ht="19.5" customHeight="1">
      <c r="A2" s="41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/>
      <c r="C4" s="11"/>
      <c r="D4" s="11" t="str">
        <f>IF(AND(ISNUMBER(B4),ISNUMBER(C4)), B4-C4, "")</f>
        <v/>
      </c>
      <c r="E4" s="12" t="str">
        <f>IFERROR(D4/C4, "")</f>
        <v/>
      </c>
      <c r="F4" s="13"/>
      <c r="G4" s="13" t="str">
        <f>IF(AND(ISNUMBER(B4),ISNUMBER(F4)), B4-F4, "")</f>
        <v/>
      </c>
      <c r="H4" s="14" t="str">
        <f>IFERROR(G4/F4, "")</f>
        <v/>
      </c>
    </row>
    <row r="5" spans="1:8" ht="14.45">
      <c r="A5" s="9" t="str">
        <v>CO</v>
      </c>
      <c r="B5" s="10"/>
      <c r="C5" s="15"/>
      <c r="D5" s="15" t="str">
        <f t="shared" ref="D5:D11" si="0">IF(AND(ISNUMBER(B5),ISNUMBER(C5)), B5-C5, "")</f>
        <v/>
      </c>
      <c r="E5" s="16" t="str">
        <f>IFERROR(D5/C5, "")</f>
        <v/>
      </c>
      <c r="F5" s="15"/>
      <c r="G5" s="15" t="str">
        <f>IF(AND(ISNUMBER(B5),ISNUMBER(F5)), B5-F5, "")</f>
        <v/>
      </c>
      <c r="H5" s="16" t="str">
        <f>IFERROR(G5/F5, "")</f>
        <v/>
      </c>
    </row>
    <row r="6" spans="1:8" ht="14.45">
      <c r="A6" s="8" t="str">
        <v>CT</v>
      </c>
      <c r="B6" s="21"/>
      <c r="C6" s="11"/>
      <c r="D6" s="11" t="str">
        <f t="shared" si="0"/>
        <v/>
      </c>
      <c r="E6" s="12" t="str">
        <f t="shared" ref="E6:E11" si="1">IFERROR(D6/C6, "")</f>
        <v/>
      </c>
      <c r="F6" s="13"/>
      <c r="G6" s="13" t="str">
        <f t="shared" ref="G6:G11" si="2">IF(AND(ISNUMBER(B6),ISNUMBER(F6)), B6-F6, "")</f>
        <v/>
      </c>
      <c r="H6" s="14" t="str">
        <f t="shared" ref="H6:H11" si="3">IFERROR(G6/F6, "")</f>
        <v/>
      </c>
    </row>
    <row r="7" spans="1:8" ht="14.45">
      <c r="A7" s="9" t="str">
        <v>FL</v>
      </c>
      <c r="B7" s="10"/>
      <c r="C7" s="15"/>
      <c r="D7" s="15" t="str">
        <f t="shared" si="0"/>
        <v/>
      </c>
      <c r="E7" s="16" t="str">
        <f t="shared" si="1"/>
        <v/>
      </c>
      <c r="F7" s="15"/>
      <c r="G7" s="15" t="str">
        <f t="shared" si="2"/>
        <v/>
      </c>
      <c r="H7" s="16" t="str">
        <f t="shared" si="3"/>
        <v/>
      </c>
    </row>
    <row r="8" spans="1:8" ht="12.75" customHeight="1">
      <c r="A8" s="8" t="str">
        <v>IA</v>
      </c>
      <c r="B8" s="21"/>
      <c r="C8" s="11"/>
      <c r="D8" s="11" t="str">
        <f t="shared" si="0"/>
        <v/>
      </c>
      <c r="E8" s="12" t="str">
        <f t="shared" si="1"/>
        <v/>
      </c>
      <c r="F8" s="13"/>
      <c r="G8" s="13" t="str">
        <f t="shared" si="2"/>
        <v/>
      </c>
      <c r="H8" s="14" t="str">
        <f t="shared" si="3"/>
        <v/>
      </c>
    </row>
    <row r="9" spans="1:8" ht="14.45">
      <c r="A9" s="9" t="str">
        <v>NC</v>
      </c>
      <c r="B9" s="10"/>
      <c r="C9" s="15"/>
      <c r="D9" s="15" t="str">
        <f t="shared" si="0"/>
        <v/>
      </c>
      <c r="E9" s="16" t="str">
        <f t="shared" si="1"/>
        <v/>
      </c>
      <c r="F9" s="15"/>
      <c r="G9" s="15" t="str">
        <f t="shared" si="2"/>
        <v/>
      </c>
      <c r="H9" s="16" t="str">
        <f t="shared" si="3"/>
        <v/>
      </c>
    </row>
    <row r="10" spans="1:8" ht="14.45">
      <c r="A10" s="8" t="str">
        <v>NJ</v>
      </c>
      <c r="B10" s="21"/>
      <c r="C10" s="11"/>
      <c r="D10" s="11" t="str">
        <f t="shared" si="0"/>
        <v/>
      </c>
      <c r="E10" s="12" t="str">
        <f t="shared" si="1"/>
        <v/>
      </c>
      <c r="F10" s="13"/>
      <c r="G10" s="13" t="str">
        <f t="shared" si="2"/>
        <v/>
      </c>
      <c r="H10" s="14" t="str">
        <f t="shared" si="3"/>
        <v/>
      </c>
    </row>
    <row r="11" spans="1:8" ht="14.45">
      <c r="A11" s="9" t="str">
        <v>TX</v>
      </c>
      <c r="B11" s="10"/>
      <c r="C11" s="15"/>
      <c r="D11" s="15" t="str">
        <f t="shared" si="0"/>
        <v/>
      </c>
      <c r="E11" s="16" t="str">
        <f t="shared" si="1"/>
        <v/>
      </c>
      <c r="F11" s="15"/>
      <c r="G11" s="15" t="str">
        <f t="shared" si="2"/>
        <v/>
      </c>
      <c r="H11" s="16" t="str">
        <f t="shared" si="3"/>
        <v/>
      </c>
    </row>
    <row r="12" spans="1:8" ht="14.45">
      <c r="A12" s="8" t="str">
        <v>AZ</v>
      </c>
      <c r="B12" s="57"/>
      <c r="C12" s="11"/>
      <c r="D12" s="11" t="str">
        <f>IF(AND(ISNUMBER(B12),ISNUMBER(C12)), B12-C12, "")</f>
        <v/>
      </c>
      <c r="E12" s="58" t="str">
        <f>IFERROR(D12/C12, "")</f>
        <v/>
      </c>
      <c r="F12" s="73"/>
      <c r="G12" s="73" t="str">
        <f>IF(AND(ISNUMBER(B12),ISNUMBER(F12)), B12-F12, "")</f>
        <v/>
      </c>
      <c r="H12" s="74" t="str">
        <f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9" sqref="F9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37" t="str" cm="1">
        <f t="array" ref="A1">portfolio</f>
        <v>Wells Fargo</v>
      </c>
      <c r="B1" s="238"/>
      <c r="C1" s="239" t="s">
        <v>16</v>
      </c>
      <c r="D1" s="240"/>
      <c r="E1" s="241"/>
      <c r="F1" s="242" t="s">
        <v>17</v>
      </c>
      <c r="G1" s="243"/>
      <c r="H1" s="244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45">
      <c r="A11" s="9" t="str">
        <v>TX</v>
      </c>
      <c r="B11" s="71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5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5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3">
        <f ca="1">SUM(SUMIF(_xlfn.ANCHORARRAY(Oct!$B$4), $A12, Oct!G$4:G$69), SUMIF(_xlfn.ANCHORARRAY(Nov!$B$4), $A12, Nov!G$4:G$69), SUMIF(_xlfn.ANCHORARRAY(Dec!$B$4), $A12, Dec!G$4:G$69))</f>
        <v>0</v>
      </c>
      <c r="G12" s="73">
        <f ca="1">IF(AND(ISNUMBER(B12),ISNUMBER(F12)), B12-F12, "")</f>
        <v>0</v>
      </c>
      <c r="H12" s="74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R292"/>
  <sheetViews>
    <sheetView tabSelected="1" zoomScale="70" zoomScaleNormal="70" workbookViewId="0">
      <pane xSplit="2" ySplit="3" topLeftCell="C4" activePane="bottomRight" state="frozen"/>
      <selection pane="bottomRight" activeCell="F99" sqref="F99"/>
      <selection pane="bottomLeft" activeCell="H12" sqref="H12"/>
      <selection pane="topRight" activeCell="H12" sqref="H12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  <col min="12" max="12" width="14" customWidth="1"/>
    <col min="13" max="18" width="8.85546875" style="227"/>
  </cols>
  <sheetData>
    <row r="1" spans="1:12" ht="19.5" customHeight="1">
      <c r="A1" s="235" t="str" cm="1">
        <f t="array" ref="A1">portfolio</f>
        <v>Wells Fargo</v>
      </c>
      <c r="B1" s="235"/>
      <c r="C1" s="235"/>
      <c r="D1" s="236" t="s">
        <v>18</v>
      </c>
      <c r="E1" s="236"/>
      <c r="F1" s="236"/>
      <c r="G1" s="234" t="s">
        <v>19</v>
      </c>
      <c r="H1" s="234"/>
      <c r="I1" s="234"/>
      <c r="J1" s="3"/>
      <c r="K1" s="3"/>
      <c r="L1" s="3"/>
    </row>
    <row r="2" spans="1:12" ht="19.5" customHeight="1">
      <c r="A2" s="245" t="s">
        <v>2</v>
      </c>
      <c r="B2" s="245"/>
      <c r="C2" s="4">
        <f>SUM(C4:C65)</f>
        <v>344030.49777653243</v>
      </c>
      <c r="D2" s="4">
        <f>SUM(D4:D65)</f>
        <v>381964.5477</v>
      </c>
      <c r="E2" s="4">
        <f>C2-D2</f>
        <v>-37934.049923467566</v>
      </c>
      <c r="F2" s="5">
        <f>IFERROR(E2/D2, 0)</f>
        <v>-9.9313012560687891E-2</v>
      </c>
      <c r="G2" s="4">
        <f>SUM(G4:G65)</f>
        <v>385301.55650000006</v>
      </c>
      <c r="H2" s="6">
        <f>C2-G2</f>
        <v>-41271.058723467635</v>
      </c>
      <c r="I2" s="5">
        <f>IFERROR(H2/G2, 0)</f>
        <v>-0.10711365689348734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  <c r="L3" s="22" t="s">
        <v>22</v>
      </c>
    </row>
    <row r="4" spans="1:12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665.099999999999</v>
      </c>
      <c r="D4" s="11">
        <v>2313.944</v>
      </c>
      <c r="E4" s="11">
        <f t="shared" ref="E4:E35" si="0">IF(AND(ISNUMBER(C4),ISNUMBER(D4)), C4-D4, "")</f>
        <v>-1648.844000000001</v>
      </c>
      <c r="F4" s="12">
        <f>IFERROR(E4/D4, "")</f>
        <v>-0.71256867063334328</v>
      </c>
      <c r="G4" s="13">
        <v>661</v>
      </c>
      <c r="H4" s="13">
        <f t="shared" ref="H4:H35" si="1">IF(AND(ISNUMBER(C4),ISNUMBER(G4)), C4-G4, "")</f>
        <v>4.0999999999989996</v>
      </c>
      <c r="I4" s="14">
        <f>IFERROR(H4/G4, "")</f>
        <v>6.2027231467458388E-3</v>
      </c>
      <c r="J4" s="38" t="s">
        <v>23</v>
      </c>
      <c r="K4" s="38"/>
      <c r="L4" s="38"/>
    </row>
    <row r="5" spans="1:12" ht="28.9">
      <c r="A5" s="27" t="str">
        <v>Otay Mesa</v>
      </c>
      <c r="B5" s="28" t="str">
        <v>CA</v>
      </c>
      <c r="C5" s="10">
        <v>39.5</v>
      </c>
      <c r="D5" s="15" t="s">
        <v>24</v>
      </c>
      <c r="E5" s="15" t="str">
        <f t="shared" si="0"/>
        <v/>
      </c>
      <c r="F5" s="16" t="str">
        <f>IFERROR(E5/D5, "")</f>
        <v/>
      </c>
      <c r="G5" s="17" t="s">
        <v>24</v>
      </c>
      <c r="H5" s="17" t="str">
        <f t="shared" si="1"/>
        <v/>
      </c>
      <c r="I5" s="16" t="str">
        <f t="shared" ref="I5" si="2">IFERROR(H5/G5, "")</f>
        <v/>
      </c>
      <c r="J5" s="39" t="s">
        <v>25</v>
      </c>
      <c r="K5" s="39"/>
      <c r="L5" s="39"/>
    </row>
    <row r="6" spans="1:12" ht="25.5" customHeight="1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" si="3">IFERROR(E6/D6, "")</f>
        <v/>
      </c>
      <c r="G6" s="13">
        <v>0</v>
      </c>
      <c r="H6" s="13">
        <f t="shared" si="1"/>
        <v>0</v>
      </c>
      <c r="I6" s="14" t="str">
        <f t="shared" ref="I6:I37" si="4">IFERROR(H6/G6, "")</f>
        <v/>
      </c>
      <c r="J6" s="38" t="s">
        <v>26</v>
      </c>
      <c r="K6" s="76" t="s">
        <v>27</v>
      </c>
      <c r="L6" s="38" t="s">
        <v>28</v>
      </c>
    </row>
    <row r="7" spans="1:12" ht="15.6">
      <c r="A7" s="27" t="str">
        <v>Van Nuys</v>
      </c>
      <c r="B7" s="28" t="str">
        <v>CA</v>
      </c>
      <c r="C7" s="10">
        <v>1175.2</v>
      </c>
      <c r="D7" s="15" t="s">
        <v>24</v>
      </c>
      <c r="E7" s="15" t="str">
        <f t="shared" si="0"/>
        <v/>
      </c>
      <c r="F7" s="75" t="str">
        <f t="shared" ref="F7:F38" si="5">IFERROR(E7/D7, "")</f>
        <v/>
      </c>
      <c r="G7" s="17">
        <v>1313.97</v>
      </c>
      <c r="H7" s="17">
        <f t="shared" si="1"/>
        <v>-138.76999999999998</v>
      </c>
      <c r="I7" s="16">
        <f t="shared" si="4"/>
        <v>-0.10561123922159561</v>
      </c>
      <c r="J7" s="39" t="s">
        <v>29</v>
      </c>
      <c r="K7" s="39"/>
      <c r="L7" s="39"/>
    </row>
    <row r="8" spans="1:12" ht="15.6">
      <c r="A8" s="25" t="str">
        <v>Lodi - Lodi Vineyard</v>
      </c>
      <c r="B8" s="26" t="str">
        <v>CA</v>
      </c>
      <c r="C8" s="21">
        <v>17201.812499999902</v>
      </c>
      <c r="D8" s="11">
        <v>18075.580000000002</v>
      </c>
      <c r="E8" s="11">
        <f t="shared" si="0"/>
        <v>-873.76750000009997</v>
      </c>
      <c r="F8" s="58">
        <f t="shared" si="5"/>
        <v>-4.8339666002424259E-2</v>
      </c>
      <c r="G8" s="13">
        <v>17814</v>
      </c>
      <c r="H8" s="13">
        <f t="shared" si="1"/>
        <v>-612.18750000009823</v>
      </c>
      <c r="I8" s="14">
        <f t="shared" si="4"/>
        <v>-3.4365527113511742E-2</v>
      </c>
      <c r="J8" s="38" t="s">
        <v>30</v>
      </c>
      <c r="K8" s="38"/>
      <c r="L8" s="38"/>
    </row>
    <row r="9" spans="1:12" ht="15.6">
      <c r="A9" s="27" t="str">
        <v>Arden Fair Mall</v>
      </c>
      <c r="B9" s="28" t="str">
        <v>CA</v>
      </c>
      <c r="C9" s="10">
        <v>8795.25</v>
      </c>
      <c r="D9" s="15">
        <v>10365.24</v>
      </c>
      <c r="E9" s="15">
        <f t="shared" si="0"/>
        <v>-1569.9899999999998</v>
      </c>
      <c r="F9" s="75">
        <f t="shared" si="5"/>
        <v>-0.15146682565960845</v>
      </c>
      <c r="G9" s="17">
        <v>10608</v>
      </c>
      <c r="H9" s="17">
        <f t="shared" si="1"/>
        <v>-1812.75</v>
      </c>
      <c r="I9" s="16">
        <f t="shared" si="4"/>
        <v>-0.17088518099547512</v>
      </c>
      <c r="J9" s="39" t="s">
        <v>31</v>
      </c>
      <c r="K9" s="54"/>
      <c r="L9" s="54"/>
    </row>
    <row r="10" spans="1:12" ht="28.9">
      <c r="A10" s="25" t="str">
        <v>Modesto - Modesto Main</v>
      </c>
      <c r="B10" s="26" t="str">
        <v>CA</v>
      </c>
      <c r="C10" s="21">
        <v>6088.9375</v>
      </c>
      <c r="D10" s="11">
        <v>8165.5209999999997</v>
      </c>
      <c r="E10" s="11">
        <f t="shared" si="0"/>
        <v>-2076.5834999999997</v>
      </c>
      <c r="F10" s="12">
        <f t="shared" si="5"/>
        <v>-0.25431120684154751</v>
      </c>
      <c r="G10" s="13">
        <v>10217.370000000001</v>
      </c>
      <c r="H10" s="13">
        <f t="shared" si="1"/>
        <v>-4128.4325000000008</v>
      </c>
      <c r="I10" s="14">
        <f t="shared" si="4"/>
        <v>-0.40406019357231854</v>
      </c>
      <c r="J10" s="38" t="s">
        <v>32</v>
      </c>
      <c r="K10" s="76" t="s">
        <v>33</v>
      </c>
      <c r="L10" s="38" t="s">
        <v>34</v>
      </c>
    </row>
    <row r="11" spans="1:12" ht="15.6">
      <c r="A11" s="27" t="str">
        <v>Stevens Creek</v>
      </c>
      <c r="B11" s="28" t="str">
        <v>CA</v>
      </c>
      <c r="C11" s="10">
        <v>2947.9048859212899</v>
      </c>
      <c r="D11" s="15">
        <v>2514.951</v>
      </c>
      <c r="E11" s="15">
        <f t="shared" si="0"/>
        <v>432.95388592128984</v>
      </c>
      <c r="F11" s="16">
        <f t="shared" si="5"/>
        <v>0.17215201644934228</v>
      </c>
      <c r="G11" s="17">
        <v>2416</v>
      </c>
      <c r="H11" s="17">
        <f t="shared" si="1"/>
        <v>531.90488592128986</v>
      </c>
      <c r="I11" s="16">
        <f t="shared" si="4"/>
        <v>0.22015930708662659</v>
      </c>
      <c r="J11" s="39"/>
      <c r="K11" s="39"/>
      <c r="L11" s="39"/>
    </row>
    <row r="12" spans="1:12" ht="15.6">
      <c r="A12" s="25" t="str">
        <v>Covina Main</v>
      </c>
      <c r="B12" s="26" t="str">
        <v>CA</v>
      </c>
      <c r="C12" s="21">
        <v>2249.8000000000002</v>
      </c>
      <c r="D12" s="11">
        <v>1759.8530000000001</v>
      </c>
      <c r="E12" s="11">
        <f t="shared" si="0"/>
        <v>489.94700000000012</v>
      </c>
      <c r="F12" s="12">
        <f t="shared" si="5"/>
        <v>0.2784022301862713</v>
      </c>
      <c r="G12" s="13">
        <v>2134</v>
      </c>
      <c r="H12" s="13">
        <f t="shared" si="1"/>
        <v>115.80000000000018</v>
      </c>
      <c r="I12" s="14">
        <f t="shared" si="4"/>
        <v>5.4264292408622392E-2</v>
      </c>
      <c r="J12" s="38"/>
      <c r="K12" s="38"/>
      <c r="L12" s="38"/>
    </row>
    <row r="13" spans="1:12" ht="72">
      <c r="A13" s="27" t="str">
        <v>Old Ranch Town Center</v>
      </c>
      <c r="B13" s="28" t="str">
        <v>CA</v>
      </c>
      <c r="C13" s="10">
        <v>750.189453125</v>
      </c>
      <c r="D13" s="15" t="s">
        <v>24</v>
      </c>
      <c r="E13" s="15" t="str">
        <f t="shared" si="0"/>
        <v/>
      </c>
      <c r="F13" s="75" t="str">
        <f t="shared" si="5"/>
        <v/>
      </c>
      <c r="G13" s="17">
        <v>910</v>
      </c>
      <c r="H13" s="17">
        <f t="shared" si="1"/>
        <v>-159.810546875</v>
      </c>
      <c r="I13" s="16">
        <f t="shared" si="4"/>
        <v>-0.17561598557692307</v>
      </c>
      <c r="J13" s="39" t="s">
        <v>35</v>
      </c>
      <c r="K13" s="39"/>
      <c r="L13" s="39"/>
    </row>
    <row r="14" spans="1:12" ht="72">
      <c r="A14" s="25" t="str">
        <v>Mountain Gate Plaza</v>
      </c>
      <c r="B14" s="26" t="str">
        <v>CA</v>
      </c>
      <c r="C14" s="21">
        <v>5234.9057449494703</v>
      </c>
      <c r="D14" s="11" t="s">
        <v>24</v>
      </c>
      <c r="E14" s="11" t="str">
        <f t="shared" si="0"/>
        <v/>
      </c>
      <c r="F14" s="58" t="str">
        <f t="shared" si="5"/>
        <v/>
      </c>
      <c r="G14" s="13">
        <v>6591</v>
      </c>
      <c r="H14" s="13">
        <f t="shared" si="1"/>
        <v>-1356.0942550505297</v>
      </c>
      <c r="I14" s="14">
        <f t="shared" si="4"/>
        <v>-0.20574939387809585</v>
      </c>
      <c r="J14" s="38" t="s">
        <v>36</v>
      </c>
      <c r="K14" s="38"/>
      <c r="L14" s="38"/>
    </row>
    <row r="15" spans="1:12" ht="72">
      <c r="A15" s="27" t="str">
        <v>Arcadia Main</v>
      </c>
      <c r="B15" s="28" t="str">
        <v>CA</v>
      </c>
      <c r="C15" s="10">
        <v>2384.6683984374999</v>
      </c>
      <c r="D15" s="15" t="s">
        <v>24</v>
      </c>
      <c r="E15" s="15" t="str">
        <f t="shared" si="0"/>
        <v/>
      </c>
      <c r="F15" s="75" t="str">
        <f t="shared" si="5"/>
        <v/>
      </c>
      <c r="G15" s="17">
        <v>3550</v>
      </c>
      <c r="H15" s="17">
        <f t="shared" si="1"/>
        <v>-1165.3316015625001</v>
      </c>
      <c r="I15" s="16">
        <f t="shared" si="4"/>
        <v>-0.32826242297535213</v>
      </c>
      <c r="J15" s="39" t="s">
        <v>36</v>
      </c>
      <c r="K15" s="39"/>
      <c r="L15" s="39"/>
    </row>
    <row r="16" spans="1:12" ht="72">
      <c r="A16" s="25" t="str">
        <v>Fairfield</v>
      </c>
      <c r="B16" s="26" t="str">
        <v>CA</v>
      </c>
      <c r="C16" s="21">
        <v>1818.8125</v>
      </c>
      <c r="D16" s="11">
        <v>2026.9639999999999</v>
      </c>
      <c r="E16" s="11">
        <f t="shared" si="0"/>
        <v>-208.15149999999994</v>
      </c>
      <c r="F16" s="12">
        <f t="shared" si="5"/>
        <v>-0.10269126634710826</v>
      </c>
      <c r="G16" s="13">
        <v>2037</v>
      </c>
      <c r="H16" s="13">
        <f t="shared" si="1"/>
        <v>-218.1875</v>
      </c>
      <c r="I16" s="14">
        <f t="shared" si="4"/>
        <v>-0.10711217476681394</v>
      </c>
      <c r="J16" s="38" t="s">
        <v>36</v>
      </c>
      <c r="K16" s="38"/>
      <c r="L16" s="38"/>
    </row>
    <row r="17" spans="1:16" ht="15.6">
      <c r="A17" s="27" t="str">
        <v>Los Gatos</v>
      </c>
      <c r="B17" s="28" t="str">
        <v>CA</v>
      </c>
      <c r="C17" s="10">
        <v>1103.5740932690801</v>
      </c>
      <c r="D17" s="15">
        <v>1020.455</v>
      </c>
      <c r="E17" s="15">
        <f t="shared" si="0"/>
        <v>83.119093269080054</v>
      </c>
      <c r="F17" s="16">
        <f t="shared" si="5"/>
        <v>8.1452972712250951E-2</v>
      </c>
      <c r="G17" s="17">
        <v>0</v>
      </c>
      <c r="H17" s="17">
        <f t="shared" si="1"/>
        <v>1103.5740932690801</v>
      </c>
      <c r="I17" s="16" t="str">
        <f t="shared" si="4"/>
        <v/>
      </c>
      <c r="J17" s="39"/>
      <c r="K17" s="39"/>
      <c r="L17" s="39"/>
    </row>
    <row r="18" spans="1:16" ht="28.9">
      <c r="A18" s="25" t="str">
        <v>San Marino</v>
      </c>
      <c r="B18" s="26" t="str">
        <v>CA</v>
      </c>
      <c r="C18" s="21">
        <v>2323.3035383231299</v>
      </c>
      <c r="D18" s="11">
        <v>2283.1489999999999</v>
      </c>
      <c r="E18" s="11">
        <f t="shared" si="0"/>
        <v>40.154538323130055</v>
      </c>
      <c r="F18" s="12">
        <f t="shared" si="5"/>
        <v>1.7587349018014179E-2</v>
      </c>
      <c r="G18" s="13">
        <v>2880.538</v>
      </c>
      <c r="H18" s="13">
        <f t="shared" si="1"/>
        <v>-557.23446167687007</v>
      </c>
      <c r="I18" s="14">
        <f t="shared" si="4"/>
        <v>-0.19344805091162487</v>
      </c>
      <c r="J18" s="38" t="s">
        <v>37</v>
      </c>
      <c r="K18" s="76" t="s">
        <v>38</v>
      </c>
      <c r="L18" s="38" t="s">
        <v>34</v>
      </c>
    </row>
    <row r="19" spans="1:16" ht="72">
      <c r="A19" s="27" t="str">
        <v>Buenaventura</v>
      </c>
      <c r="B19" s="28" t="str">
        <v>CA</v>
      </c>
      <c r="C19" s="10">
        <v>3254.2737109374998</v>
      </c>
      <c r="D19" s="15">
        <v>2391.6869999999999</v>
      </c>
      <c r="E19" s="15">
        <f t="shared" si="0"/>
        <v>862.5867109374999</v>
      </c>
      <c r="F19" s="75">
        <f t="shared" si="5"/>
        <v>0.36066036690315245</v>
      </c>
      <c r="G19" s="17">
        <v>3912.5479999999998</v>
      </c>
      <c r="H19" s="17">
        <f t="shared" si="1"/>
        <v>-658.27428906249997</v>
      </c>
      <c r="I19" s="16">
        <f t="shared" si="4"/>
        <v>-0.16824695545268711</v>
      </c>
      <c r="J19" s="39" t="s">
        <v>36</v>
      </c>
      <c r="K19" s="78"/>
      <c r="L19" s="78"/>
    </row>
    <row r="20" spans="1:16" ht="72">
      <c r="A20" s="25" t="str">
        <v>BE 199502 - Westgate</v>
      </c>
      <c r="B20" s="26" t="str">
        <v>CA</v>
      </c>
      <c r="C20" s="21">
        <v>1025.0999999999999</v>
      </c>
      <c r="D20" s="11" t="s">
        <v>24</v>
      </c>
      <c r="E20" s="11" t="str">
        <f t="shared" si="0"/>
        <v/>
      </c>
      <c r="F20" s="58" t="str">
        <f t="shared" si="5"/>
        <v/>
      </c>
      <c r="G20" s="232" t="s">
        <v>24</v>
      </c>
      <c r="H20" s="13" t="str">
        <f t="shared" si="1"/>
        <v/>
      </c>
      <c r="I20" s="14" t="str">
        <f t="shared" si="4"/>
        <v/>
      </c>
      <c r="J20" s="38" t="s">
        <v>35</v>
      </c>
      <c r="K20" s="38"/>
      <c r="L20" s="38"/>
    </row>
    <row r="21" spans="1:16" ht="15.6">
      <c r="A21" s="27" t="str">
        <v>98th &amp; Grant</v>
      </c>
      <c r="B21" s="28" t="str">
        <v>CO</v>
      </c>
      <c r="C21" s="10">
        <v>1246.8</v>
      </c>
      <c r="D21" s="15" t="s">
        <v>24</v>
      </c>
      <c r="E21" s="15" t="str">
        <f t="shared" si="0"/>
        <v/>
      </c>
      <c r="F21" s="75" t="str">
        <f t="shared" si="5"/>
        <v/>
      </c>
      <c r="G21" s="17">
        <v>1170</v>
      </c>
      <c r="H21" s="17">
        <f t="shared" si="1"/>
        <v>76.799999999999955</v>
      </c>
      <c r="I21" s="16">
        <f t="shared" si="4"/>
        <v>6.5641025641025599E-2</v>
      </c>
      <c r="J21" s="39"/>
      <c r="K21" s="54"/>
      <c r="L21" s="54"/>
    </row>
    <row r="22" spans="1:16" ht="57.6">
      <c r="A22" s="25" t="str">
        <v>Arapahoe Crossings</v>
      </c>
      <c r="B22" s="26" t="str">
        <v>CO</v>
      </c>
      <c r="C22" s="21">
        <v>0</v>
      </c>
      <c r="D22" s="11">
        <v>0</v>
      </c>
      <c r="E22" s="11">
        <f t="shared" si="0"/>
        <v>0</v>
      </c>
      <c r="F22" s="12" t="str">
        <f t="shared" si="5"/>
        <v/>
      </c>
      <c r="G22" s="13">
        <v>0</v>
      </c>
      <c r="H22" s="13">
        <f t="shared" si="1"/>
        <v>0</v>
      </c>
      <c r="I22" s="14" t="str">
        <f t="shared" si="4"/>
        <v/>
      </c>
      <c r="J22" s="38" t="s">
        <v>39</v>
      </c>
      <c r="K22" s="76" t="s">
        <v>40</v>
      </c>
      <c r="L22" s="38" t="s">
        <v>41</v>
      </c>
      <c r="M22" s="231" t="s">
        <v>42</v>
      </c>
    </row>
    <row r="23" spans="1:16" ht="72">
      <c r="A23" s="27" t="str">
        <v>Aurora City Center</v>
      </c>
      <c r="B23" s="28" t="str">
        <v>CO</v>
      </c>
      <c r="C23" s="10">
        <v>712.89999999999395</v>
      </c>
      <c r="D23" s="15" t="s">
        <v>24</v>
      </c>
      <c r="E23" s="15" t="str">
        <f t="shared" si="0"/>
        <v/>
      </c>
      <c r="F23" s="16" t="str">
        <f t="shared" si="5"/>
        <v/>
      </c>
      <c r="G23" s="17">
        <v>1050</v>
      </c>
      <c r="H23" s="17">
        <f t="shared" si="1"/>
        <v>-337.10000000000605</v>
      </c>
      <c r="I23" s="16">
        <f t="shared" si="4"/>
        <v>-0.3210476190476248</v>
      </c>
      <c r="J23" s="39" t="s">
        <v>35</v>
      </c>
      <c r="K23" s="54"/>
      <c r="L23" s="54"/>
    </row>
    <row r="24" spans="1:16" ht="43.15">
      <c r="A24" s="25" t="str">
        <v>Dry Creek</v>
      </c>
      <c r="B24" s="26" t="str">
        <v>CO</v>
      </c>
      <c r="C24" s="21">
        <v>877.39230588082899</v>
      </c>
      <c r="D24" s="11">
        <v>0</v>
      </c>
      <c r="E24" s="11">
        <f t="shared" si="0"/>
        <v>877.39230588082899</v>
      </c>
      <c r="F24" s="12" t="str">
        <f t="shared" si="5"/>
        <v/>
      </c>
      <c r="G24" s="13">
        <v>1261</v>
      </c>
      <c r="H24" s="13">
        <f t="shared" si="1"/>
        <v>-383.60769411917101</v>
      </c>
      <c r="I24" s="14">
        <f t="shared" si="4"/>
        <v>-0.30420911508260984</v>
      </c>
      <c r="J24" s="38" t="s">
        <v>43</v>
      </c>
      <c r="K24" s="76" t="s">
        <v>44</v>
      </c>
      <c r="L24" s="38" t="s">
        <v>34</v>
      </c>
    </row>
    <row r="25" spans="1:16" ht="72">
      <c r="A25" s="27" t="str">
        <v>Highlands Ranch S.</v>
      </c>
      <c r="B25" s="28" t="str">
        <v>CO</v>
      </c>
      <c r="C25" s="10">
        <v>1027.29999999999</v>
      </c>
      <c r="D25" s="15">
        <v>4024.53</v>
      </c>
      <c r="E25" s="15">
        <f t="shared" si="0"/>
        <v>-2997.2300000000105</v>
      </c>
      <c r="F25" s="75">
        <f t="shared" si="5"/>
        <v>-0.74474037962197082</v>
      </c>
      <c r="G25" s="17">
        <v>1109</v>
      </c>
      <c r="H25" s="17">
        <f t="shared" si="1"/>
        <v>-81.70000000001005</v>
      </c>
      <c r="I25" s="16">
        <f t="shared" si="4"/>
        <v>-7.3669972948611412E-2</v>
      </c>
      <c r="J25" s="39" t="s">
        <v>36</v>
      </c>
      <c r="K25" s="54"/>
      <c r="L25" s="54"/>
    </row>
    <row r="26" spans="1:16" ht="15.6">
      <c r="A26" s="25" t="str">
        <v>Lone Tree</v>
      </c>
      <c r="B26" s="26" t="str">
        <v>CO</v>
      </c>
      <c r="C26" s="21">
        <v>1408.4000000000201</v>
      </c>
      <c r="D26" s="11">
        <v>3086.8629999999998</v>
      </c>
      <c r="E26" s="11">
        <f t="shared" si="0"/>
        <v>-1678.4629999999797</v>
      </c>
      <c r="F26" s="58">
        <f t="shared" si="5"/>
        <v>-0.54374392384760184</v>
      </c>
      <c r="G26" s="13">
        <v>2554</v>
      </c>
      <c r="H26" s="13">
        <f t="shared" si="1"/>
        <v>-1145.5999999999799</v>
      </c>
      <c r="I26" s="14">
        <f t="shared" si="4"/>
        <v>-0.44855129209083006</v>
      </c>
      <c r="J26" s="38" t="s">
        <v>45</v>
      </c>
      <c r="K26" s="76" t="s">
        <v>46</v>
      </c>
      <c r="L26" s="38" t="s">
        <v>34</v>
      </c>
    </row>
    <row r="27" spans="1:16" ht="15.6">
      <c r="A27" s="27" t="str">
        <v>Meridian</v>
      </c>
      <c r="B27" s="28" t="str">
        <v>CO</v>
      </c>
      <c r="C27" s="10">
        <v>1691.7</v>
      </c>
      <c r="D27" s="15" t="s">
        <v>24</v>
      </c>
      <c r="E27" s="15" t="str">
        <f t="shared" si="0"/>
        <v/>
      </c>
      <c r="F27" s="75" t="str">
        <f t="shared" si="5"/>
        <v/>
      </c>
      <c r="G27" s="17">
        <v>1505</v>
      </c>
      <c r="H27" s="17">
        <f t="shared" si="1"/>
        <v>186.70000000000005</v>
      </c>
      <c r="I27" s="16">
        <f t="shared" si="4"/>
        <v>0.12405315614617943</v>
      </c>
      <c r="J27" s="39"/>
      <c r="K27" s="54"/>
      <c r="L27" s="54"/>
    </row>
    <row r="28" spans="1:16" ht="15.6">
      <c r="A28" s="25" t="str">
        <v>Southglenn</v>
      </c>
      <c r="B28" s="26" t="str">
        <v>CO</v>
      </c>
      <c r="C28" s="21">
        <v>1653.4</v>
      </c>
      <c r="D28" s="11" t="s">
        <v>24</v>
      </c>
      <c r="E28" s="11" t="str">
        <f t="shared" si="0"/>
        <v/>
      </c>
      <c r="F28" s="12" t="str">
        <f t="shared" si="5"/>
        <v/>
      </c>
      <c r="G28" s="13">
        <v>1619.6</v>
      </c>
      <c r="H28" s="13">
        <f t="shared" si="1"/>
        <v>33.800000000000182</v>
      </c>
      <c r="I28" s="14">
        <f t="shared" si="4"/>
        <v>2.0869350456903052E-2</v>
      </c>
      <c r="J28" s="38"/>
      <c r="K28" s="38"/>
      <c r="L28" s="38"/>
    </row>
    <row r="29" spans="1:16" ht="86.45">
      <c r="A29" s="27" t="str">
        <v>Standley Lake</v>
      </c>
      <c r="B29" s="28" t="str">
        <v>CO</v>
      </c>
      <c r="C29" s="10">
        <v>2227.7000000000098</v>
      </c>
      <c r="D29" s="15">
        <v>7463.0230000000001</v>
      </c>
      <c r="E29" s="15">
        <f t="shared" si="0"/>
        <v>-5235.3229999999903</v>
      </c>
      <c r="F29" s="16">
        <f t="shared" si="5"/>
        <v>-0.70150165690230226</v>
      </c>
      <c r="G29" s="17">
        <v>2142</v>
      </c>
      <c r="H29" s="17">
        <f t="shared" si="1"/>
        <v>85.700000000009823</v>
      </c>
      <c r="I29" s="16">
        <f t="shared" si="4"/>
        <v>4.0009337068165181E-2</v>
      </c>
      <c r="J29" s="49" t="s">
        <v>47</v>
      </c>
      <c r="K29" s="54"/>
      <c r="L29" s="54"/>
    </row>
    <row r="30" spans="1:16" ht="15.6">
      <c r="A30" s="25" t="str">
        <v>Havana Gardens</v>
      </c>
      <c r="B30" s="26" t="str">
        <v>CO</v>
      </c>
      <c r="C30" s="21">
        <v>1871.6000000000099</v>
      </c>
      <c r="D30" s="11" t="s">
        <v>24</v>
      </c>
      <c r="E30" s="11" t="str">
        <f t="shared" si="0"/>
        <v/>
      </c>
      <c r="F30" s="12" t="str">
        <f t="shared" si="5"/>
        <v/>
      </c>
      <c r="G30" s="13">
        <v>839</v>
      </c>
      <c r="H30" s="13">
        <f t="shared" si="1"/>
        <v>1032.6000000000099</v>
      </c>
      <c r="I30" s="14">
        <f t="shared" si="4"/>
        <v>1.2307508939213467</v>
      </c>
      <c r="J30" s="38"/>
      <c r="K30" s="38"/>
      <c r="L30" s="38"/>
    </row>
    <row r="31" spans="1:16" ht="15.6">
      <c r="A31" s="27" t="str">
        <v>East Hartford</v>
      </c>
      <c r="B31" s="28" t="str">
        <v>CT</v>
      </c>
      <c r="C31" s="10">
        <v>123.5</v>
      </c>
      <c r="D31" s="15">
        <v>266.22669999999999</v>
      </c>
      <c r="E31" s="15">
        <f t="shared" si="0"/>
        <v>-142.72669999999999</v>
      </c>
      <c r="F31" s="75">
        <f t="shared" si="5"/>
        <v>-0.53610963889046437</v>
      </c>
      <c r="G31" s="17">
        <v>269.7242</v>
      </c>
      <c r="H31" s="17">
        <f t="shared" si="1"/>
        <v>-146.2242</v>
      </c>
      <c r="I31" s="16">
        <f t="shared" si="4"/>
        <v>-0.54212488163835504</v>
      </c>
      <c r="J31" s="39" t="s">
        <v>48</v>
      </c>
      <c r="K31" s="54"/>
      <c r="L31" s="54"/>
    </row>
    <row r="32" spans="1:16" ht="72">
      <c r="A32" s="25" t="str">
        <v>Norwalk</v>
      </c>
      <c r="B32" s="26" t="str">
        <v>CT</v>
      </c>
      <c r="C32" s="21">
        <v>-88.900000000001498</v>
      </c>
      <c r="D32" s="11">
        <v>124.9158</v>
      </c>
      <c r="E32" s="11">
        <f t="shared" si="0"/>
        <v>-213.8158000000015</v>
      </c>
      <c r="F32" s="58">
        <f t="shared" si="5"/>
        <v>-1.7116793872352536</v>
      </c>
      <c r="G32" s="13">
        <v>378.20030000000003</v>
      </c>
      <c r="H32" s="13">
        <f t="shared" si="1"/>
        <v>-467.10030000000154</v>
      </c>
      <c r="I32" s="14">
        <f t="shared" si="4"/>
        <v>-1.2350606279265286</v>
      </c>
      <c r="J32" s="38" t="s">
        <v>49</v>
      </c>
      <c r="K32" s="76" t="s">
        <v>50</v>
      </c>
      <c r="L32" s="38" t="s">
        <v>51</v>
      </c>
      <c r="M32" s="231" t="s">
        <v>52</v>
      </c>
      <c r="N32" s="231" t="s">
        <v>53</v>
      </c>
      <c r="O32" s="231" t="s">
        <v>54</v>
      </c>
      <c r="P32" s="231" t="s">
        <v>55</v>
      </c>
    </row>
    <row r="33" spans="1:12" ht="28.9">
      <c r="A33" s="27" t="str">
        <v>Hialeah Gardens</v>
      </c>
      <c r="B33" s="28" t="str">
        <v>FL</v>
      </c>
      <c r="C33" s="71">
        <v>662.60439568757999</v>
      </c>
      <c r="D33" s="15">
        <v>4236.7879999999996</v>
      </c>
      <c r="E33" s="15">
        <f t="shared" si="0"/>
        <v>-3574.1836043124194</v>
      </c>
      <c r="F33" s="75">
        <f t="shared" si="5"/>
        <v>-0.84360690322773291</v>
      </c>
      <c r="G33" s="72">
        <v>3416</v>
      </c>
      <c r="H33" s="72">
        <f t="shared" si="1"/>
        <v>-2753.3956043124199</v>
      </c>
      <c r="I33" s="75">
        <f t="shared" si="4"/>
        <v>-0.80602915817108312</v>
      </c>
      <c r="J33" s="39" t="s">
        <v>56</v>
      </c>
      <c r="K33" s="78" t="s">
        <v>57</v>
      </c>
      <c r="L33" s="54" t="s">
        <v>34</v>
      </c>
    </row>
    <row r="34" spans="1:12" ht="15.6">
      <c r="A34" s="25" t="str">
        <v>W. Des Moines Campus EAST</v>
      </c>
      <c r="B34" s="26" t="str">
        <v>IA</v>
      </c>
      <c r="C34" s="57">
        <v>104686.500000001</v>
      </c>
      <c r="D34" s="11">
        <v>116276.6</v>
      </c>
      <c r="E34" s="11">
        <f t="shared" si="0"/>
        <v>-11590.099999999002</v>
      </c>
      <c r="F34" s="58">
        <f t="shared" si="5"/>
        <v>-9.9676977138985837E-2</v>
      </c>
      <c r="G34" s="73">
        <v>103900</v>
      </c>
      <c r="H34" s="73">
        <f t="shared" si="1"/>
        <v>786.50000000100408</v>
      </c>
      <c r="I34" s="74">
        <f t="shared" si="4"/>
        <v>7.5697786333109151E-3</v>
      </c>
      <c r="J34" s="59"/>
      <c r="K34" s="59"/>
      <c r="L34" s="59"/>
    </row>
    <row r="35" spans="1:12" ht="28.9">
      <c r="A35" s="27" t="str">
        <v>W. Des Moines Campus SW</v>
      </c>
      <c r="B35" s="28" t="str">
        <v>IA</v>
      </c>
      <c r="C35" s="71">
        <v>53545</v>
      </c>
      <c r="D35" s="15">
        <v>66094.850000000006</v>
      </c>
      <c r="E35" s="15">
        <f t="shared" si="0"/>
        <v>-12549.850000000006</v>
      </c>
      <c r="F35" s="75">
        <f t="shared" si="5"/>
        <v>-0.18987636706944647</v>
      </c>
      <c r="G35" s="72">
        <v>54643.48</v>
      </c>
      <c r="H35" s="72">
        <f t="shared" si="1"/>
        <v>-1098.4800000000032</v>
      </c>
      <c r="I35" s="75">
        <f t="shared" si="4"/>
        <v>-2.0102672816592265E-2</v>
      </c>
      <c r="J35" s="39" t="s">
        <v>58</v>
      </c>
      <c r="K35" s="78" t="s">
        <v>59</v>
      </c>
      <c r="L35" s="54" t="s">
        <v>60</v>
      </c>
    </row>
    <row r="36" spans="1:12" ht="28.9">
      <c r="A36" s="25" t="str">
        <v>WF - CIC</v>
      </c>
      <c r="B36" s="26" t="str">
        <v>NC</v>
      </c>
      <c r="C36" s="57">
        <v>90929</v>
      </c>
      <c r="D36" s="11">
        <v>91687.46</v>
      </c>
      <c r="E36" s="11">
        <f t="shared" ref="E36:E67" si="6">IF(AND(ISNUMBER(C36),ISNUMBER(D36)), C36-D36, "")</f>
        <v>-758.4600000000064</v>
      </c>
      <c r="F36" s="58">
        <f t="shared" si="5"/>
        <v>-8.2722326477361937E-3</v>
      </c>
      <c r="G36" s="73">
        <v>106712</v>
      </c>
      <c r="H36" s="73">
        <f t="shared" ref="H36:H67" si="7">IF(AND(ISNUMBER(C36),ISNUMBER(G36)), C36-G36, "")</f>
        <v>-15783</v>
      </c>
      <c r="I36" s="74">
        <f t="shared" si="4"/>
        <v>-0.14790276632431218</v>
      </c>
      <c r="J36" s="59" t="s">
        <v>61</v>
      </c>
      <c r="K36" s="59"/>
      <c r="L36" s="59"/>
    </row>
    <row r="37" spans="1:12" ht="15.6">
      <c r="A37" s="27" t="str">
        <v>Charlotte - Wells Fargo - DUC</v>
      </c>
      <c r="B37" s="28" t="str">
        <v>NC</v>
      </c>
      <c r="C37" s="71">
        <v>1005.3</v>
      </c>
      <c r="D37" s="15">
        <v>1570.941</v>
      </c>
      <c r="E37" s="15">
        <f t="shared" si="6"/>
        <v>-565.64100000000008</v>
      </c>
      <c r="F37" s="75">
        <f t="shared" si="5"/>
        <v>-0.36006508201135501</v>
      </c>
      <c r="G37" s="72">
        <v>1638.3779999999999</v>
      </c>
      <c r="H37" s="72">
        <f t="shared" si="7"/>
        <v>-633.07799999999997</v>
      </c>
      <c r="I37" s="75">
        <f t="shared" si="4"/>
        <v>-0.3864053350325749</v>
      </c>
      <c r="J37" s="39" t="s">
        <v>62</v>
      </c>
      <c r="K37" s="54"/>
      <c r="L37" s="54"/>
    </row>
    <row r="38" spans="1:12" ht="15.6">
      <c r="A38" s="25" t="str">
        <v>East Windsor</v>
      </c>
      <c r="B38" s="26" t="str">
        <v>NJ</v>
      </c>
      <c r="C38" s="210">
        <v>274.5</v>
      </c>
      <c r="D38" s="203">
        <v>539.57060000000001</v>
      </c>
      <c r="E38" s="11">
        <f t="shared" si="6"/>
        <v>-265.07060000000001</v>
      </c>
      <c r="F38" s="58">
        <f t="shared" si="5"/>
        <v>-0.49126212584599682</v>
      </c>
      <c r="G38" s="73">
        <v>404.42610000000002</v>
      </c>
      <c r="H38" s="73">
        <f t="shared" si="7"/>
        <v>-129.92610000000002</v>
      </c>
      <c r="I38" s="74">
        <f t="shared" ref="I38:I69" si="8">IFERROR(H38/G38, "")</f>
        <v>-0.3212604231032567</v>
      </c>
      <c r="J38" s="205" t="s">
        <v>48</v>
      </c>
      <c r="K38" s="205"/>
      <c r="L38" s="205"/>
    </row>
    <row r="39" spans="1:12" ht="15.6">
      <c r="A39" s="27" t="str">
        <v>Burlington</v>
      </c>
      <c r="B39" s="28" t="str">
        <v>NJ</v>
      </c>
      <c r="C39" s="206">
        <v>830.19999999999698</v>
      </c>
      <c r="D39" s="15">
        <v>1183.5409999999999</v>
      </c>
      <c r="E39" s="15">
        <f t="shared" si="6"/>
        <v>-353.34100000000296</v>
      </c>
      <c r="F39" s="75">
        <f t="shared" ref="F39:F70" si="9">IFERROR(E39/D39, "")</f>
        <v>-0.29854563551241825</v>
      </c>
      <c r="G39" s="207">
        <v>1081.357</v>
      </c>
      <c r="H39" s="72">
        <f t="shared" si="7"/>
        <v>-251.15700000000299</v>
      </c>
      <c r="I39" s="75">
        <f t="shared" si="8"/>
        <v>-0.23226094620000887</v>
      </c>
      <c r="J39" s="208" t="s">
        <v>63</v>
      </c>
      <c r="K39" s="208"/>
      <c r="L39" s="208"/>
    </row>
    <row r="40" spans="1:12" ht="43.15">
      <c r="A40" s="25" t="str">
        <v>Bayonne</v>
      </c>
      <c r="B40" s="26" t="str">
        <v>NJ</v>
      </c>
      <c r="C40" s="201">
        <v>309.19999999999698</v>
      </c>
      <c r="D40" s="202">
        <v>879.31179999999995</v>
      </c>
      <c r="E40" s="11">
        <f t="shared" si="6"/>
        <v>-570.11180000000297</v>
      </c>
      <c r="F40" s="58">
        <f t="shared" si="9"/>
        <v>-0.64836136624119345</v>
      </c>
      <c r="G40" s="204">
        <v>1991.37</v>
      </c>
      <c r="H40" s="73">
        <f t="shared" si="7"/>
        <v>-1682.1700000000028</v>
      </c>
      <c r="I40" s="74">
        <f t="shared" si="8"/>
        <v>-0.84473000999312176</v>
      </c>
      <c r="J40" s="38" t="s">
        <v>64</v>
      </c>
      <c r="K40" s="76" t="s">
        <v>65</v>
      </c>
      <c r="L40" s="38" t="s">
        <v>60</v>
      </c>
    </row>
    <row r="41" spans="1:12" ht="15.6">
      <c r="A41" s="27" t="str">
        <v>Clifton</v>
      </c>
      <c r="B41" s="28" t="str">
        <v>NJ</v>
      </c>
      <c r="C41" s="206">
        <v>980.1875</v>
      </c>
      <c r="D41" s="15">
        <v>1527.2460000000001</v>
      </c>
      <c r="E41" s="15">
        <f t="shared" si="6"/>
        <v>-547.05850000000009</v>
      </c>
      <c r="F41" s="75">
        <f t="shared" si="9"/>
        <v>-0.35819933396453491</v>
      </c>
      <c r="G41" s="207">
        <v>2497.0830000000001</v>
      </c>
      <c r="H41" s="72">
        <f t="shared" si="7"/>
        <v>-1516.8955000000001</v>
      </c>
      <c r="I41" s="75">
        <f t="shared" si="8"/>
        <v>-0.60746699248683367</v>
      </c>
      <c r="J41" s="208" t="s">
        <v>66</v>
      </c>
      <c r="K41" s="208"/>
      <c r="L41" s="208"/>
    </row>
    <row r="42" spans="1:12" ht="15.6">
      <c r="A42" s="25" t="str">
        <v>North Elizabeth</v>
      </c>
      <c r="B42" s="26" t="str">
        <v>NJ</v>
      </c>
      <c r="C42" s="201">
        <v>771.10000000000605</v>
      </c>
      <c r="D42" s="202">
        <v>1132.049</v>
      </c>
      <c r="E42" s="11">
        <f t="shared" si="6"/>
        <v>-360.94899999999393</v>
      </c>
      <c r="F42" s="58">
        <f t="shared" si="9"/>
        <v>-0.31884573900952518</v>
      </c>
      <c r="G42" s="204">
        <v>1342.5940000000001</v>
      </c>
      <c r="H42" s="73">
        <f t="shared" si="7"/>
        <v>-571.493999999994</v>
      </c>
      <c r="I42" s="74">
        <f t="shared" si="8"/>
        <v>-0.42566405033837035</v>
      </c>
      <c r="J42" s="205" t="s">
        <v>63</v>
      </c>
      <c r="K42" s="205"/>
      <c r="L42" s="205"/>
    </row>
    <row r="43" spans="1:12" ht="15.6">
      <c r="A43" s="27" t="str">
        <v>Haddon Westmont Plaza</v>
      </c>
      <c r="B43" s="28" t="str">
        <v>NJ</v>
      </c>
      <c r="C43" s="214">
        <v>566.19999999999698</v>
      </c>
      <c r="D43" s="15">
        <v>1181.194</v>
      </c>
      <c r="E43" s="15">
        <f t="shared" si="6"/>
        <v>-614.99400000000298</v>
      </c>
      <c r="F43" s="75">
        <f t="shared" si="9"/>
        <v>-0.52065452415098878</v>
      </c>
      <c r="G43" s="213">
        <v>956.64300000000003</v>
      </c>
      <c r="H43" s="72">
        <f t="shared" si="7"/>
        <v>-390.44300000000305</v>
      </c>
      <c r="I43" s="75">
        <f t="shared" si="8"/>
        <v>-0.40813866823883416</v>
      </c>
      <c r="J43" s="208" t="s">
        <v>63</v>
      </c>
      <c r="K43" s="208"/>
      <c r="L43" s="208"/>
    </row>
    <row r="44" spans="1:12" ht="15.6">
      <c r="A44" s="25" t="str">
        <v>Parsippany</v>
      </c>
      <c r="B44" s="26" t="str">
        <v>NJ</v>
      </c>
      <c r="C44" s="201">
        <v>678.80000000001701</v>
      </c>
      <c r="D44" s="202">
        <v>1054.9059999999999</v>
      </c>
      <c r="E44" s="11">
        <f t="shared" si="6"/>
        <v>-376.10599999998294</v>
      </c>
      <c r="F44" s="58">
        <f t="shared" si="9"/>
        <v>-0.35653034488379343</v>
      </c>
      <c r="G44" s="204">
        <v>1069.962</v>
      </c>
      <c r="H44" s="73">
        <f t="shared" si="7"/>
        <v>-391.16199999998298</v>
      </c>
      <c r="I44" s="74">
        <f t="shared" si="8"/>
        <v>-0.36558494600741243</v>
      </c>
      <c r="J44" s="205" t="s">
        <v>63</v>
      </c>
      <c r="K44" s="205"/>
      <c r="L44" s="205"/>
    </row>
    <row r="45" spans="1:12" ht="15.6">
      <c r="A45" s="27" t="str">
        <v>Clark</v>
      </c>
      <c r="B45" s="28" t="str">
        <v>NJ</v>
      </c>
      <c r="C45" s="214">
        <v>632.5</v>
      </c>
      <c r="D45" s="15">
        <v>1071.2149999999999</v>
      </c>
      <c r="E45" s="15">
        <f t="shared" si="6"/>
        <v>-438.71499999999992</v>
      </c>
      <c r="F45" s="75">
        <f t="shared" si="9"/>
        <v>-0.40954897009470548</v>
      </c>
      <c r="G45" s="213">
        <v>910.95889999999997</v>
      </c>
      <c r="H45" s="72">
        <f t="shared" si="7"/>
        <v>-278.45889999999997</v>
      </c>
      <c r="I45" s="75">
        <f t="shared" si="8"/>
        <v>-0.30567668859703767</v>
      </c>
      <c r="J45" s="208" t="s">
        <v>63</v>
      </c>
      <c r="K45" s="208"/>
      <c r="L45" s="208"/>
    </row>
    <row r="46" spans="1:12" ht="15.6">
      <c r="A46" s="25" t="str">
        <v>Closter</v>
      </c>
      <c r="B46" s="26" t="str">
        <v>NJ</v>
      </c>
      <c r="C46" s="210">
        <v>79.699999999989799</v>
      </c>
      <c r="D46" s="203">
        <v>171.441</v>
      </c>
      <c r="E46" s="11">
        <f t="shared" si="6"/>
        <v>-91.741000000010203</v>
      </c>
      <c r="F46" s="58">
        <f t="shared" si="9"/>
        <v>-0.53511703734818505</v>
      </c>
      <c r="G46" s="211">
        <v>459.99299999999999</v>
      </c>
      <c r="H46" s="73">
        <f t="shared" si="7"/>
        <v>-380.29300000001018</v>
      </c>
      <c r="I46" s="74">
        <f t="shared" si="8"/>
        <v>-0.82673649381623238</v>
      </c>
      <c r="J46" s="205" t="s">
        <v>63</v>
      </c>
      <c r="K46" s="205"/>
      <c r="L46" s="205"/>
    </row>
    <row r="47" spans="1:12" ht="15.6">
      <c r="A47" s="27" t="str">
        <v>Holmdel</v>
      </c>
      <c r="B47" s="28" t="str">
        <v>NJ</v>
      </c>
      <c r="C47" s="214">
        <v>489.40000000000902</v>
      </c>
      <c r="D47" s="15">
        <v>4241.451</v>
      </c>
      <c r="E47" s="15">
        <f t="shared" si="6"/>
        <v>-3752.0509999999908</v>
      </c>
      <c r="F47" s="75">
        <f t="shared" si="9"/>
        <v>-0.88461495841870874</v>
      </c>
      <c r="G47" s="213">
        <v>799.57860000000005</v>
      </c>
      <c r="H47" s="72">
        <f t="shared" si="7"/>
        <v>-310.17859999999104</v>
      </c>
      <c r="I47" s="75">
        <f t="shared" si="8"/>
        <v>-0.38792759085847345</v>
      </c>
      <c r="J47" s="208" t="s">
        <v>63</v>
      </c>
      <c r="K47" s="208"/>
      <c r="L47" s="208"/>
    </row>
    <row r="48" spans="1:12" ht="28.9">
      <c r="A48" s="25" t="str">
        <v>Ellisburg Circle Center</v>
      </c>
      <c r="B48" s="26" t="str">
        <v>NJ</v>
      </c>
      <c r="C48" s="210">
        <v>276.90000000000902</v>
      </c>
      <c r="D48" s="203">
        <v>564.34059999999999</v>
      </c>
      <c r="E48" s="11">
        <f t="shared" si="6"/>
        <v>-287.44059999999098</v>
      </c>
      <c r="F48" s="58">
        <f t="shared" si="9"/>
        <v>-0.50933886379961146</v>
      </c>
      <c r="G48" s="211">
        <v>448.52499999999998</v>
      </c>
      <c r="H48" s="73">
        <f t="shared" si="7"/>
        <v>-171.62499999999096</v>
      </c>
      <c r="I48" s="74">
        <f t="shared" si="8"/>
        <v>-0.38264310796497625</v>
      </c>
      <c r="J48" s="205" t="s">
        <v>23</v>
      </c>
      <c r="K48" s="205"/>
      <c r="L48" s="205"/>
    </row>
    <row r="49" spans="1:12" ht="72">
      <c r="A49" s="27" t="str">
        <v>Nutley</v>
      </c>
      <c r="B49" s="28" t="str">
        <v>NJ</v>
      </c>
      <c r="C49" s="206">
        <v>1005.30000000002</v>
      </c>
      <c r="D49" s="15">
        <v>1570.941</v>
      </c>
      <c r="E49" s="15">
        <f t="shared" si="6"/>
        <v>-565.64099999998007</v>
      </c>
      <c r="F49" s="75">
        <f t="shared" si="9"/>
        <v>-0.3600650820113423</v>
      </c>
      <c r="G49" s="207">
        <v>1638.3779999999999</v>
      </c>
      <c r="H49" s="72">
        <f t="shared" si="7"/>
        <v>-633.07799999997997</v>
      </c>
      <c r="I49" s="75">
        <f t="shared" si="8"/>
        <v>-0.38640533503256269</v>
      </c>
      <c r="J49" s="208" t="s">
        <v>36</v>
      </c>
      <c r="K49" s="208"/>
      <c r="L49" s="208"/>
    </row>
    <row r="50" spans="1:12" ht="15.6">
      <c r="A50" s="25" t="str">
        <v>Marlton</v>
      </c>
      <c r="B50" s="26" t="str">
        <v>NJ</v>
      </c>
      <c r="C50" s="201">
        <v>1120.5</v>
      </c>
      <c r="D50" s="202">
        <v>1478.3879999999999</v>
      </c>
      <c r="E50" s="11">
        <f t="shared" si="6"/>
        <v>-357.88799999999992</v>
      </c>
      <c r="F50" s="58">
        <f t="shared" si="9"/>
        <v>-0.24207988701206987</v>
      </c>
      <c r="G50" s="204">
        <v>1592.2</v>
      </c>
      <c r="H50" s="73">
        <f t="shared" si="7"/>
        <v>-471.70000000000005</v>
      </c>
      <c r="I50" s="74">
        <f t="shared" si="8"/>
        <v>-0.29625675166436377</v>
      </c>
      <c r="J50" s="205" t="s">
        <v>63</v>
      </c>
      <c r="K50" s="205"/>
      <c r="L50" s="205"/>
    </row>
    <row r="51" spans="1:12" ht="15.6">
      <c r="A51" s="27" t="str">
        <v>Middletown</v>
      </c>
      <c r="B51" s="28" t="str">
        <v>NJ</v>
      </c>
      <c r="C51" s="206">
        <v>1163.2</v>
      </c>
      <c r="D51" s="15">
        <v>970.87180000000001</v>
      </c>
      <c r="E51" s="15">
        <f t="shared" si="6"/>
        <v>192.32820000000004</v>
      </c>
      <c r="F51" s="75">
        <f t="shared" si="9"/>
        <v>0.19809845130943141</v>
      </c>
      <c r="G51" s="207">
        <v>1612.789</v>
      </c>
      <c r="H51" s="72">
        <f t="shared" si="7"/>
        <v>-449.58899999999994</v>
      </c>
      <c r="I51" s="75">
        <f t="shared" si="8"/>
        <v>-0.27876492213178533</v>
      </c>
      <c r="J51" s="208" t="s">
        <v>63</v>
      </c>
      <c r="K51" s="208"/>
      <c r="L51" s="208"/>
    </row>
    <row r="52" spans="1:12" ht="28.9">
      <c r="A52" s="25" t="str">
        <v>Whiting Crestwood</v>
      </c>
      <c r="B52" s="26" t="str">
        <v>NJ</v>
      </c>
      <c r="C52" s="201">
        <v>1984.79999999999</v>
      </c>
      <c r="D52" s="202">
        <v>2727.172</v>
      </c>
      <c r="E52" s="11">
        <f t="shared" si="6"/>
        <v>-742.37200000001008</v>
      </c>
      <c r="F52" s="58">
        <f t="shared" si="9"/>
        <v>-0.27221312040458395</v>
      </c>
      <c r="G52" s="204">
        <v>2429.9490000000001</v>
      </c>
      <c r="H52" s="73">
        <f t="shared" si="7"/>
        <v>-445.14900000001012</v>
      </c>
      <c r="I52" s="74">
        <f t="shared" si="8"/>
        <v>-0.18319273367466152</v>
      </c>
      <c r="J52" s="205" t="s">
        <v>67</v>
      </c>
      <c r="K52" s="205"/>
      <c r="L52" s="205"/>
    </row>
    <row r="53" spans="1:12" ht="15.6">
      <c r="A53" s="27" t="str">
        <v>Barnegat</v>
      </c>
      <c r="B53" s="28" t="str">
        <v>NJ</v>
      </c>
      <c r="C53" s="206">
        <v>2083.5625</v>
      </c>
      <c r="D53" s="15">
        <v>2071.1080000000002</v>
      </c>
      <c r="E53" s="15">
        <f t="shared" si="6"/>
        <v>12.454499999999825</v>
      </c>
      <c r="F53" s="75">
        <f t="shared" si="9"/>
        <v>6.0134478742778375E-3</v>
      </c>
      <c r="G53" s="207">
        <v>1997.4960000000001</v>
      </c>
      <c r="H53" s="72">
        <f t="shared" si="7"/>
        <v>86.066499999999905</v>
      </c>
      <c r="I53" s="75">
        <f t="shared" si="8"/>
        <v>4.3087195168350724E-2</v>
      </c>
      <c r="J53" s="208"/>
      <c r="K53" s="208"/>
      <c r="L53" s="208"/>
    </row>
    <row r="54" spans="1:12" ht="28.9">
      <c r="A54" s="25" t="str">
        <v>Manchester</v>
      </c>
      <c r="B54" s="26" t="str">
        <v>NJ</v>
      </c>
      <c r="C54" s="201">
        <v>1421.20000000001</v>
      </c>
      <c r="D54" s="202">
        <v>1655.5989999999999</v>
      </c>
      <c r="E54" s="11">
        <f t="shared" si="6"/>
        <v>-234.39899999998988</v>
      </c>
      <c r="F54" s="58">
        <f t="shared" si="9"/>
        <v>-0.14157957331454651</v>
      </c>
      <c r="G54" s="204">
        <v>2125.511</v>
      </c>
      <c r="H54" s="73">
        <f t="shared" si="7"/>
        <v>-704.31099999998992</v>
      </c>
      <c r="I54" s="74">
        <f t="shared" si="8"/>
        <v>-0.33136078806460656</v>
      </c>
      <c r="J54" s="205" t="s">
        <v>23</v>
      </c>
      <c r="K54" s="205"/>
      <c r="L54" s="205"/>
    </row>
    <row r="55" spans="1:12" ht="15.6">
      <c r="A55" s="27" t="str">
        <v>West Deptford - Woodbury</v>
      </c>
      <c r="B55" s="28" t="str">
        <v>NJ</v>
      </c>
      <c r="C55" s="206">
        <v>1648.3999999999901</v>
      </c>
      <c r="D55" s="15">
        <v>2213.6970000000001</v>
      </c>
      <c r="E55" s="15">
        <f t="shared" si="6"/>
        <v>-565.29700000001003</v>
      </c>
      <c r="F55" s="75">
        <f t="shared" si="9"/>
        <v>-0.25536331304600857</v>
      </c>
      <c r="G55" s="207">
        <v>1933.7550000000001</v>
      </c>
      <c r="H55" s="72">
        <f t="shared" si="7"/>
        <v>-285.35500000001002</v>
      </c>
      <c r="I55" s="75">
        <f t="shared" si="8"/>
        <v>-0.14756522930775098</v>
      </c>
      <c r="J55" s="208" t="s">
        <v>68</v>
      </c>
      <c r="K55" s="208"/>
      <c r="L55" s="208"/>
    </row>
    <row r="56" spans="1:12" ht="28.9">
      <c r="A56" s="25" t="str">
        <v>Edison</v>
      </c>
      <c r="B56" s="26" t="str">
        <v>NJ</v>
      </c>
      <c r="C56" s="201">
        <v>1121.7</v>
      </c>
      <c r="D56" s="202">
        <v>1102.4559999999999</v>
      </c>
      <c r="E56" s="11">
        <f t="shared" si="6"/>
        <v>19.244000000000142</v>
      </c>
      <c r="F56" s="58">
        <f t="shared" si="9"/>
        <v>1.7455571923051933E-2</v>
      </c>
      <c r="G56" s="204">
        <v>1456.5989999999999</v>
      </c>
      <c r="H56" s="73">
        <f t="shared" si="7"/>
        <v>-334.89899999999989</v>
      </c>
      <c r="I56" s="74">
        <f t="shared" si="8"/>
        <v>-0.22991846074314201</v>
      </c>
      <c r="J56" s="205" t="s">
        <v>69</v>
      </c>
      <c r="K56" s="205"/>
      <c r="L56" s="205"/>
    </row>
    <row r="57" spans="1:12" ht="28.9">
      <c r="A57" s="27" t="str">
        <v>Flemington</v>
      </c>
      <c r="B57" s="28" t="str">
        <v>NJ</v>
      </c>
      <c r="C57" s="206">
        <v>822.69999999999698</v>
      </c>
      <c r="D57" s="15">
        <v>1037.3009999999999</v>
      </c>
      <c r="E57" s="15">
        <f t="shared" si="6"/>
        <v>-214.60100000000295</v>
      </c>
      <c r="F57" s="75">
        <f t="shared" si="9"/>
        <v>-0.2068840191998301</v>
      </c>
      <c r="G57" s="207">
        <v>1229.1559999999999</v>
      </c>
      <c r="H57" s="72">
        <f t="shared" si="7"/>
        <v>-406.45600000000297</v>
      </c>
      <c r="I57" s="75">
        <f t="shared" si="8"/>
        <v>-0.33067893741722204</v>
      </c>
      <c r="J57" s="208" t="s">
        <v>23</v>
      </c>
      <c r="K57" s="208"/>
      <c r="L57" s="208"/>
    </row>
    <row r="58" spans="1:12" ht="28.9">
      <c r="A58" s="25" t="str">
        <v>Route 22</v>
      </c>
      <c r="B58" s="26" t="str">
        <v>NJ</v>
      </c>
      <c r="C58" s="201">
        <v>998.69999999999698</v>
      </c>
      <c r="D58" s="202">
        <v>2218.8829999999998</v>
      </c>
      <c r="E58" s="11">
        <f t="shared" si="6"/>
        <v>-1220.1830000000027</v>
      </c>
      <c r="F58" s="58">
        <f t="shared" si="9"/>
        <v>-0.54990867026337253</v>
      </c>
      <c r="G58" s="204">
        <v>1377.8869999999999</v>
      </c>
      <c r="H58" s="73">
        <f t="shared" si="7"/>
        <v>-379.18700000000297</v>
      </c>
      <c r="I58" s="74">
        <f t="shared" si="8"/>
        <v>-0.27519455514131635</v>
      </c>
      <c r="J58" s="205" t="s">
        <v>23</v>
      </c>
      <c r="K58" s="205"/>
      <c r="L58" s="205"/>
    </row>
    <row r="59" spans="1:12" ht="15.6" hidden="1">
      <c r="A59" s="27" t="str">
        <v>Laurelton</v>
      </c>
      <c r="B59" s="28" t="str">
        <v>NJ</v>
      </c>
      <c r="C59" s="214"/>
      <c r="D59" s="15"/>
      <c r="E59" s="15" t="str">
        <f t="shared" si="6"/>
        <v/>
      </c>
      <c r="F59" s="75" t="str">
        <f t="shared" si="9"/>
        <v/>
      </c>
      <c r="G59" s="207"/>
      <c r="H59" s="72" t="str">
        <f t="shared" si="7"/>
        <v/>
      </c>
      <c r="I59" s="75" t="str">
        <f t="shared" si="8"/>
        <v/>
      </c>
      <c r="J59" s="39" t="s">
        <v>70</v>
      </c>
      <c r="K59" s="83" t="s">
        <v>71</v>
      </c>
      <c r="L59" s="40" t="s">
        <v>34</v>
      </c>
    </row>
    <row r="60" spans="1:12" ht="57.6">
      <c r="A60" s="25" t="str">
        <v>Mahwah</v>
      </c>
      <c r="B60" s="26" t="str">
        <v>NJ</v>
      </c>
      <c r="C60" s="201">
        <v>579.80000000000302</v>
      </c>
      <c r="D60" s="202">
        <v>473.23700000000002</v>
      </c>
      <c r="E60" s="11">
        <f t="shared" si="6"/>
        <v>106.563000000003</v>
      </c>
      <c r="F60" s="58">
        <f t="shared" si="9"/>
        <v>0.22517892726055444</v>
      </c>
      <c r="G60" s="204">
        <v>1012.181</v>
      </c>
      <c r="H60" s="73">
        <f t="shared" si="7"/>
        <v>-432.38099999999702</v>
      </c>
      <c r="I60" s="74">
        <f t="shared" si="8"/>
        <v>-0.4271775502602766</v>
      </c>
      <c r="J60" s="38" t="s">
        <v>72</v>
      </c>
      <c r="K60" s="76" t="s">
        <v>73</v>
      </c>
      <c r="L60" s="38" t="s">
        <v>34</v>
      </c>
    </row>
    <row r="61" spans="1:12" ht="72">
      <c r="A61" s="27" t="str">
        <v>Franklin Township WF</v>
      </c>
      <c r="B61" s="28" t="str">
        <v>NJ</v>
      </c>
      <c r="C61" s="206">
        <v>763.89999999999395</v>
      </c>
      <c r="D61" s="15">
        <v>1235.231</v>
      </c>
      <c r="E61" s="15">
        <f t="shared" si="6"/>
        <v>-471.33100000000604</v>
      </c>
      <c r="F61" s="75">
        <f t="shared" si="9"/>
        <v>-0.38157316323829799</v>
      </c>
      <c r="G61" s="207">
        <v>1704.5740000000001</v>
      </c>
      <c r="H61" s="72">
        <f t="shared" si="7"/>
        <v>-940.67400000000612</v>
      </c>
      <c r="I61" s="75">
        <f t="shared" si="8"/>
        <v>-0.5518528383044714</v>
      </c>
      <c r="J61" s="208" t="s">
        <v>36</v>
      </c>
      <c r="K61" s="208"/>
      <c r="L61" s="208"/>
    </row>
    <row r="62" spans="1:12" ht="28.9">
      <c r="A62" s="25" t="str">
        <v>Bordentown</v>
      </c>
      <c r="B62" s="26" t="str">
        <v>NJ</v>
      </c>
      <c r="C62" s="201">
        <v>858.80000000000302</v>
      </c>
      <c r="D62" s="202">
        <v>1050.8420000000001</v>
      </c>
      <c r="E62" s="11">
        <f t="shared" si="6"/>
        <v>-192.04199999999707</v>
      </c>
      <c r="F62" s="58">
        <f t="shared" si="9"/>
        <v>-0.18275059428534171</v>
      </c>
      <c r="G62" s="204">
        <v>1116.252</v>
      </c>
      <c r="H62" s="73">
        <f t="shared" si="7"/>
        <v>-257.45199999999693</v>
      </c>
      <c r="I62" s="74">
        <f t="shared" si="8"/>
        <v>-0.23063967634548196</v>
      </c>
      <c r="J62" s="205" t="s">
        <v>74</v>
      </c>
      <c r="K62" s="205"/>
      <c r="L62" s="205"/>
    </row>
    <row r="63" spans="1:12" ht="28.9">
      <c r="A63" s="27" t="str">
        <v>South Plainfield</v>
      </c>
      <c r="B63" s="28" t="str">
        <v>NJ</v>
      </c>
      <c r="C63" s="206">
        <v>504.10000000001298</v>
      </c>
      <c r="D63" s="212">
        <v>496.74939999999998</v>
      </c>
      <c r="E63" s="15">
        <f t="shared" si="6"/>
        <v>7.350600000013003</v>
      </c>
      <c r="F63" s="75">
        <f t="shared" si="9"/>
        <v>1.4797400862513379E-2</v>
      </c>
      <c r="G63" s="213">
        <v>739.85040000000004</v>
      </c>
      <c r="H63" s="72">
        <f t="shared" si="7"/>
        <v>-235.75039999998705</v>
      </c>
      <c r="I63" s="75">
        <f t="shared" si="8"/>
        <v>-0.31864603979397327</v>
      </c>
      <c r="J63" s="208" t="s">
        <v>75</v>
      </c>
      <c r="K63" s="208"/>
      <c r="L63" s="208"/>
    </row>
    <row r="64" spans="1:12" ht="28.9">
      <c r="A64" s="25" t="str">
        <v>Somerset</v>
      </c>
      <c r="B64" s="26" t="str">
        <v>NJ</v>
      </c>
      <c r="C64" s="201">
        <v>741.89999999999395</v>
      </c>
      <c r="D64" s="202">
        <v>1327.963</v>
      </c>
      <c r="E64" s="11">
        <f t="shared" si="6"/>
        <v>-586.06300000000601</v>
      </c>
      <c r="F64" s="58">
        <f t="shared" si="9"/>
        <v>-0.44132479594687957</v>
      </c>
      <c r="G64" s="204">
        <v>1050.556</v>
      </c>
      <c r="H64" s="73">
        <f t="shared" si="7"/>
        <v>-308.65600000000609</v>
      </c>
      <c r="I64" s="74">
        <f t="shared" si="8"/>
        <v>-0.29380251980856431</v>
      </c>
      <c r="J64" s="205" t="s">
        <v>75</v>
      </c>
      <c r="K64" s="205"/>
      <c r="L64" s="205"/>
    </row>
    <row r="65" spans="1:14" ht="57.6">
      <c r="A65" s="27" t="str">
        <v>Clinton Main Relo</v>
      </c>
      <c r="B65" s="28" t="str">
        <v>NJ</v>
      </c>
      <c r="C65" s="214">
        <v>684.71875</v>
      </c>
      <c r="D65" s="15">
        <v>1038.3009999999999</v>
      </c>
      <c r="E65" s="15">
        <f t="shared" si="6"/>
        <v>-353.58224999999993</v>
      </c>
      <c r="F65" s="75">
        <f t="shared" si="9"/>
        <v>-0.34053925595756912</v>
      </c>
      <c r="G65" s="207">
        <v>1069.124</v>
      </c>
      <c r="H65" s="72">
        <f t="shared" si="7"/>
        <v>-384.40525000000002</v>
      </c>
      <c r="I65" s="75">
        <f t="shared" si="8"/>
        <v>-0.35955160486529159</v>
      </c>
      <c r="J65" s="208" t="s">
        <v>76</v>
      </c>
      <c r="K65" s="208"/>
      <c r="L65" s="208"/>
    </row>
    <row r="66" spans="1:14" ht="57.6">
      <c r="A66" s="25" t="str">
        <v>North Brunswick</v>
      </c>
      <c r="B66" s="26" t="str">
        <v>NJ</v>
      </c>
      <c r="C66" s="201">
        <v>863.69999999998299</v>
      </c>
      <c r="D66" s="202">
        <v>992.20060000000001</v>
      </c>
      <c r="E66" s="11">
        <f t="shared" si="6"/>
        <v>-128.50060000001702</v>
      </c>
      <c r="F66" s="58">
        <f t="shared" si="9"/>
        <v>-0.12951070579882437</v>
      </c>
      <c r="G66" s="204">
        <v>1377.2739999999999</v>
      </c>
      <c r="H66" s="73">
        <f t="shared" si="7"/>
        <v>-513.57400000001689</v>
      </c>
      <c r="I66" s="74">
        <f t="shared" si="8"/>
        <v>-0.37289166861497197</v>
      </c>
      <c r="J66" s="205" t="s">
        <v>77</v>
      </c>
      <c r="K66" s="215"/>
      <c r="L66" s="215"/>
    </row>
    <row r="67" spans="1:14" ht="57.6">
      <c r="A67" s="27" t="str">
        <v>Cherry Hill</v>
      </c>
      <c r="B67" s="28" t="str">
        <v>NJ</v>
      </c>
      <c r="C67" s="206">
        <v>708.6328125</v>
      </c>
      <c r="D67" s="15">
        <v>839.72919999999999</v>
      </c>
      <c r="E67" s="15">
        <f t="shared" si="6"/>
        <v>-131.09638749999999</v>
      </c>
      <c r="F67" s="75">
        <f t="shared" si="9"/>
        <v>-0.15611745727074872</v>
      </c>
      <c r="G67" s="207">
        <v>905.01319999999998</v>
      </c>
      <c r="H67" s="72">
        <f t="shared" si="7"/>
        <v>-196.38038749999998</v>
      </c>
      <c r="I67" s="75">
        <f t="shared" si="8"/>
        <v>-0.21699173835254557</v>
      </c>
      <c r="J67" s="208" t="s">
        <v>78</v>
      </c>
      <c r="K67" s="208"/>
      <c r="L67" s="208"/>
    </row>
    <row r="68" spans="1:14" ht="28.9">
      <c r="A68" s="25" t="str">
        <v>Hainesport</v>
      </c>
      <c r="B68" s="26" t="str">
        <v>NJ</v>
      </c>
      <c r="C68" s="201">
        <v>862.69999999999698</v>
      </c>
      <c r="D68" s="202">
        <v>891.55939999999998</v>
      </c>
      <c r="E68" s="11">
        <f t="shared" ref="E68:E90" si="10">IF(AND(ISNUMBER(C68),ISNUMBER(D68)), C68-D68, "")</f>
        <v>-28.859400000003006</v>
      </c>
      <c r="F68" s="58">
        <f t="shared" si="9"/>
        <v>-3.2369576272767701E-2</v>
      </c>
      <c r="G68" s="211">
        <v>983.42939999999999</v>
      </c>
      <c r="H68" s="73">
        <f t="shared" ref="H68:H91" si="11">IF(AND(ISNUMBER(C68),ISNUMBER(G68)), C68-G68, "")</f>
        <v>-120.72940000000301</v>
      </c>
      <c r="I68" s="74">
        <f t="shared" si="8"/>
        <v>-0.12276366763084672</v>
      </c>
      <c r="J68" s="205" t="s">
        <v>79</v>
      </c>
      <c r="K68" s="205"/>
      <c r="L68" s="205"/>
    </row>
    <row r="69" spans="1:14" ht="39.6">
      <c r="A69" s="27" t="str">
        <v>San Antonio - Ops Ctr (Bldg 106)</v>
      </c>
      <c r="B69" s="28" t="str">
        <v>TX</v>
      </c>
      <c r="C69" s="206">
        <v>27013.625</v>
      </c>
      <c r="D69" s="15">
        <v>33514.99</v>
      </c>
      <c r="E69" s="15">
        <f t="shared" si="10"/>
        <v>-6501.364999999998</v>
      </c>
      <c r="F69" s="75">
        <f t="shared" si="9"/>
        <v>-0.19398379650419106</v>
      </c>
      <c r="G69" s="207">
        <v>34509.79</v>
      </c>
      <c r="H69" s="72">
        <f t="shared" si="11"/>
        <v>-7496.1650000000009</v>
      </c>
      <c r="I69" s="75">
        <f t="shared" si="8"/>
        <v>-0.21721850524155611</v>
      </c>
      <c r="J69" s="39" t="s">
        <v>80</v>
      </c>
      <c r="K69" s="83" t="s">
        <v>81</v>
      </c>
      <c r="L69" s="39" t="s">
        <v>82</v>
      </c>
      <c r="M69" s="231" t="s">
        <v>83</v>
      </c>
      <c r="N69" s="231" t="s">
        <v>83</v>
      </c>
    </row>
    <row r="70" spans="1:14" ht="28.9">
      <c r="A70" s="25" t="str">
        <v>San Antonio - Ops Ctr GM</v>
      </c>
      <c r="B70" s="26" t="str">
        <v>TX</v>
      </c>
      <c r="C70" s="201">
        <v>272769.5</v>
      </c>
      <c r="D70" s="202">
        <v>305575.59999999998</v>
      </c>
      <c r="E70" s="11">
        <f t="shared" si="10"/>
        <v>-32806.099999999977</v>
      </c>
      <c r="F70" s="58">
        <f t="shared" si="9"/>
        <v>-0.10735837547238712</v>
      </c>
      <c r="G70" s="204">
        <v>286543</v>
      </c>
      <c r="H70" s="73">
        <f t="shared" si="11"/>
        <v>-13773.5</v>
      </c>
      <c r="I70" s="74">
        <f t="shared" ref="I70:I90" si="12">IFERROR(H70/G70, "")</f>
        <v>-4.806782926122781E-2</v>
      </c>
      <c r="J70" s="205" t="s">
        <v>84</v>
      </c>
      <c r="K70" s="215" t="s">
        <v>85</v>
      </c>
      <c r="L70" s="205" t="s">
        <v>34</v>
      </c>
    </row>
    <row r="71" spans="1:14" ht="28.9">
      <c r="A71" s="27" t="str">
        <v>San Antonio - Ctr (Bldg 201)</v>
      </c>
      <c r="B71" s="28" t="str">
        <v>TX</v>
      </c>
      <c r="C71" s="206">
        <v>30983</v>
      </c>
      <c r="D71" s="15">
        <v>33270.230000000003</v>
      </c>
      <c r="E71" s="15">
        <f t="shared" si="10"/>
        <v>-2287.2300000000032</v>
      </c>
      <c r="F71" s="75">
        <f t="shared" ref="F71:F90" si="13">IFERROR(E71/D71, "")</f>
        <v>-6.8747045030948181E-2</v>
      </c>
      <c r="G71" s="207">
        <v>35248.620000000003</v>
      </c>
      <c r="H71" s="72">
        <f t="shared" si="11"/>
        <v>-4265.6200000000026</v>
      </c>
      <c r="I71" s="75">
        <f t="shared" si="12"/>
        <v>-0.12101523407157506</v>
      </c>
      <c r="J71" s="208" t="s">
        <v>23</v>
      </c>
      <c r="K71" s="208"/>
      <c r="L71" s="208"/>
    </row>
    <row r="72" spans="1:14" ht="15.6">
      <c r="A72" s="25" t="str">
        <v>San Antonio - Ops Ctr (Bldg 203)</v>
      </c>
      <c r="B72" s="26" t="str">
        <v>TX</v>
      </c>
      <c r="C72" s="201">
        <v>35232</v>
      </c>
      <c r="D72" s="202">
        <v>34378.18</v>
      </c>
      <c r="E72" s="11">
        <f t="shared" si="10"/>
        <v>853.81999999999971</v>
      </c>
      <c r="F72" s="58">
        <f t="shared" si="13"/>
        <v>2.4836102434742029E-2</v>
      </c>
      <c r="G72" s="204">
        <v>36296.379999999997</v>
      </c>
      <c r="H72" s="73">
        <f t="shared" si="11"/>
        <v>-1064.3799999999974</v>
      </c>
      <c r="I72" s="74">
        <f t="shared" si="12"/>
        <v>-2.9324687475720649E-2</v>
      </c>
      <c r="J72" s="205"/>
      <c r="K72" s="205"/>
      <c r="L72" s="205"/>
    </row>
    <row r="73" spans="1:14" ht="15.6">
      <c r="A73" s="27" t="str">
        <v>San Antonio - Ops Ctr (Bldg 205)</v>
      </c>
      <c r="B73" s="28" t="str">
        <v>TX</v>
      </c>
      <c r="C73" s="206">
        <v>28456.625</v>
      </c>
      <c r="D73" s="15">
        <v>30316.54</v>
      </c>
      <c r="E73" s="15">
        <f t="shared" si="10"/>
        <v>-1859.9150000000009</v>
      </c>
      <c r="F73" s="75">
        <f t="shared" si="13"/>
        <v>-6.1349844012542357E-2</v>
      </c>
      <c r="G73" s="207">
        <v>32830.44</v>
      </c>
      <c r="H73" s="72">
        <f t="shared" si="11"/>
        <v>-4373.8150000000023</v>
      </c>
      <c r="I73" s="75">
        <f t="shared" si="12"/>
        <v>-0.1332243795696921</v>
      </c>
      <c r="J73" s="49" t="s">
        <v>86</v>
      </c>
      <c r="K73" s="79" t="s">
        <v>87</v>
      </c>
      <c r="L73" s="49" t="s">
        <v>34</v>
      </c>
    </row>
    <row r="74" spans="1:14" ht="28.9">
      <c r="A74" s="25" t="str">
        <v>San Antonio - Ops Ctr (Bldg 307)</v>
      </c>
      <c r="B74" s="26" t="str">
        <v>TX</v>
      </c>
      <c r="C74" s="201">
        <v>31917</v>
      </c>
      <c r="D74" s="202">
        <v>32971</v>
      </c>
      <c r="E74" s="11">
        <f t="shared" si="10"/>
        <v>-1054</v>
      </c>
      <c r="F74" s="58">
        <f t="shared" si="13"/>
        <v>-3.1967486579114981E-2</v>
      </c>
      <c r="G74" s="204">
        <v>34021.82</v>
      </c>
      <c r="H74" s="73">
        <f t="shared" si="11"/>
        <v>-2104.8199999999997</v>
      </c>
      <c r="I74" s="74">
        <f t="shared" si="12"/>
        <v>-6.186676668091242E-2</v>
      </c>
      <c r="J74" s="205" t="s">
        <v>23</v>
      </c>
      <c r="K74" s="205"/>
      <c r="L74" s="205"/>
    </row>
    <row r="75" spans="1:14" ht="15.6">
      <c r="A75" s="27" t="str">
        <v>San Antonio - Ctr (Bldg 308)</v>
      </c>
      <c r="B75" s="28" t="str">
        <v>TX</v>
      </c>
      <c r="C75" s="206">
        <v>32279.875</v>
      </c>
      <c r="D75" s="15">
        <v>32215.61</v>
      </c>
      <c r="E75" s="15">
        <f t="shared" si="10"/>
        <v>64.264999999999418</v>
      </c>
      <c r="F75" s="75">
        <f t="shared" si="13"/>
        <v>1.9948403894881834E-3</v>
      </c>
      <c r="G75" s="207">
        <v>33663.72</v>
      </c>
      <c r="H75" s="72">
        <f t="shared" si="11"/>
        <v>-1383.8450000000012</v>
      </c>
      <c r="I75" s="75">
        <f t="shared" si="12"/>
        <v>-4.1107904889893368E-2</v>
      </c>
      <c r="J75" s="54" t="s">
        <v>88</v>
      </c>
      <c r="K75" s="83" t="s">
        <v>89</v>
      </c>
      <c r="L75" s="40" t="s">
        <v>90</v>
      </c>
    </row>
    <row r="76" spans="1:14" ht="15.6">
      <c r="A76" s="25" t="str">
        <v>San Antonio - Ops Ctr (Bldg 104)</v>
      </c>
      <c r="B76" s="26" t="str">
        <v>TX</v>
      </c>
      <c r="C76" s="201">
        <v>8430.53125</v>
      </c>
      <c r="D76" s="202">
        <v>10097.17</v>
      </c>
      <c r="E76" s="11">
        <f t="shared" si="10"/>
        <v>-1666.6387500000001</v>
      </c>
      <c r="F76" s="58">
        <f t="shared" si="13"/>
        <v>-0.16505998710529782</v>
      </c>
      <c r="G76" s="204">
        <v>10049.530000000001</v>
      </c>
      <c r="H76" s="73">
        <f t="shared" si="11"/>
        <v>-1618.9987500000007</v>
      </c>
      <c r="I76" s="74">
        <f t="shared" si="12"/>
        <v>-0.16110193710551643</v>
      </c>
      <c r="J76" s="38" t="s">
        <v>91</v>
      </c>
      <c r="K76" s="205"/>
      <c r="L76" s="205"/>
    </row>
    <row r="77" spans="1:14" ht="15.6">
      <c r="A77" s="27" t="str">
        <v>San Antonio - Ops Ctr (Bldg 102)</v>
      </c>
      <c r="B77" s="28" t="str">
        <v>TX</v>
      </c>
      <c r="C77" s="206">
        <v>35573</v>
      </c>
      <c r="D77" s="15">
        <v>29681.39</v>
      </c>
      <c r="E77" s="15">
        <f t="shared" si="10"/>
        <v>5891.6100000000006</v>
      </c>
      <c r="F77" s="75">
        <f t="shared" si="13"/>
        <v>0.19849508395664761</v>
      </c>
      <c r="G77" s="207">
        <v>37316.199999999997</v>
      </c>
      <c r="H77" s="72">
        <f t="shared" si="11"/>
        <v>-1743.1999999999971</v>
      </c>
      <c r="I77" s="75">
        <f t="shared" si="12"/>
        <v>-4.6714295667833201E-2</v>
      </c>
      <c r="J77" s="208" t="s">
        <v>91</v>
      </c>
      <c r="K77" s="208"/>
      <c r="L77" s="208"/>
    </row>
    <row r="78" spans="1:14" ht="15.6">
      <c r="A78" s="25" t="str">
        <v>N Black Canyon Hwy, Phoenix - North</v>
      </c>
      <c r="B78" s="26" t="str">
        <v>AZ</v>
      </c>
      <c r="C78" s="201">
        <v>58428.75</v>
      </c>
      <c r="D78" s="202">
        <v>54421.37</v>
      </c>
      <c r="E78" s="11">
        <f t="shared" si="10"/>
        <v>4007.3799999999974</v>
      </c>
      <c r="F78" s="58">
        <f t="shared" si="13"/>
        <v>7.3636146976821734E-2</v>
      </c>
      <c r="G78" s="204">
        <v>57066</v>
      </c>
      <c r="H78" s="73">
        <f t="shared" si="11"/>
        <v>1362.75</v>
      </c>
      <c r="I78" s="74">
        <f t="shared" si="12"/>
        <v>2.3880243928083272E-2</v>
      </c>
      <c r="J78" s="205"/>
      <c r="K78" s="205"/>
      <c r="L78" s="205"/>
    </row>
    <row r="79" spans="1:14" ht="15.6">
      <c r="A79" s="27" t="str">
        <v>N Black Canyon Hwy, Phoenix - South</v>
      </c>
      <c r="B79" s="28" t="str">
        <v>AZ</v>
      </c>
      <c r="C79" s="206">
        <v>63226.125000000196</v>
      </c>
      <c r="D79" s="15">
        <v>59583.18</v>
      </c>
      <c r="E79" s="15">
        <f t="shared" si="10"/>
        <v>3642.9450000001962</v>
      </c>
      <c r="F79" s="75">
        <f t="shared" si="13"/>
        <v>6.1140493004908369E-2</v>
      </c>
      <c r="G79" s="207">
        <v>63382</v>
      </c>
      <c r="H79" s="72">
        <f t="shared" si="11"/>
        <v>-155.87499999980355</v>
      </c>
      <c r="I79" s="75">
        <f t="shared" si="12"/>
        <v>-2.4592944369032778E-3</v>
      </c>
      <c r="J79" s="208"/>
      <c r="K79" s="208"/>
      <c r="L79" s="208"/>
    </row>
    <row r="80" spans="1:14" ht="15.6">
      <c r="A80" s="25" t="str">
        <v xml:space="preserve"> Building 2222, Rose Garden Ln, Phoenix</v>
      </c>
      <c r="B80" s="26" t="str">
        <v>AZ</v>
      </c>
      <c r="C80" s="201">
        <v>59822.75</v>
      </c>
      <c r="D80" s="202">
        <v>63148.56</v>
      </c>
      <c r="E80" s="11">
        <f t="shared" si="10"/>
        <v>-3325.8099999999977</v>
      </c>
      <c r="F80" s="58">
        <f t="shared" si="13"/>
        <v>-5.2666442433524974E-2</v>
      </c>
      <c r="G80" s="204">
        <v>65567</v>
      </c>
      <c r="H80" s="73">
        <f t="shared" si="11"/>
        <v>-5744.25</v>
      </c>
      <c r="I80" s="74">
        <f t="shared" si="12"/>
        <v>-8.7608858114600327E-2</v>
      </c>
      <c r="J80" s="205"/>
      <c r="K80" s="215"/>
      <c r="L80" s="215"/>
    </row>
    <row r="81" spans="1:12" ht="15.6">
      <c r="A81" s="27" t="str">
        <v xml:space="preserve"> Building 2202, Rose Garden Ln, Phoenix</v>
      </c>
      <c r="B81" s="28" t="str">
        <v>AZ</v>
      </c>
      <c r="C81" s="206">
        <v>60683.036249999903</v>
      </c>
      <c r="D81" s="15">
        <v>52135.07</v>
      </c>
      <c r="E81" s="15">
        <f t="shared" si="10"/>
        <v>8547.9662499999031</v>
      </c>
      <c r="F81" s="75">
        <f t="shared" si="13"/>
        <v>0.16395808521979358</v>
      </c>
      <c r="G81" s="207">
        <v>49972.54</v>
      </c>
      <c r="H81" s="72">
        <f t="shared" si="11"/>
        <v>10710.496249999902</v>
      </c>
      <c r="I81" s="75">
        <f t="shared" si="12"/>
        <v>0.21432763373644609</v>
      </c>
      <c r="J81" s="208"/>
      <c r="K81" s="208"/>
      <c r="L81" s="208"/>
    </row>
    <row r="82" spans="1:12" ht="72">
      <c r="A82" s="25" t="str">
        <v xml:space="preserve"> 99TH Ave &amp; BELL</v>
      </c>
      <c r="B82" s="26" t="str">
        <v>AZ</v>
      </c>
      <c r="C82" s="201">
        <v>11191.6011711673</v>
      </c>
      <c r="D82" s="202">
        <v>7975.2830000000004</v>
      </c>
      <c r="E82" s="11">
        <f t="shared" si="10"/>
        <v>3216.3181711672996</v>
      </c>
      <c r="F82" s="58">
        <f t="shared" si="13"/>
        <v>0.40328577320294456</v>
      </c>
      <c r="G82" s="204">
        <v>13506</v>
      </c>
      <c r="H82" s="73">
        <f t="shared" si="11"/>
        <v>-2314.3988288327</v>
      </c>
      <c r="I82" s="74">
        <f t="shared" si="12"/>
        <v>-0.17136078993282244</v>
      </c>
      <c r="J82" s="205" t="s">
        <v>36</v>
      </c>
      <c r="K82" s="205"/>
      <c r="L82" s="205"/>
    </row>
    <row r="83" spans="1:12" ht="15.6">
      <c r="A83" s="27" t="str">
        <v>Rincon</v>
      </c>
      <c r="B83" s="28" t="str">
        <v>AZ</v>
      </c>
      <c r="C83" s="206">
        <v>5433.06249999997</v>
      </c>
      <c r="D83" s="15">
        <v>3833.2620000000002</v>
      </c>
      <c r="E83" s="15">
        <f t="shared" si="10"/>
        <v>1599.8004999999698</v>
      </c>
      <c r="F83" s="75">
        <f t="shared" si="13"/>
        <v>0.41734702715336697</v>
      </c>
      <c r="G83" s="207">
        <v>4593</v>
      </c>
      <c r="H83" s="72">
        <f t="shared" si="11"/>
        <v>840.06249999996999</v>
      </c>
      <c r="I83" s="75">
        <f t="shared" si="12"/>
        <v>0.18290060962333332</v>
      </c>
      <c r="J83" s="208"/>
      <c r="K83" s="209"/>
      <c r="L83" s="209"/>
    </row>
    <row r="84" spans="1:12" ht="57.6">
      <c r="A84" s="25" t="str">
        <v>Tucson Main Parking Garage</v>
      </c>
      <c r="B84" s="26" t="str">
        <v>AZ</v>
      </c>
      <c r="C84" s="201">
        <v>-52565.639956772298</v>
      </c>
      <c r="D84" s="202">
        <v>8358.1309999999994</v>
      </c>
      <c r="E84" s="11">
        <f t="shared" si="10"/>
        <v>-60923.7709567723</v>
      </c>
      <c r="F84" s="58">
        <f t="shared" si="13"/>
        <v>-7.2891620096373586</v>
      </c>
      <c r="G84" s="204">
        <v>8400</v>
      </c>
      <c r="H84" s="73">
        <f t="shared" si="11"/>
        <v>-60965.639956772298</v>
      </c>
      <c r="I84" s="74">
        <f t="shared" si="12"/>
        <v>-7.2578142805681312</v>
      </c>
      <c r="J84" s="59" t="s">
        <v>92</v>
      </c>
      <c r="K84" s="226" t="s">
        <v>93</v>
      </c>
      <c r="L84" s="59" t="s">
        <v>34</v>
      </c>
    </row>
    <row r="85" spans="1:12" ht="28.9">
      <c r="A85" s="27" t="str">
        <v>AZ: Chandler - Chandler Campus - Bldg A</v>
      </c>
      <c r="B85" s="28" t="str">
        <v>AZ</v>
      </c>
      <c r="C85" s="206">
        <v>5851.71875</v>
      </c>
      <c r="D85" s="15">
        <v>12876.3</v>
      </c>
      <c r="E85" s="15">
        <f t="shared" si="10"/>
        <v>-7024.5812499999993</v>
      </c>
      <c r="F85" s="75">
        <f t="shared" si="13"/>
        <v>-0.54554345968950702</v>
      </c>
      <c r="G85" s="207">
        <v>13585</v>
      </c>
      <c r="H85" s="72">
        <f t="shared" si="11"/>
        <v>-7733.28125</v>
      </c>
      <c r="I85" s="75">
        <f t="shared" si="12"/>
        <v>-0.56925147221199857</v>
      </c>
      <c r="J85" s="39" t="s">
        <v>94</v>
      </c>
      <c r="K85" s="83" t="s">
        <v>95</v>
      </c>
      <c r="L85" s="39" t="s">
        <v>96</v>
      </c>
    </row>
    <row r="86" spans="1:12" ht="15.6">
      <c r="A86" s="25" t="str">
        <v>AZ: Phoenix - Pinnacle Peak Ops</v>
      </c>
      <c r="B86" s="26" t="str">
        <v>AZ</v>
      </c>
      <c r="C86" s="201">
        <v>67382.375</v>
      </c>
      <c r="D86" s="202">
        <v>50932.639999999999</v>
      </c>
      <c r="E86" s="11">
        <f t="shared" si="10"/>
        <v>16449.735000000001</v>
      </c>
      <c r="F86" s="58">
        <f t="shared" si="13"/>
        <v>0.32297039776457692</v>
      </c>
      <c r="G86" s="204">
        <v>68649</v>
      </c>
      <c r="H86" s="73">
        <f t="shared" si="11"/>
        <v>-1266.625</v>
      </c>
      <c r="I86" s="74">
        <f t="shared" si="12"/>
        <v>-1.8450742181240806E-2</v>
      </c>
      <c r="J86" s="205"/>
      <c r="K86" s="205"/>
      <c r="L86" s="205"/>
    </row>
    <row r="87" spans="1:12" ht="28.9">
      <c r="A87" s="27" t="str">
        <v>CA: Alhambra - North Alhambra</v>
      </c>
      <c r="B87" s="28" t="str">
        <v>CA</v>
      </c>
      <c r="C87" s="206">
        <v>0</v>
      </c>
      <c r="D87" s="15">
        <v>0</v>
      </c>
      <c r="E87" s="15">
        <f t="shared" si="10"/>
        <v>0</v>
      </c>
      <c r="F87" s="75" t="str">
        <f t="shared" si="13"/>
        <v/>
      </c>
      <c r="G87" s="207">
        <v>0</v>
      </c>
      <c r="H87" s="72">
        <f t="shared" si="11"/>
        <v>0</v>
      </c>
      <c r="I87" s="75" t="str">
        <f t="shared" si="12"/>
        <v/>
      </c>
      <c r="J87" s="39" t="s">
        <v>97</v>
      </c>
      <c r="K87" s="83" t="s">
        <v>98</v>
      </c>
      <c r="L87" s="39" t="s">
        <v>96</v>
      </c>
    </row>
    <row r="88" spans="1:12" ht="15.6">
      <c r="A88" s="25" t="str">
        <v>CA: La Canada - La Canada</v>
      </c>
      <c r="B88" s="26" t="str">
        <v>CA</v>
      </c>
      <c r="C88" s="201">
        <v>3748.0035384712</v>
      </c>
      <c r="D88" s="202">
        <v>4271.9440000000004</v>
      </c>
      <c r="E88" s="11">
        <f t="shared" si="10"/>
        <v>-523.94046152880037</v>
      </c>
      <c r="F88" s="58">
        <f t="shared" si="13"/>
        <v>-0.12264684685211237</v>
      </c>
      <c r="G88" s="204">
        <v>2384.7399999999998</v>
      </c>
      <c r="H88" s="73">
        <f t="shared" si="11"/>
        <v>1363.2635384712003</v>
      </c>
      <c r="I88" s="74">
        <f t="shared" si="12"/>
        <v>0.571661287381937</v>
      </c>
      <c r="J88" s="205" t="s">
        <v>99</v>
      </c>
      <c r="K88" s="205"/>
      <c r="L88" s="205"/>
    </row>
    <row r="89" spans="1:12" ht="15.6">
      <c r="A89" s="27" t="str">
        <v>CA: Laguna Beach - LAGUNA BEACH</v>
      </c>
      <c r="B89" s="28" t="str">
        <v>CA</v>
      </c>
      <c r="C89" s="206">
        <v>4073.6391331658401</v>
      </c>
      <c r="D89" s="15">
        <v>3480.0059999999999</v>
      </c>
      <c r="E89" s="15">
        <f t="shared" si="10"/>
        <v>593.63313316584026</v>
      </c>
      <c r="F89" s="75">
        <f t="shared" si="13"/>
        <v>0.1705839395581043</v>
      </c>
      <c r="G89" s="207">
        <v>4317.8620000000001</v>
      </c>
      <c r="H89" s="72">
        <f t="shared" si="11"/>
        <v>-244.22286683415996</v>
      </c>
      <c r="I89" s="75">
        <f t="shared" si="12"/>
        <v>-5.6561063515730689E-2</v>
      </c>
      <c r="J89" s="208" t="s">
        <v>100</v>
      </c>
      <c r="K89" s="209"/>
      <c r="L89" s="209"/>
    </row>
    <row r="90" spans="1:12" ht="15.6">
      <c r="A90" s="25" t="str">
        <v>CA: Newport Beach - MARINERS</v>
      </c>
      <c r="B90" s="26" t="str">
        <v>CA</v>
      </c>
      <c r="C90" s="201">
        <v>3273.6955468749902</v>
      </c>
      <c r="D90" s="202">
        <v>3306.3229999999999</v>
      </c>
      <c r="E90" s="11">
        <f t="shared" si="10"/>
        <v>-32.627453125009652</v>
      </c>
      <c r="F90" s="58">
        <f t="shared" si="13"/>
        <v>-9.8681989403363347E-3</v>
      </c>
      <c r="G90" s="204">
        <v>2950.366</v>
      </c>
      <c r="H90" s="73">
        <f t="shared" si="11"/>
        <v>323.32954687499023</v>
      </c>
      <c r="I90" s="74">
        <f t="shared" si="12"/>
        <v>0.10958963968368339</v>
      </c>
      <c r="J90" s="205"/>
      <c r="K90" s="205"/>
      <c r="L90" s="205"/>
    </row>
    <row r="91" spans="1:12" ht="14.45">
      <c r="A91" s="18"/>
      <c r="B91" s="30"/>
      <c r="C91" s="18"/>
      <c r="D91" s="18"/>
      <c r="E91" s="18"/>
      <c r="F91" s="19"/>
      <c r="G91" s="18"/>
      <c r="H91" s="72" t="str">
        <f t="shared" si="11"/>
        <v/>
      </c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90 I4:I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9548" xr:uid="{64679F45-AA3A-4592-BFB7-E756C49FCCD9}"/>
    <hyperlink ref="K10" r:id="rId2" display="https://us3.assetplanner.com/service_request?ID=101247" xr:uid="{DE7004BF-5491-49C4-86E5-44875122E8D5}"/>
    <hyperlink ref="K18" r:id="rId3" display="https://us3.assetplanner.com/service_request?ID=104629" xr:uid="{7872F8DD-DEF2-4C86-9F09-540AC8CE8586}"/>
    <hyperlink ref="K22" r:id="rId4" display="https://us3.assetplanner.com/service_request?ID=105604" xr:uid="{6A23BD6C-5C1B-49C0-A928-7D1FA7F5EA36}"/>
    <hyperlink ref="M22" r:id="rId5" display="https://us3.assetplanner.com/service_request?ID=111494" xr:uid="{FC350D70-744D-4E2B-BA49-67009DB14E57}"/>
    <hyperlink ref="K24" r:id="rId6" display="https://us3.assetplanner.com/service_request?ID=110707" xr:uid="{DBA34D31-371A-4486-931B-EF225107E24F}"/>
    <hyperlink ref="K26" r:id="rId7" display="https://us3.assetplanner.com/service_request?ID=101743" xr:uid="{14B6BBA9-0C09-42C9-AD37-897725CA376E}"/>
    <hyperlink ref="K32" r:id="rId8" display="https://us3.assetplanner.com/service_request?ID=107668" xr:uid="{CBB80A04-6115-42CC-8D1B-D8888F81EE99}"/>
    <hyperlink ref="M32" r:id="rId9" display="https://us3.assetplanner.com/service_request?ID=088667" xr:uid="{81DFA0F4-7230-402A-81E2-F024C52402AA}"/>
    <hyperlink ref="N32" r:id="rId10" display="https://us3.assetplanner.com/service_request?ID=107670" xr:uid="{97AA77D1-AFA8-4F79-817C-4F5721620056}"/>
    <hyperlink ref="O32" r:id="rId11" display="https://us3.assetplanner.com/service_request?ID=077700" xr:uid="{EAD3EE02-A19B-4E6D-B5E5-DEB137C4BD0A}"/>
    <hyperlink ref="P32" r:id="rId12" display="https://us3.assetplanner.com/service_request?ID=113568" xr:uid="{02242C10-0CEA-4EFA-A63C-BA58BB4ED788}"/>
    <hyperlink ref="K33" r:id="rId13" display="https://us3.assetplanner.com/service_request?ID=098782" xr:uid="{C00F759F-D2E2-4D9E-B617-21614B71B8C8}"/>
    <hyperlink ref="K35" r:id="rId14" display="https://us3.assetplanner.com/service_request?ID=114480" xr:uid="{6E774E2C-C058-4050-9119-FE1A4DFC95B2}"/>
    <hyperlink ref="K40" r:id="rId15" display="https://us3.assetplanner.com/service_request?ID=111319" xr:uid="{3521414A-FC37-41C7-B62E-74772E8DEDA9}"/>
    <hyperlink ref="K59" r:id="rId16" display="https://us3.assetplanner.com/service_request?ID=108795" xr:uid="{1DF52F3A-2816-475B-8E68-1527A1D13ECA}"/>
    <hyperlink ref="K60" r:id="rId17" display="https://us3.assetplanner.com/service_request?ID=100593" xr:uid="{70550CE2-9732-446D-AF2F-5EC6E2AAE909}"/>
    <hyperlink ref="K69" r:id="rId18" display="https://us3.assetplanner.com/service_request?ID=113672" xr:uid="{F6782775-57AE-4C54-825A-E5A0ECB08F6C}"/>
    <hyperlink ref="M69" r:id="rId19" display="https://us3.assetplanner.com/service_request?ID=112821" xr:uid="{99D068F8-73AB-4BD7-AF0F-1C8AAAFA8367}"/>
    <hyperlink ref="N69" r:id="rId20" display="https://us3.assetplanner.com/service_request?ID=112821" xr:uid="{CE70EC56-FBE5-4B96-B609-ABDFF76F8A68}"/>
    <hyperlink ref="K70" r:id="rId21" display="https://us3.assetplanner.com/service_request?ID=112934" xr:uid="{32DB41D6-D21D-4191-B44A-AEA0D6B8E010}"/>
    <hyperlink ref="K73" r:id="rId22" display="https://us3.assetplanner.com/service_request?ID=097581" xr:uid="{246B91A9-CF11-41F5-9C02-3B5E29B47D64}"/>
    <hyperlink ref="K75" r:id="rId23" display="https://us3.assetplanner.com/service_request?ID=106526" xr:uid="{EFFDC5FC-E883-45A0-8900-638A97A3B4C2}"/>
    <hyperlink ref="K84" r:id="rId24" display="https://us3.assetplanner.com/service_request?ID=104705" xr:uid="{9AD8BF55-78B9-4D60-BF7A-37B7CB01B4CA}"/>
    <hyperlink ref="K85" r:id="rId25" display="https://us3.assetplanner.com/service_request?ID=112285" xr:uid="{D4286B7A-9BBD-4E61-BC94-35C627418061}"/>
    <hyperlink ref="K87" r:id="rId26" display="https://us3.assetplanner.com/service_request?ID=112290" xr:uid="{F5EB5BB8-00EC-4199-9A68-906688E7BC7F}"/>
  </hyperlinks>
  <pageMargins left="0.4" right="0.7" top="0.25" bottom="0.25" header="0.3" footer="0.3"/>
  <pageSetup fitToHeight="99" orientation="landscape" r:id="rId2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11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35" t="str" cm="1">
        <f t="array" ref="A1">portfolio</f>
        <v>Wells Fargo</v>
      </c>
      <c r="B1" s="235"/>
      <c r="C1" s="235"/>
      <c r="D1" s="236" t="s">
        <v>101</v>
      </c>
      <c r="E1" s="236"/>
      <c r="F1" s="236"/>
      <c r="G1" s="234" t="s">
        <v>102</v>
      </c>
      <c r="H1" s="234"/>
      <c r="I1" s="234"/>
      <c r="J1" s="3"/>
      <c r="K1" s="3"/>
    </row>
    <row r="2" spans="1:14" ht="19.5" customHeight="1">
      <c r="A2" s="245" t="s">
        <v>2</v>
      </c>
      <c r="B2" s="245"/>
      <c r="C2" s="4">
        <f>SUM(C4:C97)</f>
        <v>0</v>
      </c>
      <c r="D2" s="4">
        <f>SUM(D4:D97)</f>
        <v>0</v>
      </c>
      <c r="E2" s="4">
        <f>C2-D2</f>
        <v>0</v>
      </c>
      <c r="F2" s="5">
        <f>IFERROR(E2/D2, 0)</f>
        <v>0</v>
      </c>
      <c r="G2" s="4">
        <f>SUM(G4:G97)</f>
        <v>0</v>
      </c>
      <c r="H2" s="6">
        <f>C2-G2</f>
        <v>0</v>
      </c>
      <c r="I2" s="5">
        <f>IFERROR(H2/G2, 0)</f>
        <v>0</v>
      </c>
      <c r="J2" s="23" t="s">
        <v>103</v>
      </c>
      <c r="K2" s="3"/>
    </row>
    <row r="3" spans="1:14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4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1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59"/>
      <c r="K4" s="59"/>
    </row>
    <row r="5" spans="1:14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17"/>
      <c r="H5" s="17"/>
      <c r="I5" s="16" t="str">
        <f t="shared" ref="I5:I7" si="0">IFERROR(H5/G5, "")</f>
        <v/>
      </c>
      <c r="J5" s="39"/>
      <c r="K5" s="39"/>
    </row>
    <row r="6" spans="1:14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61"/>
      <c r="K6" s="81"/>
      <c r="L6" s="77"/>
      <c r="M6" s="77"/>
      <c r="N6" s="77"/>
    </row>
    <row r="7" spans="1:14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56"/>
      <c r="K7" s="80"/>
    </row>
    <row r="8" spans="1:14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61"/>
      <c r="K8" s="61"/>
    </row>
    <row r="9" spans="1:14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56"/>
      <c r="K9" s="80"/>
    </row>
    <row r="10" spans="1:14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1"/>
      <c r="K10" s="61"/>
    </row>
    <row r="11" spans="1:14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137"/>
      <c r="K11" s="216"/>
    </row>
    <row r="12" spans="1:14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61"/>
      <c r="K12" s="61"/>
    </row>
    <row r="13" spans="1:14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136"/>
      <c r="K13" s="56"/>
    </row>
    <row r="14" spans="1:14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61"/>
      <c r="K14" s="61"/>
      <c r="L14" s="50"/>
    </row>
    <row r="15" spans="1:14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56"/>
      <c r="K15" s="80"/>
    </row>
    <row r="16" spans="1:14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61"/>
      <c r="K16" s="61"/>
    </row>
    <row r="17" spans="1:12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56"/>
      <c r="K17" s="80"/>
    </row>
    <row r="18" spans="1:12" ht="24.7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59"/>
      <c r="K18" s="61"/>
    </row>
    <row r="19" spans="1:12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56"/>
      <c r="K19" s="79"/>
      <c r="L19" s="77"/>
    </row>
    <row r="20" spans="1:12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59"/>
      <c r="K20" s="59"/>
    </row>
    <row r="21" spans="1:12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49"/>
      <c r="K21" s="49"/>
    </row>
    <row r="22" spans="1:12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59"/>
      <c r="K22" s="59"/>
    </row>
    <row r="23" spans="1:12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2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59"/>
      <c r="K24" s="59"/>
    </row>
    <row r="25" spans="1:12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2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59"/>
      <c r="K26" s="59"/>
    </row>
    <row r="27" spans="1:12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136"/>
      <c r="K27" s="40"/>
    </row>
    <row r="28" spans="1:12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59"/>
      <c r="K28" s="59"/>
    </row>
    <row r="29" spans="1:12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40"/>
    </row>
    <row r="30" spans="1:12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59"/>
      <c r="K30" s="59"/>
    </row>
    <row r="31" spans="1:12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2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59"/>
      <c r="K32" s="59"/>
    </row>
    <row r="33" spans="1:11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136"/>
      <c r="K33" s="216"/>
    </row>
    <row r="34" spans="1:11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59"/>
      <c r="K34" s="59"/>
    </row>
    <row r="35" spans="1:11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59"/>
      <c r="K36" s="59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59"/>
      <c r="K38" s="59"/>
    </row>
    <row r="39" spans="1:11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59"/>
      <c r="K40" s="59"/>
    </row>
    <row r="41" spans="1:11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136"/>
      <c r="K41" s="40"/>
    </row>
    <row r="42" spans="1:11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61"/>
      <c r="K42" s="81"/>
    </row>
    <row r="43" spans="1:11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56"/>
      <c r="K43" s="80"/>
    </row>
    <row r="44" spans="1:11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1"/>
      <c r="K44" s="61"/>
    </row>
    <row r="45" spans="1:11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56"/>
      <c r="K45" s="80"/>
    </row>
    <row r="46" spans="1:11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1"/>
      <c r="K46" s="61"/>
    </row>
    <row r="47" spans="1:11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56"/>
      <c r="K47" s="80"/>
    </row>
    <row r="48" spans="1:11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1"/>
      <c r="K48" s="61"/>
    </row>
    <row r="49" spans="1:11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56"/>
      <c r="K49" s="80"/>
    </row>
    <row r="50" spans="1:11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61"/>
      <c r="K50" s="61"/>
    </row>
    <row r="51" spans="1:11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56"/>
      <c r="K51" s="80"/>
    </row>
    <row r="52" spans="1:11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61"/>
      <c r="K52" s="81"/>
    </row>
    <row r="53" spans="1:11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56"/>
      <c r="K53" s="82"/>
    </row>
    <row r="54" spans="1:11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61"/>
      <c r="K54" s="81"/>
    </row>
    <row r="55" spans="1:11" ht="15.6">
      <c r="A55" s="27" t="str">
        <v>West Deptford - Woodbury</v>
      </c>
      <c r="B55" s="28" t="str">
        <v>NJ</v>
      </c>
      <c r="C55" s="51"/>
      <c r="D55" s="15"/>
      <c r="E55" s="15"/>
      <c r="F55" s="16"/>
      <c r="G55" s="17"/>
      <c r="H55" s="17"/>
      <c r="I55" s="16"/>
      <c r="J55" s="39"/>
      <c r="K55" s="39"/>
    </row>
    <row r="56" spans="1:11" ht="15.6">
      <c r="A56" s="25" t="str">
        <v>Edison</v>
      </c>
      <c r="B56" s="26" t="str">
        <v>NJ</v>
      </c>
      <c r="C56" s="52"/>
      <c r="D56" s="11"/>
      <c r="E56" s="11"/>
      <c r="F56" s="12"/>
      <c r="G56" s="13"/>
      <c r="H56" s="13"/>
      <c r="I56" s="14"/>
      <c r="J56" s="59"/>
      <c r="K56" s="59"/>
    </row>
    <row r="57" spans="1:11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39"/>
      <c r="K57" s="39"/>
    </row>
    <row r="58" spans="1:11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59"/>
      <c r="K58" s="59"/>
    </row>
    <row r="59" spans="1:11" ht="15.6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39"/>
      <c r="K59" s="39"/>
    </row>
    <row r="60" spans="1:11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59"/>
      <c r="K60" s="81"/>
    </row>
    <row r="61" spans="1:11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39"/>
      <c r="K61" s="79"/>
    </row>
    <row r="62" spans="1:11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59"/>
      <c r="K62" s="61"/>
    </row>
    <row r="63" spans="1:11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39"/>
      <c r="K63" s="49"/>
    </row>
    <row r="64" spans="1:11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59"/>
      <c r="K64" s="61"/>
    </row>
    <row r="65" spans="1:12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39"/>
      <c r="K65" s="49"/>
    </row>
    <row r="66" spans="1:12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61"/>
      <c r="K66" s="61"/>
    </row>
    <row r="67" spans="1:12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49"/>
      <c r="K67" s="79"/>
      <c r="L67" s="77"/>
    </row>
    <row r="68" spans="1:12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61"/>
      <c r="K68" s="81"/>
      <c r="L68" s="77"/>
    </row>
    <row r="69" spans="1:12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39"/>
      <c r="K69" s="54"/>
    </row>
    <row r="70" spans="1:12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59"/>
      <c r="K70" s="59"/>
    </row>
    <row r="71" spans="1:12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2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61"/>
      <c r="K72" s="81"/>
    </row>
    <row r="73" spans="1:12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56"/>
      <c r="K73" s="56"/>
    </row>
    <row r="74" spans="1:12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61"/>
      <c r="K74" s="61"/>
    </row>
    <row r="75" spans="1:12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56"/>
      <c r="K75" s="56"/>
    </row>
    <row r="76" spans="1:12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61"/>
      <c r="K76" s="61"/>
    </row>
    <row r="77" spans="1:12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56"/>
      <c r="K77" s="56"/>
    </row>
    <row r="78" spans="1:12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1"/>
      <c r="K78" s="81"/>
    </row>
    <row r="79" spans="1:12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56"/>
      <c r="K79" s="82"/>
    </row>
    <row r="80" spans="1:12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1"/>
      <c r="K80" s="81"/>
    </row>
    <row r="81" spans="1:11" ht="13.15" customHeight="1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39"/>
    </row>
    <row r="82" spans="1:11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1"/>
      <c r="K82" s="59"/>
    </row>
    <row r="83" spans="1:11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137"/>
      <c r="K83" s="79"/>
    </row>
    <row r="84" spans="1:11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61"/>
      <c r="K84" s="59"/>
    </row>
    <row r="85" spans="1:11" ht="14.45">
      <c r="A85" s="18" t="str">
        <v>AZ: Chandler - Chandler Campus - Bldg A</v>
      </c>
      <c r="B85" s="30" t="str">
        <v>AZ</v>
      </c>
      <c r="C85" s="200"/>
      <c r="D85" s="200"/>
      <c r="E85" s="200"/>
      <c r="F85" s="19"/>
      <c r="G85" s="200"/>
      <c r="H85" s="18"/>
      <c r="I85" s="19"/>
      <c r="J85" s="18"/>
      <c r="K85" s="18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6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4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35" t="str" cm="1">
        <f t="array" ref="A1">portfolio</f>
        <v>Wells Fargo</v>
      </c>
      <c r="B1" s="235"/>
      <c r="C1" s="235"/>
      <c r="D1" s="236" t="s">
        <v>104</v>
      </c>
      <c r="E1" s="236"/>
      <c r="F1" s="236"/>
      <c r="G1" s="234" t="s">
        <v>105</v>
      </c>
      <c r="H1" s="234"/>
      <c r="I1" s="234"/>
      <c r="J1" s="3"/>
      <c r="K1" s="3"/>
    </row>
    <row r="2" spans="1:13" ht="19.5" customHeight="1">
      <c r="A2" s="245" t="s">
        <v>2</v>
      </c>
      <c r="B2" s="245"/>
      <c r="C2" s="4">
        <f>SUM(C4:C86)</f>
        <v>0</v>
      </c>
      <c r="D2" s="4">
        <f>SUM(D4:D86)</f>
        <v>0</v>
      </c>
      <c r="E2" s="4">
        <f>C2-D2</f>
        <v>0</v>
      </c>
      <c r="F2" s="5">
        <f>IFERROR(E2/D2, 0)</f>
        <v>0</v>
      </c>
      <c r="G2" s="4">
        <f>SUM(G4:G86)</f>
        <v>0</v>
      </c>
      <c r="H2" s="6">
        <f>C2-G2</f>
        <v>0</v>
      </c>
      <c r="I2" s="5">
        <f>IFERROR(H2/G2, 0)</f>
        <v>0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3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3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1"/>
      <c r="D5" s="15"/>
      <c r="E5" s="15"/>
      <c r="F5" s="16" t="str">
        <f>IFERROR(E5/D5, "")</f>
        <v/>
      </c>
      <c r="G5" s="17"/>
      <c r="H5" s="17"/>
      <c r="I5" s="16" t="str">
        <f t="shared" ref="I5:I7" si="0">IFERROR(H5/G5, "")</f>
        <v/>
      </c>
      <c r="J5" s="39"/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38"/>
      <c r="K6" s="76"/>
      <c r="L6" s="84"/>
      <c r="M6" s="63"/>
    </row>
    <row r="7" spans="1:13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49"/>
      <c r="K7" s="39"/>
      <c r="L7" s="63"/>
      <c r="M7" s="63"/>
    </row>
    <row r="8" spans="1:13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38"/>
      <c r="K8" s="38"/>
      <c r="L8" s="63"/>
      <c r="M8" s="63"/>
    </row>
    <row r="9" spans="1:13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39"/>
      <c r="K9" s="39"/>
      <c r="L9" s="63"/>
      <c r="M9" s="63"/>
    </row>
    <row r="10" spans="1:13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38"/>
      <c r="K10" s="38"/>
      <c r="L10" s="63"/>
      <c r="M10" s="63"/>
    </row>
    <row r="11" spans="1:13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39"/>
      <c r="K11" s="39"/>
      <c r="L11" s="63"/>
      <c r="M11" s="63"/>
    </row>
    <row r="12" spans="1:13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38"/>
      <c r="K12" s="38"/>
      <c r="L12" s="63"/>
      <c r="M12" s="63"/>
    </row>
    <row r="13" spans="1:13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39"/>
      <c r="K13" s="39"/>
      <c r="L13" s="63"/>
      <c r="M13" s="63"/>
    </row>
    <row r="14" spans="1:13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38"/>
      <c r="K14" s="38"/>
      <c r="L14" s="63"/>
      <c r="M14" s="63"/>
    </row>
    <row r="15" spans="1:13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39"/>
      <c r="K15" s="39"/>
      <c r="L15" s="63"/>
      <c r="M15" s="63"/>
    </row>
    <row r="16" spans="1:13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38"/>
      <c r="K16" s="38"/>
      <c r="L16" s="63"/>
      <c r="M16" s="63"/>
    </row>
    <row r="17" spans="1:13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39"/>
      <c r="K17" s="53"/>
      <c r="L17" s="63"/>
      <c r="M17" s="63"/>
    </row>
    <row r="18" spans="1:13" ht="36.75" customHeight="1">
      <c r="A18" s="25" t="str">
        <v>San Marino</v>
      </c>
      <c r="B18" s="26" t="str">
        <v>CA</v>
      </c>
      <c r="C18" s="57"/>
      <c r="D18" s="11"/>
      <c r="E18" s="11"/>
      <c r="F18" s="12"/>
      <c r="G18" s="13"/>
      <c r="H18" s="13"/>
      <c r="I18" s="14"/>
      <c r="J18" s="38"/>
      <c r="K18" s="38"/>
      <c r="L18" s="63"/>
      <c r="M18" s="63"/>
    </row>
    <row r="19" spans="1:13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39"/>
      <c r="K19" s="79"/>
      <c r="L19" s="84"/>
      <c r="M19" s="63"/>
    </row>
    <row r="20" spans="1:13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76"/>
      <c r="L20" s="63"/>
      <c r="M20" s="63"/>
    </row>
    <row r="21" spans="1:13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39"/>
      <c r="L21" s="63"/>
      <c r="M21" s="63"/>
    </row>
    <row r="22" spans="1:13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  <c r="L22" s="63"/>
      <c r="M22" s="63"/>
    </row>
    <row r="23" spans="1:13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39"/>
      <c r="L23" s="63"/>
      <c r="M23" s="63"/>
    </row>
    <row r="24" spans="1:13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  <c r="L24" s="63"/>
      <c r="M24" s="63"/>
    </row>
    <row r="25" spans="1:13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54"/>
      <c r="L25" s="63"/>
      <c r="M25" s="63"/>
    </row>
    <row r="26" spans="1:13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  <c r="L26" s="63"/>
      <c r="M26" s="63"/>
    </row>
    <row r="27" spans="1:13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39"/>
      <c r="L27" s="63"/>
      <c r="M27" s="63"/>
    </row>
    <row r="28" spans="1:13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  <c r="L28" s="63"/>
      <c r="M28" s="63"/>
    </row>
    <row r="29" spans="1:13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  <c r="L29" s="63"/>
      <c r="M29" s="63"/>
    </row>
    <row r="30" spans="1:13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38"/>
      <c r="K30" s="38"/>
      <c r="L30" s="63"/>
      <c r="M30" s="63"/>
    </row>
    <row r="31" spans="1:13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39"/>
      <c r="K31" s="39"/>
      <c r="L31" s="63"/>
      <c r="M31" s="63"/>
    </row>
    <row r="32" spans="1:13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38"/>
      <c r="K32" s="38"/>
      <c r="L32" s="63"/>
      <c r="M32" s="63"/>
    </row>
    <row r="33" spans="1:13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39"/>
      <c r="K33" s="39"/>
      <c r="L33" s="63"/>
      <c r="M33" s="63"/>
    </row>
    <row r="34" spans="1:13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38"/>
      <c r="K34" s="38"/>
      <c r="L34" s="63"/>
      <c r="M34" s="63"/>
    </row>
    <row r="35" spans="1:13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39"/>
      <c r="K35" s="39"/>
      <c r="L35" s="63"/>
      <c r="M35" s="63"/>
    </row>
    <row r="36" spans="1:13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38"/>
      <c r="K36" s="38"/>
      <c r="L36" s="63"/>
      <c r="M36" s="63"/>
    </row>
    <row r="37" spans="1:13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39"/>
      <c r="K37" s="39"/>
      <c r="L37" s="63"/>
      <c r="M37" s="63"/>
    </row>
    <row r="38" spans="1:13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38"/>
      <c r="K38" s="38"/>
      <c r="L38" s="63"/>
      <c r="M38" s="63"/>
    </row>
    <row r="39" spans="1:13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39"/>
      <c r="K39" s="39"/>
      <c r="L39" s="63"/>
      <c r="M39" s="63"/>
    </row>
    <row r="40" spans="1:13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38"/>
      <c r="K40" s="38"/>
      <c r="L40" s="63"/>
      <c r="M40" s="63"/>
    </row>
    <row r="41" spans="1:13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39"/>
      <c r="K41" s="39"/>
      <c r="L41" s="63"/>
      <c r="M41" s="63"/>
    </row>
    <row r="42" spans="1:13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38"/>
      <c r="K42" s="38"/>
      <c r="L42" s="63"/>
      <c r="M42" s="63"/>
    </row>
    <row r="43" spans="1:13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39"/>
      <c r="K43" s="39"/>
      <c r="L43" s="63"/>
      <c r="M43" s="63"/>
    </row>
    <row r="44" spans="1:13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38"/>
      <c r="K44" s="38"/>
      <c r="L44" s="63"/>
      <c r="M44" s="63"/>
    </row>
    <row r="45" spans="1:13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39"/>
      <c r="K45" s="39"/>
      <c r="L45" s="63"/>
      <c r="M45" s="63"/>
    </row>
    <row r="46" spans="1:13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38"/>
      <c r="K46" s="38"/>
      <c r="L46" s="63"/>
      <c r="M46" s="63"/>
    </row>
    <row r="47" spans="1:13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39"/>
      <c r="K47" s="39"/>
      <c r="L47" s="63"/>
      <c r="M47" s="63"/>
    </row>
    <row r="48" spans="1:13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38"/>
      <c r="K48" s="38"/>
      <c r="L48" s="63"/>
      <c r="M48" s="63"/>
    </row>
    <row r="49" spans="1:13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39"/>
      <c r="K49" s="39"/>
      <c r="L49" s="63"/>
      <c r="M49" s="63"/>
    </row>
    <row r="50" spans="1:13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38"/>
      <c r="K50" s="38"/>
      <c r="L50" s="63"/>
      <c r="M50" s="63"/>
    </row>
    <row r="51" spans="1:13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39"/>
      <c r="K51" s="39"/>
      <c r="L51" s="63"/>
      <c r="M51" s="63"/>
    </row>
    <row r="52" spans="1:13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38"/>
      <c r="K52" s="38"/>
      <c r="L52" s="63"/>
      <c r="M52" s="63"/>
    </row>
    <row r="53" spans="1:13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39"/>
      <c r="K53" s="39"/>
      <c r="L53" s="63"/>
      <c r="M53" s="63"/>
    </row>
    <row r="54" spans="1:13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38"/>
      <c r="K54" s="76"/>
      <c r="L54" s="63"/>
      <c r="M54" s="63"/>
    </row>
    <row r="55" spans="1:13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39"/>
      <c r="K55" s="39"/>
      <c r="L55" s="63"/>
      <c r="M55" s="63"/>
    </row>
    <row r="56" spans="1:13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38"/>
      <c r="K56" s="38"/>
      <c r="L56" s="63"/>
      <c r="M56" s="63"/>
    </row>
    <row r="57" spans="1:13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39"/>
      <c r="K57" s="39"/>
      <c r="L57" s="63"/>
      <c r="M57" s="63"/>
    </row>
    <row r="58" spans="1:13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38"/>
      <c r="K58" s="38"/>
      <c r="L58" s="63"/>
      <c r="M58" s="63"/>
    </row>
    <row r="59" spans="1:13" ht="15.6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39"/>
      <c r="K59" s="39"/>
      <c r="L59" s="63"/>
      <c r="M59" s="63"/>
    </row>
    <row r="60" spans="1:13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38"/>
      <c r="K60" s="38"/>
      <c r="L60" s="63"/>
      <c r="M60" s="63"/>
    </row>
    <row r="61" spans="1:13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39"/>
      <c r="K61" s="39"/>
      <c r="L61" s="63"/>
      <c r="M61" s="63"/>
    </row>
    <row r="62" spans="1:13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38"/>
      <c r="K62" s="38"/>
      <c r="L62" s="63"/>
      <c r="M62" s="63"/>
    </row>
    <row r="63" spans="1:13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39"/>
      <c r="K63" s="39"/>
      <c r="L63" s="63"/>
      <c r="M63" s="63"/>
    </row>
    <row r="64" spans="1:13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38"/>
      <c r="K64" s="76"/>
      <c r="L64" s="63"/>
      <c r="M64" s="63"/>
    </row>
    <row r="65" spans="1:13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39"/>
      <c r="K65" s="39"/>
      <c r="L65" s="63"/>
      <c r="M65" s="63"/>
    </row>
    <row r="66" spans="1:13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38"/>
      <c r="K66" s="76"/>
      <c r="L66" s="63"/>
      <c r="M66" s="63"/>
    </row>
    <row r="67" spans="1:13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39"/>
      <c r="K67" s="83"/>
      <c r="L67" s="63"/>
      <c r="M67" s="63"/>
    </row>
    <row r="68" spans="1:13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38"/>
      <c r="K68" s="38"/>
      <c r="L68" s="63"/>
      <c r="M68" s="63"/>
    </row>
    <row r="69" spans="1:13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39"/>
      <c r="K69" s="39"/>
      <c r="L69" s="63"/>
      <c r="M69" s="63"/>
    </row>
    <row r="70" spans="1:13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38"/>
      <c r="K70" s="38"/>
      <c r="L70" s="63"/>
      <c r="M70" s="63"/>
    </row>
    <row r="71" spans="1:13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39"/>
      <c r="K71" s="39"/>
      <c r="L71" s="63"/>
      <c r="M71" s="63"/>
    </row>
    <row r="72" spans="1:13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38"/>
      <c r="K72" s="38"/>
      <c r="L72" s="63"/>
      <c r="M72" s="63"/>
    </row>
    <row r="73" spans="1:13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39"/>
      <c r="K73" s="39"/>
      <c r="L73" s="63"/>
      <c r="M73" s="63"/>
    </row>
    <row r="74" spans="1:13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38"/>
      <c r="K74" s="38"/>
      <c r="L74" s="63"/>
      <c r="M74" s="63"/>
    </row>
    <row r="75" spans="1:13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39"/>
      <c r="K75" s="39"/>
      <c r="L75" s="63"/>
      <c r="M75" s="63"/>
    </row>
    <row r="76" spans="1:13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38"/>
      <c r="K76" s="38"/>
      <c r="L76" s="63"/>
      <c r="M76" s="63"/>
    </row>
    <row r="77" spans="1:13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39"/>
      <c r="K77" s="39"/>
      <c r="L77" s="63"/>
      <c r="M77" s="63"/>
    </row>
    <row r="78" spans="1:13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76"/>
      <c r="L78" s="63"/>
      <c r="M78" s="63"/>
    </row>
    <row r="79" spans="1:13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  <c r="L79" s="63"/>
      <c r="M79" s="63"/>
    </row>
    <row r="80" spans="1:13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  <c r="L80" s="63"/>
      <c r="M80" s="63"/>
    </row>
    <row r="81" spans="1:13" ht="15.6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  <c r="L81" s="63"/>
      <c r="M81" s="63"/>
    </row>
    <row r="82" spans="1:13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  <c r="L82" s="63"/>
      <c r="M82" s="63"/>
    </row>
    <row r="83" spans="1:13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83"/>
      <c r="L83" s="63"/>
      <c r="M83" s="63"/>
    </row>
    <row r="84" spans="1:13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  <c r="L84" s="63"/>
      <c r="M84" s="63"/>
    </row>
    <row r="85" spans="1:13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4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35" t="str" cm="1">
        <f t="array" ref="A1">portfolio</f>
        <v>Wells Fargo</v>
      </c>
      <c r="B1" s="235"/>
      <c r="C1" s="235"/>
      <c r="D1" s="236" t="s">
        <v>106</v>
      </c>
      <c r="E1" s="236"/>
      <c r="F1" s="236"/>
      <c r="G1" s="234" t="s">
        <v>107</v>
      </c>
      <c r="H1" s="234"/>
      <c r="I1" s="234"/>
      <c r="J1" s="3"/>
      <c r="K1" s="3"/>
    </row>
    <row r="2" spans="1:15" ht="19.5" customHeight="1">
      <c r="A2" s="245" t="s">
        <v>2</v>
      </c>
      <c r="B2" s="245"/>
      <c r="C2" s="4">
        <f>SUM(C4:C99)</f>
        <v>0</v>
      </c>
      <c r="D2" s="4">
        <f>SUM(D4:D99)</f>
        <v>0</v>
      </c>
      <c r="E2" s="4">
        <f>C2-D2</f>
        <v>0</v>
      </c>
      <c r="F2" s="5">
        <f>IFERROR(E2/D2, 0)</f>
        <v>0</v>
      </c>
      <c r="G2" s="4">
        <f>SUM(G4:G99)</f>
        <v>0</v>
      </c>
      <c r="H2" s="6">
        <f>C2-G2</f>
        <v>0</v>
      </c>
      <c r="I2" s="5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17"/>
      <c r="H5" s="17"/>
      <c r="I5" s="16" t="str">
        <f t="shared" ref="I5:I7" si="0">IFERROR(H5/G5, "")</f>
        <v/>
      </c>
      <c r="J5" s="39"/>
      <c r="K5" s="39"/>
      <c r="L5" s="63"/>
      <c r="M5" s="63"/>
      <c r="N5" s="63"/>
      <c r="O5" s="63"/>
    </row>
    <row r="6" spans="1:15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38"/>
      <c r="K6" s="76"/>
      <c r="L6" s="84"/>
      <c r="M6" s="84"/>
      <c r="N6" s="63"/>
      <c r="O6" s="63"/>
    </row>
    <row r="7" spans="1:15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49"/>
      <c r="K7" s="40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38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39"/>
      <c r="K9" s="40"/>
      <c r="L9" s="63"/>
      <c r="M9" s="63"/>
      <c r="N9" s="63"/>
      <c r="O9" s="63"/>
    </row>
    <row r="10" spans="1:15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38"/>
      <c r="K10" s="38"/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39"/>
      <c r="K11" s="40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38"/>
      <c r="K12" s="38"/>
      <c r="L12" s="63"/>
      <c r="M12" s="63"/>
      <c r="N12" s="63"/>
      <c r="O12" s="63"/>
    </row>
    <row r="13" spans="1:15" ht="45.75" customHeight="1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39"/>
      <c r="K13" s="79"/>
      <c r="L13" s="84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38"/>
      <c r="K14" s="38"/>
      <c r="L14" s="63"/>
      <c r="M14" s="63"/>
      <c r="N14" s="63"/>
      <c r="O14" s="63"/>
    </row>
    <row r="15" spans="1:15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39"/>
      <c r="K15" s="40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38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39"/>
      <c r="K17" s="40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39"/>
      <c r="K19" s="83"/>
      <c r="L19" s="63"/>
      <c r="M19" s="63"/>
      <c r="N19" s="63"/>
      <c r="O19" s="63"/>
    </row>
    <row r="20" spans="1:15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76"/>
      <c r="L20" s="63"/>
      <c r="M20" s="63"/>
      <c r="N20" s="63"/>
      <c r="O20" s="63"/>
    </row>
    <row r="21" spans="1:15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  <c r="L21" s="63"/>
      <c r="M21" s="63"/>
      <c r="N21" s="63"/>
      <c r="O21" s="63"/>
    </row>
    <row r="22" spans="1:15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57"/>
      <c r="D24" s="11"/>
      <c r="E24" s="11"/>
      <c r="F24" s="12"/>
      <c r="G24" s="13"/>
      <c r="H24" s="13"/>
      <c r="I24" s="14"/>
      <c r="J24" s="38"/>
      <c r="K24" s="38"/>
      <c r="L24" s="63"/>
      <c r="M24" s="63"/>
      <c r="N24" s="63"/>
      <c r="O24" s="63"/>
    </row>
    <row r="25" spans="1:15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55"/>
      <c r="L25" s="63"/>
      <c r="M25" s="63"/>
      <c r="N25" s="63"/>
      <c r="O25" s="63"/>
    </row>
    <row r="26" spans="1:15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  <c r="L28" s="63"/>
      <c r="M28" s="63"/>
      <c r="N28" s="63"/>
      <c r="O28" s="63"/>
    </row>
    <row r="29" spans="1:15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40"/>
      <c r="L29" s="63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38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39"/>
      <c r="K31" s="40"/>
      <c r="L31" s="63"/>
      <c r="M31" s="63"/>
      <c r="N31" s="63"/>
      <c r="O31" s="63"/>
    </row>
    <row r="32" spans="1:15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38"/>
      <c r="K32" s="38"/>
      <c r="L32" s="63"/>
      <c r="M32" s="63"/>
      <c r="N32" s="63"/>
      <c r="O32" s="63"/>
    </row>
    <row r="33" spans="1:15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39"/>
      <c r="K33" s="40"/>
      <c r="L33" s="63"/>
      <c r="M33" s="63"/>
      <c r="N33" s="63"/>
      <c r="O33" s="63"/>
    </row>
    <row r="34" spans="1:15" ht="18" customHeight="1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38"/>
      <c r="K34" s="76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39"/>
      <c r="K35" s="40"/>
      <c r="L35" s="63"/>
      <c r="M35" s="63"/>
      <c r="N35" s="63"/>
      <c r="O35" s="63"/>
    </row>
    <row r="36" spans="1:15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38"/>
      <c r="K36" s="38"/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39"/>
      <c r="K37" s="40"/>
      <c r="L37" s="63"/>
      <c r="M37" s="63"/>
      <c r="N37" s="63"/>
      <c r="O37" s="63"/>
    </row>
    <row r="38" spans="1:15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38"/>
      <c r="K38" s="76"/>
      <c r="L38" s="63"/>
      <c r="M38" s="63"/>
      <c r="N38" s="63"/>
      <c r="O38" s="63"/>
    </row>
    <row r="39" spans="1:15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39"/>
      <c r="K39" s="40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38"/>
      <c r="K40" s="76"/>
      <c r="L40" s="63"/>
      <c r="M40" s="63"/>
      <c r="N40" s="63"/>
      <c r="O40" s="63"/>
    </row>
    <row r="41" spans="1:15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39"/>
      <c r="K41" s="40"/>
      <c r="L41" s="63"/>
      <c r="M41" s="63"/>
      <c r="N41" s="63"/>
      <c r="O41" s="63"/>
    </row>
    <row r="42" spans="1:15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38"/>
      <c r="K42" s="38"/>
      <c r="L42" s="63"/>
      <c r="M42" s="63"/>
      <c r="N42" s="63"/>
      <c r="O42" s="63"/>
    </row>
    <row r="43" spans="1:15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49"/>
      <c r="K43" s="49"/>
      <c r="L43" s="63"/>
      <c r="M43" s="63"/>
      <c r="N43" s="63"/>
      <c r="O43" s="63"/>
    </row>
    <row r="44" spans="1:15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0"/>
      <c r="K44" s="60"/>
      <c r="L44" s="63"/>
      <c r="M44" s="63"/>
      <c r="N44" s="63"/>
      <c r="O44" s="63"/>
    </row>
    <row r="45" spans="1:15" ht="57" customHeight="1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49"/>
      <c r="K45" s="79"/>
      <c r="L45" s="63"/>
      <c r="M45" s="63"/>
      <c r="N45" s="63"/>
      <c r="O45" s="63"/>
    </row>
    <row r="46" spans="1:15" ht="39.75" customHeight="1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0"/>
      <c r="K46" s="85"/>
      <c r="L46" s="63"/>
      <c r="M46" s="63"/>
      <c r="N46" s="63"/>
      <c r="O46" s="63"/>
    </row>
    <row r="47" spans="1:15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49"/>
      <c r="K47" s="79"/>
      <c r="L47" s="63"/>
      <c r="M47" s="63"/>
      <c r="N47" s="63"/>
      <c r="O47" s="63"/>
    </row>
    <row r="48" spans="1:15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1"/>
      <c r="K48" s="60"/>
      <c r="L48" s="63"/>
      <c r="M48" s="63"/>
      <c r="N48" s="63"/>
      <c r="O48" s="63"/>
    </row>
    <row r="49" spans="1:15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49"/>
      <c r="K49" s="49"/>
      <c r="L49" s="63"/>
      <c r="M49" s="63"/>
      <c r="N49" s="63"/>
      <c r="O49" s="63"/>
    </row>
    <row r="50" spans="1:15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38"/>
      <c r="K50" s="38"/>
      <c r="L50" s="63"/>
      <c r="M50" s="63"/>
      <c r="N50" s="63"/>
      <c r="O50" s="63"/>
    </row>
    <row r="51" spans="1:15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39"/>
      <c r="K51" s="40"/>
      <c r="L51" s="63"/>
      <c r="M51" s="63"/>
      <c r="N51" s="63"/>
      <c r="O51" s="63"/>
    </row>
    <row r="52" spans="1:15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38"/>
      <c r="K52" s="38"/>
      <c r="L52" s="63"/>
      <c r="M52" s="63"/>
      <c r="N52" s="63"/>
      <c r="O52" s="63"/>
    </row>
    <row r="53" spans="1:15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39"/>
      <c r="K53" s="40"/>
      <c r="L53" s="63"/>
      <c r="M53" s="63"/>
      <c r="N53" s="63"/>
      <c r="O53" s="63"/>
    </row>
    <row r="54" spans="1:15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38"/>
      <c r="K54" s="38"/>
      <c r="L54" s="63"/>
      <c r="M54" s="63"/>
      <c r="N54" s="63"/>
      <c r="O54" s="63"/>
    </row>
    <row r="55" spans="1:15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39"/>
      <c r="K55" s="40"/>
      <c r="L55" s="63"/>
      <c r="M55" s="63"/>
      <c r="N55" s="63"/>
      <c r="O55" s="63"/>
    </row>
    <row r="56" spans="1:15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38"/>
      <c r="K56" s="38"/>
      <c r="L56" s="63"/>
      <c r="M56" s="63"/>
      <c r="N56" s="63"/>
      <c r="O56" s="63"/>
    </row>
    <row r="57" spans="1:15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39"/>
      <c r="K57" s="55"/>
      <c r="L57" s="63"/>
      <c r="M57" s="63"/>
      <c r="N57" s="63"/>
      <c r="O57" s="63"/>
    </row>
    <row r="58" spans="1:15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38"/>
      <c r="K58" s="38"/>
      <c r="L58" s="63"/>
      <c r="M58" s="63"/>
      <c r="N58" s="63"/>
      <c r="O58" s="63"/>
    </row>
    <row r="59" spans="1:15" ht="15.6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39"/>
      <c r="K59" s="40"/>
      <c r="L59" s="63"/>
      <c r="M59" s="63"/>
      <c r="N59" s="63"/>
      <c r="O59" s="63"/>
    </row>
    <row r="60" spans="1:15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38"/>
      <c r="K60" s="38"/>
      <c r="L60" s="63"/>
      <c r="M60" s="63"/>
      <c r="N60" s="63"/>
      <c r="O60" s="63"/>
    </row>
    <row r="61" spans="1:15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56"/>
      <c r="K61" s="55"/>
      <c r="L61" s="63"/>
      <c r="M61" s="63"/>
      <c r="N61" s="63"/>
      <c r="O61" s="63"/>
    </row>
    <row r="62" spans="1:15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38"/>
      <c r="K62" s="38"/>
      <c r="L62" s="63"/>
      <c r="M62" s="63"/>
      <c r="N62" s="63"/>
      <c r="O62" s="63"/>
    </row>
    <row r="63" spans="1:15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39"/>
      <c r="K63" s="55"/>
      <c r="L63" s="63"/>
      <c r="M63" s="63"/>
      <c r="N63" s="63"/>
      <c r="O63" s="63"/>
    </row>
    <row r="64" spans="1:15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38"/>
      <c r="K64" s="76"/>
      <c r="L64" s="63"/>
      <c r="M64" s="63"/>
      <c r="N64" s="63"/>
      <c r="O64" s="63"/>
    </row>
    <row r="65" spans="1:15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K65" s="39"/>
      <c r="L65" s="63"/>
      <c r="M65" s="63"/>
      <c r="N65" s="63"/>
      <c r="O65" s="63"/>
    </row>
    <row r="66" spans="1:15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38"/>
      <c r="K66" s="38"/>
      <c r="L66" s="63"/>
      <c r="M66" s="63"/>
      <c r="N66" s="63"/>
      <c r="O66" s="63"/>
    </row>
    <row r="67" spans="1:15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39"/>
      <c r="K67" s="39"/>
      <c r="L67" s="63"/>
      <c r="M67" s="63"/>
      <c r="N67" s="63"/>
      <c r="O67" s="63"/>
    </row>
    <row r="68" spans="1:15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38"/>
      <c r="K68" s="38"/>
      <c r="L68" s="63"/>
      <c r="M68" s="63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39"/>
      <c r="K69" s="39"/>
      <c r="L69" s="63"/>
      <c r="M69" s="63"/>
      <c r="N69" s="63"/>
      <c r="O69" s="63"/>
    </row>
    <row r="70" spans="1:15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38"/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39"/>
      <c r="K71" s="39"/>
      <c r="L71" s="63"/>
      <c r="M71" s="63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38"/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39"/>
      <c r="K73" s="39"/>
      <c r="L73" s="63"/>
      <c r="M73" s="63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38"/>
      <c r="K74" s="38"/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39"/>
      <c r="K75" s="83"/>
      <c r="L75" s="63"/>
      <c r="M75" s="63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38"/>
      <c r="K76" s="38"/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76"/>
      <c r="L78" s="63"/>
      <c r="M78" s="63"/>
      <c r="N78" s="63"/>
      <c r="O78" s="63"/>
    </row>
    <row r="79" spans="1:15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79"/>
      <c r="L83" s="84"/>
      <c r="M83" s="84"/>
      <c r="N83" s="63"/>
      <c r="O83" s="63"/>
    </row>
    <row r="84" spans="1:15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  <c r="L84" s="86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70" zoomScaleNormal="70" workbookViewId="0">
      <pane xSplit="2" ySplit="3" topLeftCell="C53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35" t="str" cm="1">
        <f t="array" ref="A1">portfolio</f>
        <v>Wells Fargo</v>
      </c>
      <c r="B1" s="235"/>
      <c r="C1" s="235"/>
      <c r="D1" s="236" t="s">
        <v>108</v>
      </c>
      <c r="E1" s="236"/>
      <c r="F1" s="236"/>
      <c r="G1" s="234" t="s">
        <v>109</v>
      </c>
      <c r="H1" s="234"/>
      <c r="I1" s="234"/>
      <c r="J1" s="3"/>
      <c r="K1" s="3"/>
    </row>
    <row r="2" spans="1:15" ht="19.5" customHeight="1">
      <c r="A2" s="245" t="s">
        <v>2</v>
      </c>
      <c r="B2" s="245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5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60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88"/>
      <c r="H5" s="17"/>
      <c r="I5" s="16" t="str">
        <f t="shared" ref="I5:I7" si="0">IFERROR(H5/G5, "")</f>
        <v/>
      </c>
      <c r="J5" s="56"/>
      <c r="K5" s="54"/>
      <c r="L5" s="63"/>
      <c r="M5" s="63"/>
      <c r="N5" s="63"/>
      <c r="O5" s="63"/>
    </row>
    <row r="6" spans="1:15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" si="1">IFERROR(E6/D6, "")</f>
        <v/>
      </c>
      <c r="G6" s="13"/>
      <c r="H6" s="13"/>
      <c r="I6" s="14" t="str">
        <f t="shared" si="0"/>
        <v/>
      </c>
      <c r="J6" s="60"/>
      <c r="K6" s="76"/>
      <c r="L6" s="63"/>
      <c r="M6" s="63"/>
      <c r="N6" s="63"/>
      <c r="O6" s="63"/>
    </row>
    <row r="7" spans="1:15" ht="15.6">
      <c r="A7" s="27" t="str">
        <v>Van Nuys</v>
      </c>
      <c r="B7" s="28" t="str">
        <v>CA</v>
      </c>
      <c r="C7" s="10"/>
      <c r="D7" s="15"/>
      <c r="E7" s="15"/>
      <c r="F7" s="16" t="str">
        <f>IFERROR(E7/D7, "")</f>
        <v/>
      </c>
      <c r="G7" s="17"/>
      <c r="H7" s="17"/>
      <c r="I7" s="16" t="str">
        <f t="shared" si="0"/>
        <v/>
      </c>
      <c r="J7" s="56"/>
      <c r="K7" s="54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60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56"/>
      <c r="K9" s="54"/>
      <c r="L9" s="63"/>
      <c r="M9" s="63"/>
      <c r="N9" s="63"/>
      <c r="O9" s="63"/>
    </row>
    <row r="10" spans="1:15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0"/>
      <c r="K10" s="38"/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56"/>
      <c r="K11" s="54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60"/>
      <c r="K12" s="38"/>
      <c r="L12" s="63"/>
      <c r="M12" s="63"/>
      <c r="N12" s="63"/>
      <c r="O12" s="63"/>
    </row>
    <row r="13" spans="1:15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87"/>
      <c r="K13" s="78"/>
      <c r="L13" s="63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60"/>
      <c r="K14" s="38"/>
      <c r="L14" s="63"/>
      <c r="M14" s="63"/>
      <c r="N14" s="63"/>
      <c r="O14" s="63"/>
    </row>
    <row r="15" spans="1:15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56"/>
      <c r="K15" s="54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59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54"/>
      <c r="K17" s="54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87"/>
      <c r="K19" s="78"/>
      <c r="L19" s="84"/>
      <c r="M19" s="63"/>
      <c r="N19" s="63"/>
      <c r="O19" s="63"/>
    </row>
    <row r="20" spans="1:15" ht="37.5" customHeight="1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76"/>
      <c r="L20" s="63"/>
      <c r="M20" s="63"/>
      <c r="N20" s="63"/>
      <c r="O20" s="63"/>
    </row>
    <row r="21" spans="1:15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54"/>
      <c r="K21" s="78"/>
      <c r="L21" s="63"/>
      <c r="M21" s="63"/>
      <c r="N21" s="63"/>
      <c r="O21" s="63"/>
    </row>
    <row r="22" spans="1:15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76"/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54"/>
      <c r="K23" s="78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60"/>
      <c r="K24" s="38"/>
      <c r="L24" s="63"/>
      <c r="M24" s="63"/>
      <c r="N24" s="63"/>
      <c r="O24" s="63"/>
    </row>
    <row r="25" spans="1:15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56"/>
      <c r="K25" s="54"/>
      <c r="L25" s="63"/>
      <c r="M25" s="63"/>
      <c r="N25" s="63"/>
      <c r="O25" s="63"/>
    </row>
    <row r="26" spans="1:15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60"/>
      <c r="K26" s="38"/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56"/>
      <c r="K27" s="54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60"/>
      <c r="K28" s="38"/>
      <c r="L28" s="63"/>
      <c r="M28" s="63"/>
      <c r="N28" s="63"/>
      <c r="O28" s="63"/>
    </row>
    <row r="29" spans="1:15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56"/>
      <c r="K29" s="78"/>
      <c r="L29" s="84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60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56"/>
      <c r="K31" s="54"/>
      <c r="L31" s="63"/>
      <c r="M31" s="63"/>
      <c r="N31" s="63"/>
      <c r="O31" s="63"/>
    </row>
    <row r="32" spans="1:15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60"/>
      <c r="K32" s="76"/>
      <c r="L32" s="63"/>
      <c r="M32" s="63"/>
      <c r="N32" s="63"/>
      <c r="O32" s="63"/>
    </row>
    <row r="33" spans="1:15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56"/>
      <c r="K33" s="54"/>
      <c r="L33" s="63"/>
      <c r="M33" s="63"/>
      <c r="N33" s="63"/>
      <c r="O33" s="63"/>
    </row>
    <row r="34" spans="1:15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60"/>
      <c r="K34" s="76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56"/>
      <c r="K35" s="54"/>
      <c r="L35" s="63"/>
      <c r="M35" s="63"/>
      <c r="N35" s="63"/>
      <c r="O35" s="63"/>
    </row>
    <row r="36" spans="1:15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60"/>
      <c r="K36" s="38"/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56"/>
      <c r="K37" s="54"/>
      <c r="L37" s="63"/>
      <c r="M37" s="63"/>
      <c r="N37" s="63"/>
      <c r="O37" s="63"/>
    </row>
    <row r="38" spans="1:15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60"/>
      <c r="K38" s="76"/>
      <c r="L38" s="63"/>
      <c r="M38" s="63"/>
      <c r="N38" s="63"/>
      <c r="O38" s="63"/>
    </row>
    <row r="39" spans="1:15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56"/>
      <c r="K39" s="54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60"/>
      <c r="K40" s="38"/>
      <c r="L40" s="63"/>
      <c r="M40" s="63"/>
      <c r="N40" s="63"/>
      <c r="O40" s="63"/>
    </row>
    <row r="41" spans="1:15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56"/>
      <c r="K41" s="54"/>
      <c r="L41" s="63"/>
      <c r="M41" s="63"/>
      <c r="N41" s="63"/>
      <c r="O41" s="63"/>
    </row>
    <row r="42" spans="1:15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60"/>
      <c r="K42" s="38"/>
      <c r="L42" s="63"/>
      <c r="M42" s="63"/>
      <c r="N42" s="63"/>
      <c r="O42" s="63"/>
    </row>
    <row r="43" spans="1:15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56"/>
      <c r="K43" s="54"/>
      <c r="L43" s="63"/>
      <c r="M43" s="63"/>
      <c r="N43" s="63"/>
      <c r="O43" s="63"/>
    </row>
    <row r="44" spans="1:15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0"/>
      <c r="K44" s="76"/>
      <c r="L44" s="63"/>
      <c r="M44" s="63"/>
      <c r="N44" s="63"/>
      <c r="O44" s="63"/>
    </row>
    <row r="45" spans="1:15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49"/>
      <c r="K45" s="54"/>
      <c r="L45" s="63"/>
      <c r="M45" s="63"/>
      <c r="N45" s="63"/>
      <c r="O45" s="63"/>
    </row>
    <row r="46" spans="1:15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0"/>
      <c r="K46" s="38"/>
      <c r="L46" s="63"/>
      <c r="M46" s="63"/>
      <c r="N46" s="63"/>
      <c r="O46" s="63"/>
    </row>
    <row r="47" spans="1:15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49"/>
      <c r="K47" s="78"/>
      <c r="L47" s="63"/>
      <c r="M47" s="63"/>
      <c r="N47" s="63"/>
      <c r="O47" s="63"/>
    </row>
    <row r="48" spans="1:15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0"/>
      <c r="K48" s="38"/>
      <c r="L48" s="63"/>
      <c r="M48" s="63"/>
      <c r="N48" s="63"/>
      <c r="O48" s="63"/>
    </row>
    <row r="49" spans="1:15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49"/>
      <c r="K49" s="54"/>
      <c r="L49" s="63"/>
      <c r="M49" s="63"/>
      <c r="N49" s="63"/>
      <c r="O49" s="63"/>
    </row>
    <row r="50" spans="1:15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60"/>
      <c r="K50" s="38"/>
      <c r="L50" s="63"/>
      <c r="M50" s="63"/>
      <c r="N50" s="63"/>
      <c r="O50" s="63"/>
    </row>
    <row r="51" spans="1:15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56"/>
      <c r="K51" s="54"/>
      <c r="L51" s="63"/>
      <c r="M51" s="63"/>
      <c r="N51" s="63"/>
      <c r="O51" s="63"/>
    </row>
    <row r="52" spans="1:15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60"/>
      <c r="K52" s="38"/>
      <c r="L52" s="63"/>
      <c r="M52" s="63"/>
      <c r="N52" s="63"/>
      <c r="O52" s="63"/>
    </row>
    <row r="53" spans="1:15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56"/>
      <c r="K53" s="54"/>
      <c r="L53" s="63"/>
      <c r="M53" s="63"/>
      <c r="N53" s="63"/>
      <c r="O53" s="63"/>
    </row>
    <row r="54" spans="1:15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60"/>
      <c r="K54" s="38"/>
      <c r="L54" s="63"/>
      <c r="M54" s="63"/>
      <c r="N54" s="63"/>
      <c r="O54" s="63"/>
    </row>
    <row r="55" spans="1:15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56"/>
      <c r="K55" s="54"/>
      <c r="L55" s="63"/>
      <c r="M55" s="63"/>
      <c r="N55" s="63"/>
      <c r="O55" s="63"/>
    </row>
    <row r="56" spans="1:15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60"/>
      <c r="K56" s="76"/>
      <c r="L56" s="63"/>
      <c r="M56" s="63"/>
      <c r="N56" s="63"/>
      <c r="O56" s="63"/>
    </row>
    <row r="57" spans="1:15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56"/>
      <c r="K57" s="54"/>
      <c r="L57" s="63"/>
      <c r="M57" s="63"/>
      <c r="N57" s="63"/>
      <c r="O57" s="63"/>
    </row>
    <row r="58" spans="1:15" ht="49.35" customHeight="1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60"/>
      <c r="K58" s="38"/>
      <c r="L58" s="63"/>
      <c r="M58" s="63"/>
      <c r="N58" s="63"/>
      <c r="O58" s="63"/>
    </row>
    <row r="59" spans="1:15" ht="15.6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56"/>
      <c r="K59" s="54"/>
      <c r="L59" s="63"/>
      <c r="M59" s="63"/>
      <c r="N59" s="63"/>
      <c r="O59" s="63"/>
    </row>
    <row r="60" spans="1:15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60"/>
      <c r="K60" s="38"/>
      <c r="L60" s="63"/>
      <c r="M60" s="63"/>
      <c r="N60" s="63"/>
      <c r="O60" s="63"/>
    </row>
    <row r="61" spans="1:15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56"/>
      <c r="K61" s="78"/>
      <c r="L61" s="63"/>
      <c r="M61" s="63"/>
      <c r="N61" s="63"/>
      <c r="O61" s="63"/>
    </row>
    <row r="62" spans="1:15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60"/>
      <c r="K62" s="38"/>
      <c r="L62" s="63"/>
      <c r="M62" s="63"/>
      <c r="N62" s="63"/>
      <c r="O62" s="63"/>
    </row>
    <row r="63" spans="1:15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56"/>
      <c r="K63" s="79"/>
      <c r="L63" s="84"/>
      <c r="M63" s="63"/>
      <c r="N63" s="63"/>
      <c r="O63" s="63"/>
    </row>
    <row r="64" spans="1:15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60"/>
      <c r="K64" s="38"/>
      <c r="L64" s="63"/>
      <c r="M64" s="63"/>
      <c r="N64" s="63"/>
      <c r="O64" s="63"/>
    </row>
    <row r="65" spans="1:15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56"/>
      <c r="K65" s="54"/>
      <c r="L65" s="63"/>
      <c r="M65" s="63"/>
      <c r="N65" s="63"/>
      <c r="O65" s="63"/>
    </row>
    <row r="66" spans="1:15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38"/>
      <c r="K66" s="38"/>
      <c r="L66" s="63"/>
      <c r="M66" s="63"/>
      <c r="N66" s="63"/>
      <c r="O66" s="63"/>
    </row>
    <row r="67" spans="1:15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39"/>
      <c r="K67" s="79"/>
      <c r="L67" s="63"/>
      <c r="M67" s="63"/>
      <c r="N67" s="63"/>
      <c r="O67" s="63"/>
    </row>
    <row r="68" spans="1:15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38"/>
      <c r="K68" s="38"/>
      <c r="L68" s="63"/>
      <c r="M68" s="63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39"/>
      <c r="K69" s="54"/>
      <c r="L69" s="63"/>
      <c r="M69" s="63"/>
      <c r="N69" s="63"/>
      <c r="O69" s="63"/>
    </row>
    <row r="70" spans="1:15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38"/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39"/>
      <c r="K71" s="54"/>
      <c r="L71" s="63"/>
      <c r="M71" s="63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38"/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39"/>
      <c r="K73" s="54"/>
      <c r="L73" s="63"/>
      <c r="M73" s="63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38"/>
      <c r="K74" s="38"/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39"/>
      <c r="K75" s="78"/>
      <c r="L75" s="63"/>
      <c r="M75" s="63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38"/>
      <c r="K76" s="38"/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39"/>
      <c r="K77" s="54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76"/>
      <c r="L78" s="63"/>
      <c r="M78" s="63"/>
      <c r="N78" s="63"/>
      <c r="O78" s="63"/>
    </row>
    <row r="79" spans="1:15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54"/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78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78"/>
      <c r="L83" s="84"/>
      <c r="M83" s="63"/>
      <c r="N83" s="63"/>
      <c r="O83" s="63"/>
    </row>
    <row r="84" spans="1:15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38"/>
      <c r="L84" s="63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24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35" t="str" cm="1">
        <f t="array" ref="A1">portfolio</f>
        <v>Wells Fargo</v>
      </c>
      <c r="B1" s="235"/>
      <c r="C1" s="235"/>
      <c r="D1" s="236" t="s">
        <v>110</v>
      </c>
      <c r="E1" s="236"/>
      <c r="F1" s="236"/>
      <c r="G1" s="234" t="s">
        <v>111</v>
      </c>
      <c r="H1" s="234"/>
      <c r="I1" s="234"/>
      <c r="J1" s="3"/>
      <c r="K1" s="3"/>
    </row>
    <row r="2" spans="1:11" ht="19.5" customHeight="1">
      <c r="A2" s="245" t="s">
        <v>2</v>
      </c>
      <c r="B2" s="245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88"/>
      <c r="H5" s="17"/>
      <c r="I5" s="16" t="str">
        <f t="shared" ref="I5:I7" si="0">IFERROR(H5/G5, "")</f>
        <v/>
      </c>
      <c r="J5" s="56"/>
      <c r="K5" s="49"/>
    </row>
    <row r="6" spans="1:11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60"/>
      <c r="K6" s="85"/>
    </row>
    <row r="7" spans="1:11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49"/>
      <c r="K7" s="49"/>
    </row>
    <row r="8" spans="1:11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60"/>
      <c r="K8" s="60"/>
    </row>
    <row r="9" spans="1:11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49"/>
      <c r="K9" s="49"/>
    </row>
    <row r="10" spans="1:11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0"/>
      <c r="K10" s="60"/>
    </row>
    <row r="11" spans="1:11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49"/>
      <c r="K11" s="49"/>
    </row>
    <row r="12" spans="1:11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60"/>
      <c r="K12" s="60"/>
    </row>
    <row r="13" spans="1:11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49"/>
      <c r="K13" s="79"/>
    </row>
    <row r="14" spans="1:11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60"/>
      <c r="K14" s="60"/>
    </row>
    <row r="15" spans="1:11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49"/>
      <c r="K15" s="49"/>
    </row>
    <row r="16" spans="1:11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60"/>
      <c r="K16" s="60"/>
    </row>
    <row r="17" spans="1:13" ht="81.75" customHeight="1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49"/>
      <c r="K17" s="49"/>
    </row>
    <row r="18" spans="1:13" ht="37.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60"/>
      <c r="K18" s="60"/>
    </row>
    <row r="19" spans="1:13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49"/>
      <c r="K19" s="79"/>
      <c r="L19" s="77"/>
      <c r="M19" s="77"/>
    </row>
    <row r="20" spans="1:13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60"/>
      <c r="K20" s="85"/>
    </row>
    <row r="21" spans="1:13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49"/>
      <c r="K21" s="49"/>
    </row>
    <row r="22" spans="1:13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60"/>
      <c r="K22" s="60"/>
    </row>
    <row r="23" spans="1:13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49"/>
      <c r="K23" s="49"/>
    </row>
    <row r="24" spans="1:13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60"/>
      <c r="K24" s="60"/>
    </row>
    <row r="25" spans="1:13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49"/>
      <c r="K25" s="49"/>
    </row>
    <row r="26" spans="1:13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60"/>
      <c r="K26" s="60"/>
    </row>
    <row r="27" spans="1:13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49"/>
      <c r="K27" s="49"/>
    </row>
    <row r="28" spans="1:13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60"/>
      <c r="K28" s="60"/>
    </row>
    <row r="29" spans="1:13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49"/>
      <c r="K29" s="49"/>
    </row>
    <row r="30" spans="1:13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60"/>
      <c r="K30" s="60"/>
    </row>
    <row r="31" spans="1:13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49"/>
      <c r="K31" s="49"/>
    </row>
    <row r="32" spans="1:13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60"/>
      <c r="K32" s="85"/>
    </row>
    <row r="33" spans="1:11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49"/>
      <c r="K33" s="49"/>
    </row>
    <row r="34" spans="1:11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60"/>
      <c r="K34" s="85"/>
    </row>
    <row r="35" spans="1:11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56"/>
      <c r="K35" s="79"/>
    </row>
    <row r="36" spans="1:11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60"/>
      <c r="K36" s="60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49"/>
      <c r="K37" s="49"/>
    </row>
    <row r="38" spans="1:11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60"/>
      <c r="K38" s="60"/>
    </row>
    <row r="39" spans="1:11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56"/>
      <c r="K39" s="49"/>
    </row>
    <row r="40" spans="1:11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60"/>
      <c r="K40" s="60"/>
    </row>
    <row r="41" spans="1:11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49"/>
      <c r="K41" s="49"/>
    </row>
    <row r="42" spans="1:11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60"/>
      <c r="K42" s="60"/>
    </row>
    <row r="43" spans="1:11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49"/>
      <c r="K43" s="49"/>
    </row>
    <row r="44" spans="1:11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0"/>
      <c r="K44" s="60"/>
    </row>
    <row r="45" spans="1:11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49"/>
      <c r="K45" s="49"/>
    </row>
    <row r="46" spans="1:11" ht="37.5" customHeight="1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0"/>
      <c r="K46" s="85"/>
    </row>
    <row r="47" spans="1:11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49"/>
      <c r="K47" s="79"/>
    </row>
    <row r="48" spans="1:11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0"/>
      <c r="K48" s="60"/>
    </row>
    <row r="49" spans="1:11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49"/>
      <c r="K49" s="49"/>
    </row>
    <row r="50" spans="1:11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60"/>
      <c r="K50" s="60"/>
    </row>
    <row r="51" spans="1:11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49"/>
      <c r="K51" s="49"/>
    </row>
    <row r="52" spans="1:11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60"/>
      <c r="K52" s="60"/>
    </row>
    <row r="53" spans="1:11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49"/>
      <c r="K53" s="49"/>
    </row>
    <row r="54" spans="1:11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60"/>
      <c r="K54" s="60"/>
    </row>
    <row r="55" spans="1:11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49"/>
      <c r="K55" s="49"/>
    </row>
    <row r="56" spans="1:11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60"/>
      <c r="K56" s="85"/>
    </row>
    <row r="57" spans="1:11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56"/>
      <c r="K57" s="49"/>
    </row>
    <row r="58" spans="1:11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60"/>
      <c r="K58" s="60"/>
    </row>
    <row r="59" spans="1:11" ht="15.6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49"/>
      <c r="K59" s="49"/>
    </row>
    <row r="60" spans="1:11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60"/>
      <c r="K60" s="60"/>
    </row>
    <row r="61" spans="1:11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49"/>
      <c r="K61" s="49"/>
    </row>
    <row r="62" spans="1:11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60"/>
      <c r="K62" s="60"/>
    </row>
    <row r="63" spans="1:11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49"/>
      <c r="K63" s="49"/>
    </row>
    <row r="64" spans="1:11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60"/>
      <c r="K64" s="60"/>
    </row>
    <row r="65" spans="1:11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49"/>
      <c r="K65" s="49"/>
    </row>
    <row r="66" spans="1:11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60"/>
      <c r="K66" s="60"/>
    </row>
    <row r="67" spans="1:11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49"/>
      <c r="K67" s="79"/>
    </row>
    <row r="68" spans="1:11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60"/>
      <c r="K68" s="60"/>
    </row>
    <row r="69" spans="1:11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60"/>
      <c r="K70" s="60"/>
    </row>
    <row r="71" spans="1:11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60"/>
      <c r="K72" s="60"/>
    </row>
    <row r="73" spans="1:11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60"/>
      <c r="K74" s="60"/>
    </row>
    <row r="75" spans="1:11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49"/>
      <c r="K75" s="79"/>
    </row>
    <row r="76" spans="1:11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60"/>
      <c r="K76" s="60"/>
    </row>
    <row r="77" spans="1:11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0"/>
      <c r="K78" s="60"/>
    </row>
    <row r="79" spans="1:11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0"/>
      <c r="K80" s="60"/>
    </row>
    <row r="81" spans="1:11" ht="15.6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79"/>
    </row>
    <row r="82" spans="1:11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0"/>
      <c r="K82" s="60"/>
    </row>
    <row r="83" spans="1:11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79"/>
    </row>
    <row r="84" spans="1:11" ht="15.6">
      <c r="A84" s="25" t="str">
        <v>Tucson Main Parking Garage</v>
      </c>
      <c r="B84" s="26" t="str">
        <v>AZ</v>
      </c>
      <c r="C84" s="57"/>
      <c r="D84" s="11"/>
      <c r="E84" s="11"/>
      <c r="F84" s="12"/>
      <c r="G84" s="13"/>
      <c r="H84" s="13"/>
      <c r="I84" s="14"/>
      <c r="J84" s="60"/>
      <c r="K84" s="60"/>
    </row>
    <row r="85" spans="1:11" ht="14.45">
      <c r="A85" s="66" t="str">
        <v>AZ: Chandler - Chandler Campus - Bldg A</v>
      </c>
      <c r="B85" s="64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 t="str">
        <v>AZ: Phoenix - Pinnacle Peak Ops</v>
      </c>
      <c r="B86" s="64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 t="str">
        <v>CA: Alhambra - North Alhambra</v>
      </c>
      <c r="B87" s="64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 t="str">
        <v>CA: La Canada - La Canada</v>
      </c>
      <c r="B88" s="64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 t="str">
        <v>CA: Laguna Beach - LAGUNA BEACH</v>
      </c>
      <c r="B89" s="64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 t="str">
        <v>CA: Newport Beach - MARINERS</v>
      </c>
      <c r="B90" s="64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70" zoomScaleNormal="70" workbookViewId="0">
      <pane xSplit="2" ySplit="3" topLeftCell="C10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ColWidth="9.140625" defaultRowHeight="17.45"/>
  <cols>
    <col min="1" max="1" width="46.5703125" style="127" customWidth="1"/>
    <col min="2" max="2" width="8.42578125" style="127" customWidth="1"/>
    <col min="3" max="3" width="11.85546875" style="92" customWidth="1"/>
    <col min="4" max="4" width="16.5703125" style="92" customWidth="1"/>
    <col min="5" max="5" width="13.140625" style="92" customWidth="1"/>
    <col min="6" max="6" width="13.140625" style="128" customWidth="1"/>
    <col min="7" max="8" width="13.140625" style="92" customWidth="1"/>
    <col min="9" max="9" width="13.140625" style="128" customWidth="1"/>
    <col min="10" max="10" width="71.5703125" style="92" customWidth="1"/>
    <col min="11" max="11" width="25.140625" style="92" bestFit="1" customWidth="1"/>
    <col min="12" max="12" width="14.7109375" style="92" bestFit="1" customWidth="1"/>
    <col min="13" max="13" width="27.85546875" style="131" customWidth="1"/>
    <col min="14" max="14" width="61.42578125" style="92" bestFit="1" customWidth="1"/>
    <col min="15" max="18" width="9.140625" style="92"/>
    <col min="19" max="19" width="23.7109375" style="92" bestFit="1" customWidth="1"/>
    <col min="20" max="16384" width="9.140625" style="92"/>
  </cols>
  <sheetData>
    <row r="1" spans="1:14" ht="19.5" customHeight="1">
      <c r="A1" s="247" t="str" cm="1">
        <f t="array" ref="A1">portfolio</f>
        <v>Wells Fargo</v>
      </c>
      <c r="B1" s="247"/>
      <c r="C1" s="247"/>
      <c r="D1" s="248" t="s">
        <v>112</v>
      </c>
      <c r="E1" s="248"/>
      <c r="F1" s="248"/>
      <c r="G1" s="246" t="s">
        <v>113</v>
      </c>
      <c r="H1" s="246"/>
      <c r="I1" s="246"/>
      <c r="J1" s="91"/>
      <c r="K1" s="91"/>
    </row>
    <row r="2" spans="1:14" ht="34.9">
      <c r="A2" s="249" t="s">
        <v>2</v>
      </c>
      <c r="B2" s="249"/>
      <c r="C2" s="93">
        <f>SUM(C4:C86)</f>
        <v>0</v>
      </c>
      <c r="D2" s="93">
        <f>SUM(D4:D86)</f>
        <v>0</v>
      </c>
      <c r="E2" s="93">
        <f>C2-D2</f>
        <v>0</v>
      </c>
      <c r="F2" s="94">
        <f>IFERROR(E2/D2, 0)</f>
        <v>0</v>
      </c>
      <c r="G2" s="93">
        <f>SUM(G4:G86)</f>
        <v>0</v>
      </c>
      <c r="H2" s="95">
        <f>C2-G2</f>
        <v>0</v>
      </c>
      <c r="I2" s="94">
        <f>IFERROR(H2/G2, 0)</f>
        <v>0</v>
      </c>
      <c r="J2" s="9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1"/>
      <c r="M2" s="134" t="s">
        <v>114</v>
      </c>
      <c r="N2" s="92" t="s">
        <v>20</v>
      </c>
    </row>
    <row r="3" spans="1:14" ht="14.25" customHeight="1">
      <c r="A3" s="90" t="s">
        <v>3</v>
      </c>
      <c r="B3" s="90" t="s">
        <v>11</v>
      </c>
      <c r="C3" s="97" t="s">
        <v>4</v>
      </c>
      <c r="D3" s="98" t="s">
        <v>5</v>
      </c>
      <c r="E3" s="98" t="s">
        <v>6</v>
      </c>
      <c r="F3" s="99" t="s">
        <v>7</v>
      </c>
      <c r="G3" s="100" t="s">
        <v>8</v>
      </c>
      <c r="H3" s="101" t="s">
        <v>6</v>
      </c>
      <c r="I3" s="102" t="s">
        <v>7</v>
      </c>
      <c r="J3" s="103" t="s">
        <v>20</v>
      </c>
      <c r="K3" s="103" t="s">
        <v>21</v>
      </c>
      <c r="M3" s="132" t="s">
        <v>115</v>
      </c>
    </row>
    <row r="4" spans="1:14" ht="18">
      <c r="A4" s="104" t="str" cm="1">
        <f t="array" ref="A4:A90">Sites[Site]</f>
        <v>Adams &amp; Broadway</v>
      </c>
      <c r="B4" s="105" t="str" cm="1">
        <f t="array" ref="B4:B90">Sites[State]</f>
        <v>CA</v>
      </c>
      <c r="C4" s="106"/>
      <c r="D4" s="107"/>
      <c r="E4" s="107"/>
      <c r="F4" s="108" t="str">
        <f>IFERROR(E4/D4, "")</f>
        <v/>
      </c>
      <c r="G4" s="109"/>
      <c r="H4" s="109"/>
      <c r="I4" s="110" t="str">
        <f>IFERROR(H4/G4, "")</f>
        <v/>
      </c>
      <c r="J4" s="111"/>
      <c r="K4" s="111"/>
      <c r="L4" s="250"/>
    </row>
    <row r="5" spans="1:14" ht="18">
      <c r="A5" s="112" t="str">
        <v>Otay Mesa</v>
      </c>
      <c r="B5" s="112" t="str">
        <v>CA</v>
      </c>
      <c r="C5" s="113"/>
      <c r="D5" s="114"/>
      <c r="E5" s="114"/>
      <c r="F5" s="115" t="str">
        <f>IFERROR(E5/D5, "")</f>
        <v/>
      </c>
      <c r="G5" s="116"/>
      <c r="H5" s="117"/>
      <c r="I5" s="115" t="str">
        <f t="shared" ref="I5:I7" si="0">IFERROR(H5/G5, "")</f>
        <v/>
      </c>
      <c r="J5" s="118"/>
      <c r="K5" s="119"/>
      <c r="L5" s="250"/>
    </row>
    <row r="6" spans="1:14" ht="28.35" customHeight="1">
      <c r="A6" s="105" t="str">
        <v>San Leandro</v>
      </c>
      <c r="B6" s="105" t="str">
        <v>CA</v>
      </c>
      <c r="C6" s="106"/>
      <c r="D6" s="107"/>
      <c r="E6" s="107"/>
      <c r="F6" s="108" t="str">
        <f t="shared" ref="F6:F7" si="1">IFERROR(E6/D6, "")</f>
        <v/>
      </c>
      <c r="G6" s="109"/>
      <c r="H6" s="109"/>
      <c r="I6" s="110" t="str">
        <f t="shared" si="0"/>
        <v/>
      </c>
      <c r="J6" s="111"/>
      <c r="K6" s="120"/>
      <c r="L6" s="250"/>
    </row>
    <row r="7" spans="1:14" ht="18">
      <c r="A7" s="112" t="str">
        <v>Van Nuys</v>
      </c>
      <c r="B7" s="112" t="str">
        <v>CA</v>
      </c>
      <c r="C7" s="113"/>
      <c r="D7" s="114"/>
      <c r="E7" s="114"/>
      <c r="F7" s="115" t="str">
        <f t="shared" si="1"/>
        <v/>
      </c>
      <c r="G7" s="117"/>
      <c r="H7" s="117"/>
      <c r="I7" s="115" t="str">
        <f t="shared" si="0"/>
        <v/>
      </c>
      <c r="J7" s="119"/>
      <c r="K7" s="119"/>
      <c r="L7" s="250"/>
    </row>
    <row r="8" spans="1:14" ht="18">
      <c r="A8" s="105" t="str">
        <v>Lodi - Lodi Vineyard</v>
      </c>
      <c r="B8" s="105" t="str">
        <v>CA</v>
      </c>
      <c r="C8" s="106"/>
      <c r="D8" s="107"/>
      <c r="E8" s="107"/>
      <c r="F8" s="108"/>
      <c r="G8" s="109"/>
      <c r="H8" s="109"/>
      <c r="I8" s="110"/>
      <c r="J8" s="111"/>
      <c r="K8" s="111"/>
      <c r="L8" s="250"/>
    </row>
    <row r="9" spans="1:14" ht="18">
      <c r="A9" s="112" t="str">
        <v>Arden Fair Mall</v>
      </c>
      <c r="B9" s="112" t="str">
        <v>CA</v>
      </c>
      <c r="C9" s="113"/>
      <c r="D9" s="114"/>
      <c r="E9" s="114"/>
      <c r="F9" s="115"/>
      <c r="G9" s="117"/>
      <c r="H9" s="117"/>
      <c r="I9" s="115"/>
      <c r="J9" s="119"/>
      <c r="K9" s="121"/>
      <c r="L9" s="250"/>
    </row>
    <row r="10" spans="1:14" ht="18">
      <c r="A10" s="105" t="str">
        <v>Modesto - Modesto Main</v>
      </c>
      <c r="B10" s="105" t="str">
        <v>CA</v>
      </c>
      <c r="C10" s="106"/>
      <c r="D10" s="107"/>
      <c r="E10" s="107"/>
      <c r="F10" s="108"/>
      <c r="G10" s="109"/>
      <c r="H10" s="109"/>
      <c r="I10" s="110"/>
      <c r="J10" s="111"/>
      <c r="K10" s="120"/>
      <c r="L10" s="250"/>
    </row>
    <row r="11" spans="1:14" ht="18">
      <c r="A11" s="112" t="str">
        <v>Stevens Creek</v>
      </c>
      <c r="B11" s="112" t="str">
        <v>CA</v>
      </c>
      <c r="C11" s="113"/>
      <c r="D11" s="114"/>
      <c r="E11" s="114"/>
      <c r="F11" s="115"/>
      <c r="G11" s="117"/>
      <c r="H11" s="117"/>
      <c r="I11" s="115"/>
      <c r="J11" s="119"/>
      <c r="K11" s="119"/>
      <c r="L11" s="250"/>
    </row>
    <row r="12" spans="1:14" ht="18">
      <c r="A12" s="105" t="str">
        <v>Covina Main</v>
      </c>
      <c r="B12" s="105" t="str">
        <v>CA</v>
      </c>
      <c r="C12" s="106"/>
      <c r="D12" s="107"/>
      <c r="E12" s="107"/>
      <c r="F12" s="108"/>
      <c r="G12" s="109"/>
      <c r="H12" s="109"/>
      <c r="I12" s="110"/>
      <c r="J12" s="111"/>
      <c r="K12" s="111"/>
      <c r="L12" s="250"/>
    </row>
    <row r="13" spans="1:14" ht="18">
      <c r="A13" s="112" t="str">
        <v>Old Ranch Town Center</v>
      </c>
      <c r="B13" s="112" t="str">
        <v>CA</v>
      </c>
      <c r="C13" s="113"/>
      <c r="D13" s="114"/>
      <c r="E13" s="114"/>
      <c r="F13" s="115"/>
      <c r="G13" s="117"/>
      <c r="H13" s="117"/>
      <c r="I13" s="115"/>
      <c r="J13" s="119"/>
      <c r="K13" s="121"/>
      <c r="L13" s="250"/>
    </row>
    <row r="14" spans="1:14" ht="18">
      <c r="A14" s="105" t="str">
        <v>Mountain Gate Plaza</v>
      </c>
      <c r="B14" s="105" t="str">
        <v>CA</v>
      </c>
      <c r="C14" s="106"/>
      <c r="D14" s="107"/>
      <c r="E14" s="107"/>
      <c r="F14" s="108"/>
      <c r="G14" s="109"/>
      <c r="H14" s="109"/>
      <c r="I14" s="110"/>
      <c r="J14" s="111"/>
      <c r="K14" s="111"/>
      <c r="L14" s="250"/>
    </row>
    <row r="15" spans="1:14" ht="18">
      <c r="A15" s="112" t="str">
        <v>Arcadia Main</v>
      </c>
      <c r="B15" s="112" t="str">
        <v>CA</v>
      </c>
      <c r="C15" s="113"/>
      <c r="D15" s="114"/>
      <c r="E15" s="114"/>
      <c r="F15" s="115"/>
      <c r="G15" s="117"/>
      <c r="H15" s="117"/>
      <c r="I15" s="115"/>
      <c r="J15" s="119"/>
      <c r="K15" s="119"/>
      <c r="L15" s="250"/>
    </row>
    <row r="16" spans="1:14" ht="18">
      <c r="A16" s="105" t="str">
        <v>Fairfield</v>
      </c>
      <c r="B16" s="105" t="str">
        <v>CA</v>
      </c>
      <c r="C16" s="106"/>
      <c r="D16" s="107"/>
      <c r="E16" s="107"/>
      <c r="F16" s="108"/>
      <c r="G16" s="109"/>
      <c r="H16" s="109"/>
      <c r="I16" s="110"/>
      <c r="J16" s="111"/>
      <c r="K16" s="120"/>
    </row>
    <row r="17" spans="1:19" ht="18">
      <c r="A17" s="112" t="str">
        <v>Los Gatos</v>
      </c>
      <c r="B17" s="112" t="str">
        <v>CA</v>
      </c>
      <c r="C17" s="113"/>
      <c r="D17" s="114"/>
      <c r="E17" s="114"/>
      <c r="F17" s="115"/>
      <c r="G17" s="117"/>
      <c r="H17" s="117"/>
      <c r="I17" s="115"/>
      <c r="J17" s="119"/>
      <c r="K17" s="119"/>
    </row>
    <row r="18" spans="1:19" ht="16.5" customHeight="1">
      <c r="A18" s="105" t="str">
        <v>San Marino</v>
      </c>
      <c r="B18" s="105" t="str">
        <v>CA</v>
      </c>
      <c r="C18" s="106"/>
      <c r="D18" s="107"/>
      <c r="E18" s="107"/>
      <c r="F18" s="108"/>
      <c r="G18" s="109"/>
      <c r="H18" s="109"/>
      <c r="I18" s="110"/>
      <c r="J18" s="111"/>
      <c r="K18" s="120"/>
    </row>
    <row r="19" spans="1:19" ht="18">
      <c r="A19" s="112" t="str">
        <v>Buenaventura</v>
      </c>
      <c r="B19" s="112" t="str">
        <v>CA</v>
      </c>
      <c r="C19" s="113"/>
      <c r="D19" s="114"/>
      <c r="E19" s="114"/>
      <c r="F19" s="108"/>
      <c r="G19" s="117"/>
      <c r="H19" s="117"/>
      <c r="I19" s="115"/>
      <c r="J19" s="123"/>
      <c r="K19" s="121"/>
      <c r="L19" s="122"/>
      <c r="S19" s="133" t="s">
        <v>116</v>
      </c>
    </row>
    <row r="20" spans="1:19" ht="18">
      <c r="A20" s="105" t="str">
        <v>BE 199502 - Westgate</v>
      </c>
      <c r="B20" s="105" t="str">
        <v>CA</v>
      </c>
      <c r="C20" s="106"/>
      <c r="D20" s="107"/>
      <c r="E20" s="107"/>
      <c r="F20" s="108"/>
      <c r="G20" s="109"/>
      <c r="H20" s="109"/>
      <c r="I20" s="110"/>
      <c r="J20" s="111"/>
      <c r="K20" s="120"/>
      <c r="N20" s="130"/>
    </row>
    <row r="21" spans="1:19" ht="18">
      <c r="A21" s="112" t="str">
        <v>98th &amp; Grant</v>
      </c>
      <c r="B21" s="112" t="str">
        <v>CO</v>
      </c>
      <c r="C21" s="113"/>
      <c r="D21" s="114"/>
      <c r="E21" s="114"/>
      <c r="F21" s="115"/>
      <c r="G21" s="117"/>
      <c r="H21" s="117"/>
      <c r="I21" s="115"/>
      <c r="J21" s="119"/>
      <c r="K21" s="119"/>
    </row>
    <row r="22" spans="1:19" ht="18">
      <c r="A22" s="105" t="str">
        <v>Arapahoe Crossings</v>
      </c>
      <c r="B22" s="105" t="str">
        <v>CO</v>
      </c>
      <c r="C22" s="106"/>
      <c r="D22" s="107"/>
      <c r="E22" s="107"/>
      <c r="F22" s="108"/>
      <c r="G22" s="109"/>
      <c r="H22" s="109"/>
      <c r="I22" s="110"/>
      <c r="J22" s="111"/>
      <c r="K22" s="120"/>
      <c r="L22" s="122"/>
    </row>
    <row r="23" spans="1:19" ht="18">
      <c r="A23" s="112" t="str">
        <v>Aurora City Center</v>
      </c>
      <c r="B23" s="112" t="str">
        <v>CO</v>
      </c>
      <c r="C23" s="113"/>
      <c r="D23" s="114"/>
      <c r="E23" s="114"/>
      <c r="F23" s="115"/>
      <c r="G23" s="117"/>
      <c r="H23" s="117"/>
      <c r="I23" s="115"/>
      <c r="J23" s="119"/>
      <c r="K23" s="119"/>
    </row>
    <row r="24" spans="1:19" ht="18">
      <c r="A24" s="105" t="str">
        <v>Dry Creek</v>
      </c>
      <c r="B24" s="105" t="str">
        <v>CO</v>
      </c>
      <c r="C24" s="106"/>
      <c r="D24" s="107"/>
      <c r="E24" s="107"/>
      <c r="F24" s="108"/>
      <c r="G24" s="109"/>
      <c r="H24" s="109"/>
      <c r="I24" s="110"/>
      <c r="J24" s="111"/>
      <c r="K24" s="120"/>
    </row>
    <row r="25" spans="1:19" ht="18">
      <c r="A25" s="112" t="str">
        <v>Highlands Ranch S.</v>
      </c>
      <c r="B25" s="112" t="str">
        <v>CO</v>
      </c>
      <c r="C25" s="113"/>
      <c r="D25" s="114"/>
      <c r="E25" s="114"/>
      <c r="F25" s="115"/>
      <c r="G25" s="117"/>
      <c r="H25" s="117"/>
      <c r="I25" s="115"/>
      <c r="J25" s="119"/>
      <c r="K25" s="119"/>
    </row>
    <row r="26" spans="1:19" ht="18">
      <c r="A26" s="105" t="str">
        <v>Lone Tree</v>
      </c>
      <c r="B26" s="105" t="str">
        <v>CO</v>
      </c>
      <c r="C26" s="106"/>
      <c r="D26" s="107"/>
      <c r="E26" s="107"/>
      <c r="F26" s="108"/>
      <c r="G26" s="109"/>
      <c r="H26" s="109"/>
      <c r="I26" s="110"/>
      <c r="J26" s="111"/>
      <c r="K26" s="111"/>
    </row>
    <row r="27" spans="1:19" ht="18">
      <c r="A27" s="112" t="str">
        <v>Meridian</v>
      </c>
      <c r="B27" s="112" t="str">
        <v>CO</v>
      </c>
      <c r="C27" s="113"/>
      <c r="D27" s="114"/>
      <c r="E27" s="114"/>
      <c r="F27" s="115"/>
      <c r="G27" s="117"/>
      <c r="H27" s="117"/>
      <c r="I27" s="115"/>
      <c r="J27" s="119"/>
      <c r="K27" s="119"/>
    </row>
    <row r="28" spans="1:19" ht="18">
      <c r="A28" s="105" t="str">
        <v>Southglenn</v>
      </c>
      <c r="B28" s="105" t="str">
        <v>CO</v>
      </c>
      <c r="C28" s="106"/>
      <c r="D28" s="107"/>
      <c r="E28" s="107"/>
      <c r="F28" s="108"/>
      <c r="G28" s="109"/>
      <c r="H28" s="109"/>
      <c r="I28" s="110"/>
      <c r="J28" s="111"/>
      <c r="K28" s="111"/>
    </row>
    <row r="29" spans="1:19" ht="18">
      <c r="A29" s="112" t="str">
        <v>Standley Lake</v>
      </c>
      <c r="B29" s="112" t="str">
        <v>CO</v>
      </c>
      <c r="C29" s="113"/>
      <c r="D29" s="114"/>
      <c r="E29" s="114"/>
      <c r="F29" s="115"/>
      <c r="G29" s="117"/>
      <c r="H29" s="117"/>
      <c r="I29" s="115"/>
      <c r="J29" s="119"/>
      <c r="K29" s="119"/>
    </row>
    <row r="30" spans="1:19" ht="18">
      <c r="A30" s="105" t="str">
        <v>Havana Gardens</v>
      </c>
      <c r="B30" s="105" t="str">
        <v>CO</v>
      </c>
      <c r="C30" s="106"/>
      <c r="D30" s="107"/>
      <c r="E30" s="107"/>
      <c r="F30" s="108"/>
      <c r="G30" s="109"/>
      <c r="H30" s="109"/>
      <c r="I30" s="110"/>
      <c r="J30" s="111"/>
      <c r="K30" s="111"/>
    </row>
    <row r="31" spans="1:19" ht="18">
      <c r="A31" s="112" t="str">
        <v>East Hartford</v>
      </c>
      <c r="B31" s="112" t="str">
        <v>CT</v>
      </c>
      <c r="C31" s="113"/>
      <c r="D31" s="114"/>
      <c r="E31" s="114"/>
      <c r="F31" s="115"/>
      <c r="G31" s="117"/>
      <c r="H31" s="117"/>
      <c r="I31" s="115"/>
      <c r="J31" s="119"/>
      <c r="K31" s="119"/>
    </row>
    <row r="32" spans="1:19" ht="18">
      <c r="A32" s="105" t="str">
        <v>Norwalk</v>
      </c>
      <c r="B32" s="105" t="str">
        <v>CT</v>
      </c>
      <c r="C32" s="106"/>
      <c r="D32" s="107"/>
      <c r="E32" s="107"/>
      <c r="F32" s="108"/>
      <c r="G32" s="109"/>
      <c r="H32" s="109"/>
      <c r="I32" s="110"/>
      <c r="J32" s="111"/>
      <c r="K32" s="111"/>
    </row>
    <row r="33" spans="1:14" ht="18">
      <c r="A33" s="112" t="str">
        <v>Hialeah Gardens</v>
      </c>
      <c r="B33" s="112" t="str">
        <v>FL</v>
      </c>
      <c r="C33" s="113"/>
      <c r="D33" s="114"/>
      <c r="E33" s="114"/>
      <c r="F33" s="115"/>
      <c r="G33" s="117"/>
      <c r="H33" s="117"/>
      <c r="I33" s="115"/>
      <c r="J33" s="119"/>
      <c r="K33" s="119"/>
      <c r="N33" s="130"/>
    </row>
    <row r="34" spans="1:14" ht="18">
      <c r="A34" s="105" t="str">
        <v>W. Des Moines Campus EAST</v>
      </c>
      <c r="B34" s="105" t="str">
        <v>IA</v>
      </c>
      <c r="C34" s="106"/>
      <c r="D34" s="107"/>
      <c r="E34" s="107"/>
      <c r="F34" s="108"/>
      <c r="G34" s="109"/>
      <c r="H34" s="109"/>
      <c r="I34" s="110"/>
      <c r="J34" s="111"/>
      <c r="K34" s="120"/>
      <c r="N34" s="130"/>
    </row>
    <row r="35" spans="1:14" ht="56.45" customHeight="1">
      <c r="A35" s="112" t="str">
        <v>W. Des Moines Campus SW</v>
      </c>
      <c r="B35" s="112" t="str">
        <v>IA</v>
      </c>
      <c r="C35" s="113"/>
      <c r="D35" s="114"/>
      <c r="E35" s="114"/>
      <c r="F35" s="115"/>
      <c r="G35" s="117"/>
      <c r="H35" s="117"/>
      <c r="I35" s="115"/>
      <c r="J35" s="119"/>
      <c r="K35" s="119"/>
    </row>
    <row r="36" spans="1:14" ht="18">
      <c r="A36" s="105" t="str">
        <v>WF - CIC</v>
      </c>
      <c r="B36" s="105" t="str">
        <v>NC</v>
      </c>
      <c r="C36" s="106"/>
      <c r="D36" s="107"/>
      <c r="E36" s="107"/>
      <c r="F36" s="108"/>
      <c r="G36" s="109"/>
      <c r="H36" s="109"/>
      <c r="I36" s="110"/>
      <c r="J36" s="111"/>
      <c r="K36" s="111"/>
    </row>
    <row r="37" spans="1:14" ht="18">
      <c r="A37" s="112" t="str">
        <v>Charlotte - Wells Fargo - DUC</v>
      </c>
      <c r="B37" s="112" t="str">
        <v>NC</v>
      </c>
      <c r="C37" s="113"/>
      <c r="D37" s="114"/>
      <c r="E37" s="114"/>
      <c r="F37" s="115"/>
      <c r="G37" s="117"/>
      <c r="H37" s="117"/>
      <c r="I37" s="115"/>
      <c r="J37" s="119"/>
      <c r="K37" s="119"/>
    </row>
    <row r="38" spans="1:14" ht="18">
      <c r="A38" s="105" t="str">
        <v>East Windsor</v>
      </c>
      <c r="B38" s="105" t="str">
        <v>NJ</v>
      </c>
      <c r="C38" s="106"/>
      <c r="D38" s="107"/>
      <c r="E38" s="107"/>
      <c r="F38" s="108"/>
      <c r="G38" s="109"/>
      <c r="H38" s="109"/>
      <c r="I38" s="110"/>
      <c r="J38" s="111"/>
      <c r="K38" s="120"/>
      <c r="N38" s="130"/>
    </row>
    <row r="39" spans="1:14" ht="18">
      <c r="A39" s="112" t="str">
        <v>Burlington</v>
      </c>
      <c r="B39" s="112" t="str">
        <v>NJ</v>
      </c>
      <c r="C39" s="113"/>
      <c r="D39" s="114"/>
      <c r="E39" s="114"/>
      <c r="F39" s="115"/>
      <c r="G39" s="117"/>
      <c r="H39" s="117"/>
      <c r="I39" s="115"/>
      <c r="J39" s="119"/>
      <c r="K39" s="119"/>
    </row>
    <row r="40" spans="1:14" ht="18">
      <c r="A40" s="105" t="str">
        <v>Bayonne</v>
      </c>
      <c r="B40" s="105" t="str">
        <v>NJ</v>
      </c>
      <c r="C40" s="106"/>
      <c r="D40" s="107"/>
      <c r="E40" s="107"/>
      <c r="F40" s="108"/>
      <c r="G40" s="109"/>
      <c r="H40" s="109"/>
      <c r="I40" s="110"/>
      <c r="J40" s="111"/>
      <c r="K40" s="111"/>
    </row>
    <row r="41" spans="1:14" ht="108" customHeight="1">
      <c r="A41" s="112" t="str">
        <v>Clifton</v>
      </c>
      <c r="B41" s="112" t="str">
        <v>NJ</v>
      </c>
      <c r="C41" s="113"/>
      <c r="D41" s="114"/>
      <c r="E41" s="114"/>
      <c r="F41" s="115"/>
      <c r="G41" s="117"/>
      <c r="H41" s="117"/>
      <c r="I41" s="115"/>
      <c r="J41" s="119"/>
      <c r="K41" s="119"/>
    </row>
    <row r="42" spans="1:14" ht="18">
      <c r="A42" s="105" t="str">
        <v>North Elizabeth</v>
      </c>
      <c r="B42" s="105" t="str">
        <v>NJ</v>
      </c>
      <c r="C42" s="106"/>
      <c r="D42" s="107"/>
      <c r="E42" s="107"/>
      <c r="F42" s="108"/>
      <c r="G42" s="109"/>
      <c r="H42" s="109"/>
      <c r="I42" s="110"/>
      <c r="J42" s="111"/>
      <c r="K42" s="111"/>
    </row>
    <row r="43" spans="1:14" ht="18">
      <c r="A43" s="112" t="str">
        <v>Haddon Westmont Plaza</v>
      </c>
      <c r="B43" s="112" t="str">
        <v>NJ</v>
      </c>
      <c r="C43" s="113"/>
      <c r="D43" s="114"/>
      <c r="E43" s="114"/>
      <c r="F43" s="115"/>
      <c r="G43" s="117"/>
      <c r="H43" s="117"/>
      <c r="I43" s="115"/>
      <c r="J43" s="119"/>
      <c r="K43" s="119"/>
    </row>
    <row r="44" spans="1:14" ht="18">
      <c r="A44" s="105" t="str">
        <v>Parsippany</v>
      </c>
      <c r="B44" s="105" t="str">
        <v>NJ</v>
      </c>
      <c r="C44" s="106"/>
      <c r="D44" s="107"/>
      <c r="E44" s="107"/>
      <c r="F44" s="108"/>
      <c r="G44" s="109"/>
      <c r="H44" s="109"/>
      <c r="I44" s="110"/>
      <c r="J44" s="111"/>
      <c r="K44" s="111"/>
    </row>
    <row r="45" spans="1:14" ht="18">
      <c r="A45" s="112" t="str">
        <v>Clark</v>
      </c>
      <c r="B45" s="112" t="str">
        <v>NJ</v>
      </c>
      <c r="C45" s="113"/>
      <c r="D45" s="114"/>
      <c r="E45" s="114"/>
      <c r="F45" s="115"/>
      <c r="G45" s="117"/>
      <c r="H45" s="117"/>
      <c r="I45" s="115"/>
      <c r="J45" s="119"/>
      <c r="K45" s="121"/>
    </row>
    <row r="46" spans="1:14" ht="18">
      <c r="A46" s="105" t="str">
        <v>Closter</v>
      </c>
      <c r="B46" s="105" t="str">
        <v>NJ</v>
      </c>
      <c r="C46" s="106"/>
      <c r="D46" s="107"/>
      <c r="E46" s="107"/>
      <c r="F46" s="108"/>
      <c r="G46" s="109"/>
      <c r="H46" s="109"/>
      <c r="I46" s="110"/>
      <c r="J46" s="111"/>
      <c r="K46" s="120"/>
    </row>
    <row r="47" spans="1:14" ht="18">
      <c r="A47" s="112" t="str">
        <v>Holmdel</v>
      </c>
      <c r="B47" s="112" t="str">
        <v>NJ</v>
      </c>
      <c r="C47" s="113"/>
      <c r="D47" s="114"/>
      <c r="E47" s="114"/>
      <c r="F47" s="115"/>
      <c r="G47" s="117"/>
      <c r="H47" s="117"/>
      <c r="I47" s="115"/>
      <c r="J47" s="119"/>
      <c r="K47" s="79"/>
      <c r="N47" s="130"/>
    </row>
    <row r="48" spans="1:14" ht="18">
      <c r="A48" s="105" t="str">
        <v>Ellisburg Circle Center</v>
      </c>
      <c r="B48" s="105" t="str">
        <v>NJ</v>
      </c>
      <c r="C48" s="106"/>
      <c r="D48" s="107"/>
      <c r="E48" s="107"/>
      <c r="F48" s="108"/>
      <c r="G48" s="109"/>
      <c r="H48" s="109"/>
      <c r="I48" s="110"/>
      <c r="J48" s="111"/>
      <c r="K48" s="111"/>
    </row>
    <row r="49" spans="1:14" ht="18">
      <c r="A49" s="112" t="str">
        <v>Nutley</v>
      </c>
      <c r="B49" s="112" t="str">
        <v>NJ</v>
      </c>
      <c r="C49" s="113"/>
      <c r="D49" s="114"/>
      <c r="E49" s="114"/>
      <c r="F49" s="115"/>
      <c r="G49" s="117"/>
      <c r="H49" s="117"/>
      <c r="I49" s="115"/>
      <c r="J49" s="119"/>
      <c r="K49" s="119"/>
    </row>
    <row r="50" spans="1:14" ht="18">
      <c r="A50" s="105" t="str">
        <v>Marlton</v>
      </c>
      <c r="B50" s="105" t="str">
        <v>NJ</v>
      </c>
      <c r="C50" s="106"/>
      <c r="D50" s="107"/>
      <c r="E50" s="107"/>
      <c r="F50" s="108"/>
      <c r="G50" s="109"/>
      <c r="H50" s="109"/>
      <c r="I50" s="110"/>
      <c r="J50" s="111"/>
      <c r="K50" s="111"/>
    </row>
    <row r="51" spans="1:14" ht="18">
      <c r="A51" s="112" t="str">
        <v>Middletown</v>
      </c>
      <c r="B51" s="112" t="str">
        <v>NJ</v>
      </c>
      <c r="C51" s="113"/>
      <c r="D51" s="114"/>
      <c r="E51" s="114"/>
      <c r="F51" s="115"/>
      <c r="G51" s="117"/>
      <c r="H51" s="117"/>
      <c r="I51" s="115"/>
      <c r="J51" s="119"/>
      <c r="K51" s="119"/>
    </row>
    <row r="52" spans="1:14" ht="18">
      <c r="A52" s="105" t="str">
        <v>Whiting Crestwood</v>
      </c>
      <c r="B52" s="105" t="str">
        <v>NJ</v>
      </c>
      <c r="C52" s="106"/>
      <c r="D52" s="107"/>
      <c r="E52" s="107"/>
      <c r="F52" s="108"/>
      <c r="G52" s="109"/>
      <c r="H52" s="109"/>
      <c r="I52" s="110"/>
      <c r="J52" s="111"/>
      <c r="K52" s="111"/>
    </row>
    <row r="53" spans="1:14" ht="18">
      <c r="A53" s="112" t="str">
        <v>Barnegat</v>
      </c>
      <c r="B53" s="112" t="str">
        <v>NJ</v>
      </c>
      <c r="C53" s="113"/>
      <c r="D53" s="114"/>
      <c r="E53" s="114"/>
      <c r="F53" s="115"/>
      <c r="G53" s="117"/>
      <c r="H53" s="117"/>
      <c r="I53" s="115"/>
      <c r="J53" s="119"/>
      <c r="K53" s="119"/>
    </row>
    <row r="54" spans="1:14" ht="18">
      <c r="A54" s="105" t="str">
        <v>Manchester</v>
      </c>
      <c r="B54" s="105" t="str">
        <v>NJ</v>
      </c>
      <c r="C54" s="106"/>
      <c r="D54" s="107"/>
      <c r="E54" s="107"/>
      <c r="F54" s="108"/>
      <c r="G54" s="109"/>
      <c r="H54" s="109"/>
      <c r="I54" s="110"/>
      <c r="J54" s="111"/>
      <c r="K54" s="111"/>
    </row>
    <row r="55" spans="1:14" ht="18">
      <c r="A55" s="112" t="str">
        <v>West Deptford - Woodbury</v>
      </c>
      <c r="B55" s="112" t="str">
        <v>NJ</v>
      </c>
      <c r="C55" s="113"/>
      <c r="D55" s="114"/>
      <c r="E55" s="114"/>
      <c r="F55" s="115"/>
      <c r="G55" s="117"/>
      <c r="H55" s="117"/>
      <c r="I55" s="115"/>
      <c r="J55" s="119"/>
      <c r="K55" s="119"/>
    </row>
    <row r="56" spans="1:14" ht="18">
      <c r="A56" s="105" t="str">
        <v>Edison</v>
      </c>
      <c r="B56" s="105" t="str">
        <v>NJ</v>
      </c>
      <c r="C56" s="106"/>
      <c r="D56" s="107"/>
      <c r="E56" s="107"/>
      <c r="F56" s="108"/>
      <c r="G56" s="109"/>
      <c r="H56" s="109"/>
      <c r="I56" s="110"/>
      <c r="J56" s="111"/>
      <c r="K56" s="120"/>
    </row>
    <row r="57" spans="1:14" ht="18">
      <c r="A57" s="112" t="str">
        <v>Flemington</v>
      </c>
      <c r="B57" s="112" t="str">
        <v>NJ</v>
      </c>
      <c r="C57" s="113"/>
      <c r="D57" s="114"/>
      <c r="E57" s="114"/>
      <c r="F57" s="115"/>
      <c r="G57" s="117"/>
      <c r="H57" s="117"/>
      <c r="I57" s="115"/>
      <c r="J57" s="119"/>
      <c r="K57" s="119"/>
      <c r="N57" s="130"/>
    </row>
    <row r="58" spans="1:14" ht="18">
      <c r="A58" s="105" t="str">
        <v>Route 22</v>
      </c>
      <c r="B58" s="105" t="str">
        <v>NJ</v>
      </c>
      <c r="C58" s="106"/>
      <c r="D58" s="107"/>
      <c r="E58" s="107"/>
      <c r="F58" s="108"/>
      <c r="G58" s="109"/>
      <c r="H58" s="109"/>
      <c r="I58" s="110"/>
      <c r="J58" s="111"/>
      <c r="K58" s="111"/>
    </row>
    <row r="59" spans="1:14" ht="18">
      <c r="A59" s="112" t="str">
        <v>Laurelton</v>
      </c>
      <c r="B59" s="112" t="str">
        <v>NJ</v>
      </c>
      <c r="C59" s="113"/>
      <c r="D59" s="114"/>
      <c r="E59" s="114"/>
      <c r="F59" s="115"/>
      <c r="G59" s="117"/>
      <c r="H59" s="117"/>
      <c r="I59" s="115"/>
      <c r="J59" s="119"/>
      <c r="K59" s="119"/>
    </row>
    <row r="60" spans="1:14" ht="18">
      <c r="A60" s="105" t="str">
        <v>Mahwah</v>
      </c>
      <c r="B60" s="105" t="str">
        <v>NJ</v>
      </c>
      <c r="C60" s="106"/>
      <c r="D60" s="107"/>
      <c r="E60" s="107"/>
      <c r="F60" s="108"/>
      <c r="G60" s="109"/>
      <c r="H60" s="109"/>
      <c r="I60" s="110"/>
      <c r="J60" s="111"/>
      <c r="K60" s="111"/>
    </row>
    <row r="61" spans="1:14" ht="18">
      <c r="A61" s="112" t="str">
        <v>Franklin Township WF</v>
      </c>
      <c r="B61" s="112" t="str">
        <v>NJ</v>
      </c>
      <c r="C61" s="113"/>
      <c r="D61" s="114"/>
      <c r="E61" s="114"/>
      <c r="F61" s="115"/>
      <c r="G61" s="117"/>
      <c r="H61" s="117"/>
      <c r="I61" s="115"/>
      <c r="J61" s="119"/>
      <c r="K61" s="119"/>
    </row>
    <row r="62" spans="1:14" ht="18">
      <c r="A62" s="105" t="str">
        <v>Bordentown</v>
      </c>
      <c r="B62" s="105" t="str">
        <v>NJ</v>
      </c>
      <c r="C62" s="106"/>
      <c r="D62" s="107"/>
      <c r="E62" s="107"/>
      <c r="F62" s="108"/>
      <c r="G62" s="109"/>
      <c r="H62" s="109"/>
      <c r="I62" s="110"/>
      <c r="J62" s="111"/>
      <c r="K62" s="120"/>
    </row>
    <row r="63" spans="1:14" ht="18">
      <c r="A63" s="112" t="str">
        <v>South Plainfield</v>
      </c>
      <c r="B63" s="112" t="str">
        <v>NJ</v>
      </c>
      <c r="C63" s="113"/>
      <c r="D63" s="114"/>
      <c r="E63" s="114"/>
      <c r="F63" s="115"/>
      <c r="G63" s="117"/>
      <c r="H63" s="117"/>
      <c r="I63" s="115"/>
      <c r="J63" s="119"/>
      <c r="K63" s="119"/>
    </row>
    <row r="64" spans="1:14" ht="18">
      <c r="A64" s="105" t="str">
        <v>Somerset</v>
      </c>
      <c r="B64" s="105" t="str">
        <v>NJ</v>
      </c>
      <c r="C64" s="106"/>
      <c r="D64" s="107"/>
      <c r="E64" s="107"/>
      <c r="F64" s="108"/>
      <c r="G64" s="109"/>
      <c r="H64" s="109"/>
      <c r="I64" s="110"/>
      <c r="J64" s="111"/>
      <c r="K64" s="111"/>
    </row>
    <row r="65" spans="1:12" ht="18">
      <c r="A65" s="112" t="str">
        <v>Clinton Main Relo</v>
      </c>
      <c r="B65" s="112" t="str">
        <v>NJ</v>
      </c>
      <c r="C65" s="113"/>
      <c r="D65" s="114"/>
      <c r="E65" s="114"/>
      <c r="F65" s="115"/>
      <c r="G65" s="117"/>
      <c r="H65" s="117"/>
      <c r="I65" s="110"/>
      <c r="J65" s="119"/>
      <c r="K65" s="119"/>
    </row>
    <row r="66" spans="1:12" ht="18">
      <c r="A66" s="105" t="str">
        <v>North Brunswick</v>
      </c>
      <c r="B66" s="105" t="str">
        <v>NJ</v>
      </c>
      <c r="C66" s="106"/>
      <c r="D66" s="107"/>
      <c r="E66" s="107"/>
      <c r="F66" s="108"/>
      <c r="G66" s="109"/>
      <c r="H66" s="109"/>
      <c r="I66" s="110"/>
      <c r="J66" s="111"/>
      <c r="K66" s="111"/>
    </row>
    <row r="67" spans="1:12" ht="18">
      <c r="A67" s="112" t="str">
        <v>Cherry Hill</v>
      </c>
      <c r="B67" s="112" t="str">
        <v>NJ</v>
      </c>
      <c r="C67" s="113"/>
      <c r="D67" s="114"/>
      <c r="E67" s="114"/>
      <c r="F67" s="115"/>
      <c r="G67" s="117"/>
      <c r="H67" s="117"/>
      <c r="I67" s="110"/>
      <c r="J67" s="119"/>
      <c r="K67" s="121"/>
    </row>
    <row r="68" spans="1:12" ht="18">
      <c r="A68" s="105" t="str">
        <v>Hainesport</v>
      </c>
      <c r="B68" s="105" t="str">
        <v>NJ</v>
      </c>
      <c r="C68" s="106"/>
      <c r="D68" s="107"/>
      <c r="E68" s="107"/>
      <c r="F68" s="108"/>
      <c r="G68" s="109"/>
      <c r="H68" s="109"/>
      <c r="I68" s="110"/>
      <c r="J68" s="111"/>
      <c r="K68" s="111"/>
    </row>
    <row r="69" spans="1:12" ht="20.45">
      <c r="A69" s="112" t="str">
        <v>San Antonio - Ops Ctr (Bldg 106)</v>
      </c>
      <c r="B69" s="112" t="str">
        <v>TX</v>
      </c>
      <c r="C69" s="113"/>
      <c r="D69" s="114"/>
      <c r="E69" s="114"/>
      <c r="F69" s="115"/>
      <c r="G69" s="117"/>
      <c r="H69" s="117"/>
      <c r="I69" s="110"/>
      <c r="J69" s="119"/>
      <c r="K69" s="119"/>
      <c r="L69" s="129"/>
    </row>
    <row r="70" spans="1:12" ht="108" customHeight="1">
      <c r="A70" s="105" t="str">
        <v>San Antonio - Ops Ctr GM</v>
      </c>
      <c r="B70" s="105" t="str">
        <v>TX</v>
      </c>
      <c r="C70" s="106"/>
      <c r="D70" s="107"/>
      <c r="E70" s="107"/>
      <c r="F70" s="108"/>
      <c r="G70" s="109"/>
      <c r="H70" s="109"/>
      <c r="I70" s="110"/>
      <c r="J70" s="111"/>
      <c r="K70" s="111"/>
    </row>
    <row r="71" spans="1:12" ht="18">
      <c r="A71" s="112" t="str">
        <v>San Antonio - Ctr (Bldg 201)</v>
      </c>
      <c r="B71" s="112" t="str">
        <v>TX</v>
      </c>
      <c r="C71" s="113"/>
      <c r="D71" s="114"/>
      <c r="E71" s="114"/>
      <c r="F71" s="115"/>
      <c r="G71" s="117"/>
      <c r="H71" s="117"/>
      <c r="I71" s="110"/>
      <c r="J71" s="119"/>
      <c r="K71" s="119"/>
    </row>
    <row r="72" spans="1:12" ht="108" customHeight="1">
      <c r="A72" s="105" t="str">
        <v>San Antonio - Ops Ctr (Bldg 203)</v>
      </c>
      <c r="B72" s="105" t="str">
        <v>TX</v>
      </c>
      <c r="C72" s="106"/>
      <c r="D72" s="107"/>
      <c r="E72" s="107"/>
      <c r="F72" s="108"/>
      <c r="G72" s="109"/>
      <c r="H72" s="109"/>
      <c r="I72" s="110"/>
      <c r="J72" s="111"/>
      <c r="K72" s="111"/>
    </row>
    <row r="73" spans="1:12" ht="18">
      <c r="A73" s="112" t="str">
        <v>San Antonio - Ops Ctr (Bldg 205)</v>
      </c>
      <c r="B73" s="112" t="str">
        <v>TX</v>
      </c>
      <c r="C73" s="113"/>
      <c r="D73" s="114"/>
      <c r="E73" s="114"/>
      <c r="F73" s="115"/>
      <c r="G73" s="117"/>
      <c r="H73" s="117"/>
      <c r="I73" s="110"/>
      <c r="J73" s="119"/>
      <c r="K73" s="119"/>
    </row>
    <row r="74" spans="1:12" ht="18">
      <c r="A74" s="105" t="str">
        <v>San Antonio - Ops Ctr (Bldg 307)</v>
      </c>
      <c r="B74" s="105" t="str">
        <v>TX</v>
      </c>
      <c r="C74" s="106"/>
      <c r="D74" s="107"/>
      <c r="E74" s="107"/>
      <c r="F74" s="108"/>
      <c r="G74" s="109"/>
      <c r="H74" s="109"/>
      <c r="I74" s="110"/>
      <c r="J74" s="111"/>
      <c r="K74" s="111"/>
    </row>
    <row r="75" spans="1:12" ht="18">
      <c r="A75" s="112" t="str">
        <v>San Antonio - Ctr (Bldg 308)</v>
      </c>
      <c r="B75" s="112" t="str">
        <v>TX</v>
      </c>
      <c r="C75" s="113"/>
      <c r="D75" s="114"/>
      <c r="E75" s="114"/>
      <c r="F75" s="115"/>
      <c r="G75" s="117"/>
      <c r="H75" s="117"/>
      <c r="I75" s="110"/>
      <c r="J75" s="119"/>
      <c r="K75" s="121"/>
    </row>
    <row r="76" spans="1:12" ht="18">
      <c r="A76" s="105" t="str">
        <v>San Antonio - Ops Ctr (Bldg 104)</v>
      </c>
      <c r="B76" s="105" t="str">
        <v>TX</v>
      </c>
      <c r="C76" s="106"/>
      <c r="D76" s="107"/>
      <c r="E76" s="107"/>
      <c r="F76" s="108"/>
      <c r="G76" s="109"/>
      <c r="H76" s="109"/>
      <c r="I76" s="110"/>
      <c r="J76" s="111"/>
      <c r="K76" s="111"/>
    </row>
    <row r="77" spans="1:12" ht="18">
      <c r="A77" s="112" t="str">
        <v>San Antonio - Ops Ctr (Bldg 102)</v>
      </c>
      <c r="B77" s="112" t="str">
        <v>TX</v>
      </c>
      <c r="C77" s="113"/>
      <c r="D77" s="114"/>
      <c r="E77" s="114"/>
      <c r="F77" s="115"/>
      <c r="G77" s="117"/>
      <c r="H77" s="117"/>
      <c r="I77" s="110"/>
      <c r="J77" s="119"/>
      <c r="K77" s="119"/>
    </row>
    <row r="78" spans="1:12" ht="18">
      <c r="A78" s="105" t="str">
        <v>N Black Canyon Hwy, Phoenix - North</v>
      </c>
      <c r="B78" s="105" t="str">
        <v>AZ</v>
      </c>
      <c r="C78" s="106"/>
      <c r="D78" s="107"/>
      <c r="E78" s="107"/>
      <c r="F78" s="108"/>
      <c r="G78" s="109"/>
      <c r="H78" s="109"/>
      <c r="I78" s="110"/>
      <c r="J78" s="111"/>
      <c r="K78" s="111"/>
    </row>
    <row r="79" spans="1:12" ht="18">
      <c r="A79" s="112" t="str">
        <v>N Black Canyon Hwy, Phoenix - South</v>
      </c>
      <c r="B79" s="112" t="str">
        <v>AZ</v>
      </c>
      <c r="C79" s="113"/>
      <c r="D79" s="114"/>
      <c r="E79" s="114"/>
      <c r="F79" s="115"/>
      <c r="G79" s="117"/>
      <c r="H79" s="117"/>
      <c r="I79" s="110"/>
      <c r="J79" s="119"/>
      <c r="K79" s="119"/>
    </row>
    <row r="80" spans="1:12" ht="18">
      <c r="A80" s="105" t="str">
        <v xml:space="preserve"> Building 2222, Rose Garden Ln, Phoenix</v>
      </c>
      <c r="B80" s="105" t="str">
        <v>AZ</v>
      </c>
      <c r="C80" s="106"/>
      <c r="D80" s="107"/>
      <c r="E80" s="107"/>
      <c r="F80" s="108"/>
      <c r="G80" s="109"/>
      <c r="H80" s="109"/>
      <c r="I80" s="110"/>
      <c r="J80" s="111"/>
      <c r="K80" s="111"/>
    </row>
    <row r="81" spans="1:14" ht="18">
      <c r="A81" s="112" t="str">
        <v xml:space="preserve"> Building 2202, Rose Garden Ln, Phoenix</v>
      </c>
      <c r="B81" s="112" t="str">
        <v>AZ</v>
      </c>
      <c r="C81" s="113"/>
      <c r="D81" s="114"/>
      <c r="E81" s="114"/>
      <c r="F81" s="115"/>
      <c r="G81" s="117"/>
      <c r="H81" s="117"/>
      <c r="I81" s="110"/>
      <c r="J81" s="119"/>
      <c r="K81" s="119"/>
    </row>
    <row r="82" spans="1:14" ht="18">
      <c r="A82" s="105" t="str">
        <v xml:space="preserve"> 99TH Ave &amp; BELL</v>
      </c>
      <c r="B82" s="105" t="str">
        <v>AZ</v>
      </c>
      <c r="C82" s="106"/>
      <c r="D82" s="107"/>
      <c r="E82" s="107"/>
      <c r="F82" s="108"/>
      <c r="G82" s="109"/>
      <c r="H82" s="109"/>
      <c r="I82" s="110"/>
      <c r="J82" s="111"/>
      <c r="K82" s="111"/>
    </row>
    <row r="83" spans="1:14" ht="18">
      <c r="A83" s="112" t="str">
        <v>Rincon</v>
      </c>
      <c r="B83" s="112" t="str">
        <v>AZ</v>
      </c>
      <c r="C83" s="113"/>
      <c r="D83" s="114"/>
      <c r="E83" s="114"/>
      <c r="F83" s="115"/>
      <c r="G83" s="117"/>
      <c r="H83" s="117"/>
      <c r="I83" s="110"/>
      <c r="J83" s="119"/>
      <c r="K83" s="121"/>
      <c r="L83" s="122"/>
      <c r="N83" s="130"/>
    </row>
    <row r="84" spans="1:14" ht="18">
      <c r="A84" s="105" t="str">
        <v>Tucson Main Parking Garage</v>
      </c>
      <c r="B84" s="105" t="str">
        <v>AZ</v>
      </c>
      <c r="C84" s="106"/>
      <c r="D84" s="107"/>
      <c r="E84" s="107"/>
      <c r="F84" s="108"/>
      <c r="G84" s="109"/>
      <c r="H84" s="109"/>
      <c r="I84" s="110"/>
      <c r="J84" s="111"/>
      <c r="K84" s="111"/>
    </row>
    <row r="85" spans="1:14" ht="18">
      <c r="A85" s="124" t="str">
        <v>AZ: Chandler - Chandler Campus - Bldg A</v>
      </c>
      <c r="B85" s="124" t="str">
        <v>AZ</v>
      </c>
      <c r="C85" s="125"/>
      <c r="D85" s="125"/>
      <c r="E85" s="125"/>
      <c r="F85" s="126"/>
      <c r="G85" s="125"/>
      <c r="H85" s="125"/>
      <c r="I85" s="126"/>
      <c r="J85" s="125"/>
      <c r="K85" s="125"/>
    </row>
    <row r="86" spans="1:14" ht="18">
      <c r="A86" s="124" t="str">
        <v>AZ: Phoenix - Pinnacle Peak Ops</v>
      </c>
      <c r="B86" s="124" t="str">
        <v>AZ</v>
      </c>
      <c r="C86" s="125"/>
      <c r="D86" s="125"/>
      <c r="E86" s="125"/>
      <c r="F86" s="126"/>
      <c r="G86" s="125"/>
      <c r="H86" s="125"/>
      <c r="I86" s="126"/>
      <c r="J86" s="125"/>
      <c r="K86" s="125"/>
    </row>
    <row r="87" spans="1:14" ht="18">
      <c r="A87" s="124" t="str">
        <v>CA: Alhambra - North Alhambra</v>
      </c>
      <c r="B87" s="124" t="str">
        <v>CA</v>
      </c>
      <c r="C87" s="125"/>
      <c r="D87" s="125"/>
      <c r="E87" s="125"/>
      <c r="F87" s="126"/>
      <c r="G87" s="125"/>
      <c r="H87" s="125"/>
      <c r="I87" s="126"/>
      <c r="J87" s="125"/>
      <c r="K87" s="125"/>
    </row>
    <row r="88" spans="1:14" ht="18">
      <c r="A88" s="124" t="str">
        <v>CA: La Canada - La Canada</v>
      </c>
      <c r="B88" s="124" t="str">
        <v>CA</v>
      </c>
      <c r="C88" s="125"/>
      <c r="D88" s="125"/>
      <c r="E88" s="125"/>
      <c r="F88" s="126"/>
      <c r="G88" s="125"/>
      <c r="H88" s="125"/>
      <c r="I88" s="126"/>
      <c r="J88" s="125"/>
      <c r="K88" s="125"/>
    </row>
    <row r="89" spans="1:14" ht="18">
      <c r="A89" s="124" t="str">
        <v>CA: Laguna Beach - LAGUNA BEACH</v>
      </c>
      <c r="B89" s="124" t="str">
        <v>CA</v>
      </c>
      <c r="C89" s="125"/>
      <c r="D89" s="125"/>
      <c r="E89" s="125"/>
      <c r="F89" s="126"/>
      <c r="G89" s="125"/>
      <c r="H89" s="125"/>
      <c r="I89" s="126"/>
      <c r="J89" s="125"/>
      <c r="K89" s="125"/>
    </row>
    <row r="90" spans="1:14" ht="18">
      <c r="A90" s="124" t="str">
        <v>CA: Newport Beach - MARINERS</v>
      </c>
      <c r="B90" s="124" t="str">
        <v>CA</v>
      </c>
      <c r="C90" s="125"/>
      <c r="D90" s="125"/>
      <c r="E90" s="125"/>
      <c r="F90" s="126"/>
      <c r="G90" s="125"/>
      <c r="H90" s="125"/>
      <c r="I90" s="126"/>
      <c r="J90" s="125"/>
      <c r="K90" s="125"/>
    </row>
    <row r="91" spans="1:14" ht="18">
      <c r="A91" s="124"/>
      <c r="B91" s="124"/>
      <c r="C91" s="125"/>
      <c r="D91" s="125"/>
      <c r="E91" s="125"/>
      <c r="F91" s="126"/>
      <c r="G91" s="125"/>
      <c r="H91" s="125"/>
      <c r="I91" s="126"/>
      <c r="J91" s="125"/>
      <c r="K91" s="125"/>
    </row>
    <row r="92" spans="1:14" ht="18">
      <c r="A92" s="124"/>
      <c r="B92" s="124"/>
      <c r="C92" s="125"/>
      <c r="D92" s="125"/>
      <c r="E92" s="125"/>
      <c r="F92" s="126"/>
      <c r="G92" s="125"/>
      <c r="H92" s="125"/>
      <c r="I92" s="126"/>
      <c r="J92" s="125"/>
      <c r="K92" s="125"/>
    </row>
    <row r="93" spans="1:14" ht="18">
      <c r="A93" s="124"/>
      <c r="B93" s="124"/>
      <c r="C93" s="125"/>
      <c r="D93" s="125"/>
      <c r="E93" s="125"/>
      <c r="F93" s="126"/>
      <c r="G93" s="125"/>
      <c r="H93" s="125"/>
      <c r="I93" s="126"/>
      <c r="J93" s="125"/>
      <c r="K93" s="125"/>
    </row>
    <row r="94" spans="1:14" ht="18">
      <c r="A94" s="124"/>
      <c r="B94" s="124"/>
      <c r="C94" s="125"/>
      <c r="D94" s="125"/>
      <c r="E94" s="125"/>
      <c r="F94" s="126"/>
      <c r="G94" s="125"/>
      <c r="H94" s="125"/>
      <c r="I94" s="126"/>
      <c r="J94" s="125"/>
      <c r="K94" s="125"/>
    </row>
    <row r="95" spans="1:14" ht="18">
      <c r="A95" s="124"/>
      <c r="B95" s="124"/>
      <c r="C95" s="125"/>
      <c r="D95" s="125"/>
      <c r="E95" s="125"/>
      <c r="F95" s="126"/>
      <c r="G95" s="125"/>
      <c r="H95" s="125"/>
      <c r="I95" s="126"/>
      <c r="J95" s="125"/>
      <c r="K95" s="125"/>
    </row>
    <row r="96" spans="1:14" ht="18">
      <c r="A96" s="124"/>
      <c r="B96" s="124"/>
      <c r="C96" s="125"/>
      <c r="D96" s="125"/>
      <c r="E96" s="125"/>
      <c r="F96" s="126"/>
      <c r="G96" s="125"/>
      <c r="H96" s="125"/>
      <c r="I96" s="126"/>
      <c r="J96" s="125"/>
      <c r="K96" s="125"/>
    </row>
    <row r="97" spans="1:11" ht="18">
      <c r="A97" s="124"/>
      <c r="B97" s="124"/>
      <c r="C97" s="125"/>
      <c r="D97" s="125"/>
      <c r="E97" s="125"/>
      <c r="F97" s="126"/>
      <c r="G97" s="125"/>
      <c r="H97" s="125"/>
      <c r="I97" s="126"/>
      <c r="J97" s="125"/>
      <c r="K97" s="125"/>
    </row>
    <row r="98" spans="1:11" ht="18">
      <c r="A98" s="124"/>
      <c r="B98" s="124"/>
      <c r="C98" s="125"/>
      <c r="D98" s="125"/>
      <c r="E98" s="125"/>
      <c r="F98" s="126"/>
      <c r="G98" s="125"/>
      <c r="H98" s="125"/>
      <c r="I98" s="126"/>
      <c r="J98" s="125"/>
      <c r="K98" s="125"/>
    </row>
    <row r="99" spans="1:11" ht="18">
      <c r="A99" s="124"/>
      <c r="B99" s="124"/>
      <c r="C99" s="125"/>
      <c r="D99" s="125"/>
      <c r="E99" s="125"/>
      <c r="F99" s="126"/>
      <c r="G99" s="125"/>
      <c r="H99" s="125"/>
      <c r="I99" s="126"/>
      <c r="J99" s="125"/>
      <c r="K99" s="125"/>
    </row>
    <row r="100" spans="1:11" ht="18">
      <c r="A100" s="124"/>
      <c r="B100" s="124"/>
      <c r="C100" s="125"/>
      <c r="D100" s="125"/>
      <c r="E100" s="125"/>
      <c r="F100" s="126"/>
      <c r="G100" s="125"/>
      <c r="H100" s="125"/>
      <c r="I100" s="126"/>
      <c r="J100" s="125"/>
      <c r="K100" s="125"/>
    </row>
    <row r="101" spans="1:11" ht="18">
      <c r="A101" s="124"/>
      <c r="B101" s="124"/>
      <c r="C101" s="125"/>
      <c r="D101" s="125"/>
      <c r="E101" s="125"/>
      <c r="F101" s="126"/>
      <c r="G101" s="125"/>
      <c r="H101" s="125"/>
      <c r="I101" s="126"/>
      <c r="J101" s="125"/>
      <c r="K101" s="125"/>
    </row>
    <row r="102" spans="1:11" ht="18">
      <c r="A102" s="124"/>
      <c r="B102" s="124"/>
      <c r="C102" s="125"/>
      <c r="D102" s="125"/>
      <c r="E102" s="125"/>
      <c r="F102" s="126"/>
      <c r="G102" s="125"/>
      <c r="H102" s="125"/>
      <c r="I102" s="126"/>
      <c r="J102" s="125"/>
      <c r="K102" s="125"/>
    </row>
    <row r="103" spans="1:11" ht="18">
      <c r="A103" s="124"/>
      <c r="B103" s="124"/>
      <c r="C103" s="125"/>
      <c r="D103" s="125"/>
      <c r="E103" s="125"/>
      <c r="F103" s="126"/>
      <c r="G103" s="125"/>
      <c r="H103" s="125"/>
      <c r="I103" s="126"/>
      <c r="J103" s="125"/>
      <c r="K103" s="125"/>
    </row>
    <row r="104" spans="1:11" ht="18">
      <c r="A104" s="124"/>
      <c r="B104" s="124"/>
      <c r="C104" s="125"/>
      <c r="D104" s="125"/>
      <c r="E104" s="125"/>
      <c r="F104" s="126"/>
      <c r="G104" s="125"/>
      <c r="H104" s="125"/>
      <c r="I104" s="126"/>
      <c r="J104" s="125"/>
      <c r="K104" s="125"/>
    </row>
    <row r="105" spans="1:11" ht="18">
      <c r="A105" s="124"/>
      <c r="B105" s="124"/>
      <c r="C105" s="125"/>
      <c r="D105" s="125"/>
      <c r="E105" s="125"/>
      <c r="F105" s="126"/>
      <c r="G105" s="125"/>
      <c r="H105" s="125"/>
      <c r="I105" s="126"/>
      <c r="J105" s="125"/>
      <c r="K105" s="125"/>
    </row>
    <row r="106" spans="1:11" ht="18">
      <c r="A106" s="124"/>
      <c r="B106" s="124"/>
      <c r="C106" s="125"/>
      <c r="D106" s="125"/>
      <c r="E106" s="125"/>
      <c r="F106" s="126"/>
      <c r="G106" s="125"/>
      <c r="H106" s="125"/>
      <c r="I106" s="126"/>
      <c r="J106" s="125"/>
      <c r="K106" s="125"/>
    </row>
    <row r="107" spans="1:11" ht="18">
      <c r="A107" s="124"/>
      <c r="B107" s="124"/>
      <c r="C107" s="125"/>
      <c r="D107" s="125"/>
      <c r="E107" s="125"/>
      <c r="F107" s="126"/>
      <c r="G107" s="125"/>
      <c r="H107" s="125"/>
      <c r="I107" s="126"/>
      <c r="J107" s="125"/>
      <c r="K107" s="125"/>
    </row>
    <row r="108" spans="1:11" ht="18">
      <c r="A108" s="124"/>
      <c r="B108" s="124"/>
      <c r="C108" s="125"/>
      <c r="D108" s="125"/>
      <c r="E108" s="125"/>
      <c r="F108" s="126"/>
      <c r="G108" s="125"/>
      <c r="H108" s="125"/>
      <c r="I108" s="126"/>
      <c r="J108" s="125"/>
      <c r="K108" s="125"/>
    </row>
    <row r="109" spans="1:11" ht="18">
      <c r="A109" s="124"/>
      <c r="B109" s="124"/>
      <c r="C109" s="125"/>
      <c r="D109" s="125"/>
      <c r="E109" s="125"/>
      <c r="F109" s="126"/>
      <c r="G109" s="125"/>
      <c r="H109" s="125"/>
      <c r="I109" s="126"/>
      <c r="J109" s="125"/>
      <c r="K109" s="125"/>
    </row>
    <row r="110" spans="1:11" ht="18">
      <c r="A110" s="124"/>
      <c r="B110" s="124"/>
      <c r="C110" s="125"/>
      <c r="D110" s="125"/>
      <c r="E110" s="125"/>
      <c r="F110" s="126"/>
      <c r="G110" s="125"/>
      <c r="H110" s="125"/>
      <c r="I110" s="126"/>
      <c r="J110" s="125"/>
      <c r="K110" s="125"/>
    </row>
    <row r="111" spans="1:11" ht="18">
      <c r="A111" s="124"/>
      <c r="B111" s="124"/>
      <c r="C111" s="125"/>
      <c r="D111" s="125"/>
      <c r="E111" s="125"/>
      <c r="F111" s="126"/>
      <c r="G111" s="125"/>
      <c r="H111" s="125"/>
      <c r="I111" s="126"/>
      <c r="J111" s="125"/>
      <c r="K111" s="125"/>
    </row>
    <row r="112" spans="1:11" ht="18">
      <c r="A112" s="124"/>
      <c r="B112" s="124"/>
      <c r="C112" s="125"/>
      <c r="D112" s="125"/>
      <c r="E112" s="125"/>
      <c r="F112" s="126"/>
      <c r="G112" s="125"/>
      <c r="H112" s="125"/>
      <c r="I112" s="126"/>
      <c r="J112" s="125"/>
      <c r="K112" s="125"/>
    </row>
    <row r="113" spans="1:11" ht="18">
      <c r="A113" s="124"/>
      <c r="B113" s="124"/>
      <c r="C113" s="125"/>
      <c r="D113" s="125"/>
      <c r="E113" s="125"/>
      <c r="F113" s="126"/>
      <c r="G113" s="125"/>
      <c r="H113" s="125"/>
      <c r="I113" s="126"/>
      <c r="J113" s="125"/>
      <c r="K113" s="125"/>
    </row>
    <row r="114" spans="1:11" ht="18">
      <c r="A114" s="124"/>
      <c r="B114" s="124"/>
      <c r="C114" s="125"/>
      <c r="D114" s="125"/>
      <c r="E114" s="125"/>
      <c r="F114" s="126"/>
      <c r="G114" s="125"/>
      <c r="H114" s="125"/>
      <c r="I114" s="126"/>
      <c r="J114" s="125"/>
      <c r="K114" s="125"/>
    </row>
    <row r="115" spans="1:11" ht="18">
      <c r="A115" s="124"/>
      <c r="B115" s="124"/>
      <c r="C115" s="125"/>
      <c r="D115" s="125"/>
      <c r="E115" s="125"/>
      <c r="F115" s="126"/>
      <c r="G115" s="125"/>
      <c r="H115" s="125"/>
      <c r="I115" s="126"/>
      <c r="J115" s="125"/>
      <c r="K115" s="125"/>
    </row>
    <row r="116" spans="1:11" ht="18">
      <c r="A116" s="124"/>
      <c r="B116" s="124"/>
      <c r="C116" s="125"/>
      <c r="D116" s="125"/>
      <c r="E116" s="125"/>
      <c r="F116" s="126"/>
      <c r="G116" s="125"/>
      <c r="H116" s="125"/>
      <c r="I116" s="126"/>
      <c r="J116" s="125"/>
      <c r="K116" s="125"/>
    </row>
    <row r="117" spans="1:11" ht="18">
      <c r="A117" s="124"/>
      <c r="B117" s="124"/>
      <c r="C117" s="125"/>
      <c r="D117" s="125"/>
      <c r="E117" s="125"/>
      <c r="F117" s="126"/>
      <c r="G117" s="125"/>
      <c r="H117" s="125"/>
      <c r="I117" s="126"/>
      <c r="J117" s="125"/>
      <c r="K117" s="125"/>
    </row>
    <row r="118" spans="1:11" ht="18">
      <c r="A118" s="124"/>
      <c r="B118" s="124"/>
      <c r="C118" s="125"/>
      <c r="D118" s="125"/>
      <c r="E118" s="125"/>
      <c r="F118" s="126"/>
      <c r="G118" s="125"/>
      <c r="H118" s="125"/>
      <c r="I118" s="126"/>
      <c r="J118" s="125"/>
      <c r="K118" s="125"/>
    </row>
    <row r="119" spans="1:11" ht="18">
      <c r="A119" s="124"/>
      <c r="B119" s="124"/>
      <c r="C119" s="125"/>
      <c r="D119" s="125"/>
      <c r="E119" s="125"/>
      <c r="F119" s="126"/>
      <c r="G119" s="125"/>
      <c r="H119" s="125"/>
      <c r="I119" s="126"/>
      <c r="J119" s="125"/>
      <c r="K119" s="125"/>
    </row>
    <row r="120" spans="1:11" ht="18">
      <c r="A120" s="124"/>
      <c r="B120" s="124"/>
      <c r="C120" s="125"/>
      <c r="D120" s="125"/>
      <c r="E120" s="125"/>
      <c r="F120" s="126"/>
      <c r="G120" s="125"/>
      <c r="H120" s="125"/>
      <c r="I120" s="126"/>
      <c r="J120" s="125"/>
      <c r="K120" s="125"/>
    </row>
    <row r="121" spans="1:11" ht="18">
      <c r="A121" s="124"/>
      <c r="B121" s="124"/>
      <c r="C121" s="125"/>
      <c r="D121" s="125"/>
      <c r="E121" s="125"/>
      <c r="F121" s="126"/>
      <c r="G121" s="125"/>
      <c r="H121" s="125"/>
      <c r="I121" s="126"/>
      <c r="J121" s="125"/>
      <c r="K121" s="125"/>
    </row>
    <row r="122" spans="1:11" ht="18">
      <c r="A122" s="124"/>
      <c r="B122" s="124"/>
      <c r="C122" s="125"/>
      <c r="D122" s="125"/>
      <c r="E122" s="125"/>
      <c r="F122" s="126"/>
      <c r="G122" s="125"/>
      <c r="H122" s="125"/>
      <c r="I122" s="126"/>
      <c r="J122" s="125"/>
      <c r="K122" s="125"/>
    </row>
    <row r="123" spans="1:11" ht="18">
      <c r="A123" s="124"/>
      <c r="B123" s="124"/>
      <c r="C123" s="125"/>
      <c r="D123" s="125"/>
      <c r="E123" s="125"/>
      <c r="F123" s="126"/>
      <c r="G123" s="125"/>
      <c r="H123" s="125"/>
      <c r="I123" s="126"/>
      <c r="J123" s="125"/>
      <c r="K123" s="125"/>
    </row>
    <row r="124" spans="1:11" ht="18">
      <c r="A124" s="124"/>
      <c r="B124" s="124"/>
      <c r="C124" s="125"/>
      <c r="D124" s="125"/>
      <c r="E124" s="125"/>
      <c r="F124" s="126"/>
      <c r="G124" s="125"/>
      <c r="H124" s="125"/>
      <c r="I124" s="126"/>
      <c r="J124" s="125"/>
      <c r="K124" s="125"/>
    </row>
    <row r="125" spans="1:11" ht="18">
      <c r="A125" s="124"/>
      <c r="B125" s="124"/>
      <c r="C125" s="125"/>
      <c r="D125" s="125"/>
      <c r="E125" s="125"/>
      <c r="F125" s="126"/>
      <c r="G125" s="125"/>
      <c r="H125" s="125"/>
      <c r="I125" s="126"/>
      <c r="J125" s="125"/>
      <c r="K125" s="125"/>
    </row>
    <row r="126" spans="1:11" ht="18">
      <c r="A126" s="124"/>
      <c r="B126" s="124"/>
      <c r="C126" s="125"/>
      <c r="D126" s="125"/>
      <c r="E126" s="125"/>
      <c r="F126" s="126"/>
      <c r="G126" s="125"/>
      <c r="H126" s="125"/>
      <c r="I126" s="126"/>
      <c r="J126" s="125"/>
      <c r="K126" s="125"/>
    </row>
    <row r="127" spans="1:11" ht="18">
      <c r="A127" s="124"/>
      <c r="B127" s="124"/>
      <c r="C127" s="125"/>
      <c r="D127" s="125"/>
      <c r="E127" s="125"/>
      <c r="F127" s="126"/>
      <c r="G127" s="125"/>
      <c r="H127" s="125"/>
      <c r="I127" s="126"/>
      <c r="J127" s="125"/>
      <c r="K127" s="125"/>
    </row>
    <row r="128" spans="1:11" ht="18">
      <c r="A128" s="124"/>
      <c r="B128" s="124"/>
      <c r="C128" s="125"/>
      <c r="D128" s="125"/>
      <c r="E128" s="125"/>
      <c r="F128" s="126"/>
      <c r="G128" s="125"/>
      <c r="H128" s="125"/>
      <c r="I128" s="126"/>
      <c r="J128" s="125"/>
      <c r="K128" s="125"/>
    </row>
    <row r="129" spans="1:11" ht="18">
      <c r="A129" s="124"/>
      <c r="B129" s="124"/>
      <c r="C129" s="125"/>
      <c r="D129" s="125"/>
      <c r="E129" s="125"/>
      <c r="F129" s="126"/>
      <c r="G129" s="125"/>
      <c r="H129" s="125"/>
      <c r="I129" s="126"/>
      <c r="J129" s="125"/>
      <c r="K129" s="125"/>
    </row>
    <row r="130" spans="1:11" ht="18">
      <c r="A130" s="124"/>
      <c r="B130" s="124"/>
      <c r="C130" s="125"/>
      <c r="D130" s="125"/>
      <c r="E130" s="125"/>
      <c r="F130" s="126"/>
      <c r="G130" s="125"/>
      <c r="H130" s="125"/>
      <c r="I130" s="126"/>
      <c r="J130" s="125"/>
      <c r="K130" s="125"/>
    </row>
    <row r="131" spans="1:11" ht="18">
      <c r="A131" s="124"/>
      <c r="B131" s="124"/>
      <c r="C131" s="125"/>
      <c r="D131" s="125"/>
      <c r="E131" s="125"/>
      <c r="F131" s="126"/>
      <c r="G131" s="125"/>
      <c r="H131" s="125"/>
      <c r="I131" s="126"/>
      <c r="J131" s="125"/>
      <c r="K131" s="125"/>
    </row>
    <row r="132" spans="1:11" ht="18">
      <c r="A132" s="124"/>
      <c r="B132" s="124"/>
      <c r="C132" s="125"/>
      <c r="D132" s="125"/>
      <c r="E132" s="125"/>
      <c r="F132" s="126"/>
      <c r="G132" s="125"/>
      <c r="H132" s="125"/>
      <c r="I132" s="126"/>
      <c r="J132" s="125"/>
      <c r="K132" s="125"/>
    </row>
    <row r="133" spans="1:11" ht="18">
      <c r="A133" s="124"/>
      <c r="B133" s="124"/>
      <c r="C133" s="125"/>
      <c r="D133" s="125"/>
      <c r="E133" s="125"/>
      <c r="F133" s="126"/>
      <c r="G133" s="125"/>
      <c r="H133" s="125"/>
      <c r="I133" s="126"/>
      <c r="J133" s="125"/>
      <c r="K133" s="125"/>
    </row>
    <row r="134" spans="1:11" ht="18">
      <c r="A134" s="124"/>
      <c r="B134" s="124"/>
      <c r="C134" s="125"/>
      <c r="D134" s="125"/>
      <c r="E134" s="125"/>
      <c r="F134" s="126"/>
      <c r="G134" s="125"/>
      <c r="H134" s="125"/>
      <c r="I134" s="126"/>
      <c r="J134" s="125"/>
      <c r="K134" s="125"/>
    </row>
    <row r="135" spans="1:11" ht="18">
      <c r="A135" s="124"/>
      <c r="B135" s="124"/>
      <c r="C135" s="125"/>
      <c r="D135" s="125"/>
      <c r="E135" s="125"/>
      <c r="F135" s="126"/>
      <c r="G135" s="125"/>
      <c r="H135" s="125"/>
      <c r="I135" s="126"/>
      <c r="J135" s="125"/>
      <c r="K135" s="125"/>
    </row>
    <row r="136" spans="1:11" ht="18">
      <c r="A136" s="124"/>
      <c r="B136" s="124"/>
      <c r="C136" s="125"/>
      <c r="D136" s="125"/>
      <c r="E136" s="125"/>
      <c r="F136" s="126"/>
      <c r="G136" s="125"/>
      <c r="H136" s="125"/>
      <c r="I136" s="126"/>
      <c r="J136" s="125"/>
      <c r="K136" s="125"/>
    </row>
    <row r="137" spans="1:11" ht="18">
      <c r="A137" s="124"/>
      <c r="B137" s="124"/>
      <c r="C137" s="125"/>
      <c r="D137" s="125"/>
      <c r="E137" s="125"/>
      <c r="F137" s="126"/>
      <c r="G137" s="125"/>
      <c r="H137" s="125"/>
      <c r="I137" s="126"/>
      <c r="J137" s="125"/>
      <c r="K137" s="125"/>
    </row>
    <row r="138" spans="1:11" ht="18">
      <c r="A138" s="124"/>
      <c r="B138" s="124"/>
      <c r="C138" s="125"/>
      <c r="D138" s="125"/>
      <c r="E138" s="125"/>
      <c r="F138" s="126"/>
      <c r="G138" s="125"/>
      <c r="H138" s="125"/>
      <c r="I138" s="126"/>
      <c r="J138" s="125"/>
      <c r="K138" s="125"/>
    </row>
    <row r="139" spans="1:11" ht="18">
      <c r="A139" s="124"/>
      <c r="B139" s="124"/>
      <c r="C139" s="125"/>
      <c r="D139" s="125"/>
      <c r="E139" s="125"/>
      <c r="F139" s="126"/>
      <c r="G139" s="125"/>
      <c r="H139" s="125"/>
      <c r="I139" s="126"/>
      <c r="J139" s="125"/>
      <c r="K139" s="125"/>
    </row>
    <row r="140" spans="1:11" ht="18">
      <c r="A140" s="124"/>
      <c r="B140" s="124"/>
      <c r="C140" s="125"/>
      <c r="D140" s="125"/>
      <c r="E140" s="125"/>
      <c r="F140" s="126"/>
      <c r="G140" s="125"/>
      <c r="H140" s="125"/>
      <c r="I140" s="126"/>
      <c r="J140" s="125"/>
      <c r="K140" s="125"/>
    </row>
    <row r="141" spans="1:11" ht="18">
      <c r="A141" s="124"/>
      <c r="B141" s="124"/>
      <c r="C141" s="125"/>
      <c r="D141" s="125"/>
      <c r="E141" s="125"/>
      <c r="F141" s="126"/>
      <c r="G141" s="125"/>
      <c r="H141" s="125"/>
      <c r="I141" s="126"/>
      <c r="J141" s="125"/>
      <c r="K141" s="125"/>
    </row>
    <row r="142" spans="1:11" ht="18">
      <c r="A142" s="124"/>
      <c r="B142" s="124"/>
      <c r="C142" s="125"/>
      <c r="D142" s="125"/>
      <c r="E142" s="125"/>
      <c r="F142" s="126"/>
      <c r="G142" s="125"/>
      <c r="H142" s="125"/>
      <c r="I142" s="126"/>
      <c r="J142" s="125"/>
      <c r="K142" s="125"/>
    </row>
    <row r="143" spans="1:11" ht="18">
      <c r="A143" s="124"/>
      <c r="B143" s="124"/>
      <c r="C143" s="125"/>
      <c r="D143" s="125"/>
      <c r="E143" s="125"/>
      <c r="F143" s="126"/>
      <c r="G143" s="125"/>
      <c r="H143" s="125"/>
      <c r="I143" s="126"/>
      <c r="J143" s="125"/>
      <c r="K143" s="125"/>
    </row>
    <row r="144" spans="1:11" ht="18">
      <c r="A144" s="124"/>
      <c r="B144" s="124"/>
      <c r="C144" s="125"/>
      <c r="D144" s="125"/>
      <c r="E144" s="125"/>
      <c r="F144" s="126"/>
      <c r="G144" s="125"/>
      <c r="H144" s="125"/>
      <c r="I144" s="126"/>
      <c r="J144" s="125"/>
      <c r="K144" s="125"/>
    </row>
    <row r="145" spans="1:11" ht="18">
      <c r="A145" s="124"/>
      <c r="B145" s="124"/>
      <c r="C145" s="125"/>
      <c r="D145" s="125"/>
      <c r="E145" s="125"/>
      <c r="F145" s="126"/>
      <c r="G145" s="125"/>
      <c r="H145" s="125"/>
      <c r="I145" s="126"/>
      <c r="J145" s="125"/>
      <c r="K145" s="125"/>
    </row>
    <row r="146" spans="1:11" ht="18">
      <c r="A146" s="124"/>
      <c r="B146" s="124"/>
      <c r="C146" s="125"/>
      <c r="D146" s="125"/>
      <c r="E146" s="125"/>
      <c r="F146" s="126"/>
      <c r="G146" s="125"/>
      <c r="H146" s="125"/>
      <c r="I146" s="126"/>
      <c r="J146" s="125"/>
      <c r="K146" s="125"/>
    </row>
    <row r="147" spans="1:11" ht="18">
      <c r="A147" s="124"/>
      <c r="B147" s="124"/>
      <c r="C147" s="125"/>
      <c r="D147" s="125"/>
      <c r="E147" s="125"/>
      <c r="F147" s="126"/>
      <c r="G147" s="125"/>
      <c r="H147" s="125"/>
      <c r="I147" s="126"/>
      <c r="J147" s="125"/>
      <c r="K147" s="125"/>
    </row>
    <row r="148" spans="1:11" ht="18">
      <c r="A148" s="124"/>
      <c r="B148" s="124"/>
      <c r="C148" s="125"/>
      <c r="D148" s="125"/>
      <c r="E148" s="125"/>
      <c r="F148" s="126"/>
      <c r="G148" s="125"/>
      <c r="H148" s="125"/>
      <c r="I148" s="126"/>
      <c r="J148" s="125"/>
      <c r="K148" s="125"/>
    </row>
    <row r="149" spans="1:11" ht="18">
      <c r="A149" s="124"/>
      <c r="B149" s="124"/>
      <c r="C149" s="125"/>
      <c r="D149" s="125"/>
      <c r="E149" s="125"/>
      <c r="F149" s="126"/>
      <c r="G149" s="125"/>
      <c r="H149" s="125"/>
      <c r="I149" s="126"/>
      <c r="J149" s="125"/>
      <c r="K149" s="125"/>
    </row>
    <row r="150" spans="1:11" ht="18">
      <c r="A150" s="124"/>
      <c r="B150" s="124"/>
      <c r="C150" s="125"/>
      <c r="D150" s="125"/>
      <c r="E150" s="125"/>
      <c r="F150" s="126"/>
      <c r="G150" s="125"/>
      <c r="H150" s="125"/>
      <c r="I150" s="126"/>
      <c r="J150" s="125"/>
      <c r="K150" s="125"/>
    </row>
    <row r="151" spans="1:11" ht="18">
      <c r="A151" s="124"/>
      <c r="B151" s="124"/>
      <c r="C151" s="125"/>
      <c r="D151" s="125"/>
      <c r="E151" s="125"/>
      <c r="F151" s="126"/>
      <c r="G151" s="125"/>
      <c r="H151" s="125"/>
      <c r="I151" s="126"/>
      <c r="J151" s="125"/>
      <c r="K151" s="125"/>
    </row>
    <row r="152" spans="1:11" ht="18">
      <c r="A152" s="124"/>
      <c r="B152" s="124"/>
      <c r="C152" s="125"/>
      <c r="D152" s="125"/>
      <c r="E152" s="125"/>
      <c r="F152" s="126"/>
      <c r="G152" s="125"/>
      <c r="H152" s="125"/>
      <c r="I152" s="126"/>
      <c r="J152" s="125"/>
      <c r="K152" s="125"/>
    </row>
    <row r="153" spans="1:11" ht="18">
      <c r="A153" s="124"/>
      <c r="B153" s="124"/>
      <c r="C153" s="125"/>
      <c r="D153" s="125"/>
      <c r="E153" s="125"/>
      <c r="F153" s="126"/>
      <c r="G153" s="125"/>
      <c r="H153" s="125"/>
      <c r="I153" s="126"/>
      <c r="J153" s="125"/>
      <c r="K153" s="125"/>
    </row>
    <row r="154" spans="1:11" ht="18">
      <c r="A154" s="124"/>
      <c r="B154" s="124"/>
      <c r="C154" s="125"/>
      <c r="D154" s="125"/>
      <c r="E154" s="125"/>
      <c r="F154" s="126"/>
      <c r="G154" s="125"/>
      <c r="H154" s="125"/>
      <c r="I154" s="126"/>
      <c r="J154" s="125"/>
      <c r="K154" s="125"/>
    </row>
    <row r="155" spans="1:11" ht="18">
      <c r="A155" s="124"/>
      <c r="B155" s="124"/>
      <c r="C155" s="125"/>
      <c r="D155" s="125"/>
      <c r="E155" s="125"/>
      <c r="F155" s="126"/>
      <c r="G155" s="125"/>
      <c r="H155" s="125"/>
      <c r="I155" s="126"/>
      <c r="J155" s="125"/>
      <c r="K155" s="125"/>
    </row>
    <row r="156" spans="1:11" ht="18">
      <c r="A156" s="124"/>
      <c r="B156" s="124"/>
      <c r="C156" s="125"/>
      <c r="D156" s="125"/>
      <c r="E156" s="125"/>
      <c r="F156" s="126"/>
      <c r="G156" s="125"/>
      <c r="H156" s="125"/>
      <c r="I156" s="126"/>
      <c r="J156" s="125"/>
      <c r="K156" s="125"/>
    </row>
    <row r="157" spans="1:11" ht="18">
      <c r="A157" s="124"/>
      <c r="B157" s="124"/>
      <c r="C157" s="125"/>
      <c r="D157" s="125"/>
      <c r="E157" s="125"/>
      <c r="F157" s="126"/>
      <c r="G157" s="125"/>
      <c r="H157" s="125"/>
      <c r="I157" s="126"/>
      <c r="J157" s="125"/>
      <c r="K157" s="125"/>
    </row>
    <row r="158" spans="1:11" ht="18">
      <c r="A158" s="124"/>
      <c r="B158" s="124"/>
      <c r="C158" s="125"/>
      <c r="D158" s="125"/>
      <c r="E158" s="125"/>
      <c r="F158" s="126"/>
      <c r="G158" s="125"/>
      <c r="H158" s="125"/>
      <c r="I158" s="126"/>
      <c r="J158" s="125"/>
      <c r="K158" s="125"/>
    </row>
    <row r="159" spans="1:11" ht="18">
      <c r="A159" s="124"/>
      <c r="B159" s="124"/>
      <c r="C159" s="125"/>
      <c r="D159" s="125"/>
      <c r="E159" s="125"/>
      <c r="F159" s="126"/>
      <c r="G159" s="125"/>
      <c r="H159" s="125"/>
      <c r="I159" s="126"/>
      <c r="J159" s="125"/>
      <c r="K159" s="125"/>
    </row>
    <row r="160" spans="1:11" ht="18">
      <c r="A160" s="124"/>
      <c r="B160" s="124"/>
      <c r="C160" s="125"/>
      <c r="D160" s="125"/>
      <c r="E160" s="125"/>
      <c r="F160" s="126"/>
      <c r="G160" s="125"/>
      <c r="H160" s="125"/>
      <c r="I160" s="126"/>
      <c r="J160" s="125"/>
      <c r="K160" s="125"/>
    </row>
    <row r="161" spans="1:11" ht="18">
      <c r="A161" s="124"/>
      <c r="B161" s="124"/>
      <c r="C161" s="125"/>
      <c r="D161" s="125"/>
      <c r="E161" s="125"/>
      <c r="F161" s="126"/>
      <c r="G161" s="125"/>
      <c r="H161" s="125"/>
      <c r="I161" s="126"/>
      <c r="J161" s="125"/>
      <c r="K161" s="125"/>
    </row>
    <row r="162" spans="1:11" ht="18">
      <c r="A162" s="124"/>
      <c r="B162" s="124"/>
      <c r="C162" s="125"/>
      <c r="D162" s="125"/>
      <c r="E162" s="125"/>
      <c r="F162" s="126"/>
      <c r="G162" s="125"/>
      <c r="H162" s="125"/>
      <c r="I162" s="126"/>
      <c r="J162" s="125"/>
      <c r="K162" s="125"/>
    </row>
    <row r="163" spans="1:11" ht="18">
      <c r="A163" s="124"/>
      <c r="B163" s="124"/>
      <c r="C163" s="125"/>
      <c r="D163" s="125"/>
      <c r="E163" s="125"/>
      <c r="F163" s="126"/>
      <c r="G163" s="125"/>
      <c r="H163" s="125"/>
      <c r="I163" s="126"/>
      <c r="J163" s="125"/>
      <c r="K163" s="125"/>
    </row>
    <row r="164" spans="1:11" ht="18">
      <c r="A164" s="124"/>
      <c r="B164" s="124"/>
      <c r="C164" s="125"/>
      <c r="D164" s="125"/>
      <c r="E164" s="125"/>
      <c r="F164" s="126"/>
      <c r="G164" s="125"/>
      <c r="H164" s="125"/>
      <c r="I164" s="126"/>
      <c r="J164" s="125"/>
      <c r="K164" s="125"/>
    </row>
    <row r="165" spans="1:11" ht="18">
      <c r="A165" s="124"/>
      <c r="B165" s="124"/>
      <c r="C165" s="125"/>
      <c r="D165" s="125"/>
      <c r="E165" s="125"/>
      <c r="F165" s="126"/>
      <c r="G165" s="125"/>
      <c r="H165" s="125"/>
      <c r="I165" s="126"/>
      <c r="J165" s="125"/>
      <c r="K165" s="125"/>
    </row>
    <row r="166" spans="1:11" ht="18">
      <c r="A166" s="124"/>
      <c r="B166" s="124"/>
      <c r="C166" s="125"/>
      <c r="D166" s="125"/>
      <c r="E166" s="125"/>
      <c r="F166" s="126"/>
      <c r="G166" s="125"/>
      <c r="H166" s="125"/>
      <c r="I166" s="126"/>
      <c r="J166" s="125"/>
      <c r="K166" s="125"/>
    </row>
    <row r="167" spans="1:11" ht="18">
      <c r="A167" s="124"/>
      <c r="B167" s="124"/>
      <c r="C167" s="125"/>
      <c r="D167" s="125"/>
      <c r="E167" s="125"/>
      <c r="F167" s="126"/>
      <c r="G167" s="125"/>
      <c r="H167" s="125"/>
      <c r="I167" s="126"/>
      <c r="J167" s="125"/>
      <c r="K167" s="125"/>
    </row>
    <row r="168" spans="1:11" ht="18">
      <c r="A168" s="124"/>
      <c r="B168" s="124"/>
      <c r="C168" s="125"/>
      <c r="D168" s="125"/>
      <c r="E168" s="125"/>
      <c r="F168" s="126"/>
      <c r="G168" s="125"/>
      <c r="H168" s="125"/>
      <c r="I168" s="126"/>
      <c r="J168" s="125"/>
      <c r="K168" s="125"/>
    </row>
    <row r="169" spans="1:11" ht="18">
      <c r="A169" s="124"/>
      <c r="B169" s="124"/>
      <c r="C169" s="125"/>
      <c r="D169" s="125"/>
      <c r="E169" s="125"/>
      <c r="F169" s="126"/>
      <c r="G169" s="125"/>
      <c r="H169" s="125"/>
      <c r="I169" s="126"/>
      <c r="J169" s="125"/>
      <c r="K169" s="125"/>
    </row>
    <row r="170" spans="1:11" ht="18">
      <c r="A170" s="124"/>
      <c r="B170" s="124"/>
      <c r="C170" s="125"/>
      <c r="D170" s="125"/>
      <c r="E170" s="125"/>
      <c r="F170" s="126"/>
      <c r="G170" s="125"/>
      <c r="H170" s="125"/>
      <c r="I170" s="126"/>
      <c r="J170" s="125"/>
      <c r="K170" s="125"/>
    </row>
    <row r="171" spans="1:11" ht="18">
      <c r="A171" s="124"/>
      <c r="B171" s="124"/>
      <c r="C171" s="125"/>
      <c r="D171" s="125"/>
      <c r="E171" s="125"/>
      <c r="F171" s="126"/>
      <c r="G171" s="125"/>
      <c r="H171" s="125"/>
      <c r="I171" s="126"/>
      <c r="J171" s="125"/>
      <c r="K171" s="125"/>
    </row>
    <row r="172" spans="1:11" ht="18">
      <c r="A172" s="124"/>
      <c r="B172" s="124"/>
      <c r="C172" s="125"/>
      <c r="D172" s="125"/>
      <c r="E172" s="125"/>
      <c r="F172" s="126"/>
      <c r="G172" s="125"/>
      <c r="H172" s="125"/>
      <c r="I172" s="126"/>
      <c r="J172" s="125"/>
      <c r="K172" s="125"/>
    </row>
    <row r="173" spans="1:11" ht="18">
      <c r="A173" s="124"/>
      <c r="B173" s="124"/>
      <c r="C173" s="125"/>
      <c r="D173" s="125"/>
      <c r="E173" s="125"/>
      <c r="F173" s="126"/>
      <c r="G173" s="125"/>
      <c r="H173" s="125"/>
      <c r="I173" s="126"/>
      <c r="J173" s="125"/>
      <c r="K173" s="125"/>
    </row>
    <row r="174" spans="1:11" ht="18">
      <c r="A174" s="124"/>
      <c r="B174" s="124"/>
      <c r="C174" s="125"/>
      <c r="D174" s="125"/>
      <c r="E174" s="125"/>
      <c r="F174" s="126"/>
      <c r="G174" s="125"/>
      <c r="H174" s="125"/>
      <c r="I174" s="126"/>
      <c r="J174" s="125"/>
      <c r="K174" s="125"/>
    </row>
    <row r="175" spans="1:11" ht="18">
      <c r="A175" s="124"/>
      <c r="B175" s="124"/>
      <c r="C175" s="125"/>
      <c r="D175" s="125"/>
      <c r="E175" s="125"/>
      <c r="F175" s="126"/>
      <c r="G175" s="125"/>
      <c r="H175" s="125"/>
      <c r="I175" s="126"/>
      <c r="J175" s="125"/>
      <c r="K175" s="125"/>
    </row>
    <row r="176" spans="1:11" ht="18">
      <c r="A176" s="124"/>
      <c r="B176" s="124"/>
      <c r="C176" s="125"/>
      <c r="D176" s="125"/>
      <c r="E176" s="125"/>
      <c r="F176" s="126"/>
      <c r="G176" s="125"/>
      <c r="H176" s="125"/>
      <c r="I176" s="126"/>
      <c r="J176" s="125"/>
      <c r="K176" s="125"/>
    </row>
    <row r="177" spans="1:11" ht="18">
      <c r="A177" s="124"/>
      <c r="B177" s="124"/>
      <c r="C177" s="125"/>
      <c r="D177" s="125"/>
      <c r="E177" s="125"/>
      <c r="F177" s="126"/>
      <c r="G177" s="125"/>
      <c r="H177" s="125"/>
      <c r="I177" s="126"/>
      <c r="J177" s="125"/>
      <c r="K177" s="125"/>
    </row>
    <row r="178" spans="1:11" ht="18">
      <c r="A178" s="124"/>
      <c r="B178" s="124"/>
      <c r="C178" s="125"/>
      <c r="D178" s="125"/>
      <c r="E178" s="125"/>
      <c r="F178" s="126"/>
      <c r="G178" s="125"/>
      <c r="H178" s="125"/>
      <c r="I178" s="126"/>
      <c r="J178" s="125"/>
      <c r="K178" s="125"/>
    </row>
    <row r="179" spans="1:11" ht="18">
      <c r="A179" s="124"/>
      <c r="B179" s="124"/>
      <c r="C179" s="125"/>
      <c r="D179" s="125"/>
      <c r="E179" s="125"/>
      <c r="F179" s="126"/>
      <c r="G179" s="125"/>
      <c r="H179" s="125"/>
      <c r="I179" s="126"/>
      <c r="J179" s="125"/>
      <c r="K179" s="125"/>
    </row>
    <row r="180" spans="1:11" ht="18">
      <c r="A180" s="124"/>
      <c r="B180" s="124"/>
      <c r="C180" s="125"/>
      <c r="D180" s="125"/>
      <c r="E180" s="125"/>
      <c r="F180" s="126"/>
      <c r="G180" s="125"/>
      <c r="H180" s="125"/>
      <c r="I180" s="126"/>
      <c r="J180" s="125"/>
      <c r="K180" s="125"/>
    </row>
    <row r="181" spans="1:11" ht="18">
      <c r="A181" s="124"/>
      <c r="B181" s="124"/>
      <c r="C181" s="125"/>
      <c r="D181" s="125"/>
      <c r="E181" s="125"/>
      <c r="F181" s="126"/>
      <c r="G181" s="125"/>
      <c r="H181" s="125"/>
      <c r="I181" s="126"/>
      <c r="J181" s="125"/>
      <c r="K181" s="125"/>
    </row>
    <row r="182" spans="1:11" ht="18">
      <c r="A182" s="124"/>
      <c r="B182" s="124"/>
      <c r="C182" s="125"/>
      <c r="D182" s="125"/>
      <c r="E182" s="125"/>
      <c r="F182" s="126"/>
      <c r="G182" s="125"/>
      <c r="H182" s="125"/>
      <c r="I182" s="126"/>
      <c r="J182" s="125"/>
      <c r="K182" s="125"/>
    </row>
    <row r="183" spans="1:11" ht="18">
      <c r="A183" s="124"/>
      <c r="B183" s="124"/>
      <c r="C183" s="125"/>
      <c r="D183" s="125"/>
      <c r="E183" s="125"/>
      <c r="F183" s="126"/>
      <c r="G183" s="125"/>
      <c r="H183" s="125"/>
      <c r="I183" s="126"/>
      <c r="J183" s="125"/>
      <c r="K183" s="125"/>
    </row>
    <row r="184" spans="1:11" ht="18">
      <c r="A184" s="124"/>
      <c r="B184" s="124"/>
      <c r="C184" s="125"/>
      <c r="D184" s="125"/>
      <c r="E184" s="125"/>
      <c r="F184" s="126"/>
      <c r="G184" s="125"/>
      <c r="H184" s="125"/>
      <c r="I184" s="126"/>
      <c r="J184" s="125"/>
      <c r="K184" s="125"/>
    </row>
    <row r="185" spans="1:11" ht="18">
      <c r="A185" s="124"/>
      <c r="B185" s="124"/>
      <c r="C185" s="125"/>
      <c r="D185" s="125"/>
      <c r="E185" s="125"/>
      <c r="F185" s="126"/>
      <c r="G185" s="125"/>
      <c r="H185" s="125"/>
      <c r="I185" s="126"/>
      <c r="J185" s="125"/>
      <c r="K185" s="125"/>
    </row>
    <row r="186" spans="1:11" ht="18">
      <c r="A186" s="124"/>
      <c r="B186" s="124"/>
      <c r="C186" s="125"/>
      <c r="D186" s="125"/>
      <c r="E186" s="125"/>
      <c r="F186" s="126"/>
      <c r="G186" s="125"/>
      <c r="H186" s="125"/>
      <c r="I186" s="126"/>
      <c r="J186" s="125"/>
      <c r="K186" s="125"/>
    </row>
    <row r="187" spans="1:11" ht="18">
      <c r="A187" s="124"/>
      <c r="B187" s="124"/>
      <c r="C187" s="125"/>
      <c r="D187" s="125"/>
      <c r="E187" s="125"/>
      <c r="F187" s="126"/>
      <c r="G187" s="125"/>
      <c r="H187" s="125"/>
      <c r="I187" s="126"/>
      <c r="J187" s="125"/>
      <c r="K187" s="125"/>
    </row>
    <row r="188" spans="1:11" ht="18">
      <c r="A188" s="124"/>
      <c r="B188" s="124"/>
      <c r="C188" s="125"/>
      <c r="D188" s="125"/>
      <c r="E188" s="125"/>
      <c r="F188" s="126"/>
      <c r="G188" s="125"/>
      <c r="H188" s="125"/>
      <c r="I188" s="126"/>
      <c r="J188" s="125"/>
      <c r="K188" s="125"/>
    </row>
    <row r="189" spans="1:11" ht="18">
      <c r="A189" s="124"/>
      <c r="B189" s="124"/>
      <c r="C189" s="125"/>
      <c r="D189" s="125"/>
      <c r="E189" s="125"/>
      <c r="F189" s="126"/>
      <c r="G189" s="125"/>
      <c r="H189" s="125"/>
      <c r="I189" s="126"/>
      <c r="J189" s="125"/>
      <c r="K189" s="125"/>
    </row>
    <row r="190" spans="1:11" ht="18">
      <c r="A190" s="124"/>
      <c r="B190" s="124"/>
      <c r="C190" s="125"/>
      <c r="D190" s="125"/>
      <c r="E190" s="125"/>
      <c r="F190" s="126"/>
      <c r="G190" s="125"/>
      <c r="H190" s="125"/>
      <c r="I190" s="126"/>
      <c r="J190" s="125"/>
      <c r="K190" s="125"/>
    </row>
    <row r="191" spans="1:11" ht="18">
      <c r="A191" s="124"/>
      <c r="B191" s="124"/>
      <c r="C191" s="125"/>
      <c r="D191" s="125"/>
      <c r="E191" s="125"/>
      <c r="F191" s="126"/>
      <c r="G191" s="125"/>
      <c r="H191" s="125"/>
      <c r="I191" s="126"/>
      <c r="J191" s="125"/>
      <c r="K191" s="125"/>
    </row>
    <row r="192" spans="1:11" ht="18">
      <c r="A192" s="124"/>
      <c r="B192" s="124"/>
      <c r="C192" s="125"/>
      <c r="D192" s="125"/>
      <c r="E192" s="125"/>
      <c r="F192" s="126"/>
      <c r="G192" s="125"/>
      <c r="H192" s="125"/>
      <c r="I192" s="126"/>
      <c r="J192" s="125"/>
      <c r="K192" s="125"/>
    </row>
    <row r="193" spans="1:11" ht="18">
      <c r="A193" s="124"/>
      <c r="B193" s="124"/>
      <c r="C193" s="125"/>
      <c r="D193" s="125"/>
      <c r="E193" s="125"/>
      <c r="F193" s="126"/>
      <c r="G193" s="125"/>
      <c r="H193" s="125"/>
      <c r="I193" s="126"/>
      <c r="J193" s="125"/>
      <c r="K193" s="125"/>
    </row>
    <row r="194" spans="1:11" ht="18">
      <c r="A194" s="124"/>
      <c r="B194" s="124"/>
      <c r="C194" s="125"/>
      <c r="D194" s="125"/>
      <c r="E194" s="125"/>
      <c r="F194" s="126"/>
      <c r="G194" s="125"/>
      <c r="H194" s="125"/>
      <c r="I194" s="126"/>
      <c r="J194" s="125"/>
      <c r="K194" s="125"/>
    </row>
    <row r="195" spans="1:11" ht="18">
      <c r="A195" s="124"/>
      <c r="B195" s="124"/>
      <c r="C195" s="125"/>
      <c r="D195" s="125"/>
      <c r="E195" s="125"/>
      <c r="F195" s="126"/>
      <c r="G195" s="125"/>
      <c r="H195" s="125"/>
      <c r="I195" s="126"/>
      <c r="J195" s="125"/>
      <c r="K195" s="125"/>
    </row>
    <row r="196" spans="1:11" ht="18">
      <c r="A196" s="124"/>
      <c r="B196" s="124"/>
      <c r="C196" s="125"/>
      <c r="D196" s="125"/>
      <c r="E196" s="125"/>
      <c r="F196" s="126"/>
      <c r="G196" s="125"/>
      <c r="H196" s="125"/>
      <c r="I196" s="126"/>
      <c r="J196" s="125"/>
      <c r="K196" s="125"/>
    </row>
    <row r="197" spans="1:11" ht="18">
      <c r="A197" s="124"/>
      <c r="B197" s="124"/>
      <c r="C197" s="125"/>
      <c r="D197" s="125"/>
      <c r="E197" s="125"/>
      <c r="F197" s="126"/>
      <c r="G197" s="125"/>
      <c r="H197" s="125"/>
      <c r="I197" s="126"/>
      <c r="J197" s="125"/>
      <c r="K197" s="125"/>
    </row>
    <row r="198" spans="1:11" ht="18">
      <c r="A198" s="124"/>
      <c r="B198" s="124"/>
      <c r="C198" s="125"/>
      <c r="D198" s="125"/>
      <c r="E198" s="125"/>
      <c r="F198" s="126"/>
      <c r="G198" s="125"/>
      <c r="H198" s="125"/>
      <c r="I198" s="126"/>
      <c r="J198" s="125"/>
      <c r="K198" s="125"/>
    </row>
    <row r="199" spans="1:11" ht="18">
      <c r="A199" s="124"/>
      <c r="B199" s="124"/>
      <c r="C199" s="125"/>
      <c r="D199" s="125"/>
      <c r="E199" s="125"/>
      <c r="F199" s="126"/>
      <c r="G199" s="125"/>
      <c r="H199" s="125"/>
      <c r="I199" s="126"/>
      <c r="J199" s="125"/>
      <c r="K199" s="125"/>
    </row>
    <row r="200" spans="1:11" ht="18">
      <c r="A200" s="124"/>
      <c r="B200" s="124"/>
      <c r="C200" s="125"/>
      <c r="D200" s="125"/>
      <c r="E200" s="125"/>
      <c r="F200" s="126"/>
      <c r="G200" s="125"/>
      <c r="H200" s="125"/>
      <c r="I200" s="126"/>
      <c r="J200" s="125"/>
      <c r="K200" s="125"/>
    </row>
    <row r="201" spans="1:11" ht="18">
      <c r="A201" s="124"/>
      <c r="B201" s="124"/>
      <c r="C201" s="125"/>
      <c r="D201" s="125"/>
      <c r="E201" s="125"/>
      <c r="F201" s="126"/>
      <c r="G201" s="125"/>
      <c r="H201" s="125"/>
      <c r="I201" s="126"/>
      <c r="J201" s="125"/>
      <c r="K201" s="125"/>
    </row>
    <row r="202" spans="1:11" ht="18">
      <c r="A202" s="124"/>
      <c r="B202" s="124"/>
      <c r="C202" s="125"/>
      <c r="D202" s="125"/>
      <c r="E202" s="125"/>
      <c r="F202" s="126"/>
      <c r="G202" s="125"/>
      <c r="H202" s="125"/>
      <c r="I202" s="126"/>
      <c r="J202" s="125"/>
      <c r="K202" s="125"/>
    </row>
    <row r="203" spans="1:11" ht="18">
      <c r="A203" s="124"/>
      <c r="B203" s="124"/>
      <c r="C203" s="125"/>
      <c r="D203" s="125"/>
      <c r="E203" s="125"/>
      <c r="F203" s="126"/>
      <c r="G203" s="125"/>
      <c r="H203" s="125"/>
      <c r="I203" s="126"/>
      <c r="J203" s="125"/>
      <c r="K203" s="125"/>
    </row>
    <row r="204" spans="1:11" ht="18">
      <c r="A204" s="124"/>
      <c r="B204" s="124"/>
      <c r="C204" s="125"/>
      <c r="D204" s="125"/>
      <c r="E204" s="125"/>
      <c r="F204" s="126"/>
      <c r="G204" s="125"/>
      <c r="H204" s="125"/>
      <c r="I204" s="126"/>
      <c r="J204" s="125"/>
      <c r="K204" s="125"/>
    </row>
    <row r="205" spans="1:11" ht="18">
      <c r="A205" s="124"/>
      <c r="B205" s="124"/>
      <c r="C205" s="125"/>
      <c r="D205" s="125"/>
      <c r="E205" s="125"/>
      <c r="F205" s="126"/>
      <c r="G205" s="125"/>
      <c r="H205" s="125"/>
      <c r="I205" s="126"/>
      <c r="J205" s="125"/>
      <c r="K205" s="125"/>
    </row>
    <row r="206" spans="1:11" ht="18">
      <c r="A206" s="124"/>
      <c r="B206" s="124"/>
      <c r="C206" s="125"/>
      <c r="D206" s="125"/>
      <c r="E206" s="125"/>
      <c r="F206" s="126"/>
      <c r="G206" s="125"/>
      <c r="H206" s="125"/>
      <c r="I206" s="126"/>
      <c r="J206" s="125"/>
      <c r="K206" s="125"/>
    </row>
    <row r="207" spans="1:11" ht="18">
      <c r="A207" s="124"/>
      <c r="B207" s="124"/>
      <c r="C207" s="125"/>
      <c r="D207" s="125"/>
      <c r="E207" s="125"/>
      <c r="F207" s="126"/>
      <c r="G207" s="125"/>
      <c r="H207" s="125"/>
      <c r="I207" s="126"/>
      <c r="J207" s="125"/>
      <c r="K207" s="125"/>
    </row>
    <row r="208" spans="1:11" ht="18">
      <c r="A208" s="124"/>
      <c r="B208" s="124"/>
      <c r="C208" s="125"/>
      <c r="D208" s="125"/>
      <c r="E208" s="125"/>
      <c r="F208" s="126"/>
      <c r="G208" s="125"/>
      <c r="H208" s="125"/>
      <c r="I208" s="126"/>
      <c r="J208" s="125"/>
      <c r="K208" s="125"/>
    </row>
    <row r="209" spans="1:11" ht="18">
      <c r="A209" s="124"/>
      <c r="B209" s="124"/>
      <c r="C209" s="125"/>
      <c r="D209" s="125"/>
      <c r="E209" s="125"/>
      <c r="F209" s="126"/>
      <c r="G209" s="125"/>
      <c r="H209" s="125"/>
      <c r="I209" s="126"/>
      <c r="J209" s="125"/>
      <c r="K209" s="125"/>
    </row>
    <row r="210" spans="1:11" ht="18">
      <c r="A210" s="124"/>
      <c r="B210" s="124"/>
      <c r="C210" s="125"/>
      <c r="D210" s="125"/>
      <c r="E210" s="125"/>
      <c r="F210" s="126"/>
      <c r="G210" s="125"/>
      <c r="H210" s="125"/>
      <c r="I210" s="126"/>
      <c r="J210" s="125"/>
      <c r="K210" s="125"/>
    </row>
    <row r="211" spans="1:11" ht="18">
      <c r="A211" s="124"/>
      <c r="B211" s="124"/>
      <c r="C211" s="125"/>
      <c r="D211" s="125"/>
      <c r="E211" s="125"/>
      <c r="F211" s="126"/>
      <c r="G211" s="125"/>
      <c r="H211" s="125"/>
      <c r="I211" s="126"/>
      <c r="J211" s="125"/>
      <c r="K211" s="125"/>
    </row>
    <row r="212" spans="1:11" ht="18">
      <c r="A212" s="124"/>
      <c r="B212" s="124"/>
      <c r="C212" s="125"/>
      <c r="D212" s="125"/>
      <c r="E212" s="125"/>
      <c r="F212" s="126"/>
      <c r="G212" s="125"/>
      <c r="H212" s="125"/>
      <c r="I212" s="126"/>
      <c r="J212" s="125"/>
      <c r="K212" s="125"/>
    </row>
    <row r="213" spans="1:11" ht="18">
      <c r="A213" s="124"/>
      <c r="B213" s="124"/>
      <c r="C213" s="125"/>
      <c r="D213" s="125"/>
      <c r="E213" s="125"/>
      <c r="F213" s="126"/>
      <c r="G213" s="125"/>
      <c r="H213" s="125"/>
      <c r="I213" s="126"/>
      <c r="J213" s="125"/>
      <c r="K213" s="125"/>
    </row>
    <row r="214" spans="1:11" ht="18">
      <c r="A214" s="124"/>
      <c r="B214" s="124"/>
      <c r="C214" s="125"/>
      <c r="D214" s="125"/>
      <c r="E214" s="125"/>
      <c r="F214" s="126"/>
      <c r="G214" s="125"/>
      <c r="H214" s="125"/>
      <c r="I214" s="126"/>
      <c r="J214" s="125"/>
      <c r="K214" s="125"/>
    </row>
    <row r="215" spans="1:11" ht="18">
      <c r="A215" s="124"/>
      <c r="B215" s="124"/>
      <c r="C215" s="125"/>
      <c r="D215" s="125"/>
      <c r="E215" s="125"/>
      <c r="F215" s="126"/>
      <c r="G215" s="125"/>
      <c r="H215" s="125"/>
      <c r="I215" s="126"/>
      <c r="J215" s="125"/>
      <c r="K215" s="125"/>
    </row>
    <row r="216" spans="1:11" ht="18">
      <c r="A216" s="124"/>
      <c r="B216" s="124"/>
      <c r="C216" s="125"/>
      <c r="D216" s="125"/>
      <c r="E216" s="125"/>
      <c r="F216" s="126"/>
      <c r="G216" s="125"/>
      <c r="H216" s="125"/>
      <c r="I216" s="126"/>
      <c r="J216" s="125"/>
      <c r="K216" s="125"/>
    </row>
    <row r="217" spans="1:11" ht="18">
      <c r="A217" s="124"/>
      <c r="B217" s="124"/>
      <c r="C217" s="125"/>
      <c r="D217" s="125"/>
      <c r="E217" s="125"/>
      <c r="F217" s="126"/>
      <c r="G217" s="125"/>
      <c r="H217" s="125"/>
      <c r="I217" s="126"/>
      <c r="J217" s="125"/>
      <c r="K217" s="125"/>
    </row>
    <row r="218" spans="1:11" ht="18">
      <c r="A218" s="124"/>
      <c r="B218" s="124"/>
      <c r="C218" s="125"/>
      <c r="D218" s="125"/>
      <c r="E218" s="125"/>
      <c r="F218" s="126"/>
      <c r="G218" s="125"/>
      <c r="H218" s="125"/>
      <c r="I218" s="126"/>
      <c r="J218" s="125"/>
      <c r="K218" s="125"/>
    </row>
    <row r="219" spans="1:11" ht="18">
      <c r="A219" s="124"/>
      <c r="B219" s="124"/>
      <c r="C219" s="125"/>
      <c r="D219" s="125"/>
      <c r="E219" s="125"/>
      <c r="F219" s="126"/>
      <c r="G219" s="125"/>
      <c r="H219" s="125"/>
      <c r="I219" s="126"/>
      <c r="J219" s="125"/>
      <c r="K219" s="125"/>
    </row>
    <row r="220" spans="1:11" ht="18">
      <c r="A220" s="124"/>
      <c r="B220" s="124"/>
      <c r="C220" s="125"/>
      <c r="D220" s="125"/>
      <c r="E220" s="125"/>
      <c r="F220" s="126"/>
      <c r="G220" s="125"/>
      <c r="H220" s="125"/>
      <c r="I220" s="126"/>
      <c r="J220" s="125"/>
      <c r="K220" s="125"/>
    </row>
    <row r="221" spans="1:11" ht="18">
      <c r="A221" s="124"/>
      <c r="B221" s="124"/>
      <c r="C221" s="125"/>
      <c r="D221" s="125"/>
      <c r="E221" s="125"/>
      <c r="F221" s="126"/>
      <c r="G221" s="125"/>
      <c r="H221" s="125"/>
      <c r="I221" s="126"/>
      <c r="J221" s="125"/>
      <c r="K221" s="125"/>
    </row>
    <row r="222" spans="1:11" ht="18">
      <c r="A222" s="124"/>
      <c r="B222" s="124"/>
      <c r="C222" s="125"/>
      <c r="D222" s="125"/>
      <c r="E222" s="125"/>
      <c r="F222" s="126"/>
      <c r="G222" s="125"/>
      <c r="H222" s="125"/>
      <c r="I222" s="126"/>
      <c r="J222" s="125"/>
      <c r="K222" s="125"/>
    </row>
    <row r="223" spans="1:11" ht="18">
      <c r="A223" s="124"/>
      <c r="B223" s="124"/>
      <c r="C223" s="125"/>
      <c r="D223" s="125"/>
      <c r="E223" s="125"/>
      <c r="F223" s="126"/>
      <c r="G223" s="125"/>
      <c r="H223" s="125"/>
      <c r="I223" s="126"/>
      <c r="J223" s="125"/>
      <c r="K223" s="125"/>
    </row>
    <row r="224" spans="1:11" ht="18">
      <c r="A224" s="124"/>
      <c r="B224" s="124"/>
      <c r="C224" s="125"/>
      <c r="D224" s="125"/>
      <c r="E224" s="125"/>
      <c r="F224" s="126"/>
      <c r="G224" s="125"/>
      <c r="H224" s="125"/>
      <c r="I224" s="126"/>
      <c r="J224" s="125"/>
      <c r="K224" s="125"/>
    </row>
    <row r="225" spans="1:11" ht="18">
      <c r="A225" s="124"/>
      <c r="B225" s="124"/>
      <c r="C225" s="125"/>
      <c r="D225" s="125"/>
      <c r="E225" s="125"/>
      <c r="F225" s="126"/>
      <c r="G225" s="125"/>
      <c r="H225" s="125"/>
      <c r="I225" s="126"/>
      <c r="J225" s="125"/>
      <c r="K225" s="125"/>
    </row>
    <row r="226" spans="1:11" ht="18">
      <c r="A226" s="124"/>
      <c r="B226" s="124"/>
      <c r="C226" s="125"/>
      <c r="D226" s="125"/>
      <c r="E226" s="125"/>
      <c r="F226" s="126"/>
      <c r="G226" s="125"/>
      <c r="H226" s="125"/>
      <c r="I226" s="126"/>
      <c r="J226" s="125"/>
      <c r="K226" s="125"/>
    </row>
    <row r="227" spans="1:11" ht="18">
      <c r="A227" s="124"/>
      <c r="B227" s="124"/>
      <c r="C227" s="125"/>
      <c r="D227" s="125"/>
      <c r="E227" s="125"/>
      <c r="F227" s="126"/>
      <c r="G227" s="125"/>
      <c r="H227" s="125"/>
      <c r="I227" s="126"/>
      <c r="J227" s="125"/>
      <c r="K227" s="125"/>
    </row>
    <row r="228" spans="1:11" ht="18">
      <c r="A228" s="124"/>
      <c r="B228" s="124"/>
      <c r="C228" s="125"/>
      <c r="D228" s="125"/>
      <c r="E228" s="125"/>
      <c r="F228" s="126"/>
      <c r="G228" s="125"/>
      <c r="H228" s="125"/>
      <c r="I228" s="126"/>
      <c r="J228" s="125"/>
      <c r="K228" s="125"/>
    </row>
    <row r="229" spans="1:11" ht="18">
      <c r="A229" s="124"/>
      <c r="B229" s="124"/>
      <c r="C229" s="125"/>
      <c r="D229" s="125"/>
      <c r="E229" s="125"/>
      <c r="F229" s="126"/>
      <c r="G229" s="125"/>
      <c r="H229" s="125"/>
      <c r="I229" s="126"/>
      <c r="J229" s="125"/>
      <c r="K229" s="125"/>
    </row>
    <row r="230" spans="1:11" ht="18">
      <c r="A230" s="124"/>
      <c r="B230" s="124"/>
      <c r="C230" s="125"/>
      <c r="D230" s="125"/>
      <c r="E230" s="125"/>
      <c r="F230" s="126"/>
      <c r="G230" s="125"/>
      <c r="H230" s="125"/>
      <c r="I230" s="126"/>
      <c r="J230" s="125"/>
      <c r="K230" s="125"/>
    </row>
    <row r="231" spans="1:11" ht="18">
      <c r="A231" s="124"/>
      <c r="B231" s="124"/>
      <c r="C231" s="125"/>
      <c r="D231" s="125"/>
      <c r="E231" s="125"/>
      <c r="F231" s="126"/>
      <c r="G231" s="125"/>
      <c r="H231" s="125"/>
      <c r="I231" s="126"/>
      <c r="J231" s="125"/>
      <c r="K231" s="125"/>
    </row>
    <row r="232" spans="1:11" ht="18">
      <c r="A232" s="124"/>
      <c r="B232" s="124"/>
      <c r="C232" s="125"/>
      <c r="D232" s="125"/>
      <c r="E232" s="125"/>
      <c r="F232" s="126"/>
      <c r="G232" s="125"/>
      <c r="H232" s="125"/>
      <c r="I232" s="126"/>
      <c r="J232" s="125"/>
      <c r="K232" s="125"/>
    </row>
    <row r="233" spans="1:11" ht="18">
      <c r="A233" s="124"/>
      <c r="B233" s="124"/>
      <c r="C233" s="125"/>
      <c r="D233" s="125"/>
      <c r="E233" s="125"/>
      <c r="F233" s="126"/>
      <c r="G233" s="125"/>
      <c r="H233" s="125"/>
      <c r="I233" s="126"/>
      <c r="J233" s="125"/>
      <c r="K233" s="125"/>
    </row>
    <row r="234" spans="1:11" ht="18">
      <c r="A234" s="124"/>
      <c r="B234" s="124"/>
      <c r="C234" s="125"/>
      <c r="D234" s="125"/>
      <c r="E234" s="125"/>
      <c r="F234" s="126"/>
      <c r="G234" s="125"/>
      <c r="H234" s="125"/>
      <c r="I234" s="126"/>
      <c r="J234" s="125"/>
      <c r="K234" s="125"/>
    </row>
    <row r="235" spans="1:11" ht="18">
      <c r="A235" s="124"/>
      <c r="B235" s="124"/>
      <c r="C235" s="125"/>
      <c r="D235" s="125"/>
      <c r="E235" s="125"/>
      <c r="F235" s="126"/>
      <c r="G235" s="125"/>
      <c r="H235" s="125"/>
      <c r="I235" s="126"/>
      <c r="J235" s="125"/>
      <c r="K235" s="125"/>
    </row>
    <row r="236" spans="1:11" ht="18">
      <c r="A236" s="124"/>
      <c r="B236" s="124"/>
      <c r="C236" s="125"/>
      <c r="D236" s="125"/>
      <c r="E236" s="125"/>
      <c r="F236" s="126"/>
      <c r="G236" s="125"/>
      <c r="H236" s="125"/>
      <c r="I236" s="126"/>
      <c r="J236" s="125"/>
      <c r="K236" s="125"/>
    </row>
    <row r="237" spans="1:11" ht="18">
      <c r="A237" s="124"/>
      <c r="B237" s="124"/>
      <c r="C237" s="125"/>
      <c r="D237" s="125"/>
      <c r="E237" s="125"/>
      <c r="F237" s="126"/>
      <c r="G237" s="125"/>
      <c r="H237" s="125"/>
      <c r="I237" s="126"/>
      <c r="J237" s="125"/>
      <c r="K237" s="125"/>
    </row>
    <row r="238" spans="1:11" ht="18">
      <c r="A238" s="124"/>
      <c r="B238" s="124"/>
      <c r="C238" s="125"/>
      <c r="D238" s="125"/>
      <c r="E238" s="125"/>
      <c r="F238" s="126"/>
      <c r="G238" s="125"/>
      <c r="H238" s="125"/>
      <c r="I238" s="126"/>
      <c r="J238" s="125"/>
      <c r="K238" s="125"/>
    </row>
    <row r="239" spans="1:11" ht="18">
      <c r="A239" s="124"/>
      <c r="B239" s="124"/>
      <c r="C239" s="125"/>
      <c r="D239" s="125"/>
      <c r="E239" s="125"/>
      <c r="F239" s="126"/>
      <c r="G239" s="125"/>
      <c r="H239" s="125"/>
      <c r="I239" s="126"/>
      <c r="J239" s="125"/>
      <c r="K239" s="125"/>
    </row>
    <row r="240" spans="1:11" ht="18">
      <c r="A240" s="124"/>
      <c r="B240" s="124"/>
      <c r="C240" s="125"/>
      <c r="D240" s="125"/>
      <c r="E240" s="125"/>
      <c r="F240" s="126"/>
      <c r="G240" s="125"/>
      <c r="H240" s="125"/>
      <c r="I240" s="126"/>
      <c r="J240" s="125"/>
      <c r="K240" s="125"/>
    </row>
    <row r="241" spans="1:11" ht="18">
      <c r="A241" s="124"/>
      <c r="B241" s="124"/>
      <c r="C241" s="125"/>
      <c r="D241" s="125"/>
      <c r="E241" s="125"/>
      <c r="F241" s="126"/>
      <c r="G241" s="125"/>
      <c r="H241" s="125"/>
      <c r="I241" s="126"/>
      <c r="J241" s="125"/>
      <c r="K241" s="125"/>
    </row>
    <row r="242" spans="1:11" ht="18">
      <c r="A242" s="124"/>
      <c r="B242" s="124"/>
      <c r="C242" s="125"/>
      <c r="D242" s="125"/>
      <c r="E242" s="125"/>
      <c r="F242" s="126"/>
      <c r="G242" s="125"/>
      <c r="H242" s="125"/>
      <c r="I242" s="126"/>
      <c r="J242" s="125"/>
      <c r="K242" s="125"/>
    </row>
    <row r="243" spans="1:11" ht="18">
      <c r="A243" s="124"/>
      <c r="B243" s="124"/>
      <c r="C243" s="125"/>
      <c r="D243" s="125"/>
      <c r="E243" s="125"/>
      <c r="F243" s="126"/>
      <c r="G243" s="125"/>
      <c r="H243" s="125"/>
      <c r="I243" s="126"/>
      <c r="J243" s="125"/>
      <c r="K243" s="125"/>
    </row>
    <row r="244" spans="1:11" ht="18">
      <c r="A244" s="124"/>
      <c r="B244" s="124"/>
      <c r="C244" s="125"/>
      <c r="D244" s="125"/>
      <c r="E244" s="125"/>
      <c r="F244" s="126"/>
      <c r="G244" s="125"/>
      <c r="H244" s="125"/>
      <c r="I244" s="126"/>
      <c r="J244" s="125"/>
      <c r="K244" s="125"/>
    </row>
    <row r="245" spans="1:11" ht="18">
      <c r="A245" s="124"/>
      <c r="B245" s="124"/>
      <c r="C245" s="125"/>
      <c r="D245" s="125"/>
      <c r="E245" s="125"/>
      <c r="F245" s="126"/>
      <c r="G245" s="125"/>
      <c r="H245" s="125"/>
      <c r="I245" s="126"/>
      <c r="J245" s="125"/>
      <c r="K245" s="125"/>
    </row>
    <row r="246" spans="1:11" ht="18">
      <c r="A246" s="124"/>
      <c r="B246" s="124"/>
      <c r="C246" s="125"/>
      <c r="D246" s="125"/>
      <c r="E246" s="125"/>
      <c r="F246" s="126"/>
      <c r="G246" s="125"/>
      <c r="H246" s="125"/>
      <c r="I246" s="126"/>
      <c r="J246" s="125"/>
      <c r="K246" s="125"/>
    </row>
    <row r="247" spans="1:11" ht="18">
      <c r="A247" s="124"/>
      <c r="B247" s="124"/>
      <c r="C247" s="125"/>
      <c r="D247" s="125"/>
      <c r="E247" s="125"/>
      <c r="F247" s="126"/>
      <c r="G247" s="125"/>
      <c r="H247" s="125"/>
      <c r="I247" s="126"/>
      <c r="J247" s="125"/>
      <c r="K247" s="125"/>
    </row>
    <row r="248" spans="1:11" ht="18">
      <c r="A248" s="124"/>
      <c r="B248" s="124"/>
      <c r="C248" s="125"/>
      <c r="D248" s="125"/>
      <c r="E248" s="125"/>
      <c r="F248" s="126"/>
      <c r="G248" s="125"/>
      <c r="H248" s="125"/>
      <c r="I248" s="126"/>
      <c r="J248" s="125"/>
      <c r="K248" s="125"/>
    </row>
    <row r="249" spans="1:11" ht="18">
      <c r="A249" s="124"/>
      <c r="B249" s="124"/>
      <c r="C249" s="125"/>
      <c r="D249" s="125"/>
      <c r="E249" s="125"/>
      <c r="F249" s="126"/>
      <c r="G249" s="125"/>
      <c r="H249" s="125"/>
      <c r="I249" s="126"/>
      <c r="J249" s="125"/>
      <c r="K249" s="125"/>
    </row>
    <row r="250" spans="1:11" ht="18">
      <c r="A250" s="124"/>
      <c r="B250" s="124"/>
      <c r="C250" s="125"/>
      <c r="D250" s="125"/>
      <c r="E250" s="125"/>
      <c r="F250" s="126"/>
      <c r="G250" s="125"/>
      <c r="H250" s="125"/>
      <c r="I250" s="126"/>
      <c r="J250" s="125"/>
      <c r="K250" s="125"/>
    </row>
    <row r="251" spans="1:11" ht="18">
      <c r="A251" s="124"/>
      <c r="B251" s="124"/>
      <c r="C251" s="125"/>
      <c r="D251" s="125"/>
      <c r="E251" s="125"/>
      <c r="F251" s="126"/>
      <c r="G251" s="125"/>
      <c r="H251" s="125"/>
      <c r="I251" s="126"/>
      <c r="J251" s="125"/>
      <c r="K251" s="125"/>
    </row>
    <row r="252" spans="1:11" ht="18">
      <c r="A252" s="124"/>
      <c r="B252" s="124"/>
      <c r="C252" s="125"/>
      <c r="D252" s="125"/>
      <c r="E252" s="125"/>
      <c r="F252" s="126"/>
      <c r="G252" s="125"/>
      <c r="H252" s="125"/>
      <c r="I252" s="126"/>
      <c r="J252" s="125"/>
      <c r="K252" s="125"/>
    </row>
    <row r="253" spans="1:11" ht="18">
      <c r="A253" s="124"/>
      <c r="B253" s="124"/>
      <c r="C253" s="125"/>
      <c r="D253" s="125"/>
      <c r="E253" s="125"/>
      <c r="F253" s="126"/>
      <c r="G253" s="125"/>
      <c r="H253" s="125"/>
      <c r="I253" s="126"/>
      <c r="J253" s="125"/>
      <c r="K253" s="125"/>
    </row>
    <row r="254" spans="1:11" ht="18">
      <c r="A254" s="124"/>
      <c r="B254" s="124"/>
      <c r="C254" s="125"/>
      <c r="D254" s="125"/>
      <c r="E254" s="125"/>
      <c r="F254" s="126"/>
      <c r="G254" s="125"/>
      <c r="H254" s="125"/>
      <c r="I254" s="126"/>
      <c r="J254" s="125"/>
      <c r="K254" s="125"/>
    </row>
    <row r="255" spans="1:11" ht="18">
      <c r="A255" s="124"/>
      <c r="B255" s="124"/>
      <c r="C255" s="125"/>
      <c r="D255" s="125"/>
      <c r="E255" s="125"/>
      <c r="F255" s="126"/>
      <c r="G255" s="125"/>
      <c r="H255" s="125"/>
      <c r="I255" s="126"/>
      <c r="J255" s="125"/>
      <c r="K255" s="125"/>
    </row>
    <row r="256" spans="1:11" ht="18">
      <c r="A256" s="124"/>
      <c r="B256" s="124"/>
      <c r="C256" s="125"/>
      <c r="D256" s="125"/>
      <c r="E256" s="125"/>
      <c r="F256" s="126"/>
      <c r="G256" s="125"/>
      <c r="H256" s="125"/>
      <c r="I256" s="126"/>
      <c r="J256" s="125"/>
      <c r="K256" s="125"/>
    </row>
    <row r="257" spans="1:11" ht="18">
      <c r="A257" s="124"/>
      <c r="B257" s="124"/>
      <c r="C257" s="125"/>
      <c r="D257" s="125"/>
      <c r="E257" s="125"/>
      <c r="F257" s="126"/>
      <c r="G257" s="125"/>
      <c r="H257" s="125"/>
      <c r="I257" s="126"/>
      <c r="J257" s="125"/>
      <c r="K257" s="125"/>
    </row>
    <row r="258" spans="1:11" ht="18">
      <c r="A258" s="124"/>
      <c r="B258" s="124"/>
      <c r="C258" s="125"/>
      <c r="D258" s="125"/>
      <c r="E258" s="125"/>
      <c r="F258" s="126"/>
      <c r="G258" s="125"/>
      <c r="H258" s="125"/>
      <c r="I258" s="126"/>
      <c r="J258" s="125"/>
      <c r="K258" s="125"/>
    </row>
    <row r="259" spans="1:11" ht="18">
      <c r="A259" s="124"/>
      <c r="B259" s="124"/>
      <c r="C259" s="125"/>
      <c r="D259" s="125"/>
      <c r="E259" s="125"/>
      <c r="F259" s="126"/>
      <c r="G259" s="125"/>
      <c r="H259" s="125"/>
      <c r="I259" s="126"/>
      <c r="J259" s="125"/>
      <c r="K259" s="125"/>
    </row>
    <row r="260" spans="1:11" ht="18">
      <c r="A260" s="124"/>
      <c r="B260" s="124"/>
      <c r="C260" s="125"/>
      <c r="D260" s="125"/>
      <c r="E260" s="125"/>
      <c r="F260" s="126"/>
      <c r="G260" s="125"/>
      <c r="H260" s="125"/>
      <c r="I260" s="126"/>
      <c r="J260" s="125"/>
      <c r="K260" s="125"/>
    </row>
    <row r="261" spans="1:11" ht="18">
      <c r="A261" s="124"/>
      <c r="B261" s="124"/>
      <c r="C261" s="125"/>
      <c r="D261" s="125"/>
      <c r="E261" s="125"/>
      <c r="F261" s="126"/>
      <c r="G261" s="125"/>
      <c r="H261" s="125"/>
      <c r="I261" s="126"/>
      <c r="J261" s="125"/>
      <c r="K261" s="125"/>
    </row>
    <row r="262" spans="1:11" ht="18">
      <c r="A262" s="124"/>
      <c r="B262" s="124"/>
      <c r="C262" s="125"/>
      <c r="D262" s="125"/>
      <c r="E262" s="125"/>
      <c r="F262" s="126"/>
      <c r="G262" s="125"/>
      <c r="H262" s="125"/>
      <c r="I262" s="126"/>
      <c r="J262" s="125"/>
      <c r="K262" s="125"/>
    </row>
    <row r="263" spans="1:11" ht="18">
      <c r="A263" s="124"/>
      <c r="B263" s="124"/>
      <c r="C263" s="125"/>
      <c r="D263" s="125"/>
      <c r="E263" s="125"/>
      <c r="F263" s="126"/>
      <c r="G263" s="125"/>
      <c r="H263" s="125"/>
      <c r="I263" s="126"/>
      <c r="J263" s="125"/>
      <c r="K263" s="125"/>
    </row>
    <row r="264" spans="1:11" ht="18">
      <c r="A264" s="124"/>
      <c r="B264" s="124"/>
      <c r="C264" s="125"/>
      <c r="D264" s="125"/>
      <c r="E264" s="125"/>
      <c r="F264" s="126"/>
      <c r="G264" s="125"/>
      <c r="H264" s="125"/>
      <c r="I264" s="126"/>
      <c r="J264" s="125"/>
      <c r="K264" s="125"/>
    </row>
    <row r="265" spans="1:11" ht="18">
      <c r="A265" s="124"/>
      <c r="B265" s="124"/>
      <c r="C265" s="125"/>
      <c r="D265" s="125"/>
      <c r="E265" s="125"/>
      <c r="F265" s="126"/>
      <c r="G265" s="125"/>
      <c r="H265" s="125"/>
      <c r="I265" s="126"/>
      <c r="J265" s="125"/>
      <c r="K265" s="125"/>
    </row>
    <row r="266" spans="1:11" ht="18">
      <c r="A266" s="124"/>
      <c r="B266" s="124"/>
      <c r="C266" s="125"/>
      <c r="D266" s="125"/>
      <c r="E266" s="125"/>
      <c r="F266" s="126"/>
      <c r="G266" s="125"/>
      <c r="H266" s="125"/>
      <c r="I266" s="126"/>
      <c r="J266" s="125"/>
      <c r="K266" s="125"/>
    </row>
    <row r="267" spans="1:11" ht="18">
      <c r="A267" s="124"/>
      <c r="B267" s="124"/>
      <c r="C267" s="125"/>
      <c r="D267" s="125"/>
      <c r="E267" s="125"/>
      <c r="F267" s="126"/>
      <c r="G267" s="125"/>
      <c r="H267" s="125"/>
      <c r="I267" s="126"/>
      <c r="J267" s="125"/>
      <c r="K267" s="125"/>
    </row>
    <row r="268" spans="1:11" ht="18">
      <c r="A268" s="124"/>
      <c r="B268" s="124"/>
      <c r="C268" s="125"/>
      <c r="D268" s="125"/>
      <c r="E268" s="125"/>
      <c r="F268" s="126"/>
      <c r="G268" s="125"/>
      <c r="H268" s="125"/>
      <c r="I268" s="126"/>
      <c r="J268" s="125"/>
      <c r="K268" s="125"/>
    </row>
    <row r="269" spans="1:11" ht="18">
      <c r="A269" s="124"/>
      <c r="B269" s="124"/>
      <c r="C269" s="125"/>
      <c r="D269" s="125"/>
      <c r="E269" s="125"/>
      <c r="F269" s="126"/>
      <c r="G269" s="125"/>
      <c r="H269" s="125"/>
      <c r="I269" s="126"/>
      <c r="J269" s="125"/>
      <c r="K269" s="125"/>
    </row>
    <row r="270" spans="1:11" ht="18">
      <c r="A270" s="124"/>
      <c r="B270" s="124"/>
      <c r="C270" s="125"/>
      <c r="D270" s="125"/>
      <c r="E270" s="125"/>
      <c r="F270" s="126"/>
      <c r="G270" s="125"/>
      <c r="H270" s="125"/>
      <c r="I270" s="126"/>
      <c r="J270" s="125"/>
      <c r="K270" s="125"/>
    </row>
    <row r="271" spans="1:11" ht="18">
      <c r="A271" s="124"/>
      <c r="B271" s="124"/>
      <c r="C271" s="125"/>
      <c r="D271" s="125"/>
      <c r="E271" s="125"/>
      <c r="F271" s="126"/>
      <c r="G271" s="125"/>
      <c r="H271" s="125"/>
      <c r="I271" s="126"/>
      <c r="J271" s="125"/>
      <c r="K271" s="125"/>
    </row>
    <row r="272" spans="1:11" ht="18">
      <c r="A272" s="124"/>
      <c r="B272" s="124"/>
      <c r="C272" s="125"/>
      <c r="D272" s="125"/>
      <c r="E272" s="125"/>
      <c r="F272" s="126"/>
      <c r="G272" s="125"/>
      <c r="H272" s="125"/>
      <c r="I272" s="126"/>
      <c r="J272" s="125"/>
      <c r="K272" s="125"/>
    </row>
    <row r="273" spans="1:11" ht="18">
      <c r="A273" s="124"/>
      <c r="B273" s="124"/>
      <c r="C273" s="125"/>
      <c r="D273" s="125"/>
      <c r="E273" s="125"/>
      <c r="F273" s="126"/>
      <c r="G273" s="125"/>
      <c r="H273" s="125"/>
      <c r="I273" s="126"/>
      <c r="J273" s="125"/>
      <c r="K273" s="125"/>
    </row>
    <row r="274" spans="1:11" ht="18">
      <c r="A274" s="124"/>
      <c r="B274" s="124"/>
      <c r="C274" s="125"/>
      <c r="D274" s="125"/>
      <c r="E274" s="125"/>
      <c r="F274" s="126"/>
      <c r="G274" s="125"/>
      <c r="H274" s="125"/>
      <c r="I274" s="126"/>
      <c r="J274" s="125"/>
      <c r="K274" s="125"/>
    </row>
    <row r="275" spans="1:11" ht="18">
      <c r="A275" s="124"/>
      <c r="B275" s="124"/>
      <c r="C275" s="125"/>
      <c r="D275" s="125"/>
      <c r="E275" s="125"/>
      <c r="F275" s="126"/>
      <c r="G275" s="125"/>
      <c r="H275" s="125"/>
      <c r="I275" s="126"/>
      <c r="J275" s="125"/>
      <c r="K275" s="125"/>
    </row>
    <row r="276" spans="1:11" ht="18">
      <c r="A276" s="124"/>
      <c r="B276" s="124"/>
      <c r="C276" s="125"/>
      <c r="D276" s="125"/>
      <c r="E276" s="125"/>
      <c r="F276" s="126"/>
      <c r="G276" s="125"/>
      <c r="H276" s="125"/>
      <c r="I276" s="126"/>
      <c r="J276" s="125"/>
      <c r="K276" s="125"/>
    </row>
    <row r="277" spans="1:11" ht="18">
      <c r="A277" s="124"/>
      <c r="B277" s="124"/>
      <c r="C277" s="125"/>
      <c r="D277" s="125"/>
      <c r="E277" s="125"/>
      <c r="F277" s="126"/>
      <c r="G277" s="125"/>
      <c r="H277" s="125"/>
      <c r="I277" s="126"/>
      <c r="J277" s="125"/>
      <c r="K277" s="125"/>
    </row>
    <row r="278" spans="1:11" ht="18">
      <c r="A278" s="124"/>
      <c r="B278" s="124"/>
      <c r="C278" s="125"/>
      <c r="D278" s="125"/>
      <c r="E278" s="125"/>
      <c r="F278" s="126"/>
      <c r="G278" s="125"/>
      <c r="H278" s="125"/>
      <c r="I278" s="126"/>
      <c r="J278" s="125"/>
      <c r="K278" s="125"/>
    </row>
    <row r="279" spans="1:11" ht="18">
      <c r="A279" s="124"/>
      <c r="B279" s="124"/>
      <c r="C279" s="125"/>
      <c r="D279" s="125"/>
      <c r="E279" s="125"/>
      <c r="F279" s="126"/>
      <c r="G279" s="125"/>
      <c r="H279" s="125"/>
      <c r="I279" s="126"/>
      <c r="J279" s="125"/>
      <c r="K279" s="125"/>
    </row>
    <row r="280" spans="1:11" ht="18">
      <c r="A280" s="124"/>
      <c r="B280" s="124"/>
      <c r="C280" s="125"/>
      <c r="D280" s="125"/>
      <c r="E280" s="125"/>
      <c r="F280" s="126"/>
      <c r="G280" s="125"/>
      <c r="H280" s="125"/>
      <c r="I280" s="126"/>
      <c r="J280" s="125"/>
      <c r="K280" s="125"/>
    </row>
    <row r="281" spans="1:11" ht="18">
      <c r="A281" s="124"/>
      <c r="B281" s="124"/>
      <c r="C281" s="125"/>
      <c r="D281" s="125"/>
      <c r="E281" s="125"/>
      <c r="F281" s="126"/>
      <c r="G281" s="125"/>
      <c r="H281" s="125"/>
      <c r="I281" s="126"/>
      <c r="J281" s="125"/>
      <c r="K281" s="125"/>
    </row>
    <row r="282" spans="1:11" ht="18">
      <c r="A282" s="124"/>
      <c r="B282" s="124"/>
      <c r="C282" s="125"/>
      <c r="D282" s="125"/>
      <c r="E282" s="125"/>
      <c r="F282" s="126"/>
      <c r="G282" s="125"/>
      <c r="H282" s="125"/>
      <c r="I282" s="126"/>
      <c r="J282" s="125"/>
      <c r="K282" s="125"/>
    </row>
    <row r="283" spans="1:11" ht="18">
      <c r="A283" s="124"/>
      <c r="B283" s="124"/>
      <c r="C283" s="125"/>
      <c r="D283" s="125"/>
      <c r="E283" s="125"/>
      <c r="F283" s="126"/>
      <c r="G283" s="125"/>
      <c r="H283" s="125"/>
      <c r="I283" s="126"/>
      <c r="J283" s="125"/>
      <c r="K283" s="125"/>
    </row>
    <row r="284" spans="1:11" ht="18">
      <c r="A284" s="124"/>
      <c r="B284" s="124"/>
      <c r="C284" s="125"/>
      <c r="D284" s="125"/>
      <c r="E284" s="125"/>
      <c r="F284" s="126"/>
      <c r="G284" s="125"/>
      <c r="H284" s="125"/>
      <c r="I284" s="126"/>
      <c r="J284" s="125"/>
      <c r="K284" s="125"/>
    </row>
    <row r="285" spans="1:11" ht="18">
      <c r="A285" s="124"/>
      <c r="B285" s="124"/>
      <c r="C285" s="125"/>
      <c r="D285" s="125"/>
      <c r="E285" s="125"/>
      <c r="F285" s="126"/>
      <c r="G285" s="125"/>
      <c r="H285" s="125"/>
      <c r="I285" s="126"/>
      <c r="J285" s="125"/>
      <c r="K285" s="125"/>
    </row>
    <row r="286" spans="1:11" ht="18">
      <c r="A286" s="124"/>
      <c r="B286" s="124"/>
      <c r="C286" s="125"/>
      <c r="D286" s="125"/>
      <c r="E286" s="125"/>
      <c r="F286" s="126"/>
      <c r="G286" s="125"/>
      <c r="H286" s="125"/>
      <c r="I286" s="126"/>
      <c r="J286" s="125"/>
      <c r="K286" s="125"/>
    </row>
    <row r="287" spans="1:11" ht="18">
      <c r="A287" s="124"/>
      <c r="B287" s="124"/>
      <c r="C287" s="125"/>
      <c r="D287" s="125"/>
      <c r="E287" s="125"/>
      <c r="F287" s="126"/>
      <c r="G287" s="125"/>
      <c r="H287" s="125"/>
      <c r="I287" s="126"/>
      <c r="J287" s="125"/>
      <c r="K287" s="125"/>
    </row>
    <row r="288" spans="1:11" ht="18">
      <c r="A288" s="124"/>
      <c r="B288" s="124"/>
      <c r="C288" s="125"/>
      <c r="D288" s="125"/>
      <c r="E288" s="125"/>
      <c r="F288" s="126"/>
      <c r="G288" s="125"/>
      <c r="H288" s="125"/>
      <c r="I288" s="126"/>
      <c r="J288" s="125"/>
      <c r="K288" s="125"/>
    </row>
    <row r="289" spans="1:11" ht="18">
      <c r="A289" s="124"/>
      <c r="B289" s="124"/>
      <c r="C289" s="125"/>
      <c r="D289" s="125"/>
      <c r="E289" s="125"/>
      <c r="F289" s="126"/>
      <c r="G289" s="125"/>
      <c r="H289" s="125"/>
      <c r="I289" s="126"/>
      <c r="J289" s="125"/>
      <c r="K289" s="125"/>
    </row>
    <row r="290" spans="1:11" ht="18">
      <c r="A290" s="124"/>
      <c r="B290" s="124"/>
      <c r="C290" s="125"/>
      <c r="D290" s="125"/>
      <c r="E290" s="125"/>
      <c r="F290" s="126"/>
      <c r="G290" s="125"/>
      <c r="H290" s="125"/>
      <c r="I290" s="126"/>
      <c r="J290" s="125"/>
      <c r="K290" s="125"/>
    </row>
    <row r="291" spans="1:11" ht="18">
      <c r="A291" s="124"/>
      <c r="B291" s="124"/>
      <c r="C291" s="125"/>
      <c r="D291" s="125"/>
      <c r="E291" s="125"/>
      <c r="F291" s="126"/>
      <c r="G291" s="125"/>
      <c r="H291" s="125"/>
      <c r="I291" s="126"/>
      <c r="J291" s="125"/>
      <c r="K291" s="125"/>
    </row>
    <row r="292" spans="1:11" ht="18">
      <c r="A292" s="124"/>
      <c r="B292" s="124"/>
      <c r="C292" s="125"/>
      <c r="D292" s="125"/>
      <c r="E292" s="125"/>
      <c r="F292" s="126"/>
      <c r="G292" s="125"/>
      <c r="H292" s="125"/>
      <c r="I292" s="126"/>
      <c r="J292" s="125"/>
      <c r="K292" s="125"/>
    </row>
    <row r="293" spans="1:11" ht="18">
      <c r="A293" s="124"/>
      <c r="B293" s="124"/>
      <c r="C293" s="125"/>
      <c r="D293" s="125"/>
      <c r="E293" s="125"/>
      <c r="F293" s="126"/>
      <c r="G293" s="125"/>
      <c r="H293" s="125"/>
      <c r="I293" s="126"/>
      <c r="J293" s="125"/>
      <c r="K293" s="125"/>
    </row>
    <row r="294" spans="1:11" ht="18">
      <c r="A294" s="124"/>
      <c r="B294" s="124"/>
      <c r="C294" s="125"/>
      <c r="D294" s="125"/>
      <c r="E294" s="125"/>
      <c r="F294" s="126"/>
      <c r="G294" s="125"/>
      <c r="H294" s="125"/>
      <c r="I294" s="126"/>
      <c r="J294" s="125"/>
      <c r="K294" s="125"/>
    </row>
    <row r="295" spans="1:11" ht="18">
      <c r="A295" s="124"/>
      <c r="B295" s="124"/>
      <c r="C295" s="125"/>
      <c r="D295" s="125"/>
      <c r="E295" s="125"/>
      <c r="F295" s="126"/>
      <c r="G295" s="125"/>
      <c r="H295" s="125"/>
      <c r="I295" s="126"/>
      <c r="J295" s="125"/>
      <c r="K295" s="125"/>
    </row>
    <row r="296" spans="1:11" ht="18">
      <c r="A296" s="124"/>
      <c r="B296" s="124"/>
      <c r="C296" s="125"/>
      <c r="D296" s="125"/>
      <c r="E296" s="125"/>
      <c r="F296" s="126"/>
      <c r="G296" s="125"/>
      <c r="H296" s="125"/>
      <c r="I296" s="126"/>
      <c r="J296" s="125"/>
      <c r="K296" s="125"/>
    </row>
    <row r="297" spans="1:11" ht="18">
      <c r="A297" s="124"/>
      <c r="B297" s="124"/>
      <c r="C297" s="125"/>
      <c r="D297" s="125"/>
      <c r="E297" s="125"/>
      <c r="F297" s="126"/>
      <c r="G297" s="125"/>
      <c r="H297" s="125"/>
      <c r="I297" s="126"/>
      <c r="J297" s="125"/>
      <c r="K297" s="125"/>
    </row>
    <row r="298" spans="1:11" ht="18">
      <c r="A298" s="124"/>
      <c r="B298" s="124"/>
      <c r="C298" s="125"/>
      <c r="D298" s="125"/>
      <c r="E298" s="125"/>
      <c r="F298" s="126"/>
      <c r="G298" s="125"/>
      <c r="H298" s="125"/>
      <c r="I298" s="126"/>
      <c r="J298" s="125"/>
      <c r="K298" s="125"/>
    </row>
    <row r="299" spans="1:11" ht="18">
      <c r="A299" s="124"/>
      <c r="B299" s="124"/>
      <c r="C299" s="125"/>
      <c r="D299" s="125"/>
      <c r="E299" s="125"/>
      <c r="F299" s="126"/>
      <c r="G299" s="125"/>
      <c r="H299" s="125"/>
      <c r="I299" s="126"/>
      <c r="J299" s="125"/>
      <c r="K299" s="125"/>
    </row>
    <row r="300" spans="1:11" ht="18">
      <c r="A300" s="124"/>
      <c r="B300" s="124"/>
      <c r="C300" s="125"/>
      <c r="D300" s="125"/>
      <c r="E300" s="125"/>
      <c r="F300" s="126"/>
      <c r="G300" s="125"/>
      <c r="H300" s="125"/>
      <c r="I300" s="126"/>
      <c r="J300" s="125"/>
      <c r="K300" s="125"/>
    </row>
    <row r="301" spans="1:11" ht="18">
      <c r="A301" s="124"/>
      <c r="B301" s="124"/>
      <c r="C301" s="125"/>
      <c r="D301" s="125"/>
      <c r="E301" s="125"/>
      <c r="F301" s="126"/>
      <c r="G301" s="125"/>
      <c r="H301" s="125"/>
      <c r="I301" s="126"/>
      <c r="J301" s="125"/>
      <c r="K301" s="125"/>
    </row>
    <row r="302" spans="1:11" ht="18">
      <c r="A302" s="124"/>
      <c r="B302" s="124"/>
      <c r="C302" s="125"/>
      <c r="D302" s="125"/>
      <c r="E302" s="125"/>
      <c r="F302" s="126"/>
      <c r="G302" s="125"/>
      <c r="H302" s="125"/>
      <c r="I302" s="126"/>
      <c r="J302" s="125"/>
      <c r="K302" s="125"/>
    </row>
    <row r="303" spans="1:11" ht="18">
      <c r="A303" s="124"/>
      <c r="B303" s="124"/>
      <c r="C303" s="125"/>
      <c r="D303" s="125"/>
      <c r="E303" s="125"/>
      <c r="F303" s="126"/>
      <c r="G303" s="125"/>
      <c r="H303" s="125"/>
      <c r="I303" s="126"/>
      <c r="J303" s="125"/>
      <c r="K303" s="125"/>
    </row>
    <row r="304" spans="1:11" ht="18">
      <c r="A304" s="124"/>
      <c r="B304" s="124"/>
      <c r="C304" s="125"/>
      <c r="D304" s="125"/>
      <c r="E304" s="125"/>
      <c r="F304" s="126"/>
      <c r="G304" s="125"/>
      <c r="H304" s="125"/>
      <c r="I304" s="126"/>
      <c r="J304" s="125"/>
      <c r="K304" s="125"/>
    </row>
    <row r="305" spans="1:11" ht="18">
      <c r="A305" s="124"/>
      <c r="B305" s="124"/>
      <c r="C305" s="125"/>
      <c r="D305" s="125"/>
      <c r="E305" s="125"/>
      <c r="F305" s="126"/>
      <c r="G305" s="125"/>
      <c r="H305" s="125"/>
      <c r="I305" s="126"/>
      <c r="J305" s="125"/>
      <c r="K305" s="125"/>
    </row>
    <row r="306" spans="1:11" ht="18">
      <c r="A306" s="124"/>
      <c r="B306" s="124"/>
      <c r="C306" s="125"/>
      <c r="D306" s="125"/>
      <c r="E306" s="125"/>
      <c r="F306" s="126"/>
      <c r="G306" s="125"/>
      <c r="H306" s="125"/>
      <c r="I306" s="126"/>
      <c r="J306" s="125"/>
      <c r="K306" s="125"/>
    </row>
    <row r="307" spans="1:11" ht="18">
      <c r="A307" s="124"/>
      <c r="B307" s="124"/>
      <c r="C307" s="125"/>
      <c r="D307" s="125"/>
      <c r="E307" s="125"/>
      <c r="F307" s="126"/>
      <c r="G307" s="125"/>
      <c r="H307" s="125"/>
      <c r="I307" s="126"/>
      <c r="J307" s="125"/>
      <c r="K307" s="125"/>
    </row>
    <row r="308" spans="1:11" ht="18">
      <c r="A308" s="124"/>
      <c r="B308" s="124"/>
      <c r="C308" s="125"/>
      <c r="D308" s="125"/>
      <c r="E308" s="125"/>
      <c r="F308" s="126"/>
      <c r="G308" s="125"/>
      <c r="H308" s="125"/>
      <c r="I308" s="126"/>
      <c r="J308" s="125"/>
      <c r="K308" s="125"/>
    </row>
    <row r="309" spans="1:11" ht="18">
      <c r="A309" s="124"/>
      <c r="B309" s="124"/>
      <c r="C309" s="125"/>
      <c r="D309" s="125"/>
      <c r="E309" s="125"/>
      <c r="F309" s="126"/>
      <c r="G309" s="125"/>
      <c r="H309" s="125"/>
      <c r="I309" s="126"/>
      <c r="J309" s="125"/>
      <c r="K309" s="125"/>
    </row>
    <row r="310" spans="1:11" ht="18">
      <c r="A310" s="124"/>
      <c r="B310" s="124"/>
      <c r="C310" s="125"/>
      <c r="D310" s="125"/>
      <c r="E310" s="125"/>
      <c r="F310" s="126"/>
      <c r="G310" s="125"/>
      <c r="H310" s="125"/>
      <c r="I310" s="126"/>
      <c r="J310" s="125"/>
      <c r="K310" s="125"/>
    </row>
    <row r="311" spans="1:11" ht="18">
      <c r="A311" s="124"/>
      <c r="B311" s="124"/>
      <c r="C311" s="125"/>
      <c r="D311" s="125"/>
      <c r="E311" s="125"/>
      <c r="F311" s="126"/>
      <c r="G311" s="125"/>
      <c r="H311" s="125"/>
      <c r="I311" s="126"/>
      <c r="J311" s="125"/>
      <c r="K311" s="125"/>
    </row>
    <row r="312" spans="1:11" ht="18">
      <c r="A312" s="124"/>
      <c r="B312" s="124"/>
      <c r="C312" s="125"/>
      <c r="D312" s="125"/>
      <c r="E312" s="125"/>
      <c r="F312" s="126"/>
      <c r="G312" s="125"/>
      <c r="H312" s="125"/>
      <c r="I312" s="126"/>
      <c r="J312" s="125"/>
      <c r="K312" s="125"/>
    </row>
    <row r="313" spans="1:11" ht="18">
      <c r="A313" s="124"/>
      <c r="B313" s="124"/>
      <c r="C313" s="125"/>
      <c r="D313" s="125"/>
      <c r="E313" s="125"/>
      <c r="F313" s="126"/>
      <c r="G313" s="125"/>
      <c r="H313" s="125"/>
      <c r="I313" s="126"/>
      <c r="J313" s="125"/>
      <c r="K313" s="125"/>
    </row>
    <row r="314" spans="1:11" ht="18">
      <c r="A314" s="124"/>
      <c r="B314" s="124"/>
      <c r="C314" s="125"/>
      <c r="D314" s="125"/>
      <c r="E314" s="125"/>
      <c r="F314" s="126"/>
      <c r="G314" s="125"/>
      <c r="H314" s="125"/>
      <c r="I314" s="126"/>
      <c r="J314" s="125"/>
      <c r="K314" s="125"/>
    </row>
    <row r="315" spans="1:11" ht="18">
      <c r="A315" s="124"/>
      <c r="B315" s="124"/>
      <c r="C315" s="125"/>
      <c r="D315" s="125"/>
      <c r="E315" s="125"/>
      <c r="F315" s="126"/>
      <c r="G315" s="125"/>
      <c r="H315" s="125"/>
      <c r="I315" s="126"/>
      <c r="J315" s="125"/>
      <c r="K315" s="125"/>
    </row>
    <row r="316" spans="1:11" ht="18">
      <c r="A316" s="124"/>
      <c r="B316" s="124"/>
      <c r="C316" s="125"/>
      <c r="D316" s="125"/>
      <c r="E316" s="125"/>
      <c r="F316" s="126"/>
      <c r="G316" s="125"/>
      <c r="H316" s="125"/>
      <c r="I316" s="126"/>
      <c r="J316" s="125"/>
      <c r="K316" s="125"/>
    </row>
    <row r="317" spans="1:11" ht="18">
      <c r="A317" s="124"/>
      <c r="B317" s="124"/>
      <c r="C317" s="125"/>
      <c r="D317" s="125"/>
      <c r="E317" s="125"/>
      <c r="F317" s="126"/>
      <c r="G317" s="125"/>
      <c r="H317" s="125"/>
      <c r="I317" s="126"/>
      <c r="J317" s="125"/>
      <c r="K317" s="125"/>
    </row>
    <row r="318" spans="1:11" ht="18">
      <c r="A318" s="124"/>
      <c r="B318" s="124"/>
      <c r="C318" s="125"/>
      <c r="D318" s="125"/>
      <c r="E318" s="125"/>
      <c r="F318" s="126"/>
      <c r="G318" s="125"/>
      <c r="H318" s="125"/>
      <c r="I318" s="126"/>
      <c r="J318" s="125"/>
      <c r="K318" s="125"/>
    </row>
    <row r="319" spans="1:11" ht="18">
      <c r="A319" s="124"/>
      <c r="B319" s="124"/>
      <c r="C319" s="125"/>
      <c r="D319" s="125"/>
      <c r="E319" s="125"/>
      <c r="F319" s="126"/>
      <c r="G319" s="125"/>
      <c r="H319" s="125"/>
      <c r="I319" s="126"/>
      <c r="J319" s="125"/>
      <c r="K319" s="125"/>
    </row>
    <row r="320" spans="1:11" ht="18">
      <c r="A320" s="124"/>
      <c r="B320" s="124"/>
      <c r="C320" s="125"/>
      <c r="D320" s="125"/>
      <c r="E320" s="125"/>
      <c r="F320" s="126"/>
      <c r="G320" s="125"/>
      <c r="H320" s="125"/>
      <c r="I320" s="126"/>
      <c r="J320" s="125"/>
      <c r="K320" s="125"/>
    </row>
    <row r="321" spans="1:11" ht="18">
      <c r="A321" s="124"/>
      <c r="B321" s="124"/>
      <c r="C321" s="125"/>
      <c r="D321" s="125"/>
      <c r="E321" s="125"/>
      <c r="F321" s="126"/>
      <c r="G321" s="125"/>
      <c r="H321" s="125"/>
      <c r="I321" s="126"/>
      <c r="J321" s="125"/>
      <c r="K321" s="125"/>
    </row>
    <row r="322" spans="1:11" ht="18">
      <c r="A322" s="124"/>
      <c r="B322" s="124"/>
      <c r="C322" s="125"/>
      <c r="D322" s="125"/>
      <c r="E322" s="125"/>
      <c r="F322" s="126"/>
      <c r="G322" s="125"/>
      <c r="H322" s="125"/>
      <c r="I322" s="126"/>
      <c r="J322" s="125"/>
      <c r="K322" s="125"/>
    </row>
    <row r="323" spans="1:11" ht="18">
      <c r="A323" s="124"/>
      <c r="B323" s="124"/>
      <c r="C323" s="125"/>
      <c r="D323" s="125"/>
      <c r="E323" s="125"/>
      <c r="F323" s="126"/>
      <c r="G323" s="125"/>
      <c r="H323" s="125"/>
      <c r="I323" s="126"/>
      <c r="J323" s="125"/>
      <c r="K323" s="125"/>
    </row>
    <row r="324" spans="1:11" ht="18">
      <c r="A324" s="124"/>
      <c r="B324" s="124"/>
      <c r="C324" s="125"/>
      <c r="D324" s="125"/>
      <c r="E324" s="125"/>
      <c r="F324" s="126"/>
      <c r="G324" s="125"/>
      <c r="H324" s="125"/>
      <c r="I324" s="126"/>
      <c r="J324" s="125"/>
      <c r="K324" s="125"/>
    </row>
    <row r="325" spans="1:11" ht="18">
      <c r="A325" s="124"/>
      <c r="B325" s="124"/>
      <c r="C325" s="125"/>
      <c r="D325" s="125"/>
      <c r="E325" s="125"/>
      <c r="F325" s="126"/>
      <c r="G325" s="125"/>
      <c r="H325" s="125"/>
      <c r="I325" s="126"/>
      <c r="J325" s="125"/>
      <c r="K325" s="125"/>
    </row>
    <row r="326" spans="1:11" ht="18">
      <c r="A326" s="124"/>
      <c r="B326" s="124"/>
      <c r="C326" s="125"/>
      <c r="D326" s="125"/>
      <c r="E326" s="125"/>
      <c r="F326" s="126"/>
      <c r="G326" s="125"/>
      <c r="H326" s="125"/>
      <c r="I326" s="126"/>
      <c r="J326" s="125"/>
      <c r="K326" s="125"/>
    </row>
    <row r="327" spans="1:11" ht="18">
      <c r="A327" s="124"/>
      <c r="B327" s="124"/>
      <c r="C327" s="125"/>
      <c r="D327" s="125"/>
      <c r="E327" s="125"/>
      <c r="F327" s="126"/>
      <c r="G327" s="125"/>
      <c r="H327" s="125"/>
      <c r="I327" s="126"/>
      <c r="J327" s="125"/>
      <c r="K327" s="125"/>
    </row>
    <row r="328" spans="1:11" ht="18">
      <c r="C328" s="125"/>
      <c r="D328" s="125"/>
      <c r="E328" s="125"/>
      <c r="F328" s="126"/>
      <c r="G328" s="125"/>
      <c r="H328" s="125"/>
      <c r="I328" s="126"/>
      <c r="J328" s="125"/>
      <c r="K328" s="125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4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6">
      <c r="B1" s="235" t="str" cm="1">
        <f t="array" ref="B1">portfolio</f>
        <v>Wells Fargo</v>
      </c>
      <c r="C1" s="235"/>
      <c r="D1" s="235"/>
      <c r="E1" s="236" t="s">
        <v>117</v>
      </c>
      <c r="F1" s="236"/>
      <c r="G1" s="236"/>
      <c r="H1" s="234" t="s">
        <v>118</v>
      </c>
      <c r="I1" s="234"/>
      <c r="J1" s="234"/>
      <c r="K1" t="s">
        <v>116</v>
      </c>
      <c r="L1" s="3"/>
    </row>
    <row r="2" spans="1:20" ht="15.6">
      <c r="B2" s="245" t="s">
        <v>2</v>
      </c>
      <c r="C2" s="245"/>
      <c r="D2" s="4">
        <f>SUM(D4:D91)</f>
        <v>0</v>
      </c>
      <c r="E2" s="4">
        <f>SUM(E4:E91)</f>
        <v>0</v>
      </c>
      <c r="F2" s="4">
        <f>D2-E2</f>
        <v>0</v>
      </c>
      <c r="G2" s="5">
        <f>IFERROR(F2/E2, 0)</f>
        <v>0</v>
      </c>
      <c r="H2" s="4">
        <f>SUM(H4:H91)</f>
        <v>0</v>
      </c>
      <c r="I2" s="6">
        <f>D2-H2</f>
        <v>0</v>
      </c>
      <c r="J2" s="5">
        <f>IFERROR(I2/H2, 0)</f>
        <v>0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6">
      <c r="B3" s="24" t="s">
        <v>3</v>
      </c>
      <c r="C3" s="24" t="s">
        <v>11</v>
      </c>
      <c r="D3" s="184" t="s">
        <v>4</v>
      </c>
      <c r="E3" s="185" t="s">
        <v>5</v>
      </c>
      <c r="F3" s="185" t="s">
        <v>6</v>
      </c>
      <c r="G3" s="186" t="s">
        <v>7</v>
      </c>
      <c r="H3" s="187" t="s">
        <v>8</v>
      </c>
      <c r="I3" s="188" t="s">
        <v>6</v>
      </c>
      <c r="J3" s="189" t="s">
        <v>7</v>
      </c>
      <c r="K3" s="190" t="s">
        <v>20</v>
      </c>
      <c r="L3" s="190" t="s">
        <v>21</v>
      </c>
    </row>
    <row r="4" spans="1:20" ht="15.6">
      <c r="A4">
        <v>1</v>
      </c>
      <c r="B4" s="146" t="str" cm="1">
        <f t="array" ref="B4:B90">Sites[Site]</f>
        <v>Adams &amp; Broadway</v>
      </c>
      <c r="C4" s="147"/>
      <c r="D4" s="148"/>
      <c r="E4" s="149"/>
      <c r="F4" s="149" t="str">
        <f t="shared" ref="F4:F7" si="0">IF(AND(ISNUMBER(D4),ISNUMBER(E4)), D4-E4, "")</f>
        <v/>
      </c>
      <c r="G4" s="150"/>
      <c r="H4" s="151"/>
      <c r="I4" s="151" t="str">
        <f t="shared" ref="I4:I7" si="1">IF(AND(ISNUMBER(D4),ISNUMBER(H4)), D4-H4, "")</f>
        <v/>
      </c>
      <c r="J4" s="150"/>
      <c r="K4" s="152"/>
      <c r="L4" s="152"/>
      <c r="M4" s="153"/>
      <c r="N4" s="153"/>
      <c r="O4" s="63"/>
      <c r="P4" s="63"/>
      <c r="Q4" s="63"/>
      <c r="R4" s="63"/>
      <c r="S4" s="63"/>
      <c r="T4" s="63"/>
    </row>
    <row r="5" spans="1:20" ht="15.6">
      <c r="A5">
        <f>A4+1</f>
        <v>2</v>
      </c>
      <c r="B5" s="154" t="str">
        <v>Otay Mesa</v>
      </c>
      <c r="C5" s="147"/>
      <c r="D5" s="148"/>
      <c r="E5" s="149"/>
      <c r="F5" s="149" t="str">
        <f t="shared" si="0"/>
        <v/>
      </c>
      <c r="G5" s="150"/>
      <c r="H5" s="155"/>
      <c r="I5" s="151" t="str">
        <f t="shared" si="1"/>
        <v/>
      </c>
      <c r="J5" s="150"/>
      <c r="K5" s="156"/>
      <c r="L5" s="157"/>
      <c r="M5" s="153"/>
      <c r="N5" s="153"/>
      <c r="O5" s="63"/>
      <c r="P5" s="63"/>
      <c r="Q5" s="63"/>
      <c r="R5" s="63"/>
      <c r="S5" s="63"/>
      <c r="T5" s="63"/>
    </row>
    <row r="6" spans="1:20" ht="15.6">
      <c r="A6">
        <f t="shared" ref="A6:A69" si="2">A5+1</f>
        <v>3</v>
      </c>
      <c r="B6" s="154" t="str">
        <v>San Leandro</v>
      </c>
      <c r="C6" s="147"/>
      <c r="D6" s="148"/>
      <c r="E6" s="149"/>
      <c r="F6" s="149" t="str">
        <f t="shared" si="0"/>
        <v/>
      </c>
      <c r="G6" s="150"/>
      <c r="H6" s="151"/>
      <c r="I6" s="151" t="str">
        <f t="shared" si="1"/>
        <v/>
      </c>
      <c r="J6" s="150"/>
      <c r="K6" s="158"/>
      <c r="L6" s="159"/>
      <c r="M6" s="153"/>
      <c r="N6" s="153"/>
      <c r="O6" s="63"/>
      <c r="P6" s="63"/>
      <c r="Q6" s="63"/>
      <c r="R6" s="63"/>
      <c r="S6" s="63"/>
      <c r="T6" s="63"/>
    </row>
    <row r="7" spans="1:20" ht="15.6">
      <c r="A7">
        <f t="shared" si="2"/>
        <v>4</v>
      </c>
      <c r="B7" s="154" t="str">
        <v>Van Nuys</v>
      </c>
      <c r="C7" s="147"/>
      <c r="D7" s="148"/>
      <c r="E7" s="149"/>
      <c r="F7" s="149" t="str">
        <f t="shared" si="0"/>
        <v/>
      </c>
      <c r="G7" s="150"/>
      <c r="H7" s="151"/>
      <c r="I7" s="151" t="str">
        <f t="shared" si="1"/>
        <v/>
      </c>
      <c r="J7" s="150"/>
      <c r="K7" s="157"/>
      <c r="L7" s="157"/>
      <c r="M7" s="153"/>
      <c r="N7" s="153"/>
      <c r="O7" s="63"/>
      <c r="P7" s="63"/>
      <c r="Q7" s="63"/>
      <c r="R7" s="63"/>
      <c r="S7" s="63"/>
      <c r="T7" s="63"/>
    </row>
    <row r="8" spans="1:20" ht="15.6">
      <c r="A8">
        <f t="shared" si="2"/>
        <v>5</v>
      </c>
      <c r="B8" s="154" t="str">
        <v>Lodi - Lodi Vineyard</v>
      </c>
      <c r="C8" s="147"/>
      <c r="D8" s="148"/>
      <c r="E8" s="149"/>
      <c r="F8" s="149"/>
      <c r="G8" s="150"/>
      <c r="H8" s="151"/>
      <c r="I8" s="151"/>
      <c r="J8" s="150"/>
      <c r="K8" s="152"/>
      <c r="L8" s="152"/>
      <c r="M8" s="153"/>
      <c r="N8" s="153"/>
      <c r="O8" s="63"/>
      <c r="P8" s="63"/>
      <c r="Q8" s="63"/>
      <c r="R8" s="63"/>
      <c r="S8" s="63"/>
      <c r="T8" s="63"/>
    </row>
    <row r="9" spans="1:20" ht="15.6">
      <c r="A9">
        <f t="shared" si="2"/>
        <v>6</v>
      </c>
      <c r="B9" s="154" t="str">
        <v>Arden Fair Mall</v>
      </c>
      <c r="C9" s="147"/>
      <c r="D9" s="148"/>
      <c r="E9" s="149"/>
      <c r="F9" s="149"/>
      <c r="G9" s="150"/>
      <c r="H9" s="151"/>
      <c r="I9" s="151"/>
      <c r="J9" s="150"/>
      <c r="K9" s="157"/>
      <c r="L9" s="159"/>
      <c r="M9" s="153"/>
      <c r="N9" s="153"/>
      <c r="O9" s="63"/>
      <c r="P9" s="63"/>
      <c r="Q9" s="63"/>
      <c r="R9" s="63"/>
      <c r="S9" s="63"/>
      <c r="T9" s="63"/>
    </row>
    <row r="10" spans="1:20" ht="15.6">
      <c r="A10">
        <f t="shared" si="2"/>
        <v>7</v>
      </c>
      <c r="B10" s="154" t="str">
        <v>Modesto - Modesto Main</v>
      </c>
      <c r="C10" s="147"/>
      <c r="D10" s="148"/>
      <c r="E10" s="149"/>
      <c r="F10" s="149"/>
      <c r="G10" s="150"/>
      <c r="H10" s="151"/>
      <c r="I10" s="151"/>
      <c r="J10" s="150"/>
      <c r="K10" s="152"/>
      <c r="L10" s="159"/>
      <c r="M10" s="153"/>
      <c r="N10" s="153"/>
      <c r="O10" s="63"/>
      <c r="P10" s="63"/>
      <c r="Q10" s="63"/>
      <c r="R10" s="63"/>
      <c r="S10" s="63"/>
      <c r="T10" s="63"/>
    </row>
    <row r="11" spans="1:20" ht="15.6">
      <c r="A11">
        <f t="shared" si="2"/>
        <v>8</v>
      </c>
      <c r="B11" s="154" t="str">
        <v>Stevens Creek</v>
      </c>
      <c r="C11" s="147"/>
      <c r="D11" s="148"/>
      <c r="E11" s="149"/>
      <c r="F11" s="149"/>
      <c r="G11" s="150"/>
      <c r="H11" s="151"/>
      <c r="I11" s="151"/>
      <c r="J11" s="150"/>
      <c r="K11" s="157"/>
      <c r="L11" s="157"/>
      <c r="M11" s="153"/>
      <c r="N11" s="153"/>
      <c r="O11" s="63"/>
      <c r="P11" s="63"/>
      <c r="Q11" s="63"/>
      <c r="R11" s="63"/>
      <c r="S11" s="63"/>
      <c r="T11" s="63"/>
    </row>
    <row r="12" spans="1:20" ht="15.6">
      <c r="A12">
        <f t="shared" si="2"/>
        <v>9</v>
      </c>
      <c r="B12" s="154" t="str">
        <v>Covina Main</v>
      </c>
      <c r="C12" s="147"/>
      <c r="D12" s="148"/>
      <c r="E12" s="149"/>
      <c r="F12" s="149"/>
      <c r="G12" s="150"/>
      <c r="H12" s="151"/>
      <c r="I12" s="151"/>
      <c r="J12" s="150"/>
      <c r="K12" s="152"/>
      <c r="L12" s="152"/>
      <c r="M12" s="153"/>
      <c r="N12" s="153"/>
      <c r="O12" s="63"/>
      <c r="P12" s="63"/>
      <c r="Q12" s="63"/>
      <c r="R12" s="63"/>
      <c r="S12" s="63"/>
      <c r="T12" s="63"/>
    </row>
    <row r="13" spans="1:20" ht="15.6">
      <c r="A13">
        <f t="shared" si="2"/>
        <v>10</v>
      </c>
      <c r="B13" s="154" t="str">
        <v>Old Ranch Town Center</v>
      </c>
      <c r="C13" s="147"/>
      <c r="D13" s="148"/>
      <c r="E13" s="149"/>
      <c r="F13" s="149"/>
      <c r="G13" s="150"/>
      <c r="H13" s="151"/>
      <c r="I13" s="151"/>
      <c r="J13" s="150"/>
      <c r="K13" s="157"/>
      <c r="L13" s="159"/>
      <c r="M13" s="153"/>
      <c r="N13" s="153"/>
      <c r="O13" s="63"/>
      <c r="P13" s="63"/>
      <c r="Q13" s="63"/>
      <c r="R13" s="63"/>
      <c r="S13" s="63"/>
      <c r="T13" s="63"/>
    </row>
    <row r="14" spans="1:20" ht="15.6">
      <c r="A14">
        <f t="shared" si="2"/>
        <v>11</v>
      </c>
      <c r="B14" s="154" t="str">
        <v>Mountain Gate Plaza</v>
      </c>
      <c r="C14" s="147"/>
      <c r="D14" s="148"/>
      <c r="E14" s="149"/>
      <c r="F14" s="149"/>
      <c r="G14" s="150"/>
      <c r="H14" s="151"/>
      <c r="I14" s="151"/>
      <c r="J14" s="150"/>
      <c r="K14" s="152"/>
      <c r="L14" s="159"/>
      <c r="M14" s="153"/>
      <c r="N14" s="153"/>
      <c r="O14" s="63"/>
      <c r="P14" s="63"/>
      <c r="Q14" s="63"/>
      <c r="R14" s="63"/>
      <c r="S14" s="63"/>
      <c r="T14" s="63"/>
    </row>
    <row r="15" spans="1:20" ht="15.6">
      <c r="A15">
        <f t="shared" si="2"/>
        <v>12</v>
      </c>
      <c r="B15" s="154" t="str">
        <v>Arcadia Main</v>
      </c>
      <c r="C15" s="147"/>
      <c r="D15" s="148"/>
      <c r="E15" s="149"/>
      <c r="F15" s="149"/>
      <c r="G15" s="150"/>
      <c r="H15" s="151"/>
      <c r="I15" s="151"/>
      <c r="J15" s="150"/>
      <c r="K15" s="157"/>
      <c r="L15" s="157"/>
      <c r="M15" s="153"/>
      <c r="N15" s="153"/>
      <c r="O15" s="63"/>
      <c r="P15" s="63"/>
      <c r="Q15" s="63"/>
      <c r="R15" s="63"/>
      <c r="S15" s="63"/>
      <c r="T15" s="63"/>
    </row>
    <row r="16" spans="1:20" ht="15.6">
      <c r="A16" s="141">
        <f t="shared" si="2"/>
        <v>13</v>
      </c>
      <c r="B16" s="160" t="str">
        <v>Fairfield</v>
      </c>
      <c r="C16" s="161"/>
      <c r="D16" s="162"/>
      <c r="E16" s="163"/>
      <c r="F16" s="163"/>
      <c r="G16" s="164"/>
      <c r="H16" s="165"/>
      <c r="I16" s="165"/>
      <c r="J16" s="164"/>
      <c r="K16" s="166"/>
      <c r="L16" s="167"/>
      <c r="M16" s="153"/>
      <c r="N16" s="153"/>
      <c r="O16" s="63"/>
      <c r="P16" s="63"/>
      <c r="Q16" s="63"/>
      <c r="R16" s="63"/>
      <c r="S16" s="63"/>
      <c r="T16" s="63"/>
    </row>
    <row r="17" spans="1:20" ht="15.6">
      <c r="A17">
        <f t="shared" si="2"/>
        <v>14</v>
      </c>
      <c r="B17" s="154" t="str">
        <v>Los Gatos</v>
      </c>
      <c r="C17" s="147"/>
      <c r="D17" s="148"/>
      <c r="E17" s="149"/>
      <c r="F17" s="149"/>
      <c r="G17" s="150"/>
      <c r="H17" s="151"/>
      <c r="I17" s="151"/>
      <c r="J17" s="150"/>
      <c r="K17" s="157"/>
      <c r="L17" s="157"/>
      <c r="M17" s="153"/>
      <c r="N17" s="153"/>
      <c r="O17" s="63"/>
      <c r="P17" s="63"/>
      <c r="Q17" s="63"/>
      <c r="R17" s="63"/>
      <c r="S17" s="63"/>
      <c r="T17" s="63"/>
    </row>
    <row r="18" spans="1:20" ht="15.6">
      <c r="A18">
        <f t="shared" si="2"/>
        <v>15</v>
      </c>
      <c r="B18" s="154" t="str">
        <v>San Marino</v>
      </c>
      <c r="C18" s="147"/>
      <c r="D18" s="148"/>
      <c r="E18" s="149"/>
      <c r="F18" s="149"/>
      <c r="G18" s="150"/>
      <c r="H18" s="151"/>
      <c r="I18" s="151"/>
      <c r="J18" s="150"/>
      <c r="K18" s="152"/>
      <c r="L18" s="159"/>
      <c r="M18" s="153"/>
      <c r="N18" s="153"/>
      <c r="O18" s="63"/>
      <c r="P18" s="63"/>
      <c r="Q18" s="63"/>
      <c r="R18" s="63"/>
      <c r="S18" s="63"/>
      <c r="T18" s="63"/>
    </row>
    <row r="19" spans="1:20" ht="15.6">
      <c r="A19">
        <f t="shared" si="2"/>
        <v>16</v>
      </c>
      <c r="B19" s="154" t="str">
        <v>Buenaventura</v>
      </c>
      <c r="C19" s="147"/>
      <c r="D19" s="148"/>
      <c r="E19" s="149"/>
      <c r="F19" s="149"/>
      <c r="G19" s="150"/>
      <c r="H19" s="151"/>
      <c r="I19" s="151"/>
      <c r="J19" s="150"/>
      <c r="K19" s="157"/>
      <c r="L19" s="159"/>
      <c r="M19" s="168"/>
      <c r="N19" s="153"/>
      <c r="O19" s="63"/>
      <c r="P19" s="63"/>
      <c r="Q19" s="63"/>
      <c r="R19" s="63"/>
      <c r="S19" s="63"/>
      <c r="T19" s="63"/>
    </row>
    <row r="20" spans="1:20" ht="15.6">
      <c r="A20" s="141">
        <f t="shared" si="2"/>
        <v>17</v>
      </c>
      <c r="B20" s="160" t="str">
        <v>BE 199502 - Westgate</v>
      </c>
      <c r="C20" s="161"/>
      <c r="D20" s="162"/>
      <c r="E20" s="163"/>
      <c r="F20" s="163"/>
      <c r="G20" s="164"/>
      <c r="H20" s="165"/>
      <c r="I20" s="165"/>
      <c r="J20" s="164"/>
      <c r="K20" s="166"/>
      <c r="L20" s="167"/>
      <c r="M20" s="168"/>
      <c r="N20" s="153"/>
      <c r="O20" s="63"/>
      <c r="P20" s="63"/>
      <c r="Q20" s="63"/>
      <c r="R20" s="63"/>
      <c r="S20" s="63"/>
      <c r="T20" s="63"/>
    </row>
    <row r="21" spans="1:20" ht="15.6">
      <c r="A21">
        <f t="shared" si="2"/>
        <v>18</v>
      </c>
      <c r="B21" s="154" t="str">
        <v>98th &amp; Grant</v>
      </c>
      <c r="C21" s="147"/>
      <c r="D21" s="148"/>
      <c r="E21" s="149"/>
      <c r="F21" s="149"/>
      <c r="G21" s="150"/>
      <c r="H21" s="151"/>
      <c r="I21" s="151"/>
      <c r="J21" s="150"/>
      <c r="K21" s="157"/>
      <c r="L21" s="157"/>
      <c r="M21" s="153"/>
      <c r="N21" s="153"/>
      <c r="O21" s="63"/>
      <c r="P21" s="63"/>
      <c r="Q21" s="63"/>
      <c r="R21" s="63"/>
      <c r="S21" s="63"/>
      <c r="T21" s="63"/>
    </row>
    <row r="22" spans="1:20" ht="72" customHeight="1">
      <c r="A22" s="141">
        <f t="shared" si="2"/>
        <v>19</v>
      </c>
      <c r="B22" s="160" t="str">
        <v>Arapahoe Crossings</v>
      </c>
      <c r="C22" s="161"/>
      <c r="D22" s="162"/>
      <c r="E22" s="163"/>
      <c r="F22" s="163"/>
      <c r="G22" s="164"/>
      <c r="H22" s="165"/>
      <c r="I22" s="165"/>
      <c r="J22" s="164"/>
      <c r="K22" s="166"/>
      <c r="L22" s="167"/>
      <c r="M22" s="168"/>
      <c r="N22" s="153"/>
      <c r="O22" s="63"/>
      <c r="P22" s="63"/>
      <c r="Q22" s="63"/>
      <c r="R22" s="63"/>
      <c r="S22" s="63"/>
      <c r="T22" s="63"/>
    </row>
    <row r="23" spans="1:20" ht="15.6">
      <c r="A23">
        <f t="shared" si="2"/>
        <v>20</v>
      </c>
      <c r="B23" s="160" t="str">
        <v>Aurora City Center</v>
      </c>
      <c r="C23" s="161"/>
      <c r="D23" s="162"/>
      <c r="E23" s="163"/>
      <c r="F23" s="163"/>
      <c r="G23" s="164"/>
      <c r="H23" s="165"/>
      <c r="I23" s="165"/>
      <c r="J23" s="164"/>
      <c r="K23" s="169"/>
      <c r="L23" s="167"/>
      <c r="M23" s="153"/>
      <c r="N23" s="153"/>
      <c r="O23" s="63"/>
      <c r="P23" s="63"/>
      <c r="Q23" s="63"/>
      <c r="R23" s="63"/>
      <c r="S23" s="63"/>
      <c r="T23" s="63"/>
    </row>
    <row r="24" spans="1:20" ht="15.6">
      <c r="A24">
        <f t="shared" si="2"/>
        <v>21</v>
      </c>
      <c r="B24" s="154" t="str">
        <v>Dry Creek</v>
      </c>
      <c r="C24" s="147"/>
      <c r="D24" s="148"/>
      <c r="E24" s="149"/>
      <c r="F24" s="149"/>
      <c r="G24" s="150"/>
      <c r="H24" s="151"/>
      <c r="I24" s="151"/>
      <c r="J24" s="150"/>
      <c r="K24" s="152"/>
      <c r="L24" s="152"/>
      <c r="M24" s="153"/>
      <c r="N24" s="153"/>
      <c r="O24" s="63"/>
      <c r="P24" s="63"/>
      <c r="Q24" s="63"/>
      <c r="R24" s="63"/>
      <c r="S24" s="63"/>
      <c r="T24" s="63"/>
    </row>
    <row r="25" spans="1:20" ht="15.6">
      <c r="A25">
        <f t="shared" si="2"/>
        <v>22</v>
      </c>
      <c r="B25" s="154" t="str">
        <v>Highlands Ranch S.</v>
      </c>
      <c r="C25" s="147"/>
      <c r="D25" s="148"/>
      <c r="E25" s="149"/>
      <c r="F25" s="149"/>
      <c r="G25" s="150"/>
      <c r="H25" s="151"/>
      <c r="I25" s="151"/>
      <c r="J25" s="150"/>
      <c r="K25" s="170"/>
      <c r="L25" s="170"/>
      <c r="M25" s="153"/>
      <c r="N25" s="153"/>
      <c r="O25" s="63"/>
      <c r="P25" s="63"/>
      <c r="Q25" s="63"/>
      <c r="R25" s="63"/>
      <c r="S25" s="63"/>
      <c r="T25" s="63"/>
    </row>
    <row r="26" spans="1:20" ht="15.6">
      <c r="A26">
        <f t="shared" si="2"/>
        <v>23</v>
      </c>
      <c r="B26" s="154" t="str">
        <v>Lone Tree</v>
      </c>
      <c r="C26" s="147"/>
      <c r="D26" s="148"/>
      <c r="E26" s="149"/>
      <c r="F26" s="149"/>
      <c r="G26" s="150"/>
      <c r="H26" s="151"/>
      <c r="I26" s="151"/>
      <c r="J26" s="150"/>
      <c r="K26" s="152"/>
      <c r="L26" s="152"/>
      <c r="M26" s="153"/>
      <c r="N26" s="153"/>
      <c r="O26" s="63"/>
      <c r="P26" s="63"/>
      <c r="Q26" s="63"/>
      <c r="R26" s="63"/>
      <c r="S26" s="63"/>
      <c r="T26" s="63"/>
    </row>
    <row r="27" spans="1:20" ht="15.6">
      <c r="A27">
        <f t="shared" si="2"/>
        <v>24</v>
      </c>
      <c r="B27" s="154" t="str">
        <v>Meridian</v>
      </c>
      <c r="C27" s="147"/>
      <c r="D27" s="148"/>
      <c r="E27" s="149"/>
      <c r="F27" s="149"/>
      <c r="G27" s="150"/>
      <c r="H27" s="151"/>
      <c r="I27" s="151"/>
      <c r="J27" s="150"/>
      <c r="K27" s="157"/>
      <c r="L27" s="157"/>
      <c r="M27" s="153"/>
      <c r="N27" s="153"/>
      <c r="O27" s="63"/>
      <c r="P27" s="63"/>
      <c r="Q27" s="63"/>
      <c r="R27" s="63"/>
      <c r="S27" s="63"/>
      <c r="T27" s="63"/>
    </row>
    <row r="28" spans="1:20" ht="15.6">
      <c r="A28">
        <f t="shared" si="2"/>
        <v>25</v>
      </c>
      <c r="B28" s="154" t="str">
        <v>Southglenn</v>
      </c>
      <c r="C28" s="147"/>
      <c r="D28" s="148"/>
      <c r="E28" s="149"/>
      <c r="F28" s="149"/>
      <c r="G28" s="150"/>
      <c r="H28" s="151"/>
      <c r="I28" s="151"/>
      <c r="J28" s="150"/>
      <c r="K28" s="152"/>
      <c r="L28" s="152"/>
      <c r="M28" s="153"/>
      <c r="N28" s="153"/>
      <c r="O28" s="63"/>
      <c r="P28" s="63"/>
      <c r="Q28" s="63"/>
      <c r="R28" s="63"/>
      <c r="S28" s="63"/>
      <c r="T28" s="63"/>
    </row>
    <row r="29" spans="1:20" ht="15.6">
      <c r="A29">
        <f t="shared" si="2"/>
        <v>26</v>
      </c>
      <c r="B29" s="154" t="str">
        <v>Standley Lake</v>
      </c>
      <c r="C29" s="147"/>
      <c r="D29" s="148"/>
      <c r="E29" s="149"/>
      <c r="F29" s="149"/>
      <c r="G29" s="150"/>
      <c r="H29" s="151"/>
      <c r="I29" s="151"/>
      <c r="J29" s="150"/>
      <c r="K29" s="157"/>
      <c r="L29" s="157"/>
      <c r="M29" s="153"/>
      <c r="N29" s="153"/>
      <c r="O29" s="63"/>
      <c r="P29" s="63"/>
      <c r="Q29" s="63"/>
      <c r="R29" s="63"/>
      <c r="S29" s="63"/>
      <c r="T29" s="63"/>
    </row>
    <row r="30" spans="1:20" ht="15.6">
      <c r="A30">
        <f t="shared" si="2"/>
        <v>27</v>
      </c>
      <c r="B30" s="154" t="str">
        <v>Havana Gardens</v>
      </c>
      <c r="C30" s="147"/>
      <c r="D30" s="148"/>
      <c r="E30" s="149"/>
      <c r="F30" s="149"/>
      <c r="G30" s="150"/>
      <c r="H30" s="151"/>
      <c r="I30" s="151"/>
      <c r="J30" s="150"/>
      <c r="K30" s="152"/>
      <c r="L30" s="152"/>
      <c r="M30" s="153"/>
      <c r="N30" s="153"/>
      <c r="O30" s="63"/>
      <c r="P30" s="63"/>
      <c r="Q30" s="63"/>
      <c r="R30" s="63"/>
      <c r="S30" s="63"/>
      <c r="T30" s="63"/>
    </row>
    <row r="31" spans="1:20" ht="15.6">
      <c r="A31">
        <f t="shared" si="2"/>
        <v>28</v>
      </c>
      <c r="B31" s="154" t="str">
        <v>East Hartford</v>
      </c>
      <c r="C31" s="147"/>
      <c r="D31" s="148"/>
      <c r="E31" s="149"/>
      <c r="F31" s="149"/>
      <c r="G31" s="150"/>
      <c r="H31" s="151"/>
      <c r="I31" s="151"/>
      <c r="J31" s="150"/>
      <c r="L31" s="157"/>
      <c r="M31" s="153"/>
      <c r="N31" s="153"/>
      <c r="O31" s="63"/>
      <c r="P31" s="63"/>
      <c r="Q31" s="63"/>
      <c r="R31" s="63"/>
      <c r="S31" s="63"/>
      <c r="T31" s="63"/>
    </row>
    <row r="32" spans="1:20" ht="15.6">
      <c r="A32">
        <f t="shared" si="2"/>
        <v>29</v>
      </c>
      <c r="B32" s="154" t="str">
        <v>Norwalk</v>
      </c>
      <c r="C32" s="147"/>
      <c r="D32" s="148"/>
      <c r="E32" s="149"/>
      <c r="F32" s="149"/>
      <c r="G32" s="150"/>
      <c r="H32" s="151"/>
      <c r="I32" s="151"/>
      <c r="J32" s="150"/>
      <c r="K32" s="157"/>
      <c r="L32" s="152"/>
      <c r="M32" s="153"/>
      <c r="N32" s="153"/>
      <c r="O32" s="63"/>
      <c r="P32" s="63"/>
      <c r="Q32" s="63"/>
      <c r="R32" s="63"/>
      <c r="S32" s="63"/>
      <c r="T32" s="63"/>
    </row>
    <row r="33" spans="1:20" ht="15.6">
      <c r="A33">
        <f t="shared" si="2"/>
        <v>30</v>
      </c>
      <c r="B33" s="154" t="str">
        <v>Hialeah Gardens</v>
      </c>
      <c r="C33" s="147"/>
      <c r="D33" s="148"/>
      <c r="E33" s="149"/>
      <c r="F33" s="149"/>
      <c r="G33" s="150"/>
      <c r="H33" s="151"/>
      <c r="I33" s="151"/>
      <c r="J33" s="150"/>
      <c r="K33" s="157"/>
      <c r="L33" s="157"/>
      <c r="M33" s="153"/>
      <c r="N33" s="153"/>
      <c r="O33" s="63"/>
      <c r="P33" s="63"/>
      <c r="Q33" s="63"/>
      <c r="R33" s="63"/>
      <c r="S33" s="63"/>
      <c r="T33" s="63"/>
    </row>
    <row r="34" spans="1:20" ht="15.6">
      <c r="A34">
        <f t="shared" si="2"/>
        <v>31</v>
      </c>
      <c r="B34" s="154" t="str">
        <v>W. Des Moines Campus EAST</v>
      </c>
      <c r="C34" s="147"/>
      <c r="D34" s="148"/>
      <c r="E34" s="149"/>
      <c r="F34" s="149"/>
      <c r="G34" s="150"/>
      <c r="H34" s="151"/>
      <c r="I34" s="151"/>
      <c r="J34" s="150"/>
      <c r="K34" s="152"/>
      <c r="L34" s="159"/>
      <c r="M34" s="153"/>
      <c r="N34" s="153"/>
      <c r="O34" s="63"/>
      <c r="P34" s="63"/>
      <c r="Q34" s="63"/>
      <c r="R34" s="63"/>
      <c r="S34" s="63"/>
      <c r="T34" s="63"/>
    </row>
    <row r="35" spans="1:20" ht="15.6">
      <c r="A35">
        <f t="shared" si="2"/>
        <v>32</v>
      </c>
      <c r="B35" s="154" t="str">
        <v>W. Des Moines Campus SW</v>
      </c>
      <c r="C35" s="147"/>
      <c r="D35" s="148"/>
      <c r="E35" s="149"/>
      <c r="F35" s="149"/>
      <c r="G35" s="150"/>
      <c r="H35" s="151"/>
      <c r="I35" s="151"/>
      <c r="J35" s="150"/>
      <c r="K35" s="157"/>
      <c r="L35" s="157"/>
      <c r="M35" s="153"/>
      <c r="N35" s="153"/>
      <c r="O35" s="63"/>
      <c r="P35" s="63"/>
      <c r="Q35" s="63"/>
      <c r="R35" s="63"/>
      <c r="S35" s="63"/>
      <c r="T35" s="63"/>
    </row>
    <row r="36" spans="1:20" ht="15.6">
      <c r="A36">
        <f t="shared" si="2"/>
        <v>33</v>
      </c>
      <c r="B36" s="154" t="str">
        <v>WF - CIC</v>
      </c>
      <c r="C36" s="147"/>
      <c r="D36" s="148"/>
      <c r="E36" s="149"/>
      <c r="F36" s="149"/>
      <c r="G36" s="150"/>
      <c r="H36" s="151"/>
      <c r="I36" s="151"/>
      <c r="J36" s="150"/>
      <c r="K36" s="152"/>
      <c r="L36" s="152"/>
      <c r="M36" s="153"/>
      <c r="N36" s="153"/>
      <c r="O36" s="63"/>
      <c r="P36" s="63"/>
      <c r="Q36" s="63"/>
      <c r="R36" s="63"/>
      <c r="S36" s="63"/>
      <c r="T36" s="63"/>
    </row>
    <row r="37" spans="1:20" ht="15.6">
      <c r="A37">
        <f t="shared" si="2"/>
        <v>34</v>
      </c>
      <c r="B37" s="154" t="str">
        <v>Charlotte - Wells Fargo - DUC</v>
      </c>
      <c r="C37" s="147"/>
      <c r="D37" s="148"/>
      <c r="E37" s="149"/>
      <c r="F37" s="149"/>
      <c r="G37" s="150"/>
      <c r="H37" s="151"/>
      <c r="I37" s="151"/>
      <c r="J37" s="150"/>
      <c r="K37" s="157"/>
      <c r="L37" s="157"/>
      <c r="M37" s="153"/>
      <c r="N37" s="153"/>
      <c r="O37" s="63"/>
      <c r="P37" s="63"/>
      <c r="Q37" s="63"/>
      <c r="R37" s="63"/>
      <c r="S37" s="63"/>
      <c r="T37" s="63"/>
    </row>
    <row r="38" spans="1:20" ht="15.6">
      <c r="A38">
        <f t="shared" si="2"/>
        <v>35</v>
      </c>
      <c r="B38" s="154" t="str">
        <v>East Windsor</v>
      </c>
      <c r="C38" s="147"/>
      <c r="D38" s="148"/>
      <c r="E38" s="149"/>
      <c r="F38" s="149"/>
      <c r="G38" s="150"/>
      <c r="H38" s="151"/>
      <c r="I38" s="151"/>
      <c r="J38" s="150"/>
      <c r="K38" s="152"/>
      <c r="L38" s="159"/>
      <c r="M38" s="153"/>
      <c r="N38" s="153"/>
      <c r="O38" s="63"/>
      <c r="P38" s="63"/>
      <c r="Q38" s="63"/>
      <c r="R38" s="63"/>
      <c r="S38" s="63"/>
      <c r="T38" s="63"/>
    </row>
    <row r="39" spans="1:20" ht="15.6">
      <c r="A39">
        <f t="shared" si="2"/>
        <v>36</v>
      </c>
      <c r="B39" s="154" t="str">
        <v>Burlington</v>
      </c>
      <c r="C39" s="147"/>
      <c r="D39" s="148"/>
      <c r="E39" s="149"/>
      <c r="F39" s="149"/>
      <c r="G39" s="150"/>
      <c r="H39" s="151"/>
      <c r="I39" s="151"/>
      <c r="J39" s="150"/>
      <c r="K39" s="157"/>
      <c r="L39" s="157"/>
      <c r="M39" s="153"/>
      <c r="N39" s="153"/>
      <c r="O39" s="63"/>
      <c r="P39" s="63"/>
      <c r="Q39" s="63"/>
      <c r="R39" s="63"/>
      <c r="S39" s="63"/>
      <c r="T39" s="63"/>
    </row>
    <row r="40" spans="1:20" ht="15.6">
      <c r="A40">
        <f t="shared" si="2"/>
        <v>37</v>
      </c>
      <c r="B40" s="154" t="str">
        <v>Bayonne</v>
      </c>
      <c r="C40" s="147"/>
      <c r="D40" s="148"/>
      <c r="E40" s="149"/>
      <c r="F40" s="149"/>
      <c r="G40" s="150"/>
      <c r="H40" s="151"/>
      <c r="I40" s="151"/>
      <c r="J40" s="150"/>
      <c r="K40" s="152"/>
      <c r="L40" s="152"/>
      <c r="M40" s="153"/>
      <c r="N40" s="153"/>
      <c r="O40" s="63"/>
      <c r="P40" s="63"/>
      <c r="Q40" s="63"/>
      <c r="R40" s="63"/>
      <c r="S40" s="63"/>
      <c r="T40" s="63"/>
    </row>
    <row r="41" spans="1:20" ht="15.6">
      <c r="A41">
        <f t="shared" si="2"/>
        <v>38</v>
      </c>
      <c r="B41" s="154" t="str">
        <v>Clifton</v>
      </c>
      <c r="C41" s="147"/>
      <c r="D41" s="148"/>
      <c r="E41" s="149"/>
      <c r="F41" s="149"/>
      <c r="G41" s="150"/>
      <c r="H41" s="151"/>
      <c r="I41" s="151"/>
      <c r="J41" s="150"/>
      <c r="K41" s="157"/>
      <c r="L41" s="157"/>
      <c r="M41" s="153"/>
      <c r="N41" s="153"/>
      <c r="O41" s="63"/>
      <c r="P41" s="63"/>
      <c r="Q41" s="63"/>
      <c r="R41" s="63"/>
      <c r="S41" s="63"/>
      <c r="T41" s="63"/>
    </row>
    <row r="42" spans="1:20" ht="15.6">
      <c r="A42">
        <f t="shared" si="2"/>
        <v>39</v>
      </c>
      <c r="B42" s="154" t="str">
        <v>North Elizabeth</v>
      </c>
      <c r="C42" s="147"/>
      <c r="D42" s="148"/>
      <c r="E42" s="149"/>
      <c r="F42" s="149"/>
      <c r="G42" s="150"/>
      <c r="H42" s="151"/>
      <c r="I42" s="151"/>
      <c r="J42" s="150"/>
      <c r="K42" s="152"/>
      <c r="L42" s="152"/>
      <c r="M42" s="153"/>
      <c r="N42" s="153"/>
      <c r="O42" s="63"/>
      <c r="P42" s="63"/>
      <c r="Q42" s="63"/>
      <c r="R42" s="63"/>
      <c r="S42" s="63"/>
      <c r="T42" s="63"/>
    </row>
    <row r="43" spans="1:20" ht="15.6">
      <c r="A43">
        <f t="shared" si="2"/>
        <v>40</v>
      </c>
      <c r="B43" s="154" t="str">
        <v>Haddon Westmont Plaza</v>
      </c>
      <c r="C43" s="147"/>
      <c r="D43" s="148"/>
      <c r="E43" s="149"/>
      <c r="F43" s="149"/>
      <c r="G43" s="150"/>
      <c r="H43" s="151"/>
      <c r="I43" s="151"/>
      <c r="J43" s="150"/>
      <c r="K43" s="157"/>
      <c r="L43" s="157"/>
      <c r="M43" s="153"/>
      <c r="N43" s="153"/>
      <c r="O43" s="63"/>
      <c r="P43" s="63"/>
      <c r="Q43" s="63"/>
      <c r="R43" s="63"/>
      <c r="S43" s="63"/>
      <c r="T43" s="63"/>
    </row>
    <row r="44" spans="1:20" ht="15.6">
      <c r="A44">
        <f t="shared" si="2"/>
        <v>41</v>
      </c>
      <c r="B44" s="154" t="str">
        <v>Parsippany</v>
      </c>
      <c r="C44" s="147"/>
      <c r="D44" s="148"/>
      <c r="E44" s="149"/>
      <c r="F44" s="149"/>
      <c r="G44" s="150"/>
      <c r="H44" s="151"/>
      <c r="I44" s="151"/>
      <c r="J44" s="150"/>
      <c r="K44" s="152"/>
      <c r="L44" s="152"/>
      <c r="M44" s="153"/>
      <c r="N44" s="153"/>
      <c r="O44" s="63"/>
      <c r="P44" s="63"/>
      <c r="Q44" s="63"/>
      <c r="R44" s="63"/>
      <c r="S44" s="63"/>
      <c r="T44" s="63"/>
    </row>
    <row r="45" spans="1:20" ht="15.6">
      <c r="A45">
        <f t="shared" si="2"/>
        <v>42</v>
      </c>
      <c r="B45" s="154" t="str">
        <v>Clark</v>
      </c>
      <c r="C45" s="147"/>
      <c r="D45" s="148"/>
      <c r="E45" s="149"/>
      <c r="F45" s="149"/>
      <c r="G45" s="150"/>
      <c r="H45" s="151"/>
      <c r="I45" s="151"/>
      <c r="J45" s="150"/>
      <c r="K45" s="157"/>
      <c r="L45" s="157"/>
      <c r="M45" s="153"/>
      <c r="N45" s="153"/>
      <c r="O45" s="63"/>
      <c r="P45" s="63"/>
      <c r="Q45" s="63"/>
      <c r="R45" s="63"/>
      <c r="S45" s="63"/>
      <c r="T45" s="63"/>
    </row>
    <row r="46" spans="1:20" ht="15.6">
      <c r="A46">
        <f t="shared" si="2"/>
        <v>43</v>
      </c>
      <c r="B46" s="154" t="str">
        <v>Closter</v>
      </c>
      <c r="C46" s="147"/>
      <c r="D46" s="148"/>
      <c r="E46" s="149"/>
      <c r="F46" s="149"/>
      <c r="G46" s="150"/>
      <c r="H46" s="151"/>
      <c r="I46" s="151"/>
      <c r="J46" s="150"/>
      <c r="K46" s="152"/>
      <c r="L46" s="159"/>
      <c r="M46" s="153"/>
      <c r="N46" s="153"/>
      <c r="O46" s="63"/>
      <c r="P46" s="63"/>
      <c r="Q46" s="63"/>
      <c r="R46" s="63"/>
      <c r="S46" s="63"/>
      <c r="T46" s="63"/>
    </row>
    <row r="47" spans="1:20" ht="15.6">
      <c r="A47">
        <f t="shared" si="2"/>
        <v>44</v>
      </c>
      <c r="B47" s="154" t="str">
        <v>Holmdel</v>
      </c>
      <c r="C47" s="147"/>
      <c r="D47" s="148"/>
      <c r="E47" s="149"/>
      <c r="F47" s="149"/>
      <c r="G47" s="150"/>
      <c r="H47" s="151"/>
      <c r="I47" s="151"/>
      <c r="J47" s="150"/>
      <c r="K47" s="157"/>
      <c r="L47" s="159"/>
      <c r="M47" s="153"/>
      <c r="N47" s="153"/>
      <c r="O47" s="63"/>
      <c r="P47" s="63"/>
      <c r="Q47" s="63"/>
      <c r="R47" s="63"/>
      <c r="S47" s="63"/>
      <c r="T47" s="63"/>
    </row>
    <row r="48" spans="1:20" ht="15.6">
      <c r="A48">
        <f t="shared" si="2"/>
        <v>45</v>
      </c>
      <c r="B48" s="154" t="str">
        <v>Ellisburg Circle Center</v>
      </c>
      <c r="C48" s="147"/>
      <c r="D48" s="148"/>
      <c r="E48" s="149"/>
      <c r="F48" s="149"/>
      <c r="G48" s="150"/>
      <c r="H48" s="151"/>
      <c r="I48" s="151"/>
      <c r="J48" s="150"/>
      <c r="K48" s="152"/>
      <c r="L48" s="152"/>
      <c r="M48" s="153"/>
      <c r="N48" s="153"/>
      <c r="O48" s="63"/>
      <c r="P48" s="63"/>
      <c r="Q48" s="63"/>
      <c r="R48" s="63"/>
      <c r="S48" s="63"/>
      <c r="T48" s="63"/>
    </row>
    <row r="49" spans="1:20" ht="15.6">
      <c r="A49">
        <f t="shared" si="2"/>
        <v>46</v>
      </c>
      <c r="B49" s="154" t="str">
        <v>Nutley</v>
      </c>
      <c r="C49" s="147"/>
      <c r="D49" s="148"/>
      <c r="E49" s="149"/>
      <c r="F49" s="149"/>
      <c r="G49" s="150"/>
      <c r="H49" s="151"/>
      <c r="I49" s="151"/>
      <c r="J49" s="150"/>
      <c r="K49" s="157"/>
      <c r="L49" s="157"/>
      <c r="M49" s="153"/>
      <c r="N49" s="153"/>
      <c r="O49" s="63"/>
      <c r="P49" s="63"/>
      <c r="Q49" s="63"/>
      <c r="R49" s="63"/>
      <c r="S49" s="63"/>
      <c r="T49" s="63"/>
    </row>
    <row r="50" spans="1:20" ht="15.6">
      <c r="A50">
        <f t="shared" si="2"/>
        <v>47</v>
      </c>
      <c r="B50" s="154" t="str">
        <v>Marlton</v>
      </c>
      <c r="C50" s="147"/>
      <c r="D50" s="148"/>
      <c r="E50" s="149"/>
      <c r="F50" s="149"/>
      <c r="G50" s="150"/>
      <c r="H50" s="151"/>
      <c r="I50" s="151"/>
      <c r="J50" s="150"/>
      <c r="K50" s="152"/>
      <c r="L50" s="152"/>
      <c r="M50" s="153"/>
      <c r="N50" s="153"/>
      <c r="O50" s="63"/>
      <c r="P50" s="63"/>
      <c r="Q50" s="63"/>
      <c r="R50" s="63"/>
      <c r="S50" s="63"/>
      <c r="T50" s="63"/>
    </row>
    <row r="51" spans="1:20" ht="15.6">
      <c r="A51">
        <f t="shared" si="2"/>
        <v>48</v>
      </c>
      <c r="B51" s="154" t="str">
        <v>Middletown</v>
      </c>
      <c r="C51" s="147"/>
      <c r="D51" s="148"/>
      <c r="E51" s="149"/>
      <c r="F51" s="149"/>
      <c r="G51" s="150"/>
      <c r="H51" s="151"/>
      <c r="I51" s="151"/>
      <c r="J51" s="150"/>
      <c r="K51" s="157"/>
      <c r="L51" s="157"/>
      <c r="M51" s="153"/>
      <c r="N51" s="153"/>
      <c r="O51" s="63"/>
      <c r="P51" s="63"/>
      <c r="Q51" s="63"/>
      <c r="R51" s="63"/>
      <c r="S51" s="63"/>
      <c r="T51" s="63"/>
    </row>
    <row r="52" spans="1:20" ht="15.6">
      <c r="A52">
        <f t="shared" si="2"/>
        <v>49</v>
      </c>
      <c r="B52" s="154" t="str">
        <v>Whiting Crestwood</v>
      </c>
      <c r="C52" s="147"/>
      <c r="D52" s="148"/>
      <c r="E52" s="149"/>
      <c r="F52" s="149"/>
      <c r="G52" s="150"/>
      <c r="H52" s="151"/>
      <c r="I52" s="151"/>
      <c r="J52" s="150"/>
      <c r="K52" s="152"/>
      <c r="L52" s="152"/>
      <c r="M52" s="153"/>
      <c r="N52" s="153"/>
      <c r="O52" s="63"/>
      <c r="P52" s="63"/>
      <c r="Q52" s="63"/>
      <c r="R52" s="63"/>
      <c r="S52" s="63"/>
      <c r="T52" s="63"/>
    </row>
    <row r="53" spans="1:20" ht="15.6">
      <c r="A53">
        <f t="shared" si="2"/>
        <v>50</v>
      </c>
      <c r="B53" s="154" t="str">
        <v>Barnegat</v>
      </c>
      <c r="C53" s="147"/>
      <c r="D53" s="148"/>
      <c r="E53" s="149"/>
      <c r="F53" s="149"/>
      <c r="G53" s="150"/>
      <c r="H53" s="151"/>
      <c r="I53" s="151"/>
      <c r="J53" s="150"/>
      <c r="K53" s="157"/>
      <c r="L53" s="157"/>
      <c r="M53" s="153"/>
      <c r="N53" s="153"/>
      <c r="O53" s="63"/>
      <c r="P53" s="63"/>
      <c r="Q53" s="63"/>
      <c r="R53" s="63"/>
      <c r="S53" s="63"/>
      <c r="T53" s="63"/>
    </row>
    <row r="54" spans="1:20" ht="15.6">
      <c r="A54">
        <f t="shared" si="2"/>
        <v>51</v>
      </c>
      <c r="B54" s="154" t="str">
        <v>Manchester</v>
      </c>
      <c r="C54" s="147"/>
      <c r="D54" s="148"/>
      <c r="E54" s="149"/>
      <c r="F54" s="149"/>
      <c r="G54" s="150"/>
      <c r="H54" s="151"/>
      <c r="I54" s="151"/>
      <c r="J54" s="150"/>
      <c r="K54" s="152"/>
      <c r="L54" s="152"/>
      <c r="M54" s="153"/>
      <c r="N54" s="153"/>
      <c r="O54" s="63"/>
      <c r="P54" s="63"/>
      <c r="Q54" s="63"/>
      <c r="R54" s="63"/>
      <c r="S54" s="63"/>
      <c r="T54" s="63"/>
    </row>
    <row r="55" spans="1:20" ht="15.6">
      <c r="A55">
        <f t="shared" si="2"/>
        <v>52</v>
      </c>
      <c r="B55" s="154" t="str">
        <v>West Deptford - Woodbury</v>
      </c>
      <c r="C55" s="147"/>
      <c r="D55" s="148"/>
      <c r="E55" s="149"/>
      <c r="F55" s="149"/>
      <c r="G55" s="150"/>
      <c r="H55" s="151"/>
      <c r="I55" s="151"/>
      <c r="J55" s="150"/>
      <c r="K55" s="157"/>
      <c r="L55" s="157"/>
      <c r="M55" s="153"/>
      <c r="N55" s="153"/>
      <c r="O55" s="63"/>
      <c r="P55" s="63"/>
      <c r="Q55" s="63"/>
      <c r="R55" s="63"/>
      <c r="S55" s="63"/>
      <c r="T55" s="63"/>
    </row>
    <row r="56" spans="1:20" ht="15.6">
      <c r="A56">
        <f t="shared" si="2"/>
        <v>53</v>
      </c>
      <c r="B56" s="154" t="str">
        <v>Edison</v>
      </c>
      <c r="C56" s="147"/>
      <c r="D56" s="148"/>
      <c r="E56" s="149"/>
      <c r="F56" s="149"/>
      <c r="G56" s="150"/>
      <c r="H56" s="151"/>
      <c r="I56" s="151"/>
      <c r="J56" s="150"/>
      <c r="K56" s="152"/>
      <c r="L56" s="159"/>
      <c r="M56" s="153"/>
      <c r="N56" s="153"/>
      <c r="O56" s="63"/>
      <c r="P56" s="63"/>
      <c r="Q56" s="63"/>
      <c r="R56" s="63"/>
      <c r="S56" s="63"/>
      <c r="T56" s="63"/>
    </row>
    <row r="57" spans="1:20" ht="15.6">
      <c r="A57">
        <f t="shared" si="2"/>
        <v>54</v>
      </c>
      <c r="B57" s="154" t="str">
        <v>Flemington</v>
      </c>
      <c r="C57" s="147"/>
      <c r="D57" s="148"/>
      <c r="E57" s="149"/>
      <c r="F57" s="149"/>
      <c r="G57" s="150"/>
      <c r="H57" s="151"/>
      <c r="I57" s="151"/>
      <c r="J57" s="150"/>
      <c r="K57" s="157"/>
      <c r="L57" s="157"/>
      <c r="M57" s="153"/>
      <c r="N57" s="153"/>
      <c r="O57" s="63"/>
      <c r="P57" s="63"/>
      <c r="Q57" s="63"/>
      <c r="R57" s="63"/>
      <c r="S57" s="63"/>
      <c r="T57" s="63"/>
    </row>
    <row r="58" spans="1:20" ht="15.6">
      <c r="A58">
        <f t="shared" si="2"/>
        <v>55</v>
      </c>
      <c r="B58" s="154" t="str">
        <v>Route 22</v>
      </c>
      <c r="C58" s="147"/>
      <c r="D58" s="148"/>
      <c r="E58" s="149"/>
      <c r="F58" s="149"/>
      <c r="G58" s="150"/>
      <c r="H58" s="151"/>
      <c r="I58" s="151"/>
      <c r="J58" s="150"/>
      <c r="K58" s="158"/>
      <c r="L58" s="152"/>
      <c r="M58" s="153"/>
      <c r="N58" s="153"/>
      <c r="O58" s="63"/>
      <c r="P58" s="63"/>
      <c r="Q58" s="63"/>
      <c r="R58" s="63"/>
      <c r="S58" s="63"/>
      <c r="T58" s="63"/>
    </row>
    <row r="59" spans="1:20" ht="15.6">
      <c r="A59">
        <f t="shared" si="2"/>
        <v>56</v>
      </c>
      <c r="B59" s="154" t="str">
        <v>Laurelton</v>
      </c>
      <c r="C59" s="147"/>
      <c r="D59" s="148"/>
      <c r="E59" s="149"/>
      <c r="F59" s="149"/>
      <c r="G59" s="150"/>
      <c r="H59" s="151"/>
      <c r="I59" s="151"/>
      <c r="J59" s="150"/>
      <c r="K59" s="156"/>
      <c r="L59" s="157"/>
      <c r="M59" s="153"/>
      <c r="N59" s="153"/>
      <c r="O59" s="63"/>
      <c r="P59" s="63"/>
      <c r="Q59" s="63"/>
      <c r="R59" s="63"/>
      <c r="S59" s="63"/>
      <c r="T59" s="63"/>
    </row>
    <row r="60" spans="1:20" ht="15.6">
      <c r="A60">
        <f t="shared" si="2"/>
        <v>57</v>
      </c>
      <c r="B60" s="154" t="str">
        <v>Mahwah</v>
      </c>
      <c r="C60" s="147"/>
      <c r="D60" s="148"/>
      <c r="E60" s="149"/>
      <c r="F60" s="149"/>
      <c r="G60" s="150"/>
      <c r="H60" s="151"/>
      <c r="I60" s="151"/>
      <c r="J60" s="150"/>
      <c r="K60" s="158"/>
      <c r="L60" s="152"/>
      <c r="M60" s="153"/>
      <c r="N60" s="153"/>
      <c r="O60" s="63"/>
      <c r="P60" s="63"/>
      <c r="Q60" s="63"/>
      <c r="R60" s="63"/>
      <c r="S60" s="63"/>
      <c r="T60" s="63"/>
    </row>
    <row r="61" spans="1:20" ht="15.6">
      <c r="A61">
        <f t="shared" si="2"/>
        <v>58</v>
      </c>
      <c r="B61" s="154" t="str">
        <v>Franklin Township WF</v>
      </c>
      <c r="C61" s="147"/>
      <c r="D61" s="148"/>
      <c r="E61" s="149"/>
      <c r="F61" s="149"/>
      <c r="G61" s="150"/>
      <c r="H61" s="151"/>
      <c r="I61" s="151"/>
      <c r="J61" s="150"/>
      <c r="K61" s="157"/>
      <c r="L61" s="157"/>
      <c r="M61" s="153"/>
      <c r="N61" s="153"/>
      <c r="O61" s="63"/>
      <c r="P61" s="63"/>
      <c r="Q61" s="63"/>
      <c r="R61" s="63"/>
      <c r="S61" s="63"/>
      <c r="T61" s="63"/>
    </row>
    <row r="62" spans="1:20" ht="15.6">
      <c r="A62">
        <f t="shared" si="2"/>
        <v>59</v>
      </c>
      <c r="B62" s="154" t="str">
        <v>Bordentown</v>
      </c>
      <c r="C62" s="147"/>
      <c r="D62" s="148"/>
      <c r="E62" s="149"/>
      <c r="F62" s="149"/>
      <c r="G62" s="150"/>
      <c r="H62" s="151"/>
      <c r="I62" s="151"/>
      <c r="J62" s="150"/>
      <c r="K62" s="152"/>
      <c r="L62" s="152"/>
      <c r="M62" s="153"/>
      <c r="N62" s="153"/>
      <c r="O62" s="63"/>
      <c r="P62" s="63"/>
      <c r="Q62" s="63"/>
      <c r="R62" s="63"/>
      <c r="S62" s="63"/>
      <c r="T62" s="63"/>
    </row>
    <row r="63" spans="1:20" ht="15.6">
      <c r="A63">
        <f t="shared" si="2"/>
        <v>60</v>
      </c>
      <c r="B63" s="154" t="str">
        <v>South Plainfield</v>
      </c>
      <c r="C63" s="147"/>
      <c r="D63" s="148"/>
      <c r="E63" s="149"/>
      <c r="F63" s="149"/>
      <c r="G63" s="150"/>
      <c r="H63" s="151"/>
      <c r="I63" s="151"/>
      <c r="J63" s="150"/>
      <c r="K63" s="157"/>
      <c r="L63" s="157"/>
      <c r="M63" s="153"/>
      <c r="N63" s="153"/>
      <c r="O63" s="63"/>
      <c r="P63" s="63"/>
      <c r="Q63" s="63"/>
      <c r="R63" s="63"/>
      <c r="S63" s="63"/>
      <c r="T63" s="63"/>
    </row>
    <row r="64" spans="1:20" ht="15.6">
      <c r="A64">
        <f t="shared" si="2"/>
        <v>61</v>
      </c>
      <c r="B64" s="154" t="str">
        <v>Somerset</v>
      </c>
      <c r="C64" s="147"/>
      <c r="D64" s="148"/>
      <c r="E64" s="149"/>
      <c r="F64" s="149"/>
      <c r="G64" s="150"/>
      <c r="H64" s="151"/>
      <c r="I64" s="151"/>
      <c r="J64" s="150"/>
      <c r="K64" s="152"/>
      <c r="L64" s="159"/>
      <c r="M64" s="153"/>
      <c r="N64" s="153"/>
      <c r="O64" s="63"/>
      <c r="P64" s="63"/>
      <c r="Q64" s="63"/>
      <c r="R64" s="63"/>
      <c r="S64" s="63"/>
      <c r="T64" s="63"/>
    </row>
    <row r="65" spans="1:20" ht="15.6">
      <c r="A65" s="141">
        <f t="shared" si="2"/>
        <v>62</v>
      </c>
      <c r="B65" s="160" t="str">
        <v>Clinton Main Relo</v>
      </c>
      <c r="C65" s="161"/>
      <c r="D65" s="162"/>
      <c r="E65" s="163"/>
      <c r="F65" s="163"/>
      <c r="G65" s="164"/>
      <c r="H65" s="165"/>
      <c r="I65" s="165"/>
      <c r="J65" s="164"/>
      <c r="K65" s="169"/>
      <c r="L65" s="169"/>
      <c r="M65" s="153"/>
      <c r="N65" s="153"/>
      <c r="O65" s="63"/>
      <c r="P65" s="63"/>
      <c r="Q65" s="63"/>
      <c r="R65" s="63"/>
      <c r="S65" s="63"/>
      <c r="T65" s="63"/>
    </row>
    <row r="66" spans="1:20" ht="15.6">
      <c r="A66">
        <f t="shared" si="2"/>
        <v>63</v>
      </c>
      <c r="B66" s="154" t="str">
        <v>North Brunswick</v>
      </c>
      <c r="C66" s="147"/>
      <c r="D66" s="148"/>
      <c r="E66" s="149"/>
      <c r="F66" s="149"/>
      <c r="G66" s="150"/>
      <c r="H66" s="151"/>
      <c r="I66" s="151"/>
      <c r="J66" s="150"/>
      <c r="K66" s="158"/>
      <c r="L66" s="158"/>
      <c r="M66" s="153"/>
      <c r="N66" s="153"/>
      <c r="O66" s="63"/>
      <c r="P66" s="63"/>
      <c r="Q66" s="63"/>
      <c r="R66" s="63"/>
      <c r="S66" s="63"/>
      <c r="T66" s="63"/>
    </row>
    <row r="67" spans="1:20" ht="15.6">
      <c r="A67">
        <f t="shared" si="2"/>
        <v>64</v>
      </c>
      <c r="B67" s="154" t="str">
        <v>Cherry Hill</v>
      </c>
      <c r="C67" s="147"/>
      <c r="D67" s="148"/>
      <c r="E67" s="149"/>
      <c r="F67" s="149"/>
      <c r="G67" s="150"/>
      <c r="H67" s="151"/>
      <c r="I67" s="151"/>
      <c r="J67" s="150"/>
      <c r="K67" s="170"/>
      <c r="L67" s="171"/>
      <c r="M67" s="168"/>
      <c r="N67" s="153"/>
      <c r="O67" s="63"/>
      <c r="P67" s="63"/>
      <c r="Q67" s="63"/>
      <c r="R67" s="63"/>
      <c r="S67" s="63"/>
      <c r="T67" s="63"/>
    </row>
    <row r="68" spans="1:20" ht="15.6">
      <c r="A68">
        <f t="shared" si="2"/>
        <v>65</v>
      </c>
      <c r="B68" s="154" t="str">
        <v>Hainesport</v>
      </c>
      <c r="C68" s="147"/>
      <c r="D68" s="148"/>
      <c r="E68" s="149"/>
      <c r="F68" s="149"/>
      <c r="G68" s="150"/>
      <c r="H68" s="151"/>
      <c r="I68" s="151"/>
      <c r="J68" s="150"/>
      <c r="K68" s="152"/>
      <c r="L68" s="152"/>
      <c r="M68" s="153"/>
      <c r="N68" s="153"/>
      <c r="O68" s="63"/>
      <c r="P68" s="63"/>
      <c r="Q68" s="63"/>
      <c r="R68" s="63"/>
      <c r="S68" s="63"/>
      <c r="T68" s="63"/>
    </row>
    <row r="69" spans="1:20" ht="15.6">
      <c r="A69">
        <f t="shared" si="2"/>
        <v>66</v>
      </c>
      <c r="B69" s="154" t="str">
        <v>San Antonio - Ops Ctr (Bldg 106)</v>
      </c>
      <c r="C69" s="147"/>
      <c r="D69" s="148"/>
      <c r="E69" s="149"/>
      <c r="F69" s="149"/>
      <c r="G69" s="150"/>
      <c r="H69" s="151"/>
      <c r="I69" s="151"/>
      <c r="J69" s="150"/>
      <c r="K69" s="172"/>
      <c r="L69" s="173"/>
      <c r="M69" s="153"/>
      <c r="N69" s="153"/>
      <c r="O69" s="63"/>
      <c r="P69" s="63"/>
      <c r="Q69" s="63"/>
      <c r="R69" s="63"/>
      <c r="S69" s="63"/>
      <c r="T69" s="63"/>
    </row>
    <row r="70" spans="1:20" ht="15.6">
      <c r="A70">
        <f t="shared" ref="A70:A84" si="3">A69+1</f>
        <v>67</v>
      </c>
      <c r="B70" s="154" t="str">
        <v>San Antonio - Ops Ctr GM</v>
      </c>
      <c r="C70" s="147"/>
      <c r="D70" s="148"/>
      <c r="E70" s="149"/>
      <c r="F70" s="149"/>
      <c r="G70" s="150"/>
      <c r="H70" s="151"/>
      <c r="I70" s="151"/>
      <c r="J70" s="150"/>
      <c r="K70" s="158"/>
      <c r="L70" s="152"/>
      <c r="M70" s="153"/>
      <c r="N70" s="153"/>
      <c r="O70" s="63"/>
      <c r="P70" s="63"/>
      <c r="Q70" s="63"/>
      <c r="R70" s="63"/>
      <c r="S70" s="63"/>
      <c r="T70" s="63"/>
    </row>
    <row r="71" spans="1:20" ht="15.6">
      <c r="A71">
        <f t="shared" si="3"/>
        <v>68</v>
      </c>
      <c r="B71" s="154" t="str">
        <v>San Antonio - Ctr (Bldg 201)</v>
      </c>
      <c r="C71" s="147"/>
      <c r="D71" s="148"/>
      <c r="E71" s="149"/>
      <c r="F71" s="149"/>
      <c r="G71" s="150"/>
      <c r="H71" s="151"/>
      <c r="I71" s="151"/>
      <c r="J71" s="150"/>
      <c r="K71" s="158"/>
      <c r="L71" s="173"/>
      <c r="M71" s="153"/>
      <c r="N71" s="153"/>
      <c r="O71" s="63"/>
      <c r="P71" s="63"/>
      <c r="Q71" s="63"/>
      <c r="R71" s="63"/>
      <c r="S71" s="63"/>
      <c r="T71" s="63"/>
    </row>
    <row r="72" spans="1:20" ht="15.6">
      <c r="A72">
        <f t="shared" si="3"/>
        <v>69</v>
      </c>
      <c r="B72" s="154" t="str">
        <v>San Antonio - Ops Ctr (Bldg 203)</v>
      </c>
      <c r="C72" s="147"/>
      <c r="D72" s="148"/>
      <c r="E72" s="149"/>
      <c r="F72" s="149"/>
      <c r="G72" s="150"/>
      <c r="H72" s="151"/>
      <c r="I72" s="151"/>
      <c r="J72" s="150"/>
      <c r="K72" s="158"/>
      <c r="L72" s="152"/>
      <c r="M72" s="153"/>
      <c r="N72" s="153"/>
      <c r="O72" s="63"/>
      <c r="P72" s="63"/>
      <c r="Q72" s="63"/>
      <c r="R72" s="63"/>
      <c r="S72" s="63"/>
      <c r="T72" s="63"/>
    </row>
    <row r="73" spans="1:20" ht="15.6">
      <c r="A73">
        <f t="shared" si="3"/>
        <v>70</v>
      </c>
      <c r="B73" s="154" t="str">
        <v>San Antonio - Ops Ctr (Bldg 205)</v>
      </c>
      <c r="C73" s="147"/>
      <c r="D73" s="148"/>
      <c r="E73" s="149"/>
      <c r="F73" s="149"/>
      <c r="G73" s="150"/>
      <c r="H73" s="151"/>
      <c r="I73" s="151"/>
      <c r="J73" s="150"/>
      <c r="K73" s="172"/>
      <c r="L73" s="173"/>
      <c r="M73" s="153"/>
      <c r="N73" s="153"/>
      <c r="O73" s="63"/>
      <c r="P73" s="63"/>
      <c r="Q73" s="63"/>
      <c r="R73" s="63"/>
      <c r="S73" s="63"/>
      <c r="T73" s="63"/>
    </row>
    <row r="74" spans="1:20" ht="15.6">
      <c r="A74">
        <f t="shared" si="3"/>
        <v>71</v>
      </c>
      <c r="B74" s="154" t="str">
        <v>San Antonio - Ops Ctr (Bldg 307)</v>
      </c>
      <c r="C74" s="147"/>
      <c r="D74" s="148"/>
      <c r="E74" s="149"/>
      <c r="F74" s="149"/>
      <c r="G74" s="150"/>
      <c r="H74" s="151"/>
      <c r="I74" s="151"/>
      <c r="J74" s="150"/>
      <c r="K74" s="152"/>
      <c r="L74" s="152"/>
      <c r="M74" s="153"/>
      <c r="N74" s="153"/>
      <c r="O74" s="63"/>
      <c r="P74" s="63"/>
      <c r="Q74" s="63"/>
      <c r="R74" s="63"/>
      <c r="S74" s="63"/>
      <c r="T74" s="63"/>
    </row>
    <row r="75" spans="1:20" ht="15.6">
      <c r="A75">
        <f t="shared" si="3"/>
        <v>72</v>
      </c>
      <c r="B75" s="154" t="str">
        <v>San Antonio - Ctr (Bldg 308)</v>
      </c>
      <c r="C75" s="147"/>
      <c r="D75" s="148"/>
      <c r="E75" s="149"/>
      <c r="F75" s="149"/>
      <c r="G75" s="150"/>
      <c r="H75" s="151"/>
      <c r="I75" s="151"/>
      <c r="J75" s="150"/>
      <c r="K75" s="172"/>
      <c r="L75" s="171"/>
      <c r="M75" s="153"/>
      <c r="N75" s="153"/>
      <c r="O75" s="63"/>
      <c r="P75" s="63"/>
      <c r="Q75" s="63"/>
      <c r="R75" s="63"/>
      <c r="S75" s="63"/>
      <c r="T75" s="63"/>
    </row>
    <row r="76" spans="1:20" ht="15.6">
      <c r="A76">
        <f t="shared" si="3"/>
        <v>73</v>
      </c>
      <c r="B76" s="154" t="str">
        <v>San Antonio - Ops Ctr (Bldg 104)</v>
      </c>
      <c r="C76" s="147"/>
      <c r="D76" s="148"/>
      <c r="E76" s="149"/>
      <c r="F76" s="149"/>
      <c r="G76" s="150"/>
      <c r="H76" s="151"/>
      <c r="I76" s="151"/>
      <c r="J76" s="150"/>
      <c r="K76" s="172"/>
      <c r="L76" s="152"/>
      <c r="M76" s="153"/>
      <c r="N76" s="153"/>
      <c r="O76" s="63"/>
      <c r="P76" s="63"/>
      <c r="Q76" s="63"/>
      <c r="R76" s="63"/>
      <c r="S76" s="63"/>
      <c r="T76" s="63"/>
    </row>
    <row r="77" spans="1:20" ht="15.6">
      <c r="A77" s="143">
        <f t="shared" si="3"/>
        <v>74</v>
      </c>
      <c r="B77" s="174" t="str">
        <v>San Antonio - Ops Ctr (Bldg 102)</v>
      </c>
      <c r="C77" s="175"/>
      <c r="D77" s="176"/>
      <c r="E77" s="177"/>
      <c r="F77" s="177"/>
      <c r="G77" s="178"/>
      <c r="H77" s="179"/>
      <c r="I77" s="179"/>
      <c r="J77" s="178"/>
      <c r="K77" s="180"/>
      <c r="L77" s="181"/>
      <c r="M77" s="153"/>
      <c r="N77" s="153"/>
      <c r="O77" s="63"/>
      <c r="P77" s="63"/>
      <c r="Q77" s="63"/>
      <c r="R77" s="63"/>
      <c r="S77" s="63"/>
      <c r="T77" s="63"/>
    </row>
    <row r="78" spans="1:20" ht="15.6">
      <c r="A78" s="143">
        <f t="shared" si="3"/>
        <v>75</v>
      </c>
      <c r="B78" s="174" t="str">
        <v>N Black Canyon Hwy, Phoenix - North</v>
      </c>
      <c r="C78" s="175"/>
      <c r="D78" s="176"/>
      <c r="E78" s="177"/>
      <c r="F78" s="177"/>
      <c r="G78" s="178"/>
      <c r="H78" s="179"/>
      <c r="I78" s="179"/>
      <c r="J78" s="178"/>
      <c r="K78" s="182"/>
      <c r="L78" s="183"/>
      <c r="M78" s="153"/>
      <c r="N78" s="153"/>
      <c r="O78" s="63"/>
      <c r="P78" s="63"/>
      <c r="Q78" s="63"/>
      <c r="R78" s="63"/>
      <c r="S78" s="63"/>
      <c r="T78" s="63"/>
    </row>
    <row r="79" spans="1:20" ht="15.6">
      <c r="A79">
        <f t="shared" si="3"/>
        <v>76</v>
      </c>
      <c r="B79" s="154" t="str">
        <v>N Black Canyon Hwy, Phoenix - South</v>
      </c>
      <c r="C79" s="147"/>
      <c r="D79" s="148"/>
      <c r="E79" s="149"/>
      <c r="F79" s="149"/>
      <c r="G79" s="150"/>
      <c r="H79" s="151"/>
      <c r="I79" s="151"/>
      <c r="J79" s="150"/>
      <c r="K79" s="172"/>
      <c r="L79" s="173"/>
      <c r="M79" s="153"/>
      <c r="N79" s="153"/>
      <c r="O79" s="63"/>
      <c r="P79" s="63"/>
      <c r="Q79" s="63"/>
      <c r="R79" s="63"/>
      <c r="S79" s="63"/>
      <c r="T79" s="63"/>
    </row>
    <row r="80" spans="1:20" ht="15.6">
      <c r="A80">
        <f t="shared" si="3"/>
        <v>77</v>
      </c>
      <c r="B80" s="154" t="str">
        <v xml:space="preserve"> Building 2222, Rose Garden Ln, Phoenix</v>
      </c>
      <c r="C80" s="147"/>
      <c r="D80" s="148"/>
      <c r="E80" s="149"/>
      <c r="F80" s="149"/>
      <c r="G80" s="150"/>
      <c r="H80" s="151"/>
      <c r="I80" s="151"/>
      <c r="J80" s="150"/>
      <c r="K80" s="152"/>
      <c r="L80" s="152"/>
      <c r="M80" s="153"/>
      <c r="N80" s="153"/>
      <c r="O80" s="63"/>
      <c r="P80" s="63"/>
      <c r="Q80" s="63"/>
      <c r="R80" s="63"/>
      <c r="S80" s="63"/>
      <c r="T80" s="63"/>
    </row>
    <row r="81" spans="1:20" ht="15.6">
      <c r="A81">
        <f t="shared" si="3"/>
        <v>78</v>
      </c>
      <c r="B81" s="154" t="str">
        <v xml:space="preserve"> Building 2202, Rose Garden Ln, Phoenix</v>
      </c>
      <c r="C81" s="147"/>
      <c r="D81" s="148"/>
      <c r="E81" s="149"/>
      <c r="F81" s="149"/>
      <c r="G81" s="150"/>
      <c r="H81" s="151"/>
      <c r="I81" s="151"/>
      <c r="J81" s="150"/>
      <c r="K81" s="172"/>
      <c r="L81" s="173"/>
      <c r="M81" s="153"/>
      <c r="N81" s="153"/>
      <c r="O81" s="63"/>
      <c r="P81" s="63"/>
      <c r="Q81" s="63"/>
      <c r="R81" s="63"/>
      <c r="S81" s="63"/>
      <c r="T81" s="63"/>
    </row>
    <row r="82" spans="1:20" ht="15.6">
      <c r="A82" s="143">
        <f t="shared" si="3"/>
        <v>79</v>
      </c>
      <c r="B82" s="174" t="str">
        <v xml:space="preserve"> 99TH Ave &amp; BELL</v>
      </c>
      <c r="C82" s="175"/>
      <c r="D82" s="176"/>
      <c r="E82" s="177"/>
      <c r="F82" s="177"/>
      <c r="G82" s="178"/>
      <c r="H82" s="179"/>
      <c r="I82" s="179"/>
      <c r="J82" s="178"/>
      <c r="K82" s="182"/>
      <c r="L82" s="182"/>
      <c r="M82" s="153"/>
      <c r="N82" s="153"/>
      <c r="O82" s="63"/>
      <c r="P82" s="63"/>
      <c r="Q82" s="63"/>
      <c r="R82" s="63"/>
      <c r="S82" s="63"/>
      <c r="T82" s="63"/>
    </row>
    <row r="83" spans="1:20" ht="15.6">
      <c r="A83">
        <f t="shared" si="3"/>
        <v>80</v>
      </c>
      <c r="B83" s="154" t="str">
        <v>Rincon</v>
      </c>
      <c r="C83" s="147"/>
      <c r="D83" s="148"/>
      <c r="E83" s="149"/>
      <c r="F83" s="149"/>
      <c r="G83" s="150"/>
      <c r="H83" s="151"/>
      <c r="I83" s="151"/>
      <c r="J83" s="150"/>
      <c r="K83" s="170"/>
      <c r="L83" s="171"/>
      <c r="M83" s="153"/>
      <c r="N83" s="153"/>
      <c r="O83" s="63"/>
      <c r="P83" s="63"/>
      <c r="Q83" s="63"/>
      <c r="R83" s="63"/>
      <c r="S83" s="63"/>
      <c r="T83" s="63"/>
    </row>
    <row r="84" spans="1:20" ht="15.6">
      <c r="A84">
        <f t="shared" si="3"/>
        <v>81</v>
      </c>
      <c r="B84" s="154" t="str">
        <v>Tucson Main Parking Garage</v>
      </c>
      <c r="C84" s="147"/>
      <c r="D84" s="148"/>
      <c r="E84" s="149"/>
      <c r="F84" s="149"/>
      <c r="G84" s="150"/>
      <c r="H84" s="151"/>
      <c r="I84" s="151"/>
      <c r="J84" s="150"/>
      <c r="K84" s="152"/>
      <c r="L84" s="152"/>
      <c r="M84" s="153"/>
      <c r="N84" s="153"/>
      <c r="O84" s="63"/>
      <c r="P84" s="63"/>
      <c r="Q84" s="63"/>
      <c r="R84" s="63"/>
      <c r="S84" s="63"/>
      <c r="T84" s="63"/>
    </row>
    <row r="85" spans="1:20" ht="14.45">
      <c r="B85" s="18" t="str">
        <v>AZ: Chandler - Chandler Campus - Bldg A</v>
      </c>
      <c r="C85" s="30"/>
      <c r="D85" s="18"/>
      <c r="E85" s="18"/>
      <c r="F85" s="18"/>
      <c r="G85" s="142"/>
      <c r="H85" s="18"/>
      <c r="I85" s="18"/>
      <c r="J85" s="142"/>
      <c r="K85" s="18"/>
      <c r="L85" s="18"/>
    </row>
    <row r="86" spans="1:20" ht="14.45">
      <c r="B86" s="18" t="str">
        <v>AZ: Phoenix - Pinnacle Peak Ops</v>
      </c>
      <c r="C86" s="30"/>
      <c r="D86" s="18"/>
      <c r="E86" s="18"/>
      <c r="F86" s="18"/>
      <c r="G86" s="142"/>
      <c r="H86" s="18"/>
      <c r="I86" s="18"/>
      <c r="J86" s="142"/>
      <c r="K86" s="18"/>
      <c r="L86" s="18"/>
    </row>
    <row r="87" spans="1:20" ht="14.45">
      <c r="B87" s="18" t="str">
        <v>CA: Alhambra - North Alhambra</v>
      </c>
      <c r="C87" s="30"/>
      <c r="D87" s="18"/>
      <c r="E87" s="18"/>
      <c r="F87" s="18"/>
      <c r="G87" s="142"/>
      <c r="H87" s="18"/>
      <c r="I87" s="18"/>
      <c r="J87" s="142"/>
      <c r="K87" s="18"/>
      <c r="L87" s="18"/>
    </row>
    <row r="88" spans="1:20" ht="14.45">
      <c r="B88" s="18" t="str">
        <v>CA: La Canada - La Canada</v>
      </c>
      <c r="C88" s="30"/>
      <c r="D88" s="18"/>
      <c r="E88" s="18"/>
      <c r="F88" s="18"/>
      <c r="G88" s="142"/>
      <c r="H88" s="18"/>
      <c r="I88" s="18"/>
      <c r="J88" s="142"/>
      <c r="K88" s="18"/>
      <c r="L88" s="18"/>
    </row>
    <row r="89" spans="1:20" ht="14.45">
      <c r="B89" s="18" t="str">
        <v>CA: Laguna Beach - LAGUNA BEACH</v>
      </c>
      <c r="C89" s="30"/>
      <c r="D89" s="18"/>
      <c r="E89" s="18"/>
      <c r="F89" s="18"/>
      <c r="G89" s="142"/>
      <c r="H89" s="18"/>
      <c r="I89" s="18"/>
      <c r="J89" s="142"/>
      <c r="K89" s="18"/>
      <c r="L89" s="18"/>
    </row>
    <row r="90" spans="1:20" ht="14.45">
      <c r="B90" s="18" t="str">
        <v>CA: Newport Beach - MARINERS</v>
      </c>
      <c r="C90" s="30"/>
      <c r="D90" s="18"/>
      <c r="E90" s="18"/>
      <c r="F90" s="18"/>
      <c r="G90" s="142"/>
      <c r="H90" s="18"/>
      <c r="I90" s="18"/>
      <c r="J90" s="142"/>
      <c r="K90" s="18"/>
      <c r="L90" s="18"/>
    </row>
    <row r="91" spans="1:20" ht="14.45">
      <c r="B91" s="18"/>
      <c r="C91" s="30"/>
      <c r="D91" s="18"/>
      <c r="E91" s="18"/>
      <c r="F91" s="18"/>
      <c r="G91" s="142"/>
      <c r="H91" s="18"/>
      <c r="I91" s="18"/>
      <c r="J91" s="142"/>
      <c r="K91" s="18"/>
      <c r="L91" s="18"/>
    </row>
    <row r="92" spans="1:20" ht="14.45">
      <c r="B92" s="18"/>
      <c r="C92" s="30"/>
      <c r="D92" s="18"/>
      <c r="E92" s="18"/>
      <c r="F92" s="18"/>
      <c r="G92" s="142"/>
      <c r="H92" s="18"/>
      <c r="I92" s="18"/>
      <c r="J92" s="142"/>
      <c r="K92" s="18"/>
      <c r="L92" s="18"/>
    </row>
    <row r="93" spans="1:20" ht="14.45">
      <c r="B93" s="18"/>
      <c r="C93" s="30"/>
      <c r="D93" s="18"/>
      <c r="E93" s="18"/>
      <c r="F93" s="18"/>
      <c r="G93" s="142"/>
      <c r="H93" s="18"/>
      <c r="I93" s="18"/>
      <c r="J93" s="142"/>
      <c r="K93" s="18"/>
      <c r="L93" s="18"/>
    </row>
    <row r="94" spans="1:20" ht="14.45">
      <c r="B94" s="18"/>
      <c r="C94" s="30"/>
      <c r="D94" s="18"/>
      <c r="E94" s="18"/>
      <c r="F94" s="18"/>
      <c r="G94" s="142"/>
      <c r="H94" s="18"/>
      <c r="I94" s="18"/>
      <c r="J94" s="142"/>
      <c r="K94" s="18"/>
      <c r="L94" s="18"/>
    </row>
    <row r="95" spans="1:20" ht="14.45">
      <c r="B95" s="18"/>
      <c r="C95" s="30"/>
      <c r="D95" s="18"/>
      <c r="E95" s="18"/>
      <c r="F95" s="18"/>
      <c r="G95" s="142"/>
      <c r="H95" s="18"/>
      <c r="I95" s="18"/>
      <c r="J95" s="142"/>
      <c r="K95" s="18"/>
      <c r="L95" s="18"/>
    </row>
    <row r="96" spans="1:20" ht="14.4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4.4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4.4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4.4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4.4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4.4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4.4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4.4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4.4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4.4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4.4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4.4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4.4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4.4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4.4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4.4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4.4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4.4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4.4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4.4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4.4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4.4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4.4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4.4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4.4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4.4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4.4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4.4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4.4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4.4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4.4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4.4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4.4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4.4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4.4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4.4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4.4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4.4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4.4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4.4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4.4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4.4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4.4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4.4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4.4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4.4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4.4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4.4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4.4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4.4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4.4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4.4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4.4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4.4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4.4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4.4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4.4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4.4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4.4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4.4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4.4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4.4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4.4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4.4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4.4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4.4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4.4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4.4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4.4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4.4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4.4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4.4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4.4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4.4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4.4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4.4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4.4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4.4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4.4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4.4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4.4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4.4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4.4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4.4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4.4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4.4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4.4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4.4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4.4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4.4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4.4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4.4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4.4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4.4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4.4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4.4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4.4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4.4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4.4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4.4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4.4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4.4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4.4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4.4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4.4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4.4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4.4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4.4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4.4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4.4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4.4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4.4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4.4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4.4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4.4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4.4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4.4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4.4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4.4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4.4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4.4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4.4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4.4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4.4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4.4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4.4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4.4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4.4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4.4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4.4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4.4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4.4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4.4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4.4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4.4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4.4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4.4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4.4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4.4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4.4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4.4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4.4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4.4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4.4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4.4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4.4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4.4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4.4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4.4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4.4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4.4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4.4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4.4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4.4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4.4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4.4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4.4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4.4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4.4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4.4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4.45">
      <c r="B256" s="233" t="s">
        <v>119</v>
      </c>
      <c r="C256" s="233"/>
      <c r="D256" s="233"/>
      <c r="E256" s="18"/>
      <c r="F256" s="18"/>
      <c r="G256" s="19"/>
      <c r="H256" s="18"/>
      <c r="I256" s="18"/>
      <c r="J256" s="19"/>
      <c r="K256" s="18"/>
      <c r="L256" s="18"/>
    </row>
    <row r="257" spans="2:12" ht="14.45">
      <c r="B257" s="138" t="s">
        <v>120</v>
      </c>
      <c r="C257" s="138">
        <v>23</v>
      </c>
      <c r="D257" s="140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4.45">
      <c r="B258" s="138" t="s">
        <v>121</v>
      </c>
      <c r="C258" s="138">
        <v>18</v>
      </c>
      <c r="D258" s="140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4.45">
      <c r="B259" s="138" t="s">
        <v>122</v>
      </c>
      <c r="C259" s="138">
        <v>40</v>
      </c>
      <c r="D259" s="140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4.45">
      <c r="B260" s="138"/>
      <c r="C260" s="138"/>
      <c r="D260" s="138"/>
      <c r="E260" s="18"/>
      <c r="F260" s="18"/>
      <c r="G260" s="19"/>
      <c r="H260" s="18"/>
      <c r="I260" s="18"/>
      <c r="J260" s="19"/>
      <c r="K260" s="18"/>
      <c r="L260" s="18"/>
    </row>
    <row r="261" spans="2:12" ht="14.45">
      <c r="B261" s="138"/>
      <c r="C261" s="138"/>
      <c r="D261" s="138"/>
      <c r="E261" s="18"/>
      <c r="F261" s="18"/>
      <c r="G261" s="19"/>
      <c r="H261" s="18"/>
      <c r="I261" s="18"/>
      <c r="J261" s="19"/>
      <c r="K261" s="18"/>
      <c r="L261" s="18"/>
    </row>
    <row r="262" spans="2:12" ht="14.45">
      <c r="B262" s="233" t="s">
        <v>123</v>
      </c>
      <c r="C262" s="233"/>
      <c r="D262" s="233"/>
      <c r="E262" s="18"/>
      <c r="F262" s="18"/>
      <c r="G262" s="19"/>
      <c r="H262" s="18"/>
      <c r="I262" s="18"/>
      <c r="J262" s="19"/>
      <c r="K262" s="18"/>
      <c r="L262" s="18"/>
    </row>
    <row r="263" spans="2:12" ht="14.45">
      <c r="B263" s="138" t="s">
        <v>120</v>
      </c>
      <c r="C263" s="138">
        <v>58</v>
      </c>
      <c r="D263" s="140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4.45">
      <c r="B264" s="138" t="s">
        <v>121</v>
      </c>
      <c r="C264" s="138">
        <v>8</v>
      </c>
      <c r="D264" s="140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4.45">
      <c r="B265" s="138" t="s">
        <v>122</v>
      </c>
      <c r="C265" s="138">
        <v>15</v>
      </c>
      <c r="D265" s="140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4.4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4.4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4.4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4.4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4.4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4.4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4.4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4.4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4.4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4.4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4.4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4.4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4.4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4.4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4.4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4.4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4.4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4.4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4.4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4.4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4.4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4.4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4.4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4.4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4.4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4.4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4.4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4.4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4.4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4.4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4.4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4.4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4.4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4.4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4.4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4.4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4.4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4.4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4.4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4.4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4.4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4.4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4.4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4.4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4.4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4.4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4.4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4.4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4.4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4.4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4.4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4.4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4.4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4.4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4.4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4.4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4.4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4.4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4.4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4.4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4.4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4.4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4.4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4.4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4.4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4.4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4.4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 ht="14.45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1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zoomScale="70" zoomScaleNormal="70" workbookViewId="0">
      <pane xSplit="2" ySplit="3" topLeftCell="C38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35" t="str" cm="1">
        <f t="array" ref="A1">portfolio</f>
        <v>Wells Fargo</v>
      </c>
      <c r="B1" s="235"/>
      <c r="C1" s="235"/>
      <c r="D1" s="236" t="s">
        <v>124</v>
      </c>
      <c r="E1" s="236"/>
      <c r="F1" s="236"/>
      <c r="G1" s="234" t="s">
        <v>125</v>
      </c>
      <c r="H1" s="234"/>
      <c r="I1" s="234"/>
      <c r="J1" s="192"/>
      <c r="K1" s="192"/>
    </row>
    <row r="2" spans="1:11" ht="19.5" customHeight="1">
      <c r="A2" s="245" t="s">
        <v>2</v>
      </c>
      <c r="B2" s="245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19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192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194" t="s">
        <v>20</v>
      </c>
      <c r="K3" s="194" t="s">
        <v>21</v>
      </c>
    </row>
    <row r="4" spans="1:11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191"/>
      <c r="H5" s="17"/>
      <c r="I5" s="16" t="str">
        <f t="shared" ref="I5:I7" si="0">IFERROR(H5/G5, "")</f>
        <v/>
      </c>
      <c r="J5" s="49"/>
      <c r="K5" s="49"/>
    </row>
    <row r="6" spans="1:11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60"/>
      <c r="K6" s="85"/>
    </row>
    <row r="7" spans="1:11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49"/>
      <c r="K7" s="55"/>
    </row>
    <row r="8" spans="1:11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60"/>
      <c r="K8" s="60"/>
    </row>
    <row r="9" spans="1:11" ht="27" customHeight="1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49"/>
      <c r="K9" s="79"/>
    </row>
    <row r="10" spans="1:11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0"/>
      <c r="K10" s="60"/>
    </row>
    <row r="11" spans="1:11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49"/>
      <c r="K11" s="55"/>
    </row>
    <row r="12" spans="1:11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60"/>
      <c r="K12" s="60"/>
    </row>
    <row r="13" spans="1:11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49"/>
      <c r="K13" s="79"/>
    </row>
    <row r="14" spans="1:11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60"/>
      <c r="K14" s="85"/>
    </row>
    <row r="15" spans="1:11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49"/>
      <c r="K15" s="55"/>
    </row>
    <row r="16" spans="1:11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60"/>
      <c r="K16" s="60"/>
    </row>
    <row r="17" spans="1:12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170"/>
      <c r="K17" s="55"/>
    </row>
    <row r="18" spans="1:12" ht="27.7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60"/>
      <c r="K18" s="60"/>
    </row>
    <row r="19" spans="1:12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137"/>
      <c r="K19" s="79"/>
      <c r="L19" s="84"/>
    </row>
    <row r="20" spans="1:12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60"/>
      <c r="K20" s="85"/>
    </row>
    <row r="21" spans="1:12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49"/>
      <c r="K21" s="55"/>
    </row>
    <row r="22" spans="1:12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60"/>
      <c r="K22" s="85"/>
      <c r="L22" s="84"/>
    </row>
    <row r="23" spans="1:12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49"/>
      <c r="K23" s="55"/>
    </row>
    <row r="24" spans="1:12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60"/>
      <c r="K24" s="60"/>
    </row>
    <row r="25" spans="1:12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49"/>
      <c r="K25" s="55"/>
    </row>
    <row r="26" spans="1:12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60"/>
      <c r="K26" s="60"/>
    </row>
    <row r="27" spans="1:12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49"/>
      <c r="K27" s="55"/>
    </row>
    <row r="28" spans="1:12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60"/>
      <c r="K28" s="60"/>
    </row>
    <row r="29" spans="1:12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49"/>
      <c r="K29" s="55"/>
    </row>
    <row r="30" spans="1:12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60"/>
      <c r="K30" s="60"/>
    </row>
    <row r="31" spans="1:12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49"/>
      <c r="K31" s="55"/>
    </row>
    <row r="32" spans="1:12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60"/>
      <c r="K32" s="60"/>
    </row>
    <row r="33" spans="1:11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49"/>
      <c r="K33" s="55"/>
    </row>
    <row r="34" spans="1:11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60"/>
      <c r="K34" s="85"/>
    </row>
    <row r="35" spans="1:11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49"/>
      <c r="K35" s="55"/>
    </row>
    <row r="36" spans="1:11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60"/>
      <c r="K36" s="60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49"/>
      <c r="K37" s="55"/>
    </row>
    <row r="38" spans="1:11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60"/>
      <c r="K38" s="85"/>
    </row>
    <row r="39" spans="1:11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49"/>
      <c r="K39" s="55"/>
    </row>
    <row r="40" spans="1:11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60"/>
      <c r="K40" s="60"/>
    </row>
    <row r="41" spans="1:11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49"/>
      <c r="K41" s="55"/>
    </row>
    <row r="42" spans="1:11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60"/>
      <c r="K42" s="60"/>
    </row>
    <row r="43" spans="1:11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49"/>
      <c r="K43" s="55"/>
    </row>
    <row r="44" spans="1:11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0"/>
      <c r="K44" s="60"/>
    </row>
    <row r="45" spans="1:11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49"/>
      <c r="K45" s="55"/>
    </row>
    <row r="46" spans="1:11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0"/>
      <c r="K46" s="85"/>
    </row>
    <row r="47" spans="1:11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49"/>
      <c r="K47" s="79"/>
    </row>
    <row r="48" spans="1:11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0"/>
      <c r="K48" s="60"/>
    </row>
    <row r="49" spans="1:12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49"/>
      <c r="K49" s="55"/>
    </row>
    <row r="50" spans="1:12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60"/>
      <c r="K50" s="60"/>
    </row>
    <row r="51" spans="1:12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49"/>
      <c r="K51" s="55"/>
    </row>
    <row r="52" spans="1:12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60"/>
      <c r="K52" s="60"/>
    </row>
    <row r="53" spans="1:12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49"/>
      <c r="K53" s="55"/>
    </row>
    <row r="54" spans="1:12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60"/>
      <c r="K54" s="60"/>
    </row>
    <row r="55" spans="1:12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49"/>
      <c r="K55" s="55"/>
    </row>
    <row r="56" spans="1:12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60"/>
      <c r="K56" s="85"/>
    </row>
    <row r="57" spans="1:12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49"/>
      <c r="K57" s="79"/>
      <c r="L57" s="84"/>
    </row>
    <row r="58" spans="1:12" ht="19.5" customHeight="1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60"/>
      <c r="K58" s="85"/>
    </row>
    <row r="59" spans="1:12" ht="17.25" customHeight="1">
      <c r="A59" s="27" t="str">
        <v>Laurelton</v>
      </c>
      <c r="B59" s="28" t="str">
        <v>NJ</v>
      </c>
      <c r="C59" s="10"/>
      <c r="D59" s="15"/>
      <c r="E59" s="15"/>
      <c r="F59" s="16"/>
      <c r="G59" s="17"/>
      <c r="H59" s="17"/>
      <c r="I59" s="16"/>
      <c r="J59" s="49"/>
      <c r="K59" s="79"/>
    </row>
    <row r="60" spans="1:12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60"/>
      <c r="K60" s="85"/>
    </row>
    <row r="61" spans="1:12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49"/>
      <c r="K61" s="55"/>
    </row>
    <row r="62" spans="1:12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60"/>
      <c r="K62" s="85"/>
    </row>
    <row r="63" spans="1:12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49"/>
      <c r="K63" s="55"/>
    </row>
    <row r="64" spans="1:12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60"/>
      <c r="K64" s="60"/>
    </row>
    <row r="65" spans="1:13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49"/>
      <c r="K65" s="55"/>
    </row>
    <row r="66" spans="1:13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60"/>
      <c r="K66" s="60"/>
    </row>
    <row r="67" spans="1:13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49"/>
      <c r="K67" s="79"/>
    </row>
    <row r="68" spans="1:13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60"/>
      <c r="K68" s="60"/>
    </row>
    <row r="69" spans="1:13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3" ht="15.6">
      <c r="A70" s="25" t="str">
        <v>San Antonio - Ops Ctr GM</v>
      </c>
      <c r="B70" s="26" t="str">
        <v>TX</v>
      </c>
      <c r="C70" s="57"/>
      <c r="D70" s="11"/>
      <c r="E70" s="11"/>
      <c r="F70" s="12"/>
      <c r="G70" s="73"/>
      <c r="H70" s="13"/>
      <c r="I70" s="14"/>
      <c r="J70" s="61"/>
      <c r="K70" s="61"/>
    </row>
    <row r="71" spans="1:13" ht="15.6">
      <c r="A71" s="27" t="str">
        <v>San Antonio - Ctr (Bldg 201)</v>
      </c>
      <c r="B71" s="28" t="str">
        <v>TX</v>
      </c>
      <c r="C71" s="71"/>
      <c r="D71" s="15"/>
      <c r="E71" s="15"/>
      <c r="F71" s="16"/>
      <c r="G71" s="72"/>
      <c r="H71" s="17"/>
      <c r="I71" s="16"/>
      <c r="J71" s="49"/>
      <c r="K71" s="49"/>
    </row>
    <row r="72" spans="1:13" ht="15.6">
      <c r="A72" s="25" t="str">
        <v>San Antonio - Ops Ctr (Bldg 203)</v>
      </c>
      <c r="B72" s="26" t="str">
        <v>TX</v>
      </c>
      <c r="C72" s="57"/>
      <c r="D72" s="11"/>
      <c r="E72" s="11"/>
      <c r="F72" s="12"/>
      <c r="G72" s="73"/>
      <c r="H72" s="13"/>
      <c r="I72" s="14"/>
      <c r="J72" s="61"/>
      <c r="K72" s="61"/>
    </row>
    <row r="73" spans="1:13" ht="15.6">
      <c r="A73" s="27" t="str">
        <v>San Antonio - Ops Ctr (Bldg 205)</v>
      </c>
      <c r="B73" s="28" t="str">
        <v>TX</v>
      </c>
      <c r="C73" s="71"/>
      <c r="D73" s="15"/>
      <c r="E73" s="15"/>
      <c r="F73" s="16"/>
      <c r="G73" s="72"/>
      <c r="H73" s="17"/>
      <c r="I73" s="16"/>
      <c r="J73" s="49"/>
      <c r="K73" s="49"/>
    </row>
    <row r="74" spans="1:13" ht="15.6">
      <c r="A74" s="25" t="str">
        <v>San Antonio - Ops Ctr (Bldg 307)</v>
      </c>
      <c r="B74" s="26" t="str">
        <v>TX</v>
      </c>
      <c r="C74" s="57"/>
      <c r="D74" s="11"/>
      <c r="E74" s="11"/>
      <c r="F74" s="12"/>
      <c r="G74" s="73"/>
      <c r="H74" s="13"/>
      <c r="I74" s="14"/>
      <c r="J74" s="61"/>
      <c r="K74" s="61"/>
    </row>
    <row r="75" spans="1:13" ht="15.6">
      <c r="A75" s="27" t="str">
        <v>San Antonio - Ctr (Bldg 308)</v>
      </c>
      <c r="B75" s="28" t="str">
        <v>TX</v>
      </c>
      <c r="C75" s="71"/>
      <c r="D75" s="15"/>
      <c r="E75" s="15"/>
      <c r="F75" s="16"/>
      <c r="G75" s="72"/>
      <c r="H75" s="17"/>
      <c r="I75" s="16"/>
      <c r="J75" s="49"/>
      <c r="K75" s="79"/>
    </row>
    <row r="76" spans="1:13" ht="15.6">
      <c r="A76" s="25" t="str">
        <v>San Antonio - Ops Ctr (Bldg 104)</v>
      </c>
      <c r="B76" s="26" t="str">
        <v>TX</v>
      </c>
      <c r="C76" s="57"/>
      <c r="D76" s="11"/>
      <c r="E76" s="11"/>
      <c r="F76" s="12"/>
      <c r="G76" s="73"/>
      <c r="H76" s="13"/>
      <c r="I76" s="14"/>
      <c r="J76" s="61"/>
      <c r="K76" s="61"/>
    </row>
    <row r="77" spans="1:13" ht="15.6">
      <c r="A77" s="27" t="str">
        <v>San Antonio - Ops Ctr (Bldg 102)</v>
      </c>
      <c r="B77" s="28" t="str">
        <v>TX</v>
      </c>
      <c r="C77" s="71"/>
      <c r="D77" s="15"/>
      <c r="E77" s="15"/>
      <c r="F77" s="16"/>
      <c r="G77" s="72"/>
      <c r="H77" s="17"/>
      <c r="I77" s="16"/>
      <c r="J77" s="49"/>
      <c r="K77" s="49"/>
    </row>
    <row r="78" spans="1:13" ht="15.6">
      <c r="A78" s="25" t="str">
        <v>N Black Canyon Hwy, Phoenix - North</v>
      </c>
      <c r="B78" s="26" t="str">
        <v>AZ</v>
      </c>
      <c r="C78" s="57"/>
      <c r="D78" s="11"/>
      <c r="E78" s="11"/>
      <c r="F78" s="12"/>
      <c r="G78" s="73"/>
      <c r="H78" s="13"/>
      <c r="I78" s="14"/>
      <c r="J78" s="61"/>
      <c r="K78" s="81"/>
      <c r="L78" s="84"/>
      <c r="M78" s="84"/>
    </row>
    <row r="79" spans="1:13" ht="45.75" customHeight="1">
      <c r="A79" s="27" t="str">
        <v>N Black Canyon Hwy, Phoenix - South</v>
      </c>
      <c r="B79" s="28" t="str">
        <v>AZ</v>
      </c>
      <c r="C79" s="71"/>
      <c r="D79" s="15"/>
      <c r="E79" s="15"/>
      <c r="F79" s="16"/>
      <c r="G79" s="72"/>
      <c r="H79" s="17"/>
      <c r="I79" s="16"/>
      <c r="J79" s="49"/>
      <c r="K79" s="49"/>
    </row>
    <row r="80" spans="1:13" ht="15.6">
      <c r="A80" s="25" t="str">
        <v xml:space="preserve"> Building 2222, Rose Garden Ln, Phoenix</v>
      </c>
      <c r="B80" s="26" t="str">
        <v>AZ</v>
      </c>
      <c r="C80" s="57"/>
      <c r="D80" s="11"/>
      <c r="E80" s="11"/>
      <c r="F80" s="12"/>
      <c r="G80" s="73"/>
      <c r="H80" s="13"/>
      <c r="I80" s="14"/>
      <c r="J80" s="61"/>
      <c r="K80" s="61"/>
    </row>
    <row r="81" spans="1:11" ht="15.6">
      <c r="A81" s="27" t="str">
        <v xml:space="preserve"> Building 2202, Rose Garden Ln, Phoenix</v>
      </c>
      <c r="B81" s="28" t="str">
        <v>AZ</v>
      </c>
      <c r="C81" s="71"/>
      <c r="D81" s="15"/>
      <c r="E81" s="15"/>
      <c r="F81" s="16"/>
      <c r="G81" s="72"/>
      <c r="H81" s="17"/>
      <c r="I81" s="16"/>
      <c r="J81" s="49"/>
      <c r="K81" s="49"/>
    </row>
    <row r="82" spans="1:11" ht="15.6">
      <c r="A82" s="25" t="str">
        <v xml:space="preserve"> 99TH Ave &amp; BELL</v>
      </c>
      <c r="B82" s="26" t="str">
        <v>AZ</v>
      </c>
      <c r="C82" s="57"/>
      <c r="D82" s="11"/>
      <c r="E82" s="11"/>
      <c r="F82" s="12"/>
      <c r="G82" s="73"/>
      <c r="H82" s="13"/>
      <c r="I82" s="14"/>
      <c r="J82" s="61"/>
      <c r="K82" s="61"/>
    </row>
    <row r="83" spans="1:11" ht="15.6">
      <c r="A83" s="27" t="str">
        <v>Rincon</v>
      </c>
      <c r="B83" s="28" t="str">
        <v>AZ</v>
      </c>
      <c r="C83" s="71"/>
      <c r="D83" s="15"/>
      <c r="E83" s="15"/>
      <c r="F83" s="16"/>
      <c r="G83" s="72"/>
      <c r="H83" s="17"/>
      <c r="I83" s="16"/>
      <c r="J83" s="49"/>
      <c r="K83" s="79"/>
    </row>
    <row r="84" spans="1:11" ht="15.6">
      <c r="A84" s="25" t="str">
        <v>Tucson Main Parking Garage</v>
      </c>
      <c r="B84" s="26" t="str">
        <v>AZ</v>
      </c>
      <c r="C84" s="57"/>
      <c r="D84" s="11"/>
      <c r="E84" s="11"/>
      <c r="F84" s="12"/>
      <c r="G84" s="73"/>
      <c r="H84" s="13"/>
      <c r="I84" s="14"/>
      <c r="J84" s="61"/>
      <c r="K84" s="61"/>
    </row>
    <row r="85" spans="1:11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 ht="14.45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1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S332"/>
  <sheetViews>
    <sheetView zoomScale="70" zoomScaleNormal="70" workbookViewId="0">
      <pane xSplit="2" ySplit="3" topLeftCell="C35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4.45"/>
  <cols>
    <col min="1" max="1" width="49.855468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222" customWidth="1"/>
    <col min="11" max="11" width="20.5703125" style="222" bestFit="1" customWidth="1"/>
    <col min="12" max="13" width="8.85546875" style="223"/>
  </cols>
  <sheetData>
    <row r="1" spans="1:15" ht="19.5" customHeight="1">
      <c r="A1" s="235" t="str" cm="1">
        <f t="array" ref="A1">portfolio</f>
        <v>Wells Fargo</v>
      </c>
      <c r="B1" s="235"/>
      <c r="C1" s="235"/>
      <c r="D1" s="236" t="s">
        <v>126</v>
      </c>
      <c r="E1" s="236"/>
      <c r="F1" s="236"/>
      <c r="G1" s="234" t="s">
        <v>127</v>
      </c>
      <c r="H1" s="234"/>
      <c r="I1" s="234"/>
      <c r="J1" s="219"/>
      <c r="K1" s="219"/>
    </row>
    <row r="2" spans="1:15" ht="19.5" customHeight="1">
      <c r="A2" s="245" t="s">
        <v>2</v>
      </c>
      <c r="B2" s="245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19"/>
    </row>
    <row r="3" spans="1:15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1" t="s">
        <v>20</v>
      </c>
      <c r="K3" s="221" t="s">
        <v>21</v>
      </c>
      <c r="L3" s="221" t="s">
        <v>22</v>
      </c>
      <c r="M3" s="221"/>
    </row>
    <row r="4" spans="1:15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/>
      <c r="G4" s="13"/>
      <c r="H4" s="13"/>
      <c r="I4" s="14" t="str">
        <f>IFERROR(H4/G4, "")</f>
        <v/>
      </c>
      <c r="J4" s="217"/>
      <c r="K4" s="217"/>
      <c r="L4" s="224"/>
      <c r="M4" s="224"/>
      <c r="N4" s="63"/>
      <c r="O4" s="63"/>
    </row>
    <row r="5" spans="1:15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17"/>
      <c r="H5" s="17"/>
      <c r="I5" s="16" t="str">
        <f t="shared" ref="I5:I7" si="0">IFERROR(H5/G5, "")</f>
        <v/>
      </c>
      <c r="J5" s="251"/>
      <c r="K5" s="251"/>
      <c r="L5" s="224"/>
      <c r="M5" s="224"/>
      <c r="N5" s="63"/>
      <c r="O5" s="63"/>
    </row>
    <row r="6" spans="1:15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217"/>
      <c r="K6" s="76"/>
      <c r="L6" s="225"/>
      <c r="M6" s="225"/>
      <c r="N6" s="63"/>
      <c r="O6" s="63"/>
    </row>
    <row r="7" spans="1:15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251"/>
      <c r="K7" s="251"/>
      <c r="L7" s="224"/>
      <c r="M7" s="224"/>
      <c r="N7" s="63"/>
      <c r="O7" s="63"/>
    </row>
    <row r="8" spans="1:15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217"/>
      <c r="K8" s="217"/>
      <c r="L8" s="224"/>
      <c r="M8" s="224"/>
      <c r="N8" s="63"/>
      <c r="O8" s="63"/>
    </row>
    <row r="9" spans="1:15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251"/>
      <c r="K9" s="251"/>
      <c r="L9" s="224"/>
      <c r="M9" s="224"/>
      <c r="N9" s="63"/>
      <c r="O9" s="63"/>
    </row>
    <row r="10" spans="1:15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217"/>
      <c r="K10" s="76"/>
      <c r="L10" s="224"/>
      <c r="M10" s="224"/>
      <c r="N10" s="63"/>
      <c r="O10" s="63"/>
    </row>
    <row r="11" spans="1:15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251"/>
      <c r="K11" s="251"/>
      <c r="L11" s="224"/>
      <c r="M11" s="224"/>
      <c r="N11" s="63"/>
      <c r="O11" s="63"/>
    </row>
    <row r="12" spans="1:15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217"/>
      <c r="K12" s="217"/>
      <c r="L12" s="224"/>
      <c r="M12" s="224"/>
      <c r="N12" s="63"/>
      <c r="O12" s="63"/>
    </row>
    <row r="13" spans="1:15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251"/>
      <c r="K13" s="251"/>
      <c r="L13" s="224"/>
      <c r="M13" s="224"/>
      <c r="N13" s="63"/>
      <c r="O13" s="63"/>
    </row>
    <row r="14" spans="1:15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217"/>
      <c r="K14" s="217"/>
      <c r="L14" s="224"/>
      <c r="M14" s="224"/>
      <c r="N14" s="63"/>
      <c r="O14" s="63"/>
    </row>
    <row r="15" spans="1:15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251"/>
      <c r="K15" s="251"/>
      <c r="L15" s="224"/>
      <c r="M15" s="224"/>
      <c r="N15" s="63"/>
      <c r="O15" s="63"/>
    </row>
    <row r="16" spans="1:15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217"/>
      <c r="K16" s="217"/>
      <c r="L16" s="224"/>
      <c r="M16" s="224"/>
      <c r="N16" s="63"/>
      <c r="O16" s="63"/>
    </row>
    <row r="17" spans="1:15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251"/>
      <c r="K17" s="251"/>
      <c r="L17" s="224"/>
      <c r="M17" s="224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217"/>
      <c r="K18" s="76"/>
      <c r="L18" s="225"/>
      <c r="M18" s="225"/>
      <c r="N18" s="63"/>
      <c r="O18" s="63"/>
    </row>
    <row r="19" spans="1:15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251"/>
      <c r="K19" s="251"/>
      <c r="L19" s="224"/>
      <c r="M19" s="224"/>
      <c r="N19" s="63"/>
      <c r="O19" s="63"/>
    </row>
    <row r="20" spans="1:15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217"/>
      <c r="K20" s="217"/>
      <c r="L20" s="224"/>
      <c r="M20" s="224"/>
      <c r="N20" s="63"/>
      <c r="O20" s="63"/>
    </row>
    <row r="21" spans="1:15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251"/>
      <c r="K21" s="251"/>
      <c r="L21" s="224"/>
      <c r="M21" s="224"/>
      <c r="N21" s="63"/>
      <c r="O21" s="63"/>
    </row>
    <row r="22" spans="1:15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217"/>
      <c r="K22" s="76"/>
      <c r="L22" s="224"/>
      <c r="M22" s="224"/>
      <c r="N22" s="63"/>
      <c r="O22" s="63"/>
    </row>
    <row r="23" spans="1:15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251"/>
      <c r="K23" s="252"/>
      <c r="L23" s="224"/>
      <c r="M23" s="224"/>
      <c r="N23" s="63"/>
      <c r="O23" s="63"/>
    </row>
    <row r="24" spans="1:15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218"/>
      <c r="K24" s="76"/>
      <c r="L24" s="224"/>
      <c r="M24" s="224"/>
      <c r="N24" s="63"/>
      <c r="O24" s="63"/>
    </row>
    <row r="25" spans="1:15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K25" s="251"/>
      <c r="L25" s="224"/>
      <c r="M25" s="224"/>
      <c r="N25" s="63"/>
      <c r="O25" s="63"/>
    </row>
    <row r="26" spans="1:15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217"/>
      <c r="K26" s="76"/>
      <c r="L26" s="224"/>
      <c r="M26" s="224"/>
      <c r="N26" s="63"/>
      <c r="O26" s="63"/>
    </row>
    <row r="27" spans="1:15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251"/>
      <c r="K27" s="251"/>
      <c r="L27" s="224"/>
      <c r="M27" s="224"/>
      <c r="N27" s="63"/>
      <c r="O27" s="63"/>
    </row>
    <row r="28" spans="1:15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217"/>
      <c r="K28" s="217"/>
      <c r="L28" s="224"/>
      <c r="M28" s="224"/>
      <c r="N28" s="63"/>
      <c r="O28" s="63"/>
    </row>
    <row r="29" spans="1:15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251"/>
      <c r="K29" s="251"/>
      <c r="L29" s="224"/>
      <c r="M29" s="224"/>
      <c r="N29" s="63"/>
      <c r="O29" s="63"/>
    </row>
    <row r="30" spans="1:15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217"/>
      <c r="K30" s="217"/>
      <c r="L30" s="224"/>
      <c r="M30" s="224"/>
      <c r="N30" s="63"/>
      <c r="O30" s="63"/>
    </row>
    <row r="31" spans="1:15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251"/>
      <c r="K31" s="251"/>
      <c r="L31" s="224"/>
      <c r="M31" s="224"/>
      <c r="N31" s="63"/>
      <c r="O31" s="63"/>
    </row>
    <row r="32" spans="1:15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217"/>
      <c r="K32" s="76"/>
      <c r="L32" s="225"/>
      <c r="M32" s="216"/>
      <c r="N32" s="63"/>
      <c r="O32" s="63"/>
    </row>
    <row r="33" spans="1:19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251"/>
      <c r="K33" s="79"/>
      <c r="L33" s="225"/>
      <c r="M33" s="225"/>
      <c r="N33" s="63"/>
      <c r="O33" s="63"/>
    </row>
    <row r="34" spans="1:19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217"/>
      <c r="K34" s="76"/>
      <c r="L34" s="224"/>
      <c r="M34" s="224"/>
      <c r="N34" s="63"/>
      <c r="O34" s="63"/>
    </row>
    <row r="35" spans="1:19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251"/>
      <c r="K35" s="79"/>
      <c r="L35" s="225"/>
      <c r="M35" s="216"/>
      <c r="N35" s="63"/>
      <c r="O35" s="63"/>
    </row>
    <row r="36" spans="1:19" s="141" customFormat="1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217"/>
      <c r="K36" s="76"/>
      <c r="L36" s="224"/>
      <c r="M36" s="224"/>
      <c r="N36" s="63"/>
      <c r="O36" s="63"/>
      <c r="P36"/>
      <c r="Q36"/>
      <c r="R36"/>
      <c r="S36"/>
    </row>
    <row r="37" spans="1:19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251"/>
      <c r="K37" s="83"/>
      <c r="L37" s="224"/>
      <c r="M37" s="224"/>
      <c r="N37" s="63"/>
      <c r="O37" s="63"/>
    </row>
    <row r="38" spans="1:19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217"/>
      <c r="K38" s="217"/>
      <c r="L38" s="224"/>
      <c r="M38" s="224"/>
      <c r="N38" s="63"/>
      <c r="O38" s="63"/>
    </row>
    <row r="39" spans="1:19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251"/>
      <c r="K39" s="251"/>
      <c r="L39" s="224"/>
      <c r="M39" s="224"/>
      <c r="N39" s="63"/>
      <c r="O39" s="63"/>
    </row>
    <row r="40" spans="1:19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217"/>
      <c r="K40" s="217"/>
      <c r="L40" s="224"/>
      <c r="M40" s="224"/>
      <c r="N40" s="63"/>
      <c r="O40" s="63"/>
    </row>
    <row r="41" spans="1:19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251"/>
      <c r="K41" s="251"/>
      <c r="L41" s="224"/>
      <c r="M41" s="224"/>
      <c r="N41" s="63"/>
      <c r="O41" s="63"/>
    </row>
    <row r="42" spans="1:19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217"/>
      <c r="K42" s="217"/>
      <c r="L42" s="224"/>
      <c r="M42" s="224"/>
      <c r="N42" s="63"/>
      <c r="O42" s="63"/>
    </row>
    <row r="43" spans="1:19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251"/>
      <c r="K43" s="251"/>
      <c r="L43" s="224"/>
      <c r="M43" s="224"/>
      <c r="N43" s="63"/>
      <c r="O43" s="63"/>
    </row>
    <row r="44" spans="1:19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217"/>
      <c r="K44" s="217"/>
      <c r="L44" s="224"/>
      <c r="M44" s="224"/>
      <c r="N44" s="63"/>
      <c r="O44" s="63"/>
    </row>
    <row r="45" spans="1:19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251"/>
      <c r="K45" s="251"/>
      <c r="L45" s="224"/>
      <c r="M45" s="224"/>
      <c r="N45" s="63"/>
      <c r="O45" s="63"/>
    </row>
    <row r="46" spans="1:19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217"/>
      <c r="K46" s="76"/>
      <c r="L46" s="224"/>
      <c r="M46" s="224"/>
      <c r="N46" s="63"/>
      <c r="O46" s="63"/>
    </row>
    <row r="47" spans="1:19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251"/>
      <c r="K47" s="78"/>
      <c r="L47" s="224"/>
      <c r="M47" s="224"/>
      <c r="N47" s="63"/>
      <c r="O47" s="63"/>
    </row>
    <row r="48" spans="1:19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217"/>
      <c r="K48" s="217"/>
      <c r="L48" s="224"/>
      <c r="M48" s="224"/>
      <c r="N48" s="63"/>
      <c r="O48" s="63"/>
    </row>
    <row r="49" spans="1:15" ht="16.5" customHeight="1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251"/>
      <c r="K49" s="251"/>
      <c r="L49" s="224"/>
      <c r="M49" s="224"/>
      <c r="N49" s="63"/>
      <c r="O49" s="63"/>
    </row>
    <row r="50" spans="1:15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217"/>
      <c r="K50" s="217"/>
      <c r="L50" s="224"/>
      <c r="M50" s="224"/>
      <c r="N50" s="63"/>
      <c r="O50" s="63"/>
    </row>
    <row r="51" spans="1:15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251"/>
      <c r="K51" s="78"/>
      <c r="L51" s="224"/>
      <c r="M51" s="224"/>
      <c r="N51" s="63"/>
      <c r="O51" s="63"/>
    </row>
    <row r="52" spans="1:15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217"/>
      <c r="K52" s="217"/>
      <c r="L52" s="224"/>
      <c r="M52" s="224"/>
      <c r="N52" s="63"/>
      <c r="O52" s="63"/>
    </row>
    <row r="53" spans="1:15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251"/>
      <c r="K53" s="251"/>
      <c r="L53" s="224"/>
      <c r="M53" s="224"/>
      <c r="N53" s="63"/>
      <c r="O53" s="63"/>
    </row>
    <row r="54" spans="1:15" ht="81.75" customHeight="1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217"/>
      <c r="K54" s="217"/>
      <c r="L54" s="224"/>
      <c r="M54" s="224"/>
      <c r="N54" s="63"/>
      <c r="O54" s="63"/>
    </row>
    <row r="55" spans="1:15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251"/>
      <c r="K55" s="252"/>
      <c r="L55" s="224"/>
      <c r="M55" s="224"/>
      <c r="N55" s="63"/>
      <c r="O55" s="63"/>
    </row>
    <row r="56" spans="1:15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217"/>
      <c r="K56" s="217"/>
      <c r="L56" s="224"/>
      <c r="M56" s="224"/>
      <c r="N56" s="63"/>
      <c r="O56" s="63"/>
    </row>
    <row r="57" spans="1:15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251"/>
      <c r="K57" s="251"/>
      <c r="L57" s="224"/>
      <c r="M57" s="224"/>
      <c r="N57" s="63"/>
      <c r="O57" s="63"/>
    </row>
    <row r="58" spans="1:15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217"/>
      <c r="K58" s="217"/>
      <c r="L58" s="224"/>
      <c r="M58" s="224"/>
      <c r="N58" s="63"/>
      <c r="O58" s="63"/>
    </row>
    <row r="59" spans="1:15" ht="15.6">
      <c r="A59" s="27" t="str">
        <v>Laurelton</v>
      </c>
      <c r="B59" s="28" t="str">
        <v>NJ</v>
      </c>
      <c r="C59" s="10"/>
      <c r="D59" s="10"/>
      <c r="E59" s="15"/>
      <c r="F59" s="16"/>
      <c r="G59" s="10"/>
      <c r="H59" s="17"/>
      <c r="I59" s="16"/>
      <c r="J59" s="251"/>
      <c r="K59" s="83"/>
      <c r="L59" s="224"/>
      <c r="M59" s="224"/>
      <c r="N59" s="63"/>
      <c r="O59" s="63"/>
    </row>
    <row r="60" spans="1:15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217"/>
      <c r="K60" s="76"/>
      <c r="L60" s="224"/>
      <c r="M60" s="224"/>
      <c r="N60" s="63"/>
      <c r="O60" s="63"/>
    </row>
    <row r="61" spans="1:15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251"/>
      <c r="K61" s="251"/>
      <c r="L61" s="224"/>
      <c r="M61" s="224"/>
      <c r="N61" s="63"/>
      <c r="O61" s="63"/>
    </row>
    <row r="62" spans="1:15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217"/>
      <c r="K62" s="217"/>
      <c r="L62" s="224"/>
      <c r="M62" s="224"/>
      <c r="N62" s="63"/>
      <c r="O62" s="63"/>
    </row>
    <row r="63" spans="1:15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251"/>
      <c r="K63" s="251"/>
      <c r="L63" s="224"/>
      <c r="M63" s="224"/>
      <c r="N63" s="63"/>
      <c r="O63" s="63"/>
    </row>
    <row r="64" spans="1:15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217"/>
      <c r="K64" s="217"/>
      <c r="L64" s="224"/>
      <c r="M64" s="224"/>
      <c r="N64" s="63"/>
      <c r="O64" s="63"/>
    </row>
    <row r="65" spans="1:15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251"/>
      <c r="K65" s="251"/>
      <c r="L65" s="224"/>
      <c r="M65" s="224"/>
      <c r="N65" s="63"/>
      <c r="O65" s="63"/>
    </row>
    <row r="66" spans="1:15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217"/>
      <c r="K66" s="217"/>
      <c r="L66" s="224"/>
      <c r="M66" s="224"/>
      <c r="N66" s="63"/>
      <c r="O66" s="63"/>
    </row>
    <row r="67" spans="1:15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251"/>
      <c r="K67" s="251"/>
      <c r="L67" s="224"/>
      <c r="M67" s="224"/>
      <c r="N67" s="63"/>
      <c r="O67" s="63"/>
    </row>
    <row r="68" spans="1:15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217"/>
      <c r="K68" s="217"/>
      <c r="L68" s="224"/>
      <c r="M68" s="224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251"/>
      <c r="K69" s="83"/>
      <c r="L69" s="224"/>
      <c r="M69" s="224"/>
      <c r="N69" s="63"/>
      <c r="O69" s="63"/>
    </row>
    <row r="70" spans="1:15" ht="15.6">
      <c r="A70" s="25" t="str">
        <v>San Antonio - Ops Ctr GM</v>
      </c>
      <c r="B70" s="26" t="str">
        <v>TX</v>
      </c>
      <c r="C70" s="57"/>
      <c r="D70" s="11"/>
      <c r="E70" s="11"/>
      <c r="F70" s="12"/>
      <c r="G70" s="73"/>
      <c r="H70" s="13"/>
      <c r="I70" s="14"/>
      <c r="J70" s="218"/>
      <c r="K70" s="226"/>
      <c r="L70" s="224"/>
      <c r="M70" s="224"/>
      <c r="N70" s="63"/>
      <c r="O70" s="63"/>
    </row>
    <row r="71" spans="1:15" ht="15.6">
      <c r="A71" s="27" t="str">
        <v>San Antonio - Ctr (Bldg 201)</v>
      </c>
      <c r="B71" s="28" t="str">
        <v>TX</v>
      </c>
      <c r="C71" s="71"/>
      <c r="D71" s="15"/>
      <c r="E71" s="15"/>
      <c r="F71" s="16"/>
      <c r="G71" s="72"/>
      <c r="H71" s="17"/>
      <c r="I71" s="16"/>
      <c r="J71" s="251"/>
      <c r="K71" s="251"/>
      <c r="L71" s="224"/>
      <c r="M71" s="224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57"/>
      <c r="D72" s="11"/>
      <c r="E72" s="11"/>
      <c r="F72" s="12"/>
      <c r="G72" s="73"/>
      <c r="H72" s="13"/>
      <c r="I72" s="14"/>
      <c r="J72" s="218"/>
      <c r="K72" s="218"/>
      <c r="L72" s="224"/>
      <c r="M72" s="224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71"/>
      <c r="D73" s="15"/>
      <c r="E73" s="15"/>
      <c r="F73" s="16"/>
      <c r="G73" s="72"/>
      <c r="H73" s="17"/>
      <c r="I73" s="16"/>
      <c r="J73" s="251"/>
      <c r="K73" s="83"/>
      <c r="L73" s="224"/>
      <c r="M73" s="224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57"/>
      <c r="D74" s="11"/>
      <c r="E74" s="11"/>
      <c r="F74" s="12"/>
      <c r="G74" s="73"/>
      <c r="H74" s="13"/>
      <c r="I74" s="14"/>
      <c r="J74" s="218"/>
      <c r="K74" s="218"/>
      <c r="L74" s="224"/>
      <c r="M74" s="224"/>
      <c r="N74" s="63"/>
      <c r="O74" s="63"/>
    </row>
    <row r="75" spans="1:15" ht="15.6">
      <c r="A75" s="27" t="str">
        <v>San Antonio - Ctr (Bldg 308)</v>
      </c>
      <c r="B75" s="28" t="str">
        <v>TX</v>
      </c>
      <c r="C75" s="71"/>
      <c r="D75" s="15"/>
      <c r="E75" s="15"/>
      <c r="F75" s="16"/>
      <c r="G75" s="72"/>
      <c r="H75" s="17"/>
      <c r="I75" s="16"/>
      <c r="J75" s="251"/>
      <c r="K75" s="79"/>
      <c r="L75" s="224"/>
      <c r="M75" s="224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57"/>
      <c r="D76" s="11"/>
      <c r="E76" s="11"/>
      <c r="F76" s="12"/>
      <c r="G76" s="73"/>
      <c r="H76" s="13"/>
      <c r="I76" s="14"/>
      <c r="J76" s="218"/>
      <c r="K76" s="218"/>
      <c r="L76" s="224"/>
      <c r="M76" s="224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71"/>
      <c r="D77" s="15"/>
      <c r="E77" s="15"/>
      <c r="F77" s="16"/>
      <c r="G77" s="72"/>
      <c r="H77" s="17"/>
      <c r="I77" s="16"/>
      <c r="J77" s="251"/>
      <c r="K77" s="251"/>
      <c r="L77" s="224"/>
      <c r="M77" s="224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57"/>
      <c r="D78" s="11"/>
      <c r="E78" s="11"/>
      <c r="F78" s="12"/>
      <c r="G78" s="73"/>
      <c r="H78" s="13"/>
      <c r="I78" s="14"/>
      <c r="J78" s="218"/>
      <c r="K78" s="218"/>
      <c r="L78" s="224"/>
      <c r="M78" s="224"/>
      <c r="N78" s="63"/>
      <c r="O78" s="63"/>
    </row>
    <row r="79" spans="1:15" ht="52.5" customHeight="1">
      <c r="A79" s="27" t="str">
        <v>N Black Canyon Hwy, Phoenix - South</v>
      </c>
      <c r="B79" s="28" t="str">
        <v>AZ</v>
      </c>
      <c r="C79" s="71"/>
      <c r="D79" s="15"/>
      <c r="E79" s="15"/>
      <c r="F79" s="16"/>
      <c r="G79" s="72"/>
      <c r="H79" s="17"/>
      <c r="I79" s="16"/>
      <c r="J79" s="251"/>
      <c r="K79" s="83"/>
      <c r="L79" s="225"/>
      <c r="M79" s="216"/>
      <c r="N79" s="84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57"/>
      <c r="D80" s="11"/>
      <c r="E80" s="11"/>
      <c r="F80" s="12"/>
      <c r="G80" s="73"/>
      <c r="H80" s="13"/>
      <c r="I80" s="14"/>
      <c r="J80" s="218"/>
      <c r="K80" s="218"/>
      <c r="L80" s="224"/>
      <c r="M80" s="224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71"/>
      <c r="D81" s="15"/>
      <c r="E81" s="15"/>
      <c r="F81" s="16"/>
      <c r="G81" s="72"/>
      <c r="H81" s="17"/>
      <c r="I81" s="16"/>
      <c r="J81" s="251"/>
      <c r="K81" s="251"/>
      <c r="L81" s="224"/>
      <c r="M81" s="224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57"/>
      <c r="D82" s="11"/>
      <c r="E82" s="11"/>
      <c r="F82" s="12"/>
      <c r="G82" s="73"/>
      <c r="H82" s="13"/>
      <c r="I82" s="14"/>
      <c r="J82" s="218"/>
      <c r="K82" s="218"/>
      <c r="L82" s="224"/>
      <c r="M82" s="224"/>
      <c r="N82" s="63"/>
      <c r="O82" s="63"/>
    </row>
    <row r="83" spans="1:15" ht="15.6">
      <c r="A83" s="27" t="str">
        <v>Rincon</v>
      </c>
      <c r="B83" s="28" t="str">
        <v>AZ</v>
      </c>
      <c r="C83" s="71"/>
      <c r="D83" s="15"/>
      <c r="E83" s="15"/>
      <c r="F83" s="16"/>
      <c r="G83" s="72"/>
      <c r="H83" s="17"/>
      <c r="I83" s="16"/>
      <c r="J83" s="251"/>
      <c r="K83" s="251"/>
      <c r="L83" s="224"/>
      <c r="M83" s="224"/>
      <c r="N83" s="63"/>
      <c r="O83" s="63"/>
    </row>
    <row r="84" spans="1:15" ht="62.25" customHeight="1">
      <c r="A84" s="25" t="str">
        <v>Tucson Main Parking Garage</v>
      </c>
      <c r="B84" s="26" t="str">
        <v>AZ</v>
      </c>
      <c r="C84" s="57"/>
      <c r="D84" s="11"/>
      <c r="E84" s="11"/>
      <c r="F84" s="12"/>
      <c r="G84" s="73"/>
      <c r="H84" s="13"/>
      <c r="I84" s="14"/>
      <c r="J84" s="218"/>
      <c r="K84" s="226"/>
      <c r="L84" s="224"/>
      <c r="M84" s="224"/>
      <c r="N84" s="63"/>
      <c r="O84" s="63"/>
    </row>
    <row r="85" spans="1:1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</row>
    <row r="86" spans="1:1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</row>
    <row r="87" spans="1:1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</row>
    <row r="88" spans="1:1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</row>
    <row r="89" spans="1:1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</row>
    <row r="90" spans="1:1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</row>
    <row r="91" spans="1:15">
      <c r="A91" s="18"/>
      <c r="B91" s="30"/>
      <c r="C91" s="18"/>
      <c r="D91" s="18"/>
      <c r="E91" s="18"/>
      <c r="F91" s="19"/>
      <c r="G91" s="18"/>
      <c r="H91" s="18"/>
      <c r="I91" s="19"/>
    </row>
    <row r="92" spans="1:15">
      <c r="A92" s="18"/>
      <c r="B92" s="30"/>
      <c r="C92" s="18"/>
      <c r="D92" s="18"/>
      <c r="E92" s="18"/>
      <c r="F92" s="19"/>
      <c r="G92" s="18"/>
      <c r="H92" s="18"/>
      <c r="I92" s="19"/>
    </row>
    <row r="93" spans="1:15">
      <c r="A93" s="18"/>
      <c r="B93" s="30"/>
      <c r="C93" s="18"/>
      <c r="D93" s="18"/>
      <c r="E93" s="18"/>
      <c r="F93" s="19"/>
      <c r="G93" s="18"/>
      <c r="H93" s="18"/>
      <c r="I93" s="19"/>
    </row>
    <row r="94" spans="1:15">
      <c r="A94" s="18"/>
      <c r="B94" s="30"/>
      <c r="C94" s="18"/>
      <c r="D94" s="18"/>
      <c r="E94" s="18"/>
      <c r="F94" s="19"/>
      <c r="G94" s="18"/>
      <c r="H94" s="18"/>
      <c r="I94" s="19"/>
    </row>
    <row r="95" spans="1:15">
      <c r="A95" s="18"/>
      <c r="B95" s="30"/>
      <c r="C95" s="18"/>
      <c r="D95" s="18"/>
      <c r="E95" s="18"/>
      <c r="F95" s="19"/>
      <c r="G95" s="18"/>
      <c r="H95" s="18"/>
      <c r="I95" s="19"/>
    </row>
    <row r="96" spans="1:15">
      <c r="A96" s="18"/>
      <c r="B96" s="30"/>
      <c r="C96" s="18"/>
      <c r="D96" s="18"/>
      <c r="E96" s="18"/>
      <c r="F96" s="19"/>
      <c r="G96" s="18"/>
      <c r="H96" s="18"/>
      <c r="I96" s="19"/>
    </row>
    <row r="97" spans="1:9">
      <c r="A97" s="18"/>
      <c r="B97" s="30"/>
      <c r="C97" s="18"/>
      <c r="D97" s="18"/>
      <c r="E97" s="18"/>
      <c r="F97" s="19"/>
      <c r="G97" s="18"/>
      <c r="H97" s="18"/>
      <c r="I97" s="19"/>
    </row>
    <row r="98" spans="1:9">
      <c r="A98" s="18"/>
      <c r="B98" s="30"/>
      <c r="C98" s="18"/>
      <c r="D98" s="18"/>
      <c r="E98" s="18"/>
      <c r="F98" s="19"/>
      <c r="G98" s="18"/>
      <c r="H98" s="18"/>
      <c r="I98" s="19"/>
    </row>
    <row r="99" spans="1:9">
      <c r="A99" s="18"/>
      <c r="B99" s="30"/>
      <c r="C99" s="18"/>
      <c r="D99" s="18"/>
      <c r="E99" s="18"/>
      <c r="F99" s="19"/>
      <c r="G99" s="18"/>
      <c r="H99" s="18"/>
      <c r="I99" s="19"/>
    </row>
    <row r="100" spans="1:9">
      <c r="A100" s="18"/>
      <c r="B100" s="30"/>
      <c r="C100" s="18"/>
      <c r="D100" s="18"/>
      <c r="E100" s="18"/>
      <c r="F100" s="19"/>
      <c r="G100" s="18"/>
      <c r="H100" s="18"/>
      <c r="I100" s="19"/>
    </row>
    <row r="101" spans="1:9">
      <c r="A101" s="18"/>
      <c r="B101" s="30"/>
      <c r="C101" s="18"/>
      <c r="D101" s="18"/>
      <c r="E101" s="18"/>
      <c r="F101" s="19"/>
      <c r="G101" s="18"/>
      <c r="H101" s="18"/>
      <c r="I101" s="19"/>
    </row>
    <row r="102" spans="1:9">
      <c r="A102" s="18"/>
      <c r="B102" s="30"/>
      <c r="C102" s="18"/>
      <c r="D102" s="18"/>
      <c r="E102" s="18"/>
      <c r="F102" s="19"/>
      <c r="G102" s="18"/>
      <c r="H102" s="18"/>
      <c r="I102" s="19"/>
    </row>
    <row r="103" spans="1:9">
      <c r="A103" s="18"/>
      <c r="B103" s="30"/>
      <c r="C103" s="18"/>
      <c r="D103" s="18"/>
      <c r="E103" s="18"/>
      <c r="F103" s="19"/>
      <c r="G103" s="18"/>
      <c r="H103" s="18"/>
      <c r="I103" s="19"/>
    </row>
    <row r="104" spans="1:9">
      <c r="A104" s="18"/>
      <c r="B104" s="30"/>
      <c r="C104" s="18"/>
      <c r="D104" s="18"/>
      <c r="E104" s="18"/>
      <c r="F104" s="19"/>
      <c r="G104" s="18"/>
      <c r="H104" s="18"/>
      <c r="I104" s="19"/>
    </row>
    <row r="105" spans="1:9">
      <c r="A105" s="18"/>
      <c r="B105" s="30"/>
      <c r="C105" s="18"/>
      <c r="D105" s="18"/>
      <c r="E105" s="18"/>
      <c r="F105" s="19"/>
      <c r="G105" s="18"/>
      <c r="H105" s="18"/>
      <c r="I105" s="19"/>
    </row>
    <row r="106" spans="1:9">
      <c r="A106" s="18"/>
      <c r="B106" s="30"/>
      <c r="C106" s="18"/>
      <c r="D106" s="18"/>
      <c r="E106" s="18"/>
      <c r="F106" s="19"/>
      <c r="G106" s="18"/>
      <c r="H106" s="18"/>
      <c r="I106" s="19"/>
    </row>
    <row r="107" spans="1:9">
      <c r="A107" s="18"/>
      <c r="B107" s="30"/>
      <c r="C107" s="18"/>
      <c r="D107" s="18"/>
      <c r="E107" s="18"/>
      <c r="F107" s="19"/>
      <c r="G107" s="18"/>
      <c r="H107" s="18"/>
      <c r="I107" s="19"/>
    </row>
    <row r="108" spans="1:9">
      <c r="A108" s="18"/>
      <c r="B108" s="30"/>
      <c r="C108" s="18"/>
      <c r="D108" s="18"/>
      <c r="E108" s="18"/>
      <c r="F108" s="19"/>
      <c r="G108" s="18"/>
      <c r="H108" s="18"/>
      <c r="I108" s="19"/>
    </row>
    <row r="109" spans="1:9">
      <c r="A109" s="18"/>
      <c r="B109" s="30"/>
      <c r="C109" s="18"/>
      <c r="D109" s="18"/>
      <c r="E109" s="18"/>
      <c r="F109" s="19"/>
      <c r="G109" s="18"/>
      <c r="H109" s="18"/>
      <c r="I109" s="19"/>
    </row>
    <row r="110" spans="1:9">
      <c r="A110" s="18"/>
      <c r="B110" s="30"/>
      <c r="C110" s="18"/>
      <c r="D110" s="18"/>
      <c r="E110" s="18"/>
      <c r="F110" s="19"/>
      <c r="G110" s="18"/>
      <c r="H110" s="18"/>
      <c r="I110" s="19"/>
    </row>
    <row r="111" spans="1:9">
      <c r="A111" s="18"/>
      <c r="B111" s="30"/>
      <c r="C111" s="18"/>
      <c r="D111" s="18"/>
      <c r="E111" s="18"/>
      <c r="F111" s="19"/>
      <c r="G111" s="18"/>
      <c r="H111" s="18"/>
      <c r="I111" s="19"/>
    </row>
    <row r="112" spans="1:9">
      <c r="A112" s="18"/>
      <c r="B112" s="30"/>
      <c r="C112" s="18"/>
      <c r="D112" s="18"/>
      <c r="E112" s="18"/>
      <c r="F112" s="19"/>
      <c r="G112" s="18"/>
      <c r="H112" s="18"/>
      <c r="I112" s="19"/>
    </row>
    <row r="113" spans="1:9">
      <c r="A113" s="18"/>
      <c r="B113" s="30"/>
      <c r="C113" s="18"/>
      <c r="D113" s="18"/>
      <c r="E113" s="18"/>
      <c r="F113" s="19"/>
      <c r="G113" s="18"/>
      <c r="H113" s="18"/>
      <c r="I113" s="19"/>
    </row>
    <row r="114" spans="1:9">
      <c r="A114" s="18"/>
      <c r="B114" s="30"/>
      <c r="C114" s="18"/>
      <c r="D114" s="18"/>
      <c r="E114" s="18"/>
      <c r="F114" s="19"/>
      <c r="G114" s="18"/>
      <c r="H114" s="18"/>
      <c r="I114" s="19"/>
    </row>
    <row r="115" spans="1:9">
      <c r="A115" s="18"/>
      <c r="B115" s="30"/>
      <c r="C115" s="18"/>
      <c r="D115" s="18"/>
      <c r="E115" s="18"/>
      <c r="F115" s="19"/>
      <c r="G115" s="18"/>
      <c r="H115" s="18"/>
      <c r="I115" s="19"/>
    </row>
    <row r="116" spans="1:9">
      <c r="A116" s="18"/>
      <c r="B116" s="30"/>
      <c r="C116" s="18"/>
      <c r="D116" s="18"/>
      <c r="E116" s="18"/>
      <c r="F116" s="19"/>
      <c r="G116" s="18"/>
      <c r="H116" s="18"/>
      <c r="I116" s="19"/>
    </row>
    <row r="117" spans="1:9">
      <c r="A117" s="18"/>
      <c r="B117" s="30"/>
      <c r="C117" s="18"/>
      <c r="D117" s="18"/>
      <c r="E117" s="18"/>
      <c r="F117" s="19"/>
      <c r="G117" s="18"/>
      <c r="H117" s="18"/>
      <c r="I117" s="19"/>
    </row>
    <row r="118" spans="1:9">
      <c r="A118" s="18"/>
      <c r="B118" s="30"/>
      <c r="C118" s="18"/>
      <c r="D118" s="18"/>
      <c r="E118" s="18"/>
      <c r="F118" s="19"/>
      <c r="G118" s="18"/>
      <c r="H118" s="18"/>
      <c r="I118" s="19"/>
    </row>
    <row r="119" spans="1:9">
      <c r="A119" s="18"/>
      <c r="B119" s="30"/>
      <c r="C119" s="18"/>
      <c r="D119" s="18"/>
      <c r="E119" s="18"/>
      <c r="F119" s="19"/>
      <c r="G119" s="18"/>
      <c r="H119" s="18"/>
      <c r="I119" s="19"/>
    </row>
    <row r="120" spans="1:9">
      <c r="A120" s="18"/>
      <c r="B120" s="30"/>
      <c r="C120" s="18"/>
      <c r="D120" s="18"/>
      <c r="E120" s="18"/>
      <c r="F120" s="19"/>
      <c r="G120" s="18"/>
      <c r="H120" s="18"/>
      <c r="I120" s="19"/>
    </row>
    <row r="121" spans="1:9">
      <c r="A121" s="18"/>
      <c r="B121" s="30"/>
      <c r="C121" s="18"/>
      <c r="D121" s="18"/>
      <c r="E121" s="18"/>
      <c r="F121" s="19"/>
      <c r="G121" s="18"/>
      <c r="H121" s="18"/>
      <c r="I121" s="19"/>
    </row>
    <row r="122" spans="1:9">
      <c r="A122" s="18"/>
      <c r="B122" s="30"/>
      <c r="C122" s="18"/>
      <c r="D122" s="18"/>
      <c r="E122" s="18"/>
      <c r="F122" s="19"/>
      <c r="G122" s="18"/>
      <c r="H122" s="18"/>
      <c r="I122" s="19"/>
    </row>
    <row r="123" spans="1:9">
      <c r="A123" s="18"/>
      <c r="B123" s="30"/>
      <c r="C123" s="18"/>
      <c r="D123" s="18"/>
      <c r="E123" s="18"/>
      <c r="F123" s="19"/>
      <c r="G123" s="18"/>
      <c r="H123" s="18"/>
      <c r="I123" s="19"/>
    </row>
    <row r="124" spans="1:9">
      <c r="A124" s="18"/>
      <c r="B124" s="30"/>
      <c r="C124" s="18"/>
      <c r="D124" s="18"/>
      <c r="E124" s="18"/>
      <c r="F124" s="19"/>
      <c r="G124" s="18"/>
      <c r="H124" s="18"/>
      <c r="I124" s="19"/>
    </row>
    <row r="125" spans="1:9">
      <c r="A125" s="18"/>
      <c r="B125" s="30"/>
      <c r="C125" s="18"/>
      <c r="D125" s="18"/>
      <c r="E125" s="18"/>
      <c r="F125" s="19"/>
      <c r="G125" s="18"/>
      <c r="H125" s="18"/>
      <c r="I125" s="19"/>
    </row>
    <row r="126" spans="1:9">
      <c r="A126" s="18"/>
      <c r="B126" s="30"/>
      <c r="C126" s="18"/>
      <c r="D126" s="18"/>
      <c r="E126" s="18"/>
      <c r="F126" s="19"/>
      <c r="G126" s="18"/>
      <c r="H126" s="18"/>
      <c r="I126" s="19"/>
    </row>
    <row r="127" spans="1:9">
      <c r="A127" s="18"/>
      <c r="B127" s="30"/>
      <c r="C127" s="18"/>
      <c r="D127" s="18"/>
      <c r="E127" s="18"/>
      <c r="F127" s="19"/>
      <c r="G127" s="18"/>
      <c r="H127" s="18"/>
      <c r="I127" s="19"/>
    </row>
    <row r="128" spans="1:9">
      <c r="A128" s="18"/>
      <c r="B128" s="30"/>
      <c r="C128" s="18"/>
      <c r="D128" s="18"/>
      <c r="E128" s="18"/>
      <c r="F128" s="19"/>
      <c r="G128" s="18"/>
      <c r="H128" s="18"/>
      <c r="I128" s="19"/>
    </row>
    <row r="129" spans="1:9">
      <c r="A129" s="18"/>
      <c r="B129" s="30"/>
      <c r="C129" s="18"/>
      <c r="D129" s="18"/>
      <c r="E129" s="18"/>
      <c r="F129" s="19"/>
      <c r="G129" s="18"/>
      <c r="H129" s="18"/>
      <c r="I129" s="19"/>
    </row>
    <row r="130" spans="1:9">
      <c r="A130" s="18"/>
      <c r="B130" s="30"/>
      <c r="C130" s="18"/>
      <c r="D130" s="18"/>
      <c r="E130" s="18"/>
      <c r="F130" s="19"/>
      <c r="G130" s="18"/>
      <c r="H130" s="18"/>
      <c r="I130" s="19"/>
    </row>
    <row r="131" spans="1:9">
      <c r="A131" s="18"/>
      <c r="B131" s="30"/>
      <c r="C131" s="18"/>
      <c r="D131" s="18"/>
      <c r="E131" s="18"/>
      <c r="F131" s="19"/>
      <c r="G131" s="18"/>
      <c r="H131" s="18"/>
      <c r="I131" s="19"/>
    </row>
    <row r="132" spans="1:9">
      <c r="A132" s="18"/>
      <c r="B132" s="30"/>
      <c r="C132" s="18"/>
      <c r="D132" s="18"/>
      <c r="E132" s="18"/>
      <c r="F132" s="19"/>
      <c r="G132" s="18"/>
      <c r="H132" s="18"/>
      <c r="I132" s="19"/>
    </row>
    <row r="133" spans="1:9">
      <c r="A133" s="18"/>
      <c r="B133" s="30"/>
      <c r="C133" s="18"/>
      <c r="D133" s="18"/>
      <c r="E133" s="18"/>
      <c r="F133" s="19"/>
      <c r="G133" s="18"/>
      <c r="H133" s="18"/>
      <c r="I133" s="19"/>
    </row>
    <row r="134" spans="1:9">
      <c r="A134" s="18"/>
      <c r="B134" s="30"/>
      <c r="C134" s="18"/>
      <c r="D134" s="18"/>
      <c r="E134" s="18"/>
      <c r="F134" s="19"/>
      <c r="G134" s="18"/>
      <c r="H134" s="18"/>
      <c r="I134" s="19"/>
    </row>
    <row r="135" spans="1:9">
      <c r="A135" s="18"/>
      <c r="B135" s="30"/>
      <c r="C135" s="18"/>
      <c r="D135" s="18"/>
      <c r="E135" s="18"/>
      <c r="F135" s="19"/>
      <c r="G135" s="18"/>
      <c r="H135" s="18"/>
      <c r="I135" s="19"/>
    </row>
    <row r="136" spans="1:9">
      <c r="A136" s="18"/>
      <c r="B136" s="30"/>
      <c r="C136" s="18"/>
      <c r="D136" s="18"/>
      <c r="E136" s="18"/>
      <c r="F136" s="19"/>
      <c r="G136" s="18"/>
      <c r="H136" s="18"/>
      <c r="I136" s="19"/>
    </row>
    <row r="137" spans="1:9">
      <c r="A137" s="18"/>
      <c r="B137" s="30"/>
      <c r="C137" s="18"/>
      <c r="D137" s="18"/>
      <c r="E137" s="18"/>
      <c r="F137" s="19"/>
      <c r="G137" s="18"/>
      <c r="H137" s="18"/>
      <c r="I137" s="19"/>
    </row>
    <row r="138" spans="1:9">
      <c r="A138" s="18"/>
      <c r="B138" s="30"/>
      <c r="C138" s="18"/>
      <c r="D138" s="18"/>
      <c r="E138" s="18"/>
      <c r="F138" s="19"/>
      <c r="G138" s="18"/>
      <c r="H138" s="18"/>
      <c r="I138" s="19"/>
    </row>
    <row r="139" spans="1:9">
      <c r="A139" s="18"/>
      <c r="B139" s="30"/>
      <c r="C139" s="18"/>
      <c r="D139" s="18"/>
      <c r="E139" s="18"/>
      <c r="F139" s="19"/>
      <c r="G139" s="18"/>
      <c r="H139" s="18"/>
      <c r="I139" s="19"/>
    </row>
    <row r="140" spans="1:9">
      <c r="A140" s="18"/>
      <c r="B140" s="30"/>
      <c r="C140" s="18"/>
      <c r="D140" s="18"/>
      <c r="E140" s="18"/>
      <c r="F140" s="19"/>
      <c r="G140" s="18"/>
      <c r="H140" s="18"/>
      <c r="I140" s="19"/>
    </row>
    <row r="141" spans="1:9">
      <c r="A141" s="18"/>
      <c r="B141" s="30"/>
      <c r="C141" s="18"/>
      <c r="D141" s="18"/>
      <c r="E141" s="18"/>
      <c r="F141" s="19"/>
      <c r="G141" s="18"/>
      <c r="H141" s="18"/>
      <c r="I141" s="19"/>
    </row>
    <row r="142" spans="1:9">
      <c r="A142" s="18"/>
      <c r="B142" s="30"/>
      <c r="C142" s="18"/>
      <c r="D142" s="18"/>
      <c r="E142" s="18"/>
      <c r="F142" s="19"/>
      <c r="G142" s="18"/>
      <c r="H142" s="18"/>
      <c r="I142" s="19"/>
    </row>
    <row r="143" spans="1:9">
      <c r="A143" s="18"/>
      <c r="B143" s="30"/>
      <c r="C143" s="18"/>
      <c r="D143" s="18"/>
      <c r="E143" s="18"/>
      <c r="F143" s="19"/>
      <c r="G143" s="18"/>
      <c r="H143" s="18"/>
      <c r="I143" s="19"/>
    </row>
    <row r="144" spans="1:9">
      <c r="A144" s="18"/>
      <c r="B144" s="30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30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30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30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30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30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30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30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30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30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30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30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30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30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30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30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30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30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30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30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30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30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30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30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30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30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30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30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30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30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30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30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30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30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30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30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30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30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30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30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30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30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30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30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30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30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30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30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30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30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30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30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30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30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30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30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30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30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30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30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30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30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30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30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30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30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30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30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30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30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30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30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30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30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30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30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30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30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30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30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30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30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30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30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30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30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30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30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30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30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30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30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30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30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30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30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30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30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30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30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30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30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30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30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30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30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30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30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30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30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30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30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30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30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30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30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30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30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30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30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30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30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30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30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30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30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30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30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30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30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30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30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30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30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30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30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30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30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30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30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30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30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30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30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30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30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30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30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30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30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30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30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30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30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30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30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30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30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30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30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30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30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30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30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30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30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30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30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30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30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30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30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30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30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30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30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30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30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30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30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30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30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30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30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30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30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30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30"/>
      <c r="C331" s="18"/>
      <c r="D331" s="18"/>
      <c r="E331" s="18"/>
      <c r="F331" s="19"/>
      <c r="G331" s="18"/>
      <c r="H331" s="18"/>
      <c r="I331" s="19"/>
    </row>
    <row r="332" spans="1:9">
      <c r="C332" s="18"/>
      <c r="D332" s="18"/>
      <c r="E332" s="18"/>
      <c r="F332" s="19"/>
      <c r="G332" s="18"/>
      <c r="H332" s="18"/>
      <c r="I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32"/>
  <sheetViews>
    <sheetView topLeftCell="A43" zoomScale="70" zoomScaleNormal="70" workbookViewId="0">
      <pane xSplit="2" topLeftCell="C1" activePane="topRight" state="frozen"/>
      <selection pane="topRight" activeCell="H12" sqref="H12"/>
      <selection activeCell="H12" sqref="H12"/>
    </sheetView>
  </sheetViews>
  <sheetFormatPr defaultRowHeight="13.9"/>
  <cols>
    <col min="1" max="1" width="40.71093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6.7109375" style="227" customWidth="1"/>
  </cols>
  <sheetData>
    <row r="1" spans="1:12" ht="19.5" customHeight="1">
      <c r="A1" s="235" t="str" cm="1">
        <f t="array" ref="A1">portfolio</f>
        <v>Wells Fargo</v>
      </c>
      <c r="B1" s="235"/>
      <c r="C1" s="235"/>
      <c r="D1" s="236" t="s">
        <v>128</v>
      </c>
      <c r="E1" s="236"/>
      <c r="F1" s="236"/>
      <c r="G1" s="234" t="s">
        <v>129</v>
      </c>
      <c r="H1" s="234"/>
      <c r="I1" s="234"/>
      <c r="J1" s="3"/>
      <c r="K1" s="3"/>
      <c r="L1" s="3"/>
    </row>
    <row r="2" spans="1:12" ht="19.5" customHeight="1">
      <c r="A2" s="245" t="s">
        <v>2</v>
      </c>
      <c r="B2" s="245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  <c r="L3" s="22" t="s">
        <v>22</v>
      </c>
    </row>
    <row r="4" spans="1:12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67"/>
      <c r="K4" s="67"/>
      <c r="L4" s="69"/>
    </row>
    <row r="5" spans="1:12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191"/>
      <c r="H5" s="17"/>
      <c r="I5" s="16" t="str">
        <f t="shared" ref="I5:I7" si="0">IFERROR(H5/G5, "")</f>
        <v/>
      </c>
      <c r="J5" s="89"/>
      <c r="K5" s="78"/>
      <c r="L5" s="89"/>
    </row>
    <row r="6" spans="1:12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67"/>
      <c r="K6" s="76"/>
      <c r="L6" s="69"/>
    </row>
    <row r="7" spans="1:12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89"/>
      <c r="K7" s="68"/>
      <c r="L7" s="68"/>
    </row>
    <row r="8" spans="1:12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67"/>
      <c r="K8" s="67"/>
      <c r="L8" s="69"/>
    </row>
    <row r="9" spans="1:12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89"/>
      <c r="K9" s="68"/>
      <c r="L9" s="68"/>
    </row>
    <row r="10" spans="1:12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7"/>
      <c r="K10" s="76"/>
      <c r="L10" s="69"/>
    </row>
    <row r="11" spans="1:12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89"/>
      <c r="K11" s="68"/>
      <c r="L11" s="68"/>
    </row>
    <row r="12" spans="1:12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67"/>
      <c r="K12" s="67"/>
      <c r="L12" s="69"/>
    </row>
    <row r="13" spans="1:12" ht="48" customHeight="1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89"/>
      <c r="K13" s="68"/>
      <c r="L13" s="68"/>
    </row>
    <row r="14" spans="1:12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69"/>
      <c r="K14" s="76"/>
      <c r="L14" s="69"/>
    </row>
    <row r="15" spans="1:12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89"/>
      <c r="K15" s="68"/>
      <c r="L15" s="68"/>
    </row>
    <row r="16" spans="1:12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67"/>
      <c r="K16" s="67"/>
      <c r="L16" s="69"/>
    </row>
    <row r="17" spans="1:14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89"/>
      <c r="K17" s="68"/>
      <c r="L17" s="68"/>
    </row>
    <row r="18" spans="1:14" ht="30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67"/>
      <c r="K18" s="76"/>
      <c r="L18" s="69"/>
    </row>
    <row r="19" spans="1:14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89"/>
      <c r="K19" s="89"/>
      <c r="L19" s="89"/>
    </row>
    <row r="20" spans="1:14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67"/>
      <c r="K20" s="67"/>
      <c r="L20" s="69"/>
    </row>
    <row r="21" spans="1:14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89"/>
      <c r="K21" s="68"/>
      <c r="L21" s="68"/>
    </row>
    <row r="22" spans="1:14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67"/>
      <c r="K22" s="76"/>
      <c r="L22" s="69"/>
      <c r="M22" s="77"/>
    </row>
    <row r="23" spans="1:14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89"/>
      <c r="K23" s="68"/>
      <c r="L23" s="68"/>
    </row>
    <row r="24" spans="1:14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67"/>
      <c r="K24" s="76"/>
      <c r="L24" s="69"/>
    </row>
    <row r="25" spans="1:14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89"/>
      <c r="K25" s="68"/>
      <c r="L25" s="68"/>
    </row>
    <row r="26" spans="1:14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67"/>
      <c r="K26" s="76"/>
      <c r="L26" s="69"/>
    </row>
    <row r="27" spans="1:14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89"/>
      <c r="K27" s="68"/>
      <c r="L27" s="68"/>
    </row>
    <row r="28" spans="1:14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67"/>
      <c r="K28" s="67"/>
      <c r="L28" s="69"/>
    </row>
    <row r="29" spans="1:14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89"/>
      <c r="K29" s="68"/>
      <c r="L29" s="68"/>
    </row>
    <row r="30" spans="1:14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67"/>
      <c r="K30" s="67"/>
      <c r="L30" s="69"/>
    </row>
    <row r="31" spans="1:14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89"/>
      <c r="K31" s="68"/>
      <c r="L31" s="68"/>
    </row>
    <row r="32" spans="1:14" ht="15.6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67"/>
      <c r="K32" s="76"/>
      <c r="L32" s="69"/>
      <c r="M32" s="77"/>
      <c r="N32" s="77"/>
    </row>
    <row r="33" spans="1:13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89"/>
      <c r="K33" s="78"/>
      <c r="L33" s="68"/>
    </row>
    <row r="34" spans="1:13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67"/>
      <c r="K34" s="76"/>
      <c r="L34" s="69"/>
      <c r="M34" s="77"/>
    </row>
    <row r="35" spans="1:13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89"/>
      <c r="K35" s="78"/>
      <c r="L35" s="68"/>
      <c r="M35" s="77"/>
    </row>
    <row r="36" spans="1:13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67"/>
      <c r="K36" s="67"/>
      <c r="L36" s="69"/>
    </row>
    <row r="37" spans="1:13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89"/>
      <c r="K37" s="68"/>
      <c r="L37" s="68"/>
    </row>
    <row r="38" spans="1:13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67"/>
      <c r="K38" s="67"/>
      <c r="L38" s="69"/>
    </row>
    <row r="39" spans="1:13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89"/>
      <c r="K39" s="68"/>
      <c r="L39" s="68"/>
    </row>
    <row r="40" spans="1:13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67"/>
      <c r="K40" s="76"/>
      <c r="L40" s="69"/>
    </row>
    <row r="41" spans="1:13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89"/>
      <c r="K41" s="68"/>
      <c r="L41" s="68"/>
    </row>
    <row r="42" spans="1:13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67"/>
      <c r="K42" s="67"/>
      <c r="L42" s="69"/>
    </row>
    <row r="43" spans="1:13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89"/>
      <c r="K43" s="68"/>
      <c r="L43" s="68"/>
    </row>
    <row r="44" spans="1:13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67"/>
      <c r="K44" s="67"/>
      <c r="L44" s="69"/>
    </row>
    <row r="45" spans="1:13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89"/>
      <c r="K45" s="68"/>
      <c r="L45" s="68"/>
    </row>
    <row r="46" spans="1:13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67"/>
      <c r="K46" s="67"/>
      <c r="L46" s="69"/>
    </row>
    <row r="47" spans="1:13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89"/>
      <c r="K47" s="78"/>
      <c r="L47" s="89"/>
    </row>
    <row r="48" spans="1:13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67"/>
      <c r="K48" s="67"/>
      <c r="L48" s="69"/>
    </row>
    <row r="49" spans="1:12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89"/>
      <c r="K49" s="68"/>
      <c r="L49" s="68"/>
    </row>
    <row r="50" spans="1:12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67"/>
      <c r="K50" s="67"/>
      <c r="L50" s="69"/>
    </row>
    <row r="51" spans="1:12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89"/>
      <c r="K51" s="68"/>
      <c r="L51" s="68"/>
    </row>
    <row r="52" spans="1:12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67"/>
      <c r="K52" s="67"/>
      <c r="L52" s="69"/>
    </row>
    <row r="53" spans="1:12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89"/>
      <c r="K53" s="68"/>
      <c r="L53" s="68"/>
    </row>
    <row r="54" spans="1:12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67"/>
      <c r="K54" s="67"/>
      <c r="L54" s="69"/>
    </row>
    <row r="55" spans="1:12" ht="41.25" customHeight="1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89"/>
      <c r="K55" s="70"/>
      <c r="L55" s="70"/>
    </row>
    <row r="56" spans="1:12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67"/>
      <c r="K56" s="67"/>
      <c r="L56" s="69"/>
    </row>
    <row r="57" spans="1:12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89"/>
      <c r="K57" s="68"/>
      <c r="L57" s="68"/>
    </row>
    <row r="58" spans="1:12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67"/>
      <c r="K58" s="67"/>
      <c r="L58" s="69"/>
    </row>
    <row r="59" spans="1:12" ht="15.6">
      <c r="A59" s="27" t="str">
        <v>Laurelton</v>
      </c>
      <c r="B59" s="28" t="str">
        <v>NJ</v>
      </c>
      <c r="C59" s="228"/>
      <c r="D59" s="15"/>
      <c r="E59" s="15"/>
      <c r="F59" s="16"/>
      <c r="G59" s="191"/>
      <c r="H59" s="17"/>
      <c r="I59" s="16"/>
      <c r="J59" s="89"/>
      <c r="K59" s="78"/>
      <c r="L59" s="70"/>
    </row>
    <row r="60" spans="1:12" ht="52.5" customHeight="1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69"/>
      <c r="K60" s="76"/>
      <c r="L60" s="69"/>
    </row>
    <row r="61" spans="1:12" ht="49.5" customHeight="1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89"/>
      <c r="K61" s="68"/>
      <c r="L61" s="68"/>
    </row>
    <row r="62" spans="1:12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67"/>
      <c r="K62" s="67"/>
      <c r="L62" s="69"/>
    </row>
    <row r="63" spans="1:12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89"/>
      <c r="K63" s="70"/>
      <c r="L63" s="70"/>
    </row>
    <row r="64" spans="1:12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67"/>
      <c r="K64" s="67"/>
      <c r="L64" s="69"/>
    </row>
    <row r="65" spans="1:12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89"/>
      <c r="K65" s="70"/>
      <c r="L65" s="70"/>
    </row>
    <row r="66" spans="1:12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67"/>
      <c r="K66" s="67"/>
      <c r="L66" s="69"/>
    </row>
    <row r="67" spans="1:12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39"/>
      <c r="K67" s="68"/>
      <c r="L67" s="68"/>
    </row>
    <row r="68" spans="1:12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67"/>
      <c r="K68" s="67"/>
      <c r="L68" s="69"/>
    </row>
    <row r="69" spans="1:12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49"/>
      <c r="K69" s="55"/>
      <c r="L69" s="55"/>
    </row>
    <row r="70" spans="1:12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67"/>
      <c r="K70" s="76"/>
      <c r="L70" s="69"/>
    </row>
    <row r="71" spans="1:12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89"/>
      <c r="K71" s="70"/>
      <c r="L71" s="70"/>
    </row>
    <row r="72" spans="1:12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67"/>
      <c r="K72" s="67"/>
      <c r="L72" s="69"/>
    </row>
    <row r="73" spans="1:12" ht="15.6">
      <c r="A73" s="27" t="str">
        <v>San Antonio - Ops Ctr (Bldg 205)</v>
      </c>
      <c r="B73" s="28" t="str">
        <v>TX</v>
      </c>
      <c r="C73" s="10"/>
      <c r="D73" s="15"/>
      <c r="E73" s="15"/>
      <c r="F73" s="16"/>
      <c r="G73" s="17"/>
      <c r="H73" s="17"/>
      <c r="I73" s="16"/>
      <c r="J73" s="89"/>
      <c r="K73" s="78"/>
      <c r="L73" s="68"/>
    </row>
    <row r="74" spans="1:12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67"/>
      <c r="K74" s="67"/>
      <c r="L74" s="69"/>
    </row>
    <row r="75" spans="1:12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89"/>
      <c r="K75" s="78"/>
      <c r="L75" s="70"/>
    </row>
    <row r="76" spans="1:12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67"/>
      <c r="K76" s="67"/>
      <c r="L76" s="69"/>
    </row>
    <row r="77" spans="1:12" ht="15.6">
      <c r="A77" s="27" t="str">
        <v>San Antonio - Ops Ctr (Bldg 102)</v>
      </c>
      <c r="B77" s="28" t="str">
        <v>TX</v>
      </c>
      <c r="C77" s="10"/>
      <c r="D77" s="15"/>
      <c r="E77" s="15"/>
      <c r="F77" s="16"/>
      <c r="G77" s="17"/>
      <c r="H77" s="17"/>
      <c r="I77" s="16"/>
      <c r="J77" s="89"/>
      <c r="K77" s="70"/>
      <c r="L77" s="70"/>
    </row>
    <row r="78" spans="1:12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7"/>
      <c r="K78" s="67"/>
      <c r="L78" s="69"/>
    </row>
    <row r="79" spans="1:12" ht="15.6">
      <c r="A79" s="27" t="str">
        <v>N Black Canyon Hwy, Phoenix - South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89"/>
      <c r="K79" s="78"/>
      <c r="L79" s="70"/>
    </row>
    <row r="80" spans="1:12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7"/>
      <c r="K80" s="67"/>
      <c r="L80" s="69"/>
    </row>
    <row r="81" spans="1:12" ht="15.6">
      <c r="A81" s="27" t="str">
        <v xml:space="preserve"> Building 2202, Rose Garden Ln, Phoenix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89"/>
      <c r="K81" s="70"/>
      <c r="L81" s="70"/>
    </row>
    <row r="82" spans="1:12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7"/>
      <c r="K82" s="67"/>
      <c r="L82" s="69"/>
    </row>
    <row r="83" spans="1:12" ht="15.6">
      <c r="A83" s="27" t="str">
        <v>Rincon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89"/>
      <c r="K83" s="78"/>
      <c r="L83" s="70"/>
    </row>
    <row r="84" spans="1:12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67"/>
      <c r="K84" s="76"/>
      <c r="L84" s="69"/>
    </row>
    <row r="85" spans="1:12" ht="15.6">
      <c r="A85" s="27" t="str">
        <v>AZ: Chandler - Chandler Campus - Bldg A</v>
      </c>
      <c r="B85" s="28" t="str">
        <v>AZ</v>
      </c>
      <c r="C85" s="10"/>
      <c r="D85" s="15"/>
      <c r="E85" s="15"/>
      <c r="F85" s="16"/>
      <c r="G85" s="17"/>
      <c r="H85" s="17"/>
      <c r="I85" s="16"/>
      <c r="J85" s="89"/>
      <c r="K85" s="78"/>
      <c r="L85" s="70"/>
    </row>
    <row r="86" spans="1:12" ht="15.6">
      <c r="A86" s="25" t="str">
        <v>AZ: Phoenix - Pinnacle Peak Ops</v>
      </c>
      <c r="B86" s="26" t="str">
        <v>AZ</v>
      </c>
      <c r="C86" s="21"/>
      <c r="D86" s="11"/>
      <c r="E86" s="11"/>
      <c r="F86" s="12"/>
      <c r="G86" s="13"/>
      <c r="H86" s="13"/>
      <c r="I86" s="14"/>
      <c r="J86" s="67"/>
      <c r="K86" s="76"/>
      <c r="L86" s="69"/>
    </row>
    <row r="87" spans="1:12" ht="15.6">
      <c r="A87" s="27" t="str">
        <v>CA: Alhambra - North Alhambra</v>
      </c>
      <c r="B87" s="28" t="str">
        <v>CA</v>
      </c>
      <c r="C87" s="10"/>
      <c r="D87" s="15"/>
      <c r="E87" s="15"/>
      <c r="F87" s="16"/>
      <c r="G87" s="17"/>
      <c r="H87" s="17"/>
      <c r="I87" s="16"/>
      <c r="J87" s="89"/>
      <c r="K87" s="78"/>
      <c r="L87" s="70"/>
    </row>
    <row r="88" spans="1:12" ht="15.6">
      <c r="A88" s="25" t="str">
        <v>CA: La Canada - La Canada</v>
      </c>
      <c r="B88" s="26" t="str">
        <v>CA</v>
      </c>
      <c r="C88" s="21"/>
      <c r="D88" s="11"/>
      <c r="E88" s="11"/>
      <c r="F88" s="12"/>
      <c r="G88" s="13"/>
      <c r="H88" s="13"/>
      <c r="I88" s="14"/>
      <c r="J88" s="67"/>
      <c r="K88" s="67"/>
      <c r="L88" s="69"/>
    </row>
    <row r="89" spans="1:12" ht="15.6">
      <c r="A89" s="27" t="str">
        <v>CA: Laguna Beach - LAGUNA BEACH</v>
      </c>
      <c r="B89" s="28" t="str">
        <v>CA</v>
      </c>
      <c r="C89" s="10"/>
      <c r="D89" s="15"/>
      <c r="E89" s="15"/>
      <c r="F89" s="16"/>
      <c r="G89" s="17"/>
      <c r="H89" s="17"/>
      <c r="I89" s="16"/>
      <c r="J89" s="89"/>
      <c r="K89" s="70"/>
      <c r="L89" s="70"/>
    </row>
    <row r="90" spans="1:12" ht="15.6">
      <c r="A90" s="25" t="str">
        <v>CA: Newport Beach - MARINERS</v>
      </c>
      <c r="B90" s="26" t="str">
        <v>CA</v>
      </c>
      <c r="C90" s="21"/>
      <c r="D90" s="11"/>
      <c r="E90" s="11"/>
      <c r="F90" s="12"/>
      <c r="G90" s="13"/>
      <c r="H90" s="13"/>
      <c r="I90" s="14"/>
      <c r="J90" s="67"/>
      <c r="K90" s="67"/>
      <c r="L90" s="69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  <row r="293" spans="1:12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  <c r="L293" s="18"/>
    </row>
    <row r="294" spans="1:12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  <c r="L294" s="18"/>
    </row>
    <row r="295" spans="1:12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  <c r="L295" s="18"/>
    </row>
    <row r="296" spans="1:12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  <c r="L296" s="18"/>
    </row>
    <row r="297" spans="1:12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  <c r="L297" s="18"/>
    </row>
    <row r="298" spans="1:12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  <c r="L298" s="18"/>
    </row>
    <row r="299" spans="1:12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  <c r="L299" s="18"/>
    </row>
    <row r="300" spans="1:12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  <c r="L300" s="18"/>
    </row>
    <row r="301" spans="1:12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  <c r="L301" s="18"/>
    </row>
    <row r="302" spans="1:12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  <c r="L302" s="18"/>
    </row>
    <row r="303" spans="1:12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  <c r="L303" s="18"/>
    </row>
    <row r="304" spans="1:12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  <c r="L304" s="18"/>
    </row>
    <row r="305" spans="1:12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  <c r="L305" s="18"/>
    </row>
    <row r="306" spans="1:12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  <c r="L306" s="18"/>
    </row>
    <row r="307" spans="1:12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  <c r="L307" s="18"/>
    </row>
    <row r="308" spans="1:12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  <c r="L308" s="18"/>
    </row>
    <row r="309" spans="1:12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  <c r="L309" s="18"/>
    </row>
    <row r="310" spans="1:12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  <c r="L310" s="18"/>
    </row>
    <row r="311" spans="1:12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  <c r="L311" s="18"/>
    </row>
    <row r="312" spans="1:12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  <c r="L312" s="18"/>
    </row>
    <row r="313" spans="1:12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  <c r="L313" s="18"/>
    </row>
    <row r="314" spans="1:12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  <c r="L314" s="18"/>
    </row>
    <row r="315" spans="1:12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  <c r="L315" s="18"/>
    </row>
    <row r="316" spans="1:12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  <c r="L316" s="18"/>
    </row>
    <row r="317" spans="1:12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  <c r="L317" s="18"/>
    </row>
    <row r="318" spans="1:12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  <c r="L318" s="18"/>
    </row>
    <row r="319" spans="1:12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  <c r="L319" s="18"/>
    </row>
    <row r="320" spans="1:12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  <c r="L320" s="18"/>
    </row>
    <row r="321" spans="1:12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  <c r="L321" s="18"/>
    </row>
    <row r="322" spans="1:12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  <c r="L322" s="18"/>
    </row>
    <row r="323" spans="1:12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  <c r="L323" s="18"/>
    </row>
    <row r="324" spans="1:12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  <c r="L324" s="18"/>
    </row>
    <row r="325" spans="1:12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  <c r="L325" s="18"/>
    </row>
    <row r="326" spans="1:12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  <c r="L326" s="18"/>
    </row>
    <row r="327" spans="1:12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  <c r="L327" s="18"/>
    </row>
    <row r="328" spans="1:12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  <c r="L328" s="18"/>
    </row>
    <row r="329" spans="1:12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  <c r="L329" s="18"/>
    </row>
    <row r="330" spans="1:12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  <c r="L330" s="18"/>
    </row>
    <row r="331" spans="1:12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  <c r="L331" s="18"/>
    </row>
    <row r="332" spans="1:12" ht="14.45">
      <c r="C332" s="18"/>
      <c r="D332" s="18"/>
      <c r="E332" s="18"/>
      <c r="F332" s="19"/>
      <c r="G332" s="18"/>
      <c r="H332" s="18"/>
      <c r="I332" s="19"/>
      <c r="J332" s="18"/>
      <c r="K332" s="18"/>
      <c r="L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32"/>
  <sheetViews>
    <sheetView zoomScale="70" zoomScaleNormal="70" workbookViewId="0">
      <pane xSplit="2" ySplit="3" topLeftCell="C64" activePane="bottomRight" state="frozen"/>
      <selection pane="bottomRight" activeCell="H12" sqref="H12"/>
      <selection pane="bottomLeft" activeCell="H12" sqref="H12"/>
      <selection pane="topRight" activeCell="H12" sqref="H12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9.85546875" customWidth="1"/>
  </cols>
  <sheetData>
    <row r="1" spans="1:12" ht="19.5" customHeight="1">
      <c r="A1" s="235" t="str" cm="1">
        <f t="array" ref="A1">portfolio</f>
        <v>Wells Fargo</v>
      </c>
      <c r="B1" s="235"/>
      <c r="C1" s="235"/>
      <c r="D1" s="236" t="s">
        <v>130</v>
      </c>
      <c r="E1" s="236"/>
      <c r="F1" s="236"/>
      <c r="G1" s="234" t="s">
        <v>131</v>
      </c>
      <c r="H1" s="234"/>
      <c r="I1" s="234"/>
      <c r="J1" s="3"/>
      <c r="K1" s="3"/>
      <c r="L1" s="3"/>
    </row>
    <row r="2" spans="1:12" ht="19.5" customHeight="1">
      <c r="A2" s="245" t="s">
        <v>2</v>
      </c>
      <c r="B2" s="245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  <c r="L3" s="22" t="s">
        <v>132</v>
      </c>
    </row>
    <row r="4" spans="1:12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/>
      <c r="F4" s="12" t="str">
        <f>IFERROR(E4/D4, "")</f>
        <v/>
      </c>
      <c r="G4" s="13"/>
      <c r="H4" s="13"/>
      <c r="I4" s="14" t="str">
        <f>IFERROR(H4/G4, "")</f>
        <v/>
      </c>
      <c r="J4" s="38"/>
      <c r="K4" s="38"/>
      <c r="L4" s="38"/>
    </row>
    <row r="5" spans="1:12" ht="15.6">
      <c r="A5" s="27" t="str">
        <v>Otay Mesa</v>
      </c>
      <c r="B5" s="28" t="str">
        <v>CA</v>
      </c>
      <c r="C5" s="10"/>
      <c r="D5" s="15"/>
      <c r="E5" s="15"/>
      <c r="F5" s="16" t="str">
        <f>IFERROR(E5/D5, "")</f>
        <v/>
      </c>
      <c r="G5" s="88"/>
      <c r="H5" s="17"/>
      <c r="I5" s="16" t="str">
        <f t="shared" ref="I5:I7" si="0">IFERROR(H5/G5, "")</f>
        <v/>
      </c>
      <c r="J5" s="39"/>
      <c r="K5" s="39"/>
      <c r="L5" s="39"/>
    </row>
    <row r="6" spans="1:12" ht="15.6">
      <c r="A6" s="25" t="str">
        <v>San Leandro</v>
      </c>
      <c r="B6" s="26" t="str">
        <v>CA</v>
      </c>
      <c r="C6" s="21"/>
      <c r="D6" s="11"/>
      <c r="E6" s="11"/>
      <c r="F6" s="12" t="str">
        <f t="shared" ref="F6:F7" si="1">IFERROR(E6/D6, "")</f>
        <v/>
      </c>
      <c r="G6" s="13"/>
      <c r="H6" s="13"/>
      <c r="I6" s="14" t="str">
        <f t="shared" si="0"/>
        <v/>
      </c>
      <c r="J6" s="38"/>
      <c r="K6" s="76"/>
      <c r="L6" s="69"/>
    </row>
    <row r="7" spans="1:12" ht="15.6">
      <c r="A7" s="27" t="str">
        <v>Van Nuys</v>
      </c>
      <c r="B7" s="28" t="str">
        <v>CA</v>
      </c>
      <c r="C7" s="10"/>
      <c r="D7" s="15"/>
      <c r="E7" s="15"/>
      <c r="F7" s="16" t="str">
        <f t="shared" si="1"/>
        <v/>
      </c>
      <c r="G7" s="17"/>
      <c r="H7" s="17"/>
      <c r="I7" s="16" t="str">
        <f t="shared" si="0"/>
        <v/>
      </c>
      <c r="J7" s="39"/>
      <c r="K7" s="40"/>
      <c r="L7" s="40"/>
    </row>
    <row r="8" spans="1:12" ht="15.6">
      <c r="A8" s="25" t="str">
        <v>Lodi - Lodi Vineyard</v>
      </c>
      <c r="B8" s="26" t="str">
        <v>CA</v>
      </c>
      <c r="C8" s="21"/>
      <c r="D8" s="11"/>
      <c r="E8" s="11"/>
      <c r="F8" s="12"/>
      <c r="G8" s="13"/>
      <c r="H8" s="13"/>
      <c r="I8" s="14"/>
      <c r="J8" s="38"/>
      <c r="K8" s="38"/>
      <c r="L8" s="38"/>
    </row>
    <row r="9" spans="1:12" ht="15.6">
      <c r="A9" s="27" t="str">
        <v>Arden Fair Mall</v>
      </c>
      <c r="B9" s="28" t="str">
        <v>CA</v>
      </c>
      <c r="C9" s="10"/>
      <c r="D9" s="15"/>
      <c r="E9" s="15"/>
      <c r="F9" s="16"/>
      <c r="G9" s="17"/>
      <c r="H9" s="17"/>
      <c r="I9" s="16"/>
      <c r="J9" s="39"/>
      <c r="K9" s="40"/>
      <c r="L9" s="40"/>
    </row>
    <row r="10" spans="1:12" ht="15.6">
      <c r="A10" s="25" t="str">
        <v>Modesto - Modesto Main</v>
      </c>
      <c r="B10" s="26" t="str">
        <v>CA</v>
      </c>
      <c r="C10" s="21"/>
      <c r="D10" s="11"/>
      <c r="E10" s="11"/>
      <c r="F10" s="12"/>
      <c r="G10" s="13"/>
      <c r="H10" s="13"/>
      <c r="I10" s="14"/>
      <c r="J10" s="67"/>
      <c r="K10" s="76"/>
      <c r="L10" s="69"/>
    </row>
    <row r="11" spans="1:12" ht="15.6">
      <c r="A11" s="27" t="str">
        <v>Stevens Creek</v>
      </c>
      <c r="B11" s="28" t="str">
        <v>CA</v>
      </c>
      <c r="C11" s="10"/>
      <c r="D11" s="15"/>
      <c r="E11" s="15"/>
      <c r="F11" s="16"/>
      <c r="G11" s="17"/>
      <c r="H11" s="17"/>
      <c r="I11" s="16"/>
      <c r="J11" s="39"/>
      <c r="K11" s="40"/>
      <c r="L11" s="40"/>
    </row>
    <row r="12" spans="1:12" ht="15.6">
      <c r="A12" s="25" t="str">
        <v>Covina Main</v>
      </c>
      <c r="B12" s="26" t="str">
        <v>CA</v>
      </c>
      <c r="C12" s="21"/>
      <c r="D12" s="11"/>
      <c r="E12" s="11"/>
      <c r="F12" s="12"/>
      <c r="G12" s="13"/>
      <c r="H12" s="13"/>
      <c r="I12" s="14"/>
      <c r="J12" s="38"/>
      <c r="K12" s="38"/>
      <c r="L12" s="38"/>
    </row>
    <row r="13" spans="1:12" ht="15.6">
      <c r="A13" s="27" t="str">
        <v>Old Ranch Town Center</v>
      </c>
      <c r="B13" s="28" t="str">
        <v>CA</v>
      </c>
      <c r="C13" s="10"/>
      <c r="D13" s="15"/>
      <c r="E13" s="15"/>
      <c r="F13" s="16"/>
      <c r="G13" s="17"/>
      <c r="H13" s="17"/>
      <c r="I13" s="16"/>
      <c r="J13" s="39"/>
      <c r="K13" s="40"/>
      <c r="L13" s="40"/>
    </row>
    <row r="14" spans="1:12" ht="15.6">
      <c r="A14" s="25" t="str">
        <v>Mountain Gate Plaza</v>
      </c>
      <c r="B14" s="26" t="str">
        <v>CA</v>
      </c>
      <c r="C14" s="21"/>
      <c r="D14" s="11"/>
      <c r="E14" s="11"/>
      <c r="F14" s="12"/>
      <c r="G14" s="13"/>
      <c r="H14" s="13"/>
      <c r="I14" s="14"/>
      <c r="J14" s="38"/>
      <c r="K14" s="38"/>
      <c r="L14" s="38"/>
    </row>
    <row r="15" spans="1:12" ht="15.6">
      <c r="A15" s="27" t="str">
        <v>Arcadia Main</v>
      </c>
      <c r="B15" s="28" t="str">
        <v>CA</v>
      </c>
      <c r="C15" s="10"/>
      <c r="D15" s="15"/>
      <c r="E15" s="15"/>
      <c r="F15" s="16"/>
      <c r="G15" s="17"/>
      <c r="H15" s="17"/>
      <c r="I15" s="16"/>
      <c r="J15" s="39"/>
      <c r="K15" s="40"/>
      <c r="L15" s="40"/>
    </row>
    <row r="16" spans="1:12" ht="15.6">
      <c r="A16" s="25" t="str">
        <v>Fairfield</v>
      </c>
      <c r="B16" s="26" t="str">
        <v>CA</v>
      </c>
      <c r="C16" s="21"/>
      <c r="D16" s="11"/>
      <c r="E16" s="11"/>
      <c r="F16" s="12"/>
      <c r="G16" s="13"/>
      <c r="H16" s="13"/>
      <c r="I16" s="14"/>
      <c r="J16" s="38"/>
      <c r="K16" s="38"/>
      <c r="L16" s="38"/>
    </row>
    <row r="17" spans="1:15" ht="15.6">
      <c r="A17" s="27" t="str">
        <v>Los Gatos</v>
      </c>
      <c r="B17" s="28" t="str">
        <v>CA</v>
      </c>
      <c r="C17" s="10"/>
      <c r="D17" s="15"/>
      <c r="E17" s="15"/>
      <c r="F17" s="16"/>
      <c r="G17" s="17"/>
      <c r="H17" s="17"/>
      <c r="I17" s="16"/>
      <c r="J17" s="39"/>
      <c r="K17" s="40"/>
      <c r="L17" s="40"/>
    </row>
    <row r="18" spans="1:15" ht="31.5" customHeight="1">
      <c r="A18" s="25" t="str">
        <v>San Marino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76"/>
      <c r="L18" s="38"/>
    </row>
    <row r="19" spans="1:15" ht="15.6">
      <c r="A19" s="27" t="str">
        <v>Buenaventura</v>
      </c>
      <c r="B19" s="28" t="str">
        <v>CA</v>
      </c>
      <c r="C19" s="10"/>
      <c r="D19" s="15"/>
      <c r="E19" s="15"/>
      <c r="F19" s="16"/>
      <c r="G19" s="17"/>
      <c r="H19" s="17"/>
      <c r="I19" s="16"/>
      <c r="J19" s="89"/>
      <c r="K19" s="89"/>
      <c r="L19" s="89"/>
    </row>
    <row r="20" spans="1:15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38"/>
      <c r="L20" s="38"/>
    </row>
    <row r="21" spans="1:15" ht="15.6">
      <c r="A21" s="27" t="str">
        <v>98th &amp; Grant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  <c r="L21" s="40"/>
    </row>
    <row r="22" spans="1:15" ht="15.6">
      <c r="A22" s="25" t="str">
        <v>Arapahoe Crossings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76"/>
      <c r="L22" s="38"/>
    </row>
    <row r="23" spans="1:15" ht="15.6">
      <c r="A23" s="27" t="str">
        <v>Aurora City Center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  <c r="L23" s="40"/>
    </row>
    <row r="24" spans="1:15" ht="15.6">
      <c r="A24" s="25" t="str">
        <v>Dry Creek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76"/>
      <c r="L24" s="38"/>
    </row>
    <row r="25" spans="1:15" ht="15.6">
      <c r="A25" s="27" t="str">
        <v>Highlands Ranch S.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  <c r="L25" s="40"/>
    </row>
    <row r="26" spans="1:15" ht="15.6">
      <c r="A26" s="25" t="str">
        <v>Lone Tree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76"/>
      <c r="L26" s="38"/>
    </row>
    <row r="27" spans="1:15" ht="15.6">
      <c r="A27" s="27" t="str">
        <v>Meridian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  <c r="L27" s="40"/>
    </row>
    <row r="28" spans="1:15" ht="15.6">
      <c r="A28" s="25" t="str">
        <v>Southglenn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  <c r="L28" s="38"/>
    </row>
    <row r="29" spans="1:15" ht="15.6">
      <c r="A29" s="27" t="str">
        <v>Standley Lake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40"/>
      <c r="L29" s="40"/>
    </row>
    <row r="30" spans="1:15" ht="15.6">
      <c r="A30" s="25" t="str">
        <v>Havana Gardens</v>
      </c>
      <c r="B30" s="26" t="str">
        <v>CO</v>
      </c>
      <c r="C30" s="21"/>
      <c r="D30" s="11"/>
      <c r="E30" s="11"/>
      <c r="F30" s="12"/>
      <c r="G30" s="13"/>
      <c r="H30" s="13"/>
      <c r="I30" s="14"/>
      <c r="J30" s="38"/>
      <c r="K30" s="38"/>
      <c r="L30" s="38"/>
    </row>
    <row r="31" spans="1:15" ht="15.6">
      <c r="A31" s="27" t="str">
        <v>East Hartford</v>
      </c>
      <c r="B31" s="28" t="str">
        <v>CT</v>
      </c>
      <c r="C31" s="10"/>
      <c r="D31" s="15"/>
      <c r="E31" s="15"/>
      <c r="F31" s="16"/>
      <c r="G31" s="17"/>
      <c r="H31" s="17"/>
      <c r="I31" s="16"/>
      <c r="J31" s="39"/>
      <c r="K31" s="40"/>
      <c r="L31" s="40"/>
    </row>
    <row r="32" spans="1:15" ht="91.5" customHeight="1">
      <c r="A32" s="25" t="str">
        <v>Norwalk</v>
      </c>
      <c r="B32" s="26" t="str">
        <v>CT</v>
      </c>
      <c r="C32" s="21"/>
      <c r="D32" s="11"/>
      <c r="E32" s="11"/>
      <c r="F32" s="12"/>
      <c r="G32" s="13"/>
      <c r="H32" s="13"/>
      <c r="I32" s="14"/>
      <c r="J32" s="38"/>
      <c r="K32" s="76"/>
      <c r="L32" s="38"/>
      <c r="M32" s="77"/>
      <c r="N32" s="77"/>
      <c r="O32" s="77"/>
    </row>
    <row r="33" spans="1:12" ht="15.6">
      <c r="A33" s="27" t="str">
        <v>Hialeah Gardens</v>
      </c>
      <c r="B33" s="28" t="str">
        <v>FL</v>
      </c>
      <c r="C33" s="10"/>
      <c r="D33" s="15"/>
      <c r="E33" s="15"/>
      <c r="F33" s="16"/>
      <c r="G33" s="17"/>
      <c r="H33" s="17"/>
      <c r="I33" s="16"/>
      <c r="J33" s="39"/>
      <c r="K33" s="78"/>
      <c r="L33" s="230"/>
    </row>
    <row r="34" spans="1:12" ht="15.6">
      <c r="A34" s="25" t="str">
        <v>W. Des Moines Campus EAST</v>
      </c>
      <c r="B34" s="26" t="str">
        <v>IA</v>
      </c>
      <c r="C34" s="21"/>
      <c r="D34" s="11"/>
      <c r="E34" s="11"/>
      <c r="F34" s="12"/>
      <c r="G34" s="13"/>
      <c r="H34" s="13"/>
      <c r="I34" s="14"/>
      <c r="J34" s="38"/>
      <c r="K34" s="76"/>
      <c r="L34" s="38"/>
    </row>
    <row r="35" spans="1:12" ht="15.6">
      <c r="A35" s="27" t="str">
        <v>W. Des Moines Campus SW</v>
      </c>
      <c r="B35" s="28" t="str">
        <v>IA</v>
      </c>
      <c r="C35" s="10"/>
      <c r="D35" s="15"/>
      <c r="E35" s="15"/>
      <c r="F35" s="16"/>
      <c r="G35" s="17"/>
      <c r="H35" s="17"/>
      <c r="I35" s="16"/>
      <c r="J35" s="39"/>
      <c r="K35" s="78"/>
      <c r="L35" s="230"/>
    </row>
    <row r="36" spans="1:12" ht="15.6">
      <c r="A36" s="25" t="str">
        <v>WF - CIC</v>
      </c>
      <c r="B36" s="26" t="str">
        <v>NC</v>
      </c>
      <c r="C36" s="21"/>
      <c r="D36" s="11"/>
      <c r="E36" s="11"/>
      <c r="F36" s="12"/>
      <c r="G36" s="13"/>
      <c r="H36" s="13"/>
      <c r="I36" s="14"/>
      <c r="J36" s="38"/>
      <c r="K36" s="38"/>
      <c r="L36" s="38"/>
    </row>
    <row r="37" spans="1:12" ht="15.6">
      <c r="A37" s="27" t="str">
        <v>Charlotte - Wells Fargo - DUC</v>
      </c>
      <c r="B37" s="28" t="str">
        <v>NC</v>
      </c>
      <c r="C37" s="10"/>
      <c r="D37" s="15"/>
      <c r="E37" s="15"/>
      <c r="F37" s="16"/>
      <c r="G37" s="17"/>
      <c r="H37" s="17"/>
      <c r="I37" s="16"/>
      <c r="J37" s="39"/>
      <c r="K37" s="40"/>
      <c r="L37" s="40"/>
    </row>
    <row r="38" spans="1:12" ht="15.6">
      <c r="A38" s="25" t="str">
        <v>East Windsor</v>
      </c>
      <c r="B38" s="26" t="str">
        <v>NJ</v>
      </c>
      <c r="C38" s="21"/>
      <c r="D38" s="11"/>
      <c r="E38" s="11"/>
      <c r="F38" s="12"/>
      <c r="G38" s="13"/>
      <c r="H38" s="13"/>
      <c r="I38" s="14"/>
      <c r="J38" s="38"/>
      <c r="K38" s="38"/>
      <c r="L38" s="38"/>
    </row>
    <row r="39" spans="1:12" ht="15.6">
      <c r="A39" s="27" t="str">
        <v>Burlington</v>
      </c>
      <c r="B39" s="28" t="str">
        <v>NJ</v>
      </c>
      <c r="C39" s="10"/>
      <c r="D39" s="15"/>
      <c r="E39" s="15"/>
      <c r="F39" s="16"/>
      <c r="G39" s="17"/>
      <c r="H39" s="17"/>
      <c r="I39" s="16"/>
      <c r="J39" s="39"/>
      <c r="K39" s="40"/>
      <c r="L39" s="40"/>
    </row>
    <row r="40" spans="1:12" ht="15.6">
      <c r="A40" s="25" t="str">
        <v>Bayonne</v>
      </c>
      <c r="B40" s="26" t="str">
        <v>NJ</v>
      </c>
      <c r="C40" s="21"/>
      <c r="D40" s="11"/>
      <c r="E40" s="11"/>
      <c r="F40" s="12"/>
      <c r="G40" s="13"/>
      <c r="H40" s="13"/>
      <c r="I40" s="14"/>
      <c r="J40" s="38"/>
      <c r="K40" s="76"/>
      <c r="L40" s="38"/>
    </row>
    <row r="41" spans="1:12" ht="15.6">
      <c r="A41" s="27" t="str">
        <v>Clifton</v>
      </c>
      <c r="B41" s="28" t="str">
        <v>NJ</v>
      </c>
      <c r="C41" s="10"/>
      <c r="D41" s="15"/>
      <c r="E41" s="15"/>
      <c r="F41" s="16"/>
      <c r="G41" s="17"/>
      <c r="H41" s="17"/>
      <c r="I41" s="16"/>
      <c r="J41" s="39"/>
      <c r="K41" s="40"/>
      <c r="L41" s="40"/>
    </row>
    <row r="42" spans="1:12" ht="15.6">
      <c r="A42" s="25" t="str">
        <v>North Elizabeth</v>
      </c>
      <c r="B42" s="26" t="str">
        <v>NJ</v>
      </c>
      <c r="C42" s="21"/>
      <c r="D42" s="11"/>
      <c r="E42" s="11"/>
      <c r="F42" s="12"/>
      <c r="G42" s="13"/>
      <c r="H42" s="13"/>
      <c r="I42" s="14"/>
      <c r="J42" s="38"/>
      <c r="K42" s="38"/>
      <c r="L42" s="38"/>
    </row>
    <row r="43" spans="1:12" ht="15.6">
      <c r="A43" s="27" t="str">
        <v>Haddon Westmont Plaza</v>
      </c>
      <c r="B43" s="28" t="str">
        <v>NJ</v>
      </c>
      <c r="C43" s="10"/>
      <c r="D43" s="15"/>
      <c r="E43" s="15"/>
      <c r="F43" s="16"/>
      <c r="G43" s="17"/>
      <c r="H43" s="17"/>
      <c r="I43" s="16"/>
      <c r="J43" s="39"/>
      <c r="K43" s="40"/>
      <c r="L43" s="40"/>
    </row>
    <row r="44" spans="1:12" ht="15.6">
      <c r="A44" s="25" t="str">
        <v>Parsippany</v>
      </c>
      <c r="B44" s="26" t="str">
        <v>NJ</v>
      </c>
      <c r="C44" s="21"/>
      <c r="D44" s="11"/>
      <c r="E44" s="11"/>
      <c r="F44" s="12"/>
      <c r="G44" s="13"/>
      <c r="H44" s="13"/>
      <c r="I44" s="14"/>
      <c r="J44" s="38"/>
      <c r="K44" s="38"/>
      <c r="L44" s="38"/>
    </row>
    <row r="45" spans="1:12" ht="15.6">
      <c r="A45" s="27" t="str">
        <v>Clark</v>
      </c>
      <c r="B45" s="28" t="str">
        <v>NJ</v>
      </c>
      <c r="C45" s="10"/>
      <c r="D45" s="15"/>
      <c r="E45" s="15"/>
      <c r="F45" s="16"/>
      <c r="G45" s="17"/>
      <c r="H45" s="17"/>
      <c r="I45" s="16"/>
      <c r="J45" s="39"/>
      <c r="K45" s="40"/>
      <c r="L45" s="40"/>
    </row>
    <row r="46" spans="1:12" ht="15.6">
      <c r="A46" s="25" t="str">
        <v>Closter</v>
      </c>
      <c r="B46" s="26" t="str">
        <v>NJ</v>
      </c>
      <c r="C46" s="21"/>
      <c r="D46" s="11"/>
      <c r="E46" s="11"/>
      <c r="F46" s="12"/>
      <c r="G46" s="13"/>
      <c r="H46" s="13"/>
      <c r="I46" s="14"/>
      <c r="J46" s="38"/>
      <c r="K46" s="38"/>
      <c r="L46" s="38"/>
    </row>
    <row r="47" spans="1:12" ht="15.6">
      <c r="A47" s="27" t="str">
        <v>Holmdel</v>
      </c>
      <c r="B47" s="28" t="str">
        <v>NJ</v>
      </c>
      <c r="C47" s="10"/>
      <c r="D47" s="15"/>
      <c r="E47" s="15"/>
      <c r="F47" s="16"/>
      <c r="G47" s="17"/>
      <c r="H47" s="17"/>
      <c r="I47" s="16"/>
      <c r="J47" s="89"/>
      <c r="K47" s="78"/>
      <c r="L47" s="89"/>
    </row>
    <row r="48" spans="1:12" ht="15.6">
      <c r="A48" s="25" t="str">
        <v>Ellisburg Circle Center</v>
      </c>
      <c r="B48" s="26" t="str">
        <v>NJ</v>
      </c>
      <c r="C48" s="21"/>
      <c r="D48" s="11"/>
      <c r="E48" s="11"/>
      <c r="F48" s="12"/>
      <c r="G48" s="13"/>
      <c r="H48" s="13"/>
      <c r="I48" s="14"/>
      <c r="J48" s="38"/>
      <c r="K48" s="38"/>
      <c r="L48" s="38"/>
    </row>
    <row r="49" spans="1:12" ht="15.6">
      <c r="A49" s="27" t="str">
        <v>Nutley</v>
      </c>
      <c r="B49" s="28" t="str">
        <v>NJ</v>
      </c>
      <c r="C49" s="10"/>
      <c r="D49" s="15"/>
      <c r="E49" s="15"/>
      <c r="F49" s="16"/>
      <c r="G49" s="17"/>
      <c r="H49" s="17"/>
      <c r="I49" s="16"/>
      <c r="J49" s="39"/>
      <c r="K49" s="40"/>
      <c r="L49" s="40"/>
    </row>
    <row r="50" spans="1:12" ht="15.6">
      <c r="A50" s="25" t="str">
        <v>Marlton</v>
      </c>
      <c r="B50" s="26" t="str">
        <v>NJ</v>
      </c>
      <c r="C50" s="21"/>
      <c r="D50" s="11"/>
      <c r="E50" s="11"/>
      <c r="F50" s="12"/>
      <c r="G50" s="13"/>
      <c r="H50" s="13"/>
      <c r="I50" s="14"/>
      <c r="J50" s="38"/>
      <c r="K50" s="38"/>
      <c r="L50" s="38"/>
    </row>
    <row r="51" spans="1:12" ht="15.6">
      <c r="A51" s="27" t="str">
        <v>Middletown</v>
      </c>
      <c r="B51" s="28" t="str">
        <v>NJ</v>
      </c>
      <c r="C51" s="10"/>
      <c r="D51" s="15"/>
      <c r="E51" s="15"/>
      <c r="F51" s="16"/>
      <c r="G51" s="17"/>
      <c r="H51" s="17"/>
      <c r="I51" s="16"/>
      <c r="J51" s="39"/>
      <c r="K51" s="40"/>
      <c r="L51" s="40"/>
    </row>
    <row r="52" spans="1:12" ht="15.6">
      <c r="A52" s="25" t="str">
        <v>Whiting Crestwood</v>
      </c>
      <c r="B52" s="26" t="str">
        <v>NJ</v>
      </c>
      <c r="C52" s="21"/>
      <c r="D52" s="11"/>
      <c r="E52" s="11"/>
      <c r="F52" s="12"/>
      <c r="G52" s="13"/>
      <c r="H52" s="13"/>
      <c r="I52" s="14"/>
      <c r="J52" s="38"/>
      <c r="K52" s="38"/>
      <c r="L52" s="38"/>
    </row>
    <row r="53" spans="1:12" ht="15.6">
      <c r="A53" s="27" t="str">
        <v>Barnegat</v>
      </c>
      <c r="B53" s="28" t="str">
        <v>NJ</v>
      </c>
      <c r="C53" s="10"/>
      <c r="D53" s="15"/>
      <c r="E53" s="15"/>
      <c r="F53" s="16"/>
      <c r="G53" s="17"/>
      <c r="H53" s="17"/>
      <c r="I53" s="16"/>
      <c r="J53" s="39"/>
      <c r="K53" s="40"/>
      <c r="L53" s="40"/>
    </row>
    <row r="54" spans="1:12" ht="15.6">
      <c r="A54" s="25" t="str">
        <v>Manchester</v>
      </c>
      <c r="B54" s="26" t="str">
        <v>NJ</v>
      </c>
      <c r="C54" s="21"/>
      <c r="D54" s="11"/>
      <c r="E54" s="11"/>
      <c r="F54" s="12"/>
      <c r="G54" s="13"/>
      <c r="H54" s="13"/>
      <c r="I54" s="14"/>
      <c r="J54" s="38"/>
      <c r="K54" s="38"/>
      <c r="L54" s="38"/>
    </row>
    <row r="55" spans="1:12" ht="15.6">
      <c r="A55" s="27" t="str">
        <v>West Deptford - Woodbury</v>
      </c>
      <c r="B55" s="28" t="str">
        <v>NJ</v>
      </c>
      <c r="C55" s="10"/>
      <c r="D55" s="15"/>
      <c r="E55" s="15"/>
      <c r="F55" s="16"/>
      <c r="G55" s="17"/>
      <c r="H55" s="17"/>
      <c r="I55" s="16"/>
      <c r="J55" s="89"/>
      <c r="K55" s="70"/>
      <c r="L55" s="70"/>
    </row>
    <row r="56" spans="1:12" ht="15.6">
      <c r="A56" s="25" t="str">
        <v>Edison</v>
      </c>
      <c r="B56" s="26" t="str">
        <v>NJ</v>
      </c>
      <c r="C56" s="21"/>
      <c r="D56" s="11"/>
      <c r="E56" s="11"/>
      <c r="F56" s="12"/>
      <c r="G56" s="13"/>
      <c r="H56" s="13"/>
      <c r="I56" s="14"/>
      <c r="J56" s="38"/>
      <c r="K56" s="38"/>
      <c r="L56" s="38"/>
    </row>
    <row r="57" spans="1:12" ht="15.6">
      <c r="A57" s="27" t="str">
        <v>Flemington</v>
      </c>
      <c r="B57" s="28" t="str">
        <v>NJ</v>
      </c>
      <c r="C57" s="10"/>
      <c r="D57" s="15"/>
      <c r="E57" s="15"/>
      <c r="F57" s="16"/>
      <c r="G57" s="17"/>
      <c r="H57" s="17"/>
      <c r="I57" s="16"/>
      <c r="J57" s="39"/>
      <c r="K57" s="40"/>
      <c r="L57" s="40"/>
    </row>
    <row r="58" spans="1:12" ht="15.6">
      <c r="A58" s="25" t="str">
        <v>Route 22</v>
      </c>
      <c r="B58" s="26" t="str">
        <v>NJ</v>
      </c>
      <c r="C58" s="21"/>
      <c r="D58" s="11"/>
      <c r="E58" s="11"/>
      <c r="F58" s="12"/>
      <c r="G58" s="13"/>
      <c r="H58" s="13"/>
      <c r="I58" s="14"/>
      <c r="J58" s="38"/>
      <c r="K58" s="38"/>
      <c r="L58" s="38"/>
    </row>
    <row r="59" spans="1:12" ht="15.6">
      <c r="A59" s="27" t="str">
        <v>Laurelton</v>
      </c>
      <c r="B59" s="28" t="str">
        <v>NJ</v>
      </c>
      <c r="C59" s="229"/>
      <c r="D59" s="15"/>
      <c r="E59" s="15"/>
      <c r="F59" s="16"/>
      <c r="G59" s="88"/>
      <c r="H59" s="17"/>
      <c r="I59" s="16"/>
      <c r="J59" s="39"/>
      <c r="K59" s="83"/>
      <c r="L59" s="40"/>
    </row>
    <row r="60" spans="1:12" ht="15.6">
      <c r="A60" s="25" t="str">
        <v>Mahwah</v>
      </c>
      <c r="B60" s="26" t="str">
        <v>NJ</v>
      </c>
      <c r="C60" s="21"/>
      <c r="D60" s="11"/>
      <c r="E60" s="11"/>
      <c r="F60" s="12"/>
      <c r="G60" s="13"/>
      <c r="H60" s="13"/>
      <c r="I60" s="14"/>
      <c r="J60" s="38"/>
      <c r="K60" s="76"/>
      <c r="L60" s="38"/>
    </row>
    <row r="61" spans="1:12" ht="15.6">
      <c r="A61" s="27" t="str">
        <v>Franklin Township WF</v>
      </c>
      <c r="B61" s="28" t="str">
        <v>NJ</v>
      </c>
      <c r="C61" s="10"/>
      <c r="D61" s="15"/>
      <c r="E61" s="15"/>
      <c r="F61" s="16"/>
      <c r="G61" s="17"/>
      <c r="H61" s="17"/>
      <c r="I61" s="16"/>
      <c r="J61" s="39"/>
      <c r="K61" s="40"/>
      <c r="L61" s="40"/>
    </row>
    <row r="62" spans="1:12" ht="15.6">
      <c r="A62" s="25" t="str">
        <v>Bordentown</v>
      </c>
      <c r="B62" s="26" t="str">
        <v>NJ</v>
      </c>
      <c r="C62" s="21"/>
      <c r="D62" s="11"/>
      <c r="E62" s="11"/>
      <c r="F62" s="12"/>
      <c r="G62" s="13"/>
      <c r="H62" s="13"/>
      <c r="I62" s="14"/>
      <c r="J62" s="38"/>
      <c r="K62" s="38"/>
      <c r="L62" s="38"/>
    </row>
    <row r="63" spans="1:12" ht="15.6">
      <c r="A63" s="27" t="str">
        <v>South Plainfield</v>
      </c>
      <c r="B63" s="28" t="str">
        <v>NJ</v>
      </c>
      <c r="C63" s="10"/>
      <c r="D63" s="15"/>
      <c r="E63" s="15"/>
      <c r="F63" s="16"/>
      <c r="G63" s="17"/>
      <c r="H63" s="17"/>
      <c r="I63" s="16"/>
      <c r="J63" s="54"/>
      <c r="K63" s="40"/>
      <c r="L63" s="40"/>
    </row>
    <row r="64" spans="1:12" ht="15.6">
      <c r="A64" s="25" t="str">
        <v>Somerset</v>
      </c>
      <c r="B64" s="26" t="str">
        <v>NJ</v>
      </c>
      <c r="C64" s="21"/>
      <c r="D64" s="11"/>
      <c r="E64" s="11"/>
      <c r="F64" s="12"/>
      <c r="G64" s="13"/>
      <c r="H64" s="13"/>
      <c r="I64" s="14"/>
      <c r="J64" s="38"/>
      <c r="K64" s="38"/>
      <c r="L64" s="38"/>
    </row>
    <row r="65" spans="1:12" ht="15.6">
      <c r="A65" s="27" t="str">
        <v>Clinton Main Relo</v>
      </c>
      <c r="B65" s="28" t="str">
        <v>NJ</v>
      </c>
      <c r="C65" s="10"/>
      <c r="D65" s="15"/>
      <c r="E65" s="15"/>
      <c r="F65" s="16"/>
      <c r="G65" s="17"/>
      <c r="H65" s="17"/>
      <c r="I65" s="16"/>
      <c r="J65" s="39"/>
      <c r="K65" s="40"/>
      <c r="L65" s="40"/>
    </row>
    <row r="66" spans="1:12" ht="15.6">
      <c r="A66" s="25" t="str">
        <v>North Brunswick</v>
      </c>
      <c r="B66" s="26" t="str">
        <v>NJ</v>
      </c>
      <c r="C66" s="21"/>
      <c r="D66" s="11"/>
      <c r="E66" s="11"/>
      <c r="F66" s="12"/>
      <c r="G66" s="13"/>
      <c r="H66" s="13"/>
      <c r="I66" s="14"/>
      <c r="J66" s="38"/>
      <c r="K66" s="38"/>
      <c r="L66" s="38"/>
    </row>
    <row r="67" spans="1:12" ht="15.6">
      <c r="A67" s="27" t="str">
        <v>Cherry Hill</v>
      </c>
      <c r="B67" s="28" t="str">
        <v>NJ</v>
      </c>
      <c r="C67" s="10"/>
      <c r="D67" s="15"/>
      <c r="E67" s="15"/>
      <c r="F67" s="16"/>
      <c r="G67" s="17"/>
      <c r="H67" s="17"/>
      <c r="I67" s="16"/>
      <c r="J67" s="39"/>
      <c r="K67" s="40"/>
      <c r="L67" s="40"/>
    </row>
    <row r="68" spans="1:12" ht="15.6">
      <c r="A68" s="25" t="str">
        <v>Hainesport</v>
      </c>
      <c r="B68" s="26" t="str">
        <v>NJ</v>
      </c>
      <c r="C68" s="21"/>
      <c r="D68" s="11"/>
      <c r="E68" s="11"/>
      <c r="F68" s="12"/>
      <c r="G68" s="13"/>
      <c r="H68" s="13"/>
      <c r="I68" s="14"/>
      <c r="J68" s="69"/>
      <c r="K68" s="69"/>
      <c r="L68" s="69"/>
    </row>
    <row r="69" spans="1:12" ht="15.6">
      <c r="A69" s="27" t="str">
        <v>San Antonio - Ops Ctr (Bldg 106)</v>
      </c>
      <c r="B69" s="28" t="str">
        <v>TX</v>
      </c>
      <c r="C69" s="10"/>
      <c r="D69" s="15"/>
      <c r="E69" s="15"/>
      <c r="F69" s="16"/>
      <c r="G69" s="17"/>
      <c r="H69" s="17"/>
      <c r="I69" s="16"/>
      <c r="J69" s="39"/>
      <c r="K69" s="83"/>
      <c r="L69" s="39"/>
    </row>
    <row r="70" spans="1:12" ht="15.6">
      <c r="A70" s="25" t="str">
        <v>San Antonio - Ops Ctr GM</v>
      </c>
      <c r="B70" s="26" t="str">
        <v>TX</v>
      </c>
      <c r="C70" s="21"/>
      <c r="D70" s="11"/>
      <c r="E70" s="11"/>
      <c r="F70" s="12"/>
      <c r="G70" s="13"/>
      <c r="H70" s="13"/>
      <c r="I70" s="14"/>
      <c r="J70" s="38"/>
      <c r="K70" s="76"/>
      <c r="L70" s="38"/>
    </row>
    <row r="71" spans="1:12" ht="15.6">
      <c r="A71" s="27" t="str">
        <v>San Antonio - Ctr (Bldg 201)</v>
      </c>
      <c r="B71" s="28" t="str">
        <v>TX</v>
      </c>
      <c r="C71" s="10"/>
      <c r="D71" s="15"/>
      <c r="E71" s="15"/>
      <c r="F71" s="16"/>
      <c r="G71" s="17"/>
      <c r="H71" s="17"/>
      <c r="I71" s="16"/>
      <c r="J71" s="54"/>
      <c r="K71" s="40"/>
      <c r="L71" s="40"/>
    </row>
    <row r="72" spans="1:12" ht="15.6">
      <c r="A72" s="25" t="str">
        <v>San Antonio - Ops Ctr (Bldg 203)</v>
      </c>
      <c r="B72" s="26" t="str">
        <v>TX</v>
      </c>
      <c r="C72" s="21"/>
      <c r="D72" s="11"/>
      <c r="E72" s="11"/>
      <c r="F72" s="12"/>
      <c r="G72" s="13"/>
      <c r="H72" s="13"/>
      <c r="I72" s="14"/>
      <c r="J72" s="38"/>
      <c r="K72" s="38"/>
      <c r="L72" s="38"/>
    </row>
    <row r="73" spans="1:12" ht="15.6">
      <c r="A73" s="27" t="str">
        <v>San Antonio - Ops Ctr (Bldg 205)</v>
      </c>
      <c r="B73" s="28" t="str">
        <v>TX</v>
      </c>
      <c r="C73" s="71"/>
      <c r="D73" s="15"/>
      <c r="E73" s="15"/>
      <c r="F73" s="16"/>
      <c r="G73" s="72"/>
      <c r="H73" s="17"/>
      <c r="I73" s="16"/>
      <c r="J73" s="49"/>
      <c r="K73" s="79"/>
      <c r="L73" s="49"/>
    </row>
    <row r="74" spans="1:12" ht="15.6">
      <c r="A74" s="25" t="str">
        <v>San Antonio - Ops Ctr (Bldg 307)</v>
      </c>
      <c r="B74" s="26" t="str">
        <v>TX</v>
      </c>
      <c r="C74" s="21"/>
      <c r="D74" s="11"/>
      <c r="E74" s="11"/>
      <c r="F74" s="12"/>
      <c r="G74" s="13"/>
      <c r="H74" s="13"/>
      <c r="I74" s="14"/>
      <c r="J74" s="38"/>
      <c r="K74" s="38"/>
      <c r="L74" s="38"/>
    </row>
    <row r="75" spans="1:12" ht="15.6">
      <c r="A75" s="27" t="str">
        <v>San Antonio - Ctr (Bldg 308)</v>
      </c>
      <c r="B75" s="28" t="str">
        <v>TX</v>
      </c>
      <c r="C75" s="10"/>
      <c r="D75" s="15"/>
      <c r="E75" s="15"/>
      <c r="F75" s="16"/>
      <c r="G75" s="17"/>
      <c r="H75" s="17"/>
      <c r="I75" s="16"/>
      <c r="J75" s="54"/>
      <c r="K75" s="83"/>
      <c r="L75" s="40"/>
    </row>
    <row r="76" spans="1:12" ht="15.6">
      <c r="A76" s="25" t="str">
        <v>San Antonio - Ops Ctr (Bldg 104)</v>
      </c>
      <c r="B76" s="26" t="str">
        <v>TX</v>
      </c>
      <c r="C76" s="21"/>
      <c r="D76" s="11"/>
      <c r="E76" s="11"/>
      <c r="F76" s="12"/>
      <c r="G76" s="13"/>
      <c r="H76" s="13"/>
      <c r="I76" s="14"/>
      <c r="J76" s="38"/>
      <c r="K76" s="38"/>
      <c r="L76" s="38"/>
    </row>
    <row r="77" spans="1:12" ht="15.6">
      <c r="A77" s="27" t="str">
        <v>San Antonio - Ops Ctr (Bldg 102)</v>
      </c>
      <c r="B77" s="28" t="str">
        <v>TX</v>
      </c>
      <c r="C77" s="71"/>
      <c r="D77" s="15"/>
      <c r="E77" s="15"/>
      <c r="F77" s="16"/>
      <c r="G77" s="72"/>
      <c r="H77" s="17"/>
      <c r="I77" s="16"/>
      <c r="J77" s="39"/>
      <c r="K77" s="39"/>
      <c r="L77" s="39"/>
    </row>
    <row r="78" spans="1:12" ht="15.6">
      <c r="A78" s="25" t="str">
        <v>N Black Canyon Hwy, Phoenix - North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  <c r="L78" s="38"/>
    </row>
    <row r="79" spans="1:12" ht="15.6">
      <c r="A79" s="27" t="str">
        <v>N Black Canyon Hwy, Phoenix - South</v>
      </c>
      <c r="B79" s="28" t="str">
        <v>AZ</v>
      </c>
      <c r="C79" s="71"/>
      <c r="D79" s="15"/>
      <c r="E79" s="15"/>
      <c r="F79" s="16"/>
      <c r="G79" s="72"/>
      <c r="H79" s="17"/>
      <c r="I79" s="16"/>
      <c r="J79" s="39"/>
      <c r="K79" s="39"/>
      <c r="L79" s="39"/>
    </row>
    <row r="80" spans="1:12" ht="15.6">
      <c r="A80" s="25" t="str">
        <v xml:space="preserve"> Building 2222,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  <c r="L80" s="38"/>
    </row>
    <row r="81" spans="1:12" ht="15.6">
      <c r="A81" s="27" t="str">
        <v xml:space="preserve"> Building 2202, Rose Garden Ln, Phoenix</v>
      </c>
      <c r="B81" s="28" t="str">
        <v>AZ</v>
      </c>
      <c r="C81" s="71"/>
      <c r="D81" s="15"/>
      <c r="E81" s="15"/>
      <c r="F81" s="16"/>
      <c r="G81" s="72"/>
      <c r="H81" s="17"/>
      <c r="I81" s="16"/>
    </row>
    <row r="82" spans="1:12" ht="15.6">
      <c r="A82" s="25" t="str">
        <v xml:space="preserve"> 99TH Ave &amp; BELL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  <c r="L82" s="38"/>
    </row>
    <row r="83" spans="1:12" ht="15.6">
      <c r="A83" s="27" t="str">
        <v>Rincon</v>
      </c>
      <c r="B83" s="28" t="str">
        <v>AZ</v>
      </c>
      <c r="C83" s="71"/>
      <c r="D83" s="15"/>
      <c r="E83" s="15"/>
      <c r="F83" s="16"/>
      <c r="G83" s="72"/>
      <c r="H83" s="17"/>
      <c r="I83" s="16"/>
      <c r="J83" s="39"/>
      <c r="K83" s="83"/>
      <c r="L83" s="39"/>
    </row>
    <row r="84" spans="1:12" ht="15.6">
      <c r="A84" s="25" t="str">
        <v>Tucson Main Parking Garage</v>
      </c>
      <c r="B84" s="26" t="str">
        <v>AZ</v>
      </c>
      <c r="C84" s="21"/>
      <c r="D84" s="11"/>
      <c r="E84" s="11"/>
      <c r="F84" s="12"/>
      <c r="G84" s="13"/>
      <c r="H84" s="13"/>
      <c r="I84" s="14"/>
      <c r="J84" s="38"/>
      <c r="K84" s="76"/>
      <c r="L84" s="38"/>
    </row>
    <row r="85" spans="1:12" ht="15.6">
      <c r="A85" s="27" t="str">
        <v>AZ: Chandler - Chandler Campus - Bldg A</v>
      </c>
      <c r="B85" s="28" t="str">
        <v>AZ</v>
      </c>
      <c r="C85" s="71"/>
      <c r="D85" s="15"/>
      <c r="E85" s="15"/>
      <c r="F85" s="16"/>
      <c r="G85" s="72"/>
      <c r="H85" s="17"/>
      <c r="I85" s="16"/>
      <c r="J85" s="39"/>
      <c r="K85" s="83"/>
      <c r="L85" s="39"/>
    </row>
    <row r="86" spans="1:12" ht="15.6">
      <c r="A86" s="25" t="str">
        <v>AZ: Phoenix - Pinnacle Peak Ops</v>
      </c>
      <c r="B86" s="26" t="str">
        <v>AZ</v>
      </c>
      <c r="C86" s="21"/>
      <c r="D86" s="11"/>
      <c r="E86" s="11"/>
      <c r="F86" s="12"/>
      <c r="G86" s="13"/>
      <c r="H86" s="13"/>
      <c r="I86" s="14"/>
      <c r="J86" s="38"/>
      <c r="K86" s="38"/>
      <c r="L86" s="38"/>
    </row>
    <row r="87" spans="1:12" ht="15.6">
      <c r="A87" s="27" t="str">
        <v>CA: Alhambra - North Alhambra</v>
      </c>
      <c r="B87" s="28" t="str">
        <v>CA</v>
      </c>
      <c r="C87" s="71"/>
      <c r="D87" s="15"/>
      <c r="E87" s="15"/>
      <c r="F87" s="16"/>
      <c r="G87" s="72"/>
      <c r="H87" s="17"/>
      <c r="I87" s="16"/>
      <c r="J87" s="39"/>
      <c r="K87" s="83"/>
      <c r="L87" s="39"/>
    </row>
    <row r="88" spans="1:12" ht="15.6">
      <c r="A88" s="25" t="str">
        <v>CA: La Canada - La Canada</v>
      </c>
      <c r="B88" s="26" t="str">
        <v>CA</v>
      </c>
      <c r="C88" s="21"/>
      <c r="D88" s="11"/>
      <c r="E88" s="11"/>
      <c r="F88" s="12"/>
      <c r="G88" s="13"/>
      <c r="H88" s="13"/>
      <c r="I88" s="14"/>
      <c r="J88" s="38"/>
      <c r="K88" s="38"/>
      <c r="L88" s="38"/>
    </row>
    <row r="89" spans="1:12" ht="15.6">
      <c r="A89" s="27" t="str">
        <v>CA: Laguna Beach - LAGUNA BEACH</v>
      </c>
      <c r="B89" s="28" t="str">
        <v>CA</v>
      </c>
      <c r="C89" s="71"/>
      <c r="D89" s="15"/>
      <c r="E89" s="15"/>
      <c r="F89" s="16"/>
      <c r="G89" s="72"/>
      <c r="H89" s="17"/>
      <c r="I89" s="16"/>
      <c r="J89" s="39"/>
      <c r="K89" s="39"/>
      <c r="L89" s="39"/>
    </row>
    <row r="90" spans="1:12" ht="15.6">
      <c r="A90" s="25" t="str">
        <v>CA: Newport Beach - MARINERS</v>
      </c>
      <c r="B90" s="26" t="str">
        <v>CA</v>
      </c>
      <c r="C90" s="21"/>
      <c r="D90" s="11"/>
      <c r="E90" s="11"/>
      <c r="F90" s="12"/>
      <c r="G90" s="13"/>
      <c r="H90" s="13"/>
      <c r="I90" s="14"/>
      <c r="J90" s="38"/>
      <c r="K90" s="38"/>
      <c r="L90" s="3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  <row r="293" spans="1:12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  <c r="L293" s="18"/>
    </row>
    <row r="294" spans="1:12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  <c r="L294" s="18"/>
    </row>
    <row r="295" spans="1:12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  <c r="L295" s="18"/>
    </row>
    <row r="296" spans="1:12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  <c r="L296" s="18"/>
    </row>
    <row r="297" spans="1:12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  <c r="L297" s="18"/>
    </row>
    <row r="298" spans="1:12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  <c r="L298" s="18"/>
    </row>
    <row r="299" spans="1:12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  <c r="L299" s="18"/>
    </row>
    <row r="300" spans="1:12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  <c r="L300" s="18"/>
    </row>
    <row r="301" spans="1:12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  <c r="L301" s="18"/>
    </row>
    <row r="302" spans="1:12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  <c r="L302" s="18"/>
    </row>
    <row r="303" spans="1:12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  <c r="L303" s="18"/>
    </row>
    <row r="304" spans="1:12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  <c r="L304" s="18"/>
    </row>
    <row r="305" spans="1:12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  <c r="L305" s="18"/>
    </row>
    <row r="306" spans="1:12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  <c r="L306" s="18"/>
    </row>
    <row r="307" spans="1:12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  <c r="L307" s="18"/>
    </row>
    <row r="308" spans="1:12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  <c r="L308" s="18"/>
    </row>
    <row r="309" spans="1:12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  <c r="L309" s="18"/>
    </row>
    <row r="310" spans="1:12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  <c r="L310" s="18"/>
    </row>
    <row r="311" spans="1:12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  <c r="L311" s="18"/>
    </row>
    <row r="312" spans="1:12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  <c r="L312" s="18"/>
    </row>
    <row r="313" spans="1:12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  <c r="L313" s="18"/>
    </row>
    <row r="314" spans="1:12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  <c r="L314" s="18"/>
    </row>
    <row r="315" spans="1:12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  <c r="L315" s="18"/>
    </row>
    <row r="316" spans="1:12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  <c r="L316" s="18"/>
    </row>
    <row r="317" spans="1:12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  <c r="L317" s="18"/>
    </row>
    <row r="318" spans="1:12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  <c r="L318" s="18"/>
    </row>
    <row r="319" spans="1:12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  <c r="L319" s="18"/>
    </row>
    <row r="320" spans="1:12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  <c r="L320" s="18"/>
    </row>
    <row r="321" spans="1:12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  <c r="L321" s="18"/>
    </row>
    <row r="322" spans="1:12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  <c r="L322" s="18"/>
    </row>
    <row r="323" spans="1:12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  <c r="L323" s="18"/>
    </row>
    <row r="324" spans="1:12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  <c r="L324" s="18"/>
    </row>
    <row r="325" spans="1:12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  <c r="L325" s="18"/>
    </row>
    <row r="326" spans="1:12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  <c r="L326" s="18"/>
    </row>
    <row r="327" spans="1:12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  <c r="L327" s="18"/>
    </row>
    <row r="328" spans="1:12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  <c r="L328" s="18"/>
    </row>
    <row r="329" spans="1:12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  <c r="L329" s="18"/>
    </row>
    <row r="330" spans="1:12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  <c r="L330" s="18"/>
    </row>
    <row r="331" spans="1:12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  <c r="L331" s="18"/>
    </row>
    <row r="332" spans="1:12" ht="14.45">
      <c r="C332" s="18"/>
      <c r="D332" s="18"/>
      <c r="E332" s="18"/>
      <c r="F332" s="19"/>
      <c r="G332" s="18"/>
      <c r="H332" s="18"/>
      <c r="I332" s="19"/>
      <c r="J332" s="18"/>
      <c r="K332" s="18"/>
      <c r="L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90"/>
  <sheetViews>
    <sheetView zoomScale="110" zoomScaleNormal="110" workbookViewId="0">
      <pane ySplit="3" topLeftCell="A52" activePane="bottomLeft" state="frozen"/>
      <selection pane="bottomLeft" activeCell="C101" sqref="C101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10" width="9.140625" customWidth="1"/>
  </cols>
  <sheetData>
    <row r="1" spans="1:5" ht="12.75" customHeight="1">
      <c r="A1" t="s">
        <v>133</v>
      </c>
      <c r="B1" t="s">
        <v>134</v>
      </c>
    </row>
    <row r="3" spans="1:5" ht="13.15">
      <c r="A3" t="s">
        <v>135</v>
      </c>
      <c r="B3" t="s">
        <v>3</v>
      </c>
      <c r="C3" t="s">
        <v>11</v>
      </c>
      <c r="D3" t="s">
        <v>136</v>
      </c>
      <c r="E3" s="2" t="s">
        <v>137</v>
      </c>
    </row>
    <row r="4" spans="1:5" ht="13.15">
      <c r="A4" s="44" t="s">
        <v>138</v>
      </c>
      <c r="B4" s="46" t="s">
        <v>139</v>
      </c>
      <c r="C4" s="46" t="s">
        <v>140</v>
      </c>
      <c r="D4" t="s">
        <v>141</v>
      </c>
      <c r="E4" s="42" t="s">
        <v>142</v>
      </c>
    </row>
    <row r="5" spans="1:5" ht="13.15">
      <c r="A5" s="45" t="s">
        <v>143</v>
      </c>
      <c r="B5" s="45" t="s">
        <v>144</v>
      </c>
      <c r="C5" s="45" t="s">
        <v>140</v>
      </c>
      <c r="E5" s="42" t="s">
        <v>142</v>
      </c>
    </row>
    <row r="6" spans="1:5" ht="13.15">
      <c r="A6" s="46" t="s">
        <v>145</v>
      </c>
      <c r="B6" s="46" t="s">
        <v>146</v>
      </c>
      <c r="C6" s="46" t="s">
        <v>140</v>
      </c>
      <c r="D6" t="s">
        <v>141</v>
      </c>
      <c r="E6" s="42" t="s">
        <v>142</v>
      </c>
    </row>
    <row r="7" spans="1:5" ht="12.75" customHeight="1">
      <c r="A7" s="45" t="s">
        <v>147</v>
      </c>
      <c r="B7" s="45" t="s">
        <v>148</v>
      </c>
      <c r="C7" s="45" t="s">
        <v>140</v>
      </c>
      <c r="D7" t="s">
        <v>149</v>
      </c>
      <c r="E7" s="42" t="s">
        <v>142</v>
      </c>
    </row>
    <row r="8" spans="1:5" ht="12.75" customHeight="1">
      <c r="A8" t="s">
        <v>150</v>
      </c>
      <c r="B8" t="s">
        <v>151</v>
      </c>
      <c r="C8" t="s">
        <v>140</v>
      </c>
      <c r="D8" t="s">
        <v>141</v>
      </c>
      <c r="E8" s="42" t="s">
        <v>142</v>
      </c>
    </row>
    <row r="9" spans="1:5" ht="12.75" customHeight="1">
      <c r="A9" t="s">
        <v>152</v>
      </c>
      <c r="B9" t="s">
        <v>153</v>
      </c>
      <c r="C9" t="s">
        <v>140</v>
      </c>
      <c r="D9" t="s">
        <v>141</v>
      </c>
      <c r="E9" s="42" t="s">
        <v>142</v>
      </c>
    </row>
    <row r="10" spans="1:5" ht="12.75" customHeight="1">
      <c r="A10" t="s">
        <v>154</v>
      </c>
      <c r="B10" t="s">
        <v>155</v>
      </c>
      <c r="C10" t="s">
        <v>140</v>
      </c>
      <c r="D10" t="s">
        <v>141</v>
      </c>
      <c r="E10" s="42" t="s">
        <v>142</v>
      </c>
    </row>
    <row r="11" spans="1:5" ht="12.75" customHeight="1">
      <c r="A11" t="s">
        <v>156</v>
      </c>
      <c r="B11" t="s">
        <v>157</v>
      </c>
      <c r="C11" t="s">
        <v>140</v>
      </c>
      <c r="D11" t="s">
        <v>141</v>
      </c>
      <c r="E11" s="42" t="s">
        <v>142</v>
      </c>
    </row>
    <row r="12" spans="1:5" ht="12.75" customHeight="1">
      <c r="A12" t="s">
        <v>158</v>
      </c>
      <c r="B12" t="s">
        <v>159</v>
      </c>
      <c r="C12" t="s">
        <v>140</v>
      </c>
      <c r="D12" t="s">
        <v>141</v>
      </c>
      <c r="E12" t="s">
        <v>142</v>
      </c>
    </row>
    <row r="13" spans="1:5" ht="12.75" customHeight="1">
      <c r="A13" t="s">
        <v>160</v>
      </c>
      <c r="B13" t="s">
        <v>161</v>
      </c>
      <c r="C13" t="s">
        <v>140</v>
      </c>
      <c r="D13" t="s">
        <v>149</v>
      </c>
      <c r="E13" t="s">
        <v>142</v>
      </c>
    </row>
    <row r="14" spans="1:5" ht="12.75" customHeight="1">
      <c r="A14" t="s">
        <v>162</v>
      </c>
      <c r="B14" t="s">
        <v>163</v>
      </c>
      <c r="C14" t="s">
        <v>140</v>
      </c>
      <c r="D14" t="s">
        <v>149</v>
      </c>
      <c r="E14" t="s">
        <v>142</v>
      </c>
    </row>
    <row r="15" spans="1:5" ht="12.75" customHeight="1">
      <c r="A15" t="s">
        <v>164</v>
      </c>
      <c r="B15" t="s">
        <v>165</v>
      </c>
      <c r="C15" t="s">
        <v>140</v>
      </c>
      <c r="D15" t="s">
        <v>149</v>
      </c>
      <c r="E15" t="s">
        <v>142</v>
      </c>
    </row>
    <row r="16" spans="1:5" ht="12.75" customHeight="1">
      <c r="A16" t="s">
        <v>166</v>
      </c>
      <c r="B16" t="s">
        <v>167</v>
      </c>
      <c r="C16" t="s">
        <v>140</v>
      </c>
      <c r="D16" t="s">
        <v>141</v>
      </c>
      <c r="E16" t="s">
        <v>142</v>
      </c>
    </row>
    <row r="17" spans="1:5" ht="12.75" customHeight="1">
      <c r="A17" t="s">
        <v>168</v>
      </c>
      <c r="B17" t="s">
        <v>169</v>
      </c>
      <c r="C17" t="s">
        <v>140</v>
      </c>
      <c r="D17" t="s">
        <v>141</v>
      </c>
      <c r="E17" t="s">
        <v>142</v>
      </c>
    </row>
    <row r="18" spans="1:5" ht="12.75" customHeight="1">
      <c r="A18" t="s">
        <v>170</v>
      </c>
      <c r="B18" t="s">
        <v>171</v>
      </c>
      <c r="C18" t="s">
        <v>140</v>
      </c>
      <c r="D18" t="s">
        <v>141</v>
      </c>
      <c r="E18" t="s">
        <v>142</v>
      </c>
    </row>
    <row r="19" spans="1:5" ht="12.75" customHeight="1">
      <c r="A19" t="s">
        <v>172</v>
      </c>
      <c r="B19" t="s">
        <v>173</v>
      </c>
      <c r="C19" t="s">
        <v>140</v>
      </c>
      <c r="D19" t="s">
        <v>141</v>
      </c>
      <c r="E19" t="s">
        <v>142</v>
      </c>
    </row>
    <row r="20" spans="1:5" ht="12.75" customHeight="1">
      <c r="A20" t="s">
        <v>174</v>
      </c>
      <c r="B20" t="s">
        <v>175</v>
      </c>
      <c r="C20" t="s">
        <v>140</v>
      </c>
      <c r="E20" t="s">
        <v>142</v>
      </c>
    </row>
    <row r="21" spans="1:5" ht="12.75" customHeight="1">
      <c r="A21" t="s">
        <v>176</v>
      </c>
      <c r="B21" t="s">
        <v>177</v>
      </c>
      <c r="C21" t="s">
        <v>178</v>
      </c>
      <c r="D21" t="s">
        <v>149</v>
      </c>
      <c r="E21" t="s">
        <v>142</v>
      </c>
    </row>
    <row r="22" spans="1:5" ht="12.75" customHeight="1">
      <c r="A22" s="45" t="s">
        <v>179</v>
      </c>
      <c r="B22" s="45" t="s">
        <v>180</v>
      </c>
      <c r="C22" s="45" t="s">
        <v>178</v>
      </c>
      <c r="D22" t="s">
        <v>149</v>
      </c>
      <c r="E22" s="42" t="s">
        <v>142</v>
      </c>
    </row>
    <row r="23" spans="1:5" ht="12.75" customHeight="1">
      <c r="A23" t="s">
        <v>181</v>
      </c>
      <c r="B23" t="s">
        <v>182</v>
      </c>
      <c r="C23" t="s">
        <v>178</v>
      </c>
      <c r="D23" t="s">
        <v>149</v>
      </c>
      <c r="E23" t="s">
        <v>142</v>
      </c>
    </row>
    <row r="24" spans="1:5" ht="12.75" customHeight="1">
      <c r="A24" s="45" t="s">
        <v>183</v>
      </c>
      <c r="B24" s="45" t="s">
        <v>184</v>
      </c>
      <c r="C24" s="45" t="s">
        <v>178</v>
      </c>
      <c r="D24" t="s">
        <v>141</v>
      </c>
      <c r="E24" s="42" t="s">
        <v>142</v>
      </c>
    </row>
    <row r="25" spans="1:5" ht="12.75" customHeight="1">
      <c r="A25" t="s">
        <v>185</v>
      </c>
      <c r="B25" t="s">
        <v>186</v>
      </c>
      <c r="C25" t="s">
        <v>178</v>
      </c>
      <c r="D25" t="s">
        <v>141</v>
      </c>
      <c r="E25" t="s">
        <v>142</v>
      </c>
    </row>
    <row r="26" spans="1:5" ht="12.75" customHeight="1">
      <c r="A26" s="45" t="s">
        <v>187</v>
      </c>
      <c r="B26" s="45" t="s">
        <v>188</v>
      </c>
      <c r="C26" s="45" t="s">
        <v>178</v>
      </c>
      <c r="D26" t="s">
        <v>141</v>
      </c>
      <c r="E26" s="42" t="s">
        <v>142</v>
      </c>
    </row>
    <row r="27" spans="1:5" ht="12.75" customHeight="1">
      <c r="A27" t="s">
        <v>189</v>
      </c>
      <c r="B27" t="s">
        <v>190</v>
      </c>
      <c r="C27" t="s">
        <v>178</v>
      </c>
      <c r="D27" t="s">
        <v>149</v>
      </c>
      <c r="E27" t="s">
        <v>142</v>
      </c>
    </row>
    <row r="28" spans="1:5" ht="12.75" customHeight="1">
      <c r="A28" s="45" t="s">
        <v>191</v>
      </c>
      <c r="B28" s="45" t="s">
        <v>192</v>
      </c>
      <c r="C28" s="45" t="s">
        <v>178</v>
      </c>
      <c r="E28" s="42" t="s">
        <v>142</v>
      </c>
    </row>
    <row r="29" spans="1:5" ht="12.75" customHeight="1">
      <c r="A29" t="s">
        <v>193</v>
      </c>
      <c r="B29" t="s">
        <v>194</v>
      </c>
      <c r="C29" t="s">
        <v>178</v>
      </c>
      <c r="D29" t="s">
        <v>141</v>
      </c>
      <c r="E29" t="s">
        <v>142</v>
      </c>
    </row>
    <row r="30" spans="1:5" ht="12.75" customHeight="1">
      <c r="A30" s="45" t="s">
        <v>195</v>
      </c>
      <c r="B30" s="45" t="s">
        <v>196</v>
      </c>
      <c r="C30" s="45" t="s">
        <v>178</v>
      </c>
      <c r="D30" t="s">
        <v>149</v>
      </c>
      <c r="E30" s="42" t="s">
        <v>142</v>
      </c>
    </row>
    <row r="31" spans="1:5" ht="12.75" customHeight="1">
      <c r="A31" t="s">
        <v>197</v>
      </c>
      <c r="B31" t="s">
        <v>198</v>
      </c>
      <c r="C31" t="s">
        <v>199</v>
      </c>
      <c r="D31" t="s">
        <v>141</v>
      </c>
      <c r="E31" t="s">
        <v>142</v>
      </c>
    </row>
    <row r="32" spans="1:5" ht="12.75" customHeight="1">
      <c r="A32" s="45" t="s">
        <v>200</v>
      </c>
      <c r="B32" s="45" t="s">
        <v>201</v>
      </c>
      <c r="C32" s="45" t="s">
        <v>199</v>
      </c>
      <c r="D32" t="s">
        <v>141</v>
      </c>
      <c r="E32" s="42" t="s">
        <v>142</v>
      </c>
    </row>
    <row r="33" spans="1:5" ht="12.75" customHeight="1">
      <c r="A33" t="s">
        <v>202</v>
      </c>
      <c r="B33" t="s">
        <v>203</v>
      </c>
      <c r="C33" t="s">
        <v>204</v>
      </c>
      <c r="D33" t="s">
        <v>141</v>
      </c>
      <c r="E33" t="s">
        <v>142</v>
      </c>
    </row>
    <row r="34" spans="1:5" ht="12.75" customHeight="1">
      <c r="A34" s="45" t="s">
        <v>205</v>
      </c>
      <c r="B34" s="45" t="s">
        <v>206</v>
      </c>
      <c r="C34" s="45" t="s">
        <v>207</v>
      </c>
      <c r="D34" t="s">
        <v>141</v>
      </c>
      <c r="E34" s="42" t="s">
        <v>142</v>
      </c>
    </row>
    <row r="35" spans="1:5" ht="12.75" customHeight="1">
      <c r="A35" s="45" t="s">
        <v>208</v>
      </c>
      <c r="B35" s="45" t="s">
        <v>209</v>
      </c>
      <c r="C35" s="45" t="s">
        <v>207</v>
      </c>
      <c r="D35" t="s">
        <v>141</v>
      </c>
      <c r="E35" s="42" t="s">
        <v>142</v>
      </c>
    </row>
    <row r="36" spans="1:5" ht="12.75" customHeight="1">
      <c r="A36" s="45" t="s">
        <v>210</v>
      </c>
      <c r="B36" s="45" t="s">
        <v>211</v>
      </c>
      <c r="C36" s="45" t="s">
        <v>212</v>
      </c>
      <c r="E36" s="42" t="s">
        <v>142</v>
      </c>
    </row>
    <row r="37" spans="1:5" ht="12.75" customHeight="1">
      <c r="A37" s="47" t="s">
        <v>213</v>
      </c>
      <c r="B37" s="45" t="s">
        <v>214</v>
      </c>
      <c r="C37" s="45" t="s">
        <v>212</v>
      </c>
      <c r="E37" s="42" t="s">
        <v>142</v>
      </c>
    </row>
    <row r="38" spans="1:5" ht="12.75" customHeight="1">
      <c r="A38" s="45" t="s">
        <v>215</v>
      </c>
      <c r="B38" s="45" t="s">
        <v>216</v>
      </c>
      <c r="C38" s="45" t="s">
        <v>217</v>
      </c>
      <c r="D38" t="s">
        <v>141</v>
      </c>
      <c r="E38" s="42" t="s">
        <v>142</v>
      </c>
    </row>
    <row r="39" spans="1:5" ht="12.75" customHeight="1">
      <c r="A39" s="47" t="s">
        <v>218</v>
      </c>
      <c r="B39" s="45" t="s">
        <v>219</v>
      </c>
      <c r="C39" s="45" t="s">
        <v>217</v>
      </c>
      <c r="D39" t="s">
        <v>141</v>
      </c>
      <c r="E39" s="42" t="s">
        <v>142</v>
      </c>
    </row>
    <row r="40" spans="1:5" ht="12.75" customHeight="1">
      <c r="A40" s="45" t="s">
        <v>220</v>
      </c>
      <c r="B40" s="45" t="s">
        <v>221</v>
      </c>
      <c r="C40" s="45" t="s">
        <v>217</v>
      </c>
      <c r="D40" t="s">
        <v>141</v>
      </c>
      <c r="E40" s="42" t="s">
        <v>142</v>
      </c>
    </row>
    <row r="41" spans="1:5" ht="12.75" customHeight="1">
      <c r="A41" s="47" t="s">
        <v>222</v>
      </c>
      <c r="B41" s="45" t="s">
        <v>223</v>
      </c>
      <c r="C41" s="45" t="s">
        <v>217</v>
      </c>
      <c r="D41" t="s">
        <v>141</v>
      </c>
      <c r="E41" s="42" t="s">
        <v>142</v>
      </c>
    </row>
    <row r="42" spans="1:5" ht="12.75" customHeight="1">
      <c r="A42" s="45" t="s">
        <v>224</v>
      </c>
      <c r="B42" s="45" t="s">
        <v>225</v>
      </c>
      <c r="C42" s="45" t="s">
        <v>217</v>
      </c>
      <c r="D42" t="s">
        <v>141</v>
      </c>
      <c r="E42" s="42" t="s">
        <v>142</v>
      </c>
    </row>
    <row r="43" spans="1:5" ht="12.75" customHeight="1">
      <c r="A43" s="47" t="s">
        <v>226</v>
      </c>
      <c r="B43" s="45" t="s">
        <v>227</v>
      </c>
      <c r="C43" s="45" t="s">
        <v>217</v>
      </c>
      <c r="D43" t="s">
        <v>141</v>
      </c>
      <c r="E43" s="42" t="s">
        <v>142</v>
      </c>
    </row>
    <row r="44" spans="1:5" ht="12.75" customHeight="1">
      <c r="A44" s="45" t="s">
        <v>228</v>
      </c>
      <c r="B44" s="45" t="s">
        <v>229</v>
      </c>
      <c r="C44" s="45" t="s">
        <v>217</v>
      </c>
      <c r="D44" t="s">
        <v>141</v>
      </c>
      <c r="E44" s="42" t="s">
        <v>142</v>
      </c>
    </row>
    <row r="45" spans="1:5" ht="12.75" customHeight="1">
      <c r="A45" s="47" t="s">
        <v>230</v>
      </c>
      <c r="B45" s="45" t="s">
        <v>231</v>
      </c>
      <c r="C45" s="45" t="s">
        <v>217</v>
      </c>
      <c r="D45" t="s">
        <v>141</v>
      </c>
      <c r="E45" s="42" t="s">
        <v>142</v>
      </c>
    </row>
    <row r="46" spans="1:5" ht="12.75" customHeight="1">
      <c r="A46" s="45" t="s">
        <v>232</v>
      </c>
      <c r="B46" s="45" t="s">
        <v>233</v>
      </c>
      <c r="C46" s="45" t="s">
        <v>217</v>
      </c>
      <c r="D46" t="s">
        <v>141</v>
      </c>
      <c r="E46" s="42" t="s">
        <v>142</v>
      </c>
    </row>
    <row r="47" spans="1:5" ht="12.75" customHeight="1">
      <c r="A47" s="47" t="s">
        <v>234</v>
      </c>
      <c r="B47" s="45" t="s">
        <v>235</v>
      </c>
      <c r="C47" s="45" t="s">
        <v>217</v>
      </c>
      <c r="D47" t="s">
        <v>141</v>
      </c>
      <c r="E47" s="42" t="s">
        <v>142</v>
      </c>
    </row>
    <row r="48" spans="1:5" ht="12.75" customHeight="1">
      <c r="A48" s="45" t="s">
        <v>236</v>
      </c>
      <c r="B48" s="45" t="s">
        <v>237</v>
      </c>
      <c r="C48" s="45" t="s">
        <v>217</v>
      </c>
      <c r="D48" t="s">
        <v>141</v>
      </c>
      <c r="E48" s="42" t="s">
        <v>142</v>
      </c>
    </row>
    <row r="49" spans="1:5" ht="12.75" customHeight="1">
      <c r="A49" s="47" t="s">
        <v>238</v>
      </c>
      <c r="B49" s="45" t="s">
        <v>239</v>
      </c>
      <c r="C49" s="45" t="s">
        <v>217</v>
      </c>
      <c r="D49" t="s">
        <v>141</v>
      </c>
      <c r="E49" s="42" t="s">
        <v>142</v>
      </c>
    </row>
    <row r="50" spans="1:5" ht="12.75" customHeight="1">
      <c r="A50" s="45" t="s">
        <v>240</v>
      </c>
      <c r="B50" s="45" t="s">
        <v>241</v>
      </c>
      <c r="C50" s="45" t="s">
        <v>217</v>
      </c>
      <c r="D50" t="s">
        <v>141</v>
      </c>
      <c r="E50" s="42" t="s">
        <v>142</v>
      </c>
    </row>
    <row r="51" spans="1:5" ht="12.75" customHeight="1">
      <c r="A51" s="48" t="s">
        <v>242</v>
      </c>
      <c r="B51" s="45" t="s">
        <v>243</v>
      </c>
      <c r="C51" s="45" t="s">
        <v>217</v>
      </c>
      <c r="D51" t="s">
        <v>141</v>
      </c>
      <c r="E51" s="42" t="s">
        <v>142</v>
      </c>
    </row>
    <row r="52" spans="1:5" ht="12.75" customHeight="1">
      <c r="A52" s="45" t="s">
        <v>244</v>
      </c>
      <c r="B52" s="45" t="s">
        <v>245</v>
      </c>
      <c r="C52" s="45" t="s">
        <v>217</v>
      </c>
      <c r="D52" t="s">
        <v>141</v>
      </c>
      <c r="E52" s="42" t="s">
        <v>142</v>
      </c>
    </row>
    <row r="53" spans="1:5" ht="12.75" customHeight="1">
      <c r="A53" s="47" t="s">
        <v>246</v>
      </c>
      <c r="B53" s="45" t="s">
        <v>247</v>
      </c>
      <c r="C53" s="45" t="s">
        <v>217</v>
      </c>
      <c r="D53" t="s">
        <v>141</v>
      </c>
      <c r="E53" s="42" t="s">
        <v>142</v>
      </c>
    </row>
    <row r="54" spans="1:5" ht="12.75" customHeight="1">
      <c r="A54" s="45" t="s">
        <v>248</v>
      </c>
      <c r="B54" s="45" t="s">
        <v>249</v>
      </c>
      <c r="C54" s="45" t="s">
        <v>217</v>
      </c>
      <c r="D54" t="s">
        <v>141</v>
      </c>
      <c r="E54" s="42" t="s">
        <v>142</v>
      </c>
    </row>
    <row r="55" spans="1:5" ht="12.75" customHeight="1">
      <c r="A55" s="47" t="s">
        <v>250</v>
      </c>
      <c r="B55" s="45" t="s">
        <v>251</v>
      </c>
      <c r="C55" s="45" t="s">
        <v>217</v>
      </c>
      <c r="D55" t="s">
        <v>141</v>
      </c>
      <c r="E55" s="42" t="s">
        <v>142</v>
      </c>
    </row>
    <row r="56" spans="1:5" ht="12.75" customHeight="1">
      <c r="A56" s="45" t="s">
        <v>252</v>
      </c>
      <c r="B56" s="45" t="s">
        <v>253</v>
      </c>
      <c r="C56" s="45" t="s">
        <v>217</v>
      </c>
      <c r="D56" t="s">
        <v>141</v>
      </c>
      <c r="E56" s="42" t="s">
        <v>142</v>
      </c>
    </row>
    <row r="57" spans="1:5" ht="12.75" customHeight="1">
      <c r="A57" s="47" t="s">
        <v>254</v>
      </c>
      <c r="B57" s="45" t="s">
        <v>255</v>
      </c>
      <c r="C57" s="45" t="s">
        <v>217</v>
      </c>
      <c r="D57" t="s">
        <v>141</v>
      </c>
      <c r="E57" s="42" t="s">
        <v>142</v>
      </c>
    </row>
    <row r="58" spans="1:5" ht="12.75" customHeight="1">
      <c r="A58" s="45" t="s">
        <v>256</v>
      </c>
      <c r="B58" s="45" t="s">
        <v>257</v>
      </c>
      <c r="C58" s="45" t="s">
        <v>217</v>
      </c>
      <c r="D58" t="s">
        <v>141</v>
      </c>
      <c r="E58" s="42" t="s">
        <v>142</v>
      </c>
    </row>
    <row r="59" spans="1:5" ht="12.75" customHeight="1">
      <c r="A59" s="45" t="s">
        <v>258</v>
      </c>
      <c r="B59" s="45" t="s">
        <v>259</v>
      </c>
      <c r="C59" s="45" t="s">
        <v>217</v>
      </c>
      <c r="E59" s="42" t="s">
        <v>142</v>
      </c>
    </row>
    <row r="60" spans="1:5" ht="12.75" customHeight="1">
      <c r="A60" s="45" t="s">
        <v>260</v>
      </c>
      <c r="B60" s="45" t="s">
        <v>261</v>
      </c>
      <c r="C60" s="45" t="s">
        <v>217</v>
      </c>
      <c r="D60" t="s">
        <v>141</v>
      </c>
      <c r="E60" s="42" t="s">
        <v>142</v>
      </c>
    </row>
    <row r="61" spans="1:5" ht="12.75" customHeight="1">
      <c r="A61" s="47" t="s">
        <v>262</v>
      </c>
      <c r="B61" s="45" t="s">
        <v>263</v>
      </c>
      <c r="C61" s="45" t="s">
        <v>217</v>
      </c>
      <c r="D61" t="s">
        <v>141</v>
      </c>
      <c r="E61" s="42" t="s">
        <v>142</v>
      </c>
    </row>
    <row r="62" spans="1:5" ht="12.75" customHeight="1">
      <c r="A62" s="45" t="s">
        <v>264</v>
      </c>
      <c r="B62" s="45" t="s">
        <v>265</v>
      </c>
      <c r="C62" s="45" t="s">
        <v>217</v>
      </c>
      <c r="D62" t="s">
        <v>141</v>
      </c>
      <c r="E62" s="42" t="s">
        <v>142</v>
      </c>
    </row>
    <row r="63" spans="1:5" ht="12.75" customHeight="1">
      <c r="A63" s="47" t="s">
        <v>266</v>
      </c>
      <c r="B63" s="45" t="s">
        <v>267</v>
      </c>
      <c r="C63" s="45" t="s">
        <v>217</v>
      </c>
      <c r="D63" t="s">
        <v>141</v>
      </c>
      <c r="E63" s="42" t="s">
        <v>142</v>
      </c>
    </row>
    <row r="64" spans="1:5" ht="12.75" customHeight="1">
      <c r="A64" s="45" t="s">
        <v>268</v>
      </c>
      <c r="B64" s="45" t="s">
        <v>269</v>
      </c>
      <c r="C64" s="45" t="s">
        <v>217</v>
      </c>
      <c r="D64" t="s">
        <v>141</v>
      </c>
      <c r="E64" s="42" t="s">
        <v>142</v>
      </c>
    </row>
    <row r="65" spans="1:5" ht="12.75" customHeight="1">
      <c r="A65" s="47" t="s">
        <v>270</v>
      </c>
      <c r="B65" s="45" t="s">
        <v>271</v>
      </c>
      <c r="C65" s="45" t="s">
        <v>217</v>
      </c>
      <c r="E65" s="42" t="s">
        <v>142</v>
      </c>
    </row>
    <row r="66" spans="1:5" ht="12.75" customHeight="1">
      <c r="A66" s="45" t="s">
        <v>272</v>
      </c>
      <c r="B66" s="45" t="s">
        <v>273</v>
      </c>
      <c r="C66" s="45" t="s">
        <v>217</v>
      </c>
      <c r="D66" t="s">
        <v>141</v>
      </c>
      <c r="E66" s="42" t="s">
        <v>142</v>
      </c>
    </row>
    <row r="67" spans="1:5" ht="12.75" customHeight="1">
      <c r="A67" s="47" t="s">
        <v>274</v>
      </c>
      <c r="B67" s="45" t="s">
        <v>275</v>
      </c>
      <c r="C67" s="45" t="s">
        <v>217</v>
      </c>
      <c r="D67" t="s">
        <v>141</v>
      </c>
      <c r="E67" s="42" t="s">
        <v>142</v>
      </c>
    </row>
    <row r="68" spans="1:5" ht="12.75" customHeight="1">
      <c r="A68" s="45" t="s">
        <v>276</v>
      </c>
      <c r="B68" s="45" t="s">
        <v>277</v>
      </c>
      <c r="C68" s="45" t="s">
        <v>217</v>
      </c>
      <c r="D68" t="s">
        <v>141</v>
      </c>
      <c r="E68" s="42" t="s">
        <v>142</v>
      </c>
    </row>
    <row r="69" spans="1:5" ht="12.75" customHeight="1">
      <c r="A69" s="47" t="s">
        <v>278</v>
      </c>
      <c r="B69" s="45" t="s">
        <v>279</v>
      </c>
      <c r="C69" s="45" t="s">
        <v>280</v>
      </c>
      <c r="E69" s="42" t="s">
        <v>142</v>
      </c>
    </row>
    <row r="70" spans="1:5" ht="12.75" customHeight="1">
      <c r="A70" s="45" t="s">
        <v>281</v>
      </c>
      <c r="B70" s="45" t="s">
        <v>282</v>
      </c>
      <c r="C70" s="45" t="s">
        <v>280</v>
      </c>
      <c r="E70" s="42" t="s">
        <v>142</v>
      </c>
    </row>
    <row r="71" spans="1:5" ht="12.75" customHeight="1">
      <c r="A71" s="47" t="s">
        <v>283</v>
      </c>
      <c r="B71" s="45" t="s">
        <v>284</v>
      </c>
      <c r="C71" s="45" t="s">
        <v>280</v>
      </c>
      <c r="E71" s="42" t="s">
        <v>142</v>
      </c>
    </row>
    <row r="72" spans="1:5" ht="12.75" customHeight="1">
      <c r="A72" s="45" t="s">
        <v>285</v>
      </c>
      <c r="B72" s="45" t="s">
        <v>286</v>
      </c>
      <c r="C72" s="45" t="s">
        <v>280</v>
      </c>
      <c r="E72" s="42" t="s">
        <v>142</v>
      </c>
    </row>
    <row r="73" spans="1:5" ht="12.75" customHeight="1">
      <c r="A73" s="47" t="s">
        <v>287</v>
      </c>
      <c r="B73" s="45" t="s">
        <v>288</v>
      </c>
      <c r="C73" s="45" t="s">
        <v>280</v>
      </c>
      <c r="E73" s="42" t="s">
        <v>142</v>
      </c>
    </row>
    <row r="74" spans="1:5" ht="12.75" customHeight="1">
      <c r="A74" s="45" t="s">
        <v>289</v>
      </c>
      <c r="B74" s="45" t="s">
        <v>290</v>
      </c>
      <c r="C74" s="45" t="s">
        <v>280</v>
      </c>
      <c r="E74" s="42" t="s">
        <v>142</v>
      </c>
    </row>
    <row r="75" spans="1:5" ht="12.75" customHeight="1">
      <c r="A75" s="45" t="s">
        <v>291</v>
      </c>
      <c r="B75" s="45" t="s">
        <v>292</v>
      </c>
      <c r="C75" s="45" t="s">
        <v>280</v>
      </c>
      <c r="E75" s="42" t="s">
        <v>142</v>
      </c>
    </row>
    <row r="76" spans="1:5" ht="12.75" customHeight="1">
      <c r="A76" s="45" t="s">
        <v>293</v>
      </c>
      <c r="B76" s="45" t="s">
        <v>294</v>
      </c>
      <c r="C76" s="45" t="s">
        <v>280</v>
      </c>
      <c r="E76" s="42" t="s">
        <v>142</v>
      </c>
    </row>
    <row r="77" spans="1:5" ht="12.75" customHeight="1">
      <c r="A77" s="47" t="s">
        <v>295</v>
      </c>
      <c r="B77" s="45" t="s">
        <v>296</v>
      </c>
      <c r="C77" s="45" t="s">
        <v>280</v>
      </c>
      <c r="E77" s="42" t="s">
        <v>142</v>
      </c>
    </row>
    <row r="78" spans="1:5" ht="12.75" customHeight="1">
      <c r="A78" t="s">
        <v>297</v>
      </c>
      <c r="B78" t="s">
        <v>298</v>
      </c>
      <c r="C78" t="s">
        <v>299</v>
      </c>
      <c r="D78" t="s">
        <v>141</v>
      </c>
      <c r="E78" t="s">
        <v>142</v>
      </c>
    </row>
    <row r="79" spans="1:5" ht="12.75" customHeight="1">
      <c r="A79" t="s">
        <v>300</v>
      </c>
      <c r="B79" t="s">
        <v>301</v>
      </c>
      <c r="C79" t="s">
        <v>299</v>
      </c>
      <c r="D79" t="s">
        <v>141</v>
      </c>
      <c r="E79" t="s">
        <v>142</v>
      </c>
    </row>
    <row r="80" spans="1:5" ht="12.75" customHeight="1">
      <c r="A80" t="s">
        <v>302</v>
      </c>
      <c r="B80" t="s">
        <v>303</v>
      </c>
      <c r="C80" t="s">
        <v>299</v>
      </c>
      <c r="D80" t="s">
        <v>141</v>
      </c>
      <c r="E80" t="s">
        <v>142</v>
      </c>
    </row>
    <row r="81" spans="1:5" ht="12.75" customHeight="1">
      <c r="A81" t="s">
        <v>304</v>
      </c>
      <c r="B81" t="s">
        <v>305</v>
      </c>
      <c r="C81" t="s">
        <v>299</v>
      </c>
      <c r="D81" t="s">
        <v>141</v>
      </c>
      <c r="E81" t="s">
        <v>142</v>
      </c>
    </row>
    <row r="82" spans="1:5" ht="12.75" customHeight="1">
      <c r="A82" t="s">
        <v>306</v>
      </c>
      <c r="B82" t="s">
        <v>307</v>
      </c>
      <c r="C82" t="s">
        <v>299</v>
      </c>
      <c r="D82" t="s">
        <v>141</v>
      </c>
      <c r="E82" t="s">
        <v>142</v>
      </c>
    </row>
    <row r="83" spans="1:5" ht="12.75" customHeight="1">
      <c r="A83" t="s">
        <v>308</v>
      </c>
      <c r="B83" t="s">
        <v>309</v>
      </c>
      <c r="C83" t="s">
        <v>299</v>
      </c>
      <c r="D83" t="s">
        <v>141</v>
      </c>
      <c r="E83" t="s">
        <v>142</v>
      </c>
    </row>
    <row r="84" spans="1:5" ht="12.75" customHeight="1">
      <c r="A84" t="s">
        <v>310</v>
      </c>
      <c r="B84" t="s">
        <v>311</v>
      </c>
      <c r="C84" t="s">
        <v>299</v>
      </c>
      <c r="D84" t="s">
        <v>141</v>
      </c>
      <c r="E84" t="s">
        <v>142</v>
      </c>
    </row>
    <row r="85" spans="1:5" ht="12.75" customHeight="1">
      <c r="A85" t="s">
        <v>312</v>
      </c>
      <c r="B85" t="s">
        <v>313</v>
      </c>
      <c r="C85" t="s">
        <v>299</v>
      </c>
      <c r="D85" t="s">
        <v>141</v>
      </c>
      <c r="E85" t="s">
        <v>142</v>
      </c>
    </row>
    <row r="86" spans="1:5" ht="12.75" customHeight="1">
      <c r="A86" t="s">
        <v>314</v>
      </c>
      <c r="B86" t="s">
        <v>315</v>
      </c>
      <c r="C86" t="s">
        <v>299</v>
      </c>
      <c r="D86" t="s">
        <v>141</v>
      </c>
      <c r="E86" t="s">
        <v>142</v>
      </c>
    </row>
    <row r="87" spans="1:5" ht="12.75" customHeight="1">
      <c r="A87" t="s">
        <v>316</v>
      </c>
      <c r="B87" t="s">
        <v>317</v>
      </c>
      <c r="C87" t="s">
        <v>140</v>
      </c>
      <c r="D87" t="s">
        <v>149</v>
      </c>
      <c r="E87" t="s">
        <v>142</v>
      </c>
    </row>
    <row r="88" spans="1:5" ht="12.75" customHeight="1">
      <c r="A88" t="s">
        <v>318</v>
      </c>
      <c r="B88" t="s">
        <v>319</v>
      </c>
      <c r="C88" t="s">
        <v>140</v>
      </c>
      <c r="D88" t="s">
        <v>141</v>
      </c>
      <c r="E88" t="s">
        <v>142</v>
      </c>
    </row>
    <row r="89" spans="1:5" ht="12.75" customHeight="1">
      <c r="A89" t="s">
        <v>320</v>
      </c>
      <c r="B89" t="s">
        <v>321</v>
      </c>
      <c r="C89" t="s">
        <v>140</v>
      </c>
      <c r="D89" t="s">
        <v>141</v>
      </c>
      <c r="E89" t="s">
        <v>142</v>
      </c>
    </row>
    <row r="90" spans="1:5" ht="12.75" customHeight="1">
      <c r="A90" t="s">
        <v>322</v>
      </c>
      <c r="B90" t="s">
        <v>323</v>
      </c>
      <c r="C90" t="s">
        <v>140</v>
      </c>
      <c r="D90" t="s">
        <v>141</v>
      </c>
      <c r="E90" t="s">
        <v>142</v>
      </c>
    </row>
  </sheetData>
  <conditionalFormatting sqref="A4:A90">
    <cfRule type="duplicateValues" dxfId="0" priority="20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AC45B27D-EC33-4491-98BA-9BCF9F3E51BB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2026-02-20T20:12:10Z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