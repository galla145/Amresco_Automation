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1" documentId="13_ncr:1_{3FE4AF29-321B-412F-AA76-8784A62F9AF9}" xr6:coauthVersionLast="47" xr6:coauthVersionMax="47" xr10:uidLastSave="{C068A173-A1F4-4154-9C28-6C75593D8EDA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2" l="1" a="1"/>
  <c r="A4" i="72"/>
  <c r="H6" i="26"/>
  <c r="I6" i="26" s="1"/>
  <c r="H7" i="26"/>
  <c r="I7" i="26" s="1"/>
  <c r="H8" i="26"/>
  <c r="I8" i="26" s="1"/>
  <c r="H9" i="26"/>
  <c r="I9" i="26" s="1"/>
  <c r="H10" i="26"/>
  <c r="I10" i="26" s="1"/>
  <c r="H11" i="26"/>
  <c r="I11" i="26" s="1"/>
  <c r="H12" i="26"/>
  <c r="I12" i="26" s="1"/>
  <c r="H13" i="26"/>
  <c r="I13" i="26" s="1"/>
  <c r="H14" i="26"/>
  <c r="I14" i="26" s="1"/>
  <c r="H15" i="26"/>
  <c r="I15" i="26" s="1"/>
  <c r="H16" i="26"/>
  <c r="I16" i="26" s="1"/>
  <c r="H17" i="26"/>
  <c r="I17" i="26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I23" i="26" s="1"/>
  <c r="H24" i="26"/>
  <c r="I24" i="26" s="1"/>
  <c r="H25" i="26"/>
  <c r="I25" i="26" s="1"/>
  <c r="H26" i="26"/>
  <c r="I26" i="26" s="1"/>
  <c r="H27" i="26"/>
  <c r="I27" i="26" s="1"/>
  <c r="H28" i="26"/>
  <c r="I28" i="26" s="1"/>
  <c r="H29" i="26"/>
  <c r="I29" i="26" s="1"/>
  <c r="H30" i="26"/>
  <c r="I30" i="26" s="1"/>
  <c r="H31" i="26"/>
  <c r="I31" i="26" s="1"/>
  <c r="H32" i="26"/>
  <c r="I32" i="26" s="1"/>
  <c r="H33" i="26"/>
  <c r="I33" i="26" s="1"/>
  <c r="H34" i="26"/>
  <c r="I34" i="26" s="1"/>
  <c r="H35" i="26"/>
  <c r="I35" i="26" s="1"/>
  <c r="H36" i="26"/>
  <c r="I36" i="26" s="1"/>
  <c r="H37" i="26"/>
  <c r="I37" i="26" s="1"/>
  <c r="H38" i="26"/>
  <c r="I38" i="26" s="1"/>
  <c r="E6" i="26"/>
  <c r="F6" i="26" s="1"/>
  <c r="E7" i="26"/>
  <c r="F7" i="26" s="1"/>
  <c r="E8" i="26"/>
  <c r="F8" i="26" s="1"/>
  <c r="E9" i="26"/>
  <c r="F9" i="26" s="1"/>
  <c r="E10" i="26"/>
  <c r="F10" i="26" s="1"/>
  <c r="E11" i="26"/>
  <c r="F11" i="26" s="1"/>
  <c r="E12" i="26"/>
  <c r="F12" i="26" s="1"/>
  <c r="E13" i="26"/>
  <c r="F13" i="26" s="1"/>
  <c r="E14" i="26"/>
  <c r="F14" i="26" s="1"/>
  <c r="E15" i="26"/>
  <c r="F15" i="26" s="1"/>
  <c r="E16" i="26"/>
  <c r="F16" i="26" s="1"/>
  <c r="E17" i="26"/>
  <c r="F17" i="26" s="1"/>
  <c r="E18" i="26"/>
  <c r="F18" i="26" s="1"/>
  <c r="E19" i="26"/>
  <c r="F19" i="26" s="1"/>
  <c r="E20" i="26"/>
  <c r="F20" i="26" s="1"/>
  <c r="E21" i="26"/>
  <c r="F21" i="26" s="1"/>
  <c r="E22" i="26"/>
  <c r="F22" i="26" s="1"/>
  <c r="E23" i="26"/>
  <c r="F23" i="26" s="1"/>
  <c r="E24" i="26"/>
  <c r="F24" i="26" s="1"/>
  <c r="E25" i="26"/>
  <c r="F25" i="26" s="1"/>
  <c r="E26" i="26"/>
  <c r="F26" i="26" s="1"/>
  <c r="E27" i="26"/>
  <c r="F27" i="26" s="1"/>
  <c r="E28" i="26"/>
  <c r="F28" i="26" s="1"/>
  <c r="E29" i="26"/>
  <c r="F29" i="26" s="1"/>
  <c r="E30" i="26"/>
  <c r="F30" i="26" s="1"/>
  <c r="E31" i="26"/>
  <c r="F31" i="26" s="1"/>
  <c r="E32" i="26"/>
  <c r="F32" i="26" s="1"/>
  <c r="E33" i="26"/>
  <c r="F33" i="26" s="1"/>
  <c r="E34" i="26"/>
  <c r="F34" i="26" s="1"/>
  <c r="E35" i="26"/>
  <c r="F35" i="26" s="1"/>
  <c r="E36" i="26"/>
  <c r="F36" i="26" s="1"/>
  <c r="E37" i="26"/>
  <c r="F37" i="26" s="1"/>
  <c r="E38" i="26"/>
  <c r="F38" i="26" s="1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E23" i="33"/>
  <c r="F23" i="33"/>
  <c r="H23" i="33"/>
  <c r="I23" i="33" s="1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 s="1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 s="1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 s="1"/>
  <c r="H37" i="33"/>
  <c r="I37" i="33" s="1"/>
  <c r="E38" i="33"/>
  <c r="F38" i="33" s="1"/>
  <c r="H38" i="33"/>
  <c r="I38" i="33" s="1"/>
  <c r="E18" i="32"/>
  <c r="F18" i="32" s="1"/>
  <c r="H18" i="32"/>
  <c r="I18" i="32" s="1"/>
  <c r="E19" i="32"/>
  <c r="F19" i="32" s="1"/>
  <c r="H19" i="32"/>
  <c r="E20" i="32"/>
  <c r="F20" i="32" s="1"/>
  <c r="H20" i="32"/>
  <c r="I20" i="32" s="1"/>
  <c r="E21" i="32"/>
  <c r="F21" i="32" s="1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 s="1"/>
  <c r="E27" i="32"/>
  <c r="F27" i="32"/>
  <c r="H27" i="32"/>
  <c r="I27" i="32" s="1"/>
  <c r="E28" i="32"/>
  <c r="F28" i="32" s="1"/>
  <c r="H28" i="32"/>
  <c r="I28" i="32" s="1"/>
  <c r="E29" i="32"/>
  <c r="F29" i="32" s="1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 s="1"/>
  <c r="E34" i="32"/>
  <c r="F34" i="32" s="1"/>
  <c r="H34" i="32"/>
  <c r="I34" i="32" s="1"/>
  <c r="E35" i="32"/>
  <c r="F35" i="32" s="1"/>
  <c r="H35" i="32"/>
  <c r="I35" i="32" s="1"/>
  <c r="E36" i="32"/>
  <c r="F36" i="32" s="1"/>
  <c r="H36" i="32"/>
  <c r="I36" i="32" s="1"/>
  <c r="E37" i="32"/>
  <c r="F37" i="32" s="1"/>
  <c r="H37" i="32"/>
  <c r="E38" i="32"/>
  <c r="F38" i="32" s="1"/>
  <c r="H38" i="32"/>
  <c r="I38" i="32" s="1"/>
  <c r="E18" i="31"/>
  <c r="F18" i="31" s="1"/>
  <c r="H18" i="31"/>
  <c r="I18" i="31" s="1"/>
  <c r="E19" i="31"/>
  <c r="F19" i="31" s="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 s="1"/>
  <c r="H31" i="31"/>
  <c r="E32" i="31"/>
  <c r="F32" i="31" s="1"/>
  <c r="H32" i="31"/>
  <c r="E33" i="31"/>
  <c r="F33" i="31" s="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 s="1"/>
  <c r="H34" i="27"/>
  <c r="I34" i="27" s="1"/>
  <c r="E35" i="27"/>
  <c r="F35" i="27" s="1"/>
  <c r="H35" i="27"/>
  <c r="I35" i="27" s="1"/>
  <c r="E36" i="27"/>
  <c r="F36" i="27" s="1"/>
  <c r="H36" i="27"/>
  <c r="I36" i="27" s="1"/>
  <c r="E37" i="27"/>
  <c r="F37" i="27" s="1"/>
  <c r="H37" i="27"/>
  <c r="I37" i="27" s="1"/>
  <c r="E38" i="27"/>
  <c r="F38" i="27" s="1"/>
  <c r="H38" i="27"/>
  <c r="I38" i="27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E23" i="19"/>
  <c r="F23" i="19" s="1"/>
  <c r="H23" i="19"/>
  <c r="I23" i="19" s="1"/>
  <c r="E24" i="19"/>
  <c r="F24" i="19" s="1"/>
  <c r="H24" i="19"/>
  <c r="I24" i="19" s="1"/>
  <c r="E25" i="19"/>
  <c r="F25" i="19" s="1"/>
  <c r="H25" i="19"/>
  <c r="I25" i="19" s="1"/>
  <c r="E26" i="19"/>
  <c r="F26" i="19" s="1"/>
  <c r="H26" i="19"/>
  <c r="I26" i="19" s="1"/>
  <c r="E27" i="19"/>
  <c r="F27" i="19" s="1"/>
  <c r="H27" i="19"/>
  <c r="I27" i="19" s="1"/>
  <c r="E28" i="19"/>
  <c r="F28" i="19" s="1"/>
  <c r="H28" i="19"/>
  <c r="I28" i="19" s="1"/>
  <c r="E29" i="19"/>
  <c r="F29" i="19" s="1"/>
  <c r="H29" i="19"/>
  <c r="I29" i="19" s="1"/>
  <c r="E30" i="19"/>
  <c r="F30" i="19" s="1"/>
  <c r="H30" i="19"/>
  <c r="I30" i="19" s="1"/>
  <c r="E31" i="19"/>
  <c r="F31" i="19" s="1"/>
  <c r="H31" i="19"/>
  <c r="I31" i="19" s="1"/>
  <c r="E32" i="19"/>
  <c r="F32" i="19" s="1"/>
  <c r="H32" i="19"/>
  <c r="I32" i="19" s="1"/>
  <c r="E33" i="19"/>
  <c r="F33" i="19" s="1"/>
  <c r="H33" i="19"/>
  <c r="I33" i="19" s="1"/>
  <c r="E34" i="19"/>
  <c r="F34" i="19" s="1"/>
  <c r="H34" i="19"/>
  <c r="I34" i="19"/>
  <c r="E35" i="19"/>
  <c r="F35" i="19" s="1"/>
  <c r="H35" i="19"/>
  <c r="I35" i="19"/>
  <c r="E36" i="19"/>
  <c r="F36" i="19" s="1"/>
  <c r="H36" i="19"/>
  <c r="I36" i="19" s="1"/>
  <c r="E37" i="19"/>
  <c r="F37" i="19" s="1"/>
  <c r="H37" i="19"/>
  <c r="I37" i="19" s="1"/>
  <c r="E38" i="19"/>
  <c r="F38" i="19"/>
  <c r="H38" i="19"/>
  <c r="I38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E23" i="20"/>
  <c r="F23" i="20" s="1"/>
  <c r="H23" i="20"/>
  <c r="I23" i="20" s="1"/>
  <c r="E24" i="20"/>
  <c r="F24" i="20" s="1"/>
  <c r="H24" i="20"/>
  <c r="I24" i="20"/>
  <c r="E25" i="20"/>
  <c r="F25" i="20" s="1"/>
  <c r="H25" i="20"/>
  <c r="I25" i="20" s="1"/>
  <c r="E26" i="20"/>
  <c r="F26" i="20" s="1"/>
  <c r="H26" i="20"/>
  <c r="I26" i="20" s="1"/>
  <c r="E27" i="20"/>
  <c r="F27" i="20" s="1"/>
  <c r="H27" i="20"/>
  <c r="I27" i="20" s="1"/>
  <c r="E28" i="20"/>
  <c r="F28" i="20" s="1"/>
  <c r="H28" i="20"/>
  <c r="I28" i="20" s="1"/>
  <c r="H29" i="20"/>
  <c r="I29" i="20" s="1"/>
  <c r="E30" i="20"/>
  <c r="F30" i="20" s="1"/>
  <c r="H30" i="20"/>
  <c r="I30" i="20" s="1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 s="1"/>
  <c r="H34" i="20"/>
  <c r="I34" i="20" s="1"/>
  <c r="E35" i="20"/>
  <c r="F35" i="20" s="1"/>
  <c r="H35" i="20"/>
  <c r="I35" i="20" s="1"/>
  <c r="E36" i="20"/>
  <c r="F36" i="20" s="1"/>
  <c r="H36" i="20"/>
  <c r="I36" i="20" s="1"/>
  <c r="E37" i="20"/>
  <c r="F37" i="20" s="1"/>
  <c r="H37" i="20"/>
  <c r="I37" i="20" s="1"/>
  <c r="E38" i="20"/>
  <c r="F38" i="20" s="1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 s="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E26" i="21"/>
  <c r="F26" i="21" s="1"/>
  <c r="H26" i="21"/>
  <c r="I26" i="21" s="1"/>
  <c r="E27" i="21"/>
  <c r="F27" i="21" s="1"/>
  <c r="H27" i="21"/>
  <c r="I27" i="21" s="1"/>
  <c r="E28" i="21"/>
  <c r="F28" i="21" s="1"/>
  <c r="H28" i="21"/>
  <c r="I28" i="21" s="1"/>
  <c r="E29" i="21"/>
  <c r="F29" i="21" s="1"/>
  <c r="H29" i="21"/>
  <c r="I29" i="21"/>
  <c r="E30" i="21"/>
  <c r="F30" i="21" s="1"/>
  <c r="H30" i="21"/>
  <c r="I30" i="21" s="1"/>
  <c r="E31" i="21"/>
  <c r="F31" i="21" s="1"/>
  <c r="H31" i="21"/>
  <c r="H31" i="18" s="1"/>
  <c r="I31" i="18" s="1"/>
  <c r="E32" i="21"/>
  <c r="F32" i="21" s="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 s="1"/>
  <c r="H36" i="21"/>
  <c r="I36" i="21" s="1"/>
  <c r="E37" i="21"/>
  <c r="F37" i="21" s="1"/>
  <c r="H37" i="21"/>
  <c r="I37" i="21" s="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 s="1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 s="1"/>
  <c r="H22" i="72"/>
  <c r="I22" i="72" s="1"/>
  <c r="E23" i="72"/>
  <c r="F23" i="72" s="1"/>
  <c r="H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 s="1"/>
  <c r="H28" i="72"/>
  <c r="I28" i="72" s="1"/>
  <c r="E29" i="72"/>
  <c r="F29" i="72" s="1"/>
  <c r="H29" i="72"/>
  <c r="H29" i="34" s="1"/>
  <c r="E30" i="72"/>
  <c r="F30" i="72" s="1"/>
  <c r="H30" i="72"/>
  <c r="I30" i="72" s="1"/>
  <c r="E31" i="72"/>
  <c r="F31" i="72" s="1"/>
  <c r="H31" i="72"/>
  <c r="I31" i="72" s="1"/>
  <c r="E32" i="72"/>
  <c r="F32" i="72" s="1"/>
  <c r="H32" i="72"/>
  <c r="I32" i="72" s="1"/>
  <c r="E33" i="72"/>
  <c r="F33" i="72" s="1"/>
  <c r="H33" i="72"/>
  <c r="I33" i="72" s="1"/>
  <c r="E34" i="72"/>
  <c r="F34" i="72" s="1"/>
  <c r="H34" i="72"/>
  <c r="H34" i="34" s="1"/>
  <c r="E35" i="72"/>
  <c r="F35" i="72" s="1"/>
  <c r="H35" i="72"/>
  <c r="I35" i="72" s="1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C29" i="30"/>
  <c r="D29" i="30"/>
  <c r="C30" i="30"/>
  <c r="D30" i="30"/>
  <c r="C31" i="30"/>
  <c r="D31" i="30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C24" i="29"/>
  <c r="E24" i="29" s="1"/>
  <c r="F24" i="29" s="1"/>
  <c r="D24" i="29"/>
  <c r="C25" i="29"/>
  <c r="D25" i="29"/>
  <c r="C26" i="29"/>
  <c r="D26" i="29"/>
  <c r="C27" i="29"/>
  <c r="D27" i="29"/>
  <c r="C28" i="29"/>
  <c r="D28" i="29"/>
  <c r="C29" i="29"/>
  <c r="D29" i="29"/>
  <c r="C30" i="29"/>
  <c r="D30" i="29"/>
  <c r="C31" i="29"/>
  <c r="E31" i="29" s="1"/>
  <c r="F31" i="29" s="1"/>
  <c r="D31" i="29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E18" i="18" s="1"/>
  <c r="F18" i="18" s="1"/>
  <c r="D18" i="18"/>
  <c r="C19" i="18"/>
  <c r="E19" i="18" s="1"/>
  <c r="F19" i="18" s="1"/>
  <c r="D19" i="18"/>
  <c r="C20" i="18"/>
  <c r="D20" i="18"/>
  <c r="C21" i="18"/>
  <c r="E21" i="18" s="1"/>
  <c r="F21" i="18" s="1"/>
  <c r="D21" i="18"/>
  <c r="C22" i="18"/>
  <c r="D22" i="18"/>
  <c r="C23" i="18"/>
  <c r="D23" i="18"/>
  <c r="C24" i="18"/>
  <c r="E24" i="18" s="1"/>
  <c r="F24" i="18" s="1"/>
  <c r="D24" i="18"/>
  <c r="C25" i="18"/>
  <c r="E25" i="18" s="1"/>
  <c r="F25" i="18" s="1"/>
  <c r="D25" i="18"/>
  <c r="C26" i="18"/>
  <c r="D26" i="18"/>
  <c r="C27" i="18"/>
  <c r="D27" i="18"/>
  <c r="C28" i="18"/>
  <c r="D28" i="18"/>
  <c r="C29" i="18"/>
  <c r="D29" i="18"/>
  <c r="H29" i="18"/>
  <c r="I29" i="18" s="1"/>
  <c r="C30" i="18"/>
  <c r="E30" i="18" s="1"/>
  <c r="F30" i="18" s="1"/>
  <c r="D30" i="18"/>
  <c r="C31" i="18"/>
  <c r="D31" i="18"/>
  <c r="C32" i="18"/>
  <c r="E32" i="18" s="1"/>
  <c r="F32" i="18" s="1"/>
  <c r="D32" i="18"/>
  <c r="C33" i="18"/>
  <c r="D33" i="18"/>
  <c r="C34" i="18"/>
  <c r="E34" i="18" s="1"/>
  <c r="F34" i="18" s="1"/>
  <c r="D34" i="18"/>
  <c r="C35" i="18"/>
  <c r="D35" i="18"/>
  <c r="C36" i="18"/>
  <c r="E36" i="18" s="1"/>
  <c r="F36" i="18" s="1"/>
  <c r="D36" i="18"/>
  <c r="C37" i="18"/>
  <c r="D37" i="18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G21" i="1"/>
  <c r="C22" i="1"/>
  <c r="D22" i="1"/>
  <c r="G22" i="1"/>
  <c r="G22" i="34" s="1"/>
  <c r="C23" i="1"/>
  <c r="D23" i="1"/>
  <c r="G23" i="1"/>
  <c r="C24" i="1"/>
  <c r="D24" i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G29" i="1"/>
  <c r="C30" i="1"/>
  <c r="D30" i="1"/>
  <c r="G30" i="1"/>
  <c r="C31" i="1"/>
  <c r="D31" i="1"/>
  <c r="G31" i="1"/>
  <c r="C32" i="1"/>
  <c r="D32" i="1"/>
  <c r="G32" i="1"/>
  <c r="G32" i="34" s="1"/>
  <c r="C33" i="1"/>
  <c r="D33" i="1"/>
  <c r="G33" i="1"/>
  <c r="C34" i="1"/>
  <c r="D34" i="1"/>
  <c r="G34" i="1"/>
  <c r="G34" i="34" s="1"/>
  <c r="C35" i="1"/>
  <c r="D35" i="1"/>
  <c r="G35" i="1"/>
  <c r="C36" i="1"/>
  <c r="D36" i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E17" i="18" s="1"/>
  <c r="F17" i="18" s="1"/>
  <c r="D17" i="18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1" i="1" l="1"/>
  <c r="F21" i="1" s="1"/>
  <c r="E36" i="1"/>
  <c r="F36" i="1" s="1"/>
  <c r="E33" i="1"/>
  <c r="F33" i="1" s="1"/>
  <c r="E21" i="30"/>
  <c r="F21" i="30" s="1"/>
  <c r="E31" i="30"/>
  <c r="F31" i="30" s="1"/>
  <c r="E25" i="29"/>
  <c r="F25" i="29" s="1"/>
  <c r="E37" i="18"/>
  <c r="F37" i="18" s="1"/>
  <c r="E18" i="29"/>
  <c r="F18" i="29" s="1"/>
  <c r="E28" i="29"/>
  <c r="F28" i="29" s="1"/>
  <c r="E22" i="18"/>
  <c r="F22" i="18" s="1"/>
  <c r="E26" i="18"/>
  <c r="F26" i="18" s="1"/>
  <c r="E29" i="18"/>
  <c r="F29" i="18" s="1"/>
  <c r="E29" i="1"/>
  <c r="F29" i="1" s="1"/>
  <c r="E35" i="1"/>
  <c r="F35" i="1" s="1"/>
  <c r="E33" i="18"/>
  <c r="F33" i="18" s="1"/>
  <c r="E23" i="1"/>
  <c r="F23" i="1" s="1"/>
  <c r="E24" i="1"/>
  <c r="F24" i="1" s="1"/>
  <c r="E34" i="1"/>
  <c r="F34" i="1" s="1"/>
  <c r="H25" i="18"/>
  <c r="I25" i="18" s="1"/>
  <c r="I25" i="21"/>
  <c r="H23" i="1"/>
  <c r="I23" i="1" s="1"/>
  <c r="I23" i="72"/>
  <c r="H34" i="1"/>
  <c r="I34" i="1" s="1"/>
  <c r="I34" i="72"/>
  <c r="C9" i="34"/>
  <c r="E28" i="30"/>
  <c r="F28" i="30" s="1"/>
  <c r="C33" i="34"/>
  <c r="E33" i="34" s="1"/>
  <c r="F33" i="34" s="1"/>
  <c r="E8" i="30"/>
  <c r="F8" i="30" s="1"/>
  <c r="C24" i="34"/>
  <c r="E24" i="34" s="1"/>
  <c r="F24" i="34" s="1"/>
  <c r="C14" i="34"/>
  <c r="E23" i="29"/>
  <c r="F23" i="29" s="1"/>
  <c r="H22" i="29"/>
  <c r="I22" i="29" s="1"/>
  <c r="H21" i="18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E10" i="34" s="1"/>
  <c r="F10" i="34" s="1"/>
  <c r="I23" i="4"/>
  <c r="I25" i="1"/>
  <c r="H35" i="34"/>
  <c r="C36" i="34"/>
  <c r="E36" i="34" s="1"/>
  <c r="F36" i="34" s="1"/>
  <c r="C29" i="34"/>
  <c r="E29" i="34" s="1"/>
  <c r="F29" i="34" s="1"/>
  <c r="G31" i="34"/>
  <c r="G30" i="34"/>
  <c r="E38" i="1"/>
  <c r="F38" i="1" s="1"/>
  <c r="E30" i="1"/>
  <c r="F30" i="1" s="1"/>
  <c r="E22" i="1"/>
  <c r="F22" i="1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H24" i="1"/>
  <c r="I24" i="1" s="1"/>
  <c r="H30" i="1"/>
  <c r="I30" i="1" s="1"/>
  <c r="H20" i="1"/>
  <c r="I20" i="1" s="1"/>
  <c r="G35" i="34"/>
  <c r="G14" i="34"/>
  <c r="H30" i="34"/>
  <c r="H22" i="34"/>
  <c r="I22" i="34" s="1"/>
  <c r="I36" i="34"/>
  <c r="H28" i="1"/>
  <c r="I28" i="1" s="1"/>
  <c r="H28" i="34"/>
  <c r="H20" i="34"/>
  <c r="I20" i="34" s="1"/>
  <c r="G37" i="34"/>
  <c r="I36" i="72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H14" i="29"/>
  <c r="I14" i="29" s="1"/>
  <c r="H4" i="29"/>
  <c r="I4" i="29" s="1"/>
  <c r="E15" i="29"/>
  <c r="F15" i="29" s="1"/>
  <c r="H5" i="29"/>
  <c r="I5" i="29" s="1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5" i="34" l="1"/>
  <c r="I17" i="34"/>
  <c r="I30" i="34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<sst xmlns="http://schemas.openxmlformats.org/spreadsheetml/2006/main" count="1224" uniqueCount="129">
  <si>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</si>
  <si>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</si>
  <si>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</si>
  <si>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</si>
  <si>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</si>
  <si>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</si>
  <si>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</si>
  <si>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</si>
  <si>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</si>
  <si>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</si>
  <si>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</si>
  <si>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</si>
  <si>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</si>
  <si>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</si>
  <si>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</si>
  <si>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</si>
  <si>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</si>
  <si>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</si>
  <si>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</si>
  <si>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</si>
  <si>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</si>
  <si>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</si>
  <si>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</si>
  <si>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N/A</t>
  </si>
  <si>
    <t>1. Site stopped communicating, reporting Gateway not Reporting.  Production not confirmed on 01/24 at 16:00</t>
  </si>
  <si>
    <t>1.	SR115344</t>
  </si>
  <si>
    <t>1.Pending</t>
  </si>
  <si>
    <t>1. 12 microinverter were offline and are being RMA'd. They remained offline for the entire month.</t>
  </si>
  <si>
    <t>1.	SR102087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</si>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</sst>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3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  <font>
      <sz val="11"/>
      <color rgb="FF000000"/>
      <name val="Aptos Narrow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93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40" borderId="12" xfId="43" applyFont="1" applyFill="1" applyBorder="1" applyAlignment="1">
      <alignment horizontal="left"/>
    </xf>
    <xf numFmtId="0" fontId="23" fillId="40" borderId="13" xfId="43" applyFont="1" applyFill="1" applyBorder="1"/>
    <xf numFmtId="0" fontId="36" fillId="40" borderId="13" xfId="0" applyFont="1" applyFill="1" applyBorder="1"/>
    <xf numFmtId="0" fontId="36" fillId="40" borderId="14" xfId="0" applyFont="1" applyFill="1" applyBorder="1"/>
    <xf numFmtId="0" fontId="23" fillId="0" borderId="12" xfId="43" applyFont="1" applyBorder="1" applyAlignment="1">
      <alignment horizontal="left"/>
    </xf>
    <xf numFmtId="0" fontId="23" fillId="0" borderId="13" xfId="43" applyFont="1" applyBorder="1"/>
    <xf numFmtId="0" fontId="36" fillId="0" borderId="13" xfId="0" applyFont="1" applyBorder="1"/>
    <xf numFmtId="0" fontId="36" fillId="0" borderId="14" xfId="0" applyFont="1" applyBorder="1"/>
    <xf numFmtId="0" fontId="23" fillId="0" borderId="15" xfId="43" applyFont="1" applyBorder="1" applyAlignment="1">
      <alignment horizontal="left"/>
    </xf>
    <xf numFmtId="0" fontId="23" fillId="0" borderId="16" xfId="43" applyFont="1" applyBorder="1"/>
    <xf numFmtId="0" fontId="36" fillId="40" borderId="16" xfId="0" applyFont="1" applyFill="1" applyBorder="1"/>
    <xf numFmtId="0" fontId="36" fillId="40" borderId="17" xfId="0" applyFont="1" applyFill="1" applyBorder="1"/>
    <xf numFmtId="49" fontId="28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 indent="1"/>
    </xf>
    <xf numFmtId="164" fontId="33" fillId="0" borderId="0" xfId="0" applyNumberFormat="1" applyFont="1"/>
    <xf numFmtId="164" fontId="0" fillId="0" borderId="0" xfId="0" applyNumberFormat="1"/>
    <xf numFmtId="49" fontId="29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3" fontId="31" fillId="4" borderId="0" xfId="1" applyNumberFormat="1" applyFont="1" applyFill="1" applyBorder="1" applyAlignment="1">
      <alignment horizontal="right" vertical="center"/>
    </xf>
    <xf numFmtId="3" fontId="31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49" fontId="38" fillId="0" borderId="0" xfId="45" applyNumberFormat="1" applyAlignment="1">
      <alignment horizontal="left"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vertical="top" wrapText="1"/>
    </xf>
    <xf numFmtId="0" fontId="38" fillId="0" borderId="0" xfId="45" applyAlignment="1">
      <alignment vertical="top"/>
    </xf>
    <xf numFmtId="3" fontId="31" fillId="4" borderId="0" xfId="1" applyNumberFormat="1" applyFont="1" applyFill="1" applyBorder="1" applyAlignment="1">
      <alignment horizontal="right"/>
    </xf>
    <xf numFmtId="3" fontId="31" fillId="0" borderId="0" xfId="1" applyNumberFormat="1" applyFont="1" applyFill="1" applyBorder="1" applyAlignment="1">
      <alignment horizontal="right"/>
    </xf>
    <xf numFmtId="164" fontId="38" fillId="0" borderId="0" xfId="45" applyNumberFormat="1"/>
    <xf numFmtId="0" fontId="38" fillId="0" borderId="0" xfId="45"/>
    <xf numFmtId="49" fontId="38" fillId="0" borderId="0" xfId="45" applyNumberFormat="1" applyAlignment="1">
      <alignment vertical="center" wrapText="1"/>
    </xf>
    <xf numFmtId="164" fontId="29" fillId="0" borderId="0" xfId="1" applyNumberFormat="1" applyFont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 wrapText="1"/>
    </xf>
    <xf numFmtId="0" fontId="39" fillId="0" borderId="0" xfId="0" applyFont="1"/>
    <xf numFmtId="49" fontId="40" fillId="38" borderId="0" xfId="2" applyNumberFormat="1" applyFont="1" applyFill="1" applyBorder="1" applyAlignment="1">
      <alignment vertical="top" wrapText="1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1" fillId="45" borderId="1" xfId="0" applyFont="1" applyFill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vertical="top"/>
    </xf>
    <xf numFmtId="0" fontId="41" fillId="45" borderId="1" xfId="0" applyFont="1" applyFill="1" applyBorder="1" applyAlignment="1">
      <alignment horizontal="center" vertical="top"/>
    </xf>
    <xf numFmtId="1" fontId="39" fillId="0" borderId="0" xfId="0" applyNumberFormat="1" applyFont="1"/>
    <xf numFmtId="49" fontId="29" fillId="0" borderId="0" xfId="0" applyNumberFormat="1" applyFont="1" applyAlignment="1">
      <alignment vertical="top" wrapText="1"/>
    </xf>
    <xf numFmtId="49" fontId="31" fillId="38" borderId="0" xfId="2" applyNumberFormat="1" applyFont="1" applyFill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1534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bottomRight" activeCell="C51" sqref="C51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0</v>
      </c>
      <c r="E1" s="90"/>
      <c r="F1" s="90"/>
      <c r="G1" s="88" t="s">
        <v>1</v>
      </c>
      <c r="H1" s="88"/>
      <c r="I1" s="88"/>
    </row>
    <row r="2" spans="1:9" ht="19.5" customHeight="1">
      <c r="A2" s="91" t="s">
        <v>2</v>
      </c>
      <c r="B2" s="91"/>
      <c r="C2" s="5">
        <f>SUM(C4:C100)</f>
        <v>113825</v>
      </c>
      <c r="D2" s="5">
        <f>SUM(D4:D100)</f>
        <v>0</v>
      </c>
      <c r="E2" s="5">
        <f>C2-D2</f>
        <v>113825</v>
      </c>
      <c r="F2" s="6">
        <f>IFERROR(E2/D2, 0)</f>
        <v>0</v>
      </c>
      <c r="G2" s="5">
        <f>SUM(G4:G100)</f>
        <v>0</v>
      </c>
      <c r="H2" s="7">
        <f>C2-G2</f>
        <v>113825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67</v>
      </c>
      <c r="D6" s="13">
        <f>SUM(Jan!D6, Feb!D6, Mar!D6)</f>
        <v>0</v>
      </c>
      <c r="E6" s="13">
        <f t="shared" si="0"/>
        <v>67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8">
        <f>SUM('1st Qtr'!C7, '2nd Qtr'!C7, '3rd Qtr'!C7, '4th Qtr'!C7)</f>
        <v>14323</v>
      </c>
      <c r="D7" s="18">
        <f>SUM(Jan!D7, Feb!D7, Mar!D7)</f>
        <v>0</v>
      </c>
      <c r="E7" s="18">
        <f t="shared" si="0"/>
        <v>14323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885</v>
      </c>
      <c r="D8" s="13">
        <f>SUM(Jan!D8, Feb!D8, Mar!D8)</f>
        <v>0</v>
      </c>
      <c r="E8" s="13">
        <f t="shared" si="0"/>
        <v>885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1186</v>
      </c>
      <c r="D9" s="18">
        <f>SUM(Jan!D9, Feb!D9, Mar!D9)</f>
        <v>0</v>
      </c>
      <c r="E9" s="18">
        <f t="shared" si="0"/>
        <v>1186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1948</v>
      </c>
      <c r="D10" s="13">
        <f>SUM(Jan!D10, Feb!D10, Mar!D10)</f>
        <v>0</v>
      </c>
      <c r="E10" s="13">
        <f t="shared" si="0"/>
        <v>1948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1853</v>
      </c>
      <c r="D11" s="18">
        <f>SUM(Jan!D11, Feb!D11, Mar!D11)</f>
        <v>0</v>
      </c>
      <c r="E11" s="18">
        <f t="shared" si="0"/>
        <v>1853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2729</v>
      </c>
      <c r="D12" s="13">
        <f>SUM(Jan!D12, Feb!D12, Mar!D12)</f>
        <v>0</v>
      </c>
      <c r="E12" s="13">
        <f t="shared" si="0"/>
        <v>2729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3169</v>
      </c>
      <c r="D14" s="13">
        <f>SUM(Jan!D14, Feb!D14, Mar!D14)</f>
        <v>0</v>
      </c>
      <c r="E14" s="13">
        <f>IF(AND(ISNUMBER(C14),ISNUMBER(D14)), C14-D14, "")</f>
        <v>3169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4795</v>
      </c>
      <c r="D15" s="18">
        <f>SUM(Jan!D15, Feb!D15, Mar!D15)</f>
        <v>0</v>
      </c>
      <c r="E15" s="18">
        <f>IF(AND(ISNUMBER(C15),ISNUMBER(D15)), C15-D15, "")</f>
        <v>4795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228</v>
      </c>
      <c r="D16" s="13">
        <f>SUM(Jan!D16, Feb!D16, Mar!D16)</f>
        <v>0</v>
      </c>
      <c r="E16" s="13">
        <f t="shared" ref="E16:E17" si="3">IF(AND(ISNUMBER(C16),ISNUMBER(D16)), C16-D16, "")</f>
        <v>228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3922</v>
      </c>
      <c r="D17" s="18">
        <f>SUM(Jan!D17, Feb!D17, Mar!D17)</f>
        <v>0</v>
      </c>
      <c r="E17" s="18">
        <f t="shared" si="3"/>
        <v>3922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6067</v>
      </c>
      <c r="D19" s="18">
        <f>SUM(Jan!D19, Feb!D19, Mar!D19)</f>
        <v>0</v>
      </c>
      <c r="E19" s="18">
        <f t="shared" si="6"/>
        <v>6067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1797</v>
      </c>
      <c r="D20" s="13">
        <f>SUM(Jan!D20, Feb!D20, Mar!D20)</f>
        <v>0</v>
      </c>
      <c r="E20" s="13">
        <f t="shared" si="6"/>
        <v>1797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6335</v>
      </c>
      <c r="D21" s="18">
        <f>SUM(Jan!D21, Feb!D21, Mar!D21)</f>
        <v>0</v>
      </c>
      <c r="E21" s="18">
        <f t="shared" si="6"/>
        <v>6335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1308</v>
      </c>
      <c r="D22" s="13">
        <f>SUM(Jan!D22, Feb!D22, Mar!D22)</f>
        <v>0</v>
      </c>
      <c r="E22" s="13">
        <f t="shared" si="6"/>
        <v>1308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4514</v>
      </c>
      <c r="D23" s="18">
        <f>SUM(Jan!D23, Feb!D23, Mar!D23)</f>
        <v>0</v>
      </c>
      <c r="E23" s="18">
        <f t="shared" si="6"/>
        <v>4514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1180</v>
      </c>
      <c r="D24" s="13">
        <f>SUM(Jan!D24, Feb!D24, Mar!D24)</f>
        <v>0</v>
      </c>
      <c r="E24" s="13">
        <f t="shared" si="6"/>
        <v>1180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6928</v>
      </c>
      <c r="D25" s="18">
        <f>SUM(Jan!D25, Feb!D25, Mar!D25)</f>
        <v>0</v>
      </c>
      <c r="E25" s="18">
        <f t="shared" si="6"/>
        <v>6928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9874</v>
      </c>
      <c r="D26" s="13">
        <f>SUM(Jan!D26, Feb!D26, Mar!D26)</f>
        <v>0</v>
      </c>
      <c r="E26" s="13">
        <f t="shared" si="6"/>
        <v>9874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4745</v>
      </c>
      <c r="D27" s="18">
        <f>SUM(Jan!D27, Feb!D27, Mar!D27)</f>
        <v>0</v>
      </c>
      <c r="E27" s="18">
        <f t="shared" si="6"/>
        <v>4745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4504</v>
      </c>
      <c r="D28" s="13">
        <f>SUM(Jan!D28, Feb!D28, Mar!D28)</f>
        <v>0</v>
      </c>
      <c r="E28" s="13">
        <f t="shared" si="6"/>
        <v>4504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6037</v>
      </c>
      <c r="D29" s="18">
        <f>SUM(Jan!D29, Feb!D29, Mar!D29)</f>
        <v>0</v>
      </c>
      <c r="E29" s="18">
        <f t="shared" si="6"/>
        <v>6037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7854</v>
      </c>
      <c r="D30" s="13">
        <f>SUM(Jan!D30, Feb!D30, Mar!D30)</f>
        <v>0</v>
      </c>
      <c r="E30" s="13">
        <f t="shared" si="6"/>
        <v>7854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7943</v>
      </c>
      <c r="D31" s="18">
        <f>SUM(Jan!D31, Feb!D31, Mar!D31)</f>
        <v>0</v>
      </c>
      <c r="E31" s="18">
        <f t="shared" si="6"/>
        <v>7943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116</v>
      </c>
      <c r="D32" s="13">
        <f>SUM(Jan!D32, Feb!D32, Mar!D32)</f>
        <v>0</v>
      </c>
      <c r="E32" s="13">
        <f t="shared" si="6"/>
        <v>116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1087</v>
      </c>
      <c r="D33" s="18">
        <f>SUM(Jan!D33, Feb!D33, Mar!D33)</f>
        <v>0</v>
      </c>
      <c r="E33" s="18">
        <f t="shared" si="6"/>
        <v>1087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7191</v>
      </c>
      <c r="D34" s="13">
        <f>SUM(Jan!D34, Feb!D34, Mar!D34)</f>
        <v>0</v>
      </c>
      <c r="E34" s="13">
        <f t="shared" si="6"/>
        <v>7191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29</v>
      </c>
      <c r="D35" s="18">
        <f>SUM(Jan!D35, Feb!D35, Mar!D35)</f>
        <v>0</v>
      </c>
      <c r="E35" s="18">
        <f t="shared" si="6"/>
        <v>29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1171</v>
      </c>
      <c r="D37" s="18">
        <f>SUM(Jan!D37, Feb!D37, Mar!D37)</f>
        <v>0</v>
      </c>
      <c r="E37" s="18">
        <f t="shared" si="6"/>
        <v>1171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40</v>
      </c>
      <c r="D38" s="13">
        <f>SUM(Jan!D38, Feb!D38, Mar!D38)</f>
        <v>0</v>
      </c>
      <c r="E38" s="13">
        <f t="shared" si="6"/>
        <v>40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11" activePane="bottomRight" state="frozen"/>
      <selection pane="bottomRight" activeCell="L34" sqref="L3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10</v>
      </c>
      <c r="E1" s="90"/>
      <c r="F1" s="90"/>
      <c r="G1" s="88" t="s">
        <v>11</v>
      </c>
      <c r="H1" s="88"/>
      <c r="I1" s="88"/>
    </row>
    <row r="2" spans="1:9" ht="19.5" customHeight="1">
      <c r="A2" s="91" t="s">
        <v>2</v>
      </c>
      <c r="B2" s="91"/>
      <c r="C2" s="5">
        <f>SUM(C4:C100)</f>
        <v>113825</v>
      </c>
      <c r="D2" s="5">
        <f>SUM(D4:D100)</f>
        <v>0</v>
      </c>
      <c r="E2" s="5">
        <f>C2-D2</f>
        <v>113825</v>
      </c>
      <c r="F2" s="6">
        <f>IFERROR(E2/D2, 0)</f>
        <v>0</v>
      </c>
      <c r="G2" s="5">
        <f>SUM(G4:G100)</f>
        <v>0</v>
      </c>
      <c r="H2" s="7">
        <f>C2-G2</f>
        <v>113825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67</v>
      </c>
      <c r="D6" s="13">
        <f>SUM(Jan!D6, Feb!D6, Mar!D6)</f>
        <v>0</v>
      </c>
      <c r="E6" s="13">
        <f t="shared" si="0"/>
        <v>67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14323</v>
      </c>
      <c r="D7" s="18">
        <f>SUM(Jan!D7, Feb!D7, Mar!D7)</f>
        <v>0</v>
      </c>
      <c r="E7" s="18">
        <f t="shared" si="0"/>
        <v>14323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885</v>
      </c>
      <c r="D8" s="13">
        <f>SUM(Jan!D8, Feb!D8, Mar!D8)</f>
        <v>0</v>
      </c>
      <c r="E8" s="13">
        <f t="shared" si="0"/>
        <v>885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1186</v>
      </c>
      <c r="D9" s="18">
        <f>SUM(Jan!D9, Feb!D9, Mar!D9)</f>
        <v>0</v>
      </c>
      <c r="E9" s="18">
        <f t="shared" si="0"/>
        <v>1186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1948</v>
      </c>
      <c r="D10" s="13">
        <f>SUM(Jan!D10, Feb!D10, Mar!D10)</f>
        <v>0</v>
      </c>
      <c r="E10" s="13">
        <f t="shared" si="0"/>
        <v>1948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1853</v>
      </c>
      <c r="D11" s="18">
        <f>SUM(Jan!D11, Feb!D11, Mar!D11)</f>
        <v>0</v>
      </c>
      <c r="E11" s="18">
        <f t="shared" si="0"/>
        <v>1853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2729</v>
      </c>
      <c r="D12" s="13">
        <f>SUM(Jan!D12, Feb!D12, Mar!D12)</f>
        <v>0</v>
      </c>
      <c r="E12" s="13">
        <f t="shared" si="0"/>
        <v>2729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3169</v>
      </c>
      <c r="D14" s="13">
        <f>SUM(Jan!D14, Feb!D14, Mar!D14)</f>
        <v>0</v>
      </c>
      <c r="E14" s="13">
        <f t="shared" si="0"/>
        <v>3169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4795</v>
      </c>
      <c r="D15" s="18">
        <f>SUM(Jan!D15, Feb!D15, Mar!D15)</f>
        <v>0</v>
      </c>
      <c r="E15" s="18">
        <f t="shared" si="0"/>
        <v>4795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228</v>
      </c>
      <c r="D16" s="13">
        <f>SUM(Jan!D16, Feb!D16, Mar!D16)</f>
        <v>0</v>
      </c>
      <c r="E16" s="13">
        <f t="shared" ref="E16:E17" si="3">IF(AND(ISNUMBER(C16),ISNUMBER(D16)), C16-D16, "")</f>
        <v>228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3922</v>
      </c>
      <c r="D17" s="18">
        <f>SUM(Jan!D17, Feb!D17, Mar!D17)</f>
        <v>0</v>
      </c>
      <c r="E17" s="18">
        <f t="shared" si="3"/>
        <v>3922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6067</v>
      </c>
      <c r="D19" s="18">
        <f>SUM(Jan!D19, Feb!D19, Mar!D19)</f>
        <v>0</v>
      </c>
      <c r="E19" s="18">
        <f t="shared" si="6"/>
        <v>6067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1797</v>
      </c>
      <c r="D20" s="13">
        <f>SUM(Jan!D20, Feb!D20, Mar!D20)</f>
        <v>0</v>
      </c>
      <c r="E20" s="13">
        <f t="shared" si="6"/>
        <v>1797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6335</v>
      </c>
      <c r="D21" s="18">
        <f>SUM(Jan!D21, Feb!D21, Mar!D21)</f>
        <v>0</v>
      </c>
      <c r="E21" s="18">
        <f t="shared" si="6"/>
        <v>6335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1308</v>
      </c>
      <c r="D22" s="13">
        <f>SUM(Jan!D22, Feb!D22, Mar!D22)</f>
        <v>0</v>
      </c>
      <c r="E22" s="13">
        <f t="shared" si="6"/>
        <v>1308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4514</v>
      </c>
      <c r="D23" s="18">
        <f>SUM(Jan!D23, Feb!D23, Mar!D23)</f>
        <v>0</v>
      </c>
      <c r="E23" s="18">
        <f t="shared" si="6"/>
        <v>4514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1180</v>
      </c>
      <c r="D24" s="13">
        <f>SUM(Jan!D24, Feb!D24, Mar!D24)</f>
        <v>0</v>
      </c>
      <c r="E24" s="13">
        <f t="shared" si="6"/>
        <v>1180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6928</v>
      </c>
      <c r="D25" s="18">
        <f>SUM(Jan!D25, Feb!D25, Mar!D25)</f>
        <v>0</v>
      </c>
      <c r="E25" s="18">
        <f t="shared" si="6"/>
        <v>6928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9874</v>
      </c>
      <c r="D26" s="13">
        <f>SUM(Jan!D26, Feb!D26, Mar!D26)</f>
        <v>0</v>
      </c>
      <c r="E26" s="13">
        <f t="shared" si="6"/>
        <v>9874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4745</v>
      </c>
      <c r="D27" s="18">
        <f>SUM(Jan!D27, Feb!D27, Mar!D27)</f>
        <v>0</v>
      </c>
      <c r="E27" s="18">
        <f t="shared" si="6"/>
        <v>4745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4504</v>
      </c>
      <c r="D28" s="13">
        <f>SUM(Jan!D28, Feb!D28, Mar!D28)</f>
        <v>0</v>
      </c>
      <c r="E28" s="13">
        <f t="shared" si="6"/>
        <v>4504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6037</v>
      </c>
      <c r="D29" s="18">
        <f>SUM(Jan!D29, Feb!D29, Mar!D29)</f>
        <v>0</v>
      </c>
      <c r="E29" s="18">
        <f t="shared" si="6"/>
        <v>6037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7854</v>
      </c>
      <c r="D30" s="13">
        <f>SUM(Jan!D30, Feb!D30, Mar!D30)</f>
        <v>0</v>
      </c>
      <c r="E30" s="13">
        <f t="shared" si="6"/>
        <v>7854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7943</v>
      </c>
      <c r="D31" s="18">
        <f>SUM(Jan!D31, Feb!D31, Mar!D31)</f>
        <v>0</v>
      </c>
      <c r="E31" s="18">
        <f t="shared" si="6"/>
        <v>7943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116</v>
      </c>
      <c r="D32" s="13">
        <f>SUM(Jan!D32, Feb!D32, Mar!D32)</f>
        <v>0</v>
      </c>
      <c r="E32" s="13">
        <f t="shared" si="6"/>
        <v>116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1087</v>
      </c>
      <c r="D33" s="18">
        <f>SUM(Jan!D33, Feb!D33, Mar!D33)</f>
        <v>0</v>
      </c>
      <c r="E33" s="18">
        <f t="shared" si="6"/>
        <v>1087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7191</v>
      </c>
      <c r="D34" s="13">
        <f>SUM(Jan!D34, Feb!D34, Mar!D34)</f>
        <v>0</v>
      </c>
      <c r="E34" s="13">
        <f t="shared" si="6"/>
        <v>7191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29</v>
      </c>
      <c r="D35" s="18">
        <f>SUM(Jan!D35, Feb!D35, Mar!D35)</f>
        <v>0</v>
      </c>
      <c r="E35" s="18">
        <f t="shared" si="6"/>
        <v>29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1171</v>
      </c>
      <c r="D37" s="18">
        <f>SUM(Jan!D37, Feb!D37, Mar!D37)</f>
        <v>0</v>
      </c>
      <c r="E37" s="18">
        <f t="shared" si="6"/>
        <v>1171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40</v>
      </c>
      <c r="D38" s="13">
        <f>SUM(Jan!D38, Feb!D38, Mar!D38)</f>
        <v>0</v>
      </c>
      <c r="E38" s="13">
        <f t="shared" si="6"/>
        <v>40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bottomRight" activeCell="M28" sqref="M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12</v>
      </c>
      <c r="E1" s="90"/>
      <c r="F1" s="90"/>
      <c r="G1" s="88" t="s">
        <v>13</v>
      </c>
      <c r="H1" s="88"/>
      <c r="I1" s="88"/>
    </row>
    <row r="2" spans="1:9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0</v>
      </c>
      <c r="D7" s="18">
        <f>SUM(Apr!D7, May!D7, Jun!D7)</f>
        <v>0</v>
      </c>
      <c r="E7" s="18">
        <f t="shared" si="0"/>
        <v>0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0</v>
      </c>
      <c r="D15" s="18">
        <f>SUM(Apr!D15, May!D15, Jun!D15)</f>
        <v>0</v>
      </c>
      <c r="E15" s="18">
        <f t="shared" si="0"/>
        <v>0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0</v>
      </c>
      <c r="D17" s="18">
        <f>SUM(Apr!D17, May!D17, Jun!D17)</f>
        <v>0</v>
      </c>
      <c r="E17" s="18">
        <f t="shared" si="3"/>
        <v>0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0</v>
      </c>
      <c r="D20" s="13">
        <f>SUM(Apr!D20, May!D20, Jun!D20)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0</v>
      </c>
      <c r="D21" s="18">
        <f>SUM(Apr!D21, May!D21, Jun!D21)</f>
        <v>0</v>
      </c>
      <c r="E21" s="18">
        <f t="shared" si="6"/>
        <v>0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0</v>
      </c>
      <c r="D24" s="13">
        <f>SUM(Apr!D24, May!D24, Jun!D24)</f>
        <v>0</v>
      </c>
      <c r="E24" s="13">
        <f t="shared" si="6"/>
        <v>0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0</v>
      </c>
      <c r="D25" s="18">
        <f>SUM(Apr!D25, May!D25, Jun!D25)</f>
        <v>0</v>
      </c>
      <c r="E25" s="18">
        <f t="shared" si="6"/>
        <v>0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0</v>
      </c>
      <c r="D26" s="13">
        <f>SUM(Apr!D26, May!D26, Jun!D26)</f>
        <v>0</v>
      </c>
      <c r="E26" s="13">
        <f t="shared" si="6"/>
        <v>0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0</v>
      </c>
      <c r="D27" s="18">
        <f>SUM(Apr!D27, May!D27, Jun!D27)</f>
        <v>0</v>
      </c>
      <c r="E27" s="18">
        <f t="shared" si="6"/>
        <v>0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0</v>
      </c>
      <c r="D28" s="13">
        <f>SUM(Apr!D28, May!D28, Jun!D28)</f>
        <v>0</v>
      </c>
      <c r="E28" s="13">
        <f t="shared" si="6"/>
        <v>0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0</v>
      </c>
      <c r="D29" s="18">
        <f>SUM(Apr!D29, May!D29, Jun!D29)</f>
        <v>0</v>
      </c>
      <c r="E29" s="18">
        <f t="shared" si="6"/>
        <v>0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0</v>
      </c>
      <c r="D30" s="13">
        <f>SUM(Apr!D30, May!D30, Jun!D30)</f>
        <v>0</v>
      </c>
      <c r="E30" s="13">
        <f t="shared" si="6"/>
        <v>0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0</v>
      </c>
      <c r="D31" s="18">
        <f>SUM(Apr!D31, May!D31, Jun!D31)</f>
        <v>0</v>
      </c>
      <c r="E31" s="18">
        <f t="shared" si="6"/>
        <v>0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0</v>
      </c>
      <c r="D33" s="18">
        <f>SUM(Apr!D33, May!D33, Jun!D33)</f>
        <v>0</v>
      </c>
      <c r="E33" s="18">
        <f t="shared" si="6"/>
        <v>0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0</v>
      </c>
      <c r="D35" s="18">
        <f>SUM(Apr!D35, May!D35, Jun!D35)</f>
        <v>0</v>
      </c>
      <c r="E35" s="18">
        <f t="shared" si="6"/>
        <v>0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0</v>
      </c>
      <c r="D37" s="18">
        <f>SUM(Apr!D37, May!D37, Jun!D37)</f>
        <v>0</v>
      </c>
      <c r="E37" s="18">
        <f t="shared" si="6"/>
        <v>0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0</v>
      </c>
      <c r="D38" s="13">
        <f>SUM(Apr!D38, May!D38, Jun!D38)</f>
        <v>0</v>
      </c>
      <c r="E38" s="13">
        <f t="shared" si="6"/>
        <v>0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0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14</v>
      </c>
      <c r="E1" s="90"/>
      <c r="F1" s="90"/>
      <c r="G1" s="88" t="s">
        <v>15</v>
      </c>
      <c r="H1" s="88"/>
      <c r="I1" s="88"/>
    </row>
    <row r="2" spans="1:9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0</v>
      </c>
      <c r="D20" s="13">
        <f>SUM(Jul!D20, Aug!D20, Sep!D20)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0</v>
      </c>
      <c r="D35" s="18">
        <f>SUM(Jul!D35, Aug!D35, Sep!D35)</f>
        <v>0</v>
      </c>
      <c r="E35" s="18">
        <f t="shared" si="6"/>
        <v>0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0</v>
      </c>
      <c r="D37" s="18">
        <f>SUM(Jul!D37, Aug!D37, Sep!D37)</f>
        <v>0</v>
      </c>
      <c r="E37" s="18">
        <f t="shared" si="6"/>
        <v>0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0</v>
      </c>
      <c r="D38" s="13">
        <f>SUM(Jul!D38, Aug!D38, Sep!D38)</f>
        <v>0</v>
      </c>
      <c r="E38" s="13">
        <f t="shared" si="6"/>
        <v>0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bottomRight" activeCell="M22" sqref="M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9" t="str" cm="1">
        <f t="array" ref="A1">portfolio</f>
        <v>Cushman &amp; Wakefield</v>
      </c>
      <c r="B1" s="89"/>
      <c r="C1" s="89"/>
      <c r="D1" s="90" t="s">
        <v>16</v>
      </c>
      <c r="E1" s="90"/>
      <c r="F1" s="90"/>
      <c r="G1" s="88" t="s">
        <v>17</v>
      </c>
      <c r="H1" s="88"/>
      <c r="I1" s="88"/>
    </row>
    <row r="2" spans="1:9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tabSelected="1" zoomScale="70" zoomScaleNormal="70" workbookViewId="0">
      <pane xSplit="2" ySplit="3" topLeftCell="C17" activePane="bottomRight" state="frozen"/>
      <selection pane="bottomRight" activeCell="C43" sqref="C4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18</v>
      </c>
      <c r="E1" s="90"/>
      <c r="F1" s="90"/>
      <c r="G1" s="88" t="s">
        <v>19</v>
      </c>
      <c r="H1" s="88"/>
      <c r="I1" s="88"/>
      <c r="J1" s="4"/>
      <c r="K1" s="4"/>
      <c r="L1" s="4"/>
    </row>
    <row r="2" spans="1:12" ht="19.5" customHeight="1">
      <c r="A2" s="91" t="s">
        <v>2</v>
      </c>
      <c r="B2" s="91"/>
      <c r="C2" s="5">
        <f>SUM(C4:C99)</f>
        <v>113825</v>
      </c>
      <c r="D2" s="5">
        <f>SUM(D4:D99)</f>
        <v>0</v>
      </c>
      <c r="E2" s="5">
        <f>C2-D2</f>
        <v>113825</v>
      </c>
      <c r="F2" s="6">
        <f>IFERROR(E2/D2, 0)</f>
        <v>0</v>
      </c>
      <c r="G2" s="5">
        <f>SUM(G4:G99)</f>
        <v>0</v>
      </c>
      <c r="H2" s="7">
        <f>C2-G2</f>
        <v>113825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22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63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23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23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  <c r="L5" s="42"/>
    </row>
    <row r="6" spans="1:12" ht="15.6">
      <c r="A6" s="28" t="str">
        <v xml:space="preserve"> Arvin - Bank of America</v>
      </c>
      <c r="B6" s="29" t="str">
        <v>CA</v>
      </c>
      <c r="C6" s="24">
        <v>67</v>
      </c>
      <c r="D6" s="13" t="s">
        <v>23</v>
      </c>
      <c r="E6" s="13" t="str">
        <f t="shared" si="0"/>
        <v/>
      </c>
      <c r="F6" s="14" t="str">
        <f t="shared" ref="F6:F15" si="3">IFERROR(E6/D6, "")</f>
        <v/>
      </c>
      <c r="G6" s="63" t="s">
        <v>23</v>
      </c>
      <c r="H6" s="15" t="str">
        <f t="shared" si="1"/>
        <v/>
      </c>
      <c r="I6" s="16" t="str">
        <f t="shared" si="2"/>
        <v/>
      </c>
      <c r="J6" s="41"/>
      <c r="K6" s="65"/>
      <c r="L6" s="65"/>
    </row>
    <row r="7" spans="1:12" ht="28.9">
      <c r="A7" s="30" t="str">
        <v xml:space="preserve"> Bell - Bank of America</v>
      </c>
      <c r="B7" s="31" t="str">
        <v>CA</v>
      </c>
      <c r="C7" s="11">
        <v>14323</v>
      </c>
      <c r="D7" s="18" t="s">
        <v>23</v>
      </c>
      <c r="E7" s="18" t="str">
        <f t="shared" si="0"/>
        <v/>
      </c>
      <c r="F7" s="19" t="str">
        <f t="shared" si="3"/>
        <v/>
      </c>
      <c r="G7" s="64" t="s">
        <v>23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 t="s">
        <v>24</v>
      </c>
      <c r="K7" s="74" t="s">
        <v>25</v>
      </c>
      <c r="L7" s="43" t="s">
        <v>26</v>
      </c>
    </row>
    <row r="8" spans="1:12" ht="15.6">
      <c r="A8" s="28" t="str">
        <v xml:space="preserve"> Chula Vista - Bank of America</v>
      </c>
      <c r="B8" s="29" t="str">
        <v>CA</v>
      </c>
      <c r="C8" s="24">
        <v>885</v>
      </c>
      <c r="D8" s="13" t="s">
        <v>23</v>
      </c>
      <c r="E8" s="13" t="str">
        <f t="shared" si="0"/>
        <v/>
      </c>
      <c r="F8" s="14" t="str">
        <f t="shared" si="3"/>
        <v/>
      </c>
      <c r="G8" s="63" t="s">
        <v>23</v>
      </c>
      <c r="H8" s="15" t="str">
        <f t="shared" si="4"/>
        <v/>
      </c>
      <c r="I8" s="16" t="str">
        <f t="shared" si="5"/>
        <v/>
      </c>
      <c r="J8" s="41"/>
      <c r="K8" s="65"/>
      <c r="L8" s="65"/>
    </row>
    <row r="9" spans="1:12" ht="15.6">
      <c r="A9" s="30" t="str">
        <v xml:space="preserve"> Cupertino - Bank of America</v>
      </c>
      <c r="B9" s="31" t="str">
        <v>CA</v>
      </c>
      <c r="C9" s="11">
        <v>1186</v>
      </c>
      <c r="D9" s="18" t="s">
        <v>23</v>
      </c>
      <c r="E9" s="18" t="str">
        <f t="shared" si="0"/>
        <v/>
      </c>
      <c r="F9" s="19" t="str">
        <f t="shared" si="3"/>
        <v/>
      </c>
      <c r="G9" s="64" t="s">
        <v>23</v>
      </c>
      <c r="H9" s="20" t="str">
        <f t="shared" si="4"/>
        <v/>
      </c>
      <c r="I9" s="19" t="str">
        <f t="shared" si="5"/>
        <v/>
      </c>
      <c r="J9" s="60"/>
      <c r="K9" s="66"/>
      <c r="L9" s="66"/>
    </row>
    <row r="10" spans="1:12" ht="28.9">
      <c r="A10" s="28" t="str">
        <v xml:space="preserve"> Diamond Bar - Bank of America</v>
      </c>
      <c r="B10" s="29" t="str">
        <v>CA</v>
      </c>
      <c r="C10" s="24">
        <v>1948</v>
      </c>
      <c r="D10" s="13" t="s">
        <v>23</v>
      </c>
      <c r="E10" s="13" t="str">
        <f t="shared" si="0"/>
        <v/>
      </c>
      <c r="F10" s="14" t="str">
        <f t="shared" si="3"/>
        <v/>
      </c>
      <c r="G10" s="63" t="s">
        <v>23</v>
      </c>
      <c r="H10" s="15" t="str">
        <f t="shared" si="4"/>
        <v/>
      </c>
      <c r="I10" s="16" t="str">
        <f t="shared" si="5"/>
        <v/>
      </c>
      <c r="J10" s="41" t="s">
        <v>27</v>
      </c>
      <c r="K10" s="65" t="s">
        <v>28</v>
      </c>
      <c r="L10" s="41" t="s">
        <v>26</v>
      </c>
    </row>
    <row r="11" spans="1:12" ht="15.6">
      <c r="A11" s="30" t="str">
        <v xml:space="preserve"> El Centro - Bank of America</v>
      </c>
      <c r="B11" s="31" t="str">
        <v>CA</v>
      </c>
      <c r="C11" s="11">
        <v>1853</v>
      </c>
      <c r="D11" s="18" t="s">
        <v>23</v>
      </c>
      <c r="E11" s="18" t="str">
        <f t="shared" si="0"/>
        <v/>
      </c>
      <c r="F11" s="19" t="str">
        <f t="shared" si="3"/>
        <v/>
      </c>
      <c r="G11" s="64" t="s">
        <v>23</v>
      </c>
      <c r="H11" s="20" t="str">
        <f t="shared" si="4"/>
        <v/>
      </c>
      <c r="I11" s="19" t="str">
        <f t="shared" si="5"/>
        <v/>
      </c>
      <c r="J11" s="42"/>
      <c r="K11" s="43"/>
      <c r="L11" s="43"/>
    </row>
    <row r="12" spans="1:12" ht="15.6">
      <c r="A12" s="28" t="str">
        <v xml:space="preserve"> Moreno Valley - Bank of America</v>
      </c>
      <c r="B12" s="29" t="str">
        <v>CA</v>
      </c>
      <c r="C12" s="24">
        <v>2729</v>
      </c>
      <c r="D12" s="13" t="s">
        <v>23</v>
      </c>
      <c r="E12" s="13" t="str">
        <f t="shared" si="0"/>
        <v/>
      </c>
      <c r="F12" s="14" t="str">
        <f t="shared" si="3"/>
        <v/>
      </c>
      <c r="G12" s="63" t="s">
        <v>23</v>
      </c>
      <c r="H12" s="15" t="str">
        <f t="shared" si="4"/>
        <v/>
      </c>
      <c r="I12" s="16" t="str">
        <f t="shared" si="5"/>
        <v/>
      </c>
      <c r="J12" s="41"/>
      <c r="K12" s="65"/>
      <c r="L12" s="65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23</v>
      </c>
      <c r="E13" s="18" t="str">
        <f t="shared" si="0"/>
        <v/>
      </c>
      <c r="F13" s="19" t="str">
        <f t="shared" si="3"/>
        <v/>
      </c>
      <c r="G13" s="64" t="s">
        <v>23</v>
      </c>
      <c r="H13" s="20" t="str">
        <f t="shared" si="4"/>
        <v/>
      </c>
      <c r="I13" s="19" t="str">
        <f t="shared" si="5"/>
        <v/>
      </c>
      <c r="J13" s="42"/>
      <c r="K13" s="43"/>
      <c r="L13" s="43"/>
    </row>
    <row r="14" spans="1:12" ht="15.6">
      <c r="A14" s="28" t="str">
        <v xml:space="preserve"> Roseville - Bank of America</v>
      </c>
      <c r="B14" s="29" t="str">
        <v>CA</v>
      </c>
      <c r="C14" s="24">
        <v>3169</v>
      </c>
      <c r="D14" s="13" t="s">
        <v>23</v>
      </c>
      <c r="E14" s="13" t="str">
        <f t="shared" si="0"/>
        <v/>
      </c>
      <c r="F14" s="14" t="str">
        <f t="shared" si="3"/>
        <v/>
      </c>
      <c r="G14" s="63" t="s">
        <v>23</v>
      </c>
      <c r="H14" s="15" t="str">
        <f t="shared" si="4"/>
        <v/>
      </c>
      <c r="I14" s="16" t="str">
        <f t="shared" si="5"/>
        <v/>
      </c>
      <c r="J14" s="41"/>
      <c r="K14" s="41"/>
      <c r="L14" s="41"/>
    </row>
    <row r="15" spans="1:12" ht="15.6">
      <c r="A15" s="30" t="str">
        <v xml:space="preserve"> San Bernardino - Bank of America</v>
      </c>
      <c r="B15" s="31" t="str">
        <v>CA</v>
      </c>
      <c r="C15" s="11">
        <v>4795</v>
      </c>
      <c r="D15" s="18" t="s">
        <v>23</v>
      </c>
      <c r="E15" s="18" t="str">
        <f t="shared" si="0"/>
        <v/>
      </c>
      <c r="F15" s="19" t="str">
        <f t="shared" si="3"/>
        <v/>
      </c>
      <c r="G15" s="64" t="s">
        <v>23</v>
      </c>
      <c r="H15" s="20" t="str">
        <f t="shared" si="4"/>
        <v/>
      </c>
      <c r="I15" s="19" t="str">
        <f t="shared" si="5"/>
        <v/>
      </c>
      <c r="J15" s="60"/>
      <c r="K15" s="66"/>
      <c r="L15" s="66"/>
    </row>
    <row r="16" spans="1:12" ht="15.6">
      <c r="A16" s="28" t="str">
        <v xml:space="preserve"> San Diego - Bank of America</v>
      </c>
      <c r="B16" s="29" t="str">
        <v>CA</v>
      </c>
      <c r="C16" s="24">
        <v>228</v>
      </c>
      <c r="D16" s="13" t="s">
        <v>23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23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41"/>
    </row>
    <row r="17" spans="1:13" ht="15.6">
      <c r="A17" s="30" t="str">
        <v xml:space="preserve"> Stockton - Bank of America</v>
      </c>
      <c r="B17" s="31" t="str">
        <v>CA</v>
      </c>
      <c r="C17" s="11">
        <v>3922</v>
      </c>
      <c r="D17" s="18" t="s">
        <v>23</v>
      </c>
      <c r="E17" s="18" t="str">
        <f t="shared" si="6"/>
        <v/>
      </c>
      <c r="F17" s="19" t="str">
        <f t="shared" si="7"/>
        <v/>
      </c>
      <c r="G17" s="64" t="s">
        <v>23</v>
      </c>
      <c r="H17" s="20" t="str">
        <f t="shared" si="8"/>
        <v/>
      </c>
      <c r="I17" s="19" t="str">
        <f t="shared" si="9"/>
        <v/>
      </c>
      <c r="J17" s="42"/>
      <c r="K17" s="43"/>
      <c r="L17" s="43"/>
    </row>
    <row r="18" spans="1:13" ht="15.6">
      <c r="A18" s="28" t="str">
        <v xml:space="preserve"> Victorville - Bank of America</v>
      </c>
      <c r="B18" s="29" t="str">
        <v>CA</v>
      </c>
      <c r="C18" s="24">
        <v>0</v>
      </c>
      <c r="D18" s="13" t="s">
        <v>23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23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  <c r="L18" s="41"/>
    </row>
    <row r="19" spans="1:13" ht="15.6">
      <c r="A19" s="30" t="str">
        <v xml:space="preserve"> Aurora - BA - Colfax Ave</v>
      </c>
      <c r="B19" s="31" t="str">
        <v>CO</v>
      </c>
      <c r="C19" s="11">
        <v>6067</v>
      </c>
      <c r="D19" s="18" t="s">
        <v>23</v>
      </c>
      <c r="E19" s="18" t="str">
        <f t="shared" si="10"/>
        <v/>
      </c>
      <c r="F19" s="19" t="str">
        <f t="shared" si="11"/>
        <v/>
      </c>
      <c r="G19" s="64" t="s">
        <v>23</v>
      </c>
      <c r="H19" s="20" t="str">
        <f t="shared" si="12"/>
        <v/>
      </c>
      <c r="I19" s="19" t="str">
        <f t="shared" si="13"/>
        <v/>
      </c>
      <c r="J19" s="42"/>
      <c r="K19" s="43"/>
      <c r="L19" s="43"/>
    </row>
    <row r="20" spans="1:13" ht="15.6">
      <c r="A20" s="28" t="str">
        <v xml:space="preserve"> Aurora - BA - Parker Rd</v>
      </c>
      <c r="B20" s="29" t="str">
        <v>CO</v>
      </c>
      <c r="C20" s="24">
        <v>1797</v>
      </c>
      <c r="D20" s="13" t="s">
        <v>23</v>
      </c>
      <c r="E20" s="13" t="str">
        <f t="shared" si="10"/>
        <v/>
      </c>
      <c r="F20" s="14" t="str">
        <f t="shared" si="11"/>
        <v/>
      </c>
      <c r="G20" s="63" t="s">
        <v>23</v>
      </c>
      <c r="H20" s="15" t="str">
        <f t="shared" si="12"/>
        <v/>
      </c>
      <c r="I20" s="16" t="str">
        <f t="shared" si="13"/>
        <v/>
      </c>
      <c r="J20" s="41"/>
      <c r="K20" s="41"/>
      <c r="L20" s="41"/>
    </row>
    <row r="21" spans="1:13" ht="15.6">
      <c r="A21" s="30" t="str">
        <v xml:space="preserve"> Broomfield - Bank of America</v>
      </c>
      <c r="B21" s="31" t="str">
        <v>CO</v>
      </c>
      <c r="C21" s="11">
        <v>6335</v>
      </c>
      <c r="D21" s="18" t="s">
        <v>23</v>
      </c>
      <c r="E21" s="18" t="str">
        <f t="shared" si="10"/>
        <v/>
      </c>
      <c r="F21" s="19" t="str">
        <f t="shared" si="11"/>
        <v/>
      </c>
      <c r="G21" s="64" t="s">
        <v>23</v>
      </c>
      <c r="H21" s="20" t="str">
        <f t="shared" si="12"/>
        <v/>
      </c>
      <c r="I21" s="19" t="str">
        <f t="shared" si="13"/>
        <v/>
      </c>
      <c r="J21" s="42"/>
      <c r="K21" s="66"/>
      <c r="L21" s="66"/>
    </row>
    <row r="22" spans="1:13" ht="15.6">
      <c r="A22" s="28" t="str">
        <v xml:space="preserve"> Colorado Springs - Bank of America</v>
      </c>
      <c r="B22" s="29" t="str">
        <v>CO</v>
      </c>
      <c r="C22" s="24">
        <v>1308</v>
      </c>
      <c r="D22" s="13" t="s">
        <v>23</v>
      </c>
      <c r="E22" s="13" t="str">
        <f t="shared" si="10"/>
        <v/>
      </c>
      <c r="F22" s="14" t="str">
        <f t="shared" si="11"/>
        <v/>
      </c>
      <c r="G22" s="63" t="s">
        <v>23</v>
      </c>
      <c r="H22" s="15" t="str">
        <f t="shared" si="12"/>
        <v/>
      </c>
      <c r="I22" s="16" t="str">
        <f t="shared" si="13"/>
        <v/>
      </c>
      <c r="J22" s="41"/>
      <c r="K22" s="41"/>
      <c r="L22" s="41"/>
    </row>
    <row r="23" spans="1:13" ht="15.6">
      <c r="A23" s="30" t="str">
        <v xml:space="preserve"> Denver - BA - 49th Ave</v>
      </c>
      <c r="B23" s="31" t="str">
        <v>CO</v>
      </c>
      <c r="C23" s="11">
        <v>4514</v>
      </c>
      <c r="D23" s="18" t="s">
        <v>23</v>
      </c>
      <c r="E23" s="18" t="str">
        <f t="shared" si="10"/>
        <v/>
      </c>
      <c r="F23" s="19" t="str">
        <f t="shared" si="11"/>
        <v/>
      </c>
      <c r="G23" s="64" t="s">
        <v>23</v>
      </c>
      <c r="H23" s="20" t="str">
        <f t="shared" si="12"/>
        <v/>
      </c>
      <c r="I23" s="19" t="str">
        <f t="shared" si="13"/>
        <v/>
      </c>
      <c r="J23" s="42"/>
      <c r="K23" s="43"/>
      <c r="L23" s="43"/>
    </row>
    <row r="24" spans="1:13" ht="15.6">
      <c r="A24" s="28" t="str">
        <v xml:space="preserve"> Denver - BA Wadsworth Blvd</v>
      </c>
      <c r="B24" s="29" t="str">
        <v>CO</v>
      </c>
      <c r="C24" s="24">
        <v>1180</v>
      </c>
      <c r="D24" s="13" t="s">
        <v>23</v>
      </c>
      <c r="E24" s="13" t="str">
        <f t="shared" si="10"/>
        <v/>
      </c>
      <c r="F24" s="14" t="str">
        <f t="shared" si="11"/>
        <v/>
      </c>
      <c r="G24" s="63" t="s">
        <v>23</v>
      </c>
      <c r="H24" s="15" t="str">
        <f t="shared" si="12"/>
        <v/>
      </c>
      <c r="I24" s="16" t="str">
        <f t="shared" si="13"/>
        <v/>
      </c>
      <c r="J24" s="41"/>
      <c r="K24" s="41"/>
      <c r="L24" s="41"/>
    </row>
    <row r="25" spans="1:13" ht="15.6">
      <c r="A25" s="30" t="str">
        <v xml:space="preserve"> Fort Collins - Bank of America</v>
      </c>
      <c r="B25" s="31" t="str">
        <v>CO</v>
      </c>
      <c r="C25" s="11">
        <v>6928</v>
      </c>
      <c r="D25" s="18" t="s">
        <v>23</v>
      </c>
      <c r="E25" s="18" t="str">
        <f t="shared" si="10"/>
        <v/>
      </c>
      <c r="F25" s="19" t="str">
        <f t="shared" si="11"/>
        <v/>
      </c>
      <c r="G25" s="64" t="s">
        <v>23</v>
      </c>
      <c r="H25" s="20" t="str">
        <f t="shared" si="12"/>
        <v/>
      </c>
      <c r="I25" s="19" t="str">
        <f t="shared" si="13"/>
        <v/>
      </c>
      <c r="J25" s="60"/>
      <c r="K25" s="66"/>
      <c r="L25" s="66"/>
      <c r="M25" s="69"/>
    </row>
    <row r="26" spans="1:13" ht="15.6">
      <c r="A26" s="28" t="str">
        <v xml:space="preserve"> Lafayette - Bank of America</v>
      </c>
      <c r="B26" s="29" t="str">
        <v>CO</v>
      </c>
      <c r="C26" s="24">
        <v>9874</v>
      </c>
      <c r="D26" s="13" t="s">
        <v>23</v>
      </c>
      <c r="E26" s="13" t="str">
        <f t="shared" si="10"/>
        <v/>
      </c>
      <c r="F26" s="14" t="str">
        <f t="shared" si="11"/>
        <v/>
      </c>
      <c r="G26" s="63" t="s">
        <v>23</v>
      </c>
      <c r="H26" s="15" t="str">
        <f t="shared" si="12"/>
        <v/>
      </c>
      <c r="I26" s="16" t="str">
        <f t="shared" si="13"/>
        <v/>
      </c>
      <c r="J26" s="62"/>
      <c r="K26" s="67"/>
      <c r="L26" s="67"/>
    </row>
    <row r="27" spans="1:13" ht="15.6">
      <c r="A27" s="30" t="str">
        <v xml:space="preserve"> Lakewood - Bank of America</v>
      </c>
      <c r="B27" s="31" t="str">
        <v>CO</v>
      </c>
      <c r="C27" s="11">
        <v>4745</v>
      </c>
      <c r="D27" s="18" t="s">
        <v>23</v>
      </c>
      <c r="E27" s="18" t="str">
        <f t="shared" si="10"/>
        <v/>
      </c>
      <c r="F27" s="19" t="str">
        <f t="shared" si="11"/>
        <v/>
      </c>
      <c r="G27" s="64" t="s">
        <v>23</v>
      </c>
      <c r="H27" s="20" t="str">
        <f t="shared" si="12"/>
        <v/>
      </c>
      <c r="I27" s="19" t="str">
        <f t="shared" si="13"/>
        <v/>
      </c>
      <c r="J27" s="42"/>
      <c r="K27" s="43"/>
      <c r="L27" s="43"/>
    </row>
    <row r="28" spans="1:13" ht="15.6">
      <c r="A28" s="28" t="str">
        <v xml:space="preserve"> Longmont - Bank of America</v>
      </c>
      <c r="B28" s="29" t="str">
        <v>CO</v>
      </c>
      <c r="C28" s="24">
        <v>4504</v>
      </c>
      <c r="D28" s="13" t="s">
        <v>23</v>
      </c>
      <c r="E28" s="13" t="str">
        <f t="shared" si="10"/>
        <v/>
      </c>
      <c r="F28" s="14" t="str">
        <f t="shared" si="11"/>
        <v/>
      </c>
      <c r="G28" s="63" t="s">
        <v>23</v>
      </c>
      <c r="H28" s="15" t="str">
        <f t="shared" si="12"/>
        <v/>
      </c>
      <c r="I28" s="16" t="str">
        <f t="shared" si="13"/>
        <v/>
      </c>
      <c r="J28" s="62"/>
      <c r="K28" s="65"/>
      <c r="L28" s="65"/>
    </row>
    <row r="29" spans="1:13" ht="15.6">
      <c r="A29" s="30" t="str">
        <v xml:space="preserve"> Thornton - Bank of America</v>
      </c>
      <c r="B29" s="31" t="str">
        <v>CO</v>
      </c>
      <c r="C29" s="11">
        <v>6037</v>
      </c>
      <c r="D29" s="18" t="s">
        <v>23</v>
      </c>
      <c r="E29" s="18" t="str">
        <f t="shared" si="10"/>
        <v/>
      </c>
      <c r="F29" s="19" t="str">
        <f t="shared" si="11"/>
        <v/>
      </c>
      <c r="G29" s="64" t="s">
        <v>23</v>
      </c>
      <c r="H29" s="20" t="str">
        <f t="shared" si="12"/>
        <v/>
      </c>
      <c r="I29" s="19" t="str">
        <f t="shared" si="13"/>
        <v/>
      </c>
      <c r="J29" s="42"/>
      <c r="K29" s="43"/>
      <c r="L29" s="43"/>
    </row>
    <row r="30" spans="1:13" ht="15.6">
      <c r="A30" s="28" t="str">
        <v xml:space="preserve"> Calumet City - Bank of America</v>
      </c>
      <c r="B30" s="29" t="str">
        <v>IL</v>
      </c>
      <c r="C30" s="24">
        <v>7854</v>
      </c>
      <c r="D30" s="13" t="s">
        <v>23</v>
      </c>
      <c r="E30" s="13" t="str">
        <f t="shared" si="10"/>
        <v/>
      </c>
      <c r="F30" s="14" t="str">
        <f t="shared" si="11"/>
        <v/>
      </c>
      <c r="G30" s="63" t="s">
        <v>23</v>
      </c>
      <c r="H30" s="15" t="str">
        <f t="shared" si="12"/>
        <v/>
      </c>
      <c r="I30" s="16" t="str">
        <f t="shared" si="13"/>
        <v/>
      </c>
      <c r="J30" s="41"/>
      <c r="K30" s="41"/>
      <c r="L30" s="41"/>
    </row>
    <row r="31" spans="1:13" ht="15.6">
      <c r="A31" s="30" t="str">
        <v xml:space="preserve"> Downers Grove - Bank of America</v>
      </c>
      <c r="B31" s="31" t="str">
        <v>IL</v>
      </c>
      <c r="C31" s="11">
        <v>7943</v>
      </c>
      <c r="D31" s="18" t="s">
        <v>23</v>
      </c>
      <c r="E31" s="18" t="str">
        <f t="shared" si="10"/>
        <v/>
      </c>
      <c r="F31" s="19" t="str">
        <f t="shared" si="11"/>
        <v/>
      </c>
      <c r="G31" s="64" t="s">
        <v>23</v>
      </c>
      <c r="H31" s="20" t="str">
        <f t="shared" si="12"/>
        <v/>
      </c>
      <c r="I31" s="19" t="str">
        <f t="shared" si="13"/>
        <v/>
      </c>
      <c r="J31" s="42"/>
      <c r="K31" s="43"/>
      <c r="L31" s="43"/>
    </row>
    <row r="32" spans="1:13" ht="15.6">
      <c r="A32" s="28" t="str">
        <v xml:space="preserve"> Bloomington - Bank of America</v>
      </c>
      <c r="B32" s="29" t="str">
        <v>MN</v>
      </c>
      <c r="C32" s="24">
        <v>116</v>
      </c>
      <c r="D32" s="13" t="s">
        <v>23</v>
      </c>
      <c r="E32" s="13" t="str">
        <f t="shared" si="10"/>
        <v/>
      </c>
      <c r="F32" s="14" t="str">
        <f t="shared" si="11"/>
        <v/>
      </c>
      <c r="G32" s="63" t="s">
        <v>23</v>
      </c>
      <c r="H32" s="15" t="str">
        <f t="shared" si="12"/>
        <v/>
      </c>
      <c r="I32" s="16" t="str">
        <f t="shared" si="13"/>
        <v/>
      </c>
      <c r="J32" s="41"/>
      <c r="K32" s="67"/>
      <c r="L32" s="67"/>
    </row>
    <row r="33" spans="1:12" ht="15.6">
      <c r="A33" s="30" t="str">
        <v xml:space="preserve"> Clayton - Bank of America</v>
      </c>
      <c r="B33" s="31" t="str">
        <v>MO</v>
      </c>
      <c r="C33" s="11">
        <v>1087</v>
      </c>
      <c r="D33" s="18" t="s">
        <v>23</v>
      </c>
      <c r="E33" s="18" t="str">
        <f t="shared" si="10"/>
        <v/>
      </c>
      <c r="F33" s="19" t="str">
        <f t="shared" si="11"/>
        <v/>
      </c>
      <c r="G33" s="64" t="s">
        <v>23</v>
      </c>
      <c r="H33" s="20" t="str">
        <f t="shared" si="12"/>
        <v/>
      </c>
      <c r="I33" s="19" t="str">
        <f t="shared" si="13"/>
        <v/>
      </c>
      <c r="J33" s="42"/>
      <c r="K33" s="43"/>
      <c r="L33" s="43"/>
    </row>
    <row r="34" spans="1:12" ht="15.6">
      <c r="A34" s="28" t="str">
        <v xml:space="preserve"> Manchester - Bank of America</v>
      </c>
      <c r="B34" s="29" t="str">
        <v>MO</v>
      </c>
      <c r="C34" s="24">
        <v>7191</v>
      </c>
      <c r="D34" s="13" t="s">
        <v>23</v>
      </c>
      <c r="E34" s="13" t="str">
        <f t="shared" si="10"/>
        <v/>
      </c>
      <c r="F34" s="14" t="str">
        <f t="shared" si="11"/>
        <v/>
      </c>
      <c r="G34" s="63" t="s">
        <v>23</v>
      </c>
      <c r="H34" s="15" t="str">
        <f t="shared" si="12"/>
        <v/>
      </c>
      <c r="I34" s="16" t="str">
        <f t="shared" si="13"/>
        <v/>
      </c>
      <c r="J34" s="41"/>
      <c r="K34" s="41"/>
      <c r="L34" s="41"/>
    </row>
    <row r="35" spans="1:12" ht="15.6">
      <c r="A35" s="30" t="str">
        <v xml:space="preserve"> Las Vegas - BA - Eastern Ave</v>
      </c>
      <c r="B35" s="31" t="str">
        <v>NV</v>
      </c>
      <c r="C35" s="11">
        <v>29</v>
      </c>
      <c r="D35" s="18" t="s">
        <v>23</v>
      </c>
      <c r="E35" s="18" t="str">
        <f t="shared" si="10"/>
        <v/>
      </c>
      <c r="F35" s="19" t="str">
        <f t="shared" si="11"/>
        <v/>
      </c>
      <c r="G35" s="64" t="s">
        <v>23</v>
      </c>
      <c r="H35" s="20" t="str">
        <f t="shared" si="12"/>
        <v/>
      </c>
      <c r="I35" s="19" t="str">
        <f t="shared" si="13"/>
        <v/>
      </c>
      <c r="J35" s="42"/>
      <c r="K35" s="43"/>
      <c r="L35" s="43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23</v>
      </c>
      <c r="E36" s="13" t="str">
        <f t="shared" si="10"/>
        <v/>
      </c>
      <c r="F36" s="14" t="str">
        <f t="shared" si="11"/>
        <v/>
      </c>
      <c r="G36" s="63" t="s">
        <v>23</v>
      </c>
      <c r="H36" s="15" t="str">
        <f t="shared" si="12"/>
        <v/>
      </c>
      <c r="I36" s="16" t="str">
        <f t="shared" si="13"/>
        <v/>
      </c>
      <c r="J36" s="41"/>
      <c r="K36" s="41"/>
      <c r="L36" s="41"/>
    </row>
    <row r="37" spans="1:12" ht="15.6">
      <c r="A37" s="30" t="str">
        <v xml:space="preserve"> Riverton - Bank of America</v>
      </c>
      <c r="B37" s="31" t="str">
        <v>UT</v>
      </c>
      <c r="C37" s="11">
        <v>1171</v>
      </c>
      <c r="D37" s="18" t="s">
        <v>23</v>
      </c>
      <c r="E37" s="18" t="str">
        <f t="shared" si="10"/>
        <v/>
      </c>
      <c r="F37" s="19" t="str">
        <f t="shared" si="11"/>
        <v/>
      </c>
      <c r="G37" s="64" t="s">
        <v>23</v>
      </c>
      <c r="H37" s="20" t="str">
        <f t="shared" si="12"/>
        <v/>
      </c>
      <c r="I37" s="19" t="str">
        <f t="shared" si="13"/>
        <v/>
      </c>
      <c r="J37" s="42"/>
      <c r="K37" s="43"/>
      <c r="L37" s="43"/>
    </row>
    <row r="38" spans="1:12" ht="15.6">
      <c r="A38" s="28" t="str">
        <v xml:space="preserve"> Salt Lake City - Bank of America</v>
      </c>
      <c r="B38" s="29" t="str">
        <v>UT</v>
      </c>
      <c r="C38" s="24">
        <v>40</v>
      </c>
      <c r="D38" s="13" t="s">
        <v>23</v>
      </c>
      <c r="E38" s="13" t="str">
        <f t="shared" si="10"/>
        <v/>
      </c>
      <c r="F38" s="14" t="str">
        <f t="shared" si="11"/>
        <v/>
      </c>
      <c r="G38" s="63" t="s">
        <v>23</v>
      </c>
      <c r="H38" s="15" t="str">
        <f t="shared" si="12"/>
        <v/>
      </c>
      <c r="I38" s="16" t="str">
        <f t="shared" si="13"/>
        <v/>
      </c>
      <c r="J38" s="41"/>
      <c r="K38" s="41"/>
      <c r="L38" s="4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  <row r="331" spans="1:12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  <c r="L331" s="21"/>
    </row>
    <row r="332" spans="1:12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  <c r="L332" s="21"/>
    </row>
    <row r="333" spans="1:12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  <c r="L333" s="21"/>
    </row>
    <row r="334" spans="1:12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  <c r="L334" s="21"/>
    </row>
    <row r="335" spans="1:12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  <c r="L335" s="21"/>
    </row>
    <row r="336" spans="1:12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  <c r="L336" s="21"/>
    </row>
    <row r="337" spans="1:12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  <c r="L337" s="21"/>
    </row>
    <row r="338" spans="1:12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  <c r="L338" s="21"/>
    </row>
    <row r="339" spans="1:12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  <c r="L339" s="21"/>
    </row>
    <row r="340" spans="1:12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  <c r="L340" s="21"/>
    </row>
    <row r="341" spans="1:12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  <c r="L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hyperlinks>
    <hyperlink ref="K7" r:id="rId1" display="https://us3.assetplanner.com/service_request?ID=115344" xr:uid="{E40060D6-9761-471A-A37D-D2B1AC3891F1}"/>
    <hyperlink ref="K10" r:id="rId2" display="https://us3.assetplanner.com/service_request?ID=102087" xr:uid="{2C38FCA6-6DB9-417E-BABC-B85A94B6726A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F4" activePane="bottomRight" state="frozen"/>
      <selection pane="bottomRight" activeCell="M10" sqref="M10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29</v>
      </c>
      <c r="E1" s="90"/>
      <c r="F1" s="90"/>
      <c r="G1" s="88" t="s">
        <v>30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63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23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64" t="s">
        <v>23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63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64" t="s">
        <v>23</v>
      </c>
      <c r="H9" s="20" t="str">
        <f t="shared" si="1"/>
        <v/>
      </c>
      <c r="I9" s="19" t="str">
        <f t="shared" si="2"/>
        <v/>
      </c>
      <c r="J9" s="60"/>
      <c r="K9" s="66"/>
      <c r="L9" s="69"/>
    </row>
    <row r="10" spans="1:12" ht="76.5" customHeight="1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63" t="s">
        <v>23</v>
      </c>
      <c r="H10" s="15" t="str">
        <f t="shared" si="1"/>
        <v/>
      </c>
      <c r="I10" s="16" t="str">
        <f t="shared" si="2"/>
        <v/>
      </c>
      <c r="J10" s="62"/>
      <c r="K10" s="65"/>
    </row>
    <row r="11" spans="1:12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64" t="s">
        <v>23</v>
      </c>
      <c r="H11" s="20" t="str">
        <f t="shared" si="1"/>
        <v/>
      </c>
      <c r="I11" s="19" t="str">
        <f t="shared" si="2"/>
        <v/>
      </c>
      <c r="J11" s="42"/>
      <c r="K11" s="66"/>
    </row>
    <row r="12" spans="1:12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63" t="s">
        <v>23</v>
      </c>
      <c r="H12" s="15" t="str">
        <f t="shared" si="1"/>
        <v/>
      </c>
      <c r="I12" s="16" t="str">
        <f t="shared" si="2"/>
        <v/>
      </c>
      <c r="J12" s="41"/>
      <c r="K12" s="65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64" t="s">
        <v>23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63" t="s">
        <v>23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64" t="s">
        <v>23</v>
      </c>
      <c r="H15" s="20" t="str">
        <f t="shared" si="1"/>
        <v/>
      </c>
      <c r="I15" s="19" t="str">
        <f t="shared" si="2"/>
        <v/>
      </c>
      <c r="J15" s="60"/>
      <c r="K15" s="66"/>
    </row>
    <row r="16" spans="1:12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23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4"/>
        <v/>
      </c>
      <c r="F17" s="19" t="str">
        <f t="shared" si="5"/>
        <v/>
      </c>
      <c r="G17" s="64" t="s">
        <v>23</v>
      </c>
      <c r="H17" s="20" t="str">
        <f t="shared" si="6"/>
        <v/>
      </c>
      <c r="I17" s="19" t="str">
        <f t="shared" si="7"/>
        <v/>
      </c>
      <c r="J17" s="42"/>
      <c r="K17" s="66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23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8"/>
        <v/>
      </c>
      <c r="F19" s="19" t="str">
        <f t="shared" si="9"/>
        <v/>
      </c>
      <c r="G19" s="64" t="s">
        <v>23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8"/>
        <v/>
      </c>
      <c r="F20" s="14" t="str">
        <f t="shared" si="9"/>
        <v/>
      </c>
      <c r="G20" s="63" t="s">
        <v>23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8"/>
        <v/>
      </c>
      <c r="F21" s="19" t="str">
        <f t="shared" si="9"/>
        <v/>
      </c>
      <c r="G21" s="64" t="s">
        <v>23</v>
      </c>
      <c r="H21" s="20" t="str">
        <f t="shared" si="10"/>
        <v/>
      </c>
      <c r="I21" s="19" t="str">
        <f t="shared" si="11"/>
        <v/>
      </c>
      <c r="J21" s="42"/>
      <c r="K21" s="66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8"/>
        <v/>
      </c>
      <c r="F22" s="14" t="str">
        <f t="shared" si="9"/>
        <v/>
      </c>
      <c r="G22" s="63" t="s">
        <v>23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8"/>
        <v/>
      </c>
      <c r="F23" s="19" t="str">
        <f t="shared" si="9"/>
        <v/>
      </c>
      <c r="G23" s="64" t="s">
        <v>23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8"/>
        <v/>
      </c>
      <c r="F24" s="14" t="str">
        <f t="shared" si="9"/>
        <v/>
      </c>
      <c r="G24" s="63" t="s">
        <v>23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8"/>
        <v/>
      </c>
      <c r="F25" s="19" t="str">
        <f t="shared" si="9"/>
        <v/>
      </c>
      <c r="G25" s="64" t="s">
        <v>23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8"/>
        <v/>
      </c>
      <c r="F26" s="14" t="str">
        <f t="shared" si="9"/>
        <v/>
      </c>
      <c r="G26" s="63" t="s">
        <v>23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8"/>
        <v/>
      </c>
      <c r="F27" s="19" t="str">
        <f t="shared" si="9"/>
        <v/>
      </c>
      <c r="G27" s="64" t="s">
        <v>23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8"/>
        <v/>
      </c>
      <c r="F28" s="14" t="str">
        <f t="shared" si="9"/>
        <v/>
      </c>
      <c r="G28" s="63" t="s">
        <v>23</v>
      </c>
      <c r="H28" s="15" t="str">
        <f t="shared" si="10"/>
        <v/>
      </c>
      <c r="I28" s="16" t="str">
        <f t="shared" si="11"/>
        <v/>
      </c>
      <c r="J28" s="62"/>
      <c r="K28" s="65"/>
    </row>
    <row r="29" spans="1:11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8"/>
        <v/>
      </c>
      <c r="F29" s="19" t="str">
        <f t="shared" si="9"/>
        <v/>
      </c>
      <c r="G29" s="64" t="s">
        <v>23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8"/>
        <v/>
      </c>
      <c r="F30" s="14" t="str">
        <f t="shared" si="9"/>
        <v/>
      </c>
      <c r="G30" s="63" t="s">
        <v>23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8"/>
        <v/>
      </c>
      <c r="F31" s="19" t="str">
        <f t="shared" si="9"/>
        <v/>
      </c>
      <c r="G31" s="64" t="s">
        <v>23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8"/>
        <v/>
      </c>
      <c r="F32" s="14" t="str">
        <f t="shared" si="9"/>
        <v/>
      </c>
      <c r="G32" s="63" t="s">
        <v>23</v>
      </c>
      <c r="H32" s="15" t="str">
        <f t="shared" si="10"/>
        <v/>
      </c>
      <c r="I32" s="16" t="str">
        <f t="shared" si="11"/>
        <v/>
      </c>
      <c r="J32" s="41"/>
      <c r="K32" s="67"/>
    </row>
    <row r="33" spans="1:11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8"/>
        <v/>
      </c>
      <c r="F33" s="19" t="str">
        <f t="shared" si="9"/>
        <v/>
      </c>
      <c r="G33" s="64" t="s">
        <v>23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8"/>
        <v/>
      </c>
      <c r="F34" s="14" t="str">
        <f t="shared" si="9"/>
        <v/>
      </c>
      <c r="G34" s="63" t="s">
        <v>23</v>
      </c>
      <c r="H34" s="15" t="str">
        <f t="shared" si="10"/>
        <v/>
      </c>
      <c r="I34" s="16" t="str">
        <f t="shared" si="11"/>
        <v/>
      </c>
      <c r="J34" s="41"/>
      <c r="K34" s="65"/>
    </row>
    <row r="35" spans="1:11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8"/>
        <v/>
      </c>
      <c r="F35" s="19" t="str">
        <f t="shared" si="9"/>
        <v/>
      </c>
      <c r="G35" s="64" t="s">
        <v>23</v>
      </c>
      <c r="H35" s="20" t="str">
        <f t="shared" si="10"/>
        <v/>
      </c>
      <c r="I35" s="19" t="str">
        <f t="shared" si="11"/>
        <v/>
      </c>
      <c r="J35" s="60"/>
      <c r="K35" s="66"/>
    </row>
    <row r="36" spans="1:11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8"/>
        <v/>
      </c>
      <c r="F36" s="14" t="str">
        <f t="shared" si="9"/>
        <v/>
      </c>
      <c r="G36" s="63" t="s">
        <v>23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8"/>
        <v/>
      </c>
      <c r="F37" s="19" t="str">
        <f t="shared" si="9"/>
        <v/>
      </c>
      <c r="G37" s="64" t="s">
        <v>23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8"/>
        <v/>
      </c>
      <c r="F38" s="14" t="str">
        <f t="shared" si="9"/>
        <v/>
      </c>
      <c r="G38" s="63" t="s">
        <v>23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C12" activePane="bottomRight" state="frozen"/>
      <selection pane="bottomRight" activeCell="N11" sqref="N11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31</v>
      </c>
      <c r="E1" s="90"/>
      <c r="F1" s="90"/>
      <c r="G1" s="88" t="s">
        <v>32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63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23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63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64" t="s">
        <v>23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63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64" t="s">
        <v>23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63" t="s">
        <v>23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/>
      <c r="K10" s="65"/>
    </row>
    <row r="11" spans="1:11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64" t="s">
        <v>23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63" t="s">
        <v>23</v>
      </c>
      <c r="H12" s="15" t="str">
        <f t="shared" si="4"/>
        <v/>
      </c>
      <c r="I12" s="16" t="str">
        <f t="shared" si="2"/>
        <v/>
      </c>
      <c r="J12" s="41"/>
      <c r="K12" s="65"/>
    </row>
    <row r="13" spans="1:11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64" t="s">
        <v>23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63" t="s">
        <v>23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64" t="s">
        <v>23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63" t="s">
        <v>23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64" t="s">
        <v>23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23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5"/>
        <v/>
      </c>
      <c r="F19" s="19" t="str">
        <f t="shared" si="6"/>
        <v/>
      </c>
      <c r="G19" s="64" t="s">
        <v>23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5"/>
        <v/>
      </c>
      <c r="F20" s="14" t="str">
        <f t="shared" si="6"/>
        <v/>
      </c>
      <c r="G20" s="63" t="s">
        <v>23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5"/>
        <v/>
      </c>
      <c r="F21" s="19" t="str">
        <f t="shared" si="6"/>
        <v/>
      </c>
      <c r="G21" s="64" t="s">
        <v>23</v>
      </c>
      <c r="H21" s="20" t="str">
        <f t="shared" si="4"/>
        <v/>
      </c>
      <c r="I21" s="19" t="str">
        <f t="shared" si="7"/>
        <v/>
      </c>
      <c r="J21" s="42"/>
      <c r="K21" s="68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5"/>
        <v/>
      </c>
      <c r="F22" s="14" t="str">
        <f t="shared" si="6"/>
        <v/>
      </c>
      <c r="G22" s="63" t="s">
        <v>23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5"/>
        <v/>
      </c>
      <c r="F23" s="19" t="str">
        <f t="shared" si="6"/>
        <v/>
      </c>
      <c r="G23" s="64" t="s">
        <v>23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5"/>
        <v/>
      </c>
      <c r="F24" s="14" t="str">
        <f t="shared" si="6"/>
        <v/>
      </c>
      <c r="G24" s="63" t="s">
        <v>23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5"/>
        <v/>
      </c>
      <c r="F25" s="19" t="str">
        <f t="shared" si="6"/>
        <v/>
      </c>
      <c r="G25" s="64" t="s">
        <v>23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5"/>
        <v/>
      </c>
      <c r="F26" s="14" t="str">
        <f t="shared" si="6"/>
        <v/>
      </c>
      <c r="G26" s="63" t="s">
        <v>23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5"/>
        <v/>
      </c>
      <c r="F27" s="19" t="str">
        <f t="shared" si="6"/>
        <v/>
      </c>
      <c r="G27" s="64" t="s">
        <v>23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5"/>
        <v/>
      </c>
      <c r="F28" s="14" t="str">
        <f t="shared" si="6"/>
        <v/>
      </c>
      <c r="G28" s="63" t="s">
        <v>23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5"/>
        <v/>
      </c>
      <c r="F29" s="19" t="str">
        <f t="shared" si="6"/>
        <v/>
      </c>
      <c r="G29" s="64" t="s">
        <v>23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5"/>
        <v/>
      </c>
      <c r="F30" s="14" t="str">
        <f t="shared" si="6"/>
        <v/>
      </c>
      <c r="G30" s="63" t="s">
        <v>23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5"/>
        <v/>
      </c>
      <c r="F31" s="19" t="str">
        <f t="shared" si="6"/>
        <v/>
      </c>
      <c r="G31" s="64" t="s">
        <v>23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5"/>
        <v/>
      </c>
      <c r="F32" s="14" t="str">
        <f t="shared" si="6"/>
        <v/>
      </c>
      <c r="G32" s="63" t="s">
        <v>23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5"/>
        <v/>
      </c>
      <c r="F33" s="19" t="str">
        <f t="shared" si="6"/>
        <v/>
      </c>
      <c r="G33" s="64" t="s">
        <v>23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5"/>
        <v/>
      </c>
      <c r="F34" s="14" t="str">
        <f t="shared" si="6"/>
        <v/>
      </c>
      <c r="G34" s="63" t="s">
        <v>23</v>
      </c>
      <c r="H34" s="15" t="str">
        <f t="shared" si="4"/>
        <v/>
      </c>
      <c r="I34" s="16" t="str">
        <f t="shared" si="7"/>
        <v/>
      </c>
      <c r="J34" s="41"/>
      <c r="K34" s="65"/>
    </row>
    <row r="35" spans="1:11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5"/>
        <v/>
      </c>
      <c r="F35" s="19" t="str">
        <f t="shared" si="6"/>
        <v/>
      </c>
      <c r="G35" s="64" t="s">
        <v>23</v>
      </c>
      <c r="H35" s="20" t="str">
        <f t="shared" si="4"/>
        <v/>
      </c>
      <c r="I35" s="19" t="str">
        <f t="shared" si="7"/>
        <v/>
      </c>
      <c r="J35" s="42"/>
      <c r="K35" s="68"/>
    </row>
    <row r="36" spans="1:11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5"/>
        <v/>
      </c>
      <c r="F36" s="14" t="str">
        <f t="shared" si="6"/>
        <v/>
      </c>
      <c r="G36" s="63" t="s">
        <v>23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5"/>
        <v/>
      </c>
      <c r="F37" s="19" t="str">
        <f t="shared" si="6"/>
        <v/>
      </c>
      <c r="G37" s="64" t="s">
        <v>23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5"/>
        <v/>
      </c>
      <c r="F38" s="14" t="str">
        <f t="shared" si="6"/>
        <v/>
      </c>
      <c r="G38" s="63" t="s">
        <v>23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4" activePane="bottomRight" state="frozen"/>
      <selection pane="bottomRight" activeCell="J10" sqref="J10:K10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33</v>
      </c>
      <c r="E1" s="90"/>
      <c r="F1" s="90"/>
      <c r="G1" s="88" t="s">
        <v>34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70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70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71" t="s">
        <v>23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70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71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63" t="s">
        <v>23</v>
      </c>
      <c r="H10" s="15" t="str">
        <f t="shared" si="1"/>
        <v/>
      </c>
      <c r="I10" s="16" t="str">
        <f t="shared" si="2"/>
        <v/>
      </c>
      <c r="J10" s="41"/>
      <c r="K10" s="65"/>
      <c r="L10" s="59"/>
    </row>
    <row r="11" spans="1:12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71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70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71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70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71" t="s">
        <v>23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70" t="s">
        <v>23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71" t="s">
        <v>23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65"/>
      <c r="L18" s="59"/>
    </row>
    <row r="19" spans="1:12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71" t="s">
        <v>23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70" t="s">
        <v>23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71" t="s">
        <v>23</v>
      </c>
      <c r="H21" s="20" t="str">
        <f t="shared" si="6"/>
        <v/>
      </c>
      <c r="I21" s="19" t="str">
        <f t="shared" si="7"/>
        <v/>
      </c>
      <c r="J21" s="42"/>
      <c r="K21" s="68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70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71" t="s">
        <v>23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70" t="s">
        <v>23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71" t="s">
        <v>23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70" t="s">
        <v>23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71" t="s">
        <v>23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70" t="s">
        <v>23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71" t="s">
        <v>23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70" t="s">
        <v>23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71" t="s">
        <v>23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70" t="s">
        <v>23</v>
      </c>
      <c r="H32" s="15" t="str">
        <f t="shared" si="6"/>
        <v/>
      </c>
      <c r="I32" s="16" t="str">
        <f t="shared" si="7"/>
        <v/>
      </c>
      <c r="J32" s="41"/>
      <c r="K32" s="65"/>
      <c r="L32" s="59"/>
    </row>
    <row r="33" spans="1:12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71" t="s">
        <v>23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70" t="s">
        <v>23</v>
      </c>
      <c r="H34" s="15" t="str">
        <f t="shared" si="6"/>
        <v/>
      </c>
      <c r="I34" s="16" t="str">
        <f t="shared" si="7"/>
        <v/>
      </c>
      <c r="J34" s="41"/>
      <c r="K34" s="65"/>
      <c r="L34" s="59"/>
    </row>
    <row r="35" spans="1:12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71" t="s">
        <v>23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70" t="s">
        <v>23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71" t="s">
        <v>23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70" t="s">
        <v>23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D4" activePane="bottomRight" state="frozen"/>
      <selection pane="bottomRight" activeCell="J16" sqref="J16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89" t="str" cm="1">
        <f t="array" ref="A1">portfolio</f>
        <v>Cushman &amp; Wakefield</v>
      </c>
      <c r="B1" s="89"/>
      <c r="C1" s="89"/>
      <c r="D1" s="90" t="s">
        <v>35</v>
      </c>
      <c r="E1" s="90"/>
      <c r="F1" s="90"/>
      <c r="G1" s="88" t="s">
        <v>36</v>
      </c>
      <c r="H1" s="88"/>
      <c r="I1" s="88"/>
      <c r="J1" s="4"/>
      <c r="K1" s="4"/>
    </row>
    <row r="2" spans="1:13" ht="19.5" customHeight="1">
      <c r="A2" s="91" t="s">
        <v>2</v>
      </c>
      <c r="B2" s="91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70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70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71" t="s">
        <v>23</v>
      </c>
      <c r="H7" s="20" t="str">
        <f t="shared" si="1"/>
        <v/>
      </c>
      <c r="I7" s="19" t="str">
        <f t="shared" si="2"/>
        <v/>
      </c>
      <c r="J7" s="42"/>
      <c r="K7" s="66"/>
      <c r="L7" s="72"/>
      <c r="M7" s="73"/>
    </row>
    <row r="8" spans="1:13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70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71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70" t="s">
        <v>23</v>
      </c>
      <c r="H10" s="15" t="str">
        <f t="shared" si="1"/>
        <v/>
      </c>
      <c r="I10" s="16" t="str">
        <f t="shared" si="2"/>
        <v/>
      </c>
      <c r="J10" s="41"/>
      <c r="K10" s="65"/>
      <c r="L10" s="72"/>
    </row>
    <row r="11" spans="1:13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71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70" t="s">
        <v>23</v>
      </c>
      <c r="H12" s="15" t="str">
        <f t="shared" si="1"/>
        <v/>
      </c>
      <c r="I12" s="16" t="str">
        <f t="shared" si="2"/>
        <v/>
      </c>
      <c r="J12" s="41"/>
      <c r="K12" s="65"/>
      <c r="L12" s="59"/>
    </row>
    <row r="13" spans="1:13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71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70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71" t="s">
        <v>23</v>
      </c>
      <c r="H15" s="20" t="str">
        <f t="shared" si="1"/>
        <v/>
      </c>
      <c r="I15" s="19" t="str">
        <f t="shared" si="2"/>
        <v/>
      </c>
      <c r="J15" s="42"/>
      <c r="K15" s="66"/>
      <c r="L15" s="59"/>
    </row>
    <row r="16" spans="1:13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70" t="s">
        <v>23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71" t="s">
        <v>23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65"/>
      <c r="L18" s="59"/>
    </row>
    <row r="19" spans="1:12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71" t="s">
        <v>23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70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71" t="s">
        <v>23</v>
      </c>
      <c r="H21" s="20" t="str">
        <f t="shared" si="6"/>
        <v/>
      </c>
      <c r="I21" s="19" t="str">
        <f t="shared" si="7"/>
        <v/>
      </c>
      <c r="J21" s="42"/>
      <c r="K21" s="66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70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71" t="s">
        <v>23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70" t="s">
        <v>23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71" t="s">
        <v>23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70" t="s">
        <v>23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71" t="s">
        <v>23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70" t="s">
        <v>23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71" t="s">
        <v>23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70" t="s">
        <v>23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71" t="s">
        <v>23</v>
      </c>
      <c r="H31" s="20" t="str">
        <f t="shared" si="6"/>
        <v/>
      </c>
      <c r="I31" s="19" t="str">
        <f t="shared" si="7"/>
        <v/>
      </c>
      <c r="J31" s="42"/>
      <c r="K31" s="66"/>
      <c r="L31" s="59"/>
    </row>
    <row r="32" spans="1:12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70" t="s">
        <v>23</v>
      </c>
      <c r="H32" s="15" t="str">
        <f t="shared" si="6"/>
        <v/>
      </c>
      <c r="I32" s="16" t="str">
        <f t="shared" si="7"/>
        <v/>
      </c>
      <c r="J32" s="41"/>
      <c r="K32" s="65"/>
      <c r="L32" s="59"/>
    </row>
    <row r="33" spans="1:12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71" t="s">
        <v>23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70" t="s">
        <v>23</v>
      </c>
      <c r="H34" s="15" t="str">
        <f t="shared" si="6"/>
        <v/>
      </c>
      <c r="I34" s="16" t="str">
        <f t="shared" si="7"/>
        <v/>
      </c>
      <c r="J34" s="41"/>
      <c r="K34" s="65"/>
      <c r="L34" s="59"/>
    </row>
    <row r="35" spans="1:12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71" t="s">
        <v>23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70" t="s">
        <v>23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71" t="s">
        <v>23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70" t="s">
        <v>23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E22" activePane="bottomRight" state="frozen"/>
      <selection pane="bottomRight" activeCell="J21" sqref="J21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37</v>
      </c>
      <c r="E1" s="90"/>
      <c r="F1" s="90"/>
      <c r="G1" s="88" t="s">
        <v>38</v>
      </c>
      <c r="H1" s="88"/>
      <c r="I1" s="88"/>
      <c r="J1" s="4"/>
      <c r="K1" s="4"/>
    </row>
    <row r="2" spans="1:12" ht="19.5" customHeight="1">
      <c r="A2" s="91" t="s">
        <v>2</v>
      </c>
      <c r="B2" s="91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70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70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71" t="s">
        <v>23</v>
      </c>
      <c r="H7" s="20" t="str">
        <f t="shared" si="1"/>
        <v/>
      </c>
      <c r="I7" s="19" t="str">
        <f t="shared" si="2"/>
        <v/>
      </c>
      <c r="J7" s="60"/>
      <c r="K7" s="66"/>
      <c r="L7" s="59"/>
    </row>
    <row r="8" spans="1:12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70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71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70" t="s">
        <v>23</v>
      </c>
      <c r="H10" s="15" t="str">
        <f t="shared" si="1"/>
        <v/>
      </c>
      <c r="I10" s="16" t="str">
        <f t="shared" si="2"/>
        <v/>
      </c>
      <c r="J10" s="41"/>
      <c r="K10" s="65"/>
      <c r="L10" s="59"/>
    </row>
    <row r="11" spans="1:12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71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70" t="s">
        <v>23</v>
      </c>
      <c r="H12" s="15" t="str">
        <f t="shared" si="1"/>
        <v/>
      </c>
      <c r="I12" s="16" t="str">
        <f t="shared" si="2"/>
        <v/>
      </c>
      <c r="J12" s="41"/>
      <c r="K12" s="65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71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70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20.25" customHeight="1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71" t="s">
        <v>23</v>
      </c>
      <c r="H15" s="20" t="str">
        <f t="shared" si="1"/>
        <v/>
      </c>
      <c r="I15" s="19" t="str">
        <f t="shared" si="2"/>
        <v/>
      </c>
      <c r="J15" s="42"/>
      <c r="K15" s="68"/>
      <c r="L15" s="59"/>
    </row>
    <row r="16" spans="1:12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70" t="s">
        <v>23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71" t="s">
        <v>23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71" t="s">
        <v>23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70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71" t="s">
        <v>23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70" t="s">
        <v>23</v>
      </c>
      <c r="H22" s="15" t="str">
        <f t="shared" si="6"/>
        <v/>
      </c>
      <c r="I22" s="16" t="str">
        <f t="shared" si="7"/>
        <v/>
      </c>
      <c r="J22" s="41"/>
      <c r="K22" s="65"/>
      <c r="L22" s="59"/>
    </row>
    <row r="23" spans="1:12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71" t="s">
        <v>23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70" t="s">
        <v>23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71" t="s">
        <v>23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70" t="s">
        <v>23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71" t="s">
        <v>23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70" t="s">
        <v>23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71" t="s">
        <v>23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70" t="s">
        <v>23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71" t="s">
        <v>23</v>
      </c>
      <c r="H31" s="20" t="str">
        <f t="shared" si="6"/>
        <v/>
      </c>
      <c r="I31" s="19" t="str">
        <f t="shared" si="7"/>
        <v/>
      </c>
      <c r="J31" s="42"/>
      <c r="K31" s="74"/>
      <c r="L31" s="59"/>
    </row>
    <row r="32" spans="1:12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70" t="s">
        <v>23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71" t="s">
        <v>23</v>
      </c>
      <c r="H33" s="20" t="str">
        <f t="shared" si="6"/>
        <v/>
      </c>
      <c r="I33" s="19" t="str">
        <f t="shared" si="7"/>
        <v/>
      </c>
      <c r="J33" s="42"/>
      <c r="K33" s="74"/>
      <c r="L33" s="59"/>
    </row>
    <row r="34" spans="1:12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70" t="s">
        <v>23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71" t="s">
        <v>23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70" t="s">
        <v>23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71" t="s">
        <v>23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70" t="s">
        <v>23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J4" activePane="bottomRight" state="frozen"/>
      <selection pane="bottomRight" activeCell="J7" sqref="J7:K12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39</v>
      </c>
      <c r="E1" s="90"/>
      <c r="F1" s="90"/>
      <c r="G1" s="88" t="s">
        <v>40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70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38" si="0">IF(AND(ISNUMBER(C5),ISNUMBER(D5)), C5-D5, "")</f>
        <v/>
      </c>
      <c r="F5" s="19" t="str">
        <f>IFERROR(E5/D5, "")</f>
        <v/>
      </c>
      <c r="G5" s="71" t="s">
        <v>23</v>
      </c>
      <c r="H5" s="20" t="str">
        <f t="shared" ref="H5:H38" si="1">IF(AND(ISNUMBER(C5),ISNUMBER(G5)), C5-G5, "")</f>
        <v/>
      </c>
      <c r="I5" s="19" t="str">
        <f t="shared" ref="I5:I38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38" si="3">IFERROR(E6/D6, "")</f>
        <v/>
      </c>
      <c r="G6" s="70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71" t="s">
        <v>23</v>
      </c>
      <c r="H7" s="20" t="str">
        <f t="shared" si="1"/>
        <v/>
      </c>
      <c r="I7" s="19" t="str">
        <f t="shared" si="2"/>
        <v/>
      </c>
      <c r="J7" s="42"/>
      <c r="K7" s="68"/>
    </row>
    <row r="8" spans="1:11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70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71" t="s">
        <v>23</v>
      </c>
      <c r="H9" s="20" t="str">
        <f t="shared" si="1"/>
        <v/>
      </c>
      <c r="I9" s="19" t="str">
        <f t="shared" si="2"/>
        <v/>
      </c>
      <c r="J9" s="42"/>
      <c r="K9" s="74"/>
    </row>
    <row r="10" spans="1:11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70" t="s">
        <v>23</v>
      </c>
      <c r="H10" s="15" t="str">
        <f t="shared" si="1"/>
        <v/>
      </c>
      <c r="I10" s="16" t="str">
        <f t="shared" si="2"/>
        <v/>
      </c>
      <c r="J10" s="41"/>
      <c r="K10" s="65"/>
    </row>
    <row r="11" spans="1:11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71" t="s">
        <v>23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70" t="s">
        <v>23</v>
      </c>
      <c r="H12" s="15" t="str">
        <f t="shared" si="1"/>
        <v/>
      </c>
      <c r="I12" s="16" t="str">
        <f t="shared" si="2"/>
        <v/>
      </c>
      <c r="J12" s="41"/>
      <c r="K12" s="65"/>
    </row>
    <row r="13" spans="1:11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71" t="s">
        <v>23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70" t="s">
        <v>23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71" t="s">
        <v>23</v>
      </c>
      <c r="H15" s="20" t="str">
        <f t="shared" si="1"/>
        <v/>
      </c>
      <c r="I15" s="19" t="str">
        <f t="shared" si="2"/>
        <v/>
      </c>
      <c r="J15" s="42"/>
      <c r="K15" s="68"/>
    </row>
    <row r="16" spans="1:11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70" t="s">
        <v>23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71" t="s">
        <v>23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si="0"/>
        <v/>
      </c>
      <c r="F18" s="14" t="str">
        <f t="shared" si="3"/>
        <v/>
      </c>
      <c r="G18" s="70" t="s">
        <v>23</v>
      </c>
      <c r="H18" s="15" t="str">
        <f t="shared" si="1"/>
        <v/>
      </c>
      <c r="I18" s="16" t="str">
        <f t="shared" si="2"/>
        <v/>
      </c>
      <c r="J18" s="41"/>
      <c r="K18" s="65"/>
    </row>
    <row r="19" spans="1:11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0"/>
        <v/>
      </c>
      <c r="F19" s="19" t="str">
        <f t="shared" si="3"/>
        <v/>
      </c>
      <c r="G19" s="71" t="s">
        <v>23</v>
      </c>
      <c r="H19" s="20" t="str">
        <f t="shared" si="1"/>
        <v/>
      </c>
      <c r="I19" s="19" t="str">
        <f t="shared" si="2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0"/>
        <v/>
      </c>
      <c r="F20" s="14" t="str">
        <f t="shared" si="3"/>
        <v/>
      </c>
      <c r="G20" s="70" t="s">
        <v>23</v>
      </c>
      <c r="H20" s="15" t="str">
        <f t="shared" si="1"/>
        <v/>
      </c>
      <c r="I20" s="16" t="str">
        <f t="shared" si="2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0"/>
        <v/>
      </c>
      <c r="F21" s="19" t="str">
        <f t="shared" si="3"/>
        <v/>
      </c>
      <c r="G21" s="71" t="s">
        <v>23</v>
      </c>
      <c r="H21" s="20" t="str">
        <f t="shared" si="1"/>
        <v/>
      </c>
      <c r="I21" s="19" t="str">
        <f t="shared" si="2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0"/>
        <v/>
      </c>
      <c r="F22" s="14" t="str">
        <f t="shared" si="3"/>
        <v/>
      </c>
      <c r="G22" s="70" t="s">
        <v>23</v>
      </c>
      <c r="H22" s="15" t="str">
        <f t="shared" si="1"/>
        <v/>
      </c>
      <c r="I22" s="16" t="str">
        <f t="shared" si="2"/>
        <v/>
      </c>
      <c r="J22" s="41"/>
      <c r="K22" s="65"/>
    </row>
    <row r="23" spans="1:11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0"/>
        <v/>
      </c>
      <c r="F23" s="19" t="str">
        <f t="shared" si="3"/>
        <v/>
      </c>
      <c r="G23" s="71" t="s">
        <v>23</v>
      </c>
      <c r="H23" s="20" t="str">
        <f t="shared" si="1"/>
        <v/>
      </c>
      <c r="I23" s="19" t="str">
        <f t="shared" si="2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0"/>
        <v/>
      </c>
      <c r="F24" s="14" t="str">
        <f t="shared" si="3"/>
        <v/>
      </c>
      <c r="G24" s="70" t="s">
        <v>23</v>
      </c>
      <c r="H24" s="15" t="str">
        <f t="shared" si="1"/>
        <v/>
      </c>
      <c r="I24" s="16" t="str">
        <f t="shared" si="2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0"/>
        <v/>
      </c>
      <c r="F25" s="19" t="str">
        <f t="shared" si="3"/>
        <v/>
      </c>
      <c r="G25" s="71" t="s">
        <v>23</v>
      </c>
      <c r="H25" s="20" t="str">
        <f t="shared" si="1"/>
        <v/>
      </c>
      <c r="I25" s="19" t="str">
        <f t="shared" si="2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0"/>
        <v/>
      </c>
      <c r="F26" s="14" t="str">
        <f t="shared" si="3"/>
        <v/>
      </c>
      <c r="G26" s="70" t="s">
        <v>23</v>
      </c>
      <c r="H26" s="15" t="str">
        <f t="shared" si="1"/>
        <v/>
      </c>
      <c r="I26" s="16" t="str">
        <f t="shared" si="2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0"/>
        <v/>
      </c>
      <c r="F27" s="19" t="str">
        <f t="shared" si="3"/>
        <v/>
      </c>
      <c r="G27" s="71" t="s">
        <v>23</v>
      </c>
      <c r="H27" s="20" t="str">
        <f t="shared" si="1"/>
        <v/>
      </c>
      <c r="I27" s="19" t="str">
        <f t="shared" si="2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0"/>
        <v/>
      </c>
      <c r="F28" s="14" t="str">
        <f t="shared" si="3"/>
        <v/>
      </c>
      <c r="G28" s="70" t="s">
        <v>23</v>
      </c>
      <c r="H28" s="15" t="str">
        <f t="shared" si="1"/>
        <v/>
      </c>
      <c r="I28" s="16" t="str">
        <f t="shared" si="2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0"/>
        <v/>
      </c>
      <c r="F29" s="19" t="str">
        <f t="shared" si="3"/>
        <v/>
      </c>
      <c r="G29" s="71" t="s">
        <v>23</v>
      </c>
      <c r="H29" s="20" t="str">
        <f t="shared" si="1"/>
        <v/>
      </c>
      <c r="I29" s="19" t="str">
        <f t="shared" si="2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0"/>
        <v/>
      </c>
      <c r="F30" s="14" t="str">
        <f t="shared" si="3"/>
        <v/>
      </c>
      <c r="G30" s="70" t="s">
        <v>23</v>
      </c>
      <c r="H30" s="15" t="str">
        <f t="shared" si="1"/>
        <v/>
      </c>
      <c r="I30" s="16" t="str">
        <f t="shared" si="2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0"/>
        <v/>
      </c>
      <c r="F31" s="19" t="str">
        <f t="shared" si="3"/>
        <v/>
      </c>
      <c r="G31" s="71" t="s">
        <v>23</v>
      </c>
      <c r="H31" s="20" t="str">
        <f t="shared" si="1"/>
        <v/>
      </c>
      <c r="I31" s="19" t="str">
        <f t="shared" si="2"/>
        <v/>
      </c>
      <c r="J31" s="42"/>
      <c r="K31" s="68"/>
    </row>
    <row r="32" spans="1:11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0"/>
        <v/>
      </c>
      <c r="F32" s="14" t="str">
        <f t="shared" si="3"/>
        <v/>
      </c>
      <c r="G32" s="70" t="s">
        <v>23</v>
      </c>
      <c r="H32" s="15" t="str">
        <f t="shared" si="1"/>
        <v/>
      </c>
      <c r="I32" s="16" t="str">
        <f t="shared" si="2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0"/>
        <v/>
      </c>
      <c r="F33" s="19" t="str">
        <f t="shared" si="3"/>
        <v/>
      </c>
      <c r="G33" s="71" t="s">
        <v>23</v>
      </c>
      <c r="H33" s="20" t="str">
        <f t="shared" si="1"/>
        <v/>
      </c>
      <c r="I33" s="19" t="str">
        <f t="shared" si="2"/>
        <v/>
      </c>
      <c r="J33" s="42"/>
      <c r="K33" s="68"/>
    </row>
    <row r="34" spans="1:11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0"/>
        <v/>
      </c>
      <c r="F34" s="14" t="str">
        <f t="shared" si="3"/>
        <v/>
      </c>
      <c r="G34" s="70" t="s">
        <v>23</v>
      </c>
      <c r="H34" s="15" t="str">
        <f t="shared" si="1"/>
        <v/>
      </c>
      <c r="I34" s="16" t="str">
        <f t="shared" si="2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0"/>
        <v/>
      </c>
      <c r="F35" s="19" t="str">
        <f t="shared" si="3"/>
        <v/>
      </c>
      <c r="G35" s="71" t="s">
        <v>23</v>
      </c>
      <c r="H35" s="20" t="str">
        <f t="shared" si="1"/>
        <v/>
      </c>
      <c r="I35" s="19" t="str">
        <f t="shared" si="2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0"/>
        <v/>
      </c>
      <c r="F36" s="14" t="str">
        <f t="shared" si="3"/>
        <v/>
      </c>
      <c r="G36" s="70" t="s">
        <v>23</v>
      </c>
      <c r="H36" s="15" t="str">
        <f t="shared" si="1"/>
        <v/>
      </c>
      <c r="I36" s="16" t="str">
        <f t="shared" si="2"/>
        <v/>
      </c>
      <c r="J36" s="41"/>
      <c r="K36" s="65"/>
    </row>
    <row r="37" spans="1:11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0"/>
        <v/>
      </c>
      <c r="F37" s="19" t="str">
        <f t="shared" si="3"/>
        <v/>
      </c>
      <c r="G37" s="71" t="s">
        <v>23</v>
      </c>
      <c r="H37" s="20" t="str">
        <f t="shared" si="1"/>
        <v/>
      </c>
      <c r="I37" s="19" t="str">
        <f t="shared" si="2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0"/>
        <v/>
      </c>
      <c r="F38" s="14" t="str">
        <f t="shared" si="3"/>
        <v/>
      </c>
      <c r="G38" s="70" t="s">
        <v>23</v>
      </c>
      <c r="H38" s="15" t="str">
        <f t="shared" si="1"/>
        <v/>
      </c>
      <c r="I38" s="16" t="str">
        <f t="shared" si="2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J4" activePane="bottomRight" state="frozen"/>
      <selection pane="bottomRight" activeCell="J6" sqref="J6:K13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41</v>
      </c>
      <c r="E1" s="90"/>
      <c r="F1" s="90"/>
      <c r="G1" s="88" t="s">
        <v>42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15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15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20" t="s">
        <v>23</v>
      </c>
      <c r="H7" s="20" t="str">
        <f t="shared" si="1"/>
        <v/>
      </c>
      <c r="I7" s="19" t="str">
        <f t="shared" si="2"/>
        <v/>
      </c>
      <c r="K7" s="74"/>
    </row>
    <row r="8" spans="1:11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15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20" t="s">
        <v>23</v>
      </c>
      <c r="H9" s="20" t="str">
        <f t="shared" si="1"/>
        <v/>
      </c>
      <c r="I9" s="19" t="str">
        <f t="shared" si="2"/>
        <v/>
      </c>
      <c r="J9" s="42"/>
      <c r="K9" s="74"/>
    </row>
    <row r="10" spans="1:11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15" t="s">
        <v>23</v>
      </c>
      <c r="H10" s="15" t="str">
        <f t="shared" si="1"/>
        <v/>
      </c>
      <c r="I10" s="16" t="str">
        <f t="shared" si="2"/>
        <v/>
      </c>
      <c r="J10" s="41"/>
      <c r="K10" s="65"/>
    </row>
    <row r="11" spans="1:11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20" t="s">
        <v>23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15" t="s">
        <v>23</v>
      </c>
      <c r="H12" s="15" t="str">
        <f t="shared" si="1"/>
        <v/>
      </c>
      <c r="I12" s="16" t="str">
        <f t="shared" si="2"/>
        <v/>
      </c>
      <c r="J12" s="41"/>
      <c r="K12" s="65"/>
    </row>
    <row r="13" spans="1:11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20" t="s">
        <v>23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15" t="s">
        <v>23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20" t="s">
        <v>23</v>
      </c>
      <c r="H15" s="20" t="str">
        <f t="shared" si="1"/>
        <v/>
      </c>
      <c r="I15" s="19" t="str">
        <f t="shared" si="2"/>
        <v/>
      </c>
      <c r="J15" s="42"/>
      <c r="K15" s="74"/>
    </row>
    <row r="16" spans="1:11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15" t="s">
        <v>23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20" t="s">
        <v>23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20" t="s">
        <v>23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15" t="s">
        <v>23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20" t="s">
        <v>23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15" t="s">
        <v>23</v>
      </c>
      <c r="H22" s="15" t="str">
        <f t="shared" si="6"/>
        <v/>
      </c>
      <c r="I22" s="16" t="str">
        <f t="shared" si="7"/>
        <v/>
      </c>
      <c r="J22" s="41"/>
      <c r="K22" s="65"/>
    </row>
    <row r="23" spans="1:11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20" t="s">
        <v>23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15" t="s">
        <v>23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20" t="s">
        <v>23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15" t="s">
        <v>23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20" t="s">
        <v>23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15" t="s">
        <v>23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20" t="s">
        <v>23</v>
      </c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15" t="s">
        <v>23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20" t="s">
        <v>23</v>
      </c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15" t="s">
        <v>23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20" t="s">
        <v>23</v>
      </c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15" t="s">
        <v>23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20" t="s">
        <v>23</v>
      </c>
      <c r="H35" s="20" t="str">
        <f t="shared" si="6"/>
        <v/>
      </c>
      <c r="I35" s="19" t="str">
        <f t="shared" si="7"/>
        <v/>
      </c>
      <c r="J35" s="42"/>
      <c r="K35" s="74"/>
    </row>
    <row r="36" spans="1:11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15" t="s">
        <v>23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20" t="s">
        <v>23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15" t="s">
        <v>23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J7" activePane="bottomRight" state="frozen"/>
      <selection pane="bottomRight" activeCell="J7" sqref="J7:K12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9" t="str" cm="1">
        <f t="array" ref="A1">portfolio</f>
        <v>Cushman &amp; Wakefield</v>
      </c>
      <c r="B1" s="89"/>
      <c r="C1" s="89"/>
      <c r="D1" s="90" t="s">
        <v>43</v>
      </c>
      <c r="E1" s="90"/>
      <c r="F1" s="90"/>
      <c r="G1" s="88" t="s">
        <v>44</v>
      </c>
      <c r="H1" s="88"/>
      <c r="I1" s="88"/>
      <c r="J1" s="4"/>
      <c r="K1" s="4"/>
    </row>
    <row r="2" spans="1:11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70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70" t="s">
        <v>23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71" t="s">
        <v>23</v>
      </c>
      <c r="H7" s="20" t="str">
        <f t="shared" si="1"/>
        <v/>
      </c>
      <c r="I7" s="19" t="str">
        <f t="shared" si="2"/>
        <v/>
      </c>
      <c r="J7" s="42"/>
      <c r="K7" s="74"/>
    </row>
    <row r="8" spans="1:11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70" t="s">
        <v>23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71" t="s">
        <v>23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70" t="s">
        <v>23</v>
      </c>
      <c r="H10" s="15" t="str">
        <f t="shared" si="1"/>
        <v/>
      </c>
      <c r="I10" s="16" t="str">
        <f t="shared" si="2"/>
        <v/>
      </c>
      <c r="J10" s="41"/>
      <c r="K10" s="65"/>
    </row>
    <row r="11" spans="1:11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71" t="s">
        <v>23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70" t="s">
        <v>23</v>
      </c>
      <c r="H12" s="15" t="str">
        <f t="shared" si="1"/>
        <v/>
      </c>
      <c r="I12" s="16" t="str">
        <f t="shared" si="2"/>
        <v/>
      </c>
      <c r="J12" s="41"/>
      <c r="K12" s="65"/>
    </row>
    <row r="13" spans="1:11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71" t="s">
        <v>23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70" t="s">
        <v>23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71" t="s">
        <v>23</v>
      </c>
      <c r="H15" s="20" t="str">
        <f t="shared" si="1"/>
        <v/>
      </c>
      <c r="I15" s="19" t="str">
        <f t="shared" si="2"/>
        <v/>
      </c>
      <c r="J15" s="42"/>
      <c r="K15" s="74"/>
    </row>
    <row r="16" spans="1:11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70" t="s">
        <v>23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71" t="s">
        <v>23</v>
      </c>
      <c r="H17" s="20" t="str">
        <f t="shared" si="1"/>
        <v/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71" t="s">
        <v>23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70" t="s">
        <v>23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71" t="s">
        <v>23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70" t="s">
        <v>23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71" t="s">
        <v>23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70" t="s">
        <v>23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71" t="s">
        <v>23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70" t="s">
        <v>23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71" t="s">
        <v>23</v>
      </c>
      <c r="H27" s="20" t="str">
        <f t="shared" si="6"/>
        <v/>
      </c>
      <c r="I27" s="19" t="str">
        <f t="shared" si="7"/>
        <v/>
      </c>
      <c r="J27" s="42"/>
      <c r="K27" s="42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70" t="s">
        <v>23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71" t="s">
        <v>23</v>
      </c>
      <c r="H29" s="20" t="str">
        <f t="shared" si="6"/>
        <v/>
      </c>
      <c r="I29" s="19" t="str">
        <f t="shared" si="7"/>
        <v/>
      </c>
      <c r="J29" s="42"/>
      <c r="K29" s="42"/>
    </row>
    <row r="30" spans="1:11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70" t="s">
        <v>23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71" t="s">
        <v>23</v>
      </c>
      <c r="H31" s="20" t="str">
        <f t="shared" si="6"/>
        <v/>
      </c>
      <c r="I31" s="19" t="str">
        <f t="shared" si="7"/>
        <v/>
      </c>
      <c r="J31" s="42"/>
      <c r="K31" s="42"/>
    </row>
    <row r="32" spans="1:11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70" t="s">
        <v>23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71" t="s">
        <v>23</v>
      </c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70" t="s">
        <v>23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71" t="s">
        <v>23</v>
      </c>
      <c r="H35" s="20" t="str">
        <f t="shared" si="6"/>
        <v/>
      </c>
      <c r="I35" s="19" t="str">
        <f t="shared" si="7"/>
        <v/>
      </c>
      <c r="J35" s="42"/>
      <c r="K35" s="42"/>
    </row>
    <row r="36" spans="1:11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70" t="s">
        <v>23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71" t="s">
        <v>23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70" t="s">
        <v>23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zoomScale="70" zoomScaleNormal="70" workbookViewId="0">
      <pane xSplit="2" ySplit="3" topLeftCell="J4" activePane="bottomRight" state="frozen"/>
      <selection pane="bottomRight" activeCell="J7" sqref="J7:L12"/>
      <selection pane="bottomLeft" activeCell="J56" sqref="J56"/>
      <selection pane="topRight" activeCell="J56" sqref="J56"/>
    </sheetView>
  </sheetViews>
  <sheetFormatPr defaultRowHeight="14.4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82" customWidth="1"/>
    <col min="11" max="11" width="20.5703125" style="82" bestFit="1" customWidth="1"/>
    <col min="12" max="12" width="13.28515625" style="83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45</v>
      </c>
      <c r="E1" s="90"/>
      <c r="F1" s="90"/>
      <c r="G1" s="88" t="s">
        <v>46</v>
      </c>
      <c r="H1" s="88"/>
      <c r="I1" s="88"/>
      <c r="J1" s="79"/>
      <c r="K1" s="79"/>
    </row>
    <row r="2" spans="1:12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8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79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81" t="s">
        <v>20</v>
      </c>
      <c r="K3" s="81" t="s">
        <v>21</v>
      </c>
      <c r="L3" s="84" t="s">
        <v>22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15" t="s">
        <v>23</v>
      </c>
      <c r="H4" s="15" t="str">
        <f>IF(AND(ISNUMBER(C4),ISNUMBER(G4)), C4-G4, "")</f>
        <v/>
      </c>
      <c r="I4" s="16" t="str">
        <f>IFERROR(H4/G4, "")</f>
        <v/>
      </c>
      <c r="J4" s="78"/>
      <c r="K4" s="78"/>
      <c r="L4" s="78"/>
    </row>
    <row r="5" spans="1:12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23</v>
      </c>
      <c r="H5" s="20" t="str">
        <f>IF(AND(ISNUMBER(C5),ISNUMBER(G5)), C5-G5, "")</f>
        <v/>
      </c>
      <c r="I5" s="19" t="str">
        <f>IFERROR(H5/G5, "")</f>
        <v/>
      </c>
      <c r="J5" s="92"/>
      <c r="K5" s="92"/>
      <c r="L5" s="92"/>
    </row>
    <row r="6" spans="1:12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1">IFERROR(E6/D6, "")</f>
        <v/>
      </c>
      <c r="G6" s="15" t="s">
        <v>23</v>
      </c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78"/>
      <c r="K6" s="78"/>
      <c r="L6" s="78"/>
    </row>
    <row r="7" spans="1:12" ht="15.6">
      <c r="A7" s="30" t="str">
        <v xml:space="preserve"> Bell - Bank of America</v>
      </c>
      <c r="B7" s="31" t="str">
        <v>CA</v>
      </c>
      <c r="C7" s="75"/>
      <c r="D7" s="18" t="s">
        <v>23</v>
      </c>
      <c r="E7" s="18" t="str">
        <f t="shared" si="0"/>
        <v/>
      </c>
      <c r="F7" s="19" t="str">
        <f t="shared" si="1"/>
        <v/>
      </c>
      <c r="G7" s="20" t="s">
        <v>23</v>
      </c>
      <c r="H7" s="20" t="str">
        <f t="shared" si="2"/>
        <v/>
      </c>
      <c r="I7" s="19" t="str">
        <f t="shared" si="3"/>
        <v/>
      </c>
      <c r="J7" s="92"/>
      <c r="K7" s="68"/>
      <c r="L7" s="92"/>
    </row>
    <row r="8" spans="1:12" ht="15.6">
      <c r="A8" s="28" t="str">
        <v xml:space="preserve"> Chula Vista - Bank of America</v>
      </c>
      <c r="B8" s="29" t="str">
        <v>CA</v>
      </c>
      <c r="C8" s="76"/>
      <c r="D8" s="13" t="s">
        <v>23</v>
      </c>
      <c r="E8" s="13" t="str">
        <f t="shared" si="0"/>
        <v/>
      </c>
      <c r="F8" s="14" t="str">
        <f t="shared" si="1"/>
        <v/>
      </c>
      <c r="G8" s="15" t="s">
        <v>23</v>
      </c>
      <c r="H8" s="15" t="str">
        <f t="shared" si="2"/>
        <v/>
      </c>
      <c r="I8" s="16" t="str">
        <f t="shared" si="3"/>
        <v/>
      </c>
      <c r="J8" s="78"/>
      <c r="K8" s="78"/>
      <c r="L8" s="78"/>
    </row>
    <row r="9" spans="1:12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1"/>
        <v/>
      </c>
      <c r="G9" s="20" t="s">
        <v>23</v>
      </c>
      <c r="H9" s="20" t="str">
        <f t="shared" si="2"/>
        <v/>
      </c>
      <c r="I9" s="19" t="str">
        <f t="shared" si="3"/>
        <v/>
      </c>
      <c r="J9" s="92"/>
      <c r="K9" s="92"/>
      <c r="L9" s="92"/>
    </row>
    <row r="10" spans="1:12" ht="15.6">
      <c r="A10" s="28" t="str">
        <v xml:space="preserve"> Diamond Bar - Bank of America</v>
      </c>
      <c r="B10" s="29" t="str">
        <v>CA</v>
      </c>
      <c r="C10" s="76"/>
      <c r="D10" s="13" t="s">
        <v>23</v>
      </c>
      <c r="E10" s="13" t="str">
        <f t="shared" si="0"/>
        <v/>
      </c>
      <c r="F10" s="14" t="str">
        <f t="shared" si="1"/>
        <v/>
      </c>
      <c r="G10" s="15" t="s">
        <v>23</v>
      </c>
      <c r="H10" s="15" t="str">
        <f t="shared" si="2"/>
        <v/>
      </c>
      <c r="I10" s="16" t="str">
        <f t="shared" si="3"/>
        <v/>
      </c>
      <c r="J10" s="78"/>
      <c r="K10" s="65"/>
      <c r="L10" s="78"/>
    </row>
    <row r="11" spans="1:12" ht="15.6">
      <c r="A11" s="30" t="str">
        <v xml:space="preserve"> El Centro - Bank of America</v>
      </c>
      <c r="B11" s="31" t="str">
        <v>CA</v>
      </c>
      <c r="C11" s="75"/>
      <c r="D11" s="18" t="s">
        <v>23</v>
      </c>
      <c r="E11" s="18" t="str">
        <f t="shared" si="0"/>
        <v/>
      </c>
      <c r="F11" s="19" t="str">
        <f t="shared" si="1"/>
        <v/>
      </c>
      <c r="G11" s="20" t="s">
        <v>23</v>
      </c>
      <c r="H11" s="20" t="str">
        <f t="shared" si="2"/>
        <v/>
      </c>
      <c r="I11" s="19" t="str">
        <f t="shared" si="3"/>
        <v/>
      </c>
      <c r="J11" s="92"/>
      <c r="K11" s="92"/>
      <c r="L11" s="92"/>
    </row>
    <row r="12" spans="1:12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1"/>
        <v/>
      </c>
      <c r="G12" s="15" t="s">
        <v>23</v>
      </c>
      <c r="H12" s="15" t="str">
        <f t="shared" si="2"/>
        <v/>
      </c>
      <c r="I12" s="16" t="str">
        <f t="shared" si="3"/>
        <v/>
      </c>
      <c r="J12" s="78"/>
      <c r="K12" s="65"/>
      <c r="L12" s="78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1"/>
        <v/>
      </c>
      <c r="G13" s="20" t="s">
        <v>23</v>
      </c>
      <c r="H13" s="20" t="str">
        <f t="shared" si="2"/>
        <v/>
      </c>
      <c r="I13" s="19" t="str">
        <f t="shared" si="3"/>
        <v/>
      </c>
      <c r="J13" s="92"/>
      <c r="K13" s="92"/>
      <c r="L13" s="92"/>
    </row>
    <row r="14" spans="1:12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1"/>
        <v/>
      </c>
      <c r="G14" s="15" t="s">
        <v>23</v>
      </c>
      <c r="H14" s="15" t="str">
        <f t="shared" si="2"/>
        <v/>
      </c>
      <c r="I14" s="16" t="str">
        <f t="shared" si="3"/>
        <v/>
      </c>
      <c r="J14" s="78"/>
      <c r="K14" s="78"/>
      <c r="L14" s="78"/>
    </row>
    <row r="15" spans="1:12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1"/>
        <v/>
      </c>
      <c r="G15" s="20" t="s">
        <v>23</v>
      </c>
      <c r="H15" s="20" t="str">
        <f t="shared" si="2"/>
        <v/>
      </c>
      <c r="I15" s="19" t="str">
        <f t="shared" si="3"/>
        <v/>
      </c>
      <c r="J15" s="92"/>
      <c r="K15" s="74"/>
      <c r="L15" s="92"/>
    </row>
    <row r="16" spans="1:12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1"/>
        <v/>
      </c>
      <c r="G16" s="15" t="s">
        <v>23</v>
      </c>
      <c r="H16" s="15" t="str">
        <f t="shared" si="2"/>
        <v/>
      </c>
      <c r="I16" s="16" t="str">
        <f t="shared" si="3"/>
        <v/>
      </c>
      <c r="J16" s="78"/>
      <c r="K16" s="78"/>
      <c r="L16" s="78"/>
    </row>
    <row r="17" spans="1:12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1"/>
        <v/>
      </c>
      <c r="G17" s="20" t="s">
        <v>23</v>
      </c>
      <c r="H17" s="20" t="str">
        <f t="shared" si="2"/>
        <v/>
      </c>
      <c r="I17" s="19" t="str">
        <f t="shared" si="3"/>
        <v/>
      </c>
      <c r="J17" s="92"/>
      <c r="K17" s="92"/>
      <c r="L17" s="92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78"/>
      <c r="K18" s="78"/>
      <c r="L18" s="78"/>
    </row>
    <row r="19" spans="1:12" ht="15.6">
      <c r="A19" s="30" t="str">
        <v xml:space="preserve"> Aurora - BA - Colfax Ave</v>
      </c>
      <c r="B19" s="31" t="str">
        <v>CO</v>
      </c>
      <c r="C19" s="77"/>
      <c r="D19" s="18" t="s">
        <v>23</v>
      </c>
      <c r="E19" s="18" t="str">
        <f t="shared" si="4"/>
        <v/>
      </c>
      <c r="F19" s="19" t="str">
        <f t="shared" si="5"/>
        <v/>
      </c>
      <c r="G19" s="20" t="s">
        <v>23</v>
      </c>
      <c r="H19" s="20" t="str">
        <f t="shared" si="6"/>
        <v/>
      </c>
      <c r="I19" s="19" t="str">
        <f t="shared" si="7"/>
        <v/>
      </c>
      <c r="J19" s="92"/>
      <c r="K19" s="92"/>
      <c r="L19" s="92"/>
    </row>
    <row r="20" spans="1:12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15" t="s">
        <v>23</v>
      </c>
      <c r="H20" s="15" t="str">
        <f t="shared" si="6"/>
        <v/>
      </c>
      <c r="I20" s="16" t="str">
        <f t="shared" si="7"/>
        <v/>
      </c>
      <c r="J20" s="78"/>
      <c r="K20" s="78"/>
      <c r="L20" s="78"/>
    </row>
    <row r="21" spans="1:12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20" t="s">
        <v>23</v>
      </c>
      <c r="H21" s="20" t="str">
        <f t="shared" si="6"/>
        <v/>
      </c>
      <c r="I21" s="19" t="str">
        <f t="shared" si="7"/>
        <v/>
      </c>
      <c r="J21" s="92"/>
      <c r="K21" s="92"/>
      <c r="L21" s="92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15" t="s">
        <v>23</v>
      </c>
      <c r="H22" s="15" t="str">
        <f t="shared" si="6"/>
        <v/>
      </c>
      <c r="I22" s="16" t="str">
        <f t="shared" si="7"/>
        <v/>
      </c>
      <c r="J22" s="78"/>
      <c r="K22" s="78"/>
      <c r="L22" s="78"/>
    </row>
    <row r="23" spans="1:12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20" t="s">
        <v>23</v>
      </c>
      <c r="H23" s="20" t="str">
        <f t="shared" si="6"/>
        <v/>
      </c>
      <c r="I23" s="19" t="str">
        <f t="shared" si="7"/>
        <v/>
      </c>
      <c r="J23" s="92"/>
      <c r="K23" s="92"/>
      <c r="L23" s="92"/>
    </row>
    <row r="24" spans="1:12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15" t="s">
        <v>23</v>
      </c>
      <c r="H24" s="15" t="str">
        <f t="shared" si="6"/>
        <v/>
      </c>
      <c r="I24" s="16" t="str">
        <f t="shared" si="7"/>
        <v/>
      </c>
      <c r="J24" s="78"/>
      <c r="K24" s="78"/>
      <c r="L24" s="78"/>
    </row>
    <row r="25" spans="1:12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20" t="s">
        <v>23</v>
      </c>
      <c r="H25" s="20" t="str">
        <f t="shared" si="6"/>
        <v/>
      </c>
      <c r="I25" s="19" t="str">
        <f t="shared" si="7"/>
        <v/>
      </c>
      <c r="J25" s="92"/>
      <c r="K25" s="92"/>
      <c r="L25" s="92"/>
    </row>
    <row r="26" spans="1:12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15" t="s">
        <v>23</v>
      </c>
      <c r="H26" s="15" t="str">
        <f t="shared" si="6"/>
        <v/>
      </c>
      <c r="I26" s="16" t="str">
        <f t="shared" si="7"/>
        <v/>
      </c>
      <c r="J26" s="78"/>
      <c r="K26" s="78"/>
      <c r="L26" s="78"/>
    </row>
    <row r="27" spans="1:12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20" t="s">
        <v>23</v>
      </c>
      <c r="H27" s="20" t="str">
        <f t="shared" si="6"/>
        <v/>
      </c>
      <c r="I27" s="19" t="str">
        <f t="shared" si="7"/>
        <v/>
      </c>
      <c r="J27" s="92"/>
      <c r="K27" s="92"/>
      <c r="L27" s="92"/>
    </row>
    <row r="28" spans="1:12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15" t="s">
        <v>23</v>
      </c>
      <c r="H28" s="15" t="str">
        <f t="shared" si="6"/>
        <v/>
      </c>
      <c r="I28" s="16" t="str">
        <f t="shared" si="7"/>
        <v/>
      </c>
      <c r="J28" s="78"/>
      <c r="K28" s="78"/>
      <c r="L28" s="78"/>
    </row>
    <row r="29" spans="1:12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20" t="s">
        <v>23</v>
      </c>
      <c r="H29" s="20" t="str">
        <f t="shared" si="6"/>
        <v/>
      </c>
      <c r="I29" s="19" t="str">
        <f t="shared" si="7"/>
        <v/>
      </c>
      <c r="J29" s="92"/>
      <c r="K29" s="92"/>
      <c r="L29" s="92"/>
    </row>
    <row r="30" spans="1:12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15" t="s">
        <v>23</v>
      </c>
      <c r="H30" s="15" t="str">
        <f t="shared" si="6"/>
        <v/>
      </c>
      <c r="I30" s="16" t="str">
        <f t="shared" si="7"/>
        <v/>
      </c>
      <c r="J30" s="78"/>
      <c r="K30" s="78"/>
      <c r="L30" s="78"/>
    </row>
    <row r="31" spans="1:12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20" t="s">
        <v>23</v>
      </c>
      <c r="H31" s="20" t="str">
        <f t="shared" si="6"/>
        <v/>
      </c>
      <c r="I31" s="19" t="str">
        <f t="shared" si="7"/>
        <v/>
      </c>
      <c r="J31" s="92"/>
      <c r="K31" s="92"/>
      <c r="L31" s="92"/>
    </row>
    <row r="32" spans="1:12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15" t="s">
        <v>23</v>
      </c>
      <c r="H32" s="15" t="str">
        <f t="shared" si="6"/>
        <v/>
      </c>
      <c r="I32" s="16" t="str">
        <f t="shared" si="7"/>
        <v/>
      </c>
      <c r="J32" s="78"/>
      <c r="K32" s="78"/>
      <c r="L32" s="78"/>
    </row>
    <row r="33" spans="1:12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20" t="s">
        <v>23</v>
      </c>
      <c r="H33" s="20" t="str">
        <f t="shared" si="6"/>
        <v/>
      </c>
      <c r="I33" s="19" t="str">
        <f t="shared" si="7"/>
        <v/>
      </c>
      <c r="J33" s="92"/>
      <c r="K33" s="92"/>
      <c r="L33" s="92"/>
    </row>
    <row r="34" spans="1:12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15" t="s">
        <v>23</v>
      </c>
      <c r="H34" s="15" t="str">
        <f t="shared" si="6"/>
        <v/>
      </c>
      <c r="I34" s="16" t="str">
        <f t="shared" si="7"/>
        <v/>
      </c>
      <c r="J34" s="78"/>
      <c r="K34" s="78"/>
      <c r="L34" s="78"/>
    </row>
    <row r="35" spans="1:12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20" t="s">
        <v>23</v>
      </c>
      <c r="H35" s="20" t="str">
        <f t="shared" si="6"/>
        <v/>
      </c>
      <c r="I35" s="19" t="str">
        <f t="shared" si="7"/>
        <v/>
      </c>
      <c r="J35" s="92"/>
      <c r="K35" s="92"/>
      <c r="L35" s="92"/>
    </row>
    <row r="36" spans="1:12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15" t="s">
        <v>23</v>
      </c>
      <c r="H36" s="15" t="str">
        <f t="shared" si="6"/>
        <v/>
      </c>
      <c r="I36" s="16" t="str">
        <f t="shared" si="7"/>
        <v/>
      </c>
      <c r="J36" s="78"/>
      <c r="K36" s="78"/>
      <c r="L36" s="78"/>
    </row>
    <row r="37" spans="1:12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20" t="s">
        <v>23</v>
      </c>
      <c r="H37" s="20" t="str">
        <f t="shared" si="6"/>
        <v/>
      </c>
      <c r="I37" s="19" t="str">
        <f t="shared" si="7"/>
        <v/>
      </c>
      <c r="J37" s="92"/>
      <c r="K37" s="92"/>
      <c r="L37" s="92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15" t="s">
        <v>23</v>
      </c>
      <c r="H38" s="15" t="str">
        <f t="shared" si="6"/>
        <v/>
      </c>
      <c r="I38" s="16" t="str">
        <f t="shared" si="7"/>
        <v/>
      </c>
      <c r="J38" s="78"/>
      <c r="K38" s="78"/>
      <c r="L38" s="78"/>
    </row>
    <row r="39" spans="1:12">
      <c r="A39" s="21"/>
      <c r="B39" s="33"/>
      <c r="C39" s="21"/>
      <c r="D39" s="21"/>
      <c r="E39" s="21"/>
      <c r="F39" s="22"/>
      <c r="G39" s="20"/>
      <c r="H39" s="21"/>
      <c r="I39" s="22"/>
    </row>
    <row r="40" spans="1:12">
      <c r="A40" s="21"/>
      <c r="B40" s="33"/>
      <c r="C40" s="21"/>
      <c r="D40" s="21"/>
      <c r="E40" s="21"/>
      <c r="F40" s="22"/>
      <c r="G40" s="21"/>
      <c r="H40" s="21"/>
      <c r="I40" s="22"/>
    </row>
    <row r="41" spans="1:12">
      <c r="A41" s="21"/>
      <c r="B41" s="33"/>
      <c r="C41" s="21"/>
      <c r="D41" s="21"/>
      <c r="E41" s="21"/>
      <c r="F41" s="22"/>
      <c r="G41" s="21"/>
      <c r="H41" s="21"/>
      <c r="I41" s="22"/>
    </row>
    <row r="42" spans="1:12">
      <c r="A42" s="21"/>
      <c r="B42" s="33"/>
      <c r="C42" s="21"/>
      <c r="D42" s="21"/>
      <c r="E42" s="21"/>
      <c r="F42" s="22"/>
      <c r="G42" s="21"/>
      <c r="H42" s="21"/>
      <c r="I42" s="22"/>
    </row>
    <row r="43" spans="1:12">
      <c r="A43" s="21"/>
      <c r="B43" s="33"/>
      <c r="C43" s="21"/>
      <c r="D43" s="21"/>
      <c r="E43" s="21"/>
      <c r="F43" s="22"/>
      <c r="G43" s="21"/>
      <c r="H43" s="21"/>
      <c r="I43" s="22"/>
    </row>
    <row r="44" spans="1:12">
      <c r="A44" s="21"/>
      <c r="B44" s="33"/>
      <c r="C44" s="21"/>
      <c r="D44" s="21"/>
      <c r="E44" s="21"/>
      <c r="F44" s="22"/>
      <c r="G44" s="21"/>
      <c r="H44" s="21"/>
      <c r="I44" s="22"/>
    </row>
    <row r="45" spans="1:12">
      <c r="A45" s="21"/>
      <c r="B45" s="33"/>
      <c r="C45" s="21"/>
      <c r="D45" s="21"/>
      <c r="E45" s="21"/>
      <c r="F45" s="22"/>
      <c r="G45" s="21"/>
      <c r="H45" s="21"/>
      <c r="I45" s="22"/>
    </row>
    <row r="46" spans="1:12">
      <c r="A46" s="21"/>
      <c r="B46" s="33"/>
      <c r="C46" s="21"/>
      <c r="D46" s="21"/>
      <c r="E46" s="21"/>
      <c r="F46" s="22"/>
      <c r="G46" s="21"/>
      <c r="H46" s="21"/>
      <c r="I46" s="22"/>
    </row>
    <row r="47" spans="1:12">
      <c r="A47" s="21"/>
      <c r="B47" s="33"/>
      <c r="C47" s="21"/>
      <c r="D47" s="21"/>
      <c r="E47" s="21"/>
      <c r="F47" s="22"/>
      <c r="G47" s="21"/>
      <c r="H47" s="21"/>
      <c r="I47" s="22"/>
    </row>
    <row r="48" spans="1:12">
      <c r="A48" s="21"/>
      <c r="B48" s="33"/>
      <c r="C48" s="21"/>
      <c r="D48" s="21"/>
      <c r="E48" s="21"/>
      <c r="F48" s="22"/>
      <c r="G48" s="21"/>
      <c r="H48" s="21"/>
      <c r="I48" s="22"/>
    </row>
    <row r="49" spans="1:9">
      <c r="A49" s="21"/>
      <c r="B49" s="33"/>
      <c r="C49" s="21"/>
      <c r="D49" s="21"/>
      <c r="E49" s="21"/>
      <c r="F49" s="22"/>
      <c r="G49" s="21"/>
      <c r="H49" s="21"/>
      <c r="I49" s="22"/>
    </row>
    <row r="50" spans="1:9">
      <c r="A50" s="21"/>
      <c r="B50" s="33"/>
      <c r="C50" s="21"/>
      <c r="D50" s="21"/>
      <c r="E50" s="21"/>
      <c r="F50" s="22"/>
      <c r="G50" s="21"/>
      <c r="H50" s="21"/>
      <c r="I50" s="22"/>
    </row>
    <row r="51" spans="1:9">
      <c r="A51" s="21"/>
      <c r="B51" s="33"/>
      <c r="C51" s="21"/>
      <c r="D51" s="21"/>
      <c r="E51" s="21"/>
      <c r="F51" s="22"/>
      <c r="G51" s="21"/>
      <c r="H51" s="21"/>
      <c r="I51" s="22"/>
    </row>
    <row r="52" spans="1:9">
      <c r="A52" s="21"/>
      <c r="B52" s="33"/>
      <c r="C52" s="21"/>
      <c r="D52" s="21"/>
      <c r="E52" s="21"/>
      <c r="F52" s="22"/>
      <c r="G52" s="21"/>
      <c r="H52" s="21"/>
      <c r="I52" s="22"/>
    </row>
    <row r="53" spans="1:9">
      <c r="A53" s="21"/>
      <c r="B53" s="33"/>
      <c r="C53" s="21"/>
      <c r="D53" s="21"/>
      <c r="E53" s="21"/>
      <c r="F53" s="22"/>
      <c r="G53" s="21"/>
      <c r="H53" s="21"/>
      <c r="I53" s="22"/>
    </row>
    <row r="54" spans="1:9">
      <c r="A54" s="21"/>
      <c r="B54" s="33"/>
      <c r="C54" s="21"/>
      <c r="D54" s="21"/>
      <c r="E54" s="21"/>
      <c r="F54" s="22"/>
      <c r="G54" s="21"/>
      <c r="H54" s="21"/>
      <c r="I54" s="22"/>
    </row>
    <row r="55" spans="1:9">
      <c r="A55" s="21"/>
      <c r="B55" s="33"/>
      <c r="C55" s="21"/>
      <c r="D55" s="21"/>
      <c r="E55" s="21"/>
      <c r="F55" s="22"/>
      <c r="G55" s="21"/>
      <c r="H55" s="21"/>
      <c r="I55" s="22"/>
    </row>
    <row r="56" spans="1:9">
      <c r="A56" s="21"/>
      <c r="B56" s="33"/>
      <c r="C56" s="21"/>
      <c r="D56" s="21"/>
      <c r="E56" s="21"/>
      <c r="F56" s="22"/>
      <c r="G56" s="21"/>
      <c r="H56" s="21"/>
      <c r="I56" s="22"/>
    </row>
    <row r="57" spans="1:9">
      <c r="A57" s="21"/>
      <c r="B57" s="33"/>
      <c r="C57" s="21"/>
      <c r="D57" s="21"/>
      <c r="E57" s="21"/>
      <c r="F57" s="22"/>
      <c r="G57" s="21"/>
      <c r="H57" s="21"/>
      <c r="I57" s="22"/>
    </row>
    <row r="58" spans="1:9">
      <c r="A58" s="21"/>
      <c r="B58" s="33"/>
      <c r="C58" s="21"/>
      <c r="D58" s="21"/>
      <c r="E58" s="21"/>
      <c r="F58" s="22"/>
      <c r="G58" s="21"/>
      <c r="H58" s="21"/>
      <c r="I58" s="22"/>
    </row>
    <row r="59" spans="1:9">
      <c r="A59" s="21"/>
      <c r="B59" s="33"/>
      <c r="C59" s="21"/>
      <c r="D59" s="21"/>
      <c r="E59" s="21"/>
      <c r="F59" s="22"/>
      <c r="G59" s="21"/>
      <c r="H59" s="21"/>
      <c r="I59" s="22"/>
    </row>
    <row r="60" spans="1:9">
      <c r="A60" s="21"/>
      <c r="B60" s="33"/>
      <c r="C60" s="21"/>
      <c r="D60" s="21"/>
      <c r="E60" s="21"/>
      <c r="F60" s="22"/>
      <c r="G60" s="21"/>
      <c r="H60" s="21"/>
      <c r="I60" s="22"/>
    </row>
    <row r="61" spans="1:9">
      <c r="A61" s="21"/>
      <c r="B61" s="33"/>
      <c r="C61" s="21"/>
      <c r="D61" s="21"/>
      <c r="E61" s="21"/>
      <c r="F61" s="22"/>
      <c r="G61" s="21"/>
      <c r="H61" s="21"/>
      <c r="I61" s="22"/>
    </row>
    <row r="62" spans="1:9">
      <c r="A62" s="21"/>
      <c r="B62" s="33"/>
      <c r="C62" s="21"/>
      <c r="D62" s="21"/>
      <c r="E62" s="21"/>
      <c r="F62" s="22"/>
      <c r="G62" s="21"/>
      <c r="H62" s="21"/>
      <c r="I62" s="22"/>
    </row>
    <row r="63" spans="1:9">
      <c r="A63" s="21"/>
      <c r="B63" s="33"/>
      <c r="C63" s="21"/>
      <c r="D63" s="21"/>
      <c r="E63" s="21"/>
      <c r="F63" s="22"/>
      <c r="G63" s="21"/>
      <c r="H63" s="21"/>
      <c r="I63" s="22"/>
    </row>
    <row r="64" spans="1:9">
      <c r="A64" s="21"/>
      <c r="B64" s="33"/>
      <c r="C64" s="21"/>
      <c r="D64" s="21"/>
      <c r="E64" s="21"/>
      <c r="F64" s="22"/>
      <c r="G64" s="21"/>
      <c r="H64" s="21"/>
      <c r="I64" s="22"/>
    </row>
    <row r="65" spans="1:9">
      <c r="A65" s="21"/>
      <c r="B65" s="33"/>
      <c r="C65" s="21"/>
      <c r="D65" s="21"/>
      <c r="E65" s="21"/>
      <c r="F65" s="22"/>
      <c r="G65" s="21"/>
      <c r="H65" s="21"/>
      <c r="I65" s="22"/>
    </row>
    <row r="66" spans="1:9">
      <c r="A66" s="21"/>
      <c r="B66" s="33"/>
      <c r="C66" s="21"/>
      <c r="D66" s="21"/>
      <c r="E66" s="21"/>
      <c r="F66" s="22"/>
      <c r="G66" s="21"/>
      <c r="H66" s="21"/>
      <c r="I66" s="22"/>
    </row>
    <row r="67" spans="1:9">
      <c r="A67" s="21"/>
      <c r="B67" s="33"/>
      <c r="C67" s="21"/>
      <c r="D67" s="21"/>
      <c r="E67" s="21"/>
      <c r="F67" s="22"/>
      <c r="G67" s="21"/>
      <c r="H67" s="21"/>
      <c r="I67" s="22"/>
    </row>
    <row r="68" spans="1:9">
      <c r="A68" s="21"/>
      <c r="B68" s="33"/>
      <c r="C68" s="21"/>
      <c r="D68" s="21"/>
      <c r="E68" s="21"/>
      <c r="F68" s="22"/>
      <c r="G68" s="21"/>
      <c r="H68" s="21"/>
      <c r="I68" s="22"/>
    </row>
    <row r="69" spans="1:9">
      <c r="A69" s="21"/>
      <c r="B69" s="33"/>
      <c r="C69" s="21"/>
      <c r="D69" s="21"/>
      <c r="E69" s="21"/>
      <c r="F69" s="22"/>
      <c r="G69" s="21"/>
      <c r="H69" s="21"/>
      <c r="I69" s="22"/>
    </row>
    <row r="70" spans="1:9">
      <c r="A70" s="21"/>
      <c r="B70" s="33"/>
      <c r="C70" s="21"/>
      <c r="D70" s="21"/>
      <c r="E70" s="21"/>
      <c r="F70" s="22"/>
      <c r="G70" s="21"/>
      <c r="H70" s="21"/>
      <c r="I70" s="22"/>
    </row>
    <row r="71" spans="1:9">
      <c r="A71" s="21"/>
      <c r="B71" s="33"/>
      <c r="C71" s="21"/>
      <c r="D71" s="21"/>
      <c r="E71" s="21"/>
      <c r="F71" s="22"/>
      <c r="G71" s="21"/>
      <c r="H71" s="21"/>
      <c r="I71" s="22"/>
    </row>
    <row r="72" spans="1:9">
      <c r="A72" s="21"/>
      <c r="B72" s="33"/>
      <c r="C72" s="21"/>
      <c r="D72" s="21"/>
      <c r="E72" s="21"/>
      <c r="F72" s="22"/>
      <c r="G72" s="21"/>
      <c r="H72" s="21"/>
      <c r="I72" s="22"/>
    </row>
    <row r="73" spans="1:9">
      <c r="A73" s="21"/>
      <c r="B73" s="33"/>
      <c r="C73" s="21"/>
      <c r="D73" s="21"/>
      <c r="E73" s="21"/>
      <c r="F73" s="22"/>
      <c r="G73" s="21"/>
      <c r="H73" s="21"/>
      <c r="I73" s="22"/>
    </row>
    <row r="74" spans="1:9">
      <c r="A74" s="21"/>
      <c r="B74" s="33"/>
      <c r="C74" s="21"/>
      <c r="D74" s="21"/>
      <c r="E74" s="21"/>
      <c r="F74" s="22"/>
      <c r="G74" s="21"/>
      <c r="H74" s="21"/>
      <c r="I74" s="22"/>
    </row>
    <row r="75" spans="1:9">
      <c r="A75" s="21"/>
      <c r="B75" s="33"/>
      <c r="C75" s="21"/>
      <c r="D75" s="21"/>
      <c r="E75" s="21"/>
      <c r="F75" s="22"/>
      <c r="G75" s="21"/>
      <c r="H75" s="21"/>
      <c r="I75" s="22"/>
    </row>
    <row r="76" spans="1:9">
      <c r="A76" s="21"/>
      <c r="B76" s="33"/>
      <c r="C76" s="21"/>
      <c r="D76" s="21"/>
      <c r="E76" s="21"/>
      <c r="F76" s="22"/>
      <c r="G76" s="21"/>
      <c r="H76" s="21"/>
      <c r="I76" s="22"/>
    </row>
    <row r="77" spans="1:9">
      <c r="A77" s="21"/>
      <c r="B77" s="33"/>
      <c r="C77" s="21"/>
      <c r="D77" s="21"/>
      <c r="E77" s="21"/>
      <c r="F77" s="22"/>
      <c r="G77" s="21"/>
      <c r="H77" s="21"/>
      <c r="I77" s="22"/>
    </row>
    <row r="78" spans="1:9">
      <c r="A78" s="21"/>
      <c r="B78" s="33"/>
      <c r="C78" s="21"/>
      <c r="D78" s="21"/>
      <c r="E78" s="21"/>
      <c r="F78" s="22"/>
      <c r="G78" s="21"/>
      <c r="H78" s="21"/>
      <c r="I78" s="22"/>
    </row>
    <row r="79" spans="1:9">
      <c r="A79" s="21"/>
      <c r="B79" s="33"/>
      <c r="C79" s="21"/>
      <c r="D79" s="21"/>
      <c r="E79" s="21"/>
      <c r="F79" s="22"/>
      <c r="G79" s="21"/>
      <c r="H79" s="21"/>
      <c r="I79" s="22"/>
    </row>
    <row r="80" spans="1:9">
      <c r="A80" s="21"/>
      <c r="B80" s="33"/>
      <c r="C80" s="21"/>
      <c r="D80" s="21"/>
      <c r="E80" s="21"/>
      <c r="F80" s="22"/>
      <c r="G80" s="21"/>
      <c r="H80" s="21"/>
      <c r="I80" s="22"/>
    </row>
    <row r="81" spans="1:9">
      <c r="A81" s="21"/>
      <c r="B81" s="33"/>
      <c r="C81" s="21"/>
      <c r="D81" s="21"/>
      <c r="E81" s="21"/>
      <c r="F81" s="22"/>
      <c r="G81" s="21"/>
      <c r="H81" s="21"/>
      <c r="I81" s="22"/>
    </row>
    <row r="82" spans="1:9">
      <c r="A82" s="21"/>
      <c r="B82" s="33"/>
      <c r="C82" s="21"/>
      <c r="D82" s="21"/>
      <c r="E82" s="21"/>
      <c r="F82" s="22"/>
      <c r="G82" s="21"/>
      <c r="H82" s="21"/>
      <c r="I82" s="22"/>
    </row>
    <row r="83" spans="1:9">
      <c r="A83" s="21"/>
      <c r="B83" s="33"/>
      <c r="C83" s="21"/>
      <c r="D83" s="21"/>
      <c r="E83" s="21"/>
      <c r="F83" s="22"/>
      <c r="G83" s="21"/>
      <c r="H83" s="21"/>
      <c r="I83" s="22"/>
    </row>
    <row r="84" spans="1:9">
      <c r="A84" s="21"/>
      <c r="B84" s="33"/>
      <c r="C84" s="21"/>
      <c r="D84" s="21"/>
      <c r="E84" s="21"/>
      <c r="F84" s="22"/>
      <c r="G84" s="21"/>
      <c r="H84" s="21"/>
      <c r="I84" s="22"/>
    </row>
    <row r="85" spans="1:9">
      <c r="A85" s="21"/>
      <c r="B85" s="33"/>
      <c r="C85" s="21"/>
      <c r="D85" s="21"/>
      <c r="E85" s="21"/>
      <c r="F85" s="22"/>
      <c r="G85" s="21"/>
      <c r="H85" s="21"/>
      <c r="I85" s="22"/>
    </row>
    <row r="86" spans="1:9">
      <c r="A86" s="21"/>
      <c r="B86" s="33"/>
      <c r="C86" s="21"/>
      <c r="D86" s="21"/>
      <c r="E86" s="21"/>
      <c r="F86" s="22"/>
      <c r="G86" s="21"/>
      <c r="H86" s="21"/>
      <c r="I86" s="22"/>
    </row>
    <row r="87" spans="1:9">
      <c r="A87" s="21"/>
      <c r="B87" s="33"/>
      <c r="C87" s="21"/>
      <c r="D87" s="21"/>
      <c r="E87" s="21"/>
      <c r="F87" s="22"/>
      <c r="G87" s="21"/>
      <c r="H87" s="21"/>
      <c r="I87" s="22"/>
    </row>
    <row r="88" spans="1:9">
      <c r="A88" s="21"/>
      <c r="B88" s="33"/>
      <c r="C88" s="21"/>
      <c r="D88" s="21"/>
      <c r="E88" s="21"/>
      <c r="F88" s="22"/>
      <c r="G88" s="21"/>
      <c r="H88" s="21"/>
      <c r="I88" s="22"/>
    </row>
    <row r="89" spans="1:9">
      <c r="A89" s="21"/>
      <c r="B89" s="33"/>
      <c r="C89" s="21"/>
      <c r="D89" s="21"/>
      <c r="E89" s="21"/>
      <c r="F89" s="22"/>
      <c r="G89" s="21"/>
      <c r="H89" s="21"/>
      <c r="I89" s="22"/>
    </row>
    <row r="90" spans="1:9">
      <c r="A90" s="21"/>
      <c r="B90" s="33"/>
      <c r="C90" s="21"/>
      <c r="D90" s="21"/>
      <c r="E90" s="21"/>
      <c r="F90" s="22"/>
      <c r="G90" s="21"/>
      <c r="H90" s="21"/>
      <c r="I90" s="22"/>
    </row>
    <row r="91" spans="1:9">
      <c r="A91" s="21"/>
      <c r="B91" s="33"/>
      <c r="C91" s="21"/>
      <c r="D91" s="21"/>
      <c r="E91" s="21"/>
      <c r="F91" s="22"/>
      <c r="G91" s="21"/>
      <c r="H91" s="21"/>
      <c r="I91" s="22"/>
    </row>
    <row r="92" spans="1:9">
      <c r="A92" s="21"/>
      <c r="B92" s="33"/>
      <c r="C92" s="21"/>
      <c r="D92" s="21"/>
      <c r="E92" s="21"/>
      <c r="F92" s="22"/>
      <c r="G92" s="21"/>
      <c r="H92" s="21"/>
      <c r="I92" s="22"/>
    </row>
    <row r="93" spans="1:9">
      <c r="A93" s="21"/>
      <c r="B93" s="33"/>
      <c r="C93" s="21"/>
      <c r="D93" s="21"/>
      <c r="E93" s="21"/>
      <c r="F93" s="22"/>
      <c r="G93" s="21"/>
      <c r="H93" s="21"/>
      <c r="I93" s="22"/>
    </row>
    <row r="94" spans="1:9">
      <c r="A94" s="21"/>
      <c r="B94" s="33"/>
      <c r="C94" s="21"/>
      <c r="D94" s="21"/>
      <c r="E94" s="21"/>
      <c r="F94" s="22"/>
      <c r="G94" s="21"/>
      <c r="H94" s="21"/>
      <c r="I94" s="22"/>
    </row>
    <row r="95" spans="1:9">
      <c r="A95" s="21"/>
      <c r="B95" s="33"/>
      <c r="C95" s="21"/>
      <c r="D95" s="21"/>
      <c r="E95" s="21"/>
      <c r="F95" s="22"/>
      <c r="G95" s="21"/>
      <c r="H95" s="21"/>
      <c r="I95" s="22"/>
    </row>
    <row r="96" spans="1:9">
      <c r="A96" s="21"/>
      <c r="B96" s="33"/>
      <c r="C96" s="21"/>
      <c r="D96" s="21"/>
      <c r="E96" s="21"/>
      <c r="F96" s="22"/>
      <c r="G96" s="21"/>
      <c r="H96" s="21"/>
      <c r="I96" s="22"/>
    </row>
    <row r="97" spans="1:9">
      <c r="A97" s="21"/>
      <c r="B97" s="33"/>
      <c r="C97" s="21"/>
      <c r="D97" s="21"/>
      <c r="E97" s="21"/>
      <c r="F97" s="22"/>
      <c r="G97" s="21"/>
      <c r="H97" s="21"/>
      <c r="I97" s="22"/>
    </row>
    <row r="98" spans="1:9">
      <c r="A98" s="21"/>
      <c r="B98" s="33"/>
      <c r="C98" s="21"/>
      <c r="D98" s="21"/>
      <c r="E98" s="21"/>
      <c r="F98" s="22"/>
      <c r="G98" s="21"/>
      <c r="H98" s="21"/>
      <c r="I98" s="22"/>
    </row>
    <row r="99" spans="1:9">
      <c r="A99" s="21"/>
      <c r="B99" s="33"/>
      <c r="C99" s="21"/>
      <c r="D99" s="21"/>
      <c r="E99" s="21"/>
      <c r="F99" s="22"/>
      <c r="G99" s="21"/>
      <c r="H99" s="21"/>
      <c r="I99" s="22"/>
    </row>
    <row r="100" spans="1:9">
      <c r="A100" s="21"/>
      <c r="B100" s="33"/>
      <c r="C100" s="21"/>
      <c r="D100" s="21"/>
      <c r="E100" s="21"/>
      <c r="F100" s="22"/>
      <c r="G100" s="21"/>
      <c r="H100" s="21"/>
      <c r="I100" s="22"/>
    </row>
    <row r="101" spans="1:9">
      <c r="A101" s="21"/>
      <c r="B101" s="33"/>
      <c r="C101" s="21"/>
      <c r="D101" s="21"/>
      <c r="E101" s="21"/>
      <c r="F101" s="22"/>
      <c r="G101" s="21"/>
      <c r="H101" s="21"/>
      <c r="I101" s="22"/>
    </row>
    <row r="102" spans="1:9">
      <c r="A102" s="21"/>
      <c r="B102" s="33"/>
      <c r="C102" s="21"/>
      <c r="D102" s="21"/>
      <c r="E102" s="21"/>
      <c r="F102" s="22"/>
      <c r="G102" s="21"/>
      <c r="H102" s="21"/>
      <c r="I102" s="22"/>
    </row>
    <row r="103" spans="1:9">
      <c r="A103" s="21"/>
      <c r="B103" s="33"/>
      <c r="C103" s="21"/>
      <c r="D103" s="21"/>
      <c r="E103" s="21"/>
      <c r="F103" s="22"/>
      <c r="G103" s="21"/>
      <c r="H103" s="21"/>
      <c r="I103" s="22"/>
    </row>
    <row r="104" spans="1:9">
      <c r="A104" s="21"/>
      <c r="B104" s="33"/>
      <c r="C104" s="21"/>
      <c r="D104" s="21"/>
      <c r="E104" s="21"/>
      <c r="F104" s="22"/>
      <c r="G104" s="21"/>
      <c r="H104" s="21"/>
      <c r="I104" s="22"/>
    </row>
    <row r="105" spans="1:9">
      <c r="A105" s="21"/>
      <c r="B105" s="33"/>
      <c r="C105" s="21"/>
      <c r="D105" s="21"/>
      <c r="E105" s="21"/>
      <c r="F105" s="22"/>
      <c r="G105" s="21"/>
      <c r="H105" s="21"/>
      <c r="I105" s="22"/>
    </row>
    <row r="106" spans="1:9">
      <c r="A106" s="21"/>
      <c r="B106" s="33"/>
      <c r="C106" s="21"/>
      <c r="D106" s="21"/>
      <c r="E106" s="21"/>
      <c r="F106" s="22"/>
      <c r="G106" s="21"/>
      <c r="H106" s="21"/>
      <c r="I106" s="22"/>
    </row>
    <row r="107" spans="1:9">
      <c r="A107" s="21"/>
      <c r="B107" s="33"/>
      <c r="C107" s="21"/>
      <c r="D107" s="21"/>
      <c r="E107" s="21"/>
      <c r="F107" s="22"/>
      <c r="G107" s="21"/>
      <c r="H107" s="21"/>
      <c r="I107" s="22"/>
    </row>
    <row r="108" spans="1:9">
      <c r="A108" s="21"/>
      <c r="B108" s="33"/>
      <c r="C108" s="21"/>
      <c r="D108" s="21"/>
      <c r="E108" s="21"/>
      <c r="F108" s="22"/>
      <c r="G108" s="21"/>
      <c r="H108" s="21"/>
      <c r="I108" s="22"/>
    </row>
    <row r="109" spans="1:9">
      <c r="A109" s="21"/>
      <c r="B109" s="33"/>
      <c r="C109" s="21"/>
      <c r="D109" s="21"/>
      <c r="E109" s="21"/>
      <c r="F109" s="22"/>
      <c r="G109" s="21"/>
      <c r="H109" s="21"/>
      <c r="I109" s="22"/>
    </row>
    <row r="110" spans="1:9">
      <c r="A110" s="21"/>
      <c r="B110" s="33"/>
      <c r="C110" s="21"/>
      <c r="D110" s="21"/>
      <c r="E110" s="21"/>
      <c r="F110" s="22"/>
      <c r="G110" s="21"/>
      <c r="H110" s="21"/>
      <c r="I110" s="22"/>
    </row>
    <row r="111" spans="1:9">
      <c r="A111" s="21"/>
      <c r="B111" s="33"/>
      <c r="C111" s="21"/>
      <c r="D111" s="21"/>
      <c r="E111" s="21"/>
      <c r="F111" s="22"/>
      <c r="G111" s="21"/>
      <c r="H111" s="21"/>
      <c r="I111" s="22"/>
    </row>
    <row r="112" spans="1:9">
      <c r="A112" s="21"/>
      <c r="B112" s="33"/>
      <c r="C112" s="21"/>
      <c r="D112" s="21"/>
      <c r="E112" s="21"/>
      <c r="F112" s="22"/>
      <c r="G112" s="21"/>
      <c r="H112" s="21"/>
      <c r="I112" s="22"/>
    </row>
    <row r="113" spans="1:9">
      <c r="A113" s="21"/>
      <c r="B113" s="33"/>
      <c r="C113" s="21"/>
      <c r="D113" s="21"/>
      <c r="E113" s="21"/>
      <c r="F113" s="22"/>
      <c r="G113" s="21"/>
      <c r="H113" s="21"/>
      <c r="I113" s="22"/>
    </row>
    <row r="114" spans="1:9">
      <c r="A114" s="21"/>
      <c r="B114" s="33"/>
      <c r="C114" s="21"/>
      <c r="D114" s="21"/>
      <c r="E114" s="21"/>
      <c r="F114" s="22"/>
      <c r="G114" s="21"/>
      <c r="H114" s="21"/>
      <c r="I114" s="22"/>
    </row>
    <row r="115" spans="1:9">
      <c r="A115" s="21"/>
      <c r="B115" s="33"/>
      <c r="C115" s="21"/>
      <c r="D115" s="21"/>
      <c r="E115" s="21"/>
      <c r="F115" s="22"/>
      <c r="G115" s="21"/>
      <c r="H115" s="21"/>
      <c r="I115" s="22"/>
    </row>
    <row r="116" spans="1:9">
      <c r="A116" s="21"/>
      <c r="B116" s="33"/>
      <c r="C116" s="21"/>
      <c r="D116" s="21"/>
      <c r="E116" s="21"/>
      <c r="F116" s="22"/>
      <c r="G116" s="21"/>
      <c r="H116" s="21"/>
      <c r="I116" s="22"/>
    </row>
    <row r="117" spans="1:9">
      <c r="A117" s="21"/>
      <c r="B117" s="33"/>
      <c r="C117" s="21"/>
      <c r="D117" s="21"/>
      <c r="E117" s="21"/>
      <c r="F117" s="22"/>
      <c r="G117" s="21"/>
      <c r="H117" s="21"/>
      <c r="I117" s="22"/>
    </row>
    <row r="118" spans="1:9">
      <c r="A118" s="21"/>
      <c r="B118" s="33"/>
      <c r="C118" s="21"/>
      <c r="D118" s="21"/>
      <c r="E118" s="21"/>
      <c r="F118" s="22"/>
      <c r="G118" s="21"/>
      <c r="H118" s="21"/>
      <c r="I118" s="22"/>
    </row>
    <row r="119" spans="1:9">
      <c r="A119" s="21"/>
      <c r="B119" s="33"/>
      <c r="C119" s="21"/>
      <c r="D119" s="21"/>
      <c r="E119" s="21"/>
      <c r="F119" s="22"/>
      <c r="G119" s="21"/>
      <c r="H119" s="21"/>
      <c r="I119" s="22"/>
    </row>
    <row r="120" spans="1:9">
      <c r="A120" s="21"/>
      <c r="B120" s="33"/>
      <c r="C120" s="21"/>
      <c r="D120" s="21"/>
      <c r="E120" s="21"/>
      <c r="F120" s="22"/>
      <c r="G120" s="21"/>
      <c r="H120" s="21"/>
      <c r="I120" s="22"/>
    </row>
    <row r="121" spans="1:9">
      <c r="A121" s="21"/>
      <c r="B121" s="33"/>
      <c r="C121" s="21"/>
      <c r="D121" s="21"/>
      <c r="E121" s="21"/>
      <c r="F121" s="22"/>
      <c r="G121" s="21"/>
      <c r="H121" s="21"/>
      <c r="I121" s="22"/>
    </row>
    <row r="122" spans="1:9">
      <c r="A122" s="21"/>
      <c r="B122" s="33"/>
      <c r="C122" s="21"/>
      <c r="D122" s="21"/>
      <c r="E122" s="21"/>
      <c r="F122" s="22"/>
      <c r="G122" s="21"/>
      <c r="H122" s="21"/>
      <c r="I122" s="22"/>
    </row>
    <row r="123" spans="1:9">
      <c r="A123" s="21"/>
      <c r="B123" s="33"/>
      <c r="C123" s="21"/>
      <c r="D123" s="21"/>
      <c r="E123" s="21"/>
      <c r="F123" s="22"/>
      <c r="G123" s="21"/>
      <c r="H123" s="21"/>
      <c r="I123" s="22"/>
    </row>
    <row r="124" spans="1:9">
      <c r="A124" s="21"/>
      <c r="B124" s="33"/>
      <c r="C124" s="21"/>
      <c r="D124" s="21"/>
      <c r="E124" s="21"/>
      <c r="F124" s="22"/>
      <c r="G124" s="21"/>
      <c r="H124" s="21"/>
      <c r="I124" s="22"/>
    </row>
    <row r="125" spans="1:9">
      <c r="A125" s="21"/>
      <c r="B125" s="33"/>
      <c r="C125" s="21"/>
      <c r="D125" s="21"/>
      <c r="E125" s="21"/>
      <c r="F125" s="22"/>
      <c r="G125" s="21"/>
      <c r="H125" s="21"/>
      <c r="I125" s="22"/>
    </row>
    <row r="126" spans="1:9">
      <c r="A126" s="21"/>
      <c r="B126" s="33"/>
      <c r="C126" s="21"/>
      <c r="D126" s="21"/>
      <c r="E126" s="21"/>
      <c r="F126" s="22"/>
      <c r="G126" s="21"/>
      <c r="H126" s="21"/>
      <c r="I126" s="22"/>
    </row>
    <row r="127" spans="1:9">
      <c r="A127" s="21"/>
      <c r="B127" s="33"/>
      <c r="C127" s="21"/>
      <c r="D127" s="21"/>
      <c r="E127" s="21"/>
      <c r="F127" s="22"/>
      <c r="G127" s="21"/>
      <c r="H127" s="21"/>
      <c r="I127" s="22"/>
    </row>
    <row r="128" spans="1:9">
      <c r="A128" s="21"/>
      <c r="B128" s="33"/>
      <c r="C128" s="21"/>
      <c r="D128" s="21"/>
      <c r="E128" s="21"/>
      <c r="F128" s="22"/>
      <c r="G128" s="21"/>
      <c r="H128" s="21"/>
      <c r="I128" s="22"/>
    </row>
    <row r="129" spans="1:9">
      <c r="A129" s="21"/>
      <c r="B129" s="33"/>
      <c r="C129" s="21"/>
      <c r="D129" s="21"/>
      <c r="E129" s="21"/>
      <c r="F129" s="22"/>
      <c r="G129" s="21"/>
      <c r="H129" s="21"/>
      <c r="I129" s="22"/>
    </row>
    <row r="130" spans="1:9">
      <c r="A130" s="21"/>
      <c r="B130" s="33"/>
      <c r="C130" s="21"/>
      <c r="D130" s="21"/>
      <c r="E130" s="21"/>
      <c r="F130" s="22"/>
      <c r="G130" s="21"/>
      <c r="H130" s="21"/>
      <c r="I130" s="22"/>
    </row>
    <row r="131" spans="1:9">
      <c r="A131" s="21"/>
      <c r="B131" s="33"/>
      <c r="C131" s="21"/>
      <c r="D131" s="21"/>
      <c r="E131" s="21"/>
      <c r="F131" s="22"/>
      <c r="G131" s="21"/>
      <c r="H131" s="21"/>
      <c r="I131" s="22"/>
    </row>
    <row r="132" spans="1:9">
      <c r="A132" s="21"/>
      <c r="B132" s="33"/>
      <c r="C132" s="21"/>
      <c r="D132" s="21"/>
      <c r="E132" s="21"/>
      <c r="F132" s="22"/>
      <c r="G132" s="21"/>
      <c r="H132" s="21"/>
      <c r="I132" s="22"/>
    </row>
    <row r="133" spans="1:9">
      <c r="A133" s="21"/>
      <c r="B133" s="33"/>
      <c r="C133" s="21"/>
      <c r="D133" s="21"/>
      <c r="E133" s="21"/>
      <c r="F133" s="22"/>
      <c r="G133" s="21"/>
      <c r="H133" s="21"/>
      <c r="I133" s="22"/>
    </row>
    <row r="134" spans="1:9">
      <c r="A134" s="21"/>
      <c r="B134" s="33"/>
      <c r="C134" s="21"/>
      <c r="D134" s="21"/>
      <c r="E134" s="21"/>
      <c r="F134" s="22"/>
      <c r="G134" s="21"/>
      <c r="H134" s="21"/>
      <c r="I134" s="22"/>
    </row>
    <row r="135" spans="1:9">
      <c r="A135" s="21"/>
      <c r="B135" s="33"/>
      <c r="C135" s="21"/>
      <c r="D135" s="21"/>
      <c r="E135" s="21"/>
      <c r="F135" s="22"/>
      <c r="G135" s="21"/>
      <c r="H135" s="21"/>
      <c r="I135" s="22"/>
    </row>
    <row r="136" spans="1:9">
      <c r="A136" s="21"/>
      <c r="B136" s="33"/>
      <c r="C136" s="21"/>
      <c r="D136" s="21"/>
      <c r="E136" s="21"/>
      <c r="F136" s="22"/>
      <c r="G136" s="21"/>
      <c r="H136" s="21"/>
      <c r="I136" s="22"/>
    </row>
    <row r="137" spans="1:9">
      <c r="A137" s="21"/>
      <c r="B137" s="33"/>
      <c r="C137" s="21"/>
      <c r="D137" s="21"/>
      <c r="E137" s="21"/>
      <c r="F137" s="22"/>
      <c r="G137" s="21"/>
      <c r="H137" s="21"/>
      <c r="I137" s="22"/>
    </row>
    <row r="138" spans="1:9">
      <c r="A138" s="21"/>
      <c r="B138" s="33"/>
      <c r="C138" s="21"/>
      <c r="D138" s="21"/>
      <c r="E138" s="21"/>
      <c r="F138" s="22"/>
      <c r="G138" s="21"/>
      <c r="H138" s="21"/>
      <c r="I138" s="22"/>
    </row>
    <row r="139" spans="1:9">
      <c r="A139" s="21"/>
      <c r="B139" s="33"/>
      <c r="C139" s="21"/>
      <c r="D139" s="21"/>
      <c r="E139" s="21"/>
      <c r="F139" s="22"/>
      <c r="G139" s="21"/>
      <c r="H139" s="21"/>
      <c r="I139" s="22"/>
    </row>
    <row r="140" spans="1:9">
      <c r="A140" s="21"/>
      <c r="B140" s="33"/>
      <c r="C140" s="21"/>
      <c r="D140" s="21"/>
      <c r="E140" s="21"/>
      <c r="F140" s="22"/>
      <c r="G140" s="21"/>
      <c r="H140" s="21"/>
      <c r="I140" s="22"/>
    </row>
    <row r="141" spans="1:9">
      <c r="A141" s="21"/>
      <c r="B141" s="33"/>
      <c r="C141" s="21"/>
      <c r="D141" s="21"/>
      <c r="E141" s="21"/>
      <c r="F141" s="22"/>
      <c r="G141" s="21"/>
      <c r="H141" s="21"/>
      <c r="I141" s="22"/>
    </row>
    <row r="142" spans="1:9">
      <c r="A142" s="21"/>
      <c r="B142" s="33"/>
      <c r="C142" s="21"/>
      <c r="D142" s="21"/>
      <c r="E142" s="21"/>
      <c r="F142" s="22"/>
      <c r="G142" s="21"/>
      <c r="H142" s="21"/>
      <c r="I142" s="22"/>
    </row>
    <row r="143" spans="1:9">
      <c r="A143" s="21"/>
      <c r="B143" s="33"/>
      <c r="C143" s="21"/>
      <c r="D143" s="21"/>
      <c r="E143" s="21"/>
      <c r="F143" s="22"/>
      <c r="G143" s="21"/>
      <c r="H143" s="21"/>
      <c r="I143" s="22"/>
    </row>
    <row r="144" spans="1:9">
      <c r="A144" s="21"/>
      <c r="B144" s="33"/>
      <c r="C144" s="21"/>
      <c r="D144" s="21"/>
      <c r="E144" s="21"/>
      <c r="F144" s="22"/>
      <c r="G144" s="21"/>
      <c r="H144" s="21"/>
      <c r="I144" s="22"/>
    </row>
    <row r="145" spans="1:9">
      <c r="A145" s="21"/>
      <c r="B145" s="33"/>
      <c r="C145" s="21"/>
      <c r="D145" s="21"/>
      <c r="E145" s="21"/>
      <c r="F145" s="22"/>
      <c r="G145" s="21"/>
      <c r="H145" s="21"/>
      <c r="I145" s="22"/>
    </row>
    <row r="146" spans="1:9">
      <c r="A146" s="21"/>
      <c r="B146" s="33"/>
      <c r="C146" s="21"/>
      <c r="D146" s="21"/>
      <c r="E146" s="21"/>
      <c r="F146" s="22"/>
      <c r="G146" s="21"/>
      <c r="H146" s="21"/>
      <c r="I146" s="22"/>
    </row>
    <row r="147" spans="1:9">
      <c r="A147" s="21"/>
      <c r="B147" s="33"/>
      <c r="C147" s="21"/>
      <c r="D147" s="21"/>
      <c r="E147" s="21"/>
      <c r="F147" s="22"/>
      <c r="G147" s="21"/>
      <c r="H147" s="21"/>
      <c r="I147" s="22"/>
    </row>
    <row r="148" spans="1:9">
      <c r="A148" s="21"/>
      <c r="B148" s="33"/>
      <c r="C148" s="21"/>
      <c r="D148" s="21"/>
      <c r="E148" s="21"/>
      <c r="F148" s="22"/>
      <c r="G148" s="21"/>
      <c r="H148" s="21"/>
      <c r="I148" s="22"/>
    </row>
    <row r="149" spans="1:9">
      <c r="A149" s="21"/>
      <c r="B149" s="33"/>
      <c r="C149" s="21"/>
      <c r="D149" s="21"/>
      <c r="E149" s="21"/>
      <c r="F149" s="22"/>
      <c r="G149" s="21"/>
      <c r="H149" s="21"/>
      <c r="I149" s="22"/>
    </row>
    <row r="150" spans="1:9">
      <c r="A150" s="21"/>
      <c r="B150" s="33"/>
      <c r="C150" s="21"/>
      <c r="D150" s="21"/>
      <c r="E150" s="21"/>
      <c r="F150" s="22"/>
      <c r="G150" s="21"/>
      <c r="H150" s="21"/>
      <c r="I150" s="22"/>
    </row>
    <row r="151" spans="1:9">
      <c r="A151" s="21"/>
      <c r="B151" s="33"/>
      <c r="C151" s="21"/>
      <c r="D151" s="21"/>
      <c r="E151" s="21"/>
      <c r="F151" s="22"/>
      <c r="G151" s="21"/>
      <c r="H151" s="21"/>
      <c r="I151" s="22"/>
    </row>
    <row r="152" spans="1:9">
      <c r="A152" s="21"/>
      <c r="B152" s="33"/>
      <c r="C152" s="21"/>
      <c r="D152" s="21"/>
      <c r="E152" s="21"/>
      <c r="F152" s="22"/>
      <c r="G152" s="21"/>
      <c r="H152" s="21"/>
      <c r="I152" s="22"/>
    </row>
    <row r="153" spans="1:9">
      <c r="A153" s="21"/>
      <c r="B153" s="33"/>
      <c r="C153" s="21"/>
      <c r="D153" s="21"/>
      <c r="E153" s="21"/>
      <c r="F153" s="22"/>
      <c r="G153" s="21"/>
      <c r="H153" s="21"/>
      <c r="I153" s="22"/>
    </row>
    <row r="154" spans="1:9">
      <c r="A154" s="21"/>
      <c r="B154" s="33"/>
      <c r="C154" s="21"/>
      <c r="D154" s="21"/>
      <c r="E154" s="21"/>
      <c r="F154" s="22"/>
      <c r="G154" s="21"/>
      <c r="H154" s="21"/>
      <c r="I154" s="22"/>
    </row>
    <row r="155" spans="1:9">
      <c r="A155" s="21"/>
      <c r="B155" s="33"/>
      <c r="C155" s="21"/>
      <c r="D155" s="21"/>
      <c r="E155" s="21"/>
      <c r="F155" s="22"/>
      <c r="G155" s="21"/>
      <c r="H155" s="21"/>
      <c r="I155" s="22"/>
    </row>
    <row r="156" spans="1:9">
      <c r="A156" s="21"/>
      <c r="B156" s="33"/>
      <c r="C156" s="21"/>
      <c r="D156" s="21"/>
      <c r="E156" s="21"/>
      <c r="F156" s="22"/>
      <c r="G156" s="21"/>
      <c r="H156" s="21"/>
      <c r="I156" s="22"/>
    </row>
    <row r="157" spans="1:9">
      <c r="A157" s="21"/>
      <c r="B157" s="33"/>
      <c r="C157" s="21"/>
      <c r="D157" s="21"/>
      <c r="E157" s="21"/>
      <c r="F157" s="22"/>
      <c r="G157" s="21"/>
      <c r="H157" s="21"/>
      <c r="I157" s="22"/>
    </row>
    <row r="158" spans="1:9">
      <c r="A158" s="21"/>
      <c r="B158" s="33"/>
      <c r="C158" s="21"/>
      <c r="D158" s="21"/>
      <c r="E158" s="21"/>
      <c r="F158" s="22"/>
      <c r="G158" s="21"/>
      <c r="H158" s="21"/>
      <c r="I158" s="22"/>
    </row>
    <row r="159" spans="1:9">
      <c r="A159" s="21"/>
      <c r="B159" s="33"/>
      <c r="C159" s="21"/>
      <c r="D159" s="21"/>
      <c r="E159" s="21"/>
      <c r="F159" s="22"/>
      <c r="G159" s="21"/>
      <c r="H159" s="21"/>
      <c r="I159" s="22"/>
    </row>
    <row r="160" spans="1:9">
      <c r="A160" s="21"/>
      <c r="B160" s="33"/>
      <c r="C160" s="21"/>
      <c r="D160" s="21"/>
      <c r="E160" s="21"/>
      <c r="F160" s="22"/>
      <c r="G160" s="21"/>
      <c r="H160" s="21"/>
      <c r="I160" s="22"/>
    </row>
    <row r="161" spans="1:9">
      <c r="A161" s="21"/>
      <c r="B161" s="33"/>
      <c r="C161" s="21"/>
      <c r="D161" s="21"/>
      <c r="E161" s="21"/>
      <c r="F161" s="22"/>
      <c r="G161" s="21"/>
      <c r="H161" s="21"/>
      <c r="I161" s="22"/>
    </row>
    <row r="162" spans="1:9">
      <c r="A162" s="21"/>
      <c r="B162" s="33"/>
      <c r="C162" s="21"/>
      <c r="D162" s="21"/>
      <c r="E162" s="21"/>
      <c r="F162" s="22"/>
      <c r="G162" s="21"/>
      <c r="H162" s="21"/>
      <c r="I162" s="22"/>
    </row>
    <row r="163" spans="1:9">
      <c r="A163" s="21"/>
      <c r="B163" s="33"/>
      <c r="C163" s="21"/>
      <c r="D163" s="21"/>
      <c r="E163" s="21"/>
      <c r="F163" s="22"/>
      <c r="G163" s="21"/>
      <c r="H163" s="21"/>
      <c r="I163" s="22"/>
    </row>
    <row r="164" spans="1:9">
      <c r="A164" s="21"/>
      <c r="B164" s="33"/>
      <c r="C164" s="21"/>
      <c r="D164" s="21"/>
      <c r="E164" s="21"/>
      <c r="F164" s="22"/>
      <c r="G164" s="21"/>
      <c r="H164" s="21"/>
      <c r="I164" s="22"/>
    </row>
    <row r="165" spans="1:9">
      <c r="A165" s="21"/>
      <c r="B165" s="33"/>
      <c r="C165" s="21"/>
      <c r="D165" s="21"/>
      <c r="E165" s="21"/>
      <c r="F165" s="22"/>
      <c r="G165" s="21"/>
      <c r="H165" s="21"/>
      <c r="I165" s="22"/>
    </row>
    <row r="166" spans="1:9">
      <c r="A166" s="21"/>
      <c r="B166" s="33"/>
      <c r="C166" s="21"/>
      <c r="D166" s="21"/>
      <c r="E166" s="21"/>
      <c r="F166" s="22"/>
      <c r="G166" s="21"/>
      <c r="H166" s="21"/>
      <c r="I166" s="22"/>
    </row>
    <row r="167" spans="1:9">
      <c r="A167" s="21"/>
      <c r="B167" s="33"/>
      <c r="C167" s="21"/>
      <c r="D167" s="21"/>
      <c r="E167" s="21"/>
      <c r="F167" s="22"/>
      <c r="G167" s="21"/>
      <c r="H167" s="21"/>
      <c r="I167" s="22"/>
    </row>
    <row r="168" spans="1:9">
      <c r="A168" s="21"/>
      <c r="B168" s="33"/>
      <c r="C168" s="21"/>
      <c r="D168" s="21"/>
      <c r="E168" s="21"/>
      <c r="F168" s="22"/>
      <c r="G168" s="21"/>
      <c r="H168" s="21"/>
      <c r="I168" s="22"/>
    </row>
    <row r="169" spans="1:9">
      <c r="A169" s="21"/>
      <c r="B169" s="33"/>
      <c r="C169" s="21"/>
      <c r="D169" s="21"/>
      <c r="E169" s="21"/>
      <c r="F169" s="22"/>
      <c r="G169" s="21"/>
      <c r="H169" s="21"/>
      <c r="I169" s="22"/>
    </row>
    <row r="170" spans="1:9">
      <c r="A170" s="21"/>
      <c r="B170" s="33"/>
      <c r="C170" s="21"/>
      <c r="D170" s="21"/>
      <c r="E170" s="21"/>
      <c r="F170" s="22"/>
      <c r="G170" s="21"/>
      <c r="H170" s="21"/>
      <c r="I170" s="22"/>
    </row>
    <row r="171" spans="1:9">
      <c r="A171" s="21"/>
      <c r="B171" s="33"/>
      <c r="C171" s="21"/>
      <c r="D171" s="21"/>
      <c r="E171" s="21"/>
      <c r="F171" s="22"/>
      <c r="G171" s="21"/>
      <c r="H171" s="21"/>
      <c r="I171" s="22"/>
    </row>
    <row r="172" spans="1:9">
      <c r="A172" s="21"/>
      <c r="B172" s="33"/>
      <c r="C172" s="21"/>
      <c r="D172" s="21"/>
      <c r="E172" s="21"/>
      <c r="F172" s="22"/>
      <c r="G172" s="21"/>
      <c r="H172" s="21"/>
      <c r="I172" s="22"/>
    </row>
    <row r="173" spans="1:9">
      <c r="A173" s="21"/>
      <c r="B173" s="33"/>
      <c r="C173" s="21"/>
      <c r="D173" s="21"/>
      <c r="E173" s="21"/>
      <c r="F173" s="22"/>
      <c r="G173" s="21"/>
      <c r="H173" s="21"/>
      <c r="I173" s="22"/>
    </row>
    <row r="174" spans="1:9">
      <c r="A174" s="21"/>
      <c r="B174" s="33"/>
      <c r="C174" s="21"/>
      <c r="D174" s="21"/>
      <c r="E174" s="21"/>
      <c r="F174" s="22"/>
      <c r="G174" s="21"/>
      <c r="H174" s="21"/>
      <c r="I174" s="22"/>
    </row>
    <row r="175" spans="1:9">
      <c r="A175" s="21"/>
      <c r="B175" s="33"/>
      <c r="C175" s="21"/>
      <c r="D175" s="21"/>
      <c r="E175" s="21"/>
      <c r="F175" s="22"/>
      <c r="G175" s="21"/>
      <c r="H175" s="21"/>
      <c r="I175" s="22"/>
    </row>
    <row r="176" spans="1:9">
      <c r="A176" s="21"/>
      <c r="B176" s="33"/>
      <c r="C176" s="21"/>
      <c r="D176" s="21"/>
      <c r="E176" s="21"/>
      <c r="F176" s="22"/>
      <c r="G176" s="21"/>
      <c r="H176" s="21"/>
      <c r="I176" s="22"/>
    </row>
    <row r="177" spans="1:9">
      <c r="A177" s="21"/>
      <c r="B177" s="33"/>
      <c r="C177" s="21"/>
      <c r="D177" s="21"/>
      <c r="E177" s="21"/>
      <c r="F177" s="22"/>
      <c r="G177" s="21"/>
      <c r="H177" s="21"/>
      <c r="I177" s="22"/>
    </row>
    <row r="178" spans="1:9">
      <c r="A178" s="21"/>
      <c r="B178" s="33"/>
      <c r="C178" s="21"/>
      <c r="D178" s="21"/>
      <c r="E178" s="21"/>
      <c r="F178" s="22"/>
      <c r="G178" s="21"/>
      <c r="H178" s="21"/>
      <c r="I178" s="22"/>
    </row>
    <row r="179" spans="1:9">
      <c r="A179" s="21"/>
      <c r="B179" s="33"/>
      <c r="C179" s="21"/>
      <c r="D179" s="21"/>
      <c r="E179" s="21"/>
      <c r="F179" s="22"/>
      <c r="G179" s="21"/>
      <c r="H179" s="21"/>
      <c r="I179" s="22"/>
    </row>
    <row r="180" spans="1:9">
      <c r="A180" s="21"/>
      <c r="B180" s="33"/>
      <c r="C180" s="21"/>
      <c r="D180" s="21"/>
      <c r="E180" s="21"/>
      <c r="F180" s="22"/>
      <c r="G180" s="21"/>
      <c r="H180" s="21"/>
      <c r="I180" s="22"/>
    </row>
    <row r="181" spans="1:9">
      <c r="A181" s="21"/>
      <c r="B181" s="33"/>
      <c r="C181" s="21"/>
      <c r="D181" s="21"/>
      <c r="E181" s="21"/>
      <c r="F181" s="22"/>
      <c r="G181" s="21"/>
      <c r="H181" s="21"/>
      <c r="I181" s="22"/>
    </row>
    <row r="182" spans="1:9">
      <c r="A182" s="21"/>
      <c r="B182" s="33"/>
      <c r="C182" s="21"/>
      <c r="D182" s="21"/>
      <c r="E182" s="21"/>
      <c r="F182" s="22"/>
      <c r="G182" s="21"/>
      <c r="H182" s="21"/>
      <c r="I182" s="22"/>
    </row>
    <row r="183" spans="1:9">
      <c r="A183" s="21"/>
      <c r="B183" s="33"/>
      <c r="C183" s="21"/>
      <c r="D183" s="21"/>
      <c r="E183" s="21"/>
      <c r="F183" s="22"/>
      <c r="G183" s="21"/>
      <c r="H183" s="21"/>
      <c r="I183" s="22"/>
    </row>
    <row r="184" spans="1:9">
      <c r="A184" s="21"/>
      <c r="B184" s="33"/>
      <c r="C184" s="21"/>
      <c r="D184" s="21"/>
      <c r="E184" s="21"/>
      <c r="F184" s="22"/>
      <c r="G184" s="21"/>
      <c r="H184" s="21"/>
      <c r="I184" s="22"/>
    </row>
    <row r="185" spans="1:9">
      <c r="A185" s="21"/>
      <c r="B185" s="33"/>
      <c r="C185" s="21"/>
      <c r="D185" s="21"/>
      <c r="E185" s="21"/>
      <c r="F185" s="22"/>
      <c r="G185" s="21"/>
      <c r="H185" s="21"/>
      <c r="I185" s="22"/>
    </row>
    <row r="186" spans="1:9">
      <c r="A186" s="21"/>
      <c r="B186" s="33"/>
      <c r="C186" s="21"/>
      <c r="D186" s="21"/>
      <c r="E186" s="21"/>
      <c r="F186" s="22"/>
      <c r="G186" s="21"/>
      <c r="H186" s="21"/>
      <c r="I186" s="22"/>
    </row>
    <row r="187" spans="1:9">
      <c r="A187" s="21"/>
      <c r="B187" s="33"/>
      <c r="C187" s="21"/>
      <c r="D187" s="21"/>
      <c r="E187" s="21"/>
      <c r="F187" s="22"/>
      <c r="G187" s="21"/>
      <c r="H187" s="21"/>
      <c r="I187" s="22"/>
    </row>
    <row r="188" spans="1:9">
      <c r="A188" s="21"/>
      <c r="B188" s="33"/>
      <c r="C188" s="21"/>
      <c r="D188" s="21"/>
      <c r="E188" s="21"/>
      <c r="F188" s="22"/>
      <c r="G188" s="21"/>
      <c r="H188" s="21"/>
      <c r="I188" s="22"/>
    </row>
    <row r="189" spans="1:9">
      <c r="A189" s="21"/>
      <c r="B189" s="33"/>
      <c r="C189" s="21"/>
      <c r="D189" s="21"/>
      <c r="E189" s="21"/>
      <c r="F189" s="22"/>
      <c r="G189" s="21"/>
      <c r="H189" s="21"/>
      <c r="I189" s="22"/>
    </row>
    <row r="190" spans="1:9">
      <c r="A190" s="21"/>
      <c r="B190" s="33"/>
      <c r="C190" s="21"/>
      <c r="D190" s="21"/>
      <c r="E190" s="21"/>
      <c r="F190" s="22"/>
      <c r="G190" s="21"/>
      <c r="H190" s="21"/>
      <c r="I190" s="22"/>
    </row>
    <row r="191" spans="1:9">
      <c r="A191" s="21"/>
      <c r="B191" s="33"/>
      <c r="C191" s="21"/>
      <c r="D191" s="21"/>
      <c r="E191" s="21"/>
      <c r="F191" s="22"/>
      <c r="G191" s="21"/>
      <c r="H191" s="21"/>
      <c r="I191" s="22"/>
    </row>
    <row r="192" spans="1:9">
      <c r="A192" s="21"/>
      <c r="B192" s="33"/>
      <c r="C192" s="21"/>
      <c r="D192" s="21"/>
      <c r="E192" s="21"/>
      <c r="F192" s="22"/>
      <c r="G192" s="21"/>
      <c r="H192" s="21"/>
      <c r="I192" s="22"/>
    </row>
    <row r="193" spans="1:9">
      <c r="A193" s="21"/>
      <c r="B193" s="33"/>
      <c r="C193" s="21"/>
      <c r="D193" s="21"/>
      <c r="E193" s="21"/>
      <c r="F193" s="22"/>
      <c r="G193" s="21"/>
      <c r="H193" s="21"/>
      <c r="I193" s="22"/>
    </row>
    <row r="194" spans="1:9">
      <c r="A194" s="21"/>
      <c r="B194" s="33"/>
      <c r="C194" s="21"/>
      <c r="D194" s="21"/>
      <c r="E194" s="21"/>
      <c r="F194" s="22"/>
      <c r="G194" s="21"/>
      <c r="H194" s="21"/>
      <c r="I194" s="22"/>
    </row>
    <row r="195" spans="1:9">
      <c r="A195" s="21"/>
      <c r="B195" s="33"/>
      <c r="C195" s="21"/>
      <c r="D195" s="21"/>
      <c r="E195" s="21"/>
      <c r="F195" s="22"/>
      <c r="G195" s="21"/>
      <c r="H195" s="21"/>
      <c r="I195" s="22"/>
    </row>
    <row r="196" spans="1:9">
      <c r="A196" s="21"/>
      <c r="B196" s="33"/>
      <c r="C196" s="21"/>
      <c r="D196" s="21"/>
      <c r="E196" s="21"/>
      <c r="F196" s="22"/>
      <c r="G196" s="21"/>
      <c r="H196" s="21"/>
      <c r="I196" s="22"/>
    </row>
    <row r="197" spans="1:9">
      <c r="A197" s="21"/>
      <c r="B197" s="33"/>
      <c r="C197" s="21"/>
      <c r="D197" s="21"/>
      <c r="E197" s="21"/>
      <c r="F197" s="22"/>
      <c r="G197" s="21"/>
      <c r="H197" s="21"/>
      <c r="I197" s="22"/>
    </row>
    <row r="198" spans="1:9">
      <c r="A198" s="21"/>
      <c r="B198" s="33"/>
      <c r="C198" s="21"/>
      <c r="D198" s="21"/>
      <c r="E198" s="21"/>
      <c r="F198" s="22"/>
      <c r="G198" s="21"/>
      <c r="H198" s="21"/>
      <c r="I198" s="22"/>
    </row>
    <row r="199" spans="1:9">
      <c r="A199" s="21"/>
      <c r="B199" s="33"/>
      <c r="C199" s="21"/>
      <c r="D199" s="21"/>
      <c r="E199" s="21"/>
      <c r="F199" s="22"/>
      <c r="G199" s="21"/>
      <c r="H199" s="21"/>
      <c r="I199" s="22"/>
    </row>
    <row r="200" spans="1:9">
      <c r="A200" s="21"/>
      <c r="B200" s="33"/>
      <c r="C200" s="21"/>
      <c r="D200" s="21"/>
      <c r="E200" s="21"/>
      <c r="F200" s="22"/>
      <c r="G200" s="21"/>
      <c r="H200" s="21"/>
      <c r="I200" s="22"/>
    </row>
    <row r="201" spans="1:9">
      <c r="A201" s="21"/>
      <c r="B201" s="33"/>
      <c r="C201" s="21"/>
      <c r="D201" s="21"/>
      <c r="E201" s="21"/>
      <c r="F201" s="22"/>
      <c r="G201" s="21"/>
      <c r="H201" s="21"/>
      <c r="I201" s="22"/>
    </row>
    <row r="202" spans="1:9">
      <c r="A202" s="21"/>
      <c r="B202" s="33"/>
      <c r="C202" s="21"/>
      <c r="D202" s="21"/>
      <c r="E202" s="21"/>
      <c r="F202" s="22"/>
      <c r="G202" s="21"/>
      <c r="H202" s="21"/>
      <c r="I202" s="22"/>
    </row>
    <row r="203" spans="1:9">
      <c r="A203" s="21"/>
      <c r="B203" s="33"/>
      <c r="C203" s="21"/>
      <c r="D203" s="21"/>
      <c r="E203" s="21"/>
      <c r="F203" s="22"/>
      <c r="G203" s="21"/>
      <c r="H203" s="21"/>
      <c r="I203" s="22"/>
    </row>
    <row r="204" spans="1:9">
      <c r="A204" s="21"/>
      <c r="B204" s="33"/>
      <c r="C204" s="21"/>
      <c r="D204" s="21"/>
      <c r="E204" s="21"/>
      <c r="F204" s="22"/>
      <c r="G204" s="21"/>
      <c r="H204" s="21"/>
      <c r="I204" s="22"/>
    </row>
    <row r="205" spans="1:9">
      <c r="A205" s="21"/>
      <c r="B205" s="33"/>
      <c r="C205" s="21"/>
      <c r="D205" s="21"/>
      <c r="E205" s="21"/>
      <c r="F205" s="22"/>
      <c r="G205" s="21"/>
      <c r="H205" s="21"/>
      <c r="I205" s="22"/>
    </row>
    <row r="206" spans="1:9">
      <c r="A206" s="21"/>
      <c r="B206" s="33"/>
      <c r="C206" s="21"/>
      <c r="D206" s="21"/>
      <c r="E206" s="21"/>
      <c r="F206" s="22"/>
      <c r="G206" s="21"/>
      <c r="H206" s="21"/>
      <c r="I206" s="22"/>
    </row>
    <row r="207" spans="1:9">
      <c r="A207" s="21"/>
      <c r="B207" s="33"/>
      <c r="C207" s="21"/>
      <c r="D207" s="21"/>
      <c r="E207" s="21"/>
      <c r="F207" s="22"/>
      <c r="G207" s="21"/>
      <c r="H207" s="21"/>
      <c r="I207" s="22"/>
    </row>
    <row r="208" spans="1:9">
      <c r="A208" s="21"/>
      <c r="B208" s="33"/>
      <c r="C208" s="21"/>
      <c r="D208" s="21"/>
      <c r="E208" s="21"/>
      <c r="F208" s="22"/>
      <c r="G208" s="21"/>
      <c r="H208" s="21"/>
      <c r="I208" s="22"/>
    </row>
    <row r="209" spans="1:9">
      <c r="A209" s="21"/>
      <c r="B209" s="33"/>
      <c r="C209" s="21"/>
      <c r="D209" s="21"/>
      <c r="E209" s="21"/>
      <c r="F209" s="22"/>
      <c r="G209" s="21"/>
      <c r="H209" s="21"/>
      <c r="I209" s="22"/>
    </row>
    <row r="210" spans="1:9">
      <c r="A210" s="21"/>
      <c r="B210" s="33"/>
      <c r="C210" s="21"/>
      <c r="D210" s="21"/>
      <c r="E210" s="21"/>
      <c r="F210" s="22"/>
      <c r="G210" s="21"/>
      <c r="H210" s="21"/>
      <c r="I210" s="22"/>
    </row>
    <row r="211" spans="1:9">
      <c r="A211" s="21"/>
      <c r="B211" s="33"/>
      <c r="C211" s="21"/>
      <c r="D211" s="21"/>
      <c r="E211" s="21"/>
      <c r="F211" s="22"/>
      <c r="G211" s="21"/>
      <c r="H211" s="21"/>
      <c r="I211" s="22"/>
    </row>
    <row r="212" spans="1:9">
      <c r="A212" s="21"/>
      <c r="B212" s="33"/>
      <c r="C212" s="21"/>
      <c r="D212" s="21"/>
      <c r="E212" s="21"/>
      <c r="F212" s="22"/>
      <c r="G212" s="21"/>
      <c r="H212" s="21"/>
      <c r="I212" s="22"/>
    </row>
    <row r="213" spans="1:9">
      <c r="A213" s="21"/>
      <c r="B213" s="33"/>
      <c r="C213" s="21"/>
      <c r="D213" s="21"/>
      <c r="E213" s="21"/>
      <c r="F213" s="22"/>
      <c r="G213" s="21"/>
      <c r="H213" s="21"/>
      <c r="I213" s="22"/>
    </row>
    <row r="214" spans="1:9">
      <c r="A214" s="21"/>
      <c r="B214" s="33"/>
      <c r="C214" s="21"/>
      <c r="D214" s="21"/>
      <c r="E214" s="21"/>
      <c r="F214" s="22"/>
      <c r="G214" s="21"/>
      <c r="H214" s="21"/>
      <c r="I214" s="22"/>
    </row>
    <row r="215" spans="1:9">
      <c r="A215" s="21"/>
      <c r="B215" s="33"/>
      <c r="C215" s="21"/>
      <c r="D215" s="21"/>
      <c r="E215" s="21"/>
      <c r="F215" s="22"/>
      <c r="G215" s="21"/>
      <c r="H215" s="21"/>
      <c r="I215" s="22"/>
    </row>
    <row r="216" spans="1:9">
      <c r="A216" s="21"/>
      <c r="B216" s="33"/>
      <c r="C216" s="21"/>
      <c r="D216" s="21"/>
      <c r="E216" s="21"/>
      <c r="F216" s="22"/>
      <c r="G216" s="21"/>
      <c r="H216" s="21"/>
      <c r="I216" s="22"/>
    </row>
    <row r="217" spans="1:9">
      <c r="A217" s="21"/>
      <c r="B217" s="33"/>
      <c r="C217" s="21"/>
      <c r="D217" s="21"/>
      <c r="E217" s="21"/>
      <c r="F217" s="22"/>
      <c r="G217" s="21"/>
      <c r="H217" s="21"/>
      <c r="I217" s="22"/>
    </row>
    <row r="218" spans="1:9">
      <c r="A218" s="21"/>
      <c r="B218" s="33"/>
      <c r="C218" s="21"/>
      <c r="D218" s="21"/>
      <c r="E218" s="21"/>
      <c r="F218" s="22"/>
      <c r="G218" s="21"/>
      <c r="H218" s="21"/>
      <c r="I218" s="22"/>
    </row>
    <row r="219" spans="1:9">
      <c r="A219" s="21"/>
      <c r="B219" s="33"/>
      <c r="C219" s="21"/>
      <c r="D219" s="21"/>
      <c r="E219" s="21"/>
      <c r="F219" s="22"/>
      <c r="G219" s="21"/>
      <c r="H219" s="21"/>
      <c r="I219" s="22"/>
    </row>
    <row r="220" spans="1:9">
      <c r="A220" s="21"/>
      <c r="B220" s="33"/>
      <c r="C220" s="21"/>
      <c r="D220" s="21"/>
      <c r="E220" s="21"/>
      <c r="F220" s="22"/>
      <c r="G220" s="21"/>
      <c r="H220" s="21"/>
      <c r="I220" s="22"/>
    </row>
    <row r="221" spans="1:9">
      <c r="A221" s="21"/>
      <c r="B221" s="33"/>
      <c r="C221" s="21"/>
      <c r="D221" s="21"/>
      <c r="E221" s="21"/>
      <c r="F221" s="22"/>
      <c r="G221" s="21"/>
      <c r="H221" s="21"/>
      <c r="I221" s="22"/>
    </row>
    <row r="222" spans="1:9">
      <c r="A222" s="21"/>
      <c r="B222" s="33"/>
      <c r="C222" s="21"/>
      <c r="D222" s="21"/>
      <c r="E222" s="21"/>
      <c r="F222" s="22"/>
      <c r="G222" s="21"/>
      <c r="H222" s="21"/>
      <c r="I222" s="22"/>
    </row>
    <row r="223" spans="1:9">
      <c r="A223" s="21"/>
      <c r="B223" s="33"/>
      <c r="C223" s="21"/>
      <c r="D223" s="21"/>
      <c r="E223" s="21"/>
      <c r="F223" s="22"/>
      <c r="G223" s="21"/>
      <c r="H223" s="21"/>
      <c r="I223" s="22"/>
    </row>
    <row r="224" spans="1:9">
      <c r="A224" s="21"/>
      <c r="B224" s="33"/>
      <c r="C224" s="21"/>
      <c r="D224" s="21"/>
      <c r="E224" s="21"/>
      <c r="F224" s="22"/>
      <c r="G224" s="21"/>
      <c r="H224" s="21"/>
      <c r="I224" s="22"/>
    </row>
    <row r="225" spans="1:9">
      <c r="A225" s="21"/>
      <c r="B225" s="33"/>
      <c r="C225" s="21"/>
      <c r="D225" s="21"/>
      <c r="E225" s="21"/>
      <c r="F225" s="22"/>
      <c r="G225" s="21"/>
      <c r="H225" s="21"/>
      <c r="I225" s="22"/>
    </row>
    <row r="226" spans="1:9">
      <c r="A226" s="21"/>
      <c r="B226" s="33"/>
      <c r="C226" s="21"/>
      <c r="D226" s="21"/>
      <c r="E226" s="21"/>
      <c r="F226" s="22"/>
      <c r="G226" s="21"/>
      <c r="H226" s="21"/>
      <c r="I226" s="22"/>
    </row>
    <row r="227" spans="1:9">
      <c r="A227" s="21"/>
      <c r="B227" s="33"/>
      <c r="C227" s="21"/>
      <c r="D227" s="21"/>
      <c r="E227" s="21"/>
      <c r="F227" s="22"/>
      <c r="G227" s="21"/>
      <c r="H227" s="21"/>
      <c r="I227" s="22"/>
    </row>
    <row r="228" spans="1:9">
      <c r="A228" s="21"/>
      <c r="B228" s="33"/>
      <c r="C228" s="21"/>
      <c r="D228" s="21"/>
      <c r="E228" s="21"/>
      <c r="F228" s="22"/>
      <c r="G228" s="21"/>
      <c r="H228" s="21"/>
      <c r="I228" s="22"/>
    </row>
    <row r="229" spans="1:9">
      <c r="A229" s="21"/>
      <c r="B229" s="33"/>
      <c r="C229" s="21"/>
      <c r="D229" s="21"/>
      <c r="E229" s="21"/>
      <c r="F229" s="22"/>
      <c r="G229" s="21"/>
      <c r="H229" s="21"/>
      <c r="I229" s="22"/>
    </row>
    <row r="230" spans="1:9">
      <c r="A230" s="21"/>
      <c r="B230" s="33"/>
      <c r="C230" s="21"/>
      <c r="D230" s="21"/>
      <c r="E230" s="21"/>
      <c r="F230" s="22"/>
      <c r="G230" s="21"/>
      <c r="H230" s="21"/>
      <c r="I230" s="22"/>
    </row>
    <row r="231" spans="1:9">
      <c r="A231" s="21"/>
      <c r="B231" s="33"/>
      <c r="C231" s="21"/>
      <c r="D231" s="21"/>
      <c r="E231" s="21"/>
      <c r="F231" s="22"/>
      <c r="G231" s="21"/>
      <c r="H231" s="21"/>
      <c r="I231" s="22"/>
    </row>
    <row r="232" spans="1:9">
      <c r="A232" s="21"/>
      <c r="B232" s="33"/>
      <c r="C232" s="21"/>
      <c r="D232" s="21"/>
      <c r="E232" s="21"/>
      <c r="F232" s="22"/>
      <c r="G232" s="21"/>
      <c r="H232" s="21"/>
      <c r="I232" s="22"/>
    </row>
    <row r="233" spans="1:9">
      <c r="A233" s="21"/>
      <c r="B233" s="33"/>
      <c r="C233" s="21"/>
      <c r="D233" s="21"/>
      <c r="E233" s="21"/>
      <c r="F233" s="22"/>
      <c r="G233" s="21"/>
      <c r="H233" s="21"/>
      <c r="I233" s="22"/>
    </row>
    <row r="234" spans="1:9">
      <c r="A234" s="21"/>
      <c r="B234" s="33"/>
      <c r="C234" s="21"/>
      <c r="D234" s="21"/>
      <c r="E234" s="21"/>
      <c r="F234" s="22"/>
      <c r="G234" s="21"/>
      <c r="H234" s="21"/>
      <c r="I234" s="22"/>
    </row>
    <row r="235" spans="1:9">
      <c r="A235" s="21"/>
      <c r="B235" s="33"/>
      <c r="C235" s="21"/>
      <c r="D235" s="21"/>
      <c r="E235" s="21"/>
      <c r="F235" s="22"/>
      <c r="G235" s="21"/>
      <c r="H235" s="21"/>
      <c r="I235" s="22"/>
    </row>
    <row r="236" spans="1:9">
      <c r="A236" s="21"/>
      <c r="B236" s="33"/>
      <c r="C236" s="21"/>
      <c r="D236" s="21"/>
      <c r="E236" s="21"/>
      <c r="F236" s="22"/>
      <c r="G236" s="21"/>
      <c r="H236" s="21"/>
      <c r="I236" s="22"/>
    </row>
    <row r="237" spans="1:9">
      <c r="A237" s="21"/>
      <c r="B237" s="33"/>
      <c r="C237" s="21"/>
      <c r="D237" s="21"/>
      <c r="E237" s="21"/>
      <c r="F237" s="22"/>
      <c r="G237" s="21"/>
      <c r="H237" s="21"/>
      <c r="I237" s="22"/>
    </row>
    <row r="238" spans="1:9">
      <c r="A238" s="21"/>
      <c r="B238" s="33"/>
      <c r="C238" s="21"/>
      <c r="D238" s="21"/>
      <c r="E238" s="21"/>
      <c r="F238" s="22"/>
      <c r="G238" s="21"/>
      <c r="H238" s="21"/>
      <c r="I238" s="22"/>
    </row>
    <row r="239" spans="1:9">
      <c r="A239" s="21"/>
      <c r="B239" s="33"/>
      <c r="C239" s="21"/>
      <c r="D239" s="21"/>
      <c r="E239" s="21"/>
      <c r="F239" s="22"/>
      <c r="G239" s="21"/>
      <c r="H239" s="21"/>
      <c r="I239" s="22"/>
    </row>
    <row r="240" spans="1:9">
      <c r="A240" s="21"/>
      <c r="B240" s="33"/>
      <c r="C240" s="21"/>
      <c r="D240" s="21"/>
      <c r="E240" s="21"/>
      <c r="F240" s="22"/>
      <c r="G240" s="21"/>
      <c r="H240" s="21"/>
      <c r="I240" s="22"/>
    </row>
    <row r="241" spans="1:9">
      <c r="A241" s="21"/>
      <c r="B241" s="33"/>
      <c r="C241" s="21"/>
      <c r="D241" s="21"/>
      <c r="E241" s="21"/>
      <c r="F241" s="22"/>
      <c r="G241" s="21"/>
      <c r="H241" s="21"/>
      <c r="I241" s="22"/>
    </row>
    <row r="242" spans="1:9">
      <c r="A242" s="21"/>
      <c r="B242" s="33"/>
      <c r="C242" s="21"/>
      <c r="D242" s="21"/>
      <c r="E242" s="21"/>
      <c r="F242" s="22"/>
      <c r="G242" s="21"/>
      <c r="H242" s="21"/>
      <c r="I242" s="22"/>
    </row>
    <row r="243" spans="1:9">
      <c r="A243" s="21"/>
      <c r="B243" s="33"/>
      <c r="C243" s="21"/>
      <c r="D243" s="21"/>
      <c r="E243" s="21"/>
      <c r="F243" s="22"/>
      <c r="G243" s="21"/>
      <c r="H243" s="21"/>
      <c r="I243" s="22"/>
    </row>
    <row r="244" spans="1:9">
      <c r="A244" s="21"/>
      <c r="B244" s="33"/>
      <c r="C244" s="21"/>
      <c r="D244" s="21"/>
      <c r="E244" s="21"/>
      <c r="F244" s="22"/>
      <c r="G244" s="21"/>
      <c r="H244" s="21"/>
      <c r="I244" s="22"/>
    </row>
    <row r="245" spans="1:9">
      <c r="A245" s="21"/>
      <c r="B245" s="33"/>
      <c r="C245" s="21"/>
      <c r="D245" s="21"/>
      <c r="E245" s="21"/>
      <c r="F245" s="22"/>
      <c r="G245" s="21"/>
      <c r="H245" s="21"/>
      <c r="I245" s="22"/>
    </row>
    <row r="246" spans="1:9">
      <c r="A246" s="21"/>
      <c r="B246" s="33"/>
      <c r="C246" s="21"/>
      <c r="D246" s="21"/>
      <c r="E246" s="21"/>
      <c r="F246" s="22"/>
      <c r="G246" s="21"/>
      <c r="H246" s="21"/>
      <c r="I246" s="22"/>
    </row>
    <row r="247" spans="1:9">
      <c r="A247" s="21"/>
      <c r="B247" s="33"/>
      <c r="C247" s="21"/>
      <c r="D247" s="21"/>
      <c r="E247" s="21"/>
      <c r="F247" s="22"/>
      <c r="G247" s="21"/>
      <c r="H247" s="21"/>
      <c r="I247" s="22"/>
    </row>
    <row r="248" spans="1:9">
      <c r="A248" s="21"/>
      <c r="B248" s="33"/>
      <c r="C248" s="21"/>
      <c r="D248" s="21"/>
      <c r="E248" s="21"/>
      <c r="F248" s="22"/>
      <c r="G248" s="21"/>
      <c r="H248" s="21"/>
      <c r="I248" s="22"/>
    </row>
    <row r="249" spans="1:9">
      <c r="A249" s="21"/>
      <c r="B249" s="33"/>
      <c r="C249" s="21"/>
      <c r="D249" s="21"/>
      <c r="E249" s="21"/>
      <c r="F249" s="22"/>
      <c r="G249" s="21"/>
      <c r="H249" s="21"/>
      <c r="I249" s="22"/>
    </row>
    <row r="250" spans="1:9">
      <c r="A250" s="21"/>
      <c r="B250" s="33"/>
      <c r="C250" s="21"/>
      <c r="D250" s="21"/>
      <c r="E250" s="21"/>
      <c r="F250" s="22"/>
      <c r="G250" s="21"/>
      <c r="H250" s="21"/>
      <c r="I250" s="22"/>
    </row>
    <row r="251" spans="1:9">
      <c r="A251" s="21"/>
      <c r="B251" s="33"/>
      <c r="C251" s="21"/>
      <c r="D251" s="21"/>
      <c r="E251" s="21"/>
      <c r="F251" s="22"/>
      <c r="G251" s="21"/>
      <c r="H251" s="21"/>
      <c r="I251" s="22"/>
    </row>
    <row r="252" spans="1:9">
      <c r="A252" s="21"/>
      <c r="B252" s="33"/>
      <c r="C252" s="21"/>
      <c r="D252" s="21"/>
      <c r="E252" s="21"/>
      <c r="F252" s="22"/>
      <c r="G252" s="21"/>
      <c r="H252" s="21"/>
      <c r="I252" s="22"/>
    </row>
    <row r="253" spans="1:9">
      <c r="A253" s="21"/>
      <c r="B253" s="33"/>
      <c r="C253" s="21"/>
      <c r="D253" s="21"/>
      <c r="E253" s="21"/>
      <c r="F253" s="22"/>
      <c r="G253" s="21"/>
      <c r="H253" s="21"/>
      <c r="I253" s="22"/>
    </row>
    <row r="254" spans="1:9">
      <c r="A254" s="21"/>
      <c r="B254" s="33"/>
      <c r="C254" s="21"/>
      <c r="D254" s="21"/>
      <c r="E254" s="21"/>
      <c r="F254" s="22"/>
      <c r="G254" s="21"/>
      <c r="H254" s="21"/>
      <c r="I254" s="22"/>
    </row>
    <row r="255" spans="1:9">
      <c r="A255" s="21"/>
      <c r="B255" s="33"/>
      <c r="C255" s="21"/>
      <c r="D255" s="21"/>
      <c r="E255" s="21"/>
      <c r="F255" s="22"/>
      <c r="G255" s="21"/>
      <c r="H255" s="21"/>
      <c r="I255" s="22"/>
    </row>
    <row r="256" spans="1:9">
      <c r="A256" s="21"/>
      <c r="B256" s="33"/>
      <c r="C256" s="21"/>
      <c r="D256" s="21"/>
      <c r="E256" s="21"/>
      <c r="F256" s="22"/>
      <c r="G256" s="21"/>
      <c r="H256" s="21"/>
      <c r="I256" s="22"/>
    </row>
    <row r="257" spans="1:9">
      <c r="A257" s="21"/>
      <c r="B257" s="33"/>
      <c r="C257" s="21"/>
      <c r="D257" s="21"/>
      <c r="E257" s="21"/>
      <c r="F257" s="22"/>
      <c r="G257" s="21"/>
      <c r="H257" s="21"/>
      <c r="I257" s="22"/>
    </row>
    <row r="258" spans="1:9">
      <c r="A258" s="21"/>
      <c r="B258" s="33"/>
      <c r="C258" s="21"/>
      <c r="D258" s="21"/>
      <c r="E258" s="21"/>
      <c r="F258" s="22"/>
      <c r="G258" s="21"/>
      <c r="H258" s="21"/>
      <c r="I258" s="22"/>
    </row>
    <row r="259" spans="1:9">
      <c r="A259" s="21"/>
      <c r="B259" s="33"/>
      <c r="C259" s="21"/>
      <c r="D259" s="21"/>
      <c r="E259" s="21"/>
      <c r="F259" s="22"/>
      <c r="G259" s="21"/>
      <c r="H259" s="21"/>
      <c r="I259" s="22"/>
    </row>
    <row r="260" spans="1:9">
      <c r="A260" s="21"/>
      <c r="B260" s="33"/>
      <c r="C260" s="21"/>
      <c r="D260" s="21"/>
      <c r="E260" s="21"/>
      <c r="F260" s="22"/>
      <c r="G260" s="21"/>
      <c r="H260" s="21"/>
      <c r="I260" s="22"/>
    </row>
    <row r="261" spans="1:9">
      <c r="A261" s="21"/>
      <c r="B261" s="33"/>
      <c r="C261" s="21"/>
      <c r="D261" s="21"/>
      <c r="E261" s="21"/>
      <c r="F261" s="22"/>
      <c r="G261" s="21"/>
      <c r="H261" s="21"/>
      <c r="I261" s="22"/>
    </row>
    <row r="262" spans="1:9">
      <c r="A262" s="21"/>
      <c r="B262" s="33"/>
      <c r="C262" s="21"/>
      <c r="D262" s="21"/>
      <c r="E262" s="21"/>
      <c r="F262" s="22"/>
      <c r="G262" s="21"/>
      <c r="H262" s="21"/>
      <c r="I262" s="22"/>
    </row>
    <row r="263" spans="1:9">
      <c r="A263" s="21"/>
      <c r="B263" s="33"/>
      <c r="C263" s="21"/>
      <c r="D263" s="21"/>
      <c r="E263" s="21"/>
      <c r="F263" s="22"/>
      <c r="G263" s="21"/>
      <c r="H263" s="21"/>
      <c r="I263" s="22"/>
    </row>
    <row r="264" spans="1:9">
      <c r="A264" s="21"/>
      <c r="B264" s="33"/>
      <c r="C264" s="21"/>
      <c r="D264" s="21"/>
      <c r="E264" s="21"/>
      <c r="F264" s="22"/>
      <c r="G264" s="21"/>
      <c r="H264" s="21"/>
      <c r="I264" s="22"/>
    </row>
    <row r="265" spans="1:9">
      <c r="A265" s="21"/>
      <c r="B265" s="33"/>
      <c r="C265" s="21"/>
      <c r="D265" s="21"/>
      <c r="E265" s="21"/>
      <c r="F265" s="22"/>
      <c r="G265" s="21"/>
      <c r="H265" s="21"/>
      <c r="I265" s="22"/>
    </row>
    <row r="266" spans="1:9">
      <c r="A266" s="21"/>
      <c r="B266" s="33"/>
      <c r="C266" s="21"/>
      <c r="D266" s="21"/>
      <c r="E266" s="21"/>
      <c r="F266" s="22"/>
      <c r="G266" s="21"/>
      <c r="H266" s="21"/>
      <c r="I266" s="22"/>
    </row>
    <row r="267" spans="1:9">
      <c r="A267" s="21"/>
      <c r="B267" s="33"/>
      <c r="C267" s="21"/>
      <c r="D267" s="21"/>
      <c r="E267" s="21"/>
      <c r="F267" s="22"/>
      <c r="G267" s="21"/>
      <c r="H267" s="21"/>
      <c r="I267" s="22"/>
    </row>
    <row r="268" spans="1:9">
      <c r="A268" s="21"/>
      <c r="B268" s="33"/>
      <c r="C268" s="21"/>
      <c r="D268" s="21"/>
      <c r="E268" s="21"/>
      <c r="F268" s="22"/>
      <c r="G268" s="21"/>
      <c r="H268" s="21"/>
      <c r="I268" s="22"/>
    </row>
    <row r="269" spans="1:9">
      <c r="A269" s="21"/>
      <c r="B269" s="33"/>
      <c r="C269" s="21"/>
      <c r="D269" s="21"/>
      <c r="E269" s="21"/>
      <c r="F269" s="22"/>
      <c r="G269" s="21"/>
      <c r="H269" s="21"/>
      <c r="I269" s="22"/>
    </row>
    <row r="270" spans="1:9">
      <c r="A270" s="21"/>
      <c r="B270" s="33"/>
      <c r="C270" s="21"/>
      <c r="D270" s="21"/>
      <c r="E270" s="21"/>
      <c r="F270" s="22"/>
      <c r="G270" s="21"/>
      <c r="H270" s="21"/>
      <c r="I270" s="22"/>
    </row>
    <row r="271" spans="1:9">
      <c r="A271" s="21"/>
      <c r="B271" s="33"/>
      <c r="C271" s="21"/>
      <c r="D271" s="21"/>
      <c r="E271" s="21"/>
      <c r="F271" s="22"/>
      <c r="G271" s="21"/>
      <c r="H271" s="21"/>
      <c r="I271" s="22"/>
    </row>
    <row r="272" spans="1:9">
      <c r="A272" s="21"/>
      <c r="B272" s="33"/>
      <c r="C272" s="21"/>
      <c r="D272" s="21"/>
      <c r="E272" s="21"/>
      <c r="F272" s="22"/>
      <c r="G272" s="21"/>
      <c r="H272" s="21"/>
      <c r="I272" s="22"/>
    </row>
    <row r="273" spans="1:9">
      <c r="A273" s="21"/>
      <c r="B273" s="33"/>
      <c r="C273" s="21"/>
      <c r="D273" s="21"/>
      <c r="E273" s="21"/>
      <c r="F273" s="22"/>
      <c r="G273" s="21"/>
      <c r="H273" s="21"/>
      <c r="I273" s="22"/>
    </row>
    <row r="274" spans="1:9">
      <c r="A274" s="21"/>
      <c r="B274" s="33"/>
      <c r="C274" s="21"/>
      <c r="D274" s="21"/>
      <c r="E274" s="21"/>
      <c r="F274" s="22"/>
      <c r="G274" s="21"/>
      <c r="H274" s="21"/>
      <c r="I274" s="22"/>
    </row>
    <row r="275" spans="1:9">
      <c r="A275" s="21"/>
      <c r="B275" s="33"/>
      <c r="C275" s="21"/>
      <c r="D275" s="21"/>
      <c r="E275" s="21"/>
      <c r="F275" s="22"/>
      <c r="G275" s="21"/>
      <c r="H275" s="21"/>
      <c r="I275" s="22"/>
    </row>
    <row r="276" spans="1:9">
      <c r="A276" s="21"/>
      <c r="B276" s="33"/>
      <c r="C276" s="21"/>
      <c r="D276" s="21"/>
      <c r="E276" s="21"/>
      <c r="F276" s="22"/>
      <c r="G276" s="21"/>
      <c r="H276" s="21"/>
      <c r="I276" s="22"/>
    </row>
    <row r="277" spans="1:9">
      <c r="A277" s="21"/>
      <c r="B277" s="33"/>
      <c r="C277" s="21"/>
      <c r="D277" s="21"/>
      <c r="E277" s="21"/>
      <c r="F277" s="22"/>
      <c r="G277" s="21"/>
      <c r="H277" s="21"/>
      <c r="I277" s="22"/>
    </row>
    <row r="278" spans="1:9">
      <c r="A278" s="21"/>
      <c r="B278" s="33"/>
      <c r="C278" s="21"/>
      <c r="D278" s="21"/>
      <c r="E278" s="21"/>
      <c r="F278" s="22"/>
      <c r="G278" s="21"/>
      <c r="H278" s="21"/>
      <c r="I278" s="22"/>
    </row>
    <row r="279" spans="1:9">
      <c r="A279" s="21"/>
      <c r="B279" s="33"/>
      <c r="C279" s="21"/>
      <c r="D279" s="21"/>
      <c r="E279" s="21"/>
      <c r="F279" s="22"/>
      <c r="G279" s="21"/>
      <c r="H279" s="21"/>
      <c r="I279" s="22"/>
    </row>
    <row r="280" spans="1:9">
      <c r="A280" s="21"/>
      <c r="B280" s="33"/>
      <c r="C280" s="21"/>
      <c r="D280" s="21"/>
      <c r="E280" s="21"/>
      <c r="F280" s="22"/>
      <c r="G280" s="21"/>
      <c r="H280" s="21"/>
      <c r="I280" s="22"/>
    </row>
    <row r="281" spans="1:9">
      <c r="A281" s="21"/>
      <c r="B281" s="33"/>
      <c r="C281" s="21"/>
      <c r="D281" s="21"/>
      <c r="E281" s="21"/>
      <c r="F281" s="22"/>
      <c r="G281" s="21"/>
      <c r="H281" s="21"/>
      <c r="I281" s="22"/>
    </row>
    <row r="282" spans="1:9">
      <c r="A282" s="21"/>
      <c r="B282" s="33"/>
      <c r="C282" s="21"/>
      <c r="D282" s="21"/>
      <c r="E282" s="21"/>
      <c r="F282" s="22"/>
      <c r="G282" s="21"/>
      <c r="H282" s="21"/>
      <c r="I282" s="22"/>
    </row>
    <row r="283" spans="1:9">
      <c r="A283" s="21"/>
      <c r="B283" s="33"/>
      <c r="C283" s="21"/>
      <c r="D283" s="21"/>
      <c r="E283" s="21"/>
      <c r="F283" s="22"/>
      <c r="G283" s="21"/>
      <c r="H283" s="21"/>
      <c r="I283" s="22"/>
    </row>
    <row r="284" spans="1:9">
      <c r="A284" s="21"/>
      <c r="B284" s="33"/>
      <c r="C284" s="21"/>
      <c r="D284" s="21"/>
      <c r="E284" s="21"/>
      <c r="F284" s="22"/>
      <c r="G284" s="21"/>
      <c r="H284" s="21"/>
      <c r="I284" s="22"/>
    </row>
    <row r="285" spans="1:9">
      <c r="A285" s="21"/>
      <c r="B285" s="33"/>
      <c r="C285" s="21"/>
      <c r="D285" s="21"/>
      <c r="E285" s="21"/>
      <c r="F285" s="22"/>
      <c r="G285" s="21"/>
      <c r="H285" s="21"/>
      <c r="I285" s="22"/>
    </row>
    <row r="286" spans="1:9">
      <c r="A286" s="21"/>
      <c r="B286" s="33"/>
      <c r="C286" s="21"/>
      <c r="D286" s="21"/>
      <c r="E286" s="21"/>
      <c r="F286" s="22"/>
      <c r="G286" s="21"/>
      <c r="H286" s="21"/>
      <c r="I286" s="22"/>
    </row>
    <row r="287" spans="1:9">
      <c r="A287" s="21"/>
      <c r="B287" s="33"/>
      <c r="C287" s="21"/>
      <c r="D287" s="21"/>
      <c r="E287" s="21"/>
      <c r="F287" s="22"/>
      <c r="G287" s="21"/>
      <c r="H287" s="21"/>
      <c r="I287" s="22"/>
    </row>
    <row r="288" spans="1:9">
      <c r="A288" s="21"/>
      <c r="B288" s="33"/>
      <c r="C288" s="21"/>
      <c r="D288" s="21"/>
      <c r="E288" s="21"/>
      <c r="F288" s="22"/>
      <c r="G288" s="21"/>
      <c r="H288" s="21"/>
      <c r="I288" s="22"/>
    </row>
    <row r="289" spans="1:9">
      <c r="A289" s="21"/>
      <c r="B289" s="33"/>
      <c r="C289" s="21"/>
      <c r="D289" s="21"/>
      <c r="E289" s="21"/>
      <c r="F289" s="22"/>
      <c r="G289" s="21"/>
      <c r="H289" s="21"/>
      <c r="I289" s="22"/>
    </row>
    <row r="290" spans="1:9">
      <c r="A290" s="21"/>
      <c r="B290" s="33"/>
      <c r="C290" s="21"/>
      <c r="D290" s="21"/>
      <c r="E290" s="21"/>
      <c r="F290" s="22"/>
      <c r="G290" s="21"/>
      <c r="H290" s="21"/>
      <c r="I290" s="22"/>
    </row>
    <row r="291" spans="1:9">
      <c r="A291" s="21"/>
      <c r="B291" s="33"/>
      <c r="C291" s="21"/>
      <c r="D291" s="21"/>
      <c r="E291" s="21"/>
      <c r="F291" s="22"/>
      <c r="G291" s="21"/>
      <c r="H291" s="21"/>
      <c r="I291" s="22"/>
    </row>
    <row r="292" spans="1:9">
      <c r="A292" s="21"/>
      <c r="B292" s="33"/>
      <c r="C292" s="21"/>
      <c r="D292" s="21"/>
      <c r="E292" s="21"/>
      <c r="F292" s="22"/>
      <c r="G292" s="21"/>
      <c r="H292" s="21"/>
      <c r="I292" s="22"/>
    </row>
    <row r="293" spans="1:9">
      <c r="A293" s="21"/>
      <c r="B293" s="33"/>
      <c r="C293" s="21"/>
      <c r="D293" s="21"/>
      <c r="E293" s="21"/>
      <c r="F293" s="22"/>
      <c r="G293" s="21"/>
      <c r="H293" s="21"/>
      <c r="I293" s="22"/>
    </row>
    <row r="294" spans="1:9">
      <c r="A294" s="21"/>
      <c r="B294" s="33"/>
      <c r="C294" s="21"/>
      <c r="D294" s="21"/>
      <c r="E294" s="21"/>
      <c r="F294" s="22"/>
      <c r="G294" s="21"/>
      <c r="H294" s="21"/>
      <c r="I294" s="22"/>
    </row>
    <row r="295" spans="1:9">
      <c r="A295" s="21"/>
      <c r="B295" s="33"/>
      <c r="C295" s="21"/>
      <c r="D295" s="21"/>
      <c r="E295" s="21"/>
      <c r="F295" s="22"/>
      <c r="G295" s="21"/>
      <c r="H295" s="21"/>
      <c r="I295" s="22"/>
    </row>
    <row r="296" spans="1:9">
      <c r="A296" s="21"/>
      <c r="B296" s="33"/>
      <c r="C296" s="21"/>
      <c r="D296" s="21"/>
      <c r="E296" s="21"/>
      <c r="F296" s="22"/>
      <c r="G296" s="21"/>
      <c r="H296" s="21"/>
      <c r="I296" s="22"/>
    </row>
    <row r="297" spans="1:9">
      <c r="A297" s="21"/>
      <c r="B297" s="33"/>
      <c r="C297" s="21"/>
      <c r="D297" s="21"/>
      <c r="E297" s="21"/>
      <c r="F297" s="22"/>
      <c r="G297" s="21"/>
      <c r="H297" s="21"/>
      <c r="I297" s="22"/>
    </row>
    <row r="298" spans="1:9">
      <c r="A298" s="21"/>
      <c r="B298" s="33"/>
      <c r="C298" s="21"/>
      <c r="D298" s="21"/>
      <c r="E298" s="21"/>
      <c r="F298" s="22"/>
      <c r="G298" s="21"/>
      <c r="H298" s="21"/>
      <c r="I298" s="22"/>
    </row>
    <row r="299" spans="1:9">
      <c r="A299" s="21"/>
      <c r="B299" s="33"/>
      <c r="C299" s="21"/>
      <c r="D299" s="21"/>
      <c r="E299" s="21"/>
      <c r="F299" s="22"/>
      <c r="G299" s="21"/>
      <c r="H299" s="21"/>
      <c r="I299" s="22"/>
    </row>
    <row r="300" spans="1:9">
      <c r="A300" s="21"/>
      <c r="B300" s="33"/>
      <c r="C300" s="21"/>
      <c r="D300" s="21"/>
      <c r="E300" s="21"/>
      <c r="F300" s="22"/>
      <c r="G300" s="21"/>
      <c r="H300" s="21"/>
      <c r="I300" s="22"/>
    </row>
    <row r="301" spans="1:9">
      <c r="A301" s="21"/>
      <c r="B301" s="33"/>
      <c r="C301" s="21"/>
      <c r="D301" s="21"/>
      <c r="E301" s="21"/>
      <c r="F301" s="22"/>
      <c r="G301" s="21"/>
      <c r="H301" s="21"/>
      <c r="I301" s="22"/>
    </row>
    <row r="302" spans="1:9">
      <c r="A302" s="21"/>
      <c r="B302" s="33"/>
      <c r="C302" s="21"/>
      <c r="D302" s="21"/>
      <c r="E302" s="21"/>
      <c r="F302" s="22"/>
      <c r="G302" s="21"/>
      <c r="H302" s="21"/>
      <c r="I302" s="22"/>
    </row>
    <row r="303" spans="1:9">
      <c r="A303" s="21"/>
      <c r="B303" s="33"/>
      <c r="C303" s="21"/>
      <c r="D303" s="21"/>
      <c r="E303" s="21"/>
      <c r="F303" s="22"/>
      <c r="G303" s="21"/>
      <c r="H303" s="21"/>
      <c r="I303" s="22"/>
    </row>
    <row r="304" spans="1:9">
      <c r="A304" s="21"/>
      <c r="B304" s="33"/>
      <c r="C304" s="21"/>
      <c r="D304" s="21"/>
      <c r="E304" s="21"/>
      <c r="F304" s="22"/>
      <c r="G304" s="21"/>
      <c r="H304" s="21"/>
      <c r="I304" s="22"/>
    </row>
    <row r="305" spans="1:9">
      <c r="A305" s="21"/>
      <c r="B305" s="33"/>
      <c r="C305" s="21"/>
      <c r="D305" s="21"/>
      <c r="E305" s="21"/>
      <c r="F305" s="22"/>
      <c r="G305" s="21"/>
      <c r="H305" s="21"/>
      <c r="I305" s="22"/>
    </row>
    <row r="306" spans="1:9">
      <c r="A306" s="21"/>
      <c r="B306" s="33"/>
      <c r="C306" s="21"/>
      <c r="D306" s="21"/>
      <c r="E306" s="21"/>
      <c r="F306" s="22"/>
      <c r="G306" s="21"/>
      <c r="H306" s="21"/>
      <c r="I306" s="22"/>
    </row>
    <row r="307" spans="1:9">
      <c r="A307" s="21"/>
      <c r="B307" s="33"/>
      <c r="C307" s="21"/>
      <c r="D307" s="21"/>
      <c r="E307" s="21"/>
      <c r="F307" s="22"/>
      <c r="G307" s="21"/>
      <c r="H307" s="21"/>
      <c r="I307" s="22"/>
    </row>
    <row r="308" spans="1:9">
      <c r="A308" s="21"/>
      <c r="B308" s="33"/>
      <c r="C308" s="21"/>
      <c r="D308" s="21"/>
      <c r="E308" s="21"/>
      <c r="F308" s="22"/>
      <c r="G308" s="21"/>
      <c r="H308" s="21"/>
      <c r="I308" s="22"/>
    </row>
    <row r="309" spans="1:9">
      <c r="A309" s="21"/>
      <c r="B309" s="33"/>
      <c r="C309" s="21"/>
      <c r="D309" s="21"/>
      <c r="E309" s="21"/>
      <c r="F309" s="22"/>
      <c r="G309" s="21"/>
      <c r="H309" s="21"/>
      <c r="I309" s="22"/>
    </row>
    <row r="310" spans="1:9">
      <c r="A310" s="21"/>
      <c r="B310" s="33"/>
      <c r="C310" s="21"/>
      <c r="D310" s="21"/>
      <c r="E310" s="21"/>
      <c r="F310" s="22"/>
      <c r="G310" s="21"/>
      <c r="H310" s="21"/>
      <c r="I310" s="22"/>
    </row>
    <row r="311" spans="1:9">
      <c r="A311" s="21"/>
      <c r="B311" s="33"/>
      <c r="C311" s="21"/>
      <c r="D311" s="21"/>
      <c r="E311" s="21"/>
      <c r="F311" s="22"/>
      <c r="G311" s="21"/>
      <c r="H311" s="21"/>
      <c r="I311" s="22"/>
    </row>
    <row r="312" spans="1:9">
      <c r="A312" s="21"/>
      <c r="B312" s="33"/>
      <c r="C312" s="21"/>
      <c r="D312" s="21"/>
      <c r="E312" s="21"/>
      <c r="F312" s="22"/>
      <c r="G312" s="21"/>
      <c r="H312" s="21"/>
      <c r="I312" s="22"/>
    </row>
    <row r="313" spans="1:9">
      <c r="A313" s="21"/>
      <c r="B313" s="33"/>
      <c r="C313" s="21"/>
      <c r="D313" s="21"/>
      <c r="E313" s="21"/>
      <c r="F313" s="22"/>
      <c r="G313" s="21"/>
      <c r="H313" s="21"/>
      <c r="I313" s="22"/>
    </row>
    <row r="314" spans="1:9">
      <c r="A314" s="21"/>
      <c r="B314" s="33"/>
      <c r="C314" s="21"/>
      <c r="D314" s="21"/>
      <c r="E314" s="21"/>
      <c r="F314" s="22"/>
      <c r="G314" s="21"/>
      <c r="H314" s="21"/>
      <c r="I314" s="22"/>
    </row>
    <row r="315" spans="1:9">
      <c r="A315" s="21"/>
      <c r="B315" s="33"/>
      <c r="C315" s="21"/>
      <c r="D315" s="21"/>
      <c r="E315" s="21"/>
      <c r="F315" s="22"/>
      <c r="G315" s="21"/>
      <c r="H315" s="21"/>
      <c r="I315" s="22"/>
    </row>
    <row r="316" spans="1:9">
      <c r="A316" s="21"/>
      <c r="B316" s="33"/>
      <c r="C316" s="21"/>
      <c r="D316" s="21"/>
      <c r="E316" s="21"/>
      <c r="F316" s="22"/>
      <c r="G316" s="21"/>
      <c r="H316" s="21"/>
      <c r="I316" s="22"/>
    </row>
    <row r="317" spans="1:9">
      <c r="A317" s="21"/>
      <c r="B317" s="33"/>
      <c r="C317" s="21"/>
      <c r="D317" s="21"/>
      <c r="E317" s="21"/>
      <c r="F317" s="22"/>
      <c r="G317" s="21"/>
      <c r="H317" s="21"/>
      <c r="I317" s="22"/>
    </row>
    <row r="318" spans="1:9">
      <c r="A318" s="21"/>
      <c r="B318" s="33"/>
      <c r="C318" s="21"/>
      <c r="D318" s="21"/>
      <c r="E318" s="21"/>
      <c r="F318" s="22"/>
      <c r="G318" s="21"/>
      <c r="H318" s="21"/>
      <c r="I318" s="22"/>
    </row>
    <row r="319" spans="1:9">
      <c r="A319" s="21"/>
      <c r="B319" s="33"/>
      <c r="C319" s="21"/>
      <c r="D319" s="21"/>
      <c r="E319" s="21"/>
      <c r="F319" s="22"/>
      <c r="G319" s="21"/>
      <c r="H319" s="21"/>
      <c r="I319" s="22"/>
    </row>
    <row r="320" spans="1:9">
      <c r="A320" s="21"/>
      <c r="B320" s="33"/>
      <c r="C320" s="21"/>
      <c r="D320" s="21"/>
      <c r="E320" s="21"/>
      <c r="F320" s="22"/>
      <c r="G320" s="21"/>
      <c r="H320" s="21"/>
      <c r="I320" s="22"/>
    </row>
    <row r="321" spans="1:9">
      <c r="A321" s="21"/>
      <c r="B321" s="33"/>
      <c r="C321" s="21"/>
      <c r="D321" s="21"/>
      <c r="E321" s="21"/>
      <c r="F321" s="22"/>
      <c r="G321" s="21"/>
      <c r="H321" s="21"/>
      <c r="I321" s="22"/>
    </row>
    <row r="322" spans="1:9">
      <c r="A322" s="21"/>
      <c r="B322" s="33"/>
      <c r="C322" s="21"/>
      <c r="D322" s="21"/>
      <c r="E322" s="21"/>
      <c r="F322" s="22"/>
      <c r="G322" s="21"/>
      <c r="H322" s="21"/>
      <c r="I322" s="22"/>
    </row>
    <row r="323" spans="1:9">
      <c r="A323" s="21"/>
      <c r="B323" s="33"/>
      <c r="C323" s="21"/>
      <c r="D323" s="21"/>
      <c r="E323" s="21"/>
      <c r="F323" s="22"/>
      <c r="G323" s="21"/>
      <c r="H323" s="21"/>
      <c r="I323" s="22"/>
    </row>
    <row r="324" spans="1:9">
      <c r="A324" s="21"/>
      <c r="B324" s="33"/>
      <c r="C324" s="21"/>
      <c r="D324" s="21"/>
      <c r="E324" s="21"/>
      <c r="F324" s="22"/>
      <c r="G324" s="21"/>
      <c r="H324" s="21"/>
      <c r="I324" s="22"/>
    </row>
    <row r="325" spans="1:9">
      <c r="A325" s="21"/>
      <c r="B325" s="33"/>
      <c r="C325" s="21"/>
      <c r="D325" s="21"/>
      <c r="E325" s="21"/>
      <c r="F325" s="22"/>
      <c r="G325" s="21"/>
      <c r="H325" s="21"/>
      <c r="I325" s="22"/>
    </row>
    <row r="326" spans="1:9">
      <c r="A326" s="21"/>
      <c r="B326" s="33"/>
      <c r="C326" s="21"/>
      <c r="D326" s="21"/>
      <c r="E326" s="21"/>
      <c r="F326" s="22"/>
      <c r="G326" s="21"/>
      <c r="H326" s="21"/>
      <c r="I326" s="22"/>
    </row>
    <row r="327" spans="1:9">
      <c r="A327" s="21"/>
      <c r="B327" s="33"/>
      <c r="C327" s="21"/>
      <c r="D327" s="21"/>
      <c r="E327" s="21"/>
      <c r="F327" s="22"/>
      <c r="G327" s="21"/>
      <c r="H327" s="21"/>
      <c r="I327" s="22"/>
    </row>
    <row r="328" spans="1:9">
      <c r="A328" s="21"/>
      <c r="B328" s="33"/>
      <c r="C328" s="21"/>
      <c r="D328" s="21"/>
      <c r="E328" s="21"/>
      <c r="F328" s="22"/>
      <c r="G328" s="21"/>
      <c r="H328" s="21"/>
      <c r="I328" s="22"/>
    </row>
    <row r="329" spans="1:9">
      <c r="A329" s="21"/>
      <c r="B329" s="33"/>
      <c r="C329" s="21"/>
      <c r="D329" s="21"/>
      <c r="E329" s="21"/>
      <c r="F329" s="22"/>
      <c r="G329" s="21"/>
      <c r="H329" s="21"/>
      <c r="I329" s="22"/>
    </row>
    <row r="330" spans="1:9">
      <c r="A330" s="21"/>
      <c r="B330" s="33"/>
      <c r="C330" s="21"/>
      <c r="D330" s="21"/>
      <c r="E330" s="21"/>
      <c r="F330" s="22"/>
      <c r="G330" s="21"/>
      <c r="H330" s="21"/>
      <c r="I330" s="22"/>
    </row>
    <row r="331" spans="1:9">
      <c r="A331" s="21"/>
      <c r="B331" s="33"/>
      <c r="C331" s="21"/>
      <c r="D331" s="21"/>
      <c r="E331" s="21"/>
      <c r="F331" s="22"/>
      <c r="G331" s="21"/>
      <c r="H331" s="21"/>
      <c r="I331" s="22"/>
    </row>
    <row r="332" spans="1:9">
      <c r="A332" s="21"/>
      <c r="B332" s="33"/>
      <c r="C332" s="21"/>
      <c r="D332" s="21"/>
      <c r="E332" s="21"/>
      <c r="F332" s="22"/>
      <c r="G332" s="21"/>
      <c r="H332" s="21"/>
      <c r="I332" s="22"/>
    </row>
    <row r="333" spans="1:9">
      <c r="A333" s="21"/>
      <c r="B333" s="33"/>
      <c r="C333" s="21"/>
      <c r="D333" s="21"/>
      <c r="E333" s="21"/>
      <c r="F333" s="22"/>
      <c r="G333" s="21"/>
      <c r="H333" s="21"/>
      <c r="I333" s="22"/>
    </row>
    <row r="334" spans="1:9">
      <c r="A334" s="21"/>
      <c r="B334" s="33"/>
      <c r="C334" s="21"/>
      <c r="D334" s="21"/>
      <c r="E334" s="21"/>
      <c r="F334" s="22"/>
      <c r="G334" s="21"/>
      <c r="H334" s="21"/>
      <c r="I334" s="22"/>
    </row>
    <row r="335" spans="1:9">
      <c r="A335" s="21"/>
      <c r="B335" s="33"/>
      <c r="C335" s="21"/>
      <c r="D335" s="21"/>
      <c r="E335" s="21"/>
      <c r="F335" s="22"/>
      <c r="G335" s="21"/>
      <c r="H335" s="21"/>
      <c r="I335" s="22"/>
    </row>
    <row r="336" spans="1:9">
      <c r="A336" s="21"/>
      <c r="B336" s="33"/>
      <c r="C336" s="21"/>
      <c r="D336" s="21"/>
      <c r="E336" s="21"/>
      <c r="F336" s="22"/>
      <c r="G336" s="21"/>
      <c r="H336" s="21"/>
      <c r="I336" s="22"/>
    </row>
    <row r="337" spans="1:9">
      <c r="A337" s="21"/>
      <c r="B337" s="33"/>
      <c r="C337" s="21"/>
      <c r="D337" s="21"/>
      <c r="E337" s="21"/>
      <c r="F337" s="22"/>
      <c r="G337" s="21"/>
      <c r="H337" s="21"/>
      <c r="I337" s="22"/>
    </row>
    <row r="338" spans="1:9">
      <c r="A338" s="21"/>
      <c r="B338" s="33"/>
      <c r="C338" s="21"/>
      <c r="D338" s="21"/>
      <c r="E338" s="21"/>
      <c r="F338" s="22"/>
      <c r="G338" s="21"/>
      <c r="H338" s="21"/>
      <c r="I338" s="22"/>
    </row>
    <row r="339" spans="1:9">
      <c r="A339" s="21"/>
      <c r="B339" s="33"/>
      <c r="C339" s="21"/>
      <c r="D339" s="21"/>
      <c r="E339" s="21"/>
      <c r="F339" s="22"/>
      <c r="G339" s="21"/>
      <c r="H339" s="21"/>
      <c r="I339" s="22"/>
    </row>
    <row r="340" spans="1:9">
      <c r="A340" s="21"/>
      <c r="B340" s="33"/>
      <c r="C340" s="21"/>
      <c r="D340" s="21"/>
      <c r="E340" s="21"/>
      <c r="F340" s="22"/>
      <c r="G340" s="21"/>
      <c r="H340" s="21"/>
      <c r="I340" s="22"/>
    </row>
    <row r="341" spans="1:9">
      <c r="A341" s="21"/>
      <c r="B341" s="33"/>
      <c r="C341" s="21"/>
      <c r="D341" s="21"/>
      <c r="E341" s="21"/>
      <c r="F341" s="22"/>
      <c r="G341" s="21"/>
      <c r="H341" s="21"/>
      <c r="I341" s="22"/>
    </row>
    <row r="342" spans="1:9"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zoomScale="70" zoomScaleNormal="70" workbookViewId="0">
      <pane xSplit="2" ySplit="3" topLeftCell="J4" activePane="bottomRight" state="frozen"/>
      <selection pane="bottomRight" activeCell="J7" sqref="J7:L10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.85546875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47</v>
      </c>
      <c r="E1" s="90"/>
      <c r="F1" s="90"/>
      <c r="G1" s="88" t="s">
        <v>48</v>
      </c>
      <c r="H1" s="88"/>
      <c r="I1" s="88"/>
      <c r="J1" s="4"/>
      <c r="K1" s="4"/>
      <c r="L1" s="4"/>
    </row>
    <row r="2" spans="1:12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22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63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2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2"/>
    </row>
    <row r="6" spans="1:12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63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41"/>
    </row>
    <row r="7" spans="1:12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64" t="s">
        <v>23</v>
      </c>
      <c r="H7" s="20" t="str">
        <f t="shared" si="1"/>
        <v/>
      </c>
      <c r="I7" s="19" t="str">
        <f t="shared" si="2"/>
        <v/>
      </c>
      <c r="J7" s="42"/>
      <c r="K7" s="68"/>
      <c r="L7" s="86"/>
    </row>
    <row r="8" spans="1:12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63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41"/>
    </row>
    <row r="9" spans="1:12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64" t="s">
        <v>23</v>
      </c>
      <c r="H9" s="20" t="str">
        <f t="shared" si="1"/>
        <v/>
      </c>
      <c r="I9" s="19" t="str">
        <f t="shared" si="2"/>
        <v/>
      </c>
      <c r="J9" s="42"/>
      <c r="K9" s="43"/>
      <c r="L9" s="43"/>
    </row>
    <row r="10" spans="1:12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63" t="s">
        <v>23</v>
      </c>
      <c r="H10" s="15" t="str">
        <f t="shared" si="1"/>
        <v/>
      </c>
      <c r="I10" s="16" t="str">
        <f t="shared" si="2"/>
        <v/>
      </c>
      <c r="J10" s="41"/>
      <c r="K10" s="65"/>
      <c r="L10" s="41"/>
    </row>
    <row r="11" spans="1:12" ht="15.6">
      <c r="A11" s="30" t="str">
        <v xml:space="preserve"> El Centro - Bank of America</v>
      </c>
      <c r="B11" s="31" t="str">
        <v>CA</v>
      </c>
      <c r="C11" s="85"/>
      <c r="D11" s="18" t="s">
        <v>23</v>
      </c>
      <c r="E11" s="18" t="str">
        <f t="shared" si="0"/>
        <v/>
      </c>
      <c r="F11" s="19" t="str">
        <f t="shared" si="3"/>
        <v/>
      </c>
      <c r="G11" s="64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43"/>
    </row>
    <row r="12" spans="1:12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63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41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64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43"/>
    </row>
    <row r="14" spans="1:12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63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41"/>
    </row>
    <row r="15" spans="1:12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64" t="s">
        <v>23</v>
      </c>
      <c r="H15" s="20" t="str">
        <f t="shared" si="1"/>
        <v/>
      </c>
      <c r="I15" s="19" t="str">
        <f t="shared" si="2"/>
        <v/>
      </c>
      <c r="J15" s="42"/>
      <c r="K15" s="43"/>
      <c r="L15" s="43"/>
    </row>
    <row r="16" spans="1:12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63" t="s">
        <v>23</v>
      </c>
      <c r="H16" s="15" t="str">
        <f t="shared" si="1"/>
        <v/>
      </c>
      <c r="I16" s="16" t="str">
        <f t="shared" si="2"/>
        <v/>
      </c>
      <c r="J16" s="41"/>
      <c r="K16" s="41"/>
      <c r="L16" s="41"/>
    </row>
    <row r="17" spans="1:12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64" t="s">
        <v>23</v>
      </c>
      <c r="H17" s="20" t="str">
        <f t="shared" si="1"/>
        <v/>
      </c>
      <c r="I17" s="19" t="str">
        <f t="shared" si="2"/>
        <v/>
      </c>
      <c r="J17" s="42"/>
      <c r="K17" s="43"/>
      <c r="L17" s="43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63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41"/>
    </row>
    <row r="19" spans="1:12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64" t="s">
        <v>23</v>
      </c>
      <c r="H19" s="20" t="str">
        <f t="shared" si="6"/>
        <v/>
      </c>
      <c r="I19" s="19" t="str">
        <f t="shared" si="7"/>
        <v/>
      </c>
      <c r="J19" s="42"/>
      <c r="K19" s="43"/>
      <c r="L19" s="43"/>
    </row>
    <row r="20" spans="1:12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63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41"/>
    </row>
    <row r="21" spans="1:12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64" t="s">
        <v>23</v>
      </c>
      <c r="H21" s="20" t="str">
        <f t="shared" si="6"/>
        <v/>
      </c>
      <c r="I21" s="19" t="str">
        <f t="shared" si="7"/>
        <v/>
      </c>
      <c r="J21" s="42"/>
      <c r="K21" s="43"/>
      <c r="L21" s="43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63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41"/>
    </row>
    <row r="23" spans="1:12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64" t="s">
        <v>23</v>
      </c>
      <c r="H23" s="20" t="str">
        <f t="shared" si="6"/>
        <v/>
      </c>
      <c r="I23" s="19" t="str">
        <f t="shared" si="7"/>
        <v/>
      </c>
      <c r="J23" s="42"/>
      <c r="K23" s="43"/>
      <c r="L23" s="43"/>
    </row>
    <row r="24" spans="1:12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63" t="s">
        <v>23</v>
      </c>
      <c r="H24" s="15" t="str">
        <f t="shared" si="6"/>
        <v/>
      </c>
      <c r="I24" s="16" t="str">
        <f t="shared" si="7"/>
        <v/>
      </c>
      <c r="J24" s="41"/>
      <c r="K24" s="41"/>
      <c r="L24" s="41"/>
    </row>
    <row r="25" spans="1:12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64" t="s">
        <v>23</v>
      </c>
      <c r="H25" s="20" t="str">
        <f t="shared" si="6"/>
        <v/>
      </c>
      <c r="I25" s="19" t="str">
        <f t="shared" si="7"/>
        <v/>
      </c>
      <c r="J25" s="42"/>
      <c r="K25" s="42"/>
      <c r="L25" s="42"/>
    </row>
    <row r="26" spans="1:12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63" t="s">
        <v>23</v>
      </c>
      <c r="H26" s="15" t="str">
        <f t="shared" si="6"/>
        <v/>
      </c>
      <c r="I26" s="16" t="str">
        <f t="shared" si="7"/>
        <v/>
      </c>
      <c r="J26" s="41"/>
      <c r="K26" s="41"/>
      <c r="L26" s="41"/>
    </row>
    <row r="27" spans="1:12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64" t="s">
        <v>23</v>
      </c>
      <c r="H27" s="20" t="str">
        <f t="shared" si="6"/>
        <v/>
      </c>
      <c r="I27" s="19" t="str">
        <f t="shared" si="7"/>
        <v/>
      </c>
      <c r="J27" s="42"/>
      <c r="K27" s="43"/>
      <c r="L27" s="43"/>
    </row>
    <row r="28" spans="1:12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63" t="s">
        <v>23</v>
      </c>
      <c r="H28" s="15" t="str">
        <f t="shared" si="6"/>
        <v/>
      </c>
      <c r="I28" s="16" t="str">
        <f t="shared" si="7"/>
        <v/>
      </c>
      <c r="J28" s="41"/>
      <c r="K28" s="41"/>
      <c r="L28" s="41"/>
    </row>
    <row r="29" spans="1:12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64" t="s">
        <v>23</v>
      </c>
      <c r="H29" s="20" t="str">
        <f t="shared" si="6"/>
        <v/>
      </c>
      <c r="I29" s="19" t="str">
        <f t="shared" si="7"/>
        <v/>
      </c>
      <c r="J29" s="42"/>
      <c r="K29" s="43"/>
      <c r="L29" s="43"/>
    </row>
    <row r="30" spans="1:12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63" t="s">
        <v>23</v>
      </c>
      <c r="H30" s="15" t="str">
        <f t="shared" si="6"/>
        <v/>
      </c>
      <c r="I30" s="16" t="str">
        <f t="shared" si="7"/>
        <v/>
      </c>
      <c r="J30" s="41"/>
      <c r="K30" s="41"/>
      <c r="L30" s="41"/>
    </row>
    <row r="31" spans="1:12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64" t="s">
        <v>23</v>
      </c>
      <c r="H31" s="20" t="str">
        <f t="shared" si="6"/>
        <v/>
      </c>
      <c r="I31" s="19" t="str">
        <f t="shared" si="7"/>
        <v/>
      </c>
      <c r="J31" s="42"/>
      <c r="K31" s="43"/>
      <c r="L31" s="43"/>
    </row>
    <row r="32" spans="1:12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63" t="s">
        <v>23</v>
      </c>
      <c r="H32" s="15" t="str">
        <f t="shared" si="6"/>
        <v/>
      </c>
      <c r="I32" s="16" t="str">
        <f t="shared" si="7"/>
        <v/>
      </c>
      <c r="J32" s="41"/>
      <c r="K32" s="41"/>
      <c r="L32" s="41"/>
    </row>
    <row r="33" spans="1:12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64" t="s">
        <v>23</v>
      </c>
      <c r="H33" s="20" t="str">
        <f t="shared" si="6"/>
        <v/>
      </c>
      <c r="I33" s="19" t="str">
        <f t="shared" si="7"/>
        <v/>
      </c>
      <c r="J33" s="42"/>
      <c r="K33" s="42"/>
      <c r="L33" s="42"/>
    </row>
    <row r="34" spans="1:12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63" t="s">
        <v>23</v>
      </c>
      <c r="H34" s="15" t="str">
        <f t="shared" si="6"/>
        <v/>
      </c>
      <c r="I34" s="16" t="str">
        <f t="shared" si="7"/>
        <v/>
      </c>
      <c r="J34" s="41"/>
      <c r="K34" s="41"/>
      <c r="L34" s="41"/>
    </row>
    <row r="35" spans="1:12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64" t="s">
        <v>23</v>
      </c>
      <c r="H35" s="20" t="str">
        <f t="shared" si="6"/>
        <v/>
      </c>
      <c r="I35" s="19" t="str">
        <f t="shared" si="7"/>
        <v/>
      </c>
      <c r="J35" s="42"/>
      <c r="K35" s="43"/>
      <c r="L35" s="43"/>
    </row>
    <row r="36" spans="1:12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63" t="s">
        <v>23</v>
      </c>
      <c r="H36" s="15" t="str">
        <f t="shared" si="6"/>
        <v/>
      </c>
      <c r="I36" s="16" t="str">
        <f t="shared" si="7"/>
        <v/>
      </c>
      <c r="J36" s="41"/>
      <c r="K36" s="41"/>
      <c r="L36" s="41"/>
    </row>
    <row r="37" spans="1:12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64" t="s">
        <v>23</v>
      </c>
      <c r="H37" s="20" t="str">
        <f t="shared" si="6"/>
        <v/>
      </c>
      <c r="I37" s="19" t="str">
        <f t="shared" si="7"/>
        <v/>
      </c>
      <c r="J37" s="42"/>
      <c r="K37" s="43"/>
      <c r="L37" s="43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63" t="s">
        <v>23</v>
      </c>
      <c r="H38" s="15" t="str">
        <f t="shared" si="6"/>
        <v/>
      </c>
      <c r="I38" s="16" t="str">
        <f t="shared" si="7"/>
        <v/>
      </c>
      <c r="J38" s="41"/>
      <c r="K38" s="41"/>
      <c r="L38" s="4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  <row r="331" spans="1:12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  <c r="L331" s="21"/>
    </row>
    <row r="332" spans="1:12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  <c r="L332" s="21"/>
    </row>
    <row r="333" spans="1:12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  <c r="L333" s="21"/>
    </row>
    <row r="334" spans="1:12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  <c r="L334" s="21"/>
    </row>
    <row r="335" spans="1:12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  <c r="L335" s="21"/>
    </row>
    <row r="336" spans="1:12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  <c r="L336" s="21"/>
    </row>
    <row r="337" spans="1:12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  <c r="L337" s="21"/>
    </row>
    <row r="338" spans="1:12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  <c r="L338" s="21"/>
    </row>
    <row r="339" spans="1:12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  <c r="L339" s="21"/>
    </row>
    <row r="340" spans="1:12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  <c r="L340" s="21"/>
    </row>
    <row r="341" spans="1:12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  <c r="L341" s="21"/>
    </row>
    <row r="342" spans="1:12" ht="14.45">
      <c r="C342" s="21"/>
      <c r="D342" s="21"/>
      <c r="E342" s="21"/>
      <c r="F342" s="22"/>
      <c r="G342" s="21"/>
      <c r="H342" s="21"/>
      <c r="I342" s="22"/>
      <c r="J342" s="21"/>
      <c r="K342" s="21"/>
      <c r="L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42"/>
  <sheetViews>
    <sheetView zoomScale="70" zoomScaleNormal="70" workbookViewId="0">
      <pane xSplit="2" ySplit="3" topLeftCell="C4" activePane="bottomRight" state="frozen"/>
      <selection pane="bottomRight" activeCell="J7" sqref="J7:L10"/>
      <selection pane="bottomLeft" activeCell="J56" sqref="J56"/>
      <selection pane="topRight" activeCell="J56" sqref="J56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85546875" customWidth="1"/>
  </cols>
  <sheetData>
    <row r="1" spans="1:12" ht="19.5" customHeight="1">
      <c r="A1" s="89" t="str" cm="1">
        <f t="array" ref="A1">portfolio</f>
        <v>Cushman &amp; Wakefield</v>
      </c>
      <c r="B1" s="89"/>
      <c r="C1" s="89"/>
      <c r="D1" s="90" t="s">
        <v>49</v>
      </c>
      <c r="E1" s="90"/>
      <c r="F1" s="90"/>
      <c r="G1" s="88" t="s">
        <v>50</v>
      </c>
      <c r="H1" s="88"/>
      <c r="I1" s="88"/>
      <c r="J1" s="4"/>
      <c r="K1" s="4"/>
      <c r="L1" s="4"/>
    </row>
    <row r="2" spans="1:12" ht="19.5" customHeight="1">
      <c r="A2" s="91" t="s">
        <v>2</v>
      </c>
      <c r="B2" s="91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  <c r="L3" s="25" t="s">
        <v>22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 t="s">
        <v>23</v>
      </c>
      <c r="E4" s="13" t="str">
        <f>IF(AND(ISNUMBER(C4),ISNUMBER(D4)), C4-D4, "")</f>
        <v/>
      </c>
      <c r="F4" s="14" t="str">
        <f>IFERROR(E4/D4, "")</f>
        <v/>
      </c>
      <c r="G4" s="63" t="s">
        <v>23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41"/>
    </row>
    <row r="5" spans="1:12" ht="15.6">
      <c r="A5" s="30" t="str">
        <v xml:space="preserve"> Apple Valley - Bank of America</v>
      </c>
      <c r="B5" s="31" t="str">
        <v>CA</v>
      </c>
      <c r="C5" s="11"/>
      <c r="D5" s="18" t="s">
        <v>23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23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42"/>
    </row>
    <row r="6" spans="1:12" ht="15.6">
      <c r="A6" s="28" t="str">
        <v xml:space="preserve"> Arvin - Bank of America</v>
      </c>
      <c r="B6" s="29" t="str">
        <v>CA</v>
      </c>
      <c r="C6" s="24"/>
      <c r="D6" s="13" t="s">
        <v>23</v>
      </c>
      <c r="E6" s="13" t="str">
        <f t="shared" si="0"/>
        <v/>
      </c>
      <c r="F6" s="14" t="str">
        <f t="shared" ref="F6:F17" si="3">IFERROR(E6/D6, "")</f>
        <v/>
      </c>
      <c r="G6" s="63" t="s">
        <v>23</v>
      </c>
      <c r="H6" s="15" t="str">
        <f t="shared" si="1"/>
        <v/>
      </c>
      <c r="I6" s="16" t="str">
        <f t="shared" si="2"/>
        <v/>
      </c>
      <c r="J6" s="41"/>
      <c r="K6" s="41"/>
      <c r="L6" s="41"/>
    </row>
    <row r="7" spans="1:12" ht="15.6">
      <c r="A7" s="30" t="str">
        <v xml:space="preserve"> Bell - Bank of America</v>
      </c>
      <c r="B7" s="31" t="str">
        <v>CA</v>
      </c>
      <c r="C7" s="11"/>
      <c r="D7" s="18" t="s">
        <v>23</v>
      </c>
      <c r="E7" s="18" t="str">
        <f t="shared" si="0"/>
        <v/>
      </c>
      <c r="F7" s="19" t="str">
        <f t="shared" si="3"/>
        <v/>
      </c>
      <c r="G7" s="64" t="s">
        <v>23</v>
      </c>
      <c r="H7" s="20" t="str">
        <f t="shared" si="1"/>
        <v/>
      </c>
      <c r="I7" s="19" t="str">
        <f t="shared" si="2"/>
        <v/>
      </c>
      <c r="J7" s="60"/>
      <c r="K7" s="66"/>
      <c r="L7" s="86"/>
    </row>
    <row r="8" spans="1:12" ht="15.6">
      <c r="A8" s="28" t="str">
        <v xml:space="preserve"> Chula Vista - Bank of America</v>
      </c>
      <c r="B8" s="29" t="str">
        <v>CA</v>
      </c>
      <c r="C8" s="24"/>
      <c r="D8" s="13" t="s">
        <v>23</v>
      </c>
      <c r="E8" s="13" t="str">
        <f t="shared" si="0"/>
        <v/>
      </c>
      <c r="F8" s="14" t="str">
        <f t="shared" si="3"/>
        <v/>
      </c>
      <c r="G8" s="63" t="s">
        <v>23</v>
      </c>
      <c r="H8" s="15" t="str">
        <f t="shared" si="1"/>
        <v/>
      </c>
      <c r="I8" s="16" t="str">
        <f t="shared" si="2"/>
        <v/>
      </c>
      <c r="J8" s="41"/>
      <c r="K8" s="41"/>
      <c r="L8" s="41"/>
    </row>
    <row r="9" spans="1:12" ht="15.6">
      <c r="A9" s="30" t="str">
        <v xml:space="preserve"> Cupertino - Bank of America</v>
      </c>
      <c r="B9" s="31" t="str">
        <v>CA</v>
      </c>
      <c r="C9" s="11"/>
      <c r="D9" s="18" t="s">
        <v>23</v>
      </c>
      <c r="E9" s="18" t="str">
        <f t="shared" si="0"/>
        <v/>
      </c>
      <c r="F9" s="19" t="str">
        <f t="shared" si="3"/>
        <v/>
      </c>
      <c r="G9" s="64" t="s">
        <v>23</v>
      </c>
      <c r="H9" s="20" t="str">
        <f t="shared" si="1"/>
        <v/>
      </c>
      <c r="I9" s="19" t="str">
        <f t="shared" si="2"/>
        <v/>
      </c>
      <c r="J9" s="60"/>
      <c r="K9" s="61"/>
      <c r="L9" s="61"/>
    </row>
    <row r="10" spans="1:12" ht="15.6">
      <c r="A10" s="28" t="str">
        <v xml:space="preserve"> Diamond Bar - Bank of America</v>
      </c>
      <c r="B10" s="29" t="str">
        <v>CA</v>
      </c>
      <c r="C10" s="24"/>
      <c r="D10" s="13" t="s">
        <v>23</v>
      </c>
      <c r="E10" s="13" t="str">
        <f t="shared" si="0"/>
        <v/>
      </c>
      <c r="F10" s="14" t="str">
        <f t="shared" si="3"/>
        <v/>
      </c>
      <c r="G10" s="63" t="s">
        <v>23</v>
      </c>
      <c r="H10" s="63" t="str">
        <f t="shared" si="1"/>
        <v/>
      </c>
      <c r="I10" s="16" t="str">
        <f t="shared" si="2"/>
        <v/>
      </c>
      <c r="J10" s="62"/>
      <c r="K10" s="67"/>
      <c r="L10" s="87"/>
    </row>
    <row r="11" spans="1:12" ht="15.6">
      <c r="A11" s="30" t="str">
        <v xml:space="preserve"> El Centro - Bank of America</v>
      </c>
      <c r="B11" s="31" t="str">
        <v>CA</v>
      </c>
      <c r="C11" s="11"/>
      <c r="D11" s="18" t="s">
        <v>23</v>
      </c>
      <c r="E11" s="18" t="str">
        <f t="shared" si="0"/>
        <v/>
      </c>
      <c r="F11" s="19" t="str">
        <f t="shared" si="3"/>
        <v/>
      </c>
      <c r="G11" s="64" t="s">
        <v>23</v>
      </c>
      <c r="H11" s="20" t="str">
        <f t="shared" si="1"/>
        <v/>
      </c>
      <c r="I11" s="19" t="str">
        <f t="shared" si="2"/>
        <v/>
      </c>
      <c r="J11" s="42"/>
      <c r="K11" s="43"/>
      <c r="L11" s="43"/>
    </row>
    <row r="12" spans="1:12" ht="15.6">
      <c r="A12" s="28" t="str">
        <v xml:space="preserve"> Moreno Valley - Bank of America</v>
      </c>
      <c r="B12" s="29" t="str">
        <v>CA</v>
      </c>
      <c r="C12" s="24"/>
      <c r="D12" s="13" t="s">
        <v>23</v>
      </c>
      <c r="E12" s="13" t="str">
        <f t="shared" si="0"/>
        <v/>
      </c>
      <c r="F12" s="14" t="str">
        <f t="shared" si="3"/>
        <v/>
      </c>
      <c r="G12" s="63" t="s">
        <v>23</v>
      </c>
      <c r="H12" s="15" t="str">
        <f t="shared" si="1"/>
        <v/>
      </c>
      <c r="I12" s="16" t="str">
        <f t="shared" si="2"/>
        <v/>
      </c>
      <c r="J12" s="41"/>
      <c r="K12" s="41"/>
      <c r="L12" s="41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23</v>
      </c>
      <c r="E13" s="18" t="str">
        <f t="shared" si="0"/>
        <v/>
      </c>
      <c r="F13" s="19" t="str">
        <f t="shared" si="3"/>
        <v/>
      </c>
      <c r="G13" s="64" t="s">
        <v>23</v>
      </c>
      <c r="H13" s="20" t="str">
        <f t="shared" si="1"/>
        <v/>
      </c>
      <c r="I13" s="19" t="str">
        <f t="shared" si="2"/>
        <v/>
      </c>
      <c r="J13" s="42"/>
      <c r="K13" s="43"/>
      <c r="L13" s="43"/>
    </row>
    <row r="14" spans="1:12" ht="15.6">
      <c r="A14" s="28" t="str">
        <v xml:space="preserve"> Roseville - Bank of America</v>
      </c>
      <c r="B14" s="29" t="str">
        <v>CA</v>
      </c>
      <c r="C14" s="24"/>
      <c r="D14" s="13" t="s">
        <v>23</v>
      </c>
      <c r="E14" s="13" t="str">
        <f t="shared" si="0"/>
        <v/>
      </c>
      <c r="F14" s="14" t="str">
        <f t="shared" si="3"/>
        <v/>
      </c>
      <c r="G14" s="63" t="s">
        <v>23</v>
      </c>
      <c r="H14" s="15" t="str">
        <f t="shared" si="1"/>
        <v/>
      </c>
      <c r="I14" s="16" t="str">
        <f t="shared" si="2"/>
        <v/>
      </c>
      <c r="J14" s="41"/>
      <c r="K14" s="41"/>
      <c r="L14" s="41"/>
    </row>
    <row r="15" spans="1:12" ht="15.6">
      <c r="A15" s="30" t="str">
        <v xml:space="preserve"> San Bernardino - Bank of America</v>
      </c>
      <c r="B15" s="31" t="str">
        <v>CA</v>
      </c>
      <c r="C15" s="11"/>
      <c r="D15" s="18" t="s">
        <v>23</v>
      </c>
      <c r="E15" s="18" t="str">
        <f t="shared" si="0"/>
        <v/>
      </c>
      <c r="F15" s="19" t="str">
        <f t="shared" si="3"/>
        <v/>
      </c>
      <c r="G15" s="64" t="s">
        <v>23</v>
      </c>
      <c r="H15" s="20" t="str">
        <f t="shared" si="1"/>
        <v/>
      </c>
      <c r="I15" s="19" t="str">
        <f t="shared" si="2"/>
        <v/>
      </c>
      <c r="J15" s="42"/>
      <c r="K15" s="43"/>
      <c r="L15" s="43"/>
    </row>
    <row r="16" spans="1:12" ht="15.6">
      <c r="A16" s="28" t="str">
        <v xml:space="preserve"> San Diego - Bank of America</v>
      </c>
      <c r="B16" s="29" t="str">
        <v>CA</v>
      </c>
      <c r="C16" s="24"/>
      <c r="D16" s="13" t="s">
        <v>23</v>
      </c>
      <c r="E16" s="13" t="str">
        <f t="shared" si="0"/>
        <v/>
      </c>
      <c r="F16" s="14" t="str">
        <f t="shared" si="3"/>
        <v/>
      </c>
      <c r="G16" s="63" t="s">
        <v>23</v>
      </c>
      <c r="H16" s="15" t="str">
        <f t="shared" si="1"/>
        <v/>
      </c>
      <c r="I16" s="16" t="str">
        <f t="shared" si="2"/>
        <v/>
      </c>
      <c r="J16" s="41"/>
      <c r="K16" s="41"/>
      <c r="L16" s="41"/>
    </row>
    <row r="17" spans="1:12" ht="15.6">
      <c r="A17" s="30" t="str">
        <v xml:space="preserve"> Stockton - Bank of America</v>
      </c>
      <c r="B17" s="31" t="str">
        <v>CA</v>
      </c>
      <c r="C17" s="11"/>
      <c r="D17" s="18" t="s">
        <v>23</v>
      </c>
      <c r="E17" s="18" t="str">
        <f t="shared" si="0"/>
        <v/>
      </c>
      <c r="F17" s="19" t="str">
        <f t="shared" si="3"/>
        <v/>
      </c>
      <c r="G17" s="64" t="s">
        <v>23</v>
      </c>
      <c r="H17" s="20" t="str">
        <f t="shared" si="1"/>
        <v/>
      </c>
      <c r="I17" s="19" t="str">
        <f t="shared" si="2"/>
        <v/>
      </c>
      <c r="J17" s="60"/>
      <c r="K17" s="60"/>
      <c r="L17" s="60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 t="s">
        <v>23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63" t="s">
        <v>23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41"/>
    </row>
    <row r="19" spans="1:12" ht="15.6">
      <c r="A19" s="30" t="str">
        <v xml:space="preserve"> Aurora - BA - Colfax Ave</v>
      </c>
      <c r="B19" s="31" t="str">
        <v>CO</v>
      </c>
      <c r="C19" s="11"/>
      <c r="D19" s="18" t="s">
        <v>23</v>
      </c>
      <c r="E19" s="18" t="str">
        <f t="shared" si="4"/>
        <v/>
      </c>
      <c r="F19" s="19" t="str">
        <f t="shared" si="5"/>
        <v/>
      </c>
      <c r="G19" s="64" t="s">
        <v>23</v>
      </c>
      <c r="H19" s="20" t="str">
        <f t="shared" si="6"/>
        <v/>
      </c>
      <c r="I19" s="19" t="str">
        <f t="shared" si="7"/>
        <v/>
      </c>
      <c r="J19" s="42"/>
      <c r="K19" s="43"/>
      <c r="L19" s="43"/>
    </row>
    <row r="20" spans="1:12" ht="15.6">
      <c r="A20" s="28" t="str">
        <v xml:space="preserve"> Aurora - BA - Parker Rd</v>
      </c>
      <c r="B20" s="29" t="str">
        <v>CO</v>
      </c>
      <c r="C20" s="24"/>
      <c r="D20" s="13" t="s">
        <v>23</v>
      </c>
      <c r="E20" s="13" t="str">
        <f t="shared" si="4"/>
        <v/>
      </c>
      <c r="F20" s="14" t="str">
        <f t="shared" si="5"/>
        <v/>
      </c>
      <c r="G20" s="63" t="s">
        <v>23</v>
      </c>
      <c r="H20" s="15" t="str">
        <f t="shared" si="6"/>
        <v/>
      </c>
      <c r="I20" s="16" t="str">
        <f t="shared" si="7"/>
        <v/>
      </c>
      <c r="J20" s="41"/>
      <c r="K20" s="41"/>
      <c r="L20" s="41"/>
    </row>
    <row r="21" spans="1:12" ht="15.6">
      <c r="A21" s="30" t="str">
        <v xml:space="preserve"> Broomfield - Bank of America</v>
      </c>
      <c r="B21" s="31" t="str">
        <v>CO</v>
      </c>
      <c r="C21" s="11"/>
      <c r="D21" s="18" t="s">
        <v>23</v>
      </c>
      <c r="E21" s="18" t="str">
        <f t="shared" si="4"/>
        <v/>
      </c>
      <c r="F21" s="19" t="str">
        <f t="shared" si="5"/>
        <v/>
      </c>
      <c r="G21" s="64" t="s">
        <v>23</v>
      </c>
      <c r="H21" s="20" t="str">
        <f t="shared" si="6"/>
        <v/>
      </c>
      <c r="I21" s="19" t="str">
        <f t="shared" si="7"/>
        <v/>
      </c>
      <c r="J21" s="42"/>
      <c r="K21" s="43"/>
      <c r="L21" s="43"/>
    </row>
    <row r="22" spans="1:12" ht="15.6">
      <c r="A22" s="28" t="str">
        <v xml:space="preserve"> Colorado Springs - Bank of America</v>
      </c>
      <c r="B22" s="29" t="str">
        <v>CO</v>
      </c>
      <c r="C22" s="24"/>
      <c r="D22" s="13" t="s">
        <v>23</v>
      </c>
      <c r="E22" s="13" t="str">
        <f t="shared" si="4"/>
        <v/>
      </c>
      <c r="F22" s="14" t="str">
        <f t="shared" si="5"/>
        <v/>
      </c>
      <c r="G22" s="63" t="s">
        <v>23</v>
      </c>
      <c r="H22" s="15" t="str">
        <f t="shared" si="6"/>
        <v/>
      </c>
      <c r="I22" s="16" t="str">
        <f t="shared" si="7"/>
        <v/>
      </c>
      <c r="J22" s="41"/>
      <c r="K22" s="41"/>
      <c r="L22" s="41"/>
    </row>
    <row r="23" spans="1:12" ht="15.6">
      <c r="A23" s="30" t="str">
        <v xml:space="preserve"> Denver - BA - 49th Ave</v>
      </c>
      <c r="B23" s="31" t="str">
        <v>CO</v>
      </c>
      <c r="C23" s="11"/>
      <c r="D23" s="18" t="s">
        <v>23</v>
      </c>
      <c r="E23" s="18" t="str">
        <f t="shared" si="4"/>
        <v/>
      </c>
      <c r="F23" s="19" t="str">
        <f t="shared" si="5"/>
        <v/>
      </c>
      <c r="G23" s="64" t="s">
        <v>23</v>
      </c>
      <c r="H23" s="20" t="str">
        <f t="shared" si="6"/>
        <v/>
      </c>
      <c r="I23" s="19" t="str">
        <f t="shared" si="7"/>
        <v/>
      </c>
      <c r="J23" s="42"/>
      <c r="K23" s="43"/>
      <c r="L23" s="43"/>
    </row>
    <row r="24" spans="1:12" ht="15.6">
      <c r="A24" s="28" t="str">
        <v xml:space="preserve"> Denver - BA Wadsworth Blvd</v>
      </c>
      <c r="B24" s="29" t="str">
        <v>CO</v>
      </c>
      <c r="C24" s="24"/>
      <c r="D24" s="13" t="s">
        <v>23</v>
      </c>
      <c r="E24" s="13" t="str">
        <f t="shared" si="4"/>
        <v/>
      </c>
      <c r="F24" s="14" t="str">
        <f t="shared" si="5"/>
        <v/>
      </c>
      <c r="G24" s="63" t="s">
        <v>23</v>
      </c>
      <c r="H24" s="15" t="str">
        <f t="shared" si="6"/>
        <v/>
      </c>
      <c r="I24" s="16" t="str">
        <f t="shared" si="7"/>
        <v/>
      </c>
      <c r="J24" s="41"/>
      <c r="K24" s="41"/>
      <c r="L24" s="41"/>
    </row>
    <row r="25" spans="1:12" ht="15.6">
      <c r="A25" s="30" t="str">
        <v xml:space="preserve"> Fort Collins - Bank of America</v>
      </c>
      <c r="B25" s="31" t="str">
        <v>CO</v>
      </c>
      <c r="C25" s="11"/>
      <c r="D25" s="18" t="s">
        <v>23</v>
      </c>
      <c r="E25" s="18" t="str">
        <f t="shared" si="4"/>
        <v/>
      </c>
      <c r="F25" s="19" t="str">
        <f t="shared" si="5"/>
        <v/>
      </c>
      <c r="G25" s="64" t="s">
        <v>23</v>
      </c>
      <c r="H25" s="20" t="str">
        <f t="shared" si="6"/>
        <v/>
      </c>
      <c r="I25" s="19" t="str">
        <f t="shared" si="7"/>
        <v/>
      </c>
      <c r="J25" s="60"/>
      <c r="K25" s="60"/>
      <c r="L25" s="60"/>
    </row>
    <row r="26" spans="1:12" ht="15.6">
      <c r="A26" s="28" t="str">
        <v xml:space="preserve"> Lafayette - Bank of America</v>
      </c>
      <c r="B26" s="29" t="str">
        <v>CO</v>
      </c>
      <c r="C26" s="24"/>
      <c r="D26" s="13" t="s">
        <v>23</v>
      </c>
      <c r="E26" s="13" t="str">
        <f t="shared" si="4"/>
        <v/>
      </c>
      <c r="F26" s="14" t="str">
        <f t="shared" si="5"/>
        <v/>
      </c>
      <c r="G26" s="63" t="s">
        <v>23</v>
      </c>
      <c r="H26" s="15" t="str">
        <f t="shared" si="6"/>
        <v/>
      </c>
      <c r="I26" s="16" t="str">
        <f t="shared" si="7"/>
        <v/>
      </c>
      <c r="J26" s="62"/>
      <c r="K26" s="62"/>
      <c r="L26" s="62"/>
    </row>
    <row r="27" spans="1:12" ht="15.6">
      <c r="A27" s="30" t="str">
        <v xml:space="preserve"> Lakewood - Bank of America</v>
      </c>
      <c r="B27" s="31" t="str">
        <v>CO</v>
      </c>
      <c r="C27" s="11"/>
      <c r="D27" s="18" t="s">
        <v>23</v>
      </c>
      <c r="E27" s="18" t="str">
        <f t="shared" si="4"/>
        <v/>
      </c>
      <c r="F27" s="19" t="str">
        <f t="shared" si="5"/>
        <v/>
      </c>
      <c r="G27" s="64" t="s">
        <v>23</v>
      </c>
      <c r="H27" s="20" t="str">
        <f t="shared" si="6"/>
        <v/>
      </c>
      <c r="I27" s="19" t="str">
        <f t="shared" si="7"/>
        <v/>
      </c>
      <c r="J27" s="42"/>
      <c r="K27" s="43"/>
      <c r="L27" s="43"/>
    </row>
    <row r="28" spans="1:12" ht="15.6">
      <c r="A28" s="28" t="str">
        <v xml:space="preserve"> Longmont - Bank of America</v>
      </c>
      <c r="B28" s="29" t="str">
        <v>CO</v>
      </c>
      <c r="C28" s="24"/>
      <c r="D28" s="13" t="s">
        <v>23</v>
      </c>
      <c r="E28" s="13" t="str">
        <f t="shared" si="4"/>
        <v/>
      </c>
      <c r="F28" s="14" t="str">
        <f t="shared" si="5"/>
        <v/>
      </c>
      <c r="G28" s="63" t="s">
        <v>23</v>
      </c>
      <c r="H28" s="15" t="str">
        <f t="shared" si="6"/>
        <v/>
      </c>
      <c r="I28" s="16" t="str">
        <f t="shared" si="7"/>
        <v/>
      </c>
      <c r="J28" s="41"/>
      <c r="K28" s="41"/>
      <c r="L28" s="41"/>
    </row>
    <row r="29" spans="1:12" ht="15.6">
      <c r="A29" s="30" t="str">
        <v xml:space="preserve"> Thornton - Bank of America</v>
      </c>
      <c r="B29" s="31" t="str">
        <v>CO</v>
      </c>
      <c r="C29" s="11"/>
      <c r="D29" s="18" t="s">
        <v>23</v>
      </c>
      <c r="E29" s="18" t="str">
        <f t="shared" si="4"/>
        <v/>
      </c>
      <c r="F29" s="19" t="str">
        <f t="shared" si="5"/>
        <v/>
      </c>
      <c r="G29" s="64" t="s">
        <v>23</v>
      </c>
      <c r="H29" s="20" t="str">
        <f t="shared" si="6"/>
        <v/>
      </c>
      <c r="I29" s="19" t="str">
        <f t="shared" si="7"/>
        <v/>
      </c>
      <c r="J29" s="42"/>
      <c r="K29" s="43"/>
      <c r="L29" s="43"/>
    </row>
    <row r="30" spans="1:12" ht="15.6">
      <c r="A30" s="28" t="str">
        <v xml:space="preserve"> Calumet City - Bank of America</v>
      </c>
      <c r="B30" s="29" t="str">
        <v>IL</v>
      </c>
      <c r="C30" s="24"/>
      <c r="D30" s="13" t="s">
        <v>23</v>
      </c>
      <c r="E30" s="13" t="str">
        <f t="shared" si="4"/>
        <v/>
      </c>
      <c r="F30" s="14" t="str">
        <f t="shared" si="5"/>
        <v/>
      </c>
      <c r="G30" s="63" t="s">
        <v>23</v>
      </c>
      <c r="H30" s="15" t="str">
        <f t="shared" si="6"/>
        <v/>
      </c>
      <c r="I30" s="16" t="str">
        <f t="shared" si="7"/>
        <v/>
      </c>
      <c r="J30" s="41"/>
      <c r="K30" s="41"/>
      <c r="L30" s="41"/>
    </row>
    <row r="31" spans="1:12" ht="15.6">
      <c r="A31" s="30" t="str">
        <v xml:space="preserve"> Downers Grove - Bank of America</v>
      </c>
      <c r="B31" s="31" t="str">
        <v>IL</v>
      </c>
      <c r="C31" s="11"/>
      <c r="D31" s="18" t="s">
        <v>23</v>
      </c>
      <c r="E31" s="18" t="str">
        <f t="shared" si="4"/>
        <v/>
      </c>
      <c r="F31" s="19" t="str">
        <f t="shared" si="5"/>
        <v/>
      </c>
      <c r="G31" s="64" t="s">
        <v>23</v>
      </c>
      <c r="H31" s="20" t="str">
        <f t="shared" si="6"/>
        <v/>
      </c>
      <c r="I31" s="19" t="str">
        <f t="shared" si="7"/>
        <v/>
      </c>
      <c r="J31" s="42"/>
      <c r="K31" s="43"/>
      <c r="L31" s="43"/>
    </row>
    <row r="32" spans="1:12" ht="15.6">
      <c r="A32" s="28" t="str">
        <v xml:space="preserve"> Bloomington - Bank of America</v>
      </c>
      <c r="B32" s="29" t="str">
        <v>MN</v>
      </c>
      <c r="C32" s="24"/>
      <c r="D32" s="13" t="s">
        <v>23</v>
      </c>
      <c r="E32" s="13" t="str">
        <f t="shared" si="4"/>
        <v/>
      </c>
      <c r="F32" s="14" t="str">
        <f t="shared" si="5"/>
        <v/>
      </c>
      <c r="G32" s="63" t="s">
        <v>23</v>
      </c>
      <c r="H32" s="15" t="str">
        <f t="shared" si="6"/>
        <v/>
      </c>
      <c r="I32" s="16" t="str">
        <f t="shared" si="7"/>
        <v/>
      </c>
      <c r="J32" s="62"/>
      <c r="K32" s="62"/>
      <c r="L32" s="62"/>
    </row>
    <row r="33" spans="1:12" ht="15.6">
      <c r="A33" s="30" t="str">
        <v xml:space="preserve"> Clayton - Bank of America</v>
      </c>
      <c r="B33" s="31" t="str">
        <v>MO</v>
      </c>
      <c r="C33" s="11"/>
      <c r="D33" s="18" t="s">
        <v>23</v>
      </c>
      <c r="E33" s="18" t="str">
        <f t="shared" si="4"/>
        <v/>
      </c>
      <c r="F33" s="19" t="str">
        <f t="shared" si="5"/>
        <v/>
      </c>
      <c r="G33" s="64" t="s">
        <v>23</v>
      </c>
      <c r="H33" s="20" t="str">
        <f t="shared" si="6"/>
        <v/>
      </c>
      <c r="I33" s="19" t="str">
        <f t="shared" si="7"/>
        <v/>
      </c>
      <c r="J33" s="42"/>
      <c r="K33" s="43"/>
      <c r="L33" s="43"/>
    </row>
    <row r="34" spans="1:12" ht="15.6">
      <c r="A34" s="28" t="str">
        <v xml:space="preserve"> Manchester - Bank of America</v>
      </c>
      <c r="B34" s="29" t="str">
        <v>MO</v>
      </c>
      <c r="C34" s="24"/>
      <c r="D34" s="13" t="s">
        <v>23</v>
      </c>
      <c r="E34" s="13" t="str">
        <f t="shared" si="4"/>
        <v/>
      </c>
      <c r="F34" s="14" t="str">
        <f t="shared" si="5"/>
        <v/>
      </c>
      <c r="G34" s="63" t="s">
        <v>23</v>
      </c>
      <c r="H34" s="15" t="str">
        <f t="shared" si="6"/>
        <v/>
      </c>
      <c r="I34" s="16" t="str">
        <f t="shared" si="7"/>
        <v/>
      </c>
      <c r="J34" s="41"/>
      <c r="K34" s="41"/>
      <c r="L34" s="41"/>
    </row>
    <row r="35" spans="1:12" ht="15.6">
      <c r="A35" s="30" t="str">
        <v xml:space="preserve"> Las Vegas - BA - Eastern Ave</v>
      </c>
      <c r="B35" s="31" t="str">
        <v>NV</v>
      </c>
      <c r="C35" s="11"/>
      <c r="D35" s="18" t="s">
        <v>23</v>
      </c>
      <c r="E35" s="18" t="str">
        <f t="shared" si="4"/>
        <v/>
      </c>
      <c r="F35" s="19" t="str">
        <f t="shared" si="5"/>
        <v/>
      </c>
      <c r="G35" s="64" t="s">
        <v>23</v>
      </c>
      <c r="H35" s="20" t="str">
        <f t="shared" si="6"/>
        <v/>
      </c>
      <c r="I35" s="19" t="str">
        <f t="shared" si="7"/>
        <v/>
      </c>
      <c r="J35" s="42"/>
      <c r="K35" s="43"/>
      <c r="L35" s="43"/>
    </row>
    <row r="36" spans="1:12" ht="15.6">
      <c r="A36" s="28" t="str">
        <v xml:space="preserve"> Las Vegas - BA - Town Ctr Dr</v>
      </c>
      <c r="B36" s="29" t="str">
        <v>NV</v>
      </c>
      <c r="C36" s="24"/>
      <c r="D36" s="13" t="s">
        <v>23</v>
      </c>
      <c r="E36" s="13" t="str">
        <f t="shared" si="4"/>
        <v/>
      </c>
      <c r="F36" s="14" t="str">
        <f t="shared" si="5"/>
        <v/>
      </c>
      <c r="G36" s="63" t="s">
        <v>23</v>
      </c>
      <c r="H36" s="15" t="str">
        <f t="shared" si="6"/>
        <v/>
      </c>
      <c r="I36" s="16" t="str">
        <f t="shared" si="7"/>
        <v/>
      </c>
      <c r="J36" s="41"/>
      <c r="K36" s="41"/>
      <c r="L36" s="41"/>
    </row>
    <row r="37" spans="1:12" ht="15.6">
      <c r="A37" s="30" t="str">
        <v xml:space="preserve"> Riverton - Bank of America</v>
      </c>
      <c r="B37" s="31" t="str">
        <v>UT</v>
      </c>
      <c r="C37" s="11"/>
      <c r="D37" s="18" t="s">
        <v>23</v>
      </c>
      <c r="E37" s="18" t="str">
        <f t="shared" si="4"/>
        <v/>
      </c>
      <c r="F37" s="19" t="str">
        <f t="shared" si="5"/>
        <v/>
      </c>
      <c r="G37" s="64" t="s">
        <v>23</v>
      </c>
      <c r="H37" s="20" t="str">
        <f t="shared" si="6"/>
        <v/>
      </c>
      <c r="I37" s="19" t="str">
        <f t="shared" si="7"/>
        <v/>
      </c>
      <c r="J37" s="42"/>
      <c r="K37" s="43"/>
      <c r="L37" s="43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 t="s">
        <v>23</v>
      </c>
      <c r="E38" s="13" t="str">
        <f t="shared" si="4"/>
        <v/>
      </c>
      <c r="F38" s="14" t="str">
        <f t="shared" si="5"/>
        <v/>
      </c>
      <c r="G38" s="63" t="s">
        <v>23</v>
      </c>
      <c r="H38" s="15" t="str">
        <f t="shared" si="6"/>
        <v/>
      </c>
      <c r="I38" s="16" t="str">
        <f t="shared" si="7"/>
        <v/>
      </c>
      <c r="J38" s="41"/>
      <c r="K38" s="41"/>
      <c r="L38" s="41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  <row r="312" spans="1:12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  <c r="L312" s="21"/>
    </row>
    <row r="313" spans="1:12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  <c r="L313" s="21"/>
    </row>
    <row r="314" spans="1:12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  <c r="L314" s="21"/>
    </row>
    <row r="315" spans="1:12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  <c r="L315" s="21"/>
    </row>
    <row r="316" spans="1:12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  <c r="L316" s="21"/>
    </row>
    <row r="317" spans="1:12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  <c r="L317" s="21"/>
    </row>
    <row r="318" spans="1:12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  <c r="L318" s="21"/>
    </row>
    <row r="319" spans="1:12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  <c r="L319" s="21"/>
    </row>
    <row r="320" spans="1:12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  <c r="L320" s="21"/>
    </row>
    <row r="321" spans="1:12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  <c r="L321" s="21"/>
    </row>
    <row r="322" spans="1:12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  <c r="L322" s="21"/>
    </row>
    <row r="323" spans="1:12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  <c r="L323" s="21"/>
    </row>
    <row r="324" spans="1:12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  <c r="L324" s="21"/>
    </row>
    <row r="325" spans="1:12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  <c r="L325" s="21"/>
    </row>
    <row r="326" spans="1:12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  <c r="L326" s="21"/>
    </row>
    <row r="327" spans="1:12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  <c r="L327" s="21"/>
    </row>
    <row r="328" spans="1:12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  <c r="L328" s="21"/>
    </row>
    <row r="329" spans="1:12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  <c r="L329" s="21"/>
    </row>
    <row r="330" spans="1:12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  <c r="L330" s="21"/>
    </row>
    <row r="331" spans="1:12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  <c r="L331" s="21"/>
    </row>
    <row r="332" spans="1:12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  <c r="L332" s="21"/>
    </row>
    <row r="333" spans="1:12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  <c r="L333" s="21"/>
    </row>
    <row r="334" spans="1:12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  <c r="L334" s="21"/>
    </row>
    <row r="335" spans="1:12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  <c r="L335" s="21"/>
    </row>
    <row r="336" spans="1:12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  <c r="L336" s="21"/>
    </row>
    <row r="337" spans="1:12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  <c r="L337" s="21"/>
    </row>
    <row r="338" spans="1:12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  <c r="L338" s="21"/>
    </row>
    <row r="339" spans="1:12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  <c r="L339" s="21"/>
    </row>
    <row r="340" spans="1:12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  <c r="L340" s="21"/>
    </row>
    <row r="341" spans="1:12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  <c r="L341" s="21"/>
    </row>
    <row r="342" spans="1:12" ht="14.45">
      <c r="C342" s="21"/>
      <c r="D342" s="21"/>
      <c r="E342" s="21"/>
      <c r="F342" s="22"/>
      <c r="G342" s="21"/>
      <c r="H342" s="21"/>
      <c r="I342" s="22"/>
      <c r="J342" s="21"/>
      <c r="K342" s="21"/>
      <c r="L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4" activePane="bottomLeft" state="frozen"/>
      <selection pane="bottomLeft" activeCell="A41" sqref="A41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t="s">
        <v>52</v>
      </c>
    </row>
    <row r="3" spans="1:7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4.45">
      <c r="A4" s="44" t="s">
        <v>56</v>
      </c>
      <c r="B4" s="45" t="s">
        <v>57</v>
      </c>
      <c r="C4" s="45" t="s">
        <v>58</v>
      </c>
      <c r="D4" s="46"/>
      <c r="E4" s="47" t="s">
        <v>59</v>
      </c>
      <c r="G4" s="3"/>
    </row>
    <row r="5" spans="1:7" ht="14.45">
      <c r="A5" s="48" t="s">
        <v>56</v>
      </c>
      <c r="B5" s="49" t="s">
        <v>60</v>
      </c>
      <c r="C5" s="49" t="s">
        <v>58</v>
      </c>
      <c r="D5" s="50"/>
      <c r="E5" s="51" t="s">
        <v>59</v>
      </c>
      <c r="G5" s="3"/>
    </row>
    <row r="6" spans="1:7" ht="14.45">
      <c r="A6" s="44" t="s">
        <v>61</v>
      </c>
      <c r="B6" s="45" t="s">
        <v>62</v>
      </c>
      <c r="C6" s="45" t="s">
        <v>58</v>
      </c>
      <c r="D6" s="46"/>
      <c r="E6" s="47" t="s">
        <v>59</v>
      </c>
      <c r="G6" s="3"/>
    </row>
    <row r="7" spans="1:7" ht="12.75" customHeight="1">
      <c r="A7" s="48" t="s">
        <v>63</v>
      </c>
      <c r="B7" s="49" t="s">
        <v>64</v>
      </c>
      <c r="C7" s="49" t="s">
        <v>58</v>
      </c>
      <c r="D7" s="50"/>
      <c r="E7" s="51" t="s">
        <v>59</v>
      </c>
    </row>
    <row r="8" spans="1:7" ht="12.75" customHeight="1">
      <c r="A8" s="44" t="s">
        <v>65</v>
      </c>
      <c r="B8" s="45" t="s">
        <v>66</v>
      </c>
      <c r="C8" s="45" t="s">
        <v>58</v>
      </c>
      <c r="D8" s="46"/>
      <c r="E8" s="47" t="s">
        <v>59</v>
      </c>
    </row>
    <row r="9" spans="1:7" ht="12.75" customHeight="1">
      <c r="A9" s="48" t="s">
        <v>67</v>
      </c>
      <c r="B9" s="49" t="s">
        <v>68</v>
      </c>
      <c r="C9" s="49" t="s">
        <v>58</v>
      </c>
      <c r="D9" s="50"/>
      <c r="E9" s="51" t="s">
        <v>59</v>
      </c>
    </row>
    <row r="10" spans="1:7" ht="12.75" customHeight="1">
      <c r="A10" s="44" t="s">
        <v>69</v>
      </c>
      <c r="B10" s="45" t="s">
        <v>70</v>
      </c>
      <c r="C10" s="45" t="s">
        <v>58</v>
      </c>
      <c r="D10" s="46"/>
      <c r="E10" s="47" t="s">
        <v>59</v>
      </c>
    </row>
    <row r="11" spans="1:7" ht="12.75" customHeight="1">
      <c r="A11" s="48" t="s">
        <v>71</v>
      </c>
      <c r="B11" s="49" t="s">
        <v>72</v>
      </c>
      <c r="C11" s="49" t="s">
        <v>58</v>
      </c>
      <c r="D11" s="50"/>
      <c r="E11" s="51" t="s">
        <v>59</v>
      </c>
    </row>
    <row r="12" spans="1:7" ht="12.75" customHeight="1">
      <c r="A12" s="44" t="s">
        <v>73</v>
      </c>
      <c r="B12" s="45" t="s">
        <v>74</v>
      </c>
      <c r="C12" s="45" t="s">
        <v>58</v>
      </c>
      <c r="D12" s="46"/>
      <c r="E12" s="47" t="s">
        <v>59</v>
      </c>
    </row>
    <row r="13" spans="1:7" ht="12.75" customHeight="1">
      <c r="A13" s="48" t="s">
        <v>56</v>
      </c>
      <c r="B13" s="49" t="s">
        <v>75</v>
      </c>
      <c r="C13" s="49" t="s">
        <v>58</v>
      </c>
      <c r="D13" s="50"/>
      <c r="E13" s="51" t="s">
        <v>59</v>
      </c>
    </row>
    <row r="14" spans="1:7" ht="12.75" customHeight="1">
      <c r="A14" s="44" t="s">
        <v>76</v>
      </c>
      <c r="B14" s="45" t="s">
        <v>77</v>
      </c>
      <c r="C14" s="45" t="s">
        <v>58</v>
      </c>
      <c r="D14" s="46"/>
      <c r="E14" s="47" t="s">
        <v>59</v>
      </c>
    </row>
    <row r="15" spans="1:7" ht="12.75" customHeight="1">
      <c r="A15" s="48" t="s">
        <v>78</v>
      </c>
      <c r="B15" s="49" t="s">
        <v>79</v>
      </c>
      <c r="C15" s="49" t="s">
        <v>58</v>
      </c>
      <c r="D15" s="50"/>
      <c r="E15" s="51" t="s">
        <v>59</v>
      </c>
    </row>
    <row r="16" spans="1:7" ht="12.75" customHeight="1">
      <c r="A16" s="44" t="s">
        <v>80</v>
      </c>
      <c r="B16" s="45" t="s">
        <v>81</v>
      </c>
      <c r="C16" s="45" t="s">
        <v>58</v>
      </c>
      <c r="D16" s="46"/>
      <c r="E16" s="47" t="s">
        <v>59</v>
      </c>
    </row>
    <row r="17" spans="1:5" ht="12.75" customHeight="1">
      <c r="A17" s="48" t="s">
        <v>82</v>
      </c>
      <c r="B17" s="49" t="s">
        <v>83</v>
      </c>
      <c r="C17" s="49" t="s">
        <v>58</v>
      </c>
      <c r="D17" s="50"/>
      <c r="E17" s="51" t="s">
        <v>59</v>
      </c>
    </row>
    <row r="18" spans="1:5" ht="12.75" customHeight="1">
      <c r="A18" s="48"/>
      <c r="B18" s="49" t="s">
        <v>84</v>
      </c>
      <c r="C18" s="49" t="s">
        <v>58</v>
      </c>
      <c r="D18" s="46"/>
      <c r="E18" s="47" t="s">
        <v>59</v>
      </c>
    </row>
    <row r="19" spans="1:5" ht="12.75" customHeight="1">
      <c r="A19" s="48" t="s">
        <v>85</v>
      </c>
      <c r="B19" s="49" t="s">
        <v>86</v>
      </c>
      <c r="C19" s="49" t="s">
        <v>87</v>
      </c>
      <c r="D19" s="50"/>
      <c r="E19" s="51" t="s">
        <v>59</v>
      </c>
    </row>
    <row r="20" spans="1:5" ht="12.75" customHeight="1">
      <c r="A20" s="48" t="s">
        <v>88</v>
      </c>
      <c r="B20" s="49" t="s">
        <v>89</v>
      </c>
      <c r="C20" s="49" t="s">
        <v>87</v>
      </c>
      <c r="D20" s="46"/>
      <c r="E20" s="47" t="s">
        <v>59</v>
      </c>
    </row>
    <row r="21" spans="1:5" ht="12.75" customHeight="1">
      <c r="A21" s="48" t="s">
        <v>90</v>
      </c>
      <c r="B21" s="49" t="s">
        <v>91</v>
      </c>
      <c r="C21" s="49" t="s">
        <v>87</v>
      </c>
      <c r="D21" s="50"/>
      <c r="E21" s="51" t="s">
        <v>59</v>
      </c>
    </row>
    <row r="22" spans="1:5" ht="12.75" customHeight="1">
      <c r="A22" s="48" t="s">
        <v>92</v>
      </c>
      <c r="B22" s="49" t="s">
        <v>93</v>
      </c>
      <c r="C22" s="49" t="s">
        <v>87</v>
      </c>
      <c r="D22" s="46"/>
      <c r="E22" s="47" t="s">
        <v>59</v>
      </c>
    </row>
    <row r="23" spans="1:5" ht="12.75" customHeight="1">
      <c r="A23" s="48" t="s">
        <v>94</v>
      </c>
      <c r="B23" s="49" t="s">
        <v>95</v>
      </c>
      <c r="C23" s="49" t="s">
        <v>87</v>
      </c>
      <c r="D23" s="50"/>
      <c r="E23" s="51" t="s">
        <v>59</v>
      </c>
    </row>
    <row r="24" spans="1:5" ht="12.75" customHeight="1">
      <c r="A24" s="48" t="s">
        <v>96</v>
      </c>
      <c r="B24" s="49" t="s">
        <v>97</v>
      </c>
      <c r="C24" s="49" t="s">
        <v>87</v>
      </c>
      <c r="D24" s="46"/>
      <c r="E24" s="47" t="s">
        <v>59</v>
      </c>
    </row>
    <row r="25" spans="1:5" ht="12.75" customHeight="1">
      <c r="A25" s="48" t="s">
        <v>98</v>
      </c>
      <c r="B25" s="49" t="s">
        <v>99</v>
      </c>
      <c r="C25" s="49" t="s">
        <v>87</v>
      </c>
      <c r="D25" s="50"/>
      <c r="E25" s="51" t="s">
        <v>59</v>
      </c>
    </row>
    <row r="26" spans="1:5" ht="12.75" customHeight="1">
      <c r="A26" s="48" t="s">
        <v>100</v>
      </c>
      <c r="B26" s="49" t="s">
        <v>101</v>
      </c>
      <c r="C26" s="49" t="s">
        <v>87</v>
      </c>
      <c r="D26" s="46"/>
      <c r="E26" s="47" t="s">
        <v>59</v>
      </c>
    </row>
    <row r="27" spans="1:5" ht="12.75" customHeight="1">
      <c r="A27" s="48" t="s">
        <v>102</v>
      </c>
      <c r="B27" s="49" t="s">
        <v>103</v>
      </c>
      <c r="C27" s="49" t="s">
        <v>87</v>
      </c>
      <c r="D27" s="50"/>
      <c r="E27" s="51" t="s">
        <v>59</v>
      </c>
    </row>
    <row r="28" spans="1:5" ht="12.75" customHeight="1">
      <c r="A28" s="48" t="s">
        <v>104</v>
      </c>
      <c r="B28" s="49" t="s">
        <v>105</v>
      </c>
      <c r="C28" s="49" t="s">
        <v>87</v>
      </c>
      <c r="D28" s="46"/>
      <c r="E28" s="47" t="s">
        <v>59</v>
      </c>
    </row>
    <row r="29" spans="1:5" ht="12.75" customHeight="1">
      <c r="A29" s="48" t="s">
        <v>106</v>
      </c>
      <c r="B29" s="49" t="s">
        <v>107</v>
      </c>
      <c r="C29" s="49" t="s">
        <v>87</v>
      </c>
      <c r="D29" s="50"/>
      <c r="E29" s="51" t="s">
        <v>59</v>
      </c>
    </row>
    <row r="30" spans="1:5" ht="12.75" customHeight="1">
      <c r="A30" s="48" t="s">
        <v>108</v>
      </c>
      <c r="B30" s="49" t="s">
        <v>109</v>
      </c>
      <c r="C30" s="49" t="s">
        <v>110</v>
      </c>
      <c r="D30" s="46"/>
      <c r="E30" s="47" t="s">
        <v>59</v>
      </c>
    </row>
    <row r="31" spans="1:5" ht="12.75" customHeight="1">
      <c r="A31" s="48" t="s">
        <v>111</v>
      </c>
      <c r="B31" s="49" t="s">
        <v>112</v>
      </c>
      <c r="C31" s="49" t="s">
        <v>110</v>
      </c>
      <c r="D31" s="50"/>
      <c r="E31" s="51" t="s">
        <v>59</v>
      </c>
    </row>
    <row r="32" spans="1:5" ht="12.75" customHeight="1">
      <c r="A32" s="48" t="s">
        <v>56</v>
      </c>
      <c r="B32" s="49" t="s">
        <v>113</v>
      </c>
      <c r="C32" s="49" t="s">
        <v>114</v>
      </c>
      <c r="D32" s="46"/>
      <c r="E32" s="47" t="s">
        <v>59</v>
      </c>
    </row>
    <row r="33" spans="1:5" ht="12.75" customHeight="1">
      <c r="A33" s="48" t="s">
        <v>115</v>
      </c>
      <c r="B33" s="49" t="s">
        <v>116</v>
      </c>
      <c r="C33" s="49" t="s">
        <v>117</v>
      </c>
      <c r="D33" s="50"/>
      <c r="E33" s="51" t="s">
        <v>59</v>
      </c>
    </row>
    <row r="34" spans="1:5" ht="12.75" customHeight="1">
      <c r="A34" s="48" t="s">
        <v>118</v>
      </c>
      <c r="B34" s="49" t="s">
        <v>119</v>
      </c>
      <c r="C34" s="49" t="s">
        <v>117</v>
      </c>
      <c r="D34" s="46"/>
      <c r="E34" s="47" t="s">
        <v>59</v>
      </c>
    </row>
    <row r="35" spans="1:5" ht="12.75" customHeight="1">
      <c r="A35" s="48" t="s">
        <v>120</v>
      </c>
      <c r="B35" s="49" t="s">
        <v>121</v>
      </c>
      <c r="C35" s="49" t="s">
        <v>122</v>
      </c>
      <c r="D35" s="50"/>
      <c r="E35" s="51" t="s">
        <v>59</v>
      </c>
    </row>
    <row r="36" spans="1:5" ht="12.75" customHeight="1">
      <c r="A36" s="48" t="s">
        <v>56</v>
      </c>
      <c r="B36" s="49" t="s">
        <v>123</v>
      </c>
      <c r="C36" s="49" t="s">
        <v>122</v>
      </c>
      <c r="D36" s="46"/>
      <c r="E36" s="47" t="s">
        <v>59</v>
      </c>
    </row>
    <row r="37" spans="1:5" ht="12.75" customHeight="1">
      <c r="A37" s="48" t="s">
        <v>124</v>
      </c>
      <c r="B37" s="49" t="s">
        <v>125</v>
      </c>
      <c r="C37" s="49" t="s">
        <v>126</v>
      </c>
      <c r="D37" s="50"/>
      <c r="E37" s="51" t="s">
        <v>59</v>
      </c>
    </row>
    <row r="38" spans="1:5" ht="12.75" customHeight="1">
      <c r="A38" s="52" t="s">
        <v>127</v>
      </c>
      <c r="B38" s="53" t="s">
        <v>128</v>
      </c>
      <c r="C38" s="53" t="s">
        <v>126</v>
      </c>
      <c r="D38" s="54"/>
      <c r="E38" s="55" t="s">
        <v>59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D8F4EB20-3812-44AD-9435-76DC291B562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2026-02-20T18:18:25Z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