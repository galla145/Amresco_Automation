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56F25FA-EB58-45AD-8ECE-8CE819AA00E9}" xr6:coauthVersionLast="47" xr6:coauthVersionMax="47" xr10:uidLastSave="{D765198E-05ED-4706-ABD5-467A706D6AE2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72" l="1"/>
  <c r="A1" i="72" a="1"/>
  <c r="A1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I27" i="72"/>
  <c r="E28" i="72"/>
  <c r="F28" i="72" s="1"/>
  <c r="H28" i="72"/>
  <c r="I28" i="72" s="1"/>
  <c r="E29" i="72"/>
  <c r="F29" i="72"/>
  <c r="H29" i="72"/>
  <c r="I29" i="72" s="1"/>
  <c r="E17" i="33"/>
  <c r="F17" i="33" s="1"/>
  <c r="H17" i="33"/>
  <c r="I17" i="33" s="1"/>
  <c r="E27" i="32"/>
  <c r="F27" i="32" s="1"/>
  <c r="H27" i="32"/>
  <c r="I27" i="32" s="1"/>
  <c r="E28" i="32"/>
  <c r="F28" i="32" s="1"/>
  <c r="H28" i="32"/>
  <c r="H28" i="30" s="1"/>
  <c r="I28" i="32"/>
  <c r="E29" i="32"/>
  <c r="F29" i="32"/>
  <c r="H29" i="32"/>
  <c r="I29" i="32"/>
  <c r="E4" i="33"/>
  <c r="E28" i="33"/>
  <c r="F28" i="33" s="1"/>
  <c r="H28" i="33"/>
  <c r="I28" i="33" s="1"/>
  <c r="E29" i="33"/>
  <c r="F29" i="33"/>
  <c r="H29" i="33"/>
  <c r="C28" i="30"/>
  <c r="D28" i="30"/>
  <c r="G28" i="30"/>
  <c r="C29" i="30"/>
  <c r="D29" i="30"/>
  <c r="G29" i="30"/>
  <c r="H29" i="30"/>
  <c r="I29" i="30" s="1"/>
  <c r="C28" i="29"/>
  <c r="E28" i="29" s="1"/>
  <c r="F28" i="29" s="1"/>
  <c r="D28" i="29"/>
  <c r="G28" i="29"/>
  <c r="I28" i="29" s="1"/>
  <c r="H28" i="29"/>
  <c r="C29" i="29"/>
  <c r="E29" i="29" s="1"/>
  <c r="F29" i="29" s="1"/>
  <c r="D29" i="29"/>
  <c r="G29" i="29"/>
  <c r="H29" i="29"/>
  <c r="I29" i="29"/>
  <c r="C28" i="18"/>
  <c r="E28" i="18" s="1"/>
  <c r="F28" i="18" s="1"/>
  <c r="D28" i="18"/>
  <c r="G28" i="18"/>
  <c r="I28" i="18" s="1"/>
  <c r="H28" i="18"/>
  <c r="C29" i="18"/>
  <c r="E29" i="18" s="1"/>
  <c r="F29" i="18" s="1"/>
  <c r="D29" i="18"/>
  <c r="G29" i="18"/>
  <c r="I29" i="18" s="1"/>
  <c r="H29" i="18"/>
  <c r="C28" i="1"/>
  <c r="E28" i="1" s="1"/>
  <c r="F28" i="1" s="1"/>
  <c r="D28" i="1"/>
  <c r="G28" i="1"/>
  <c r="H28" i="1"/>
  <c r="I28" i="1" s="1"/>
  <c r="C29" i="1"/>
  <c r="D29" i="1"/>
  <c r="D29" i="34" s="1"/>
  <c r="G29" i="1"/>
  <c r="C4" i="1"/>
  <c r="C5" i="1"/>
  <c r="C6" i="1"/>
  <c r="C7" i="1"/>
  <c r="C8" i="1"/>
  <c r="C9" i="1"/>
  <c r="C10" i="1"/>
  <c r="C11" i="1"/>
  <c r="H25" i="1"/>
  <c r="H27" i="1"/>
  <c r="G25" i="1"/>
  <c r="I25" i="1" s="1"/>
  <c r="G26" i="1"/>
  <c r="G27" i="1"/>
  <c r="D25" i="1"/>
  <c r="D26" i="1"/>
  <c r="D27" i="1"/>
  <c r="C25" i="1"/>
  <c r="C26" i="1"/>
  <c r="E26" i="1" s="1"/>
  <c r="F26" i="1" s="1"/>
  <c r="C27" i="1"/>
  <c r="E27" i="1" s="1"/>
  <c r="F27" i="1" s="1"/>
  <c r="I27" i="18"/>
  <c r="H25" i="18"/>
  <c r="H26" i="18"/>
  <c r="H27" i="18"/>
  <c r="G25" i="18"/>
  <c r="I25" i="18" s="1"/>
  <c r="G26" i="18"/>
  <c r="I26" i="18" s="1"/>
  <c r="G27" i="18"/>
  <c r="D25" i="18"/>
  <c r="D26" i="18"/>
  <c r="D27" i="18"/>
  <c r="C25" i="18"/>
  <c r="E25" i="18" s="1"/>
  <c r="F25" i="18" s="1"/>
  <c r="C26" i="18"/>
  <c r="C27" i="18"/>
  <c r="E27" i="18" s="1"/>
  <c r="F27" i="18" s="1"/>
  <c r="H27" i="29"/>
  <c r="G27" i="29"/>
  <c r="I27" i="29" s="1"/>
  <c r="D27" i="29"/>
  <c r="C27" i="29"/>
  <c r="E27" i="29" s="1"/>
  <c r="F27" i="29" s="1"/>
  <c r="G27" i="30"/>
  <c r="D27" i="30"/>
  <c r="C27" i="30"/>
  <c r="E27" i="33"/>
  <c r="F27" i="33" s="1"/>
  <c r="H27" i="33"/>
  <c r="H27" i="30" s="1"/>
  <c r="H25" i="33"/>
  <c r="I25" i="33" s="1"/>
  <c r="H26" i="33"/>
  <c r="I26" i="33" s="1"/>
  <c r="E25" i="33"/>
  <c r="F25" i="33" s="1"/>
  <c r="E26" i="33"/>
  <c r="F26" i="33" s="1"/>
  <c r="H25" i="32"/>
  <c r="I25" i="32" s="1"/>
  <c r="H26" i="32"/>
  <c r="I26" i="32" s="1"/>
  <c r="E17" i="32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F24" i="32" s="1"/>
  <c r="E25" i="32"/>
  <c r="F25" i="32" s="1"/>
  <c r="E26" i="32"/>
  <c r="F26" i="32" s="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5" i="30"/>
  <c r="G4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E25" i="31"/>
  <c r="F25" i="31" s="1"/>
  <c r="H25" i="31"/>
  <c r="I25" i="31" s="1"/>
  <c r="E26" i="31"/>
  <c r="F26" i="31" s="1"/>
  <c r="H26" i="31"/>
  <c r="I26" i="31" s="1"/>
  <c r="H25" i="28"/>
  <c r="I25" i="28" s="1"/>
  <c r="H26" i="28"/>
  <c r="I26" i="28" s="1"/>
  <c r="E25" i="28"/>
  <c r="F25" i="28" s="1"/>
  <c r="E26" i="28"/>
  <c r="F26" i="28" s="1"/>
  <c r="E17" i="28"/>
  <c r="C25" i="29"/>
  <c r="D25" i="29"/>
  <c r="G25" i="29"/>
  <c r="C26" i="29"/>
  <c r="D26" i="29"/>
  <c r="G26" i="29"/>
  <c r="E26" i="27"/>
  <c r="F26" i="27" s="1"/>
  <c r="H25" i="27"/>
  <c r="H26" i="27"/>
  <c r="I26" i="27" s="1"/>
  <c r="E25" i="27"/>
  <c r="F25" i="27" s="1"/>
  <c r="E17" i="26"/>
  <c r="E17" i="20"/>
  <c r="E17" i="4"/>
  <c r="E17" i="3"/>
  <c r="E17" i="72"/>
  <c r="F17" i="72" s="1"/>
  <c r="H18" i="33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H18" i="32"/>
  <c r="I18" i="32" s="1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H18" i="31"/>
  <c r="I18" i="31" s="1"/>
  <c r="H19" i="31"/>
  <c r="I19" i="31" s="1"/>
  <c r="H20" i="31"/>
  <c r="I20" i="31" s="1"/>
  <c r="H21" i="31"/>
  <c r="I21" i="31" s="1"/>
  <c r="H22" i="31"/>
  <c r="I22" i="31" s="1"/>
  <c r="H23" i="31"/>
  <c r="I23" i="31" s="1"/>
  <c r="H24" i="31"/>
  <c r="I24" i="31" s="1"/>
  <c r="E18" i="31"/>
  <c r="F18" i="31" s="1"/>
  <c r="E19" i="31"/>
  <c r="F19" i="31" s="1"/>
  <c r="E20" i="31"/>
  <c r="F20" i="31" s="1"/>
  <c r="E21" i="31"/>
  <c r="F21" i="31"/>
  <c r="E22" i="31"/>
  <c r="F22" i="31" s="1"/>
  <c r="E23" i="31"/>
  <c r="F23" i="31" s="1"/>
  <c r="E24" i="31"/>
  <c r="F24" i="31" s="1"/>
  <c r="H26" i="1" l="1"/>
  <c r="H29" i="1"/>
  <c r="I29" i="1" s="1"/>
  <c r="I26" i="1"/>
  <c r="E25" i="1"/>
  <c r="F25" i="1" s="1"/>
  <c r="I27" i="1"/>
  <c r="E29" i="1"/>
  <c r="F29" i="1" s="1"/>
  <c r="G29" i="34"/>
  <c r="D28" i="34"/>
  <c r="E26" i="18"/>
  <c r="F26" i="18" s="1"/>
  <c r="G27" i="34"/>
  <c r="E28" i="30"/>
  <c r="F28" i="30" s="1"/>
  <c r="D27" i="34"/>
  <c r="I28" i="30"/>
  <c r="E27" i="30"/>
  <c r="F27" i="30" s="1"/>
  <c r="E29" i="30"/>
  <c r="F29" i="30" s="1"/>
  <c r="C28" i="34"/>
  <c r="E28" i="34" s="1"/>
  <c r="F28" i="34" s="1"/>
  <c r="H28" i="34"/>
  <c r="G28" i="34"/>
  <c r="H29" i="34"/>
  <c r="C29" i="34"/>
  <c r="E29" i="34" s="1"/>
  <c r="F29" i="34" s="1"/>
  <c r="H25" i="29"/>
  <c r="I25" i="29" s="1"/>
  <c r="H27" i="34"/>
  <c r="I27" i="30"/>
  <c r="I25" i="27"/>
  <c r="H26" i="29"/>
  <c r="I26" i="29" s="1"/>
  <c r="C27" i="34"/>
  <c r="E16" i="30"/>
  <c r="F16" i="30" s="1"/>
  <c r="E15" i="30"/>
  <c r="F15" i="30" s="1"/>
  <c r="E14" i="30"/>
  <c r="F14" i="30" s="1"/>
  <c r="E13" i="30"/>
  <c r="F13" i="30" s="1"/>
  <c r="E23" i="30"/>
  <c r="F23" i="30" s="1"/>
  <c r="E25" i="30"/>
  <c r="F25" i="30" s="1"/>
  <c r="E22" i="30"/>
  <c r="F22" i="30" s="1"/>
  <c r="E21" i="30"/>
  <c r="F21" i="30" s="1"/>
  <c r="G25" i="34"/>
  <c r="E7" i="30"/>
  <c r="F7" i="30" s="1"/>
  <c r="E17" i="30"/>
  <c r="F17" i="30" s="1"/>
  <c r="E24" i="30"/>
  <c r="F24" i="30" s="1"/>
  <c r="E26" i="30"/>
  <c r="F26" i="30" s="1"/>
  <c r="E20" i="30"/>
  <c r="F20" i="30" s="1"/>
  <c r="E19" i="30"/>
  <c r="F19" i="30" s="1"/>
  <c r="E18" i="30"/>
  <c r="F18" i="30" s="1"/>
  <c r="E11" i="30"/>
  <c r="F11" i="30" s="1"/>
  <c r="E12" i="30"/>
  <c r="F12" i="30" s="1"/>
  <c r="E10" i="30"/>
  <c r="F10" i="30" s="1"/>
  <c r="E9" i="30"/>
  <c r="F9" i="30" s="1"/>
  <c r="E6" i="30"/>
  <c r="F6" i="30" s="1"/>
  <c r="E8" i="30"/>
  <c r="F8" i="30" s="1"/>
  <c r="C25" i="34"/>
  <c r="D26" i="34"/>
  <c r="H26" i="30"/>
  <c r="I26" i="30" s="1"/>
  <c r="H25" i="30"/>
  <c r="I25" i="30" s="1"/>
  <c r="G26" i="34"/>
  <c r="E26" i="29"/>
  <c r="F26" i="29" s="1"/>
  <c r="C26" i="34"/>
  <c r="E25" i="29"/>
  <c r="F25" i="29" s="1"/>
  <c r="D25" i="34"/>
  <c r="H18" i="28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E18" i="28"/>
  <c r="F18" i="28" s="1"/>
  <c r="E19" i="28"/>
  <c r="F19" i="28" s="1"/>
  <c r="E20" i="28"/>
  <c r="F20" i="28" s="1"/>
  <c r="E21" i="28"/>
  <c r="F21" i="28" s="1"/>
  <c r="E22" i="28"/>
  <c r="F22" i="28" s="1"/>
  <c r="E23" i="28"/>
  <c r="F23" i="28" s="1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I23" i="27" s="1"/>
  <c r="H24" i="27"/>
  <c r="I24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I23" i="26" s="1"/>
  <c r="H24" i="26"/>
  <c r="I24" i="26" s="1"/>
  <c r="E18" i="26"/>
  <c r="F18" i="26" s="1"/>
  <c r="E19" i="26"/>
  <c r="F19" i="26" s="1"/>
  <c r="E20" i="26"/>
  <c r="F20" i="26" s="1"/>
  <c r="E21" i="26"/>
  <c r="F21" i="26" s="1"/>
  <c r="E22" i="26"/>
  <c r="F22" i="26" s="1"/>
  <c r="E23" i="26"/>
  <c r="F23" i="26" s="1"/>
  <c r="E24" i="26"/>
  <c r="F24" i="26" s="1"/>
  <c r="H18" i="19"/>
  <c r="I18" i="19" s="1"/>
  <c r="H19" i="19"/>
  <c r="I19" i="19" s="1"/>
  <c r="H20" i="19"/>
  <c r="I20" i="19" s="1"/>
  <c r="H21" i="19"/>
  <c r="I21" i="19" s="1"/>
  <c r="H22" i="19"/>
  <c r="I22" i="19" s="1"/>
  <c r="H23" i="19"/>
  <c r="I23" i="19" s="1"/>
  <c r="H24" i="19"/>
  <c r="I24" i="19" s="1"/>
  <c r="E18" i="19"/>
  <c r="F18" i="19" s="1"/>
  <c r="E19" i="19"/>
  <c r="F19" i="19" s="1"/>
  <c r="E20" i="19"/>
  <c r="F20" i="19" s="1"/>
  <c r="E21" i="19"/>
  <c r="F21" i="19" s="1"/>
  <c r="E22" i="19"/>
  <c r="F22" i="19" s="1"/>
  <c r="E23" i="19"/>
  <c r="F23" i="19" s="1"/>
  <c r="E24" i="19"/>
  <c r="F24" i="19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E18" i="20"/>
  <c r="F18" i="20" s="1"/>
  <c r="E19" i="20"/>
  <c r="F19" i="20" s="1"/>
  <c r="E20" i="20"/>
  <c r="F20" i="20" s="1"/>
  <c r="E21" i="20"/>
  <c r="F21" i="20" s="1"/>
  <c r="E22" i="20"/>
  <c r="F22" i="20" s="1"/>
  <c r="E23" i="20"/>
  <c r="F23" i="20" s="1"/>
  <c r="E24" i="20"/>
  <c r="F24" i="20" s="1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E18" i="21"/>
  <c r="F18" i="21" s="1"/>
  <c r="E19" i="21"/>
  <c r="F19" i="21" s="1"/>
  <c r="E20" i="21"/>
  <c r="F20" i="21" s="1"/>
  <c r="E21" i="21"/>
  <c r="F21" i="21" s="1"/>
  <c r="E22" i="21"/>
  <c r="F22" i="21" s="1"/>
  <c r="E23" i="21"/>
  <c r="F23" i="21" s="1"/>
  <c r="E24" i="21"/>
  <c r="F24" i="21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I29" i="34" l="1"/>
  <c r="E27" i="34"/>
  <c r="F27" i="34" s="1"/>
  <c r="I27" i="34"/>
  <c r="I28" i="34"/>
  <c r="H25" i="34"/>
  <c r="I25" i="34" s="1"/>
  <c r="E25" i="34"/>
  <c r="F25" i="34" s="1"/>
  <c r="E26" i="34"/>
  <c r="F26" i="34" s="1"/>
  <c r="H26" i="34"/>
  <c r="I26" i="34" s="1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D19" i="34" s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H18" i="30"/>
  <c r="I18" i="30" s="1"/>
  <c r="C19" i="34"/>
  <c r="H19" i="30"/>
  <c r="I19" i="30" s="1"/>
  <c r="H20" i="30"/>
  <c r="I20" i="30" s="1"/>
  <c r="H21" i="30"/>
  <c r="I21" i="30" s="1"/>
  <c r="H22" i="30"/>
  <c r="I22" i="30" s="1"/>
  <c r="H23" i="30"/>
  <c r="I23" i="30" s="1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9" i="72"/>
  <c r="H20" i="72"/>
  <c r="H21" i="72"/>
  <c r="I21" i="72" s="1"/>
  <c r="H22" i="72"/>
  <c r="H23" i="72"/>
  <c r="I23" i="72" s="1"/>
  <c r="H24" i="72"/>
  <c r="I24" i="72" s="1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6" i="33"/>
  <c r="I16" i="33" s="1"/>
  <c r="E16" i="33"/>
  <c r="F16" i="33" s="1"/>
  <c r="H17" i="32"/>
  <c r="I17" i="32" s="1"/>
  <c r="F17" i="32"/>
  <c r="H16" i="32"/>
  <c r="I16" i="32" s="1"/>
  <c r="E16" i="32"/>
  <c r="F16" i="32" s="1"/>
  <c r="H17" i="31"/>
  <c r="I17" i="31" s="1"/>
  <c r="F17" i="31"/>
  <c r="H16" i="31"/>
  <c r="I16" i="31" s="1"/>
  <c r="E16" i="31"/>
  <c r="F16" i="31" s="1"/>
  <c r="H17" i="28"/>
  <c r="I17" i="28" s="1"/>
  <c r="F17" i="28"/>
  <c r="H16" i="28"/>
  <c r="I16" i="28" s="1"/>
  <c r="E16" i="28"/>
  <c r="F16" i="28" s="1"/>
  <c r="H17" i="27"/>
  <c r="I17" i="27" s="1"/>
  <c r="F17" i="27"/>
  <c r="H16" i="27"/>
  <c r="I16" i="27" s="1"/>
  <c r="E16" i="27"/>
  <c r="F16" i="27" s="1"/>
  <c r="H17" i="26"/>
  <c r="I17" i="26" s="1"/>
  <c r="F17" i="26"/>
  <c r="H16" i="26"/>
  <c r="I16" i="26" s="1"/>
  <c r="E16" i="26"/>
  <c r="F16" i="26" s="1"/>
  <c r="H17" i="19"/>
  <c r="I17" i="19" s="1"/>
  <c r="F17" i="19"/>
  <c r="H16" i="19"/>
  <c r="I16" i="19" s="1"/>
  <c r="E16" i="19"/>
  <c r="F16" i="19" s="1"/>
  <c r="H17" i="20"/>
  <c r="I17" i="20" s="1"/>
  <c r="F17" i="20"/>
  <c r="H16" i="20"/>
  <c r="I16" i="20" s="1"/>
  <c r="E16" i="20"/>
  <c r="F16" i="20" s="1"/>
  <c r="H17" i="21"/>
  <c r="I17" i="21" s="1"/>
  <c r="F17" i="21"/>
  <c r="H16" i="21"/>
  <c r="I16" i="21" s="1"/>
  <c r="E16" i="21"/>
  <c r="F16" i="21" s="1"/>
  <c r="H17" i="4"/>
  <c r="I17" i="4" s="1"/>
  <c r="F17" i="4"/>
  <c r="H16" i="4"/>
  <c r="I16" i="4" s="1"/>
  <c r="E16" i="4"/>
  <c r="F16" i="4" s="1"/>
  <c r="E16" i="3"/>
  <c r="F16" i="3" s="1"/>
  <c r="H16" i="3"/>
  <c r="I16" i="3" s="1"/>
  <c r="F17" i="3"/>
  <c r="H17" i="3"/>
  <c r="I17" i="3" s="1"/>
  <c r="E16" i="72"/>
  <c r="F16" i="72" s="1"/>
  <c r="H16" i="72"/>
  <c r="I16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F10" i="72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D23" i="34" l="1"/>
  <c r="C23" i="34"/>
  <c r="C14" i="34"/>
  <c r="C13" i="34"/>
  <c r="D24" i="34"/>
  <c r="H22" i="1"/>
  <c r="I22" i="1" s="1"/>
  <c r="I22" i="72"/>
  <c r="H20" i="1"/>
  <c r="I20" i="1" s="1"/>
  <c r="I20" i="72"/>
  <c r="H19" i="1"/>
  <c r="H19" i="34" s="1"/>
  <c r="I19" i="34" s="1"/>
  <c r="I19" i="72"/>
  <c r="H18" i="1"/>
  <c r="I18" i="1" s="1"/>
  <c r="I18" i="72"/>
  <c r="C7" i="34"/>
  <c r="D5" i="34"/>
  <c r="C24" i="34"/>
  <c r="C20" i="34"/>
  <c r="C21" i="34"/>
  <c r="D11" i="34"/>
  <c r="C6" i="34"/>
  <c r="C12" i="34"/>
  <c r="C22" i="34"/>
  <c r="C18" i="34"/>
  <c r="D14" i="34"/>
  <c r="D21" i="34"/>
  <c r="D12" i="34"/>
  <c r="C15" i="34"/>
  <c r="D18" i="34"/>
  <c r="D9" i="34"/>
  <c r="C8" i="34"/>
  <c r="D22" i="34"/>
  <c r="D17" i="34"/>
  <c r="D15" i="34"/>
  <c r="D13" i="34"/>
  <c r="D10" i="34"/>
  <c r="C10" i="34"/>
  <c r="D6" i="34"/>
  <c r="D8" i="34"/>
  <c r="D7" i="34"/>
  <c r="C5" i="34"/>
  <c r="E19" i="34"/>
  <c r="F19" i="34" s="1"/>
  <c r="D16" i="34"/>
  <c r="D20" i="34"/>
  <c r="C9" i="34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H13" i="29"/>
  <c r="E11" i="18"/>
  <c r="F11" i="18" s="1"/>
  <c r="E15" i="18"/>
  <c r="F15" i="18" s="1"/>
  <c r="D4" i="34"/>
  <c r="I4" i="20"/>
  <c r="H4" i="18"/>
  <c r="I4" i="18" s="1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H9" i="29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H17" i="29"/>
  <c r="E21" i="1"/>
  <c r="F21" i="1" s="1"/>
  <c r="H24" i="1"/>
  <c r="I24" i="1" s="1"/>
  <c r="H23" i="1"/>
  <c r="I23" i="1" s="1"/>
  <c r="H21" i="1"/>
  <c r="I21" i="1" s="1"/>
  <c r="E19" i="1"/>
  <c r="F19" i="1" s="1"/>
  <c r="E18" i="1"/>
  <c r="F18" i="1" s="1"/>
  <c r="G20" i="34"/>
  <c r="G23" i="34"/>
  <c r="E22" i="1"/>
  <c r="F22" i="1" s="1"/>
  <c r="E20" i="1"/>
  <c r="F20" i="1" s="1"/>
  <c r="D2" i="30"/>
  <c r="E17" i="1"/>
  <c r="F17" i="1" s="1"/>
  <c r="E16" i="1"/>
  <c r="F16" i="1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14" i="34" l="1"/>
  <c r="F14" i="34" s="1"/>
  <c r="H18" i="34"/>
  <c r="I18" i="34" s="1"/>
  <c r="E6" i="34"/>
  <c r="F6" i="34" s="1"/>
  <c r="E13" i="34"/>
  <c r="F13" i="34" s="1"/>
  <c r="E9" i="34"/>
  <c r="F9" i="34" s="1"/>
  <c r="E24" i="34"/>
  <c r="F24" i="34" s="1"/>
  <c r="E23" i="34"/>
  <c r="F23" i="34" s="1"/>
  <c r="H22" i="34"/>
  <c r="I22" i="34" s="1"/>
  <c r="E22" i="34"/>
  <c r="F22" i="34" s="1"/>
  <c r="H20" i="34"/>
  <c r="I20" i="34" s="1"/>
  <c r="I19" i="1"/>
  <c r="E12" i="34"/>
  <c r="F12" i="34" s="1"/>
  <c r="E10" i="34"/>
  <c r="F10" i="34" s="1"/>
  <c r="E5" i="34"/>
  <c r="F5" i="34" s="1"/>
  <c r="E21" i="34"/>
  <c r="F21" i="34" s="1"/>
  <c r="E20" i="34"/>
  <c r="F20" i="34" s="1"/>
  <c r="E17" i="34"/>
  <c r="F17" i="34" s="1"/>
  <c r="E11" i="34"/>
  <c r="F11" i="34" s="1"/>
  <c r="E15" i="34"/>
  <c r="F15" i="34" s="1"/>
  <c r="E8" i="34"/>
  <c r="F8" i="34" s="1"/>
  <c r="E7" i="34"/>
  <c r="F7" i="34" s="1"/>
  <c r="E18" i="34"/>
  <c r="F18" i="34" s="1"/>
  <c r="H21" i="34"/>
  <c r="I21" i="34" s="1"/>
  <c r="H24" i="34"/>
  <c r="I24" i="34" s="1"/>
  <c r="H23" i="34"/>
  <c r="I23" i="34" s="1"/>
  <c r="D2" i="34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<sst xmlns="http://schemas.openxmlformats.org/spreadsheetml/2006/main" count="453" uniqueCount="156">
  <si>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</si>
  <si>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</si>
  <si>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</si>
  <si>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</si>
  <si>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</si>
  <si>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</si>
  <si>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</si>
  <si>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</si>
  <si>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</si>
  <si>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</si>
  <si>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</si>
  <si>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</si>
  <si>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</si>
  <si>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</si>
  <si>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</si>
  <si>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</si>
  <si>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</si>
  <si>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</si>
  <si>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</si>
  <si>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</si>
  <si>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</si>
  <si>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</si>
  <si>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</si>
  <si>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N/A</t>
  </si>
  <si>
    <t>1. Inverter 9D was LOTO'd for whole month.
2. Site tripped offline at 10:40 on 01/29 and remained offline throught the month.</t>
  </si>
  <si>
    <t>1.SR113193
2. SR115296</t>
  </si>
  <si>
    <t>1. pending
2. pending</t>
  </si>
  <si>
    <t>SR115296</t>
  </si>
  <si>
    <t>1. Inverter 30 tripped offline on 09/13/25. 
2. Inverter A26 tripped offline for whole month.
3. Inverter C23 tripped offline at 09:20AM on 01/21 and back online on 01/22.</t>
  </si>
  <si>
    <t>1. SR113197
2. SR113670, SR114825
3. SR114884</t>
  </si>
  <si>
    <t>1. Closed
2. Closed, Pending
3. Closed</t>
  </si>
  <si>
    <t>SR113670</t>
  </si>
  <si>
    <t>SR114825</t>
  </si>
  <si>
    <t>SR114884</t>
  </si>
  <si>
    <t>1. Inverter 3 offline for whole month.
2. Inverter 7 experienced multiple irregular tripping events throughout the month.</t>
  </si>
  <si>
    <t xml:space="preserve">1. SR113195, SR114293	
2. SR113195, SR114293	</t>
  </si>
  <si>
    <t>1. Closed, Pending
2. Closed, Pending</t>
  </si>
  <si>
    <t>SR114293</t>
  </si>
  <si>
    <t>SR113195</t>
  </si>
  <si>
    <t>1. Inverter 1-7 and 10 stopped communicating 7/30, inverter 9 stopped communicating 9/4, inverter 8 stopped communicating 11/20 and No meter was available to verify the values.</t>
  </si>
  <si>
    <t>1. SR113199, SR112265, SR114997</t>
  </si>
  <si>
    <t>1. Pending</t>
  </si>
  <si>
    <t>SR112265</t>
  </si>
  <si>
    <t>SR114997</t>
  </si>
  <si>
    <t>1. Inverters 7 and 10 were underproduced by 5kW each for whole month.
2. Site production was low on 01/04 due to snow.</t>
  </si>
  <si>
    <t>1. SR114688</t>
  </si>
  <si>
    <t>1. Site has stopped communicating at 11:40 on 12/13 and back online at 16:50 on 01/04.
2. Inverter 5 is derating midday; likely a fan issue through out the month and it is offline on 01/20, 01/21.</t>
  </si>
  <si>
    <t>1.SR113208
2. SR114814</t>
  </si>
  <si>
    <t>1.Closed 
2. Pending</t>
  </si>
  <si>
    <t>SR114814</t>
  </si>
  <si>
    <t>1. Inverter 1 was offline from 12/23 to end of the month.
2. Inverters 2 to 8 were not communicated for whole month.</t>
  </si>
  <si>
    <t>1.	SR113606, SR112267
2. SR112267</t>
  </si>
  <si>
    <t>1. Closed, Pending
2. Pending</t>
  </si>
  <si>
    <t>SR112267</t>
  </si>
  <si>
    <t>1. Inverters 5A,5G,7G,3E,4E,01D,3D,1C,2C,3C,4C,5C,6C,7C,2B,4B,6B was offline
2. Inverters Invs 4G, 5G, 4E, and 1-7C are not communicating. Admin Aloha Meter not communicating.
3. Inverter 11G offline, reporting inverter stopped since 12/26.  Inverter 11F offline, reporting inverter stopped since 12/28.
4. Inverter 7A went offline on 12/30/2025 and back online on 01/03/2026 after self-resolving.
5. Inverters 1E &amp; 4F are offline whole month.</t>
  </si>
  <si>
    <t>1.	SR112273, SR114897
2.	SR113204, SR114897
3.SR113759, SR114897
4. SR114049
5. SR114225, SR112273</t>
  </si>
  <si>
    <t>1. Completed, Pending
2. Closed, Pending
3. Closed, Pending
4. Closed
5. Closed, Pending</t>
  </si>
  <si>
    <t>SR114897</t>
  </si>
  <si>
    <t>SR113204</t>
  </si>
  <si>
    <t>SR113759</t>
  </si>
  <si>
    <t>SR114049</t>
  </si>
  <si>
    <t>SR114225</t>
  </si>
  <si>
    <t>SR112273</t>
  </si>
  <si>
    <t>1. Inverters 4 and 8 appear to be down a string each and Inverter 5 found with two floating strings.</t>
  </si>
  <si>
    <t>1.	SR112226,SR115382</t>
  </si>
  <si>
    <t>1. Completed, Pending</t>
  </si>
  <si>
    <t>SR115382</t>
  </si>
  <si>
    <t xml:space="preserve">1.  IMT Reference cell 2w/ Tmodule(LOT A&amp;B),  Roof 2 IMT Reference cell w/ Tmodule(North), Roof 1 IMT Reference cell w/ Tmodule(South) were not communicated for whole month.
2. Site was barely producing from 01/17 to end of the month due to snow
</t>
  </si>
  <si>
    <t>1.  SR114693</t>
  </si>
  <si>
    <t>1. Inverters 64-76 being isolated due to a canopy strike and inverter 11 being possibly offline. 
2. The weather station is not communicating and lost communications from 17:25 on 7/23/25.
3. Inverter 39 is offline whole month.
4. Site production low  from 01/25 due to snow</t>
  </si>
  <si>
    <t>1.	SR113200
2.	SR114012</t>
  </si>
  <si>
    <t>1.pending
2.Pending</t>
  </si>
  <si>
    <t>SR114012</t>
  </si>
  <si>
    <t>1. The weather station is not communicating from 02:45 on 11/25.</t>
  </si>
  <si>
    <t>1.SR114032</t>
  </si>
  <si>
    <t>1.pending</t>
  </si>
  <si>
    <t>1.Inverter 1 is underproducing by about 20kw.  Down 10kw beginning 7/31/24, down 20kw beginning 6/09/25.</t>
  </si>
  <si>
    <t>1.Inverters 3, 7, and 9 are not communicating and may be offline. Inverters 3 lost comms on 11/25/24. Inv 7 lost comms on 09/18/25. Inv 9 lost comms on 07/01/25</t>
  </si>
  <si>
    <t>1. Site was barely producing from 01/17 to 01/21, 01/25 to end of the month due to snow.
2. Inverter 4 being RMA'd</t>
  </si>
  <si>
    <t>2. SR113373</t>
  </si>
  <si>
    <t>2. Closed</t>
  </si>
  <si>
    <t>1.Weather station lost communication</t>
  </si>
  <si>
    <t>1.SR113352</t>
  </si>
  <si>
    <t>1.Closed</t>
  </si>
  <si>
    <t>1. Inverter C6 being LOTO'd and meters were also not communicated for whole month. PAD C ad PAD D inverters were not communicated for whole month due to Data logger need to be replaced.
2. The actual value was taken from PAD A and PAD B inverters as the Meter, PAD C and PAD D inverters were not communicating</t>
  </si>
  <si>
    <t>1. SR112263, SR113988</t>
  </si>
  <si>
    <t>1. Closed, Pending</t>
  </si>
  <si>
    <t>SR113988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</si>
  <si>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</si>
  <si>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</si>
  <si>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</si>
  <si>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</si>
  <si>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</si>
  <si>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</si>
  <si>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</si>
  <si>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</si>
  <si>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</si>
  <si>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</si>
  <si>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`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</si>
  <si>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</si>
  <si>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</si>
  <si>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</si>
  <si>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</si>
  <si>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</si>
  <si>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</si>
  <si>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</si>
  <si>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</si>
  <si>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 xml:space="preserve"> 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</si>
  <si>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</si>
  <si>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</si>
  <si>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</si>
  <si>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</si>
  <si>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</si>
  <si>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REC Solar</t>
  </si>
  <si>
    <t>Site DAS Name</t>
  </si>
  <si>
    <t>Update</t>
  </si>
  <si>
    <t>DAS</t>
  </si>
  <si>
    <t>AZ: Goodyear - Amazon GYR2</t>
  </si>
  <si>
    <t>AZ</t>
  </si>
  <si>
    <t>Powertrack</t>
  </si>
  <si>
    <t>AZ: Tucson - Amazon - TUS2</t>
  </si>
  <si>
    <t xml:space="preserve">Green Power Monitor </t>
  </si>
  <si>
    <t>CO: Denver - TruStile Doors</t>
  </si>
  <si>
    <t>CO</t>
  </si>
  <si>
    <t>CO: Thornton - Amazon - DEN3</t>
  </si>
  <si>
    <t>CO: Greenwood Village - REC H5 Data Center</t>
  </si>
  <si>
    <t>HI: Ewa Beach - Salvation Army Kroc Center</t>
  </si>
  <si>
    <t>HI</t>
  </si>
  <si>
    <t>SolarEdge Platform</t>
  </si>
  <si>
    <t>HI: Honolulu - Hawaii Foodbank</t>
  </si>
  <si>
    <t>Also Energy</t>
  </si>
  <si>
    <t>HI: Kailua-Kona - Home Depot #1704</t>
  </si>
  <si>
    <t>HI: Kapolei - Home Depot #1706</t>
  </si>
  <si>
    <t>HI: Laie - Polynesian Cultural Center</t>
  </si>
  <si>
    <t>HI: Laie- BYU Hawaii (PW)</t>
  </si>
  <si>
    <t>HI: Waianae - Makaha Surfside</t>
  </si>
  <si>
    <t>HI: Kahului - Home Depot #1703</t>
  </si>
  <si>
    <t>MA: Andover - Boston One Campus</t>
  </si>
  <si>
    <t>MA</t>
  </si>
  <si>
    <t>MA: Foxboro - Schneider Cocasset</t>
  </si>
  <si>
    <t>MD: Gaithersburg - Montgomery Cnty - PSHQ</t>
  </si>
  <si>
    <t>MD</t>
  </si>
  <si>
    <t>MD: Sparrows Point - Amazon DCA1</t>
  </si>
  <si>
    <t>NJ: Piscataway - LVMH DC</t>
  </si>
  <si>
    <t>NJ</t>
  </si>
  <si>
    <t>NM: Edgewood - Walmart #4201</t>
  </si>
  <si>
    <t>NM</t>
  </si>
  <si>
    <t>NM: Gallup - Walmart #906</t>
  </si>
  <si>
    <t>NV: Las Vegas - Amazon - LAS5</t>
  </si>
  <si>
    <t>NV</t>
  </si>
  <si>
    <t>RI: Narragansett - Anchor Storage</t>
  </si>
  <si>
    <t>RI</t>
  </si>
  <si>
    <t>RI: North Kingstown - Walmart #2261</t>
  </si>
  <si>
    <t>RI: Warwick - Walmart #2373</t>
  </si>
  <si>
    <t>TX: Seguin - Niagara Bottling LLC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</si>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</sst>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2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4" fillId="0" borderId="1" xfId="0" applyNumberFormat="1" applyFont="1" applyBorder="1" applyAlignment="1">
      <alignment vertical="center" wrapText="1"/>
    </xf>
    <xf numFmtId="49" fontId="24" fillId="0" borderId="1" xfId="0" applyNumberFormat="1" applyFont="1" applyBorder="1" applyAlignment="1">
      <alignment horizontal="left" vertical="top" wrapText="1"/>
    </xf>
    <xf numFmtId="0" fontId="37" fillId="45" borderId="1" xfId="0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39" fillId="38" borderId="1" xfId="45" applyNumberFormat="1" applyFill="1" applyBorder="1" applyAlignment="1">
      <alignment horizontal="left" vertical="top" wrapText="1"/>
    </xf>
    <xf numFmtId="49" fontId="39" fillId="0" borderId="1" xfId="45" applyNumberFormat="1" applyBorder="1" applyAlignment="1">
      <alignment horizontal="left" vertical="center" wrapText="1"/>
    </xf>
    <xf numFmtId="49" fontId="39" fillId="0" borderId="1" xfId="45" applyNumberFormat="1" applyBorder="1" applyAlignment="1">
      <alignment horizontal="left" vertical="top" wrapText="1"/>
    </xf>
    <xf numFmtId="0" fontId="39" fillId="0" borderId="0" xfId="45" applyAlignment="1">
      <alignment vertical="top"/>
    </xf>
    <xf numFmtId="0" fontId="39" fillId="0" borderId="0" xfId="45"/>
    <xf numFmtId="0" fontId="0" fillId="0" borderId="0" xfId="0" applyAlignment="1">
      <alignment horizontal="left" vertical="top" wrapText="1"/>
    </xf>
    <xf numFmtId="0" fontId="35" fillId="4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39" fillId="0" borderId="0" xfId="45" applyAlignment="1">
      <alignment horizontal="left" vertical="top"/>
    </xf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top" wrapText="1"/>
    </xf>
    <xf numFmtId="0" fontId="31" fillId="46" borderId="1" xfId="0" applyFont="1" applyFill="1" applyBorder="1" applyAlignment="1">
      <alignment horizontal="left" vertical="top" wrapText="1"/>
    </xf>
    <xf numFmtId="0" fontId="39" fillId="46" borderId="1" xfId="45" applyFill="1" applyBorder="1" applyAlignment="1">
      <alignment horizontal="left" vertical="top" wrapText="1"/>
    </xf>
    <xf numFmtId="49" fontId="24" fillId="38" borderId="1" xfId="2" applyNumberFormat="1" applyFont="1" applyFill="1" applyBorder="1" applyAlignment="1">
      <alignment horizontal="left" vertical="top" wrapText="1"/>
    </xf>
    <xf numFmtId="49" fontId="36" fillId="38" borderId="1" xfId="2" applyNumberFormat="1" applyFont="1" applyFill="1" applyBorder="1" applyAlignment="1">
      <alignment vertical="top" wrapText="1"/>
    </xf>
    <xf numFmtId="49" fontId="28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top"/>
    </xf>
    <xf numFmtId="164" fontId="33" fillId="0" borderId="0" xfId="0" applyNumberFormat="1" applyFont="1"/>
    <xf numFmtId="0" fontId="23" fillId="0" borderId="0" xfId="43" applyFont="1" applyAlignment="1">
      <alignment horizontal="left" wrapText="1"/>
    </xf>
    <xf numFmtId="0" fontId="23" fillId="0" borderId="0" xfId="43" applyFont="1"/>
    <xf numFmtId="3" fontId="31" fillId="3" borderId="1" xfId="0" applyNumberFormat="1" applyFont="1" applyFill="1" applyBorder="1" applyAlignment="1">
      <alignment horizontal="right" vertical="center" wrapText="1"/>
    </xf>
    <xf numFmtId="49" fontId="39" fillId="0" borderId="1" xfId="45" applyNumberFormat="1" applyBorder="1" applyAlignment="1">
      <alignment vertical="center" wrapText="1"/>
    </xf>
    <xf numFmtId="3" fontId="31" fillId="3" borderId="1" xfId="0" applyNumberFormat="1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39" fillId="0" borderId="0" xfId="45" applyAlignment="1">
      <alignment vertical="top" wrapText="1"/>
    </xf>
    <xf numFmtId="3" fontId="33" fillId="0" borderId="0" xfId="0" applyNumberFormat="1" applyFont="1"/>
    <xf numFmtId="0" fontId="6" fillId="0" borderId="0" xfId="0" applyFont="1" applyAlignment="1">
      <alignment vertical="top"/>
    </xf>
    <xf numFmtId="0" fontId="6" fillId="45" borderId="1" xfId="0" applyFont="1" applyFill="1" applyBorder="1" applyAlignment="1">
      <alignment horizontal="center" vertical="top"/>
    </xf>
    <xf numFmtId="49" fontId="24" fillId="0" borderId="1" xfId="0" applyNumberFormat="1" applyFont="1" applyBorder="1" applyAlignment="1">
      <alignment vertical="top" wrapText="1"/>
    </xf>
    <xf numFmtId="0" fontId="33" fillId="0" borderId="0" xfId="0" applyFont="1" applyAlignment="1">
      <alignment vertical="top"/>
    </xf>
    <xf numFmtId="0" fontId="24" fillId="0" borderId="0" xfId="0" applyFont="1"/>
    <xf numFmtId="0" fontId="36" fillId="0" borderId="0" xfId="0" applyFont="1" applyAlignment="1">
      <alignment wrapText="1"/>
    </xf>
    <xf numFmtId="3" fontId="31" fillId="0" borderId="1" xfId="1" applyNumberFormat="1" applyFont="1" applyFill="1" applyBorder="1" applyAlignment="1">
      <alignment horizontal="right" vertical="center"/>
    </xf>
    <xf numFmtId="3" fontId="31" fillId="4" borderId="1" xfId="1" applyNumberFormat="1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49" fontId="29" fillId="0" borderId="0" xfId="0" applyNumberFormat="1" applyFont="1" applyAlignment="1">
      <alignment vertical="center" wrapText="1"/>
    </xf>
    <xf numFmtId="0" fontId="28" fillId="40" borderId="11" xfId="0" applyFont="1" applyFill="1" applyBorder="1" applyAlignment="1">
      <alignment horizontal="left" vertical="center"/>
    </xf>
    <xf numFmtId="0" fontId="28" fillId="40" borderId="11" xfId="0" applyFont="1" applyFill="1" applyBorder="1" applyAlignment="1">
      <alignment horizontal="center" vertical="center"/>
    </xf>
    <xf numFmtId="3" fontId="31" fillId="3" borderId="11" xfId="0" applyNumberFormat="1" applyFont="1" applyFill="1" applyBorder="1" applyAlignment="1">
      <alignment horizontal="right" vertical="center"/>
    </xf>
    <xf numFmtId="9" fontId="31" fillId="37" borderId="11" xfId="2" applyFont="1" applyFill="1" applyBorder="1" applyAlignment="1">
      <alignment horizontal="center" vertical="center"/>
    </xf>
    <xf numFmtId="3" fontId="31" fillId="4" borderId="11" xfId="1" applyNumberFormat="1" applyFont="1" applyFill="1" applyBorder="1" applyAlignment="1">
      <alignment vertical="center"/>
    </xf>
    <xf numFmtId="49" fontId="31" fillId="38" borderId="11" xfId="2" applyNumberFormat="1" applyFont="1" applyFill="1" applyBorder="1" applyAlignment="1">
      <alignment vertical="top" wrapText="1"/>
    </xf>
    <xf numFmtId="49" fontId="39" fillId="38" borderId="11" xfId="45" applyNumberForma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8" totalsRowShown="0">
  <autoFilter ref="A3:E2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114997" TargetMode="External"/><Relationship Id="rId18" Type="http://schemas.openxmlformats.org/officeDocument/2006/relationships/hyperlink" Target="https://us3.assetplanner.com/service_request?ID=112267" TargetMode="External"/><Relationship Id="rId26" Type="http://schemas.openxmlformats.org/officeDocument/2006/relationships/hyperlink" Target="https://us3.assetplanner.com/service_request?ID=114049" TargetMode="External"/><Relationship Id="rId39" Type="http://schemas.openxmlformats.org/officeDocument/2006/relationships/printerSettings" Target="../printerSettings/printerSettings3.bin"/><Relationship Id="rId21" Type="http://schemas.openxmlformats.org/officeDocument/2006/relationships/hyperlink" Target="https://us3.assetplanner.com/service_request?ID=114897" TargetMode="External"/><Relationship Id="rId34" Type="http://schemas.openxmlformats.org/officeDocument/2006/relationships/hyperlink" Target="https://us3.assetplanner.com/service_request?ID=114032" TargetMode="External"/><Relationship Id="rId7" Type="http://schemas.openxmlformats.org/officeDocument/2006/relationships/hyperlink" Target="https://us3.assetplanner.com/service_request?ID=113195" TargetMode="External"/><Relationship Id="rId12" Type="http://schemas.openxmlformats.org/officeDocument/2006/relationships/hyperlink" Target="https://us3.assetplanner.com/service_request?ID=112265" TargetMode="External"/><Relationship Id="rId17" Type="http://schemas.openxmlformats.org/officeDocument/2006/relationships/hyperlink" Target="https://us3.assetplanner.com/service_request?ID=113606" TargetMode="External"/><Relationship Id="rId25" Type="http://schemas.openxmlformats.org/officeDocument/2006/relationships/hyperlink" Target="https://us3.assetplanner.com/service_request?ID=114897" TargetMode="External"/><Relationship Id="rId33" Type="http://schemas.openxmlformats.org/officeDocument/2006/relationships/hyperlink" Target="https://us3.assetplanner.com/service_request?ID=114012" TargetMode="External"/><Relationship Id="rId38" Type="http://schemas.openxmlformats.org/officeDocument/2006/relationships/hyperlink" Target="https://us3.assetplanner.com/service_request?ID=113988" TargetMode="External"/><Relationship Id="rId2" Type="http://schemas.openxmlformats.org/officeDocument/2006/relationships/hyperlink" Target="https://us3.assetplanner.com/service_request?ID=115296" TargetMode="External"/><Relationship Id="rId16" Type="http://schemas.openxmlformats.org/officeDocument/2006/relationships/hyperlink" Target="https://us3.assetplanner.com/service_request?ID=114814" TargetMode="External"/><Relationship Id="rId20" Type="http://schemas.openxmlformats.org/officeDocument/2006/relationships/hyperlink" Target="https://us3.assetplanner.com/service_request?ID=112273" TargetMode="External"/><Relationship Id="rId29" Type="http://schemas.openxmlformats.org/officeDocument/2006/relationships/hyperlink" Target="https://us3.assetplanner.com/service_request?ID=112226" TargetMode="External"/><Relationship Id="rId1" Type="http://schemas.openxmlformats.org/officeDocument/2006/relationships/hyperlink" Target="https://us3.assetplanner.com/service_request?ID=113193" TargetMode="External"/><Relationship Id="rId6" Type="http://schemas.openxmlformats.org/officeDocument/2006/relationships/hyperlink" Target="https://us3.assetplanner.com/service_request?ID=114884" TargetMode="External"/><Relationship Id="rId11" Type="http://schemas.openxmlformats.org/officeDocument/2006/relationships/hyperlink" Target="https://us3.assetplanner.com/service_request?ID=113199" TargetMode="External"/><Relationship Id="rId24" Type="http://schemas.openxmlformats.org/officeDocument/2006/relationships/hyperlink" Target="https://us3.assetplanner.com/service_request?ID=113759" TargetMode="External"/><Relationship Id="rId32" Type="http://schemas.openxmlformats.org/officeDocument/2006/relationships/hyperlink" Target="https://us3.assetplanner.com/service_request?ID=113200" TargetMode="External"/><Relationship Id="rId37" Type="http://schemas.openxmlformats.org/officeDocument/2006/relationships/hyperlink" Target="https://us3.assetplanner.com/service_request?ID=112263" TargetMode="External"/><Relationship Id="rId5" Type="http://schemas.openxmlformats.org/officeDocument/2006/relationships/hyperlink" Target="https://us3.assetplanner.com/service_request?ID=114825" TargetMode="External"/><Relationship Id="rId15" Type="http://schemas.openxmlformats.org/officeDocument/2006/relationships/hyperlink" Target="https://us3.assetplanner.com/service_request?ID=113208" TargetMode="External"/><Relationship Id="rId23" Type="http://schemas.openxmlformats.org/officeDocument/2006/relationships/hyperlink" Target="https://us3.assetplanner.com/service_request?ID=114897" TargetMode="External"/><Relationship Id="rId28" Type="http://schemas.openxmlformats.org/officeDocument/2006/relationships/hyperlink" Target="https://us3.assetplanner.com/service_request?ID=112273" TargetMode="External"/><Relationship Id="rId36" Type="http://schemas.openxmlformats.org/officeDocument/2006/relationships/hyperlink" Target="https://us3.assetplanner.com/service_request?ID=113352" TargetMode="External"/><Relationship Id="rId10" Type="http://schemas.openxmlformats.org/officeDocument/2006/relationships/hyperlink" Target="https://us3.assetplanner.com/service_request?ID=114293" TargetMode="External"/><Relationship Id="rId19" Type="http://schemas.openxmlformats.org/officeDocument/2006/relationships/hyperlink" Target="https://us3.assetplanner.com/service_request?ID=112267" TargetMode="External"/><Relationship Id="rId31" Type="http://schemas.openxmlformats.org/officeDocument/2006/relationships/hyperlink" Target="https://us3.assetplanner.com/service_request?ID=114693" TargetMode="External"/><Relationship Id="rId4" Type="http://schemas.openxmlformats.org/officeDocument/2006/relationships/hyperlink" Target="https://us3.assetplanner.com/service_request?ID=113670" TargetMode="External"/><Relationship Id="rId9" Type="http://schemas.openxmlformats.org/officeDocument/2006/relationships/hyperlink" Target="https://us3.assetplanner.com/service_request?ID=113195" TargetMode="External"/><Relationship Id="rId14" Type="http://schemas.openxmlformats.org/officeDocument/2006/relationships/hyperlink" Target="https://us3.assetplanner.com/service_request?ID=114688" TargetMode="External"/><Relationship Id="rId22" Type="http://schemas.openxmlformats.org/officeDocument/2006/relationships/hyperlink" Target="https://us3.assetplanner.com/service_request?ID=113204" TargetMode="External"/><Relationship Id="rId27" Type="http://schemas.openxmlformats.org/officeDocument/2006/relationships/hyperlink" Target="https://us3.assetplanner.com/service_request?ID=114225" TargetMode="External"/><Relationship Id="rId30" Type="http://schemas.openxmlformats.org/officeDocument/2006/relationships/hyperlink" Target="https://us3.assetplanner.com/service_request?ID=115382" TargetMode="External"/><Relationship Id="rId35" Type="http://schemas.openxmlformats.org/officeDocument/2006/relationships/hyperlink" Target="https://us3.assetplanner.com/service_request?ID=113373" TargetMode="External"/><Relationship Id="rId8" Type="http://schemas.openxmlformats.org/officeDocument/2006/relationships/hyperlink" Target="https://us3.assetplanner.com/service_request?ID=114293" TargetMode="External"/><Relationship Id="rId3" Type="http://schemas.openxmlformats.org/officeDocument/2006/relationships/hyperlink" Target="https://us3.assetplanner.com/service_request?ID=11319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tabSelected="1" zoomScale="90" zoomScaleNormal="90" workbookViewId="0">
      <pane xSplit="2" ySplit="3" topLeftCell="C4" activePane="bottomRight" state="frozen"/>
      <selection pane="bottomRight" activeCell="O12" sqref="O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123" t="str" cm="1">
        <f t="array" ref="A1">portfolio</f>
        <v>REC Solar</v>
      </c>
      <c r="B1" s="123"/>
      <c r="C1" s="123"/>
      <c r="D1" s="124" t="s">
        <v>0</v>
      </c>
      <c r="E1" s="124"/>
      <c r="F1" s="124"/>
      <c r="G1" s="122" t="s">
        <v>1</v>
      </c>
      <c r="H1" s="122"/>
      <c r="I1" s="122"/>
    </row>
    <row r="2" spans="1:12" ht="19.5" customHeight="1">
      <c r="A2" s="125" t="s">
        <v>2</v>
      </c>
      <c r="B2" s="125"/>
      <c r="C2" s="5">
        <f>SUM(C4:C99)</f>
        <v>2233531.5379999997</v>
      </c>
      <c r="D2" s="5">
        <f>SUM(D4:D99)</f>
        <v>351433.54</v>
      </c>
      <c r="E2" s="5">
        <f>C2-D2</f>
        <v>1882097.9979999997</v>
      </c>
      <c r="F2" s="6">
        <f>IFERROR(E2/D2, 0)</f>
        <v>5.3554876919260463</v>
      </c>
      <c r="G2" s="5">
        <f>SUM(G4:G99)</f>
        <v>373875.89</v>
      </c>
      <c r="H2" s="7">
        <f>C2-G2</f>
        <v>1859655.6479999996</v>
      </c>
      <c r="I2" s="6">
        <f>IFERROR(H2/G2, 0)</f>
        <v>4.9739918987554921</v>
      </c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12" ht="15.6">
      <c r="A4" s="27" t="str" cm="1">
        <f t="array" ref="A4:A28">Sites[Site]</f>
        <v>AZ: Goodyear - Amazon GYR2</v>
      </c>
      <c r="B4" s="28" t="str" cm="1">
        <f t="array" ref="B4:B28">Sites[State]</f>
        <v>AZ</v>
      </c>
      <c r="C4" s="29">
        <f>SUM('1st Qtr'!C4, '2nd Qtr'!C4, '3rd Qtr'!C4, '4th Qtr'!C4)</f>
        <v>301975.2</v>
      </c>
      <c r="D4" s="30">
        <f>SUM('1st Qtr'!D4, '2nd Qtr'!D4, '3rd Qtr'!D4, '4th Qtr'!D4)</f>
        <v>302200.09000000003</v>
      </c>
      <c r="E4" s="30">
        <f>IF(AND(ISNUMBER(C4),ISNUMBER(D4)), C4-D4, "")</f>
        <v>-224.89000000001397</v>
      </c>
      <c r="F4" s="31">
        <f>IFERROR(E4/D4, "")</f>
        <v>-7.4417582072862376E-4</v>
      </c>
      <c r="G4" s="32">
        <f>SUM('1st Qtr'!G4, '2nd Qtr'!G4, '3rd Qtr'!G4, '4th Qtr'!G4)</f>
        <v>298527.2</v>
      </c>
      <c r="H4" s="32">
        <f>SUM('1st Qtr'!H4, '2nd Qtr'!H4, '3rd Qtr'!H4, '4th Qtr'!H4)</f>
        <v>3448</v>
      </c>
      <c r="I4" s="33">
        <f>IFERROR(H4/G4, "")</f>
        <v>1.1550036311599076E-2</v>
      </c>
    </row>
    <row r="5" spans="1:12" ht="15.6">
      <c r="A5" s="34" t="str">
        <v>AZ: Tucson - Amazon - TUS2</v>
      </c>
      <c r="B5" s="35" t="str">
        <v>AZ</v>
      </c>
      <c r="C5" s="36">
        <f>SUM('1st Qtr'!C5, '2nd Qtr'!C5, '3rd Qtr'!C5, '4th Qtr'!C5)</f>
        <v>300385</v>
      </c>
      <c r="D5" s="37">
        <f>SUM('1st Qtr'!D5, '2nd Qtr'!D5, '3rd Qtr'!D5, '4th Qtr'!D5)</f>
        <v>0</v>
      </c>
      <c r="E5" s="37">
        <f t="shared" ref="E5:E15" si="0">IF(AND(ISNUMBER(C5),ISNUMBER(D5)), C5-D5, "")</f>
        <v>300385</v>
      </c>
      <c r="F5" s="38" t="str">
        <f>IFERROR(E5/D5, "")</f>
        <v/>
      </c>
      <c r="G5" s="39">
        <f>SUM('1st Qtr'!G5, '2nd Qtr'!G5, '3rd Qtr'!G5, '4th Qtr'!G5)</f>
        <v>0</v>
      </c>
      <c r="H5" s="64">
        <f>SUM('1st Qtr'!H5, '2nd Qtr'!H5, '3rd Qtr'!H5, '4th Qtr'!H5)</f>
        <v>0</v>
      </c>
      <c r="I5" s="38" t="str">
        <f>IFERROR(H5/G5, "")</f>
        <v/>
      </c>
      <c r="K5" s="65"/>
    </row>
    <row r="6" spans="1:12" ht="15.6">
      <c r="A6" s="27" t="str">
        <v>CO: Denver - TruStile Doors</v>
      </c>
      <c r="B6" s="28" t="str">
        <v>CO</v>
      </c>
      <c r="C6" s="29">
        <f>SUM('1st Qtr'!C6, '2nd Qtr'!C6, '3rd Qtr'!C6, '4th Qtr'!C6)</f>
        <v>91741</v>
      </c>
      <c r="D6" s="30">
        <f>SUM('1st Qtr'!D6, '2nd Qtr'!D6, '3rd Qtr'!D6, '4th Qtr'!D6)</f>
        <v>0</v>
      </c>
      <c r="E6" s="30">
        <f t="shared" si="0"/>
        <v>91741</v>
      </c>
      <c r="F6" s="31" t="str">
        <f t="shared" ref="F6:F15" si="1">IFERROR(E6/D6, "")</f>
        <v/>
      </c>
      <c r="G6" s="32">
        <f>SUM('1st Qtr'!G6, '2nd Qtr'!G6, '3rd Qtr'!G6, '4th Qtr'!G6)</f>
        <v>0</v>
      </c>
      <c r="H6" s="32">
        <f>SUM('1st Qtr'!H6, '2nd Qtr'!H6, '3rd Qtr'!H6, '4th Qtr'!H6)</f>
        <v>0</v>
      </c>
      <c r="I6" s="33" t="str">
        <f t="shared" ref="I6:I15" si="2">IFERROR(H6/G6, "")</f>
        <v/>
      </c>
    </row>
    <row r="7" spans="1:12" ht="15.6">
      <c r="A7" s="34" t="str">
        <v>CO: Thornton - Amazon - DEN3</v>
      </c>
      <c r="B7" s="35" t="str">
        <v>CO</v>
      </c>
      <c r="C7" s="36">
        <f>SUM('1st Qtr'!C7, '2nd Qtr'!C7, '3rd Qtr'!C7, '4th Qtr'!C7)</f>
        <v>388827</v>
      </c>
      <c r="D7" s="37">
        <f>SUM('1st Qtr'!D7, '2nd Qtr'!D7, '3rd Qtr'!D7, '4th Qtr'!D7)</f>
        <v>0</v>
      </c>
      <c r="E7" s="37">
        <f t="shared" si="0"/>
        <v>388827</v>
      </c>
      <c r="F7" s="38" t="str">
        <f t="shared" si="1"/>
        <v/>
      </c>
      <c r="G7" s="39">
        <f>SUM('1st Qtr'!G7, '2nd Qtr'!G7, '3rd Qtr'!G7, '4th Qtr'!G7)</f>
        <v>0</v>
      </c>
      <c r="H7" s="64">
        <f>SUM('1st Qtr'!H7, '2nd Qtr'!H7, '3rd Qtr'!H7, '4th Qtr'!H7)</f>
        <v>0</v>
      </c>
      <c r="I7" s="38" t="str">
        <f t="shared" si="2"/>
        <v/>
      </c>
      <c r="L7" s="65"/>
    </row>
    <row r="8" spans="1:12" ht="15.6">
      <c r="A8" s="27" t="str">
        <v>CO: Greenwood Village - REC H5 Data Center</v>
      </c>
      <c r="B8" s="28" t="str">
        <v>CO</v>
      </c>
      <c r="C8" s="29">
        <f>SUM('1st Qtr'!C8, '2nd Qtr'!C8, '3rd Qtr'!C8, '4th Qtr'!C8)</f>
        <v>30729</v>
      </c>
      <c r="D8" s="30">
        <f>SUM('1st Qtr'!D8, '2nd Qtr'!D8, '3rd Qtr'!D8, '4th Qtr'!D8)</f>
        <v>0</v>
      </c>
      <c r="E8" s="30">
        <f t="shared" si="0"/>
        <v>30729</v>
      </c>
      <c r="F8" s="31" t="str">
        <f t="shared" si="1"/>
        <v/>
      </c>
      <c r="G8" s="32">
        <f>SUM('1st Qtr'!G8, '2nd Qtr'!G8, '3rd Qtr'!G8, '4th Qtr'!G8)</f>
        <v>0</v>
      </c>
      <c r="H8" s="32">
        <f>SUM('1st Qtr'!H8, '2nd Qtr'!H8, '3rd Qtr'!H8, '4th Qtr'!H8)</f>
        <v>0</v>
      </c>
      <c r="I8" s="33" t="str">
        <f t="shared" si="2"/>
        <v/>
      </c>
    </row>
    <row r="9" spans="1:12" ht="15.6">
      <c r="A9" s="34" t="str">
        <v>HI: Ewa Beach - Salvation Army Kroc Center</v>
      </c>
      <c r="B9" s="35" t="str">
        <v>HI</v>
      </c>
      <c r="C9" s="36">
        <f>SUM('1st Qtr'!C9, '2nd Qtr'!C9, '3rd Qtr'!C9, '4th Qtr'!C9)</f>
        <v>3029</v>
      </c>
      <c r="D9" s="37">
        <f>SUM('1st Qtr'!D9, '2nd Qtr'!D9, '3rd Qtr'!D9, '4th Qtr'!D9)</f>
        <v>0</v>
      </c>
      <c r="E9" s="37">
        <f t="shared" si="0"/>
        <v>3029</v>
      </c>
      <c r="F9" s="38" t="str">
        <f t="shared" si="1"/>
        <v/>
      </c>
      <c r="G9" s="39">
        <f>SUM('1st Qtr'!G9, '2nd Qtr'!G9, '3rd Qtr'!G9, '4th Qtr'!G9)</f>
        <v>0</v>
      </c>
      <c r="H9" s="64">
        <f>SUM('1st Qtr'!H9, '2nd Qtr'!H9, '3rd Qtr'!H9, '4th Qtr'!H9)</f>
        <v>0</v>
      </c>
      <c r="I9" s="38" t="str">
        <f t="shared" si="2"/>
        <v/>
      </c>
      <c r="K9" s="66"/>
    </row>
    <row r="10" spans="1:12" ht="15.6">
      <c r="A10" s="27" t="str">
        <v>HI: Honolulu - Hawaii Foodbank</v>
      </c>
      <c r="B10" s="28" t="str">
        <v>HI</v>
      </c>
      <c r="C10" s="29">
        <f>SUM('1st Qtr'!C10, '2nd Qtr'!C10, '3rd Qtr'!C10, '4th Qtr'!C10)</f>
        <v>20685.95</v>
      </c>
      <c r="D10" s="30">
        <f>SUM('1st Qtr'!D10, '2nd Qtr'!D10, '3rd Qtr'!D10, '4th Qtr'!D10)</f>
        <v>28454.35</v>
      </c>
      <c r="E10" s="30">
        <f t="shared" si="0"/>
        <v>-7768.3999999999978</v>
      </c>
      <c r="F10" s="31">
        <f t="shared" si="1"/>
        <v>-0.27301273794692194</v>
      </c>
      <c r="G10" s="32">
        <f>SUM('1st Qtr'!G10, '2nd Qtr'!G10, '3rd Qtr'!G10, '4th Qtr'!G10)</f>
        <v>29676.639999999999</v>
      </c>
      <c r="H10" s="32">
        <f>SUM('1st Qtr'!H10, '2nd Qtr'!H10, '3rd Qtr'!H10, '4th Qtr'!H10)</f>
        <v>-8990.6899999999987</v>
      </c>
      <c r="I10" s="33">
        <f t="shared" si="2"/>
        <v>-0.30295511890833998</v>
      </c>
    </row>
    <row r="11" spans="1:12" ht="15.6">
      <c r="A11" s="34" t="str">
        <v>HI: Kailua-Kona - Home Depot #1704</v>
      </c>
      <c r="B11" s="35" t="str">
        <v>HI</v>
      </c>
      <c r="C11" s="36">
        <f>SUM('1st Qtr'!C11, '2nd Qtr'!C11, '3rd Qtr'!C11, '4th Qtr'!C11)</f>
        <v>61869</v>
      </c>
      <c r="D11" s="37">
        <f>SUM('1st Qtr'!D11, '2nd Qtr'!D11, '3rd Qtr'!D11, '4th Qtr'!D11)</f>
        <v>0</v>
      </c>
      <c r="E11" s="37">
        <f t="shared" si="0"/>
        <v>61869</v>
      </c>
      <c r="F11" s="38" t="str">
        <f t="shared" si="1"/>
        <v/>
      </c>
      <c r="G11" s="39">
        <f>SUM('1st Qtr'!G11, '2nd Qtr'!G11, '3rd Qtr'!G11, '4th Qtr'!G11)</f>
        <v>0</v>
      </c>
      <c r="H11" s="64">
        <f>SUM('1st Qtr'!H11, '2nd Qtr'!H11, '3rd Qtr'!H11, '4th Qtr'!H11)</f>
        <v>0</v>
      </c>
      <c r="I11" s="38" t="str">
        <f t="shared" si="2"/>
        <v/>
      </c>
    </row>
    <row r="12" spans="1:12" ht="15.6">
      <c r="A12" s="27" t="str">
        <v>HI: Kapolei - Home Depot #1706</v>
      </c>
      <c r="B12" s="28" t="str">
        <v>HI</v>
      </c>
      <c r="C12" s="29">
        <f>SUM('1st Qtr'!C12, '2nd Qtr'!C12, '3rd Qtr'!C12, '4th Qtr'!C12)</f>
        <v>46759</v>
      </c>
      <c r="D12" s="30">
        <f>SUM('1st Qtr'!D12, '2nd Qtr'!D12, '3rd Qtr'!D12, '4th Qtr'!D12)</f>
        <v>0</v>
      </c>
      <c r="E12" s="30">
        <f t="shared" si="0"/>
        <v>46759</v>
      </c>
      <c r="F12" s="31" t="str">
        <f t="shared" si="1"/>
        <v/>
      </c>
      <c r="G12" s="32">
        <f>SUM('1st Qtr'!G12, '2nd Qtr'!G12, '3rd Qtr'!G12, '4th Qtr'!G12)</f>
        <v>0</v>
      </c>
      <c r="H12" s="32">
        <f>SUM('1st Qtr'!H12, '2nd Qtr'!H12, '3rd Qtr'!H12, '4th Qtr'!H12)</f>
        <v>0</v>
      </c>
      <c r="I12" s="33" t="str">
        <f t="shared" si="2"/>
        <v/>
      </c>
    </row>
    <row r="13" spans="1:12" ht="15.6">
      <c r="A13" s="34" t="str">
        <v>HI: Laie - Polynesian Cultural Center</v>
      </c>
      <c r="B13" s="35" t="str">
        <v>HI</v>
      </c>
      <c r="C13" s="36">
        <f>SUM('1st Qtr'!C13, '2nd Qtr'!C13, '3rd Qtr'!C13, '4th Qtr'!C13)</f>
        <v>9</v>
      </c>
      <c r="D13" s="37">
        <f>SUM('1st Qtr'!D13, '2nd Qtr'!D13, '3rd Qtr'!D13, '4th Qtr'!D13)</f>
        <v>0</v>
      </c>
      <c r="E13" s="37">
        <f t="shared" si="0"/>
        <v>9</v>
      </c>
      <c r="F13" s="38" t="str">
        <f t="shared" si="1"/>
        <v/>
      </c>
      <c r="G13" s="39">
        <f>SUM('1st Qtr'!G13, '2nd Qtr'!G13, '3rd Qtr'!G13, '4th Qtr'!G13)</f>
        <v>0</v>
      </c>
      <c r="H13" s="64">
        <f>SUM('1st Qtr'!H13, '2nd Qtr'!H13, '3rd Qtr'!H13, '4th Qtr'!H13)</f>
        <v>0</v>
      </c>
      <c r="I13" s="38" t="str">
        <f t="shared" si="2"/>
        <v/>
      </c>
    </row>
    <row r="14" spans="1:12" ht="15.6">
      <c r="A14" s="27" t="str">
        <v>HI: Laie- BYU Hawaii (PW)</v>
      </c>
      <c r="B14" s="28" t="str">
        <v>HI</v>
      </c>
      <c r="C14" s="29">
        <f>SUM('1st Qtr'!C14, '2nd Qtr'!C14, '3rd Qtr'!C14, '4th Qtr'!C14)</f>
        <v>258088</v>
      </c>
      <c r="D14" s="30">
        <f>SUM('1st Qtr'!D14, '2nd Qtr'!D14, '3rd Qtr'!D14, '4th Qtr'!D14)</f>
        <v>0</v>
      </c>
      <c r="E14" s="30">
        <f t="shared" si="0"/>
        <v>258088</v>
      </c>
      <c r="F14" s="31" t="str">
        <f t="shared" si="1"/>
        <v/>
      </c>
      <c r="G14" s="32">
        <f>SUM('1st Qtr'!G14, '2nd Qtr'!G14, '3rd Qtr'!G14, '4th Qtr'!G14)</f>
        <v>0</v>
      </c>
      <c r="H14" s="32">
        <f>SUM('1st Qtr'!H14, '2nd Qtr'!H14, '3rd Qtr'!H14, '4th Qtr'!H14)</f>
        <v>0</v>
      </c>
      <c r="I14" s="33" t="str">
        <f t="shared" si="2"/>
        <v/>
      </c>
    </row>
    <row r="15" spans="1:12" ht="15.6">
      <c r="A15" s="34" t="str">
        <v>HI: Waianae - Makaha Surfside</v>
      </c>
      <c r="B15" s="35" t="str">
        <v>HI</v>
      </c>
      <c r="C15" s="36">
        <f>SUM('1st Qtr'!C15, '2nd Qtr'!C15, '3rd Qtr'!C15, '4th Qtr'!C15)</f>
        <v>21962.7</v>
      </c>
      <c r="D15" s="37">
        <f>SUM('1st Qtr'!D15, '2nd Qtr'!D15, '3rd Qtr'!D15, '4th Qtr'!D15)</f>
        <v>20779.099999999999</v>
      </c>
      <c r="E15" s="37">
        <f t="shared" si="0"/>
        <v>1183.6000000000022</v>
      </c>
      <c r="F15" s="38">
        <f t="shared" si="1"/>
        <v>5.6961081086283921E-2</v>
      </c>
      <c r="G15" s="39">
        <f>SUM('1st Qtr'!G15, '2nd Qtr'!G15, '3rd Qtr'!G15, '4th Qtr'!G15)</f>
        <v>22747.200000000001</v>
      </c>
      <c r="H15" s="64">
        <f>SUM('1st Qtr'!H15, '2nd Qtr'!H15, '3rd Qtr'!H15, '4th Qtr'!H15)</f>
        <v>-784.5</v>
      </c>
      <c r="I15" s="38">
        <f t="shared" si="2"/>
        <v>-3.4487761131040302E-2</v>
      </c>
    </row>
    <row r="16" spans="1:12" ht="15.6">
      <c r="A16" s="27" t="str">
        <v>HI: Kahului - Home Depot #1703</v>
      </c>
      <c r="B16" s="28" t="str">
        <v>HI</v>
      </c>
      <c r="C16" s="29">
        <f>SUM('1st Qtr'!C16, '2nd Qtr'!C16, '3rd Qtr'!C16, '4th Qtr'!C16)</f>
        <v>59924</v>
      </c>
      <c r="D16" s="30">
        <f>SUM('1st Qtr'!D16, '2nd Qtr'!D16, '3rd Qtr'!D16, '4th Qtr'!D16)</f>
        <v>0</v>
      </c>
      <c r="E16" s="30">
        <f t="shared" ref="E16:E19" si="3">IF(AND(ISNUMBER(C16),ISNUMBER(D16)), C16-D16, "")</f>
        <v>59924</v>
      </c>
      <c r="F16" s="31" t="str">
        <f t="shared" ref="F16:F19" si="4">IFERROR(E16/D16, "")</f>
        <v/>
      </c>
      <c r="G16" s="32">
        <f>SUM('1st Qtr'!G16, '2nd Qtr'!G16, '3rd Qtr'!G16, '4th Qtr'!G16)</f>
        <v>0</v>
      </c>
      <c r="H16" s="32">
        <f>SUM('1st Qtr'!H16, '2nd Qtr'!H16, '3rd Qtr'!H16, '4th Qtr'!H16)</f>
        <v>0</v>
      </c>
      <c r="I16" s="33" t="str">
        <f t="shared" ref="I16:I19" si="5">IFERROR(H16/G16, "")</f>
        <v/>
      </c>
    </row>
    <row r="17" spans="1:9" ht="15.6">
      <c r="A17" s="34" t="str">
        <v>MA: Andover - Boston One Campus</v>
      </c>
      <c r="B17" s="35" t="str">
        <v>MA</v>
      </c>
      <c r="C17" s="36">
        <f>SUM('1st Qtr'!C17, '2nd Qtr'!C17, '3rd Qtr'!C17, '4th Qtr'!C17)</f>
        <v>6801.6880000000001</v>
      </c>
      <c r="D17" s="37">
        <f>SUM('1st Qtr'!D17, '2nd Qtr'!D17, '3rd Qtr'!D17, '4th Qtr'!D17)</f>
        <v>0</v>
      </c>
      <c r="E17" s="37">
        <f t="shared" si="3"/>
        <v>6801.6880000000001</v>
      </c>
      <c r="F17" s="38" t="str">
        <f t="shared" si="4"/>
        <v/>
      </c>
      <c r="G17" s="39">
        <f>SUM('1st Qtr'!G17, '2nd Qtr'!G17, '3rd Qtr'!G17, '4th Qtr'!G17)</f>
        <v>22924.85</v>
      </c>
      <c r="H17" s="64">
        <f>SUM('1st Qtr'!H17, '2nd Qtr'!H17, '3rd Qtr'!H17, '4th Qtr'!H17)</f>
        <v>-16123.161999999998</v>
      </c>
      <c r="I17" s="38">
        <f t="shared" si="5"/>
        <v>-0.70330501617240682</v>
      </c>
    </row>
    <row r="18" spans="1:9" ht="12.75" customHeight="1">
      <c r="A18" s="27" t="str">
        <v>MA: Foxboro - Schneider Cocasset</v>
      </c>
      <c r="B18" s="28" t="str">
        <v>MA</v>
      </c>
      <c r="C18" s="29">
        <f>SUM('1st Qtr'!C18, '2nd Qtr'!C18, '3rd Qtr'!C18, '4th Qtr'!C18)</f>
        <v>5651</v>
      </c>
      <c r="D18" s="30">
        <f>SUM('1st Qtr'!D18, '2nd Qtr'!D18, '3rd Qtr'!D18, '4th Qtr'!D18)</f>
        <v>0</v>
      </c>
      <c r="E18" s="30">
        <f t="shared" si="3"/>
        <v>5651</v>
      </c>
      <c r="F18" s="31" t="str">
        <f t="shared" si="4"/>
        <v/>
      </c>
      <c r="G18" s="32">
        <f>SUM('1st Qtr'!G18, '2nd Qtr'!G18, '3rd Qtr'!G18, '4th Qtr'!G18)</f>
        <v>0</v>
      </c>
      <c r="H18" s="32">
        <f>SUM('1st Qtr'!H18, '2nd Qtr'!H18, '3rd Qtr'!H18, '4th Qtr'!H18)</f>
        <v>0</v>
      </c>
      <c r="I18" s="33" t="str">
        <f t="shared" si="5"/>
        <v/>
      </c>
    </row>
    <row r="19" spans="1:9" ht="15.6">
      <c r="A19" s="34" t="str">
        <v>MD: Gaithersburg - Montgomery Cnty - PSHQ</v>
      </c>
      <c r="B19" s="35" t="str">
        <v>MD</v>
      </c>
      <c r="C19" s="36">
        <f>SUM('1st Qtr'!C19, '2nd Qtr'!C19, '3rd Qtr'!C19, '4th Qtr'!C19)</f>
        <v>84770</v>
      </c>
      <c r="D19" s="37">
        <f>SUM('1st Qtr'!D19, '2nd Qtr'!D19, '3rd Qtr'!D19, '4th Qtr'!D19)</f>
        <v>0</v>
      </c>
      <c r="E19" s="37">
        <f t="shared" si="3"/>
        <v>84770</v>
      </c>
      <c r="F19" s="38" t="str">
        <f t="shared" si="4"/>
        <v/>
      </c>
      <c r="G19" s="39">
        <f>SUM('1st Qtr'!G19, '2nd Qtr'!G19, '3rd Qtr'!G19, '4th Qtr'!G19)</f>
        <v>0</v>
      </c>
      <c r="H19" s="64">
        <f>SUM('1st Qtr'!H19, '2nd Qtr'!H19, '3rd Qtr'!H19, '4th Qtr'!H19)</f>
        <v>0</v>
      </c>
      <c r="I19" s="38" t="str">
        <f t="shared" si="5"/>
        <v/>
      </c>
    </row>
    <row r="20" spans="1:9" ht="15.6">
      <c r="A20" s="27" t="str">
        <v>MD: Sparrows Point - Amazon DCA1</v>
      </c>
      <c r="B20" s="28" t="str">
        <v>MD</v>
      </c>
      <c r="C20" s="29">
        <f>SUM('1st Qtr'!C20, '2nd Qtr'!C20, '3rd Qtr'!C20, '4th Qtr'!C20)</f>
        <v>91260</v>
      </c>
      <c r="D20" s="30">
        <f>SUM('1st Qtr'!D20, '2nd Qtr'!D20, '3rd Qtr'!D20, '4th Qtr'!D20)</f>
        <v>0</v>
      </c>
      <c r="E20" s="30">
        <f t="shared" ref="E20:E24" si="6">IF(AND(ISNUMBER(C20),ISNUMBER(D20)), C20-D20, "")</f>
        <v>91260</v>
      </c>
      <c r="F20" s="31" t="str">
        <f t="shared" ref="F20:F24" si="7">IFERROR(E20/D20, "")</f>
        <v/>
      </c>
      <c r="G20" s="32">
        <f>SUM('1st Qtr'!G20, '2nd Qtr'!G20, '3rd Qtr'!G20, '4th Qtr'!G20)</f>
        <v>0</v>
      </c>
      <c r="H20" s="32">
        <f>SUM('1st Qtr'!H20, '2nd Qtr'!H20, '3rd Qtr'!H20, '4th Qtr'!H20)</f>
        <v>0</v>
      </c>
      <c r="I20" s="33" t="str">
        <f t="shared" ref="I20:I24" si="8">IFERROR(H20/G20, "")</f>
        <v/>
      </c>
    </row>
    <row r="21" spans="1:9" ht="15.6">
      <c r="A21" s="34" t="str">
        <v>NJ: Piscataway - LVMH DC</v>
      </c>
      <c r="B21" s="35" t="str">
        <v>NJ</v>
      </c>
      <c r="C21" s="36">
        <f>SUM('1st Qtr'!C21, '2nd Qtr'!C21, '3rd Qtr'!C21, '4th Qtr'!C21)</f>
        <v>24539</v>
      </c>
      <c r="D21" s="37">
        <f>SUM('1st Qtr'!D21, '2nd Qtr'!D21, '3rd Qtr'!D21, '4th Qtr'!D21)</f>
        <v>0</v>
      </c>
      <c r="E21" s="37">
        <f t="shared" si="6"/>
        <v>24539</v>
      </c>
      <c r="F21" s="38" t="str">
        <f t="shared" si="7"/>
        <v/>
      </c>
      <c r="G21" s="39">
        <f>SUM('1st Qtr'!G21, '2nd Qtr'!G21, '3rd Qtr'!G21, '4th Qtr'!G21)</f>
        <v>0</v>
      </c>
      <c r="H21" s="64">
        <f>SUM('1st Qtr'!H21, '2nd Qtr'!H21, '3rd Qtr'!H21, '4th Qtr'!H21)</f>
        <v>0</v>
      </c>
      <c r="I21" s="38" t="str">
        <f t="shared" si="8"/>
        <v/>
      </c>
    </row>
    <row r="22" spans="1:9" ht="15.6">
      <c r="A22" s="27" t="str">
        <v>NM: Edgewood - Walmart #4201</v>
      </c>
      <c r="B22" s="28" t="str">
        <v>NM</v>
      </c>
      <c r="C22" s="29">
        <f>SUM('1st Qtr'!C22, '2nd Qtr'!C22, '3rd Qtr'!C22, '4th Qtr'!C22)</f>
        <v>45560</v>
      </c>
      <c r="D22" s="30">
        <f>SUM('1st Qtr'!D22, '2nd Qtr'!D22, '3rd Qtr'!D22, '4th Qtr'!D22)</f>
        <v>0</v>
      </c>
      <c r="E22" s="30">
        <f t="shared" si="6"/>
        <v>45560</v>
      </c>
      <c r="F22" s="31" t="str">
        <f t="shared" si="7"/>
        <v/>
      </c>
      <c r="G22" s="32">
        <f>SUM('1st Qtr'!G22, '2nd Qtr'!G22, '3rd Qtr'!G22, '4th Qtr'!G22)</f>
        <v>0</v>
      </c>
      <c r="H22" s="32">
        <f>SUM('1st Qtr'!H22, '2nd Qtr'!H22, '3rd Qtr'!H22, '4th Qtr'!H22)</f>
        <v>0</v>
      </c>
      <c r="I22" s="33" t="str">
        <f t="shared" si="8"/>
        <v/>
      </c>
    </row>
    <row r="23" spans="1:9" ht="15.6">
      <c r="A23" s="34" t="str">
        <v>NM: Gallup - Walmart #906</v>
      </c>
      <c r="B23" s="35" t="str">
        <v>NM</v>
      </c>
      <c r="C23" s="36">
        <f>SUM('1st Qtr'!C23, '2nd Qtr'!C23, '3rd Qtr'!C23, '4th Qtr'!C23)</f>
        <v>48096</v>
      </c>
      <c r="D23" s="37">
        <f>SUM('1st Qtr'!D23, '2nd Qtr'!D23, '3rd Qtr'!D23, '4th Qtr'!D23)</f>
        <v>0</v>
      </c>
      <c r="E23" s="37">
        <f t="shared" si="6"/>
        <v>48096</v>
      </c>
      <c r="F23" s="38" t="str">
        <f t="shared" si="7"/>
        <v/>
      </c>
      <c r="G23" s="39">
        <f>SUM('1st Qtr'!G23, '2nd Qtr'!G23, '3rd Qtr'!G23, '4th Qtr'!G23)</f>
        <v>0</v>
      </c>
      <c r="H23" s="64">
        <f>SUM('1st Qtr'!H23, '2nd Qtr'!H23, '3rd Qtr'!H23, '4th Qtr'!H23)</f>
        <v>0</v>
      </c>
      <c r="I23" s="38" t="str">
        <f t="shared" si="8"/>
        <v/>
      </c>
    </row>
    <row r="24" spans="1:9" ht="15.6">
      <c r="A24" s="27" t="str">
        <v>NV: Las Vegas - Amazon - LAS5</v>
      </c>
      <c r="B24" s="28" t="str">
        <v>NV</v>
      </c>
      <c r="C24" s="29">
        <f>SUM('1st Qtr'!C24, '2nd Qtr'!C24, '3rd Qtr'!C24, '4th Qtr'!C24)</f>
        <v>46426</v>
      </c>
      <c r="D24" s="30">
        <f>SUM('1st Qtr'!D24, '2nd Qtr'!D24, '3rd Qtr'!D24, '4th Qtr'!D24)</f>
        <v>0</v>
      </c>
      <c r="E24" s="30">
        <f t="shared" si="6"/>
        <v>46426</v>
      </c>
      <c r="F24" s="31" t="str">
        <f t="shared" si="7"/>
        <v/>
      </c>
      <c r="G24" s="32">
        <f>SUM('1st Qtr'!G24, '2nd Qtr'!G24, '3rd Qtr'!G24, '4th Qtr'!G24)</f>
        <v>0</v>
      </c>
      <c r="H24" s="32">
        <f>SUM('1st Qtr'!H24, '2nd Qtr'!H24, '3rd Qtr'!H24, '4th Qtr'!H24)</f>
        <v>0</v>
      </c>
      <c r="I24" s="33" t="str">
        <f t="shared" si="8"/>
        <v/>
      </c>
    </row>
    <row r="25" spans="1:9" ht="15.6">
      <c r="A25" s="34" t="str">
        <v>RI: Narragansett - Anchor Storage</v>
      </c>
      <c r="B25" s="35" t="str">
        <v>RI</v>
      </c>
      <c r="C25" s="36">
        <f>SUM('1st Qtr'!C25, '2nd Qtr'!C25, '3rd Qtr'!C25, '4th Qtr'!C25)</f>
        <v>5683</v>
      </c>
      <c r="D25" s="37">
        <f>SUM('1st Qtr'!D25, '2nd Qtr'!D25, '3rd Qtr'!D25, '4th Qtr'!D25)</f>
        <v>0</v>
      </c>
      <c r="E25" s="37">
        <f t="shared" ref="E25:E27" si="9">IF(AND(ISNUMBER(C25),ISNUMBER(D25)), C25-D25, "")</f>
        <v>5683</v>
      </c>
      <c r="F25" s="38" t="str">
        <f t="shared" ref="F25:F27" si="10">IFERROR(E25/D25, "")</f>
        <v/>
      </c>
      <c r="G25" s="39">
        <f>SUM('1st Qtr'!G25, '2nd Qtr'!G25, '3rd Qtr'!G25, '4th Qtr'!G25)</f>
        <v>0</v>
      </c>
      <c r="H25" s="64">
        <f>SUM('1st Qtr'!H25, '2nd Qtr'!H25, '3rd Qtr'!H25, '4th Qtr'!H25)</f>
        <v>0</v>
      </c>
      <c r="I25" s="38" t="str">
        <f t="shared" ref="I25:I27" si="11">IFERROR(H25/G25, "")</f>
        <v/>
      </c>
    </row>
    <row r="26" spans="1:9" ht="15.6">
      <c r="A26" s="27" t="str">
        <v>RI: North Kingstown - Walmart #2261</v>
      </c>
      <c r="B26" s="28" t="str">
        <v>RI</v>
      </c>
      <c r="C26" s="29">
        <f>SUM('1st Qtr'!C26, '2nd Qtr'!C26, '3rd Qtr'!C26, '4th Qtr'!C26)</f>
        <v>13530</v>
      </c>
      <c r="D26" s="30">
        <f>SUM('1st Qtr'!D26, '2nd Qtr'!D26, '3rd Qtr'!D26, '4th Qtr'!D26)</f>
        <v>0</v>
      </c>
      <c r="E26" s="30">
        <f t="shared" si="9"/>
        <v>13530</v>
      </c>
      <c r="F26" s="31" t="str">
        <f t="shared" si="10"/>
        <v/>
      </c>
      <c r="G26" s="32">
        <f>SUM('1st Qtr'!G26, '2nd Qtr'!G26, '3rd Qtr'!G26, '4th Qtr'!G26)</f>
        <v>0</v>
      </c>
      <c r="H26" s="32">
        <f>SUM('1st Qtr'!H26, '2nd Qtr'!H26, '3rd Qtr'!H26, '4th Qtr'!H26)</f>
        <v>0</v>
      </c>
      <c r="I26" s="33" t="str">
        <f t="shared" si="11"/>
        <v/>
      </c>
    </row>
    <row r="27" spans="1:9" ht="15.6">
      <c r="A27" s="34" t="str">
        <v>RI: Warwick - Walmart #2373</v>
      </c>
      <c r="B27" s="35" t="str">
        <v>RI</v>
      </c>
      <c r="C27" s="36">
        <f>SUM('1st Qtr'!C27, '2nd Qtr'!C27, '3rd Qtr'!C27, '4th Qtr'!C27)</f>
        <v>12429</v>
      </c>
      <c r="D27" s="37">
        <f>SUM('1st Qtr'!D27, '2nd Qtr'!D27, '3rd Qtr'!D27, '4th Qtr'!D27)</f>
        <v>0</v>
      </c>
      <c r="E27" s="37">
        <f t="shared" si="9"/>
        <v>12429</v>
      </c>
      <c r="F27" s="38" t="str">
        <f t="shared" si="10"/>
        <v/>
      </c>
      <c r="G27" s="39">
        <f>SUM('1st Qtr'!G27, '2nd Qtr'!G27, '3rd Qtr'!G27, '4th Qtr'!G27)</f>
        <v>0</v>
      </c>
      <c r="H27" s="64">
        <f>SUM('1st Qtr'!H27, '2nd Qtr'!H27, '3rd Qtr'!H27, '4th Qtr'!H27)</f>
        <v>0</v>
      </c>
      <c r="I27" s="38" t="str">
        <f t="shared" si="11"/>
        <v/>
      </c>
    </row>
    <row r="28" spans="1:9" ht="15.6">
      <c r="A28" s="27" t="str">
        <v>TX: Seguin - Niagara Bottling LLC</v>
      </c>
      <c r="B28" s="28" t="str">
        <v>TX</v>
      </c>
      <c r="C28" s="29">
        <f>SUM('1st Qtr'!C28, '2nd Qtr'!C28, '3rd Qtr'!C28, '4th Qtr'!C28)</f>
        <v>262802</v>
      </c>
      <c r="D28" s="30">
        <f>SUM('1st Qtr'!D28, '2nd Qtr'!D28, '3rd Qtr'!D28, '4th Qtr'!D28)</f>
        <v>0</v>
      </c>
      <c r="E28" s="30">
        <f t="shared" ref="E28:E29" si="12">IF(AND(ISNUMBER(C28),ISNUMBER(D28)), C28-D28, "")</f>
        <v>262802</v>
      </c>
      <c r="F28" s="31" t="str">
        <f t="shared" ref="F28:F29" si="13">IFERROR(E28/D28, "")</f>
        <v/>
      </c>
      <c r="G28" s="32">
        <f>SUM('1st Qtr'!G28, '2nd Qtr'!G28, '3rd Qtr'!G28, '4th Qtr'!G28)</f>
        <v>0</v>
      </c>
      <c r="H28" s="32">
        <f>SUM('1st Qtr'!H28, '2nd Qtr'!H28, '3rd Qtr'!H28, '4th Qtr'!H28)</f>
        <v>0</v>
      </c>
      <c r="I28" s="33" t="str">
        <f t="shared" ref="I28:I29" si="14">IFERROR(H28/G28, "")</f>
        <v/>
      </c>
    </row>
    <row r="29" spans="1:9" ht="15.6">
      <c r="A29" s="34"/>
      <c r="B29" s="35"/>
      <c r="C29" s="36">
        <f>SUM('1st Qtr'!C29, '2nd Qtr'!C29, '3rd Qtr'!C29, '4th Qtr'!C29)</f>
        <v>0</v>
      </c>
      <c r="D29" s="37">
        <f>SUM('1st Qtr'!D29, '2nd Qtr'!D29, '3rd Qtr'!D29, '4th Qtr'!D29)</f>
        <v>0</v>
      </c>
      <c r="E29" s="37">
        <f t="shared" si="12"/>
        <v>0</v>
      </c>
      <c r="F29" s="38" t="str">
        <f t="shared" si="13"/>
        <v/>
      </c>
      <c r="G29" s="39">
        <f>SUM('1st Qtr'!G29, '2nd Qtr'!G29, '3rd Qtr'!G29, '4th Qtr'!G29)</f>
        <v>0</v>
      </c>
      <c r="H29" s="64">
        <f>SUM('1st Qtr'!H29, '2nd Qtr'!H29, '3rd Qtr'!H29, '4th Qtr'!H29)</f>
        <v>0</v>
      </c>
      <c r="I29" s="38" t="str">
        <f t="shared" si="14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P23" sqref="P23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3" t="str" cm="1">
        <f t="array" ref="A1">portfolio</f>
        <v>REC Solar</v>
      </c>
      <c r="B1" s="123"/>
      <c r="C1" s="123"/>
      <c r="D1" s="124" t="s">
        <v>10</v>
      </c>
      <c r="E1" s="124"/>
      <c r="F1" s="124"/>
      <c r="G1" s="122" t="s">
        <v>11</v>
      </c>
      <c r="H1" s="122"/>
      <c r="I1" s="122"/>
    </row>
    <row r="2" spans="1:9" ht="19.5" customHeight="1">
      <c r="A2" s="125" t="s">
        <v>2</v>
      </c>
      <c r="B2" s="125"/>
      <c r="C2" s="5">
        <f>SUM(C4:C99)</f>
        <v>2233531.5379999997</v>
      </c>
      <c r="D2" s="5">
        <f>SUM(D4:D99)</f>
        <v>351433.54</v>
      </c>
      <c r="E2" s="5">
        <f>C2-D2</f>
        <v>1882097.9979999997</v>
      </c>
      <c r="F2" s="6">
        <f>IFERROR(E2/D2, 0)</f>
        <v>5.3554876919260463</v>
      </c>
      <c r="G2" s="5">
        <f>SUM(G4:G99)</f>
        <v>373875.89</v>
      </c>
      <c r="H2" s="7">
        <f>C2-G2</f>
        <v>1859655.6479999996</v>
      </c>
      <c r="I2" s="6">
        <f>IFERROR(H2/G2, 0)</f>
        <v>4.9739918987554921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28">Sites[Site]</f>
        <v>AZ: Goodyear - Amazon GYR2</v>
      </c>
      <c r="B4" s="28" t="str" cm="1">
        <f t="array" ref="B4:B28">Sites[State]</f>
        <v>AZ</v>
      </c>
      <c r="C4" s="29">
        <f>SUM(Jan!C4, Feb!C4, Mar!C4)</f>
        <v>301975.2</v>
      </c>
      <c r="D4" s="30">
        <f>SUM(Jan!D4, Feb!D4, Mar!D4)</f>
        <v>302200.09000000003</v>
      </c>
      <c r="E4" s="30">
        <f>IF(AND(ISNUMBER(C4),ISNUMBER(D4)), C4-D4, "")</f>
        <v>-224.89000000001397</v>
      </c>
      <c r="F4" s="31">
        <f>IFERROR(E4/D4, "")</f>
        <v>-7.4417582072862376E-4</v>
      </c>
      <c r="G4" s="32">
        <f>SUM(Jan!G4, Feb!G4, Mar!G4)</f>
        <v>298527.2</v>
      </c>
      <c r="H4" s="32">
        <f>SUM(Jan!H4, Feb!H4, Mar!H4)</f>
        <v>3448</v>
      </c>
      <c r="I4" s="33">
        <f>IFERROR(H4/G4, "")</f>
        <v>1.1550036311599076E-2</v>
      </c>
    </row>
    <row r="5" spans="1:9" ht="15.6">
      <c r="A5" s="49" t="str">
        <v>AZ: Tucson - Amazon - TUS2</v>
      </c>
      <c r="B5" s="35" t="str">
        <v>AZ</v>
      </c>
      <c r="C5" s="36">
        <f>SUM(Jan!C5, Feb!C5, Mar!C5)</f>
        <v>300385</v>
      </c>
      <c r="D5" s="37">
        <f>SUM(Jan!D5, Feb!D5, Mar!D5)</f>
        <v>0</v>
      </c>
      <c r="E5" s="37">
        <f t="shared" ref="E5:E15" si="0">IF(AND(ISNUMBER(C5),ISNUMBER(D5)), C5-D5, "")</f>
        <v>300385</v>
      </c>
      <c r="F5" s="38" t="str">
        <f>IFERROR(E5/D5, "")</f>
        <v/>
      </c>
      <c r="G5" s="39">
        <f>SUM(Jan!G5, Feb!G5, Mar!G5)</f>
        <v>0</v>
      </c>
      <c r="H5" s="39">
        <f>SUM(Jan!H5, Feb!H5, Mar!H5)</f>
        <v>0</v>
      </c>
      <c r="I5" s="38" t="str">
        <f>IFERROR(H5/G5, "")</f>
        <v/>
      </c>
    </row>
    <row r="6" spans="1:9" ht="15.6">
      <c r="A6" s="48" t="str">
        <v>CO: Denver - TruStile Doors</v>
      </c>
      <c r="B6" s="28" t="str">
        <v>CO</v>
      </c>
      <c r="C6" s="29">
        <f>SUM(Jan!C6, Feb!C6, Mar!C6)</f>
        <v>91741</v>
      </c>
      <c r="D6" s="30">
        <f>SUM(Jan!D6, Feb!D6, Mar!D6)</f>
        <v>0</v>
      </c>
      <c r="E6" s="30">
        <f t="shared" si="0"/>
        <v>91741</v>
      </c>
      <c r="F6" s="31" t="str">
        <f t="shared" ref="F6:F15" si="1">IFERROR(E6/D6, "")</f>
        <v/>
      </c>
      <c r="G6" s="32">
        <f>SUM(Jan!G6, Feb!G6, Mar!G6)</f>
        <v>0</v>
      </c>
      <c r="H6" s="32">
        <f>SUM(Jan!H6, Feb!H6, Mar!H6)</f>
        <v>0</v>
      </c>
      <c r="I6" s="33" t="str">
        <f t="shared" ref="I6:I15" si="2">IFERROR(H6/G6, "")</f>
        <v/>
      </c>
    </row>
    <row r="7" spans="1:9" ht="15.6">
      <c r="A7" s="49" t="str">
        <v>CO: Thornton - Amazon - DEN3</v>
      </c>
      <c r="B7" s="35" t="str">
        <v>CO</v>
      </c>
      <c r="C7" s="36">
        <f>SUM(Jan!C7, Feb!C7, Mar!C7)</f>
        <v>388827</v>
      </c>
      <c r="D7" s="37">
        <f>SUM(Jan!D7, Feb!D7, Mar!D7)</f>
        <v>0</v>
      </c>
      <c r="E7" s="37">
        <f t="shared" si="0"/>
        <v>388827</v>
      </c>
      <c r="F7" s="38" t="str">
        <f t="shared" si="1"/>
        <v/>
      </c>
      <c r="G7" s="39">
        <f>SUM(Jan!G7, Feb!G7, Mar!G7)</f>
        <v>0</v>
      </c>
      <c r="H7" s="39">
        <f>SUM(Jan!H7, Feb!H7, Mar!H7)</f>
        <v>0</v>
      </c>
      <c r="I7" s="38" t="str">
        <f t="shared" si="2"/>
        <v/>
      </c>
    </row>
    <row r="8" spans="1:9" ht="15.6">
      <c r="A8" s="48" t="str">
        <v>CO: Greenwood Village - REC H5 Data Center</v>
      </c>
      <c r="B8" s="28" t="str">
        <v>CO</v>
      </c>
      <c r="C8" s="29">
        <f>SUM(Jan!C8, Feb!C8, Mar!C8)</f>
        <v>30729</v>
      </c>
      <c r="D8" s="30">
        <f>SUM(Jan!D8, Feb!D8, Mar!D8)</f>
        <v>0</v>
      </c>
      <c r="E8" s="30">
        <f t="shared" si="0"/>
        <v>30729</v>
      </c>
      <c r="F8" s="31" t="str">
        <f t="shared" si="1"/>
        <v/>
      </c>
      <c r="G8" s="32">
        <f>SUM(Jan!G8, Feb!G8, Mar!G8)</f>
        <v>0</v>
      </c>
      <c r="H8" s="32">
        <f>SUM(Jan!H8, Feb!H8, Mar!H8)</f>
        <v>0</v>
      </c>
      <c r="I8" s="33" t="str">
        <f t="shared" si="2"/>
        <v/>
      </c>
    </row>
    <row r="9" spans="1:9" ht="15.6">
      <c r="A9" s="49" t="str">
        <v>HI: Ewa Beach - Salvation Army Kroc Center</v>
      </c>
      <c r="B9" s="35" t="str">
        <v>HI</v>
      </c>
      <c r="C9" s="36">
        <f>SUM(Jan!C9, Feb!C9, Mar!C9)</f>
        <v>3029</v>
      </c>
      <c r="D9" s="37">
        <f>SUM(Jan!D9, Feb!D9, Mar!D9)</f>
        <v>0</v>
      </c>
      <c r="E9" s="37">
        <f t="shared" si="0"/>
        <v>3029</v>
      </c>
      <c r="F9" s="38" t="str">
        <f t="shared" si="1"/>
        <v/>
      </c>
      <c r="G9" s="39">
        <f>SUM(Jan!G9, Feb!G9, Mar!G9)</f>
        <v>0</v>
      </c>
      <c r="H9" s="39">
        <f>SUM(Jan!H9, Feb!H9, Mar!H9)</f>
        <v>0</v>
      </c>
      <c r="I9" s="38" t="str">
        <f t="shared" si="2"/>
        <v/>
      </c>
    </row>
    <row r="10" spans="1:9" ht="15.6">
      <c r="A10" s="48" t="str">
        <v>HI: Honolulu - Hawaii Foodbank</v>
      </c>
      <c r="B10" s="28" t="str">
        <v>HI</v>
      </c>
      <c r="C10" s="29">
        <f>SUM(Jan!C10, Feb!C10, Mar!C10)</f>
        <v>20685.95</v>
      </c>
      <c r="D10" s="30">
        <f>SUM(Jan!D10, Feb!D10, Mar!D10)</f>
        <v>28454.35</v>
      </c>
      <c r="E10" s="30">
        <f t="shared" si="0"/>
        <v>-7768.3999999999978</v>
      </c>
      <c r="F10" s="31">
        <f t="shared" si="1"/>
        <v>-0.27301273794692194</v>
      </c>
      <c r="G10" s="32">
        <f>SUM(Jan!G10, Feb!G10, Mar!G10)</f>
        <v>29676.639999999999</v>
      </c>
      <c r="H10" s="32">
        <f>SUM(Jan!H10, Feb!H10, Mar!H10)</f>
        <v>-8990.6899999999987</v>
      </c>
      <c r="I10" s="33">
        <f t="shared" si="2"/>
        <v>-0.30295511890833998</v>
      </c>
    </row>
    <row r="11" spans="1:9" ht="15.6">
      <c r="A11" s="49" t="str">
        <v>HI: Kailua-Kona - Home Depot #1704</v>
      </c>
      <c r="B11" s="35" t="str">
        <v>HI</v>
      </c>
      <c r="C11" s="36">
        <f>SUM(Jan!C11, Feb!C11, Mar!C11)</f>
        <v>61869</v>
      </c>
      <c r="D11" s="37">
        <f>SUM(Jan!D11, Feb!D11, Mar!D11)</f>
        <v>0</v>
      </c>
      <c r="E11" s="37">
        <f t="shared" si="0"/>
        <v>61869</v>
      </c>
      <c r="F11" s="38" t="str">
        <f t="shared" si="1"/>
        <v/>
      </c>
      <c r="G11" s="39">
        <f>SUM(Jan!G11, Feb!G11, Mar!G11)</f>
        <v>0</v>
      </c>
      <c r="H11" s="39">
        <f>SUM(Jan!H11, Feb!H11, Mar!H11)</f>
        <v>0</v>
      </c>
      <c r="I11" s="38" t="str">
        <f t="shared" si="2"/>
        <v/>
      </c>
    </row>
    <row r="12" spans="1:9" ht="15.6">
      <c r="A12" s="48" t="str">
        <v>HI: Kapolei - Home Depot #1706</v>
      </c>
      <c r="B12" s="28" t="str">
        <v>HI</v>
      </c>
      <c r="C12" s="29">
        <f>SUM(Jan!C12, Feb!C12, Mar!C12)</f>
        <v>46759</v>
      </c>
      <c r="D12" s="30">
        <f>SUM(Jan!D12, Feb!D12, Mar!D12)</f>
        <v>0</v>
      </c>
      <c r="E12" s="30">
        <f t="shared" si="0"/>
        <v>46759</v>
      </c>
      <c r="F12" s="31" t="str">
        <f t="shared" si="1"/>
        <v/>
      </c>
      <c r="G12" s="32">
        <f>SUM(Jan!G12, Feb!G12, Mar!G12)</f>
        <v>0</v>
      </c>
      <c r="H12" s="32">
        <f>SUM(Jan!H12, Feb!H12, Mar!H12)</f>
        <v>0</v>
      </c>
      <c r="I12" s="33" t="str">
        <f t="shared" si="2"/>
        <v/>
      </c>
    </row>
    <row r="13" spans="1:9" ht="15.6">
      <c r="A13" s="49" t="str">
        <v>HI: Laie - Polynesian Cultural Center</v>
      </c>
      <c r="B13" s="35" t="str">
        <v>HI</v>
      </c>
      <c r="C13" s="36">
        <f>SUM(Jan!C13, Feb!C13, Mar!C13)</f>
        <v>9</v>
      </c>
      <c r="D13" s="37">
        <f>SUM(Jan!D13, Feb!D13, Mar!D13)</f>
        <v>0</v>
      </c>
      <c r="E13" s="37">
        <f t="shared" si="0"/>
        <v>9</v>
      </c>
      <c r="F13" s="38" t="str">
        <f t="shared" si="1"/>
        <v/>
      </c>
      <c r="G13" s="39">
        <f>SUM(Jan!G13, Feb!G13, Mar!G13)</f>
        <v>0</v>
      </c>
      <c r="H13" s="39">
        <f>SUM(Jan!H13, Feb!H13, Mar!H13)</f>
        <v>0</v>
      </c>
      <c r="I13" s="38" t="str">
        <f t="shared" si="2"/>
        <v/>
      </c>
    </row>
    <row r="14" spans="1:9" ht="15.6">
      <c r="A14" s="48" t="str">
        <v>HI: Laie- BYU Hawaii (PW)</v>
      </c>
      <c r="B14" s="28" t="str">
        <v>HI</v>
      </c>
      <c r="C14" s="29">
        <f>SUM(Jan!C14, Feb!C14, Mar!C14)</f>
        <v>258088</v>
      </c>
      <c r="D14" s="30">
        <f>SUM(Jan!D14, Feb!D14, Mar!D14)</f>
        <v>0</v>
      </c>
      <c r="E14" s="30">
        <f t="shared" si="0"/>
        <v>258088</v>
      </c>
      <c r="F14" s="31" t="str">
        <f t="shared" si="1"/>
        <v/>
      </c>
      <c r="G14" s="32">
        <f>SUM(Jan!G14, Feb!G14, Mar!G14)</f>
        <v>0</v>
      </c>
      <c r="H14" s="32">
        <f>SUM(Jan!H14, Feb!H14, Mar!H14)</f>
        <v>0</v>
      </c>
      <c r="I14" s="33" t="str">
        <f t="shared" si="2"/>
        <v/>
      </c>
    </row>
    <row r="15" spans="1:9" ht="15.6">
      <c r="A15" s="49" t="str">
        <v>HI: Waianae - Makaha Surfside</v>
      </c>
      <c r="B15" s="35" t="str">
        <v>HI</v>
      </c>
      <c r="C15" s="36">
        <f>SUM(Jan!C15, Feb!C15, Mar!C15)</f>
        <v>21962.7</v>
      </c>
      <c r="D15" s="37">
        <f>SUM(Jan!D15, Feb!D15, Mar!D15)</f>
        <v>20779.099999999999</v>
      </c>
      <c r="E15" s="37">
        <f t="shared" si="0"/>
        <v>1183.6000000000022</v>
      </c>
      <c r="F15" s="38">
        <f t="shared" si="1"/>
        <v>5.6961081086283921E-2</v>
      </c>
      <c r="G15" s="39">
        <f>SUM(Jan!G15, Feb!G15, Mar!G15)</f>
        <v>22747.200000000001</v>
      </c>
      <c r="H15" s="39">
        <f>SUM(Jan!H15, Feb!H15, Mar!H15)</f>
        <v>-784.5</v>
      </c>
      <c r="I15" s="38">
        <f t="shared" si="2"/>
        <v>-3.4487761131040302E-2</v>
      </c>
    </row>
    <row r="16" spans="1:9" ht="15.6">
      <c r="A16" s="48" t="str">
        <v>HI: Kahului - Home Depot #1703</v>
      </c>
      <c r="B16" s="28" t="str">
        <v>HI</v>
      </c>
      <c r="C16" s="29">
        <f>SUM(Jan!C16, Feb!C16, Mar!C16)</f>
        <v>59924</v>
      </c>
      <c r="D16" s="30">
        <f>SUM(Jan!D16, Feb!D16, Mar!D16)</f>
        <v>0</v>
      </c>
      <c r="E16" s="30">
        <f t="shared" ref="E16:E18" si="3">IF(AND(ISNUMBER(C16),ISNUMBER(D16)), C16-D16, "")</f>
        <v>59924</v>
      </c>
      <c r="F16" s="31" t="str">
        <f t="shared" ref="F16:F18" si="4">IFERROR(E16/D16, "")</f>
        <v/>
      </c>
      <c r="G16" s="32">
        <f>SUM(Jan!G16, Feb!G16, Mar!G16)</f>
        <v>0</v>
      </c>
      <c r="H16" s="32">
        <f>SUM(Jan!H16, Feb!H16, Mar!H16)</f>
        <v>0</v>
      </c>
      <c r="I16" s="33" t="str">
        <f t="shared" ref="I16:I18" si="5">IFERROR(H16/G16, "")</f>
        <v/>
      </c>
    </row>
    <row r="17" spans="1:9" ht="15.6">
      <c r="A17" s="49" t="str">
        <v>MA: Andover - Boston One Campus</v>
      </c>
      <c r="B17" s="35" t="str">
        <v>MA</v>
      </c>
      <c r="C17" s="36">
        <f>SUM(Jan!C17, Feb!C17, Mar!C17)</f>
        <v>6801.6880000000001</v>
      </c>
      <c r="D17" s="37">
        <f>SUM(Jan!D17, Feb!D17, Mar!D17)</f>
        <v>0</v>
      </c>
      <c r="E17" s="37">
        <f t="shared" si="3"/>
        <v>6801.6880000000001</v>
      </c>
      <c r="F17" s="38" t="str">
        <f t="shared" si="4"/>
        <v/>
      </c>
      <c r="G17" s="39">
        <f>SUM(Jan!G17, Feb!G17, Mar!G17)</f>
        <v>22924.85</v>
      </c>
      <c r="H17" s="39">
        <f>SUM(Jan!H17, Feb!H17, Mar!H17)</f>
        <v>-16123.161999999998</v>
      </c>
      <c r="I17" s="38">
        <f t="shared" si="5"/>
        <v>-0.70330501617240682</v>
      </c>
    </row>
    <row r="18" spans="1:9" ht="12.75" customHeight="1">
      <c r="A18" s="48" t="str">
        <v>MA: Foxboro - Schneider Cocasset</v>
      </c>
      <c r="B18" s="28" t="str">
        <v>MA</v>
      </c>
      <c r="C18" s="29">
        <f>SUM(Jan!C18, Feb!C18, Mar!C18)</f>
        <v>5651</v>
      </c>
      <c r="D18" s="30">
        <f>SUM(Jan!D18, Feb!D18, Mar!D18)</f>
        <v>0</v>
      </c>
      <c r="E18" s="30">
        <f t="shared" si="3"/>
        <v>5651</v>
      </c>
      <c r="F18" s="31" t="str">
        <f t="shared" si="4"/>
        <v/>
      </c>
      <c r="G18" s="32">
        <f>SUM(Jan!G18, Feb!G18, Mar!G18)</f>
        <v>0</v>
      </c>
      <c r="H18" s="32">
        <f>SUM(Jan!H18, Feb!H18, Mar!H18)</f>
        <v>0</v>
      </c>
      <c r="I18" s="38" t="str">
        <f t="shared" si="5"/>
        <v/>
      </c>
    </row>
    <row r="19" spans="1:9" ht="15.6">
      <c r="A19" s="49" t="str">
        <v>MD: Gaithersburg - Montgomery Cnty - PSHQ</v>
      </c>
      <c r="B19" s="35" t="str">
        <v>MD</v>
      </c>
      <c r="C19" s="36">
        <f>SUM(Jan!C19, Feb!C19, Mar!C19)</f>
        <v>84770</v>
      </c>
      <c r="D19" s="37">
        <f>SUM(Jan!D19, Feb!D19, Mar!D19)</f>
        <v>0</v>
      </c>
      <c r="E19" s="37">
        <f t="shared" ref="E19:E27" si="6">IF(AND(ISNUMBER(C19),ISNUMBER(D19)), C19-D19, "")</f>
        <v>84770</v>
      </c>
      <c r="F19" s="38" t="str">
        <f t="shared" ref="F19:F27" si="7">IFERROR(E19/D19, "")</f>
        <v/>
      </c>
      <c r="G19" s="39">
        <f>SUM(Jan!G19, Feb!G19, Mar!G19)</f>
        <v>0</v>
      </c>
      <c r="H19" s="39">
        <f>SUM(Jan!H19, Feb!H19, Mar!H19)</f>
        <v>0</v>
      </c>
      <c r="I19" s="33" t="str">
        <f t="shared" ref="I19:I27" si="8">IFERROR(H19/G19, "")</f>
        <v/>
      </c>
    </row>
    <row r="20" spans="1:9" ht="15.6">
      <c r="A20" s="48" t="str">
        <v>MD: Sparrows Point - Amazon DCA1</v>
      </c>
      <c r="B20" s="28" t="str">
        <v>MD</v>
      </c>
      <c r="C20" s="29">
        <f>SUM(Jan!C20, Feb!C20, Mar!C20)</f>
        <v>91260</v>
      </c>
      <c r="D20" s="30">
        <f>SUM(Jan!D20, Feb!D20, Mar!D20)</f>
        <v>0</v>
      </c>
      <c r="E20" s="30">
        <f t="shared" si="6"/>
        <v>91260</v>
      </c>
      <c r="F20" s="31" t="str">
        <f t="shared" si="7"/>
        <v/>
      </c>
      <c r="G20" s="32">
        <f>SUM(Jan!G20, Feb!G20, Mar!G20)</f>
        <v>0</v>
      </c>
      <c r="H20" s="32">
        <f>SUM(Jan!H20, Feb!H20, Mar!H20)</f>
        <v>0</v>
      </c>
      <c r="I20" s="38" t="str">
        <f t="shared" si="8"/>
        <v/>
      </c>
    </row>
    <row r="21" spans="1:9" ht="15.6">
      <c r="A21" s="49" t="str">
        <v>NJ: Piscataway - LVMH DC</v>
      </c>
      <c r="B21" s="35" t="str">
        <v>NJ</v>
      </c>
      <c r="C21" s="36">
        <f>SUM(Jan!C21, Feb!C21, Mar!C21)</f>
        <v>24539</v>
      </c>
      <c r="D21" s="37">
        <f>SUM(Jan!D21, Feb!D21, Mar!D21)</f>
        <v>0</v>
      </c>
      <c r="E21" s="37">
        <f t="shared" si="6"/>
        <v>24539</v>
      </c>
      <c r="F21" s="38" t="str">
        <f t="shared" si="7"/>
        <v/>
      </c>
      <c r="G21" s="39">
        <f>SUM(Jan!G21, Feb!G21, Mar!G21)</f>
        <v>0</v>
      </c>
      <c r="H21" s="39">
        <f>SUM(Jan!H21, Feb!H21, Mar!H21)</f>
        <v>0</v>
      </c>
      <c r="I21" s="38" t="str">
        <f t="shared" si="8"/>
        <v/>
      </c>
    </row>
    <row r="22" spans="1:9" ht="15.6">
      <c r="A22" s="48" t="str">
        <v>NM: Edgewood - Walmart #4201</v>
      </c>
      <c r="B22" s="28" t="str">
        <v>NM</v>
      </c>
      <c r="C22" s="29">
        <f>SUM(Jan!C22, Feb!C22, Mar!C22)</f>
        <v>45560</v>
      </c>
      <c r="D22" s="30">
        <f>SUM(Jan!D22, Feb!D22, Mar!D22)</f>
        <v>0</v>
      </c>
      <c r="E22" s="30">
        <f t="shared" si="6"/>
        <v>45560</v>
      </c>
      <c r="F22" s="31" t="str">
        <f t="shared" si="7"/>
        <v/>
      </c>
      <c r="G22" s="32">
        <f>SUM(Jan!G22, Feb!G22, Mar!G22)</f>
        <v>0</v>
      </c>
      <c r="H22" s="32">
        <f>SUM(Jan!H22, Feb!H22, Mar!H22)</f>
        <v>0</v>
      </c>
      <c r="I22" s="33" t="str">
        <f t="shared" si="8"/>
        <v/>
      </c>
    </row>
    <row r="23" spans="1:9" ht="15.6">
      <c r="A23" s="49" t="str">
        <v>NM: Gallup - Walmart #906</v>
      </c>
      <c r="B23" s="35" t="str">
        <v>NM</v>
      </c>
      <c r="C23" s="36">
        <f>SUM(Jan!C23, Feb!C23, Mar!C23)</f>
        <v>48096</v>
      </c>
      <c r="D23" s="37">
        <f>SUM(Jan!D23, Feb!D23, Mar!D23)</f>
        <v>0</v>
      </c>
      <c r="E23" s="37">
        <f t="shared" si="6"/>
        <v>48096</v>
      </c>
      <c r="F23" s="38" t="str">
        <f t="shared" si="7"/>
        <v/>
      </c>
      <c r="G23" s="39">
        <f>SUM(Jan!G23, Feb!G23, Mar!G23)</f>
        <v>0</v>
      </c>
      <c r="H23" s="39">
        <f>SUM(Jan!H23, Feb!H23, Mar!H23)</f>
        <v>0</v>
      </c>
      <c r="I23" s="38" t="str">
        <f t="shared" si="8"/>
        <v/>
      </c>
    </row>
    <row r="24" spans="1:9" ht="15.6">
      <c r="A24" s="48" t="str">
        <v>NV: Las Vegas - Amazon - LAS5</v>
      </c>
      <c r="B24" s="28" t="str">
        <v>NV</v>
      </c>
      <c r="C24" s="29">
        <f>SUM(Jan!C24, Feb!C24, Mar!C24)</f>
        <v>46426</v>
      </c>
      <c r="D24" s="30">
        <f>SUM(Jan!D24, Feb!D24, Mar!D24)</f>
        <v>0</v>
      </c>
      <c r="E24" s="30">
        <f t="shared" si="6"/>
        <v>46426</v>
      </c>
      <c r="F24" s="31" t="str">
        <f t="shared" si="7"/>
        <v/>
      </c>
      <c r="G24" s="32">
        <f>SUM(Jan!G24, Feb!G24, Mar!G24)</f>
        <v>0</v>
      </c>
      <c r="H24" s="32">
        <f>SUM(Jan!H24, Feb!H24, Mar!H24)</f>
        <v>0</v>
      </c>
      <c r="I24" s="33" t="str">
        <f t="shared" si="8"/>
        <v/>
      </c>
    </row>
    <row r="25" spans="1:9" ht="15.6">
      <c r="A25" s="49" t="str">
        <v>RI: Narragansett - Anchor Storage</v>
      </c>
      <c r="B25" s="35" t="str">
        <v>RI</v>
      </c>
      <c r="C25" s="36">
        <f>SUM(Jan!C25, Feb!C25, Mar!C25)</f>
        <v>5683</v>
      </c>
      <c r="D25" s="37">
        <f>SUM(Jan!D25, Feb!D25, Mar!D25)</f>
        <v>0</v>
      </c>
      <c r="E25" s="37">
        <f t="shared" si="6"/>
        <v>5683</v>
      </c>
      <c r="F25" s="38" t="str">
        <f t="shared" si="7"/>
        <v/>
      </c>
      <c r="G25" s="39">
        <f>SUM(Jan!G25, Feb!G25, Mar!G25)</f>
        <v>0</v>
      </c>
      <c r="H25" s="39">
        <f>SUM(Jan!H25, Feb!H25, Mar!H25)</f>
        <v>0</v>
      </c>
      <c r="I25" s="38" t="str">
        <f t="shared" si="8"/>
        <v/>
      </c>
    </row>
    <row r="26" spans="1:9" ht="15.6">
      <c r="A26" s="48" t="str">
        <v>RI: North Kingstown - Walmart #2261</v>
      </c>
      <c r="B26" s="28" t="str">
        <v>RI</v>
      </c>
      <c r="C26" s="29">
        <f>SUM(Jan!C26, Feb!C26, Mar!C26)</f>
        <v>13530</v>
      </c>
      <c r="D26" s="30">
        <f>SUM(Jan!D26, Feb!D26, Mar!D26)</f>
        <v>0</v>
      </c>
      <c r="E26" s="30">
        <f t="shared" si="6"/>
        <v>13530</v>
      </c>
      <c r="F26" s="31" t="str">
        <f t="shared" si="7"/>
        <v/>
      </c>
      <c r="G26" s="32">
        <f>SUM(Jan!G26, Feb!G26, Mar!G26)</f>
        <v>0</v>
      </c>
      <c r="H26" s="32">
        <f>SUM(Jan!H26, Feb!H26, Mar!H26)</f>
        <v>0</v>
      </c>
      <c r="I26" s="33" t="str">
        <f t="shared" si="8"/>
        <v/>
      </c>
    </row>
    <row r="27" spans="1:9" ht="15.6">
      <c r="A27" s="49" t="str">
        <v>RI: Warwick - Walmart #2373</v>
      </c>
      <c r="B27" s="35" t="str">
        <v>RI</v>
      </c>
      <c r="C27" s="36">
        <f>SUM(Jan!C27, Feb!C27, Mar!C27)</f>
        <v>12429</v>
      </c>
      <c r="D27" s="37">
        <f>SUM(Jan!D27, Feb!D27, Mar!D27)</f>
        <v>0</v>
      </c>
      <c r="E27" s="37">
        <f t="shared" si="6"/>
        <v>12429</v>
      </c>
      <c r="F27" s="38" t="str">
        <f t="shared" si="7"/>
        <v/>
      </c>
      <c r="G27" s="39">
        <f>SUM(Jan!G27, Feb!G27, Mar!G27)</f>
        <v>0</v>
      </c>
      <c r="H27" s="39">
        <f>SUM(Jan!H27, Feb!H27, Mar!H27)</f>
        <v>0</v>
      </c>
      <c r="I27" s="38" t="str">
        <f t="shared" si="8"/>
        <v/>
      </c>
    </row>
    <row r="28" spans="1:9" ht="15.6">
      <c r="A28" s="48" t="str">
        <v>TX: Seguin - Niagara Bottling LLC</v>
      </c>
      <c r="B28" s="28" t="str">
        <v>TX</v>
      </c>
      <c r="C28" s="29">
        <f>SUM(Jan!C28, Feb!C28, Mar!C28)</f>
        <v>262802</v>
      </c>
      <c r="D28" s="30">
        <f>SUM(Jan!D28, Feb!D28, Mar!D28)</f>
        <v>0</v>
      </c>
      <c r="E28" s="30">
        <f t="shared" ref="E28:E29" si="9">IF(AND(ISNUMBER(C28),ISNUMBER(D28)), C28-D28, "")</f>
        <v>262802</v>
      </c>
      <c r="F28" s="31" t="str">
        <f t="shared" ref="F28:F29" si="10">IFERROR(E28/D28, "")</f>
        <v/>
      </c>
      <c r="G28" s="32">
        <f>SUM(Jan!G28, Feb!G28, Mar!G28)</f>
        <v>0</v>
      </c>
      <c r="H28" s="32">
        <f>SUM(Jan!H28, Feb!H28, Mar!H28)</f>
        <v>0</v>
      </c>
      <c r="I28" s="33" t="str">
        <f t="shared" ref="I28:I29" si="11">IFERROR(H28/G28, "")</f>
        <v/>
      </c>
    </row>
    <row r="29" spans="1:9" ht="15.6">
      <c r="A29" s="49"/>
      <c r="B29" s="35"/>
      <c r="C29" s="36">
        <f>SUM(Jan!C29, Feb!C29, Mar!C29)</f>
        <v>0</v>
      </c>
      <c r="D29" s="37">
        <f>SUM(Jan!D29, Feb!D29, Mar!D29)</f>
        <v>0</v>
      </c>
      <c r="E29" s="37">
        <f t="shared" si="9"/>
        <v>0</v>
      </c>
      <c r="F29" s="38" t="str">
        <f t="shared" si="10"/>
        <v/>
      </c>
      <c r="G29" s="39">
        <f>SUM(Jan!G29, Feb!G29, Mar!G29)</f>
        <v>0</v>
      </c>
      <c r="H29" s="39">
        <f>SUM(Jan!H29, Feb!H29, Mar!H29)</f>
        <v>0</v>
      </c>
      <c r="I29" s="38" t="str">
        <f t="shared" si="11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0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E41" sqref="E41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3" t="str" cm="1">
        <f t="array" ref="A1">portfolio</f>
        <v>REC Solar</v>
      </c>
      <c r="B1" s="123"/>
      <c r="C1" s="123"/>
      <c r="D1" s="124" t="s">
        <v>12</v>
      </c>
      <c r="E1" s="124"/>
      <c r="F1" s="124"/>
      <c r="G1" s="122" t="s">
        <v>13</v>
      </c>
      <c r="H1" s="122"/>
      <c r="I1" s="122"/>
    </row>
    <row r="2" spans="1:9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28">Sites[Site]</f>
        <v>AZ: Goodyear - Amazon GYR2</v>
      </c>
      <c r="B4" s="28" t="str" cm="1">
        <f t="array" ref="B4:B28">Sites[State]</f>
        <v>AZ</v>
      </c>
      <c r="C4" s="29">
        <f>SUM(Apr!C4, May!C4, Jun!C4)</f>
        <v>0</v>
      </c>
      <c r="D4" s="30">
        <f>SUM(Apr!D4, May!D4, Jun!D4)</f>
        <v>0</v>
      </c>
      <c r="E4" s="30">
        <f>IF(AND(ISNUMBER(C4),ISNUMBER(D4)), C4-D4, "")</f>
        <v>0</v>
      </c>
      <c r="F4" s="31" t="str">
        <f>IFERROR(E4/D4, "")</f>
        <v/>
      </c>
      <c r="G4" s="32">
        <f>SUM(Apr!G4, May!G4, Jun!G4)</f>
        <v>0</v>
      </c>
      <c r="H4" s="32">
        <f>SUM(Apr!H4, May!H4, Jun!H4)</f>
        <v>0</v>
      </c>
      <c r="I4" s="33" t="str">
        <f>IFERROR(H4/G4, "")</f>
        <v/>
      </c>
    </row>
    <row r="5" spans="1:9" ht="15.6">
      <c r="A5" s="49" t="str">
        <v>AZ: Tucson - Amazon - TUS2</v>
      </c>
      <c r="B5" s="35" t="str">
        <v>AZ</v>
      </c>
      <c r="C5" s="36">
        <f>SUM(Apr!C5, May!C5, Jun!C5)</f>
        <v>0</v>
      </c>
      <c r="D5" s="37">
        <f>SUM(Apr!D5, May!D5, Jun!D5)</f>
        <v>0</v>
      </c>
      <c r="E5" s="37">
        <f t="shared" ref="E5:E15" si="0">IF(AND(ISNUMBER(C5),ISNUMBER(D5)), C5-D5, "")</f>
        <v>0</v>
      </c>
      <c r="F5" s="38" t="str">
        <f>IFERROR(E5/D5, "")</f>
        <v/>
      </c>
      <c r="G5" s="39">
        <f>SUM(Apr!G5, May!G5, Jun!G5)</f>
        <v>0</v>
      </c>
      <c r="H5" s="39">
        <f>SUM(Apr!H5, May!H5, Jun!H5)</f>
        <v>0</v>
      </c>
      <c r="I5" s="38" t="str">
        <f>IFERROR(H5/G5, "")</f>
        <v/>
      </c>
    </row>
    <row r="6" spans="1:9" ht="15.6">
      <c r="A6" s="48" t="str">
        <v>CO: Denver - TruStile Doors</v>
      </c>
      <c r="B6" s="28" t="str">
        <v>CO</v>
      </c>
      <c r="C6" s="29">
        <f>SUM(Apr!C6, May!C6, Jun!C6)</f>
        <v>0</v>
      </c>
      <c r="D6" s="30">
        <f>SUM(Apr!D6, May!D6, Jun!D6)</f>
        <v>0</v>
      </c>
      <c r="E6" s="30">
        <f t="shared" si="0"/>
        <v>0</v>
      </c>
      <c r="F6" s="31" t="str">
        <f t="shared" ref="F6:F15" si="1">IFERROR(E6/D6, "")</f>
        <v/>
      </c>
      <c r="G6" s="32">
        <f>SUM(Apr!G6, May!G6, Jun!G6)</f>
        <v>0</v>
      </c>
      <c r="H6" s="32">
        <f>SUM(Apr!H6, May!H6, Jun!H6)</f>
        <v>0</v>
      </c>
      <c r="I6" s="33" t="str">
        <f t="shared" ref="I6:I15" si="2">IFERROR(H6/G6, "")</f>
        <v/>
      </c>
    </row>
    <row r="7" spans="1:9" ht="15.6">
      <c r="A7" s="49" t="str">
        <v>CO: Thornton - Amazon - DEN3</v>
      </c>
      <c r="B7" s="35" t="str">
        <v>CO</v>
      </c>
      <c r="C7" s="36">
        <f>SUM(Apr!C7, May!C7, Jun!C7)</f>
        <v>0</v>
      </c>
      <c r="D7" s="37">
        <f>SUM(Apr!D7, May!D7, Jun!D7)</f>
        <v>0</v>
      </c>
      <c r="E7" s="37">
        <f t="shared" si="0"/>
        <v>0</v>
      </c>
      <c r="F7" s="38" t="str">
        <f t="shared" si="1"/>
        <v/>
      </c>
      <c r="G7" s="39">
        <f>SUM(Apr!G7, May!G7, Jun!G7)</f>
        <v>0</v>
      </c>
      <c r="H7" s="39">
        <f>SUM(Apr!H7, May!H7, Jun!H7)</f>
        <v>0</v>
      </c>
      <c r="I7" s="38" t="str">
        <f t="shared" si="2"/>
        <v/>
      </c>
    </row>
    <row r="8" spans="1:9" ht="15.6">
      <c r="A8" s="48" t="str">
        <v>CO: Greenwood Village - REC H5 Data Center</v>
      </c>
      <c r="B8" s="28" t="str">
        <v>CO</v>
      </c>
      <c r="C8" s="29">
        <f>SUM(Apr!C8, May!C8, Jun!C8)</f>
        <v>0</v>
      </c>
      <c r="D8" s="30">
        <f>SUM(Apr!D8, May!D8, Jun!D8)</f>
        <v>0</v>
      </c>
      <c r="E8" s="30">
        <f t="shared" si="0"/>
        <v>0</v>
      </c>
      <c r="F8" s="31" t="str">
        <f t="shared" si="1"/>
        <v/>
      </c>
      <c r="G8" s="32">
        <f>SUM(Apr!G8, May!G8, Jun!G8)</f>
        <v>0</v>
      </c>
      <c r="H8" s="32">
        <f>SUM(Apr!H8, May!H8, Jun!H8)</f>
        <v>0</v>
      </c>
      <c r="I8" s="33" t="str">
        <f t="shared" si="2"/>
        <v/>
      </c>
    </row>
    <row r="9" spans="1:9" ht="15.6">
      <c r="A9" s="49" t="str">
        <v>HI: Ewa Beach - Salvation Army Kroc Center</v>
      </c>
      <c r="B9" s="35" t="str">
        <v>HI</v>
      </c>
      <c r="C9" s="36">
        <f>SUM(Apr!C9, May!C9, Jun!C9)</f>
        <v>0</v>
      </c>
      <c r="D9" s="37">
        <f>SUM(Apr!D9, May!D9, Jun!D9)</f>
        <v>0</v>
      </c>
      <c r="E9" s="37">
        <f t="shared" si="0"/>
        <v>0</v>
      </c>
      <c r="F9" s="38" t="str">
        <f t="shared" si="1"/>
        <v/>
      </c>
      <c r="G9" s="39">
        <f>SUM(Apr!G9, May!G9, Jun!G9)</f>
        <v>0</v>
      </c>
      <c r="H9" s="39">
        <f>SUM(Apr!H9, May!H9, Jun!H9)</f>
        <v>0</v>
      </c>
      <c r="I9" s="38" t="str">
        <f t="shared" si="2"/>
        <v/>
      </c>
    </row>
    <row r="10" spans="1:9" ht="15.6">
      <c r="A10" s="48" t="str">
        <v>HI: Honolulu - Hawaii Foodbank</v>
      </c>
      <c r="B10" s="28" t="str">
        <v>HI</v>
      </c>
      <c r="C10" s="29">
        <f>SUM(Apr!C10, May!C10, Jun!C10)</f>
        <v>0</v>
      </c>
      <c r="D10" s="30">
        <f>SUM(Apr!D10, May!D10, Jun!D10)</f>
        <v>0</v>
      </c>
      <c r="E10" s="30">
        <f t="shared" si="0"/>
        <v>0</v>
      </c>
      <c r="F10" s="31" t="str">
        <f t="shared" si="1"/>
        <v/>
      </c>
      <c r="G10" s="32">
        <f>SUM(Apr!G10, May!G10, Jun!G10)</f>
        <v>0</v>
      </c>
      <c r="H10" s="32">
        <f>SUM(Apr!H10, May!H10, Jun!H10)</f>
        <v>0</v>
      </c>
      <c r="I10" s="33" t="str">
        <f t="shared" si="2"/>
        <v/>
      </c>
    </row>
    <row r="11" spans="1:9" ht="15.6">
      <c r="A11" s="49" t="str">
        <v>HI: Kailua-Kona - Home Depot #1704</v>
      </c>
      <c r="B11" s="35" t="str">
        <v>HI</v>
      </c>
      <c r="C11" s="36">
        <f>SUM(Apr!C11, May!C11, Jun!C11)</f>
        <v>0</v>
      </c>
      <c r="D11" s="37">
        <f>SUM(Apr!D11, May!D11, Jun!D11)</f>
        <v>0</v>
      </c>
      <c r="E11" s="37">
        <f t="shared" si="0"/>
        <v>0</v>
      </c>
      <c r="F11" s="38" t="str">
        <f t="shared" si="1"/>
        <v/>
      </c>
      <c r="G11" s="39">
        <f>SUM(Apr!G11, May!G11, Jun!G11)</f>
        <v>0</v>
      </c>
      <c r="H11" s="39">
        <f>SUM(Apr!H11, May!H11, Jun!H11)</f>
        <v>0</v>
      </c>
      <c r="I11" s="38" t="str">
        <f t="shared" si="2"/>
        <v/>
      </c>
    </row>
    <row r="12" spans="1:9" ht="15.6">
      <c r="A12" s="48" t="str">
        <v>HI: Kapolei - Home Depot #1706</v>
      </c>
      <c r="B12" s="28" t="str">
        <v>HI</v>
      </c>
      <c r="C12" s="29">
        <f>SUM(Apr!C12, May!C12, Jun!C12)</f>
        <v>0</v>
      </c>
      <c r="D12" s="30">
        <f>SUM(Apr!D12, May!D12, Jun!D12)</f>
        <v>0</v>
      </c>
      <c r="E12" s="30">
        <f t="shared" si="0"/>
        <v>0</v>
      </c>
      <c r="F12" s="31" t="str">
        <f t="shared" si="1"/>
        <v/>
      </c>
      <c r="G12" s="32">
        <f>SUM(Apr!G12, May!G12, Jun!G12)</f>
        <v>0</v>
      </c>
      <c r="H12" s="32">
        <f>SUM(Apr!H12, May!H12, Jun!H12)</f>
        <v>0</v>
      </c>
      <c r="I12" s="33" t="str">
        <f t="shared" si="2"/>
        <v/>
      </c>
    </row>
    <row r="13" spans="1:9" ht="15.6">
      <c r="A13" s="49" t="str">
        <v>HI: Laie - Polynesian Cultural Center</v>
      </c>
      <c r="B13" s="35" t="str">
        <v>HI</v>
      </c>
      <c r="C13" s="36">
        <f>SUM(Apr!C13, May!C13, Jun!C13)</f>
        <v>0</v>
      </c>
      <c r="D13" s="37">
        <f>SUM(Apr!D13, May!D13, Jun!D13)</f>
        <v>0</v>
      </c>
      <c r="E13" s="37">
        <f t="shared" si="0"/>
        <v>0</v>
      </c>
      <c r="F13" s="38" t="str">
        <f t="shared" si="1"/>
        <v/>
      </c>
      <c r="G13" s="39">
        <f>SUM(Apr!G13, May!G13, Jun!G13)</f>
        <v>0</v>
      </c>
      <c r="H13" s="39">
        <f>SUM(Apr!H13, May!H13, Jun!H13)</f>
        <v>0</v>
      </c>
      <c r="I13" s="38" t="str">
        <f t="shared" si="2"/>
        <v/>
      </c>
    </row>
    <row r="14" spans="1:9" ht="15.6">
      <c r="A14" s="48" t="str">
        <v>HI: Laie- BYU Hawaii (PW)</v>
      </c>
      <c r="B14" s="28" t="str">
        <v>HI</v>
      </c>
      <c r="C14" s="29">
        <f>SUM(Apr!C14, May!C14, Jun!C14)</f>
        <v>0</v>
      </c>
      <c r="D14" s="30">
        <f>SUM(Apr!D14, May!D14, Jun!D14)</f>
        <v>0</v>
      </c>
      <c r="E14" s="30">
        <f t="shared" si="0"/>
        <v>0</v>
      </c>
      <c r="F14" s="31" t="str">
        <f t="shared" si="1"/>
        <v/>
      </c>
      <c r="G14" s="32">
        <f>SUM(Apr!G14, May!G14, Jun!G14)</f>
        <v>0</v>
      </c>
      <c r="H14" s="32">
        <f>SUM(Apr!H14, May!H14, Jun!H14)</f>
        <v>0</v>
      </c>
      <c r="I14" s="33" t="str">
        <f t="shared" si="2"/>
        <v/>
      </c>
    </row>
    <row r="15" spans="1:9" ht="15.6">
      <c r="A15" s="49" t="str">
        <v>HI: Waianae - Makaha Surfside</v>
      </c>
      <c r="B15" s="35" t="str">
        <v>HI</v>
      </c>
      <c r="C15" s="36">
        <f>SUM(Apr!C15, May!C15, Jun!C15)</f>
        <v>0</v>
      </c>
      <c r="D15" s="37">
        <f>SUM(Apr!D15, May!D15, Jun!D15)</f>
        <v>0</v>
      </c>
      <c r="E15" s="37">
        <f t="shared" si="0"/>
        <v>0</v>
      </c>
      <c r="F15" s="38" t="str">
        <f t="shared" si="1"/>
        <v/>
      </c>
      <c r="G15" s="39">
        <f>SUM(Apr!G15, May!G15, Jun!G15)</f>
        <v>0</v>
      </c>
      <c r="H15" s="39">
        <f>SUM(Apr!H15, May!H15, Jun!H15)</f>
        <v>0</v>
      </c>
      <c r="I15" s="38" t="str">
        <f t="shared" si="2"/>
        <v/>
      </c>
    </row>
    <row r="16" spans="1:9" ht="15.6">
      <c r="A16" s="48" t="str">
        <v>HI: Kahului - Home Depot #1703</v>
      </c>
      <c r="B16" s="28" t="str">
        <v>HI</v>
      </c>
      <c r="C16" s="29">
        <f>SUM(Apr!C16, May!C16, Jun!C16)</f>
        <v>0</v>
      </c>
      <c r="D16" s="30">
        <f>SUM(Apr!D16, May!D16, Jun!D16)</f>
        <v>0</v>
      </c>
      <c r="E16" s="30">
        <f t="shared" ref="E16:E18" si="3">IF(AND(ISNUMBER(C16),ISNUMBER(D16)), C16-D16, "")</f>
        <v>0</v>
      </c>
      <c r="F16" s="31" t="str">
        <f t="shared" ref="F16:F18" si="4">IFERROR(E16/D16, "")</f>
        <v/>
      </c>
      <c r="G16" s="32">
        <f>SUM(Apr!G16, May!G16, Jun!G16)</f>
        <v>0</v>
      </c>
      <c r="H16" s="32">
        <f>SUM(Apr!H16, May!H16, Jun!H16)</f>
        <v>0</v>
      </c>
      <c r="I16" s="33" t="str">
        <f t="shared" ref="I16:I18" si="5">IFERROR(H16/G16, "")</f>
        <v/>
      </c>
    </row>
    <row r="17" spans="1:9" ht="15.6">
      <c r="A17" s="49" t="str">
        <v>MA: Andover - Boston One Campus</v>
      </c>
      <c r="B17" s="35" t="str">
        <v>MA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39">
        <f>SUM(Apr!G17, May!G17, Jun!G17)</f>
        <v>0</v>
      </c>
      <c r="H17" s="39">
        <f>SUM(Apr!H17, May!H17, Jun!H17)</f>
        <v>0</v>
      </c>
      <c r="I17" s="38" t="str">
        <f t="shared" si="5"/>
        <v/>
      </c>
    </row>
    <row r="18" spans="1:9" ht="12.75" customHeight="1">
      <c r="A18" s="48" t="str">
        <v>MA: Foxboro - Schneider Cocasset</v>
      </c>
      <c r="B18" s="28" t="str">
        <v>MA</v>
      </c>
      <c r="C18" s="29">
        <f>SUM(Apr!C18, May!C18, Jun!C18)</f>
        <v>0</v>
      </c>
      <c r="D18" s="30">
        <f>SUM(Apr!D18, May!D18, Jun!D18)</f>
        <v>0</v>
      </c>
      <c r="E18" s="30">
        <f t="shared" si="3"/>
        <v>0</v>
      </c>
      <c r="F18" s="31" t="str">
        <f t="shared" si="4"/>
        <v/>
      </c>
      <c r="G18" s="32">
        <f>SUM(Apr!G18, May!G18, Jun!G18)</f>
        <v>0</v>
      </c>
      <c r="H18" s="32">
        <f>SUM(Apr!H18, May!H18, Jun!H18)</f>
        <v>0</v>
      </c>
      <c r="I18" s="33" t="str">
        <f t="shared" si="5"/>
        <v/>
      </c>
    </row>
    <row r="19" spans="1:9" ht="15.6">
      <c r="A19" s="49" t="str">
        <v>MD: Gaithersburg - Montgomery Cnty - PSHQ</v>
      </c>
      <c r="B19" s="35" t="str">
        <v>MD</v>
      </c>
      <c r="C19" s="36">
        <f>SUM(Apr!C19, May!C19, Jun!C19)</f>
        <v>0</v>
      </c>
      <c r="D19" s="37">
        <f>SUM(Apr!D19, May!D19, Jun!D19)</f>
        <v>0</v>
      </c>
      <c r="E19" s="37">
        <f t="shared" ref="E19:E27" si="6">IF(AND(ISNUMBER(C19),ISNUMBER(D19)), C19-D19, "")</f>
        <v>0</v>
      </c>
      <c r="F19" s="38" t="str">
        <f t="shared" ref="F19:F27" si="7">IFERROR(E19/D19, "")</f>
        <v/>
      </c>
      <c r="G19" s="39">
        <f>SUM(Apr!G19, May!G19, Jun!G19)</f>
        <v>0</v>
      </c>
      <c r="H19" s="39">
        <f>SUM(Apr!H19, May!H19, Jun!H19)</f>
        <v>0</v>
      </c>
      <c r="I19" s="38" t="str">
        <f t="shared" ref="I19:I27" si="8">IFERROR(H19/G19, "")</f>
        <v/>
      </c>
    </row>
    <row r="20" spans="1:9" ht="15.6">
      <c r="A20" s="48" t="str">
        <v>MD: Sparrows Point - Amazon DCA1</v>
      </c>
      <c r="B20" s="28" t="str">
        <v>MD</v>
      </c>
      <c r="C20" s="29">
        <f>SUM(Apr!C20, May!C20, Jun!C20)</f>
        <v>0</v>
      </c>
      <c r="D20" s="30">
        <f>SUM(Apr!D20, May!D20, Jun!D20)</f>
        <v>0</v>
      </c>
      <c r="E20" s="30">
        <f t="shared" si="6"/>
        <v>0</v>
      </c>
      <c r="F20" s="31" t="str">
        <f t="shared" si="7"/>
        <v/>
      </c>
      <c r="G20" s="32">
        <f>SUM(Apr!G20, May!G20, Jun!G20)</f>
        <v>0</v>
      </c>
      <c r="H20" s="32">
        <f>SUM(Apr!H20, May!H20, Jun!H20)</f>
        <v>0</v>
      </c>
      <c r="I20" s="33" t="str">
        <f t="shared" si="8"/>
        <v/>
      </c>
    </row>
    <row r="21" spans="1:9" ht="15.6">
      <c r="A21" s="49" t="str">
        <v>NJ: Piscataway - LVMH DC</v>
      </c>
      <c r="B21" s="35" t="str">
        <v>NJ</v>
      </c>
      <c r="C21" s="36">
        <f>SUM(Apr!C21, May!C21, Jun!C21)</f>
        <v>0</v>
      </c>
      <c r="D21" s="37">
        <f>SUM(Apr!D21, May!D21, Jun!D21)</f>
        <v>0</v>
      </c>
      <c r="E21" s="37">
        <f t="shared" si="6"/>
        <v>0</v>
      </c>
      <c r="F21" s="38" t="str">
        <f t="shared" si="7"/>
        <v/>
      </c>
      <c r="G21" s="39">
        <f>SUM(Apr!G21, May!G21, Jun!G21)</f>
        <v>0</v>
      </c>
      <c r="H21" s="39">
        <f>SUM(Apr!H21, May!H21, Jun!H21)</f>
        <v>0</v>
      </c>
      <c r="I21" s="38" t="str">
        <f t="shared" si="8"/>
        <v/>
      </c>
    </row>
    <row r="22" spans="1:9" ht="15.6">
      <c r="A22" s="48" t="str">
        <v>NM: Edgewood - Walmart #4201</v>
      </c>
      <c r="B22" s="28" t="str">
        <v>NM</v>
      </c>
      <c r="C22" s="29">
        <f>SUM(Apr!C22, May!C22, Jun!C22)</f>
        <v>0</v>
      </c>
      <c r="D22" s="30">
        <f>SUM(Apr!D22, May!D22, Jun!D22)</f>
        <v>0</v>
      </c>
      <c r="E22" s="30">
        <f t="shared" si="6"/>
        <v>0</v>
      </c>
      <c r="F22" s="31" t="str">
        <f t="shared" si="7"/>
        <v/>
      </c>
      <c r="G22" s="32">
        <f>SUM(Apr!G22, May!G22, Jun!G22)</f>
        <v>0</v>
      </c>
      <c r="H22" s="32">
        <f>SUM(Apr!H22, May!H22, Jun!H22)</f>
        <v>0</v>
      </c>
      <c r="I22" s="33" t="str">
        <f t="shared" si="8"/>
        <v/>
      </c>
    </row>
    <row r="23" spans="1:9" ht="15.6">
      <c r="A23" s="49" t="str">
        <v>NM: Gallup - Walmart #906</v>
      </c>
      <c r="B23" s="35" t="str">
        <v>NM</v>
      </c>
      <c r="C23" s="36">
        <f>SUM(Apr!C23, May!C23, Jun!C23)</f>
        <v>0</v>
      </c>
      <c r="D23" s="37">
        <f>SUM(Apr!D23, May!D23, Jun!D23)</f>
        <v>0</v>
      </c>
      <c r="E23" s="37">
        <f t="shared" si="6"/>
        <v>0</v>
      </c>
      <c r="F23" s="38" t="str">
        <f t="shared" si="7"/>
        <v/>
      </c>
      <c r="G23" s="39">
        <f>SUM(Apr!G23, May!G23, Jun!G23)</f>
        <v>0</v>
      </c>
      <c r="H23" s="39">
        <f>SUM(Apr!H23, May!H23, Jun!H23)</f>
        <v>0</v>
      </c>
      <c r="I23" s="38" t="str">
        <f t="shared" si="8"/>
        <v/>
      </c>
    </row>
    <row r="24" spans="1:9" ht="15.6">
      <c r="A24" s="48" t="str">
        <v>NV: Las Vegas - Amazon - LAS5</v>
      </c>
      <c r="B24" s="28" t="str">
        <v>NV</v>
      </c>
      <c r="C24" s="29">
        <f>SUM(Apr!C24, May!C24, Jun!C24)</f>
        <v>0</v>
      </c>
      <c r="D24" s="30">
        <f>SUM(Apr!D24, May!D24, Jun!D24)</f>
        <v>0</v>
      </c>
      <c r="E24" s="30">
        <f t="shared" si="6"/>
        <v>0</v>
      </c>
      <c r="F24" s="31" t="str">
        <f t="shared" si="7"/>
        <v/>
      </c>
      <c r="G24" s="32">
        <f>SUM(Apr!G24, May!G24, Jun!G24)</f>
        <v>0</v>
      </c>
      <c r="H24" s="32">
        <f>SUM(Apr!H24, May!H24, Jun!H24)</f>
        <v>0</v>
      </c>
      <c r="I24" s="33" t="str">
        <f t="shared" si="8"/>
        <v/>
      </c>
    </row>
    <row r="25" spans="1:9" ht="15.6">
      <c r="A25" s="49" t="str">
        <v>RI: Narragansett - Anchor Storage</v>
      </c>
      <c r="B25" s="35" t="str">
        <v>RI</v>
      </c>
      <c r="C25" s="36">
        <f>SUM(Apr!C25, May!C25, Jun!C25)</f>
        <v>0</v>
      </c>
      <c r="D25" s="37">
        <f>SUM(Apr!D25, May!D25, Jun!D25)</f>
        <v>0</v>
      </c>
      <c r="E25" s="37">
        <f t="shared" si="6"/>
        <v>0</v>
      </c>
      <c r="F25" s="38" t="str">
        <f t="shared" si="7"/>
        <v/>
      </c>
      <c r="G25" s="39">
        <f>SUM(Apr!G25, May!G25, Jun!G25)</f>
        <v>0</v>
      </c>
      <c r="H25" s="39">
        <f>SUM(Apr!H25, May!H25, Jun!H25)</f>
        <v>0</v>
      </c>
      <c r="I25" s="38" t="str">
        <f t="shared" si="8"/>
        <v/>
      </c>
    </row>
    <row r="26" spans="1:9" ht="15.6">
      <c r="A26" s="48" t="str">
        <v>RI: North Kingstown - Walmart #2261</v>
      </c>
      <c r="B26" s="28" t="str">
        <v>RI</v>
      </c>
      <c r="C26" s="29">
        <f>SUM(Apr!C26, May!C26, Jun!C26)</f>
        <v>0</v>
      </c>
      <c r="D26" s="30">
        <f>SUM(Apr!D26, May!D26, Jun!D26)</f>
        <v>0</v>
      </c>
      <c r="E26" s="30">
        <f t="shared" si="6"/>
        <v>0</v>
      </c>
      <c r="F26" s="31" t="str">
        <f t="shared" si="7"/>
        <v/>
      </c>
      <c r="G26" s="32">
        <f>SUM(Apr!G26, May!G26, Jun!G26)</f>
        <v>0</v>
      </c>
      <c r="H26" s="32">
        <f>SUM(Apr!H26, May!H26, Jun!H26)</f>
        <v>0</v>
      </c>
      <c r="I26" s="33" t="str">
        <f t="shared" si="8"/>
        <v/>
      </c>
    </row>
    <row r="27" spans="1:9" ht="15.6">
      <c r="A27" s="49" t="str">
        <v>RI: Warwick - Walmart #2373</v>
      </c>
      <c r="B27" s="35" t="str">
        <v>RI</v>
      </c>
      <c r="C27" s="36">
        <f>SUM(Apr!C27, May!C27, Jun!C27)</f>
        <v>0</v>
      </c>
      <c r="D27" s="37">
        <f>SUM(Apr!D27, May!D27, Jun!D27)</f>
        <v>0</v>
      </c>
      <c r="E27" s="37">
        <f t="shared" si="6"/>
        <v>0</v>
      </c>
      <c r="F27" s="38" t="str">
        <f t="shared" si="7"/>
        <v/>
      </c>
      <c r="G27" s="39">
        <f>SUM(Apr!G27, May!G27, Jun!G27)</f>
        <v>0</v>
      </c>
      <c r="H27" s="39">
        <f>SUM(Apr!H27, May!H27, Jun!H27)</f>
        <v>0</v>
      </c>
      <c r="I27" s="38" t="str">
        <f t="shared" si="8"/>
        <v/>
      </c>
    </row>
    <row r="28" spans="1:9" ht="15.6">
      <c r="A28" s="48" t="str">
        <v>TX: Seguin - Niagara Bottling LLC</v>
      </c>
      <c r="B28" s="28" t="str">
        <v>TX</v>
      </c>
      <c r="C28" s="29">
        <f>SUM(Apr!C28, May!C28, Jun!C28)</f>
        <v>0</v>
      </c>
      <c r="D28" s="30">
        <f>SUM(Apr!D28, May!D28, Jun!D28)</f>
        <v>0</v>
      </c>
      <c r="E28" s="30">
        <f t="shared" ref="E28:E29" si="9">IF(AND(ISNUMBER(C28),ISNUMBER(D28)), C28-D28, "")</f>
        <v>0</v>
      </c>
      <c r="F28" s="31" t="str">
        <f t="shared" ref="F28:F29" si="10">IFERROR(E28/D28, "")</f>
        <v/>
      </c>
      <c r="G28" s="32">
        <f>SUM(Apr!G28, May!G28, Jun!G28)</f>
        <v>0</v>
      </c>
      <c r="H28" s="32">
        <f>SUM(Apr!H28, May!H28, Jun!H28)</f>
        <v>0</v>
      </c>
      <c r="I28" s="33" t="str">
        <f t="shared" ref="I28:I29" si="11">IFERROR(H28/G28, "")</f>
        <v/>
      </c>
    </row>
    <row r="29" spans="1:9" ht="15.6">
      <c r="A29" s="49"/>
      <c r="B29" s="35"/>
      <c r="C29" s="36">
        <f>SUM(Apr!C29, May!C29, Jun!C29)</f>
        <v>0</v>
      </c>
      <c r="D29" s="37">
        <f>SUM(Apr!D29, May!D29, Jun!D29)</f>
        <v>0</v>
      </c>
      <c r="E29" s="37">
        <f t="shared" si="9"/>
        <v>0</v>
      </c>
      <c r="F29" s="38" t="str">
        <f t="shared" si="10"/>
        <v/>
      </c>
      <c r="G29" s="39">
        <f>SUM(Apr!G29, May!G29, Jun!G29)</f>
        <v>0</v>
      </c>
      <c r="H29" s="39">
        <f>SUM(Apr!H29, May!H29, Jun!H29)</f>
        <v>0</v>
      </c>
      <c r="I29" s="38" t="str">
        <f t="shared" si="11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8" activePane="bottomRight" state="frozen"/>
      <selection pane="bottomRight" activeCell="F36" sqref="F36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3" t="str" cm="1">
        <f t="array" ref="A1">portfolio</f>
        <v>REC Solar</v>
      </c>
      <c r="B1" s="123"/>
      <c r="C1" s="123"/>
      <c r="D1" s="124" t="s">
        <v>14</v>
      </c>
      <c r="E1" s="124"/>
      <c r="F1" s="124"/>
      <c r="G1" s="122" t="s">
        <v>15</v>
      </c>
      <c r="H1" s="122"/>
      <c r="I1" s="122"/>
    </row>
    <row r="2" spans="1:9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28">Sites[Site]</f>
        <v>AZ: Goodyear - Amazon GYR2</v>
      </c>
      <c r="B4" s="28" t="str" cm="1">
        <f t="array" ref="B4:B28">Sites[State]</f>
        <v>AZ</v>
      </c>
      <c r="C4" s="29">
        <f>SUM(Jul!C4, Aug!C4, Sep!C4)</f>
        <v>0</v>
      </c>
      <c r="D4" s="30">
        <f>SUM(Jul!D4, Aug!D4, Sep!D4)</f>
        <v>0</v>
      </c>
      <c r="E4" s="30">
        <f>IF(AND(ISNUMBER(C4),ISNUMBER(D4)), C4-D4, "")</f>
        <v>0</v>
      </c>
      <c r="F4" s="31" t="str">
        <f>IFERROR(E4/D4, "")</f>
        <v/>
      </c>
      <c r="G4" s="32">
        <f>SUM(Jul!G4,Aug!G4,Sep!G4)</f>
        <v>0</v>
      </c>
      <c r="H4" s="32">
        <f>SUM(Jul!H4, Aug!H4, Sep!H4)</f>
        <v>0</v>
      </c>
      <c r="I4" s="33" t="str">
        <f>IFERROR(H4/G4, "")</f>
        <v/>
      </c>
    </row>
    <row r="5" spans="1:9" ht="15.6">
      <c r="A5" s="49" t="str">
        <v>AZ: Tucson - Amazon - TUS2</v>
      </c>
      <c r="B5" s="35" t="str">
        <v>AZ</v>
      </c>
      <c r="C5" s="36">
        <f>SUM(Jul!C5, Aug!C5, Sep!C5)</f>
        <v>0</v>
      </c>
      <c r="D5" s="37">
        <f>SUM(Jul!D5, Aug!D5, Sep!D5)</f>
        <v>0</v>
      </c>
      <c r="E5" s="37">
        <f t="shared" ref="E5:E15" si="0">IF(AND(ISNUMBER(C5),ISNUMBER(D5)), C5-D5, "")</f>
        <v>0</v>
      </c>
      <c r="F5" s="38" t="str">
        <f>IFERROR(E5/D5, "")</f>
        <v/>
      </c>
      <c r="G5" s="39">
        <f>SUM(Jul!G5,Aug!G5,Sep!G5)</f>
        <v>0</v>
      </c>
      <c r="H5" s="39">
        <f>SUM(Jul!H5, Aug!H5, Sep!H5)</f>
        <v>0</v>
      </c>
      <c r="I5" s="38" t="str">
        <f>IFERROR(H5/G5, "")</f>
        <v/>
      </c>
    </row>
    <row r="6" spans="1:9" ht="15.6">
      <c r="A6" s="48" t="str">
        <v>CO: Denver - TruStile Doors</v>
      </c>
      <c r="B6" s="28" t="str">
        <v>CO</v>
      </c>
      <c r="C6" s="29">
        <f>SUM(Jul!C6, Aug!C6, Sep!C6)</f>
        <v>0</v>
      </c>
      <c r="D6" s="30">
        <f>SUM(Jul!D6, Aug!D6, Sep!D6)</f>
        <v>0</v>
      </c>
      <c r="E6" s="30">
        <f t="shared" si="0"/>
        <v>0</v>
      </c>
      <c r="F6" s="31" t="str">
        <f t="shared" ref="F6:F15" si="1">IFERROR(E6/D6, "")</f>
        <v/>
      </c>
      <c r="G6" s="32">
        <f>SUM(Jul!G6,Aug!G6,Sep!G6)</f>
        <v>0</v>
      </c>
      <c r="H6" s="32">
        <f>SUM(Jul!H6, Aug!H6, Sep!H6)</f>
        <v>0</v>
      </c>
      <c r="I6" s="33" t="str">
        <f t="shared" ref="I6:I15" si="2">IFERROR(H6/G6, "")</f>
        <v/>
      </c>
    </row>
    <row r="7" spans="1:9" ht="15.6">
      <c r="A7" s="49" t="str">
        <v>CO: Thornton - Amazon - DEN3</v>
      </c>
      <c r="B7" s="35" t="str">
        <v>CO</v>
      </c>
      <c r="C7" s="36">
        <f>SUM(Jul!C7, Aug!C7, Sep!C7)</f>
        <v>0</v>
      </c>
      <c r="D7" s="37">
        <f>SUM(Jul!D7, Aug!D7, Sep!D7)</f>
        <v>0</v>
      </c>
      <c r="E7" s="37">
        <f t="shared" si="0"/>
        <v>0</v>
      </c>
      <c r="F7" s="38" t="str">
        <f t="shared" si="1"/>
        <v/>
      </c>
      <c r="G7" s="39">
        <f>SUM(Jul!G7,Aug!G7,Sep!G7)</f>
        <v>0</v>
      </c>
      <c r="H7" s="39">
        <f>SUM(Jul!H7, Aug!H7, Sep!H7)</f>
        <v>0</v>
      </c>
      <c r="I7" s="38" t="str">
        <f t="shared" si="2"/>
        <v/>
      </c>
    </row>
    <row r="8" spans="1:9" ht="15.6">
      <c r="A8" s="48" t="str">
        <v>CO: Greenwood Village - REC H5 Data Center</v>
      </c>
      <c r="B8" s="28" t="str">
        <v>CO</v>
      </c>
      <c r="C8" s="29">
        <f>SUM(Jul!C8, Aug!C8, Sep!C8)</f>
        <v>0</v>
      </c>
      <c r="D8" s="30">
        <f>SUM(Jul!D8, Aug!D8, Sep!D8)</f>
        <v>0</v>
      </c>
      <c r="E8" s="30">
        <f t="shared" si="0"/>
        <v>0</v>
      </c>
      <c r="F8" s="31" t="str">
        <f t="shared" si="1"/>
        <v/>
      </c>
      <c r="G8" s="32">
        <f>SUM(Jul!G8,Aug!G8,Sep!G8)</f>
        <v>0</v>
      </c>
      <c r="H8" s="32">
        <f>SUM(Jul!H8, Aug!H8, Sep!H8)</f>
        <v>0</v>
      </c>
      <c r="I8" s="33" t="str">
        <f t="shared" si="2"/>
        <v/>
      </c>
    </row>
    <row r="9" spans="1:9" ht="15.6">
      <c r="A9" s="49" t="str">
        <v>HI: Ewa Beach - Salvation Army Kroc Center</v>
      </c>
      <c r="B9" s="35" t="str">
        <v>HI</v>
      </c>
      <c r="C9" s="36">
        <f>SUM(Jul!C9, Aug!C9, Sep!C9)</f>
        <v>0</v>
      </c>
      <c r="D9" s="37">
        <f>SUM(Jul!D9, Aug!D9, Sep!D9)</f>
        <v>0</v>
      </c>
      <c r="E9" s="37">
        <f t="shared" si="0"/>
        <v>0</v>
      </c>
      <c r="F9" s="38" t="str">
        <f t="shared" si="1"/>
        <v/>
      </c>
      <c r="G9" s="39">
        <f>SUM(Jul!G9,Aug!G9,Sep!G9)</f>
        <v>0</v>
      </c>
      <c r="H9" s="39">
        <f>SUM(Jul!H9, Aug!H9, Sep!H9)</f>
        <v>0</v>
      </c>
      <c r="I9" s="38" t="str">
        <f t="shared" si="2"/>
        <v/>
      </c>
    </row>
    <row r="10" spans="1:9" ht="15.6">
      <c r="A10" s="48" t="str">
        <v>HI: Honolulu - Hawaii Foodbank</v>
      </c>
      <c r="B10" s="28" t="str">
        <v>HI</v>
      </c>
      <c r="C10" s="29">
        <f>SUM(Jul!C10, Aug!C10, Sep!C10)</f>
        <v>0</v>
      </c>
      <c r="D10" s="30">
        <f>SUM(Jul!D10, Aug!D10, Sep!D10)</f>
        <v>0</v>
      </c>
      <c r="E10" s="30">
        <f t="shared" si="0"/>
        <v>0</v>
      </c>
      <c r="F10" s="31" t="str">
        <f t="shared" si="1"/>
        <v/>
      </c>
      <c r="G10" s="32">
        <f>SUM(Jul!G10,Aug!G10,Sep!G10)</f>
        <v>0</v>
      </c>
      <c r="H10" s="32">
        <f>SUM(Jul!H10, Aug!H10, Sep!H10)</f>
        <v>0</v>
      </c>
      <c r="I10" s="33" t="str">
        <f t="shared" si="2"/>
        <v/>
      </c>
    </row>
    <row r="11" spans="1:9" ht="15.6">
      <c r="A11" s="49" t="str">
        <v>HI: Kailua-Kona - Home Depot #1704</v>
      </c>
      <c r="B11" s="35" t="str">
        <v>HI</v>
      </c>
      <c r="C11" s="36">
        <f>SUM(Jul!C11, Aug!C11, Sep!C11)</f>
        <v>0</v>
      </c>
      <c r="D11" s="37">
        <f>SUM(Jul!D11, Aug!D11, Sep!D11)</f>
        <v>0</v>
      </c>
      <c r="E11" s="37">
        <f t="shared" si="0"/>
        <v>0</v>
      </c>
      <c r="F11" s="38" t="str">
        <f t="shared" si="1"/>
        <v/>
      </c>
      <c r="G11" s="39">
        <f>SUM(Jul!G11,Aug!G11,Sep!G11)</f>
        <v>0</v>
      </c>
      <c r="H11" s="39">
        <f>SUM(Jul!H11, Aug!H11, Sep!H11)</f>
        <v>0</v>
      </c>
      <c r="I11" s="38" t="str">
        <f t="shared" si="2"/>
        <v/>
      </c>
    </row>
    <row r="12" spans="1:9" ht="15.6">
      <c r="A12" s="48" t="str">
        <v>HI: Kapolei - Home Depot #1706</v>
      </c>
      <c r="B12" s="28" t="str">
        <v>HI</v>
      </c>
      <c r="C12" s="29">
        <f>SUM(Jul!C12, Aug!C12, Sep!C12)</f>
        <v>0</v>
      </c>
      <c r="D12" s="30">
        <f>SUM(Jul!D12, Aug!D12, Sep!D12)</f>
        <v>0</v>
      </c>
      <c r="E12" s="30">
        <f t="shared" si="0"/>
        <v>0</v>
      </c>
      <c r="F12" s="31" t="str">
        <f t="shared" si="1"/>
        <v/>
      </c>
      <c r="G12" s="32">
        <f>SUM(Jul!G12,Aug!G12,Sep!G12)</f>
        <v>0</v>
      </c>
      <c r="H12" s="32">
        <f>SUM(Jul!H12, Aug!H12, Sep!H12)</f>
        <v>0</v>
      </c>
      <c r="I12" s="33" t="str">
        <f t="shared" si="2"/>
        <v/>
      </c>
    </row>
    <row r="13" spans="1:9" ht="15.6">
      <c r="A13" s="49" t="str">
        <v>HI: Laie - Polynesian Cultural Center</v>
      </c>
      <c r="B13" s="35" t="str">
        <v>HI</v>
      </c>
      <c r="C13" s="36">
        <f>SUM(Jul!C13, Aug!C13, Sep!C13)</f>
        <v>0</v>
      </c>
      <c r="D13" s="37">
        <f>SUM(Jul!D13, Aug!D13, Sep!D13)</f>
        <v>0</v>
      </c>
      <c r="E13" s="37">
        <f t="shared" si="0"/>
        <v>0</v>
      </c>
      <c r="F13" s="38" t="str">
        <f t="shared" si="1"/>
        <v/>
      </c>
      <c r="G13" s="39">
        <f>SUM(Jul!G13,Aug!G13,Sep!G13)</f>
        <v>0</v>
      </c>
      <c r="H13" s="39">
        <f>SUM(Jul!H13, Aug!H13, Sep!H13)</f>
        <v>0</v>
      </c>
      <c r="I13" s="38" t="str">
        <f t="shared" si="2"/>
        <v/>
      </c>
    </row>
    <row r="14" spans="1:9" ht="15.6">
      <c r="A14" s="48" t="str">
        <v>HI: Laie- BYU Hawaii (PW)</v>
      </c>
      <c r="B14" s="28" t="str">
        <v>HI</v>
      </c>
      <c r="C14" s="29">
        <f>SUM(Jul!C14, Aug!C14, Sep!C14)</f>
        <v>0</v>
      </c>
      <c r="D14" s="30">
        <f>SUM(Jul!D14, Aug!D14, Sep!D14)</f>
        <v>0</v>
      </c>
      <c r="E14" s="30">
        <f t="shared" si="0"/>
        <v>0</v>
      </c>
      <c r="F14" s="31" t="str">
        <f t="shared" si="1"/>
        <v/>
      </c>
      <c r="G14" s="32">
        <f>SUM(Jul!G14,Aug!G14,Sep!G14)</f>
        <v>0</v>
      </c>
      <c r="H14" s="32">
        <f>SUM(Jul!H14, Aug!H14, Sep!H14)</f>
        <v>0</v>
      </c>
      <c r="I14" s="33" t="str">
        <f t="shared" si="2"/>
        <v/>
      </c>
    </row>
    <row r="15" spans="1:9" ht="15.6">
      <c r="A15" s="49" t="str">
        <v>HI: Waianae - Makaha Surfside</v>
      </c>
      <c r="B15" s="35" t="str">
        <v>HI</v>
      </c>
      <c r="C15" s="36">
        <f>SUM(Jul!C15, Aug!C15, Sep!C15)</f>
        <v>0</v>
      </c>
      <c r="D15" s="37">
        <f>SUM(Jul!D15, Aug!D15, Sep!D15)</f>
        <v>0</v>
      </c>
      <c r="E15" s="37">
        <f t="shared" si="0"/>
        <v>0</v>
      </c>
      <c r="F15" s="38" t="str">
        <f t="shared" si="1"/>
        <v/>
      </c>
      <c r="G15" s="39">
        <f>SUM(Jul!G15,Aug!G15,Sep!G15)</f>
        <v>0</v>
      </c>
      <c r="H15" s="39">
        <f>SUM(Jul!H15, Aug!H15, Sep!H15)</f>
        <v>0</v>
      </c>
      <c r="I15" s="38" t="str">
        <f t="shared" si="2"/>
        <v/>
      </c>
    </row>
    <row r="16" spans="1:9" ht="15.6">
      <c r="A16" s="48" t="str">
        <v>HI: Kahului - Home Depot #1703</v>
      </c>
      <c r="B16" s="28" t="str">
        <v>HI</v>
      </c>
      <c r="C16" s="29">
        <f>SUM(Jul!C16, Aug!C16, Sep!C16)</f>
        <v>0</v>
      </c>
      <c r="D16" s="30">
        <f>SUM(Jul!D16, Aug!D16, Sep!D16)</f>
        <v>0</v>
      </c>
      <c r="E16" s="30">
        <f t="shared" ref="E16:E19" si="3">IF(AND(ISNUMBER(C16),ISNUMBER(D16)), C16-D16, "")</f>
        <v>0</v>
      </c>
      <c r="F16" s="31" t="str">
        <f t="shared" ref="F16:F19" si="4">IFERROR(E16/D16, "")</f>
        <v/>
      </c>
      <c r="G16" s="32">
        <f>SUM(Jul!G16,Aug!G16,Sep!G16)</f>
        <v>0</v>
      </c>
      <c r="H16" s="32">
        <f>SUM(Jul!H16, Aug!H16, Sep!H16)</f>
        <v>0</v>
      </c>
      <c r="I16" s="33" t="str">
        <f t="shared" ref="I16:I19" si="5">IFERROR(H16/G16, "")</f>
        <v/>
      </c>
    </row>
    <row r="17" spans="1:9" ht="15.6">
      <c r="A17" s="49" t="str">
        <v>MA: Andover - Boston One Campus</v>
      </c>
      <c r="B17" s="35" t="str">
        <v>MA</v>
      </c>
      <c r="C17" s="36">
        <f>SUM(Jul!C17, Aug!C17, Sep!C17)</f>
        <v>0</v>
      </c>
      <c r="D17" s="37">
        <f>SUM(Jul!D17, Aug!D17, Sep!D17)</f>
        <v>0</v>
      </c>
      <c r="E17" s="37">
        <f t="shared" si="3"/>
        <v>0</v>
      </c>
      <c r="F17" s="38" t="str">
        <f t="shared" si="4"/>
        <v/>
      </c>
      <c r="G17" s="39">
        <f>SUM(Jul!G17,Aug!G17,Sep!G17)</f>
        <v>0</v>
      </c>
      <c r="H17" s="39">
        <f>SUM(Jul!H17, Aug!H17, Sep!H17)</f>
        <v>0</v>
      </c>
      <c r="I17" s="38" t="str">
        <f t="shared" si="5"/>
        <v/>
      </c>
    </row>
    <row r="18" spans="1:9" ht="12.75" customHeight="1">
      <c r="A18" s="48" t="str">
        <v>MA: Foxboro - Schneider Cocasset</v>
      </c>
      <c r="B18" s="27" t="str">
        <v>MA</v>
      </c>
      <c r="C18" s="29">
        <f>SUM(Jul!C18, Aug!C18, Sep!C18)</f>
        <v>0</v>
      </c>
      <c r="D18" s="30">
        <f>SUM(Jul!D18, Aug!D18, Sep!D18)</f>
        <v>0</v>
      </c>
      <c r="E18" s="30">
        <f t="shared" si="3"/>
        <v>0</v>
      </c>
      <c r="F18" s="31" t="str">
        <f t="shared" si="4"/>
        <v/>
      </c>
      <c r="G18" s="32">
        <f>SUM(Jul!G18,Aug!G18,Sep!G18)</f>
        <v>0</v>
      </c>
      <c r="H18" s="32">
        <f>SUM(Jul!H18, Aug!H18, Sep!H18)</f>
        <v>0</v>
      </c>
      <c r="I18" s="33" t="str">
        <f t="shared" si="5"/>
        <v/>
      </c>
    </row>
    <row r="19" spans="1:9" ht="15.6">
      <c r="A19" s="49" t="str">
        <v>MD: Gaithersburg - Montgomery Cnty - PSHQ</v>
      </c>
      <c r="B19" s="34" t="str">
        <v>MD</v>
      </c>
      <c r="C19" s="36">
        <f>SUM(Jul!C19, Aug!C19, Sep!C19)</f>
        <v>0</v>
      </c>
      <c r="D19" s="37">
        <f>SUM(Jul!D19, Aug!D19, Sep!D19)</f>
        <v>0</v>
      </c>
      <c r="E19" s="37">
        <f t="shared" si="3"/>
        <v>0</v>
      </c>
      <c r="F19" s="38" t="str">
        <f t="shared" si="4"/>
        <v/>
      </c>
      <c r="G19" s="39">
        <f>SUM(Jul!G19,Aug!G19,Sep!G19)</f>
        <v>0</v>
      </c>
      <c r="H19" s="39">
        <f>SUM(Jul!H19, Aug!H19, Sep!H19)</f>
        <v>0</v>
      </c>
      <c r="I19" s="38" t="str">
        <f t="shared" si="5"/>
        <v/>
      </c>
    </row>
    <row r="20" spans="1:9" ht="15.6">
      <c r="A20" s="48" t="str">
        <v>MD: Sparrows Point - Amazon DCA1</v>
      </c>
      <c r="B20" s="27" t="str">
        <v>MD</v>
      </c>
      <c r="C20" s="29">
        <f>SUM(Jul!C20, Aug!C20, Sep!C20)</f>
        <v>0</v>
      </c>
      <c r="D20" s="30">
        <f>SUM(Jul!D20, Aug!D20, Sep!D20)</f>
        <v>0</v>
      </c>
      <c r="E20" s="30">
        <f t="shared" ref="E20:E24" si="6">IF(AND(ISNUMBER(C20),ISNUMBER(D20)), C20-D20, "")</f>
        <v>0</v>
      </c>
      <c r="F20" s="31" t="str">
        <f t="shared" ref="F20:F24" si="7">IFERROR(E20/D20, "")</f>
        <v/>
      </c>
      <c r="G20" s="32">
        <f>SUM(Jul!G20,Aug!G20,Sep!G20)</f>
        <v>0</v>
      </c>
      <c r="H20" s="32">
        <f>SUM(Jul!H20, Aug!H20, Sep!H20)</f>
        <v>0</v>
      </c>
      <c r="I20" s="33" t="str">
        <f t="shared" ref="I20:I24" si="8">IFERROR(H20/G20, "")</f>
        <v/>
      </c>
    </row>
    <row r="21" spans="1:9" ht="15.6">
      <c r="A21" s="49" t="str">
        <v>NJ: Piscataway - LVMH DC</v>
      </c>
      <c r="B21" s="34" t="str">
        <v>NJ</v>
      </c>
      <c r="C21" s="36">
        <f>SUM(Jul!C21, Aug!C21, Sep!C21)</f>
        <v>0</v>
      </c>
      <c r="D21" s="37">
        <f>SUM(Jul!D21, Aug!D21, Sep!D21)</f>
        <v>0</v>
      </c>
      <c r="E21" s="37">
        <f t="shared" si="6"/>
        <v>0</v>
      </c>
      <c r="F21" s="38" t="str">
        <f t="shared" si="7"/>
        <v/>
      </c>
      <c r="G21" s="39">
        <f>SUM(Jul!G21,Aug!G21,Sep!G21)</f>
        <v>0</v>
      </c>
      <c r="H21" s="39">
        <f>SUM(Jul!H21, Aug!H21, Sep!H21)</f>
        <v>0</v>
      </c>
      <c r="I21" s="38" t="str">
        <f t="shared" si="8"/>
        <v/>
      </c>
    </row>
    <row r="22" spans="1:9" ht="15.6">
      <c r="A22" s="48" t="str">
        <v>NM: Edgewood - Walmart #4201</v>
      </c>
      <c r="B22" s="27" t="str">
        <v>NM</v>
      </c>
      <c r="C22" s="29">
        <f>SUM(Jul!C22, Aug!C22, Sep!C22)</f>
        <v>0</v>
      </c>
      <c r="D22" s="30">
        <f>SUM(Jul!D22, Aug!D22, Sep!D22)</f>
        <v>0</v>
      </c>
      <c r="E22" s="30">
        <f t="shared" si="6"/>
        <v>0</v>
      </c>
      <c r="F22" s="31" t="str">
        <f t="shared" si="7"/>
        <v/>
      </c>
      <c r="G22" s="32">
        <f>SUM(Jul!G22,Aug!G22,Sep!G22)</f>
        <v>0</v>
      </c>
      <c r="H22" s="32">
        <f>SUM(Jul!H22, Aug!H22, Sep!H22)</f>
        <v>0</v>
      </c>
      <c r="I22" s="33" t="str">
        <f t="shared" si="8"/>
        <v/>
      </c>
    </row>
    <row r="23" spans="1:9" ht="15.6">
      <c r="A23" s="49" t="str">
        <v>NM: Gallup - Walmart #906</v>
      </c>
      <c r="B23" s="34" t="str">
        <v>NM</v>
      </c>
      <c r="C23" s="36">
        <f>SUM(Jul!C23, Aug!C23, Sep!C23)</f>
        <v>0</v>
      </c>
      <c r="D23" s="37">
        <f>SUM(Jul!D23, Aug!D23, Sep!D23)</f>
        <v>0</v>
      </c>
      <c r="E23" s="37">
        <f t="shared" si="6"/>
        <v>0</v>
      </c>
      <c r="F23" s="38" t="str">
        <f t="shared" si="7"/>
        <v/>
      </c>
      <c r="G23" s="39">
        <f>SUM(Jul!G23,Aug!G23,Sep!G23)</f>
        <v>0</v>
      </c>
      <c r="H23" s="39">
        <f>SUM(Jul!H23, Aug!H23, Sep!H23)</f>
        <v>0</v>
      </c>
      <c r="I23" s="38" t="str">
        <f t="shared" si="8"/>
        <v/>
      </c>
    </row>
    <row r="24" spans="1:9" ht="15.6">
      <c r="A24" s="48" t="str">
        <v>NV: Las Vegas - Amazon - LAS5</v>
      </c>
      <c r="B24" s="27" t="str">
        <v>NV</v>
      </c>
      <c r="C24" s="29">
        <f>SUM(Jul!C24, Aug!C24, Sep!C24)</f>
        <v>0</v>
      </c>
      <c r="D24" s="30">
        <f>SUM(Jul!D24, Aug!D24, Sep!D24)</f>
        <v>0</v>
      </c>
      <c r="E24" s="30">
        <f t="shared" si="6"/>
        <v>0</v>
      </c>
      <c r="F24" s="31" t="str">
        <f t="shared" si="7"/>
        <v/>
      </c>
      <c r="G24" s="32">
        <f>SUM(Jul!G24,Aug!G24,Sep!G24)</f>
        <v>0</v>
      </c>
      <c r="H24" s="32">
        <f>SUM(Jul!H24, Aug!H24, Sep!H24)</f>
        <v>0</v>
      </c>
      <c r="I24" s="33" t="str">
        <f t="shared" si="8"/>
        <v/>
      </c>
    </row>
    <row r="25" spans="1:9" ht="15.6">
      <c r="A25" s="49" t="str">
        <v>RI: Narragansett - Anchor Storage</v>
      </c>
      <c r="B25" s="34" t="str">
        <v>RI</v>
      </c>
      <c r="C25" s="36">
        <f>SUM(Jul!C25, Aug!C25, Sep!C25)</f>
        <v>0</v>
      </c>
      <c r="D25" s="37">
        <f>SUM(Jul!D25, Aug!D25, Sep!D25)</f>
        <v>0</v>
      </c>
      <c r="E25" s="37">
        <f t="shared" ref="E25:E27" si="9">IF(AND(ISNUMBER(C25),ISNUMBER(D25)), C25-D25, "")</f>
        <v>0</v>
      </c>
      <c r="F25" s="38" t="str">
        <f t="shared" ref="F25:F27" si="10">IFERROR(E25/D25, "")</f>
        <v/>
      </c>
      <c r="G25" s="39">
        <f>SUM(Jul!G25,Aug!G25,Sep!G25)</f>
        <v>0</v>
      </c>
      <c r="H25" s="39">
        <f>SUM(Jul!H25, Aug!H25, Sep!H25)</f>
        <v>0</v>
      </c>
      <c r="I25" s="38" t="str">
        <f t="shared" ref="I25:I27" si="11">IFERROR(H25/G25, "")</f>
        <v/>
      </c>
    </row>
    <row r="26" spans="1:9" ht="15.6">
      <c r="A26" s="48" t="str">
        <v>RI: North Kingstown - Walmart #2261</v>
      </c>
      <c r="B26" s="27" t="str">
        <v>RI</v>
      </c>
      <c r="C26" s="29">
        <f>SUM(Jul!C26, Aug!C26, Sep!C26)</f>
        <v>0</v>
      </c>
      <c r="D26" s="30">
        <f>SUM(Jul!D26, Aug!D26, Sep!D26)</f>
        <v>0</v>
      </c>
      <c r="E26" s="30">
        <f t="shared" si="9"/>
        <v>0</v>
      </c>
      <c r="F26" s="31" t="str">
        <f t="shared" si="10"/>
        <v/>
      </c>
      <c r="G26" s="32">
        <f>SUM(Jul!G26,Aug!G26,Sep!G26)</f>
        <v>0</v>
      </c>
      <c r="H26" s="32">
        <f>SUM(Jul!H26, Aug!H26, Sep!H26)</f>
        <v>0</v>
      </c>
      <c r="I26" s="33" t="str">
        <f t="shared" si="11"/>
        <v/>
      </c>
    </row>
    <row r="27" spans="1:9" ht="15.6">
      <c r="A27" s="49" t="str">
        <v>RI: Warwick - Walmart #2373</v>
      </c>
      <c r="B27" s="34" t="str">
        <v>RI</v>
      </c>
      <c r="C27" s="36">
        <f>SUM(Jul!C27, Aug!C27, Sep!C27)</f>
        <v>0</v>
      </c>
      <c r="D27" s="37">
        <f>SUM(Jul!D27, Aug!D27, Sep!D27)</f>
        <v>0</v>
      </c>
      <c r="E27" s="37">
        <f t="shared" si="9"/>
        <v>0</v>
      </c>
      <c r="F27" s="38" t="str">
        <f t="shared" si="10"/>
        <v/>
      </c>
      <c r="G27" s="39">
        <f>SUM(Jul!G27,Aug!G27,Sep!G27)</f>
        <v>0</v>
      </c>
      <c r="H27" s="39">
        <f>SUM(Jul!H27, Aug!H27, Sep!H27)</f>
        <v>0</v>
      </c>
      <c r="I27" s="38" t="str">
        <f t="shared" si="11"/>
        <v/>
      </c>
    </row>
    <row r="28" spans="1:9" ht="15.6">
      <c r="A28" s="48" t="str">
        <v>TX: Seguin - Niagara Bottling LLC</v>
      </c>
      <c r="B28" s="27" t="str">
        <v>TX</v>
      </c>
      <c r="C28" s="29">
        <f>SUM(Jul!C28, Aug!C28, Sep!C28)</f>
        <v>0</v>
      </c>
      <c r="D28" s="30">
        <f>SUM(Jul!D28, Aug!D28, Sep!D28)</f>
        <v>0</v>
      </c>
      <c r="E28" s="30">
        <f t="shared" ref="E28:E29" si="12">IF(AND(ISNUMBER(C28),ISNUMBER(D28)), C28-D28, "")</f>
        <v>0</v>
      </c>
      <c r="F28" s="31" t="str">
        <f t="shared" ref="F28:F29" si="13">IFERROR(E28/D28, "")</f>
        <v/>
      </c>
      <c r="G28" s="32">
        <f>SUM(Jul!G28,Aug!G28,Sep!G28)</f>
        <v>0</v>
      </c>
      <c r="H28" s="32">
        <f>SUM(Jul!H28, Aug!H28, Sep!H28)</f>
        <v>0</v>
      </c>
      <c r="I28" s="33" t="str">
        <f t="shared" ref="I28:I29" si="14">IFERROR(H28/G28, "")</f>
        <v/>
      </c>
    </row>
    <row r="29" spans="1:9" ht="15.6">
      <c r="A29" s="49"/>
      <c r="B29" s="34"/>
      <c r="C29" s="36">
        <f>SUM(Jul!C29, Aug!C29, Sep!C29)</f>
        <v>0</v>
      </c>
      <c r="D29" s="37">
        <f>SUM(Jul!D29, Aug!D29, Sep!D29)</f>
        <v>0</v>
      </c>
      <c r="E29" s="37">
        <f t="shared" si="12"/>
        <v>0</v>
      </c>
      <c r="F29" s="38" t="str">
        <f t="shared" si="13"/>
        <v/>
      </c>
      <c r="G29" s="39">
        <f>SUM(Jul!G29,Aug!G29,Sep!G29)</f>
        <v>0</v>
      </c>
      <c r="H29" s="39">
        <f>SUM(Jul!H29, Aug!H29, Sep!H29)</f>
        <v>0</v>
      </c>
      <c r="I29" s="38" t="str">
        <f t="shared" si="14"/>
        <v/>
      </c>
    </row>
    <row r="30" spans="1:9" ht="15.6">
      <c r="A30" s="8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12" activePane="bottomRight" state="frozen"/>
      <selection pane="bottomRight" activeCell="G32" sqref="G32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3" t="str" cm="1">
        <f t="array" ref="A1">portfolio</f>
        <v>REC Solar</v>
      </c>
      <c r="B1" s="123"/>
      <c r="C1" s="123"/>
      <c r="D1" s="124" t="s">
        <v>16</v>
      </c>
      <c r="E1" s="124"/>
      <c r="F1" s="124"/>
      <c r="G1" s="122" t="s">
        <v>17</v>
      </c>
      <c r="H1" s="122"/>
      <c r="I1" s="122"/>
    </row>
    <row r="2" spans="1:9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6">
      <c r="A4" s="48" t="str" cm="1">
        <f t="array" ref="A4:A28">Sites[Site]</f>
        <v>AZ: Goodyear - Amazon GYR2</v>
      </c>
      <c r="B4" s="28" t="str" cm="1">
        <f t="array" ref="B4:B28">Sites[State]</f>
        <v>AZ</v>
      </c>
      <c r="C4" s="29">
        <f>SUM(Oct!C4, Nov!C4, Dec!C4)</f>
        <v>0</v>
      </c>
      <c r="D4" s="30">
        <f>SUM(Oct!D4, Nov!D4, Dec!D4)</f>
        <v>0</v>
      </c>
      <c r="E4" s="30">
        <f>IF(AND(ISNUMBER(C4),ISNUMBER(D4)), C4-D4, "")</f>
        <v>0</v>
      </c>
      <c r="F4" s="31" t="str">
        <f>IFERROR(E4/D4, "")</f>
        <v/>
      </c>
      <c r="G4" s="32">
        <f>SUM(Oct!G4,Nov!G4,Dec!G4)</f>
        <v>0</v>
      </c>
      <c r="H4" s="32">
        <f>SUM(Oct!H4, Nov!H4, Dec!H4)</f>
        <v>0</v>
      </c>
      <c r="I4" s="33" t="str">
        <f>IFERROR(H4/G4, "")</f>
        <v/>
      </c>
    </row>
    <row r="5" spans="1:9" ht="15.6">
      <c r="A5" s="49" t="str">
        <v>AZ: Tucson - Amazon - TUS2</v>
      </c>
      <c r="B5" s="35" t="str">
        <v>AZ</v>
      </c>
      <c r="C5" s="36">
        <f>SUM(Oct!C5, Nov!C5, Dec!C5)</f>
        <v>0</v>
      </c>
      <c r="D5" s="37">
        <f>SUM(Oct!D5, Nov!D5, Dec!D5)</f>
        <v>0</v>
      </c>
      <c r="E5" s="37">
        <f t="shared" ref="E5:E27" si="0">IF(AND(ISNUMBER(C5),ISNUMBER(D5)), C5-D5, "")</f>
        <v>0</v>
      </c>
      <c r="F5" s="38" t="str">
        <f>IFERROR(E5/D5, "")</f>
        <v/>
      </c>
      <c r="G5" s="37">
        <f>SUM(Oct!G5,Nov!G5,Dec!G5)</f>
        <v>0</v>
      </c>
      <c r="H5" s="39">
        <f>SUM(Oct!H5, Nov!H5, Dec!H5)</f>
        <v>0</v>
      </c>
      <c r="I5" s="38" t="str">
        <f>IFERROR(H5/G5, "")</f>
        <v/>
      </c>
    </row>
    <row r="6" spans="1:9" ht="15.6">
      <c r="A6" s="48" t="str">
        <v>CO: Denver - TruStile Doors</v>
      </c>
      <c r="B6" s="28" t="str">
        <v>CO</v>
      </c>
      <c r="C6" s="29">
        <f>SUM(Oct!C6, Nov!C6, Dec!C6)</f>
        <v>0</v>
      </c>
      <c r="D6" s="30">
        <f>SUM(Oct!D6, Nov!D6, Dec!D6)</f>
        <v>0</v>
      </c>
      <c r="E6" s="30">
        <f t="shared" si="0"/>
        <v>0</v>
      </c>
      <c r="F6" s="31" t="str">
        <f t="shared" ref="F6:F27" si="1">IFERROR(E6/D6, "")</f>
        <v/>
      </c>
      <c r="G6" s="32">
        <f>SUM(Oct!G6,Nov!G6,Dec!G6)</f>
        <v>0</v>
      </c>
      <c r="H6" s="32">
        <f>SUM(Oct!H6, Nov!H6, Dec!H6)</f>
        <v>0</v>
      </c>
      <c r="I6" s="33" t="str">
        <f t="shared" ref="I6:I15" si="2">IFERROR(H6/G6, "")</f>
        <v/>
      </c>
    </row>
    <row r="7" spans="1:9" ht="15.6">
      <c r="A7" s="49" t="str">
        <v>CO: Thornton - Amazon - DEN3</v>
      </c>
      <c r="B7" s="35" t="str">
        <v>CO</v>
      </c>
      <c r="C7" s="36">
        <f>SUM(Oct!C7, Nov!C7, Dec!C7)</f>
        <v>0</v>
      </c>
      <c r="D7" s="37">
        <f>SUM(Oct!D7, Nov!D7, Dec!D7)</f>
        <v>0</v>
      </c>
      <c r="E7" s="37">
        <f t="shared" si="0"/>
        <v>0</v>
      </c>
      <c r="F7" s="38" t="str">
        <f t="shared" si="1"/>
        <v/>
      </c>
      <c r="G7" s="37">
        <f>SUM(Oct!G7,Nov!G7,Dec!G7)</f>
        <v>0</v>
      </c>
      <c r="H7" s="39">
        <f>SUM(Oct!H7, Nov!H7, Dec!H7)</f>
        <v>0</v>
      </c>
      <c r="I7" s="38" t="str">
        <f t="shared" si="2"/>
        <v/>
      </c>
    </row>
    <row r="8" spans="1:9" ht="15.6">
      <c r="A8" s="48" t="str">
        <v>CO: Greenwood Village - REC H5 Data Center</v>
      </c>
      <c r="B8" s="28" t="str">
        <v>CO</v>
      </c>
      <c r="C8" s="29">
        <f>SUM(Oct!C8, Nov!C8, Dec!C8)</f>
        <v>0</v>
      </c>
      <c r="D8" s="30">
        <f>SUM(Oct!D8, Nov!D8, Dec!D8)</f>
        <v>0</v>
      </c>
      <c r="E8" s="30">
        <f t="shared" si="0"/>
        <v>0</v>
      </c>
      <c r="F8" s="31" t="str">
        <f t="shared" si="1"/>
        <v/>
      </c>
      <c r="G8" s="32">
        <f>SUM(Oct!G8,Nov!G8,Dec!G8)</f>
        <v>0</v>
      </c>
      <c r="H8" s="32">
        <f>SUM(Oct!H8, Nov!H8, Dec!H8)</f>
        <v>0</v>
      </c>
      <c r="I8" s="33" t="str">
        <f t="shared" si="2"/>
        <v/>
      </c>
    </row>
    <row r="9" spans="1:9" ht="15.6">
      <c r="A9" s="49" t="str">
        <v>HI: Ewa Beach - Salvation Army Kroc Center</v>
      </c>
      <c r="B9" s="35" t="str">
        <v>HI</v>
      </c>
      <c r="C9" s="36">
        <f>SUM(Oct!C9, Nov!C9, Dec!C9)</f>
        <v>0</v>
      </c>
      <c r="D9" s="37">
        <f>SUM(Oct!D9, Nov!D9, Dec!D9)</f>
        <v>0</v>
      </c>
      <c r="E9" s="37">
        <f t="shared" si="0"/>
        <v>0</v>
      </c>
      <c r="F9" s="38" t="str">
        <f t="shared" si="1"/>
        <v/>
      </c>
      <c r="G9" s="37">
        <f>SUM(Oct!G9,Nov!G9,Dec!G9)</f>
        <v>0</v>
      </c>
      <c r="H9" s="39">
        <f>SUM(Oct!H9, Nov!H9, Dec!H9)</f>
        <v>0</v>
      </c>
      <c r="I9" s="38" t="str">
        <f t="shared" si="2"/>
        <v/>
      </c>
    </row>
    <row r="10" spans="1:9" ht="15.6">
      <c r="A10" s="48" t="str">
        <v>HI: Honolulu - Hawaii Foodbank</v>
      </c>
      <c r="B10" s="28" t="str">
        <v>HI</v>
      </c>
      <c r="C10" s="29">
        <f>SUM(Oct!C10, Nov!C10, Dec!C10)</f>
        <v>0</v>
      </c>
      <c r="D10" s="30">
        <f>SUM(Oct!D10, Nov!D10, Dec!D10)</f>
        <v>0</v>
      </c>
      <c r="E10" s="30">
        <f t="shared" si="0"/>
        <v>0</v>
      </c>
      <c r="F10" s="31" t="str">
        <f t="shared" si="1"/>
        <v/>
      </c>
      <c r="G10" s="32">
        <f>SUM(Oct!G10,Nov!G10,Dec!G10)</f>
        <v>0</v>
      </c>
      <c r="H10" s="32">
        <f>SUM(Oct!H10, Nov!H10, Dec!H10)</f>
        <v>0</v>
      </c>
      <c r="I10" s="33" t="str">
        <f t="shared" si="2"/>
        <v/>
      </c>
    </row>
    <row r="11" spans="1:9" ht="15.6">
      <c r="A11" s="49" t="str">
        <v>HI: Kailua-Kona - Home Depot #1704</v>
      </c>
      <c r="B11" s="35" t="str">
        <v>HI</v>
      </c>
      <c r="C11" s="36">
        <f>SUM(Oct!C11, Nov!C11, Dec!C11)</f>
        <v>0</v>
      </c>
      <c r="D11" s="37">
        <f>SUM(Oct!D11, Nov!D11, Dec!D11)</f>
        <v>0</v>
      </c>
      <c r="E11" s="37">
        <f t="shared" si="0"/>
        <v>0</v>
      </c>
      <c r="F11" s="38" t="str">
        <f t="shared" si="1"/>
        <v/>
      </c>
      <c r="G11" s="37">
        <f>SUM(Oct!G11,Nov!G11,Dec!G11)</f>
        <v>0</v>
      </c>
      <c r="H11" s="39">
        <f>SUM(Oct!H11, Nov!H11, Dec!H11)</f>
        <v>0</v>
      </c>
      <c r="I11" s="38" t="str">
        <f t="shared" si="2"/>
        <v/>
      </c>
    </row>
    <row r="12" spans="1:9" ht="15.6">
      <c r="A12" s="48" t="str">
        <v>HI: Kapolei - Home Depot #1706</v>
      </c>
      <c r="B12" s="28" t="str">
        <v>HI</v>
      </c>
      <c r="C12" s="29">
        <f>SUM(Oct!C12, Nov!C12, Dec!C12)</f>
        <v>0</v>
      </c>
      <c r="D12" s="30">
        <f>SUM(Oct!D12, Nov!D12, Dec!D12)</f>
        <v>0</v>
      </c>
      <c r="E12" s="30">
        <f t="shared" si="0"/>
        <v>0</v>
      </c>
      <c r="F12" s="31" t="str">
        <f t="shared" si="1"/>
        <v/>
      </c>
      <c r="G12" s="32">
        <f>SUM(Oct!G12,Nov!G12,Dec!G12)</f>
        <v>0</v>
      </c>
      <c r="H12" s="32">
        <f>SUM(Oct!H12, Nov!H12, Dec!H12)</f>
        <v>0</v>
      </c>
      <c r="I12" s="33" t="str">
        <f t="shared" si="2"/>
        <v/>
      </c>
    </row>
    <row r="13" spans="1:9" ht="15.6">
      <c r="A13" s="49" t="str">
        <v>HI: Laie - Polynesian Cultural Center</v>
      </c>
      <c r="B13" s="35" t="str">
        <v>HI</v>
      </c>
      <c r="C13" s="36">
        <f>SUM(Oct!C13, Nov!C13, Dec!C13)</f>
        <v>0</v>
      </c>
      <c r="D13" s="37">
        <f>SUM(Oct!D13, Nov!D13, Dec!D13)</f>
        <v>0</v>
      </c>
      <c r="E13" s="37">
        <f t="shared" si="0"/>
        <v>0</v>
      </c>
      <c r="F13" s="38" t="str">
        <f t="shared" si="1"/>
        <v/>
      </c>
      <c r="G13" s="37">
        <f>SUM(Oct!G13,Nov!G13,Dec!G13)</f>
        <v>0</v>
      </c>
      <c r="H13" s="39">
        <f>SUM(Oct!H13, Nov!H13, Dec!H13)</f>
        <v>0</v>
      </c>
      <c r="I13" s="38" t="str">
        <f t="shared" si="2"/>
        <v/>
      </c>
    </row>
    <row r="14" spans="1:9" ht="15.6">
      <c r="A14" s="48" t="str">
        <v>HI: Laie- BYU Hawaii (PW)</v>
      </c>
      <c r="B14" s="28" t="str">
        <v>HI</v>
      </c>
      <c r="C14" s="29">
        <f>SUM(Oct!C14, Nov!C14, Dec!C14)</f>
        <v>0</v>
      </c>
      <c r="D14" s="30">
        <f>SUM(Oct!D14, Nov!D14, Dec!D14)</f>
        <v>0</v>
      </c>
      <c r="E14" s="30">
        <f t="shared" si="0"/>
        <v>0</v>
      </c>
      <c r="F14" s="31" t="str">
        <f t="shared" si="1"/>
        <v/>
      </c>
      <c r="G14" s="32">
        <f>SUM(Oct!G14,Nov!G14,Dec!G14)</f>
        <v>0</v>
      </c>
      <c r="H14" s="32">
        <f>SUM(Oct!H14, Nov!H14, Dec!H14)</f>
        <v>0</v>
      </c>
      <c r="I14" s="33" t="str">
        <f t="shared" si="2"/>
        <v/>
      </c>
    </row>
    <row r="15" spans="1:9" ht="15.6">
      <c r="A15" s="49" t="str">
        <v>HI: Waianae - Makaha Surfside</v>
      </c>
      <c r="B15" s="35" t="str">
        <v>HI</v>
      </c>
      <c r="C15" s="36">
        <f>SUM(Oct!C15, Nov!C15, Dec!C15)</f>
        <v>0</v>
      </c>
      <c r="D15" s="37">
        <f>SUM(Oct!D15, Nov!D15, Dec!D15)</f>
        <v>0</v>
      </c>
      <c r="E15" s="37">
        <f t="shared" si="0"/>
        <v>0</v>
      </c>
      <c r="F15" s="38" t="str">
        <f t="shared" si="1"/>
        <v/>
      </c>
      <c r="G15" s="37">
        <f>SUM(Oct!G15,Nov!G15,Dec!G15)</f>
        <v>0</v>
      </c>
      <c r="H15" s="39">
        <f>SUM(Oct!H15, Nov!H15, Dec!H15)</f>
        <v>0</v>
      </c>
      <c r="I15" s="38" t="str">
        <f t="shared" si="2"/>
        <v/>
      </c>
    </row>
    <row r="16" spans="1:9" ht="15.6">
      <c r="A16" s="48" t="str">
        <v>HI: Kahului - Home Depot #1703</v>
      </c>
      <c r="B16" s="28" t="str">
        <v>HI</v>
      </c>
      <c r="C16" s="29">
        <f>SUM(Oct!C16, Nov!C16, Dec!C16)</f>
        <v>0</v>
      </c>
      <c r="D16" s="30">
        <f>SUM(Oct!D16, Nov!D16, Dec!D16)</f>
        <v>0</v>
      </c>
      <c r="E16" s="30">
        <f t="shared" si="0"/>
        <v>0</v>
      </c>
      <c r="F16" s="31" t="str">
        <f t="shared" si="1"/>
        <v/>
      </c>
      <c r="G16" s="32">
        <f>SUM(Oct!G16,Nov!G16,Dec!G16)</f>
        <v>0</v>
      </c>
      <c r="H16" s="32">
        <f>SUM(Oct!H16, Nov!H16, Dec!H16)</f>
        <v>0</v>
      </c>
      <c r="I16" s="33" t="str">
        <f t="shared" ref="I16:I18" si="3">IFERROR(H16/G16, "")</f>
        <v/>
      </c>
    </row>
    <row r="17" spans="1:9" ht="15.6">
      <c r="A17" s="49" t="str">
        <v>MA: Andover - Boston One Campus</v>
      </c>
      <c r="B17" s="35" t="str">
        <v>MA</v>
      </c>
      <c r="C17" s="36">
        <f>SUM(Oct!C17, Nov!C17, Dec!C17)</f>
        <v>0</v>
      </c>
      <c r="D17" s="37">
        <f>SUM(Oct!D17, Nov!D17, Dec!D17)</f>
        <v>0</v>
      </c>
      <c r="E17" s="37">
        <f t="shared" si="0"/>
        <v>0</v>
      </c>
      <c r="F17" s="38" t="str">
        <f t="shared" si="1"/>
        <v/>
      </c>
      <c r="G17" s="37">
        <f>SUM(Oct!G17,Nov!G17,Dec!G17)</f>
        <v>0</v>
      </c>
      <c r="H17" s="39">
        <f>SUM(Oct!H17, Nov!H17, Dec!H17)</f>
        <v>0</v>
      </c>
      <c r="I17" s="38" t="str">
        <f t="shared" si="3"/>
        <v/>
      </c>
    </row>
    <row r="18" spans="1:9" ht="12.75" customHeight="1">
      <c r="A18" s="48" t="str">
        <v>MA: Foxboro - Schneider Cocasset</v>
      </c>
      <c r="B18" s="28" t="str">
        <v>MA</v>
      </c>
      <c r="C18" s="29">
        <f>SUM(Oct!C18, Nov!C18, Dec!C18)</f>
        <v>0</v>
      </c>
      <c r="D18" s="30">
        <f>SUM(Oct!D18, Nov!D18, Dec!D18)</f>
        <v>0</v>
      </c>
      <c r="E18" s="30">
        <f t="shared" si="0"/>
        <v>0</v>
      </c>
      <c r="F18" s="31" t="str">
        <f t="shared" si="1"/>
        <v/>
      </c>
      <c r="G18" s="32">
        <f>SUM(Oct!G18,Nov!G18,Dec!G18)</f>
        <v>0</v>
      </c>
      <c r="H18" s="39">
        <f>SUM(Oct!H18, Nov!H18, Dec!H18)</f>
        <v>0</v>
      </c>
      <c r="I18" s="38" t="str">
        <f t="shared" si="3"/>
        <v/>
      </c>
    </row>
    <row r="19" spans="1:9" ht="15.6">
      <c r="A19" s="49" t="str">
        <v>MD: Gaithersburg - Montgomery Cnty - PSHQ</v>
      </c>
      <c r="B19" s="35" t="str">
        <v>MD</v>
      </c>
      <c r="C19" s="36">
        <f>SUM(Oct!C19, Nov!C19, Dec!C19)</f>
        <v>0</v>
      </c>
      <c r="D19" s="37">
        <f>SUM(Oct!D19, Nov!D19, Dec!D19)</f>
        <v>0</v>
      </c>
      <c r="E19" s="37">
        <f t="shared" si="0"/>
        <v>0</v>
      </c>
      <c r="F19" s="38" t="str">
        <f t="shared" si="1"/>
        <v/>
      </c>
      <c r="G19" s="37">
        <f>SUM(Oct!G19,Nov!G19,Dec!G19)</f>
        <v>0</v>
      </c>
      <c r="H19" s="32">
        <f>SUM(Oct!H19, Nov!H19, Dec!H19)</f>
        <v>0</v>
      </c>
      <c r="I19" s="33" t="str">
        <f t="shared" ref="I19:I24" si="4">IFERROR(H19/G19, "")</f>
        <v/>
      </c>
    </row>
    <row r="20" spans="1:9" ht="15.6">
      <c r="A20" s="48" t="str">
        <v>MD: Sparrows Point - Amazon DCA1</v>
      </c>
      <c r="B20" s="28" t="str">
        <v>MD</v>
      </c>
      <c r="C20" s="29">
        <f>SUM(Oct!C20, Nov!C20, Dec!C20)</f>
        <v>0</v>
      </c>
      <c r="D20" s="30">
        <f>SUM(Oct!D20, Nov!D20, Dec!D20)</f>
        <v>0</v>
      </c>
      <c r="E20" s="30">
        <f t="shared" si="0"/>
        <v>0</v>
      </c>
      <c r="F20" s="31" t="str">
        <f t="shared" si="1"/>
        <v/>
      </c>
      <c r="G20" s="32">
        <f>SUM(Oct!G20,Nov!G20,Dec!G20)</f>
        <v>0</v>
      </c>
      <c r="H20" s="39">
        <f>SUM(Oct!H20, Nov!H20, Dec!H20)</f>
        <v>0</v>
      </c>
      <c r="I20" s="38" t="str">
        <f t="shared" si="4"/>
        <v/>
      </c>
    </row>
    <row r="21" spans="1:9" ht="15.6">
      <c r="A21" s="49" t="str">
        <v>NJ: Piscataway - LVMH DC</v>
      </c>
      <c r="B21" s="35" t="str">
        <v>NJ</v>
      </c>
      <c r="C21" s="36">
        <f>SUM(Oct!C21, Nov!C21, Dec!C21)</f>
        <v>0</v>
      </c>
      <c r="D21" s="37">
        <f>SUM(Oct!D21, Nov!D21, Dec!D21)</f>
        <v>0</v>
      </c>
      <c r="E21" s="37">
        <f t="shared" si="0"/>
        <v>0</v>
      </c>
      <c r="F21" s="38" t="str">
        <f t="shared" si="1"/>
        <v/>
      </c>
      <c r="G21" s="37">
        <f>SUM(Oct!G21,Nov!G21,Dec!G21)</f>
        <v>0</v>
      </c>
      <c r="H21" s="39">
        <f>SUM(Oct!H21, Nov!H21, Dec!H21)</f>
        <v>0</v>
      </c>
      <c r="I21" s="38" t="str">
        <f t="shared" si="4"/>
        <v/>
      </c>
    </row>
    <row r="22" spans="1:9" ht="15.6">
      <c r="A22" s="48" t="str">
        <v>NM: Edgewood - Walmart #4201</v>
      </c>
      <c r="B22" s="28" t="str">
        <v>NM</v>
      </c>
      <c r="C22" s="29">
        <f>SUM(Oct!C22, Nov!C22, Dec!C22)</f>
        <v>0</v>
      </c>
      <c r="D22" s="30">
        <f>SUM(Oct!D22, Nov!D22, Dec!D22)</f>
        <v>0</v>
      </c>
      <c r="E22" s="30">
        <f t="shared" si="0"/>
        <v>0</v>
      </c>
      <c r="F22" s="31" t="str">
        <f t="shared" si="1"/>
        <v/>
      </c>
      <c r="G22" s="32">
        <f>SUM(Oct!G22,Nov!G22,Dec!G22)</f>
        <v>0</v>
      </c>
      <c r="H22" s="32">
        <f>SUM(Oct!H22, Nov!H22, Dec!H22)</f>
        <v>0</v>
      </c>
      <c r="I22" s="33" t="str">
        <f t="shared" si="4"/>
        <v/>
      </c>
    </row>
    <row r="23" spans="1:9" ht="15.6">
      <c r="A23" s="49" t="str">
        <v>NM: Gallup - Walmart #906</v>
      </c>
      <c r="B23" s="35" t="str">
        <v>NM</v>
      </c>
      <c r="C23" s="36">
        <f>SUM(Oct!C23, Nov!C23, Dec!C23)</f>
        <v>0</v>
      </c>
      <c r="D23" s="37">
        <f>SUM(Oct!D23, Nov!D23, Dec!D23)</f>
        <v>0</v>
      </c>
      <c r="E23" s="37">
        <f t="shared" si="0"/>
        <v>0</v>
      </c>
      <c r="F23" s="38" t="str">
        <f t="shared" si="1"/>
        <v/>
      </c>
      <c r="G23" s="37">
        <f>SUM(Oct!G23,Nov!G23,Dec!G23)</f>
        <v>0</v>
      </c>
      <c r="H23" s="39">
        <f>SUM(Oct!H23, Nov!H23, Dec!H23)</f>
        <v>0</v>
      </c>
      <c r="I23" s="38" t="str">
        <f t="shared" si="4"/>
        <v/>
      </c>
    </row>
    <row r="24" spans="1:9" ht="15.6">
      <c r="A24" s="48" t="str">
        <v>NV: Las Vegas - Amazon - LAS5</v>
      </c>
      <c r="B24" s="28" t="str">
        <v>NV</v>
      </c>
      <c r="C24" s="29">
        <f>SUM(Oct!C24, Nov!C24, Dec!C24)</f>
        <v>0</v>
      </c>
      <c r="D24" s="30">
        <f>SUM(Oct!D24, Nov!D24, Dec!D24)</f>
        <v>0</v>
      </c>
      <c r="E24" s="30">
        <f t="shared" si="0"/>
        <v>0</v>
      </c>
      <c r="F24" s="31" t="str">
        <f t="shared" si="1"/>
        <v/>
      </c>
      <c r="G24" s="32">
        <f>SUM(Oct!G24,Nov!G24,Dec!G24)</f>
        <v>0</v>
      </c>
      <c r="H24" s="32">
        <f>SUM(Oct!H24, Nov!H24, Dec!H24)</f>
        <v>0</v>
      </c>
      <c r="I24" s="33" t="str">
        <f t="shared" si="4"/>
        <v/>
      </c>
    </row>
    <row r="25" spans="1:9" ht="15.6">
      <c r="A25" s="49" t="str">
        <v>RI: Narragansett - Anchor Storage</v>
      </c>
      <c r="B25" s="35" t="str">
        <v>RI</v>
      </c>
      <c r="C25" s="36">
        <f>SUM(Oct!C25, Nov!C25, Dec!C25)</f>
        <v>0</v>
      </c>
      <c r="D25" s="37">
        <f>SUM(Oct!D25, Nov!D25, Dec!D25)</f>
        <v>0</v>
      </c>
      <c r="E25" s="37">
        <f t="shared" si="0"/>
        <v>0</v>
      </c>
      <c r="F25" s="38" t="str">
        <f t="shared" si="1"/>
        <v/>
      </c>
      <c r="G25" s="37">
        <f>SUM(Oct!G25,Nov!G25,Dec!G25)</f>
        <v>0</v>
      </c>
      <c r="H25" s="39">
        <f>SUM(Oct!H25, Nov!H25, Dec!H25)</f>
        <v>0</v>
      </c>
      <c r="I25" s="38" t="str">
        <f t="shared" ref="I25:I27" si="5">IFERROR(H25/G25, "")</f>
        <v/>
      </c>
    </row>
    <row r="26" spans="1:9" ht="15.6">
      <c r="A26" s="48" t="str">
        <v>RI: North Kingstown - Walmart #2261</v>
      </c>
      <c r="B26" s="28" t="str">
        <v>RI</v>
      </c>
      <c r="C26" s="29">
        <f>SUM(Oct!C26, Nov!C26, Dec!C26)</f>
        <v>0</v>
      </c>
      <c r="D26" s="30">
        <f>SUM(Oct!D26, Nov!D26, Dec!D26)</f>
        <v>0</v>
      </c>
      <c r="E26" s="30">
        <f t="shared" si="0"/>
        <v>0</v>
      </c>
      <c r="F26" s="31" t="str">
        <f t="shared" si="1"/>
        <v/>
      </c>
      <c r="G26" s="32">
        <f>SUM(Oct!G26,Nov!G26,Dec!G26)</f>
        <v>0</v>
      </c>
      <c r="H26" s="32">
        <f>SUM(Oct!H26, Nov!H26, Dec!H26)</f>
        <v>0</v>
      </c>
      <c r="I26" s="33" t="str">
        <f t="shared" si="5"/>
        <v/>
      </c>
    </row>
    <row r="27" spans="1:9" ht="15.6">
      <c r="A27" s="49" t="str">
        <v>RI: Warwick - Walmart #2373</v>
      </c>
      <c r="B27" s="35" t="str">
        <v>RI</v>
      </c>
      <c r="C27" s="36">
        <f>SUM(Oct!C27, Nov!C27, Dec!C27)</f>
        <v>0</v>
      </c>
      <c r="D27" s="37">
        <f>SUM(Oct!D27, Nov!D27, Dec!D27)</f>
        <v>0</v>
      </c>
      <c r="E27" s="37">
        <f t="shared" si="0"/>
        <v>0</v>
      </c>
      <c r="F27" s="38" t="str">
        <f t="shared" si="1"/>
        <v/>
      </c>
      <c r="G27" s="37">
        <f>SUM(Oct!G27,Nov!G27,Dec!G27)</f>
        <v>0</v>
      </c>
      <c r="H27" s="39">
        <f>SUM(Oct!H27, Nov!H27, Dec!H27)</f>
        <v>0</v>
      </c>
      <c r="I27" s="38" t="str">
        <f t="shared" si="5"/>
        <v/>
      </c>
    </row>
    <row r="28" spans="1:9" ht="15.6">
      <c r="A28" s="48" t="str">
        <v>TX: Seguin - Niagara Bottling LLC</v>
      </c>
      <c r="B28" s="28" t="str">
        <v>TX</v>
      </c>
      <c r="C28" s="29">
        <f>SUM(Oct!C28, Nov!C28, Dec!C28)</f>
        <v>0</v>
      </c>
      <c r="D28" s="30">
        <f>SUM(Oct!D28, Nov!D28, Dec!D28)</f>
        <v>0</v>
      </c>
      <c r="E28" s="30">
        <f t="shared" ref="E28:E29" si="6">IF(AND(ISNUMBER(C28),ISNUMBER(D28)), C28-D28, "")</f>
        <v>0</v>
      </c>
      <c r="F28" s="31" t="str">
        <f t="shared" ref="F28:F29" si="7">IFERROR(E28/D28, "")</f>
        <v/>
      </c>
      <c r="G28" s="32">
        <f>SUM(Oct!G28,Nov!G28,Dec!G28)</f>
        <v>0</v>
      </c>
      <c r="H28" s="32">
        <f>SUM(Oct!H28, Nov!H28, Dec!H28)</f>
        <v>0</v>
      </c>
      <c r="I28" s="33" t="str">
        <f t="shared" ref="I28:I29" si="8">IFERROR(H28/G28, "")</f>
        <v/>
      </c>
    </row>
    <row r="29" spans="1:9" ht="15.6">
      <c r="A29" s="49"/>
      <c r="B29" s="35"/>
      <c r="C29" s="36">
        <f>SUM(Oct!C29, Nov!C29, Dec!C29)</f>
        <v>0</v>
      </c>
      <c r="D29" s="37">
        <f>SUM(Oct!D29, Nov!D29, Dec!D29)</f>
        <v>0</v>
      </c>
      <c r="E29" s="37">
        <f t="shared" si="6"/>
        <v>0</v>
      </c>
      <c r="F29" s="38" t="str">
        <f t="shared" si="7"/>
        <v/>
      </c>
      <c r="G29" s="37">
        <f>SUM(Oct!G29,Nov!G29,Dec!G29)</f>
        <v>0</v>
      </c>
      <c r="H29" s="39">
        <f>SUM(Oct!H29, Nov!H29, Dec!H29)</f>
        <v>0</v>
      </c>
      <c r="I29" s="38" t="str">
        <f t="shared" si="8"/>
        <v/>
      </c>
    </row>
    <row r="30" spans="1:9" ht="13.9">
      <c r="A30" s="9"/>
      <c r="B30" s="9"/>
      <c r="C30" s="9"/>
      <c r="D30" s="9"/>
      <c r="E30" s="9"/>
      <c r="F30" s="9"/>
      <c r="G30" s="9"/>
      <c r="H30" s="9"/>
      <c r="I30" s="9"/>
    </row>
    <row r="31" spans="1:9" ht="13.9">
      <c r="A31" s="9"/>
      <c r="B31" s="9"/>
      <c r="C31" s="9"/>
      <c r="D31" s="9"/>
      <c r="E31" s="9"/>
      <c r="F31" s="9"/>
      <c r="G31" s="9"/>
      <c r="H31" s="9"/>
      <c r="I31" s="9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  <row r="323" spans="1:9" ht="13.9">
      <c r="A323" s="9"/>
      <c r="B323" s="9"/>
      <c r="C323" s="9"/>
      <c r="D323" s="9"/>
      <c r="E323" s="9"/>
      <c r="F323" s="10"/>
      <c r="G323" s="9"/>
      <c r="H323" s="9"/>
      <c r="I323" s="10"/>
    </row>
    <row r="324" spans="1:9" ht="13.9">
      <c r="A324" s="9"/>
      <c r="B324" s="9"/>
      <c r="C324" s="9"/>
      <c r="D324" s="9"/>
      <c r="E324" s="9"/>
      <c r="F324" s="10"/>
      <c r="G324" s="9"/>
      <c r="H324" s="9"/>
      <c r="I324" s="10"/>
    </row>
    <row r="325" spans="1:9" ht="13.9">
      <c r="A325" s="9"/>
      <c r="B325" s="9"/>
      <c r="C325" s="9"/>
      <c r="D325" s="9"/>
      <c r="E325" s="9"/>
      <c r="F325" s="10"/>
      <c r="G325" s="9"/>
      <c r="H325" s="9"/>
      <c r="I325" s="10"/>
    </row>
    <row r="326" spans="1:9" ht="13.9">
      <c r="A326" s="9"/>
      <c r="B326" s="9"/>
      <c r="C326" s="9"/>
      <c r="D326" s="9"/>
      <c r="E326" s="9"/>
      <c r="F326" s="10"/>
      <c r="G326" s="9"/>
      <c r="H326" s="9"/>
      <c r="I326" s="10"/>
    </row>
    <row r="327" spans="1:9" ht="13.9">
      <c r="A327" s="9"/>
      <c r="B327" s="9"/>
      <c r="C327" s="9"/>
      <c r="D327" s="9"/>
      <c r="E327" s="9"/>
      <c r="F327" s="10"/>
      <c r="G327" s="9"/>
      <c r="H327" s="9"/>
      <c r="I327" s="10"/>
    </row>
    <row r="328" spans="1:9" ht="13.9">
      <c r="A328" s="9"/>
      <c r="B328" s="9"/>
      <c r="C328" s="9"/>
      <c r="D328" s="9"/>
      <c r="E328" s="9"/>
      <c r="F328" s="10"/>
      <c r="G328" s="9"/>
      <c r="H328" s="9"/>
      <c r="I328" s="10"/>
    </row>
    <row r="329" spans="1:9" ht="13.9">
      <c r="A329" s="9"/>
      <c r="B329" s="9"/>
      <c r="C329" s="9"/>
      <c r="D329" s="9"/>
      <c r="E329" s="9"/>
      <c r="F329" s="10"/>
      <c r="G329" s="9"/>
      <c r="H329" s="9"/>
      <c r="I329" s="10"/>
    </row>
    <row r="330" spans="1:9" ht="13.9">
      <c r="A330" s="9"/>
      <c r="B330" s="9"/>
      <c r="C330" s="9"/>
      <c r="D330" s="9"/>
      <c r="E330" s="9"/>
      <c r="F330" s="10"/>
      <c r="G330" s="9"/>
      <c r="H330" s="9"/>
      <c r="I330" s="10"/>
    </row>
    <row r="331" spans="1:9" ht="13.9">
      <c r="A331" s="9"/>
      <c r="B331" s="9"/>
      <c r="C331" s="9"/>
      <c r="D331" s="9"/>
      <c r="E331" s="9"/>
      <c r="F331" s="10"/>
      <c r="G331" s="9"/>
      <c r="H331" s="9"/>
      <c r="I331" s="10"/>
    </row>
    <row r="332" spans="1:9" ht="13.9">
      <c r="A332" s="9"/>
      <c r="B332" s="9"/>
      <c r="C332" s="9"/>
      <c r="D332" s="9"/>
      <c r="E332" s="9"/>
      <c r="F332" s="10"/>
      <c r="G332" s="9"/>
      <c r="H332" s="9"/>
      <c r="I332" s="10"/>
    </row>
    <row r="333" spans="1:9" ht="13.9">
      <c r="A333" s="9"/>
      <c r="B333" s="9"/>
      <c r="C333" s="9"/>
      <c r="D333" s="9"/>
      <c r="E333" s="9"/>
      <c r="F333" s="10"/>
      <c r="G333" s="9"/>
      <c r="H333" s="9"/>
      <c r="I333" s="10"/>
    </row>
    <row r="334" spans="1:9" ht="13.9">
      <c r="A334" s="9"/>
      <c r="B334" s="9"/>
      <c r="C334" s="9"/>
      <c r="D334" s="9"/>
      <c r="E334" s="9"/>
      <c r="F334" s="10"/>
      <c r="G334" s="9"/>
      <c r="H334" s="9"/>
      <c r="I334" s="10"/>
    </row>
    <row r="335" spans="1:9" ht="13.9">
      <c r="A335" s="9"/>
      <c r="B335" s="9"/>
      <c r="C335" s="9"/>
      <c r="D335" s="9"/>
      <c r="E335" s="9"/>
      <c r="F335" s="10"/>
      <c r="G335" s="9"/>
      <c r="H335" s="9"/>
      <c r="I335" s="10"/>
    </row>
    <row r="336" spans="1:9" ht="13.9">
      <c r="A336" s="9"/>
      <c r="B336" s="9"/>
      <c r="C336" s="9"/>
      <c r="D336" s="9"/>
      <c r="E336" s="9"/>
      <c r="F336" s="10"/>
      <c r="G336" s="9"/>
      <c r="H336" s="9"/>
      <c r="I336" s="10"/>
    </row>
    <row r="337" spans="1:9" ht="13.9">
      <c r="A337" s="9"/>
      <c r="B337" s="9"/>
      <c r="C337" s="9"/>
      <c r="D337" s="9"/>
      <c r="E337" s="9"/>
      <c r="F337" s="10"/>
      <c r="G337" s="9"/>
      <c r="H337" s="9"/>
      <c r="I337" s="10"/>
    </row>
    <row r="338" spans="1:9" ht="13.9">
      <c r="A338" s="9"/>
      <c r="B338" s="9"/>
      <c r="C338" s="9"/>
      <c r="D338" s="9"/>
      <c r="E338" s="9"/>
      <c r="F338" s="10"/>
      <c r="G338" s="9"/>
      <c r="H338" s="9"/>
      <c r="I338" s="10"/>
    </row>
    <row r="339" spans="1:9" ht="13.9">
      <c r="A339" s="9"/>
      <c r="B339" s="9"/>
      <c r="C339" s="9"/>
      <c r="D339" s="9"/>
      <c r="E339" s="9"/>
      <c r="F339" s="10"/>
      <c r="G339" s="9"/>
      <c r="H339" s="9"/>
      <c r="I339" s="10"/>
    </row>
    <row r="340" spans="1:9" ht="13.9">
      <c r="A340" s="9"/>
      <c r="B340" s="9"/>
      <c r="C340" s="9"/>
      <c r="D340" s="9"/>
      <c r="E340" s="9"/>
      <c r="F340" s="10"/>
      <c r="G340" s="9"/>
      <c r="H340" s="9"/>
      <c r="I340" s="10"/>
    </row>
    <row r="341" spans="1:9" ht="13.9">
      <c r="A341" s="9"/>
      <c r="B341" s="9"/>
      <c r="C341" s="9"/>
      <c r="D341" s="9"/>
      <c r="E341" s="9"/>
      <c r="F341" s="10"/>
      <c r="G341" s="9"/>
      <c r="H341" s="9"/>
      <c r="I341" s="10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W340"/>
  <sheetViews>
    <sheetView zoomScale="86" zoomScaleNormal="86" workbookViewId="0">
      <pane xSplit="2" ySplit="3" topLeftCell="C4" activePane="bottomRight" state="frozen"/>
      <selection pane="bottomRight" activeCell="F11" sqref="F11"/>
      <selection pane="bottomLeft" activeCell="H31" sqref="H31"/>
      <selection pane="topRight" activeCell="H31" sqref="H31"/>
    </sheetView>
  </sheetViews>
  <sheetFormatPr defaultRowHeight="13.9"/>
  <cols>
    <col min="1" max="1" width="44.42578125" bestFit="1" customWidth="1"/>
    <col min="2" max="2" width="14.5703125" style="15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20.5703125" bestFit="1" customWidth="1"/>
    <col min="12" max="12" width="14" customWidth="1"/>
    <col min="13" max="23" width="8.85546875" style="80"/>
  </cols>
  <sheetData>
    <row r="1" spans="1:20" ht="15.6">
      <c r="A1" s="123" t="str" cm="1">
        <f t="array" ref="A1">portfolio</f>
        <v>REC Solar</v>
      </c>
      <c r="B1" s="123"/>
      <c r="C1" s="123"/>
      <c r="D1" s="124" t="s">
        <v>18</v>
      </c>
      <c r="E1" s="124"/>
      <c r="F1" s="124"/>
      <c r="G1" s="122" t="s">
        <v>19</v>
      </c>
      <c r="H1" s="122"/>
      <c r="I1" s="122"/>
      <c r="J1" s="4"/>
      <c r="K1" s="4"/>
    </row>
    <row r="2" spans="1:20" ht="15.6">
      <c r="A2" s="125" t="s">
        <v>2</v>
      </c>
      <c r="B2" s="125"/>
      <c r="C2" s="5">
        <f>SUM(C4:C98)</f>
        <v>2233531.5379999997</v>
      </c>
      <c r="D2" s="5">
        <f>SUM(D4:D98)</f>
        <v>351433.54</v>
      </c>
      <c r="E2" s="5">
        <f>C2-D2</f>
        <v>1882097.9979999997</v>
      </c>
      <c r="F2" s="6">
        <f>IFERROR(E2/D2, 0)</f>
        <v>5.3554876919260463</v>
      </c>
      <c r="G2" s="5">
        <f>SUM(G4:G98)</f>
        <v>373875.89</v>
      </c>
      <c r="H2" s="7">
        <f>C2-G2</f>
        <v>1859655.6479999996</v>
      </c>
      <c r="I2" s="6">
        <f>IFERROR(H2/G2, 0)</f>
        <v>4.9739918987554921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20" ht="15.6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6" t="s">
        <v>9</v>
      </c>
      <c r="H3" s="24" t="s">
        <v>7</v>
      </c>
      <c r="I3" s="25" t="s">
        <v>8</v>
      </c>
      <c r="J3" s="11" t="s">
        <v>20</v>
      </c>
      <c r="K3" s="11" t="s">
        <v>21</v>
      </c>
      <c r="L3" s="11" t="s">
        <v>22</v>
      </c>
    </row>
    <row r="4" spans="1:20" ht="80.25" customHeight="1">
      <c r="A4" s="45" t="str" cm="1">
        <f t="array" ref="A4:A28">Sites[Site]</f>
        <v>AZ: Goodyear - Amazon GYR2</v>
      </c>
      <c r="B4" s="41" t="str" cm="1">
        <f t="array" ref="B4:B28">Sites[State]</f>
        <v>AZ</v>
      </c>
      <c r="C4" s="30">
        <v>301975.2</v>
      </c>
      <c r="D4" s="30">
        <v>302200.09000000003</v>
      </c>
      <c r="E4" s="30">
        <f>IF(AND(ISNUMBER(C4),ISNUMBER(D4)), C4-D4, "")</f>
        <v>-224.89000000001397</v>
      </c>
      <c r="F4" s="33">
        <f>IFERROR(E4/D4, "")</f>
        <v>-7.4417582072862376E-4</v>
      </c>
      <c r="G4" s="32">
        <v>298527.2</v>
      </c>
      <c r="H4" s="32">
        <f>IF(AND(ISNUMBER(C4),ISNUMBER(G4)), C4-G4, "")</f>
        <v>3448</v>
      </c>
      <c r="I4" s="33">
        <f>IFERROR(H4/G4, "")</f>
        <v>1.1550036311599076E-2</v>
      </c>
      <c r="J4" s="59"/>
      <c r="K4" s="73"/>
      <c r="L4" s="50"/>
    </row>
    <row r="5" spans="1:20" ht="28.9">
      <c r="A5" s="46" t="str">
        <v>AZ: Tucson - Amazon - TUS2</v>
      </c>
      <c r="B5" s="43" t="str">
        <v>AZ</v>
      </c>
      <c r="C5" s="37">
        <v>300385</v>
      </c>
      <c r="D5" s="37" t="s">
        <v>23</v>
      </c>
      <c r="E5" s="37" t="str">
        <f t="shared" ref="E5:E17" si="0">IF(AND(ISNUMBER(C5),ISNUMBER(D5)), C5-D5, "")</f>
        <v/>
      </c>
      <c r="F5" s="38" t="str">
        <f t="shared" ref="F5:F24" si="1">IFERROR(E5/D5, "")</f>
        <v/>
      </c>
      <c r="G5" s="107" t="s">
        <v>23</v>
      </c>
      <c r="H5" s="39" t="str">
        <f t="shared" ref="H5:H6" si="2">IF(AND(ISNUMBER(C5),ISNUMBER(G5)), C5-G5, "")</f>
        <v/>
      </c>
      <c r="I5" s="38" t="str">
        <f t="shared" ref="I5:I6" si="3">IFERROR(H5/G5, "")</f>
        <v/>
      </c>
      <c r="J5" s="62" t="s">
        <v>24</v>
      </c>
      <c r="K5" s="83" t="s">
        <v>25</v>
      </c>
      <c r="L5" s="62" t="s">
        <v>26</v>
      </c>
      <c r="M5" s="81" t="s">
        <v>27</v>
      </c>
    </row>
    <row r="6" spans="1:20" ht="36" customHeight="1">
      <c r="A6" s="47" t="str">
        <v>CO: Denver - TruStile Doors</v>
      </c>
      <c r="B6" s="41" t="str">
        <v>CO</v>
      </c>
      <c r="C6" s="30">
        <v>91741</v>
      </c>
      <c r="D6" s="30" t="s">
        <v>23</v>
      </c>
      <c r="E6" s="30" t="str">
        <f t="shared" si="0"/>
        <v/>
      </c>
      <c r="F6" s="33" t="str">
        <f t="shared" si="1"/>
        <v/>
      </c>
      <c r="G6" s="108" t="s">
        <v>23</v>
      </c>
      <c r="H6" s="32" t="str">
        <f t="shared" si="2"/>
        <v/>
      </c>
      <c r="I6" s="33" t="str">
        <f t="shared" si="3"/>
        <v/>
      </c>
      <c r="J6" s="59"/>
      <c r="K6" s="73"/>
      <c r="L6" s="50"/>
    </row>
    <row r="7" spans="1:20" ht="62.45">
      <c r="A7" s="46" t="str">
        <v>CO: Thornton - Amazon - DEN3</v>
      </c>
      <c r="B7" s="43" t="str">
        <v>CO</v>
      </c>
      <c r="C7" s="37">
        <v>388827</v>
      </c>
      <c r="D7" s="37" t="s">
        <v>23</v>
      </c>
      <c r="E7" s="37" t="str">
        <f t="shared" si="0"/>
        <v/>
      </c>
      <c r="F7" s="38" t="str">
        <f t="shared" si="1"/>
        <v/>
      </c>
      <c r="G7" s="107" t="s">
        <v>23</v>
      </c>
      <c r="H7" s="39" t="str">
        <f t="shared" ref="H7:H15" si="4">IF(AND(ISNUMBER(C7),ISNUMBER(G7)), C7-G7, "")</f>
        <v/>
      </c>
      <c r="I7" s="38" t="str">
        <f t="shared" ref="I7:I24" si="5">IFERROR(H7/G7, "")</f>
        <v/>
      </c>
      <c r="J7" s="51" t="s">
        <v>28</v>
      </c>
      <c r="K7" s="74" t="s">
        <v>29</v>
      </c>
      <c r="L7" s="52" t="s">
        <v>30</v>
      </c>
      <c r="M7" s="81" t="s">
        <v>31</v>
      </c>
      <c r="N7" s="81" t="s">
        <v>32</v>
      </c>
      <c r="O7" s="81" t="s">
        <v>33</v>
      </c>
    </row>
    <row r="8" spans="1:20" ht="57.6">
      <c r="A8" s="47" t="str">
        <v>CO: Greenwood Village - REC H5 Data Center</v>
      </c>
      <c r="B8" s="41" t="str">
        <v>CO</v>
      </c>
      <c r="C8" s="30">
        <v>30729</v>
      </c>
      <c r="D8" s="30" t="s">
        <v>23</v>
      </c>
      <c r="E8" s="30" t="str">
        <f t="shared" si="0"/>
        <v/>
      </c>
      <c r="F8" s="33" t="str">
        <f t="shared" si="1"/>
        <v/>
      </c>
      <c r="G8" s="108" t="s">
        <v>23</v>
      </c>
      <c r="H8" s="32" t="str">
        <f t="shared" si="4"/>
        <v/>
      </c>
      <c r="I8" s="33" t="str">
        <f t="shared" si="5"/>
        <v/>
      </c>
      <c r="J8" s="59" t="s">
        <v>34</v>
      </c>
      <c r="K8" s="73" t="s">
        <v>35</v>
      </c>
      <c r="L8" s="50" t="s">
        <v>36</v>
      </c>
      <c r="M8" s="81" t="s">
        <v>37</v>
      </c>
      <c r="N8" s="81" t="s">
        <v>38</v>
      </c>
      <c r="O8" s="81" t="s">
        <v>37</v>
      </c>
    </row>
    <row r="9" spans="1:20" ht="42" customHeight="1">
      <c r="A9" s="46" t="str">
        <v>HI: Ewa Beach - Salvation Army Kroc Center</v>
      </c>
      <c r="B9" s="43" t="str">
        <v>HI</v>
      </c>
      <c r="C9" s="37">
        <v>3029</v>
      </c>
      <c r="D9" s="37" t="s">
        <v>23</v>
      </c>
      <c r="E9" s="37" t="str">
        <f t="shared" si="0"/>
        <v/>
      </c>
      <c r="F9" s="38" t="str">
        <f t="shared" si="1"/>
        <v/>
      </c>
      <c r="G9" s="107" t="s">
        <v>23</v>
      </c>
      <c r="H9" s="39" t="str">
        <f t="shared" si="4"/>
        <v/>
      </c>
      <c r="I9" s="38" t="str">
        <f t="shared" si="5"/>
        <v/>
      </c>
      <c r="J9" s="60" t="s">
        <v>39</v>
      </c>
      <c r="K9" s="74" t="s">
        <v>40</v>
      </c>
      <c r="L9" s="70" t="s">
        <v>41</v>
      </c>
      <c r="M9" s="81" t="s">
        <v>42</v>
      </c>
      <c r="N9" s="81" t="s">
        <v>43</v>
      </c>
    </row>
    <row r="10" spans="1:20" ht="28.9">
      <c r="A10" s="47" t="str">
        <v>HI: Honolulu - Hawaii Foodbank</v>
      </c>
      <c r="B10" s="41" t="str">
        <v>HI</v>
      </c>
      <c r="C10" s="30">
        <v>20685.95</v>
      </c>
      <c r="D10" s="30">
        <v>28454.35</v>
      </c>
      <c r="E10" s="30">
        <f t="shared" si="0"/>
        <v>-7768.3999999999978</v>
      </c>
      <c r="F10" s="33">
        <f t="shared" si="1"/>
        <v>-0.27301273794692194</v>
      </c>
      <c r="G10" s="32">
        <v>29676.639999999999</v>
      </c>
      <c r="H10" s="32">
        <f t="shared" si="4"/>
        <v>-8990.6899999999987</v>
      </c>
      <c r="I10" s="33">
        <f t="shared" si="5"/>
        <v>-0.30295511890833998</v>
      </c>
      <c r="J10" s="50" t="s">
        <v>44</v>
      </c>
      <c r="K10" s="73" t="s">
        <v>45</v>
      </c>
      <c r="L10" s="50" t="s">
        <v>41</v>
      </c>
    </row>
    <row r="11" spans="1:20" ht="15.6">
      <c r="A11" s="46" t="str">
        <v>HI: Kailua-Kona - Home Depot #1704</v>
      </c>
      <c r="B11" s="43" t="str">
        <v>HI</v>
      </c>
      <c r="C11" s="37">
        <v>61869</v>
      </c>
      <c r="D11" s="37" t="s">
        <v>23</v>
      </c>
      <c r="E11" s="37" t="str">
        <f t="shared" si="0"/>
        <v/>
      </c>
      <c r="F11" s="38" t="str">
        <f t="shared" si="1"/>
        <v/>
      </c>
      <c r="G11" s="107" t="s">
        <v>23</v>
      </c>
      <c r="H11" s="39" t="str">
        <f t="shared" si="4"/>
        <v/>
      </c>
      <c r="I11" s="38" t="str">
        <f t="shared" si="5"/>
        <v/>
      </c>
      <c r="J11" s="72"/>
      <c r="K11" s="75"/>
      <c r="L11" s="69"/>
    </row>
    <row r="12" spans="1:20" ht="28.9">
      <c r="A12" s="47" t="str">
        <v>HI: Kapolei - Home Depot #1706</v>
      </c>
      <c r="B12" s="41" t="str">
        <v>HI</v>
      </c>
      <c r="C12" s="30">
        <v>46759</v>
      </c>
      <c r="D12" s="30" t="s">
        <v>23</v>
      </c>
      <c r="E12" s="30" t="str">
        <f t="shared" si="0"/>
        <v/>
      </c>
      <c r="F12" s="33" t="str">
        <f t="shared" si="1"/>
        <v/>
      </c>
      <c r="G12" s="108" t="s">
        <v>23</v>
      </c>
      <c r="H12" s="32" t="str">
        <f t="shared" si="4"/>
        <v/>
      </c>
      <c r="I12" s="33" t="str">
        <f t="shared" si="5"/>
        <v/>
      </c>
      <c r="J12" s="59" t="s">
        <v>46</v>
      </c>
      <c r="K12" s="73" t="s">
        <v>47</v>
      </c>
      <c r="L12" s="59" t="s">
        <v>48</v>
      </c>
      <c r="M12" s="81" t="s">
        <v>49</v>
      </c>
    </row>
    <row r="13" spans="1:20" ht="46.9">
      <c r="A13" s="46" t="str">
        <v>HI: Laie - Polynesian Cultural Center</v>
      </c>
      <c r="B13" s="43" t="str">
        <v>HI</v>
      </c>
      <c r="C13" s="37">
        <v>9</v>
      </c>
      <c r="D13" s="37" t="s">
        <v>23</v>
      </c>
      <c r="E13" s="37" t="str">
        <f t="shared" si="0"/>
        <v/>
      </c>
      <c r="F13" s="38" t="str">
        <f t="shared" si="1"/>
        <v/>
      </c>
      <c r="G13" s="107" t="s">
        <v>23</v>
      </c>
      <c r="H13" s="39" t="str">
        <f t="shared" si="4"/>
        <v/>
      </c>
      <c r="I13" s="38" t="str">
        <f t="shared" si="5"/>
        <v/>
      </c>
      <c r="J13" s="60" t="s">
        <v>50</v>
      </c>
      <c r="K13" s="94" t="s">
        <v>51</v>
      </c>
      <c r="L13" s="52" t="s">
        <v>52</v>
      </c>
      <c r="M13" s="81" t="s">
        <v>53</v>
      </c>
      <c r="N13" s="81" t="s">
        <v>53</v>
      </c>
    </row>
    <row r="14" spans="1:20" ht="138" customHeight="1">
      <c r="A14" s="47" t="str">
        <v>HI: Laie- BYU Hawaii (PW)</v>
      </c>
      <c r="B14" s="41" t="str">
        <v>HI</v>
      </c>
      <c r="C14" s="30">
        <v>258088</v>
      </c>
      <c r="D14" s="30" t="s">
        <v>23</v>
      </c>
      <c r="E14" s="30" t="str">
        <f t="shared" si="0"/>
        <v/>
      </c>
      <c r="F14" s="33" t="str">
        <f t="shared" si="1"/>
        <v/>
      </c>
      <c r="G14" s="108" t="s">
        <v>23</v>
      </c>
      <c r="H14" s="32" t="str">
        <f t="shared" si="4"/>
        <v/>
      </c>
      <c r="I14" s="33" t="str">
        <f t="shared" si="5"/>
        <v/>
      </c>
      <c r="J14" s="59" t="s">
        <v>54</v>
      </c>
      <c r="K14" s="73" t="s">
        <v>55</v>
      </c>
      <c r="L14" s="59" t="s">
        <v>56</v>
      </c>
      <c r="M14" s="81" t="s">
        <v>57</v>
      </c>
      <c r="N14" s="81" t="s">
        <v>58</v>
      </c>
      <c r="O14" s="81" t="s">
        <v>57</v>
      </c>
      <c r="P14" s="81" t="s">
        <v>59</v>
      </c>
      <c r="Q14" s="81" t="s">
        <v>57</v>
      </c>
      <c r="R14" s="81" t="s">
        <v>60</v>
      </c>
      <c r="S14" s="81" t="s">
        <v>61</v>
      </c>
      <c r="T14" s="81" t="s">
        <v>62</v>
      </c>
    </row>
    <row r="15" spans="1:20" ht="28.9">
      <c r="A15" s="46" t="str">
        <v>HI: Waianae - Makaha Surfside</v>
      </c>
      <c r="B15" s="43" t="str">
        <v>HI</v>
      </c>
      <c r="C15" s="37">
        <v>21962.7</v>
      </c>
      <c r="D15" s="37">
        <v>20779.099999999999</v>
      </c>
      <c r="E15" s="37">
        <f t="shared" si="0"/>
        <v>1183.6000000000022</v>
      </c>
      <c r="F15" s="38">
        <f t="shared" si="1"/>
        <v>5.6961081086283921E-2</v>
      </c>
      <c r="G15" s="39">
        <v>22747.200000000001</v>
      </c>
      <c r="H15" s="39">
        <f t="shared" si="4"/>
        <v>-784.5</v>
      </c>
      <c r="I15" s="38">
        <f t="shared" si="5"/>
        <v>-3.4487761131040302E-2</v>
      </c>
      <c r="J15" s="72" t="s">
        <v>63</v>
      </c>
      <c r="K15" s="75" t="s">
        <v>64</v>
      </c>
      <c r="L15" s="70" t="s">
        <v>65</v>
      </c>
      <c r="M15" s="81" t="s">
        <v>66</v>
      </c>
    </row>
    <row r="16" spans="1:20" ht="15.6">
      <c r="A16" s="47" t="str">
        <v>HI: Kahului - Home Depot #1703</v>
      </c>
      <c r="B16" s="41" t="str">
        <v>HI</v>
      </c>
      <c r="C16" s="30">
        <v>59924</v>
      </c>
      <c r="D16" s="30" t="s">
        <v>23</v>
      </c>
      <c r="E16" s="30" t="str">
        <f t="shared" ref="E16:E24" si="6">IF(AND(ISNUMBER(C16),ISNUMBER(D16)), C16-D16, "")</f>
        <v/>
      </c>
      <c r="F16" s="33" t="str">
        <f t="shared" si="1"/>
        <v/>
      </c>
      <c r="G16" s="108" t="s">
        <v>23</v>
      </c>
      <c r="H16" s="32" t="str">
        <f t="shared" ref="H16:H17" si="7">IF(AND(ISNUMBER(C16),ISNUMBER(G16)), C16-G16, "")</f>
        <v/>
      </c>
      <c r="I16" s="33" t="str">
        <f t="shared" si="5"/>
        <v/>
      </c>
      <c r="J16" s="59"/>
      <c r="K16" s="73"/>
      <c r="L16" s="50"/>
    </row>
    <row r="17" spans="1:13" ht="57.6">
      <c r="A17" s="46" t="str">
        <v>MA: Andover - Boston One Campus</v>
      </c>
      <c r="B17" s="42" t="str">
        <v>MA</v>
      </c>
      <c r="C17" s="37">
        <v>6801.6880000000001</v>
      </c>
      <c r="D17" s="37">
        <v>0</v>
      </c>
      <c r="E17" s="37">
        <f t="shared" si="0"/>
        <v>6801.6880000000001</v>
      </c>
      <c r="F17" s="38" t="str">
        <f t="shared" si="1"/>
        <v/>
      </c>
      <c r="G17" s="39">
        <v>22924.85</v>
      </c>
      <c r="H17" s="39">
        <f t="shared" si="7"/>
        <v>-16123.161999999998</v>
      </c>
      <c r="I17" s="38">
        <f t="shared" si="5"/>
        <v>-0.70330501617240682</v>
      </c>
      <c r="J17" s="51" t="s">
        <v>67</v>
      </c>
      <c r="K17" s="83" t="s">
        <v>68</v>
      </c>
      <c r="L17" s="70" t="s">
        <v>41</v>
      </c>
    </row>
    <row r="18" spans="1:13" ht="15.6">
      <c r="A18" s="47" t="str">
        <v>MA: Foxboro - Schneider Cocasset</v>
      </c>
      <c r="B18" s="44" t="str">
        <v>MA</v>
      </c>
      <c r="C18" s="30">
        <v>5651</v>
      </c>
      <c r="D18" s="30" t="s">
        <v>23</v>
      </c>
      <c r="E18" s="30" t="str">
        <f t="shared" si="6"/>
        <v/>
      </c>
      <c r="F18" s="33" t="str">
        <f t="shared" si="1"/>
        <v/>
      </c>
      <c r="G18" s="108" t="s">
        <v>23</v>
      </c>
      <c r="H18" s="32" t="str">
        <f t="shared" ref="H18:H24" si="8">IF(AND(ISNUMBER(C18),ISNUMBER(G18)), C18-G18, "")</f>
        <v/>
      </c>
      <c r="I18" s="33" t="str">
        <f t="shared" si="5"/>
        <v/>
      </c>
      <c r="J18" s="50"/>
      <c r="K18" s="50"/>
      <c r="L18" s="50"/>
    </row>
    <row r="19" spans="1:13" ht="57.6">
      <c r="A19" s="46" t="str">
        <v>MD: Gaithersburg - Montgomery Cnty - PSHQ</v>
      </c>
      <c r="B19" s="42" t="str">
        <v>MD</v>
      </c>
      <c r="C19" s="37">
        <v>84770</v>
      </c>
      <c r="D19" s="37" t="s">
        <v>23</v>
      </c>
      <c r="E19" s="37" t="str">
        <f t="shared" si="6"/>
        <v/>
      </c>
      <c r="F19" s="38" t="str">
        <f t="shared" si="1"/>
        <v/>
      </c>
      <c r="G19" s="107" t="s">
        <v>23</v>
      </c>
      <c r="H19" s="39" t="str">
        <f t="shared" si="8"/>
        <v/>
      </c>
      <c r="I19" s="38" t="str">
        <f t="shared" si="5"/>
        <v/>
      </c>
      <c r="J19" s="51" t="s">
        <v>69</v>
      </c>
      <c r="K19" s="94" t="s">
        <v>70</v>
      </c>
      <c r="L19" s="51" t="s">
        <v>71</v>
      </c>
      <c r="M19" s="81" t="s">
        <v>72</v>
      </c>
    </row>
    <row r="20" spans="1:13" ht="15.6">
      <c r="A20" s="47" t="str">
        <v>MD: Sparrows Point - Amazon DCA1</v>
      </c>
      <c r="B20" s="44" t="str">
        <v>MD</v>
      </c>
      <c r="C20" s="30">
        <v>91260</v>
      </c>
      <c r="D20" s="30" t="s">
        <v>23</v>
      </c>
      <c r="E20" s="30" t="str">
        <f t="shared" si="6"/>
        <v/>
      </c>
      <c r="F20" s="33" t="str">
        <f t="shared" si="1"/>
        <v/>
      </c>
      <c r="G20" s="108" t="s">
        <v>23</v>
      </c>
      <c r="H20" s="32" t="str">
        <f t="shared" si="8"/>
        <v/>
      </c>
      <c r="I20" s="33" t="str">
        <f t="shared" si="5"/>
        <v/>
      </c>
      <c r="J20" s="50" t="s">
        <v>73</v>
      </c>
      <c r="K20" s="82" t="s">
        <v>74</v>
      </c>
      <c r="L20" s="50" t="s">
        <v>75</v>
      </c>
    </row>
    <row r="21" spans="1:13" ht="15.6">
      <c r="A21" s="46" t="str">
        <v>NJ: Piscataway - LVMH DC</v>
      </c>
      <c r="B21" s="42" t="str">
        <v>NJ</v>
      </c>
      <c r="C21" s="37">
        <v>24539</v>
      </c>
      <c r="D21" s="37" t="s">
        <v>23</v>
      </c>
      <c r="E21" s="37" t="str">
        <f t="shared" si="6"/>
        <v/>
      </c>
      <c r="F21" s="38" t="str">
        <f t="shared" si="1"/>
        <v/>
      </c>
      <c r="G21" s="107" t="s">
        <v>23</v>
      </c>
      <c r="H21" s="39" t="str">
        <f t="shared" si="8"/>
        <v/>
      </c>
      <c r="I21" s="38" t="str">
        <f t="shared" si="5"/>
        <v/>
      </c>
      <c r="J21" s="51"/>
      <c r="K21" s="51"/>
      <c r="L21" s="52"/>
    </row>
    <row r="22" spans="1:13" ht="15.6">
      <c r="A22" s="47" t="str">
        <v>NM: Edgewood - Walmart #4201</v>
      </c>
      <c r="B22" s="44" t="str">
        <v>NM</v>
      </c>
      <c r="C22" s="30">
        <v>45560</v>
      </c>
      <c r="D22" s="30" t="s">
        <v>23</v>
      </c>
      <c r="E22" s="30" t="str">
        <f t="shared" si="6"/>
        <v/>
      </c>
      <c r="F22" s="33" t="str">
        <f t="shared" si="1"/>
        <v/>
      </c>
      <c r="G22" s="108" t="s">
        <v>23</v>
      </c>
      <c r="H22" s="32" t="str">
        <f t="shared" si="8"/>
        <v/>
      </c>
      <c r="I22" s="33" t="str">
        <f t="shared" si="5"/>
        <v/>
      </c>
      <c r="J22" s="50" t="s">
        <v>76</v>
      </c>
      <c r="K22" s="50"/>
      <c r="L22" s="50"/>
    </row>
    <row r="23" spans="1:13" ht="15.6">
      <c r="A23" s="46" t="str">
        <v>NM: Gallup - Walmart #906</v>
      </c>
      <c r="B23" s="42" t="str">
        <v>NM</v>
      </c>
      <c r="C23" s="37">
        <v>48096</v>
      </c>
      <c r="D23" s="37" t="s">
        <v>23</v>
      </c>
      <c r="E23" s="37" t="str">
        <f t="shared" si="6"/>
        <v/>
      </c>
      <c r="F23" s="38" t="str">
        <f t="shared" si="1"/>
        <v/>
      </c>
      <c r="G23" s="107" t="s">
        <v>23</v>
      </c>
      <c r="H23" s="39" t="str">
        <f t="shared" si="8"/>
        <v/>
      </c>
      <c r="I23" s="38" t="str">
        <f t="shared" si="5"/>
        <v/>
      </c>
      <c r="J23" s="51"/>
      <c r="K23" s="51"/>
      <c r="L23" s="68"/>
    </row>
    <row r="24" spans="1:13" ht="28.9">
      <c r="A24" s="47" t="str">
        <v>NV: Las Vegas - Amazon - LAS5</v>
      </c>
      <c r="B24" s="44" t="str">
        <v>NV</v>
      </c>
      <c r="C24" s="30">
        <v>46426</v>
      </c>
      <c r="D24" s="30" t="s">
        <v>23</v>
      </c>
      <c r="E24" s="30" t="str">
        <f t="shared" si="6"/>
        <v/>
      </c>
      <c r="F24" s="33" t="str">
        <f t="shared" si="1"/>
        <v/>
      </c>
      <c r="G24" s="108" t="s">
        <v>23</v>
      </c>
      <c r="H24" s="32" t="str">
        <f t="shared" si="8"/>
        <v/>
      </c>
      <c r="I24" s="33" t="str">
        <f t="shared" si="5"/>
        <v/>
      </c>
      <c r="J24" s="50" t="s">
        <v>77</v>
      </c>
      <c r="K24" s="50"/>
      <c r="L24" s="50"/>
    </row>
    <row r="25" spans="1:13" ht="28.9">
      <c r="A25" s="46" t="str">
        <v>RI: Narragansett - Anchor Storage</v>
      </c>
      <c r="B25" s="42" t="str">
        <v>RI</v>
      </c>
      <c r="C25" s="37">
        <v>5683</v>
      </c>
      <c r="D25" s="37" t="s">
        <v>23</v>
      </c>
      <c r="E25" s="37" t="str">
        <f t="shared" ref="E25:E29" si="9">IF(AND(ISNUMBER(C25),ISNUMBER(D25)), C25-D25, "")</f>
        <v/>
      </c>
      <c r="F25" s="38" t="str">
        <f t="shared" ref="F25:F29" si="10">IFERROR(E25/D25, "")</f>
        <v/>
      </c>
      <c r="G25" s="107" t="s">
        <v>23</v>
      </c>
      <c r="H25" s="39" t="str">
        <f t="shared" ref="H25:H29" si="11">IF(AND(ISNUMBER(C25),ISNUMBER(G25)), C25-G25, "")</f>
        <v/>
      </c>
      <c r="I25" s="38" t="str">
        <f t="shared" ref="I25:I29" si="12">IFERROR(H25/G25, "")</f>
        <v/>
      </c>
      <c r="J25" s="51" t="s">
        <v>78</v>
      </c>
      <c r="K25" s="94" t="s">
        <v>79</v>
      </c>
      <c r="L25" s="68" t="s">
        <v>80</v>
      </c>
    </row>
    <row r="26" spans="1:13" ht="15.6">
      <c r="A26" s="47" t="str">
        <v>RI: North Kingstown - Walmart #2261</v>
      </c>
      <c r="B26" s="44" t="str">
        <v>RI</v>
      </c>
      <c r="C26" s="30">
        <v>13530</v>
      </c>
      <c r="D26" s="30" t="s">
        <v>23</v>
      </c>
      <c r="E26" s="30" t="str">
        <f t="shared" si="9"/>
        <v/>
      </c>
      <c r="F26" s="33" t="str">
        <f t="shared" si="10"/>
        <v/>
      </c>
      <c r="G26" s="108" t="s">
        <v>23</v>
      </c>
      <c r="H26" s="32" t="str">
        <f t="shared" si="11"/>
        <v/>
      </c>
      <c r="I26" s="33" t="str">
        <f t="shared" si="12"/>
        <v/>
      </c>
      <c r="J26" s="50" t="s">
        <v>81</v>
      </c>
      <c r="K26" s="82" t="s">
        <v>82</v>
      </c>
      <c r="L26" s="50" t="s">
        <v>83</v>
      </c>
    </row>
    <row r="27" spans="1:13" ht="15.6">
      <c r="A27" s="46" t="str">
        <v>RI: Warwick - Walmart #2373</v>
      </c>
      <c r="B27" s="42" t="str">
        <v>RI</v>
      </c>
      <c r="C27" s="37">
        <v>12429</v>
      </c>
      <c r="D27" s="37" t="s">
        <v>23</v>
      </c>
      <c r="E27" s="37" t="str">
        <f t="shared" si="9"/>
        <v/>
      </c>
      <c r="F27" s="38" t="str">
        <f t="shared" si="10"/>
        <v/>
      </c>
      <c r="G27" s="107" t="s">
        <v>23</v>
      </c>
      <c r="H27" s="39" t="str">
        <f t="shared" si="11"/>
        <v/>
      </c>
      <c r="I27" s="38" t="str">
        <f t="shared" si="12"/>
        <v/>
      </c>
      <c r="J27" s="51"/>
      <c r="K27" s="51"/>
      <c r="L27" s="68"/>
    </row>
    <row r="28" spans="1:13" ht="57.6">
      <c r="A28" s="115" t="str">
        <v>TX: Seguin - Niagara Bottling LLC</v>
      </c>
      <c r="B28" s="116" t="str">
        <v>TX</v>
      </c>
      <c r="C28" s="117">
        <v>262802</v>
      </c>
      <c r="D28" s="30" t="s">
        <v>23</v>
      </c>
      <c r="E28" s="117" t="str">
        <f t="shared" si="9"/>
        <v/>
      </c>
      <c r="F28" s="118" t="str">
        <f t="shared" si="10"/>
        <v/>
      </c>
      <c r="G28" s="108" t="s">
        <v>23</v>
      </c>
      <c r="H28" s="119" t="str">
        <f t="shared" si="11"/>
        <v/>
      </c>
      <c r="I28" s="118" t="str">
        <f t="shared" si="12"/>
        <v/>
      </c>
      <c r="J28" s="120" t="s">
        <v>84</v>
      </c>
      <c r="K28" s="121" t="s">
        <v>85</v>
      </c>
      <c r="L28" s="120" t="s">
        <v>86</v>
      </c>
      <c r="M28" s="81" t="s">
        <v>87</v>
      </c>
    </row>
    <row r="29" spans="1:13" ht="15.6">
      <c r="A29" s="109"/>
      <c r="B29" s="110"/>
      <c r="C29" s="111"/>
      <c r="D29" s="111"/>
      <c r="E29" s="111" t="str">
        <f t="shared" si="9"/>
        <v/>
      </c>
      <c r="F29" s="112" t="str">
        <f t="shared" si="10"/>
        <v/>
      </c>
      <c r="G29" s="113"/>
      <c r="H29" s="113" t="str">
        <f t="shared" si="11"/>
        <v/>
      </c>
      <c r="I29" s="112" t="str">
        <f t="shared" si="12"/>
        <v/>
      </c>
      <c r="J29" s="114"/>
      <c r="K29" s="114"/>
    </row>
    <row r="30" spans="1:13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3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5" r:id="rId1" display="https://us3.assetplanner.com/service_request?ID=113193" xr:uid="{5AB1B876-6C64-4454-B95C-15E06092A6A4}"/>
    <hyperlink ref="M5" r:id="rId2" display="https://us3.assetplanner.com/service_request?ID=115296" xr:uid="{FE7A5761-B15B-42BE-AD83-BF07E6ED4D30}"/>
    <hyperlink ref="K7" r:id="rId3" display="https://us3.assetplanner.com/service_request?ID=113197" xr:uid="{31413314-8F87-48C0-A01E-FA108203BA61}"/>
    <hyperlink ref="M7" r:id="rId4" display="https://us3.assetplanner.com/service_request?ID=113670" xr:uid="{B687F73F-E78D-47A0-B5DD-BD18DBABB178}"/>
    <hyperlink ref="N7" r:id="rId5" display="https://us3.assetplanner.com/service_request?ID=114825" xr:uid="{69F538C1-EAF1-4335-95F3-86514B83FFC8}"/>
    <hyperlink ref="O7" r:id="rId6" display="https://us3.assetplanner.com/service_request?ID=114884" xr:uid="{A13E7230-3B04-44F5-B0A1-D49D7FB93CAB}"/>
    <hyperlink ref="K8" r:id="rId7" display="https://us3.assetplanner.com/service_request?ID=113195" xr:uid="{2CDB0D83-9D21-40CA-A5A7-4284A1327841}"/>
    <hyperlink ref="M8" r:id="rId8" display="https://us3.assetplanner.com/service_request?ID=114293" xr:uid="{72EFE436-5FD1-473E-A446-F678E81607EB}"/>
    <hyperlink ref="N8" r:id="rId9" display="https://us3.assetplanner.com/service_request?ID=113195" xr:uid="{023C8868-AFAB-4F9D-B3B7-A3E0AFB06937}"/>
    <hyperlink ref="O8" r:id="rId10" display="https://us3.assetplanner.com/service_request?ID=114293" xr:uid="{697896EE-FD15-479B-A045-8717E457ED7C}"/>
    <hyperlink ref="K9" r:id="rId11" display="https://us3.assetplanner.com/service_request?ID=113199" xr:uid="{B3CDC0DD-98C2-40C5-9BA8-C719AF7CD3FA}"/>
    <hyperlink ref="M9" r:id="rId12" display="https://us3.assetplanner.com/service_request?ID=112265" xr:uid="{598FEA53-CF86-4071-9C08-A53BCCAB53EA}"/>
    <hyperlink ref="N9" r:id="rId13" display="https://us3.assetplanner.com/service_request?ID=114997" xr:uid="{EA116AA6-BBB9-4EBA-9712-FE1A882DA7F6}"/>
    <hyperlink ref="K10" r:id="rId14" display="https://us3.assetplanner.com/service_request?ID=114688" xr:uid="{07F0B724-F245-46AC-AE5D-FC42E60A6284}"/>
    <hyperlink ref="K12" r:id="rId15" display="https://us3.assetplanner.com/service_request?ID=113208" xr:uid="{139F7101-57C7-4EBB-9F89-4E330AAF4895}"/>
    <hyperlink ref="M12" r:id="rId16" display="https://us3.assetplanner.com/service_request?ID=114814" xr:uid="{17EC4B29-61E5-4D63-9912-ADC21EF8E00A}"/>
    <hyperlink ref="K13" r:id="rId17" display="https://us3.assetplanner.com/service_request?ID=113606" xr:uid="{6765D81F-D817-462B-930A-66F8AA5F3427}"/>
    <hyperlink ref="M13" r:id="rId18" display="https://us3.assetplanner.com/service_request?ID=112267" xr:uid="{246E8CC7-0EC5-4ADE-AD18-2E674F49668B}"/>
    <hyperlink ref="N13" r:id="rId19" display="https://us3.assetplanner.com/service_request?ID=112267" xr:uid="{23B73B33-A5AD-4F75-A638-A0049A728ACA}"/>
    <hyperlink ref="K14" r:id="rId20" display="https://us3.assetplanner.com/service_request?ID=112273" xr:uid="{8CD85284-B878-4F84-9CF4-FF200FC78C44}"/>
    <hyperlink ref="M14" r:id="rId21" display="https://us3.assetplanner.com/service_request?ID=114897" xr:uid="{910F4DB6-5DF8-4D5C-A42D-F288CD2A4B4C}"/>
    <hyperlink ref="N14" r:id="rId22" display="https://us3.assetplanner.com/service_request?ID=113204" xr:uid="{41BC8B0B-1DCC-4DE6-AA5C-F11B1445B6FA}"/>
    <hyperlink ref="O14" r:id="rId23" display="https://us3.assetplanner.com/service_request?ID=114897" xr:uid="{66A89C53-9F6F-4C7A-AE06-8484FFC3CF6B}"/>
    <hyperlink ref="P14" r:id="rId24" display="https://us3.assetplanner.com/service_request?ID=113759" xr:uid="{5D388010-A538-4B35-A80A-76B5DD6CAE45}"/>
    <hyperlink ref="Q14" r:id="rId25" display="https://us3.assetplanner.com/service_request?ID=114897" xr:uid="{ECF5B359-2659-481B-83E0-09B344B42823}"/>
    <hyperlink ref="R14" r:id="rId26" display="https://us3.assetplanner.com/service_request?ID=114049" xr:uid="{A8B9599E-BE91-4F14-A7BE-E7E406B53327}"/>
    <hyperlink ref="S14" r:id="rId27" display="https://us3.assetplanner.com/service_request?ID=114225" xr:uid="{A85308BB-AA99-43FC-A1D5-D1DC594A24DF}"/>
    <hyperlink ref="T14" r:id="rId28" display="https://us3.assetplanner.com/service_request?ID=112273" xr:uid="{1673A634-9603-44D7-BE4C-A9D1EBEE570D}"/>
    <hyperlink ref="K15" r:id="rId29" display="https://us3.assetplanner.com/service_request?ID=112226" xr:uid="{E73ABC15-3375-4113-9A3D-FD02C60BACDD}"/>
    <hyperlink ref="M15" r:id="rId30" display="https://us3.assetplanner.com/service_request?ID=115382" xr:uid="{E778CA3D-27C8-4C84-B0CE-1E174A17ADF8}"/>
    <hyperlink ref="K17" r:id="rId31" display="https://us3.assetplanner.com/service_request?ID=114693" xr:uid="{1E126E61-2A8C-4FCC-ADBD-DE1280C89A27}"/>
    <hyperlink ref="K19" r:id="rId32" display="https://us3.assetplanner.com/service_request?ID=113200" xr:uid="{BEF48876-779D-4F14-9792-E5CB9811882E}"/>
    <hyperlink ref="M19" r:id="rId33" display="https://us3.assetplanner.com/service_request?ID=114012" xr:uid="{4790CB03-0D15-4CE8-B6F3-4A06C41E2DCF}"/>
    <hyperlink ref="K20" r:id="rId34" display="https://us3.assetplanner.com/service_request?ID=114032" xr:uid="{03337425-00EF-4C87-AF60-0C7FD903966E}"/>
    <hyperlink ref="K25" r:id="rId35" display="https://us3.assetplanner.com/service_request?ID=113373" xr:uid="{79A99269-9FCB-44AC-BB6D-629DE44EB3D7}"/>
    <hyperlink ref="K26" r:id="rId36" display="https://us3.assetplanner.com/service_request?ID=113352" xr:uid="{6F05C407-945A-4A99-A8CA-B878FF9D92D1}"/>
    <hyperlink ref="K28" r:id="rId37" display="https://us3.assetplanner.com/service_request?ID=112263" xr:uid="{36895AF4-E2F0-44D3-84AE-A8463454E5DA}"/>
    <hyperlink ref="M28" r:id="rId38" display="https://us3.assetplanner.com/service_request?ID=113988" xr:uid="{B4288F95-9EBB-41EC-A6CD-CF3E998FE641}"/>
  </hyperlinks>
  <pageMargins left="0.4" right="0.7" top="0.25" bottom="0.25" header="0.3" footer="0.3"/>
  <pageSetup fitToHeight="99" orientation="landscape" r:id="rId3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1"/>
  <sheetViews>
    <sheetView zoomScale="86" zoomScaleNormal="86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4.4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57" customWidth="1"/>
    <col min="11" max="11" width="20.5703125" style="57" bestFit="1" customWidth="1"/>
  </cols>
  <sheetData>
    <row r="1" spans="1:12" ht="19.5" customHeight="1">
      <c r="A1" s="123" t="str" cm="1">
        <f t="array" ref="A1">portfolio</f>
        <v>REC Solar</v>
      </c>
      <c r="B1" s="123"/>
      <c r="C1" s="123"/>
      <c r="D1" s="124" t="s">
        <v>88</v>
      </c>
      <c r="E1" s="124"/>
      <c r="F1" s="124"/>
      <c r="G1" s="122" t="s">
        <v>89</v>
      </c>
      <c r="H1" s="122"/>
      <c r="I1" s="122"/>
      <c r="J1" s="53"/>
      <c r="K1" s="53"/>
    </row>
    <row r="2" spans="1:12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5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3"/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71" t="s">
        <v>20</v>
      </c>
      <c r="K3" s="55" t="s">
        <v>21</v>
      </c>
    </row>
    <row r="4" spans="1:12" ht="15.6">
      <c r="A4" s="45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6"/>
      <c r="K4" s="73"/>
      <c r="L4" s="77"/>
    </row>
    <row r="5" spans="1:12" ht="15.6">
      <c r="A5" s="46" t="str">
        <v>AZ: Tucson - Amazon - TUS2</v>
      </c>
      <c r="B5" s="43" t="str">
        <v>AZ</v>
      </c>
      <c r="C5" s="36"/>
      <c r="D5" s="37"/>
      <c r="E5" s="37" t="str">
        <f t="shared" ref="E5:E17" si="0">IF(AND(ISNUMBER(C5),ISNUMBER(D5)), C5-D5, "")</f>
        <v/>
      </c>
      <c r="F5" s="38" t="str">
        <f>IFERROR(E5/D5, "")</f>
        <v/>
      </c>
      <c r="G5" s="39"/>
      <c r="H5" s="39" t="str">
        <f t="shared" ref="H5:H15" si="1">IF(AND(ISNUMBER(C5),ISNUMBER(G5)), C5-G5, "")</f>
        <v/>
      </c>
      <c r="I5" s="38" t="str">
        <f t="shared" ref="I5:I23" si="2">IFERROR(H5/G5, "")</f>
        <v/>
      </c>
      <c r="J5" s="58"/>
      <c r="K5" s="58"/>
    </row>
    <row r="6" spans="1:12" ht="15.6">
      <c r="A6" s="47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15" si="3">IFERROR(E6/D6, "")</f>
        <v/>
      </c>
      <c r="G6" s="32"/>
      <c r="H6" s="32" t="str">
        <f t="shared" si="1"/>
        <v/>
      </c>
      <c r="I6" s="33" t="str">
        <f t="shared" si="2"/>
        <v/>
      </c>
      <c r="J6" s="56"/>
      <c r="K6" s="73"/>
    </row>
    <row r="7" spans="1:12" ht="41.25" customHeight="1">
      <c r="A7" s="46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8"/>
      <c r="K7" s="75"/>
    </row>
    <row r="8" spans="1:12" ht="15.6">
      <c r="A8" s="47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6"/>
      <c r="K8" s="56"/>
    </row>
    <row r="9" spans="1:12" ht="15.6">
      <c r="A9" s="46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8"/>
      <c r="K9" s="75"/>
    </row>
    <row r="10" spans="1:12" ht="15.6">
      <c r="A10" s="47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6"/>
      <c r="K10" s="73"/>
    </row>
    <row r="11" spans="1:12" ht="15.6">
      <c r="A11" s="46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8"/>
      <c r="K11" s="75"/>
    </row>
    <row r="12" spans="1:12" ht="15.6">
      <c r="A12" s="47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6"/>
      <c r="K12" s="56"/>
    </row>
    <row r="13" spans="1:12" ht="15.6">
      <c r="A13" s="46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8"/>
      <c r="K13" s="58"/>
    </row>
    <row r="14" spans="1:12" ht="15.6">
      <c r="A14" s="47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6"/>
      <c r="K14" s="56"/>
    </row>
    <row r="15" spans="1:12" ht="15.6">
      <c r="A15" s="46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8"/>
      <c r="K15" s="75"/>
    </row>
    <row r="16" spans="1:12" ht="15.6">
      <c r="A16" s="47" t="str">
        <v>HI: Kahului - Home Depot #1703</v>
      </c>
      <c r="B16" s="41" t="str">
        <v>HI</v>
      </c>
      <c r="C16" s="29"/>
      <c r="D16" s="30"/>
      <c r="E16" s="30" t="str">
        <f t="shared" ref="E16:E24" si="4">IF(AND(ISNUMBER(C16),ISNUMBER(D16)), C16-D16, "")</f>
        <v/>
      </c>
      <c r="F16" s="31" t="str">
        <f t="shared" ref="F16:F24" si="5">IFERROR(E16/D16, "")</f>
        <v/>
      </c>
      <c r="G16" s="32"/>
      <c r="H16" s="32" t="str">
        <f t="shared" ref="H16:H24" si="6">IF(AND(ISNUMBER(C16),ISNUMBER(G16)), C16-G16, "")</f>
        <v/>
      </c>
      <c r="I16" s="33" t="str">
        <f t="shared" ref="I16:I24" si="7">IFERROR(H16/G16, "")</f>
        <v/>
      </c>
      <c r="J16" s="56"/>
      <c r="K16" s="56"/>
    </row>
    <row r="17" spans="1:12" ht="15.6">
      <c r="A17" s="46" t="str">
        <v>MA: Andover - Boston One Campus</v>
      </c>
      <c r="B17" s="43" t="str">
        <v>MA</v>
      </c>
      <c r="C17" s="36"/>
      <c r="D17" s="37"/>
      <c r="E17" s="37" t="str">
        <f t="shared" si="0"/>
        <v/>
      </c>
      <c r="F17" s="38" t="str">
        <f t="shared" si="5"/>
        <v/>
      </c>
      <c r="G17" s="39"/>
      <c r="H17" s="39" t="str">
        <f t="shared" si="6"/>
        <v/>
      </c>
      <c r="I17" s="38" t="str">
        <f t="shared" si="2"/>
        <v/>
      </c>
      <c r="J17" s="58"/>
      <c r="K17" s="75"/>
      <c r="L17" s="77"/>
    </row>
    <row r="18" spans="1:12" ht="98.1" customHeight="1">
      <c r="A18" s="45" t="str">
        <v>MA: Foxboro - Schneider Cocasset</v>
      </c>
      <c r="B18" s="41" t="str">
        <v>MA</v>
      </c>
      <c r="C18" s="29"/>
      <c r="D18" s="30"/>
      <c r="E18" s="30" t="str">
        <f t="shared" si="4"/>
        <v/>
      </c>
      <c r="F18" s="31" t="str">
        <f t="shared" si="5"/>
        <v/>
      </c>
      <c r="G18" s="32"/>
      <c r="H18" s="32" t="str">
        <f t="shared" si="6"/>
        <v/>
      </c>
      <c r="I18" s="33" t="str">
        <f t="shared" si="7"/>
        <v/>
      </c>
      <c r="J18" s="56"/>
      <c r="K18" s="73"/>
      <c r="L18" s="77"/>
    </row>
    <row r="19" spans="1:12" ht="15.6">
      <c r="A19" s="46" t="str">
        <v>MD: Gaithersburg - Montgomery Cnty - PSHQ</v>
      </c>
      <c r="B19" s="43" t="str">
        <v>MD</v>
      </c>
      <c r="C19" s="36"/>
      <c r="D19" s="37"/>
      <c r="E19" s="37" t="str">
        <f t="shared" si="4"/>
        <v/>
      </c>
      <c r="F19" s="38" t="str">
        <f t="shared" si="5"/>
        <v/>
      </c>
      <c r="G19" s="39"/>
      <c r="H19" s="39" t="str">
        <f t="shared" si="6"/>
        <v/>
      </c>
      <c r="I19" s="38" t="str">
        <f t="shared" si="2"/>
        <v/>
      </c>
      <c r="J19" s="58"/>
      <c r="K19" s="58"/>
    </row>
    <row r="20" spans="1:12" ht="15.6">
      <c r="A20" s="47" t="str">
        <v>MD: Sparrows Point - Amazon DCA1</v>
      </c>
      <c r="B20" s="41" t="str">
        <v>MD</v>
      </c>
      <c r="C20" s="29"/>
      <c r="D20" s="30"/>
      <c r="E20" s="30" t="str">
        <f t="shared" si="4"/>
        <v/>
      </c>
      <c r="F20" s="31" t="str">
        <f t="shared" si="5"/>
        <v/>
      </c>
      <c r="G20" s="32"/>
      <c r="H20" s="32" t="str">
        <f t="shared" si="6"/>
        <v/>
      </c>
      <c r="I20" s="33" t="str">
        <f t="shared" si="7"/>
        <v/>
      </c>
      <c r="J20" s="56"/>
      <c r="K20" s="56"/>
    </row>
    <row r="21" spans="1:12" ht="15.6">
      <c r="A21" s="46" t="str">
        <v>NJ: Piscataway - LVMH DC</v>
      </c>
      <c r="B21" s="43" t="str">
        <v>NJ</v>
      </c>
      <c r="C21" s="36"/>
      <c r="D21" s="37"/>
      <c r="E21" s="37" t="str">
        <f t="shared" si="4"/>
        <v/>
      </c>
      <c r="F21" s="38" t="str">
        <f t="shared" si="5"/>
        <v/>
      </c>
      <c r="G21" s="39"/>
      <c r="H21" s="39" t="str">
        <f t="shared" si="6"/>
        <v/>
      </c>
      <c r="I21" s="38" t="str">
        <f t="shared" si="2"/>
        <v/>
      </c>
      <c r="J21" s="58"/>
      <c r="K21" s="58"/>
    </row>
    <row r="22" spans="1:12" ht="15.6">
      <c r="A22" s="47" t="str">
        <v>NM: Edgewood - Walmart #4201</v>
      </c>
      <c r="B22" s="41" t="str">
        <v>NM</v>
      </c>
      <c r="C22" s="29"/>
      <c r="D22" s="30"/>
      <c r="E22" s="30" t="str">
        <f t="shared" si="4"/>
        <v/>
      </c>
      <c r="F22" s="31" t="str">
        <f t="shared" si="5"/>
        <v/>
      </c>
      <c r="G22" s="32"/>
      <c r="H22" s="32" t="str">
        <f t="shared" si="6"/>
        <v/>
      </c>
      <c r="I22" s="33" t="str">
        <f t="shared" si="7"/>
        <v/>
      </c>
      <c r="J22" s="56"/>
      <c r="K22" s="56"/>
    </row>
    <row r="23" spans="1:12" ht="36.75" customHeight="1">
      <c r="A23" s="46" t="str">
        <v>NM: Gallup - Walmart #906</v>
      </c>
      <c r="B23" s="43" t="str">
        <v>NM</v>
      </c>
      <c r="C23" s="36"/>
      <c r="D23" s="37"/>
      <c r="E23" s="37" t="str">
        <f t="shared" si="4"/>
        <v/>
      </c>
      <c r="F23" s="38" t="str">
        <f t="shared" si="5"/>
        <v/>
      </c>
      <c r="G23" s="39"/>
      <c r="H23" s="39" t="str">
        <f t="shared" si="6"/>
        <v/>
      </c>
      <c r="I23" s="38" t="str">
        <f t="shared" si="2"/>
        <v/>
      </c>
      <c r="J23" s="78"/>
      <c r="K23" s="58"/>
    </row>
    <row r="24" spans="1:12" ht="15.6">
      <c r="A24" s="47" t="str">
        <v>NV: Las Vegas - Amazon - LAS5</v>
      </c>
      <c r="B24" s="41" t="str">
        <v>NV</v>
      </c>
      <c r="C24" s="29"/>
      <c r="D24" s="30"/>
      <c r="E24" s="30" t="str">
        <f t="shared" si="4"/>
        <v/>
      </c>
      <c r="F24" s="31" t="str">
        <f t="shared" si="5"/>
        <v/>
      </c>
      <c r="G24" s="32"/>
      <c r="H24" s="32" t="str">
        <f t="shared" si="6"/>
        <v/>
      </c>
      <c r="I24" s="33" t="str">
        <f t="shared" si="7"/>
        <v/>
      </c>
      <c r="J24" s="56"/>
      <c r="K24" s="73"/>
      <c r="L24" s="77"/>
    </row>
    <row r="25" spans="1:12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</row>
    <row r="26" spans="1:12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</row>
    <row r="27" spans="1:12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</row>
    <row r="28" spans="1:12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</row>
    <row r="29" spans="1:12">
      <c r="A29" s="9"/>
      <c r="B29" s="14"/>
      <c r="C29" s="9"/>
      <c r="D29" s="9"/>
      <c r="E29" s="9"/>
      <c r="F29" s="9"/>
      <c r="G29" s="9"/>
      <c r="H29" s="9"/>
      <c r="I29" s="9"/>
    </row>
    <row r="30" spans="1:12">
      <c r="A30" s="9"/>
      <c r="B30" s="14"/>
      <c r="C30" s="9"/>
      <c r="D30" s="9"/>
      <c r="E30" s="9"/>
      <c r="F30" s="9"/>
      <c r="G30" s="9"/>
      <c r="H30" s="9"/>
      <c r="I30" s="9"/>
    </row>
    <row r="31" spans="1:12">
      <c r="A31" s="9"/>
      <c r="B31" s="14"/>
      <c r="C31" s="9"/>
      <c r="D31" s="9"/>
      <c r="E31" s="9"/>
      <c r="F31" s="9"/>
      <c r="G31" s="9"/>
      <c r="H31" s="9"/>
      <c r="I31" s="9"/>
    </row>
    <row r="32" spans="1:12">
      <c r="A32" s="9"/>
      <c r="B32" s="14"/>
      <c r="C32" s="9"/>
      <c r="D32" s="9"/>
      <c r="E32" s="9"/>
      <c r="F32" s="10"/>
      <c r="G32" s="9"/>
      <c r="H32" s="9"/>
      <c r="I32" s="10"/>
    </row>
    <row r="33" spans="1:9">
      <c r="A33" s="9"/>
      <c r="B33" s="14"/>
      <c r="C33" s="9"/>
      <c r="D33" s="9"/>
      <c r="E33" s="9"/>
      <c r="F33" s="10"/>
      <c r="G33" s="9"/>
      <c r="H33" s="9"/>
      <c r="I33" s="10"/>
    </row>
    <row r="34" spans="1:9">
      <c r="A34" s="9"/>
      <c r="B34" s="14"/>
      <c r="C34" s="9"/>
      <c r="D34" s="9"/>
      <c r="E34" s="9"/>
      <c r="F34" s="10"/>
      <c r="G34" s="9"/>
      <c r="H34" s="9"/>
      <c r="I34" s="10"/>
    </row>
    <row r="35" spans="1:9">
      <c r="A35" s="9"/>
      <c r="B35" s="14"/>
      <c r="C35" s="9"/>
      <c r="D35" s="9"/>
      <c r="E35" s="9"/>
      <c r="F35" s="10"/>
      <c r="G35" s="9"/>
      <c r="H35" s="9"/>
      <c r="I35" s="10"/>
    </row>
    <row r="36" spans="1:9">
      <c r="A36" s="9"/>
      <c r="B36" s="14"/>
      <c r="C36" s="9"/>
      <c r="D36" s="9"/>
      <c r="E36" s="9"/>
      <c r="F36" s="10"/>
      <c r="G36" s="9"/>
      <c r="H36" s="9"/>
      <c r="I36" s="10"/>
    </row>
    <row r="37" spans="1:9">
      <c r="A37" s="9"/>
      <c r="B37" s="14"/>
      <c r="C37" s="9"/>
      <c r="D37" s="9"/>
      <c r="E37" s="9"/>
      <c r="F37" s="10"/>
      <c r="G37" s="9"/>
      <c r="H37" s="9"/>
      <c r="I37" s="10"/>
    </row>
    <row r="38" spans="1:9">
      <c r="A38" s="9"/>
      <c r="B38" s="14"/>
      <c r="C38" s="9"/>
      <c r="D38" s="9"/>
      <c r="E38" s="9"/>
      <c r="F38" s="10"/>
      <c r="G38" s="9"/>
      <c r="H38" s="9"/>
      <c r="I38" s="10"/>
    </row>
    <row r="39" spans="1:9">
      <c r="A39" s="9"/>
      <c r="B39" s="14"/>
      <c r="C39" s="9"/>
      <c r="D39" s="9"/>
      <c r="E39" s="9"/>
      <c r="F39" s="10"/>
      <c r="G39" s="9"/>
      <c r="H39" s="9"/>
      <c r="I39" s="10"/>
    </row>
    <row r="40" spans="1:9">
      <c r="A40" s="9"/>
      <c r="B40" s="14"/>
      <c r="C40" s="9"/>
      <c r="D40" s="9"/>
      <c r="E40" s="9"/>
      <c r="F40" s="10"/>
      <c r="G40" s="9"/>
      <c r="H40" s="9"/>
      <c r="I40" s="10"/>
    </row>
    <row r="41" spans="1:9">
      <c r="A41" s="9"/>
      <c r="B41" s="14"/>
      <c r="C41" s="9"/>
      <c r="D41" s="9"/>
      <c r="E41" s="9"/>
      <c r="F41" s="10"/>
      <c r="G41" s="9"/>
      <c r="H41" s="9"/>
      <c r="I41" s="10"/>
    </row>
    <row r="42" spans="1:9">
      <c r="A42" s="9"/>
      <c r="B42" s="14"/>
      <c r="C42" s="9"/>
      <c r="D42" s="9"/>
      <c r="E42" s="9"/>
      <c r="F42" s="10"/>
      <c r="G42" s="9"/>
      <c r="H42" s="9"/>
      <c r="I42" s="10"/>
    </row>
    <row r="43" spans="1:9">
      <c r="A43" s="9"/>
      <c r="B43" s="14"/>
      <c r="C43" s="9"/>
      <c r="D43" s="9"/>
      <c r="E43" s="9"/>
      <c r="F43" s="10"/>
      <c r="G43" s="9"/>
      <c r="H43" s="9"/>
      <c r="I43" s="10"/>
    </row>
    <row r="44" spans="1:9">
      <c r="A44" s="9"/>
      <c r="B44" s="14"/>
      <c r="C44" s="9"/>
      <c r="D44" s="9"/>
      <c r="E44" s="9"/>
      <c r="F44" s="10"/>
      <c r="G44" s="9"/>
      <c r="H44" s="9"/>
      <c r="I44" s="10"/>
    </row>
    <row r="45" spans="1:9">
      <c r="A45" s="9"/>
      <c r="B45" s="14"/>
      <c r="C45" s="9"/>
      <c r="D45" s="9"/>
      <c r="E45" s="9"/>
      <c r="F45" s="10"/>
      <c r="G45" s="9"/>
      <c r="H45" s="9"/>
      <c r="I45" s="10"/>
    </row>
    <row r="46" spans="1:9">
      <c r="A46" s="9"/>
      <c r="B46" s="14"/>
      <c r="C46" s="9"/>
      <c r="D46" s="9"/>
      <c r="E46" s="9"/>
      <c r="F46" s="10"/>
      <c r="G46" s="9"/>
      <c r="H46" s="9"/>
      <c r="I46" s="10"/>
    </row>
    <row r="47" spans="1:9">
      <c r="A47" s="9"/>
      <c r="B47" s="14"/>
      <c r="C47" s="9"/>
      <c r="D47" s="9"/>
      <c r="E47" s="9"/>
      <c r="F47" s="10"/>
      <c r="G47" s="9"/>
      <c r="H47" s="9"/>
      <c r="I47" s="10"/>
    </row>
    <row r="48" spans="1:9">
      <c r="A48" s="9"/>
      <c r="B48" s="14"/>
      <c r="C48" s="9"/>
      <c r="D48" s="9"/>
      <c r="E48" s="9"/>
      <c r="F48" s="10"/>
      <c r="G48" s="9"/>
      <c r="H48" s="9"/>
      <c r="I48" s="10"/>
    </row>
    <row r="49" spans="1:9">
      <c r="A49" s="9"/>
      <c r="B49" s="14"/>
      <c r="C49" s="9"/>
      <c r="D49" s="9"/>
      <c r="E49" s="9"/>
      <c r="F49" s="10"/>
      <c r="G49" s="9"/>
      <c r="H49" s="9"/>
      <c r="I49" s="10"/>
    </row>
    <row r="50" spans="1:9">
      <c r="A50" s="9"/>
      <c r="B50" s="14"/>
      <c r="C50" s="9"/>
      <c r="D50" s="9"/>
      <c r="E50" s="9"/>
      <c r="F50" s="10"/>
      <c r="G50" s="9"/>
      <c r="H50" s="9"/>
      <c r="I50" s="10"/>
    </row>
    <row r="51" spans="1:9">
      <c r="A51" s="9"/>
      <c r="B51" s="14"/>
      <c r="C51" s="9"/>
      <c r="D51" s="9"/>
      <c r="E51" s="9"/>
      <c r="F51" s="10"/>
      <c r="G51" s="9"/>
      <c r="H51" s="9"/>
      <c r="I51" s="10"/>
    </row>
    <row r="52" spans="1:9">
      <c r="A52" s="9"/>
      <c r="B52" s="14"/>
      <c r="C52" s="9"/>
      <c r="D52" s="9"/>
      <c r="E52" s="9"/>
      <c r="F52" s="10"/>
      <c r="G52" s="9"/>
      <c r="H52" s="9"/>
      <c r="I52" s="10"/>
    </row>
    <row r="53" spans="1:9">
      <c r="A53" s="9"/>
      <c r="B53" s="14"/>
      <c r="C53" s="9"/>
      <c r="D53" s="9"/>
      <c r="E53" s="9"/>
      <c r="F53" s="10"/>
      <c r="G53" s="9"/>
      <c r="H53" s="9"/>
      <c r="I53" s="10"/>
    </row>
    <row r="54" spans="1:9">
      <c r="A54" s="9"/>
      <c r="B54" s="14"/>
      <c r="C54" s="9"/>
      <c r="D54" s="9"/>
      <c r="E54" s="9"/>
      <c r="F54" s="10"/>
      <c r="G54" s="9"/>
      <c r="H54" s="9"/>
      <c r="I54" s="10"/>
    </row>
    <row r="55" spans="1:9">
      <c r="A55" s="9"/>
      <c r="B55" s="14"/>
      <c r="C55" s="9"/>
      <c r="D55" s="9"/>
      <c r="E55" s="9"/>
      <c r="F55" s="10"/>
      <c r="G55" s="9"/>
      <c r="H55" s="9"/>
      <c r="I55" s="10"/>
    </row>
    <row r="56" spans="1:9">
      <c r="A56" s="9"/>
      <c r="B56" s="14"/>
      <c r="C56" s="9"/>
      <c r="D56" s="9"/>
      <c r="E56" s="9"/>
      <c r="F56" s="10"/>
      <c r="G56" s="9"/>
      <c r="H56" s="9"/>
      <c r="I56" s="10"/>
    </row>
    <row r="57" spans="1:9">
      <c r="A57" s="9"/>
      <c r="B57" s="14"/>
      <c r="C57" s="9"/>
      <c r="D57" s="9"/>
      <c r="E57" s="9"/>
      <c r="F57" s="10"/>
      <c r="G57" s="9"/>
      <c r="H57" s="9"/>
      <c r="I57" s="10"/>
    </row>
    <row r="58" spans="1:9">
      <c r="A58" s="9"/>
      <c r="B58" s="14"/>
      <c r="C58" s="9"/>
      <c r="D58" s="9"/>
      <c r="E58" s="9"/>
      <c r="F58" s="10"/>
      <c r="G58" s="9"/>
      <c r="H58" s="9"/>
      <c r="I58" s="10"/>
    </row>
    <row r="59" spans="1:9">
      <c r="A59" s="9"/>
      <c r="B59" s="14"/>
      <c r="C59" s="9"/>
      <c r="D59" s="9"/>
      <c r="E59" s="9"/>
      <c r="F59" s="10"/>
      <c r="G59" s="9"/>
      <c r="H59" s="9"/>
      <c r="I59" s="10"/>
    </row>
    <row r="60" spans="1:9">
      <c r="A60" s="9"/>
      <c r="B60" s="14"/>
      <c r="C60" s="9"/>
      <c r="D60" s="9"/>
      <c r="E60" s="9"/>
      <c r="F60" s="10"/>
      <c r="G60" s="9"/>
      <c r="H60" s="9"/>
      <c r="I60" s="10"/>
    </row>
    <row r="61" spans="1:9">
      <c r="A61" s="9"/>
      <c r="B61" s="14"/>
      <c r="C61" s="9"/>
      <c r="D61" s="9"/>
      <c r="E61" s="9"/>
      <c r="F61" s="10"/>
      <c r="G61" s="9"/>
      <c r="H61" s="9"/>
      <c r="I61" s="10"/>
    </row>
    <row r="62" spans="1:9">
      <c r="A62" s="9"/>
      <c r="B62" s="14"/>
      <c r="C62" s="9"/>
      <c r="D62" s="9"/>
      <c r="E62" s="9"/>
      <c r="F62" s="10"/>
      <c r="G62" s="9"/>
      <c r="H62" s="9"/>
      <c r="I62" s="10"/>
    </row>
    <row r="63" spans="1:9">
      <c r="A63" s="9"/>
      <c r="B63" s="14"/>
      <c r="C63" s="9"/>
      <c r="D63" s="9"/>
      <c r="E63" s="9"/>
      <c r="F63" s="10"/>
      <c r="G63" s="9"/>
      <c r="H63" s="9"/>
      <c r="I63" s="10"/>
    </row>
    <row r="64" spans="1:9">
      <c r="A64" s="9"/>
      <c r="B64" s="14"/>
      <c r="C64" s="9"/>
      <c r="D64" s="9"/>
      <c r="E64" s="9"/>
      <c r="F64" s="10"/>
      <c r="G64" s="9"/>
      <c r="H64" s="9"/>
      <c r="I64" s="10"/>
    </row>
    <row r="65" spans="1:9">
      <c r="A65" s="9"/>
      <c r="B65" s="14"/>
      <c r="C65" s="9"/>
      <c r="D65" s="9"/>
      <c r="E65" s="9"/>
      <c r="F65" s="10"/>
      <c r="G65" s="9"/>
      <c r="H65" s="9"/>
      <c r="I65" s="10"/>
    </row>
    <row r="66" spans="1:9">
      <c r="A66" s="9"/>
      <c r="B66" s="14"/>
      <c r="C66" s="9"/>
      <c r="D66" s="9"/>
      <c r="E66" s="9"/>
      <c r="F66" s="10"/>
      <c r="G66" s="9"/>
      <c r="H66" s="9"/>
      <c r="I66" s="10"/>
    </row>
    <row r="67" spans="1:9">
      <c r="A67" s="9"/>
      <c r="B67" s="14"/>
      <c r="C67" s="9"/>
      <c r="D67" s="9"/>
      <c r="E67" s="9"/>
      <c r="F67" s="10"/>
      <c r="G67" s="9"/>
      <c r="H67" s="9"/>
      <c r="I67" s="10"/>
    </row>
    <row r="68" spans="1:9">
      <c r="A68" s="9"/>
      <c r="B68" s="14"/>
      <c r="C68" s="9"/>
      <c r="D68" s="9"/>
      <c r="E68" s="9"/>
      <c r="F68" s="10"/>
      <c r="G68" s="9"/>
      <c r="H68" s="9"/>
      <c r="I68" s="10"/>
    </row>
    <row r="69" spans="1:9">
      <c r="A69" s="9"/>
      <c r="B69" s="14"/>
      <c r="C69" s="9"/>
      <c r="D69" s="9"/>
      <c r="E69" s="9"/>
      <c r="F69" s="10"/>
      <c r="G69" s="9"/>
      <c r="H69" s="9"/>
      <c r="I69" s="10"/>
    </row>
    <row r="70" spans="1:9">
      <c r="A70" s="9"/>
      <c r="B70" s="14"/>
      <c r="C70" s="9"/>
      <c r="D70" s="9"/>
      <c r="E70" s="9"/>
      <c r="F70" s="10"/>
      <c r="G70" s="9"/>
      <c r="H70" s="9"/>
      <c r="I70" s="10"/>
    </row>
    <row r="71" spans="1:9">
      <c r="A71" s="9"/>
      <c r="B71" s="14"/>
      <c r="C71" s="9"/>
      <c r="D71" s="9"/>
      <c r="E71" s="9"/>
      <c r="F71" s="10"/>
      <c r="G71" s="9"/>
      <c r="H71" s="9"/>
      <c r="I71" s="10"/>
    </row>
    <row r="72" spans="1:9">
      <c r="A72" s="9"/>
      <c r="B72" s="14"/>
      <c r="C72" s="9"/>
      <c r="D72" s="9"/>
      <c r="E72" s="9"/>
      <c r="F72" s="10"/>
      <c r="G72" s="9"/>
      <c r="H72" s="9"/>
      <c r="I72" s="10"/>
    </row>
    <row r="73" spans="1:9">
      <c r="A73" s="9"/>
      <c r="B73" s="14"/>
      <c r="C73" s="9"/>
      <c r="D73" s="9"/>
      <c r="E73" s="9"/>
      <c r="F73" s="10"/>
      <c r="G73" s="9"/>
      <c r="H73" s="9"/>
      <c r="I73" s="10"/>
    </row>
    <row r="74" spans="1:9">
      <c r="A74" s="9"/>
      <c r="B74" s="14"/>
      <c r="C74" s="9"/>
      <c r="D74" s="9"/>
      <c r="E74" s="9"/>
      <c r="F74" s="10"/>
      <c r="G74" s="9"/>
      <c r="H74" s="9"/>
      <c r="I74" s="10"/>
    </row>
    <row r="75" spans="1:9">
      <c r="A75" s="9"/>
      <c r="B75" s="14"/>
      <c r="C75" s="9"/>
      <c r="D75" s="9"/>
      <c r="E75" s="9"/>
      <c r="F75" s="10"/>
      <c r="G75" s="9"/>
      <c r="H75" s="9"/>
      <c r="I75" s="10"/>
    </row>
    <row r="76" spans="1:9">
      <c r="A76" s="9"/>
      <c r="B76" s="14"/>
      <c r="C76" s="9"/>
      <c r="D76" s="9"/>
      <c r="E76" s="9"/>
      <c r="F76" s="10"/>
      <c r="G76" s="9"/>
      <c r="H76" s="9"/>
      <c r="I76" s="10"/>
    </row>
    <row r="77" spans="1:9">
      <c r="A77" s="9"/>
      <c r="B77" s="14"/>
      <c r="C77" s="9"/>
      <c r="D77" s="9"/>
      <c r="E77" s="9"/>
      <c r="F77" s="10"/>
      <c r="G77" s="9"/>
      <c r="H77" s="9"/>
      <c r="I77" s="10"/>
    </row>
    <row r="78" spans="1:9">
      <c r="A78" s="9"/>
      <c r="B78" s="14"/>
      <c r="C78" s="9"/>
      <c r="D78" s="9"/>
      <c r="E78" s="9"/>
      <c r="F78" s="10"/>
      <c r="G78" s="9"/>
      <c r="H78" s="9"/>
      <c r="I78" s="10"/>
    </row>
    <row r="79" spans="1:9">
      <c r="A79" s="9"/>
      <c r="B79" s="14"/>
      <c r="C79" s="9"/>
      <c r="D79" s="9"/>
      <c r="E79" s="9"/>
      <c r="F79" s="10"/>
      <c r="G79" s="9"/>
      <c r="H79" s="9"/>
      <c r="I79" s="10"/>
    </row>
    <row r="80" spans="1:9">
      <c r="A80" s="9"/>
      <c r="B80" s="14"/>
      <c r="C80" s="9"/>
      <c r="D80" s="9"/>
      <c r="E80" s="9"/>
      <c r="F80" s="10"/>
      <c r="G80" s="9"/>
      <c r="H80" s="9"/>
      <c r="I80" s="10"/>
    </row>
    <row r="81" spans="1:9">
      <c r="A81" s="9"/>
      <c r="B81" s="14"/>
      <c r="C81" s="9"/>
      <c r="D81" s="9"/>
      <c r="E81" s="9"/>
      <c r="F81" s="10"/>
      <c r="G81" s="9"/>
      <c r="H81" s="9"/>
      <c r="I81" s="10"/>
    </row>
    <row r="82" spans="1:9">
      <c r="A82" s="9"/>
      <c r="B82" s="14"/>
      <c r="C82" s="9"/>
      <c r="D82" s="9"/>
      <c r="E82" s="9"/>
      <c r="F82" s="10"/>
      <c r="G82" s="9"/>
      <c r="H82" s="9"/>
      <c r="I82" s="10"/>
    </row>
    <row r="83" spans="1:9">
      <c r="A83" s="9"/>
      <c r="B83" s="14"/>
      <c r="C83" s="9"/>
      <c r="D83" s="9"/>
      <c r="E83" s="9"/>
      <c r="F83" s="10"/>
      <c r="G83" s="9"/>
      <c r="H83" s="9"/>
      <c r="I83" s="10"/>
    </row>
    <row r="84" spans="1:9">
      <c r="A84" s="9"/>
      <c r="B84" s="14"/>
      <c r="C84" s="9"/>
      <c r="D84" s="9"/>
      <c r="E84" s="9"/>
      <c r="F84" s="10"/>
      <c r="G84" s="9"/>
      <c r="H84" s="9"/>
      <c r="I84" s="10"/>
    </row>
    <row r="85" spans="1:9">
      <c r="A85" s="9"/>
      <c r="B85" s="14"/>
      <c r="C85" s="9"/>
      <c r="D85" s="9"/>
      <c r="E85" s="9"/>
      <c r="F85" s="10"/>
      <c r="G85" s="9"/>
      <c r="H85" s="9"/>
      <c r="I85" s="10"/>
    </row>
    <row r="86" spans="1:9">
      <c r="A86" s="9"/>
      <c r="B86" s="14"/>
      <c r="C86" s="9"/>
      <c r="D86" s="9"/>
      <c r="E86" s="9"/>
      <c r="F86" s="10"/>
      <c r="G86" s="9"/>
      <c r="H86" s="9"/>
      <c r="I86" s="10"/>
    </row>
    <row r="87" spans="1:9">
      <c r="A87" s="9"/>
      <c r="B87" s="14"/>
      <c r="C87" s="9"/>
      <c r="D87" s="9"/>
      <c r="E87" s="9"/>
      <c r="F87" s="10"/>
      <c r="G87" s="9"/>
      <c r="H87" s="9"/>
      <c r="I87" s="10"/>
    </row>
    <row r="88" spans="1:9">
      <c r="A88" s="9"/>
      <c r="B88" s="14"/>
      <c r="C88" s="9"/>
      <c r="D88" s="9"/>
      <c r="E88" s="9"/>
      <c r="F88" s="10"/>
      <c r="G88" s="9"/>
      <c r="H88" s="9"/>
      <c r="I88" s="10"/>
    </row>
    <row r="89" spans="1:9">
      <c r="A89" s="9"/>
      <c r="B89" s="14"/>
      <c r="C89" s="9"/>
      <c r="D89" s="9"/>
      <c r="E89" s="9"/>
      <c r="F89" s="10"/>
      <c r="G89" s="9"/>
      <c r="H89" s="9"/>
      <c r="I89" s="10"/>
    </row>
    <row r="90" spans="1:9">
      <c r="A90" s="9"/>
      <c r="B90" s="14"/>
      <c r="C90" s="9"/>
      <c r="D90" s="9"/>
      <c r="E90" s="9"/>
      <c r="F90" s="10"/>
      <c r="G90" s="9"/>
      <c r="H90" s="9"/>
      <c r="I90" s="10"/>
    </row>
    <row r="91" spans="1:9">
      <c r="A91" s="9"/>
      <c r="B91" s="14"/>
      <c r="C91" s="9"/>
      <c r="D91" s="9"/>
      <c r="E91" s="9"/>
      <c r="F91" s="10"/>
      <c r="G91" s="9"/>
      <c r="H91" s="9"/>
      <c r="I91" s="10"/>
    </row>
    <row r="92" spans="1:9">
      <c r="A92" s="9"/>
      <c r="B92" s="14"/>
      <c r="C92" s="9"/>
      <c r="D92" s="9"/>
      <c r="E92" s="9"/>
      <c r="F92" s="10"/>
      <c r="G92" s="9"/>
      <c r="H92" s="9"/>
      <c r="I92" s="10"/>
    </row>
    <row r="93" spans="1:9">
      <c r="A93" s="9"/>
      <c r="B93" s="14"/>
      <c r="C93" s="9"/>
      <c r="D93" s="9"/>
      <c r="E93" s="9"/>
      <c r="F93" s="10"/>
      <c r="G93" s="9"/>
      <c r="H93" s="9"/>
      <c r="I93" s="10"/>
    </row>
    <row r="94" spans="1:9">
      <c r="A94" s="9"/>
      <c r="B94" s="14"/>
      <c r="C94" s="9"/>
      <c r="D94" s="9"/>
      <c r="E94" s="9"/>
      <c r="F94" s="10"/>
      <c r="G94" s="9"/>
      <c r="H94" s="9"/>
      <c r="I94" s="10"/>
    </row>
    <row r="95" spans="1:9">
      <c r="A95" s="9"/>
      <c r="B95" s="14"/>
      <c r="C95" s="9"/>
      <c r="D95" s="9"/>
      <c r="E95" s="9"/>
      <c r="F95" s="10"/>
      <c r="G95" s="9"/>
      <c r="H95" s="9"/>
      <c r="I95" s="10"/>
    </row>
    <row r="96" spans="1:9">
      <c r="A96" s="9"/>
      <c r="B96" s="14"/>
      <c r="C96" s="9"/>
      <c r="D96" s="9"/>
      <c r="E96" s="9"/>
      <c r="F96" s="10"/>
      <c r="G96" s="9"/>
      <c r="H96" s="9"/>
      <c r="I96" s="10"/>
    </row>
    <row r="97" spans="1:9">
      <c r="A97" s="9"/>
      <c r="B97" s="14"/>
      <c r="C97" s="9"/>
      <c r="D97" s="9"/>
      <c r="E97" s="9"/>
      <c r="F97" s="10"/>
      <c r="G97" s="9"/>
      <c r="H97" s="9"/>
      <c r="I97" s="10"/>
    </row>
    <row r="98" spans="1:9">
      <c r="A98" s="9"/>
      <c r="B98" s="14"/>
      <c r="C98" s="9"/>
      <c r="D98" s="9"/>
      <c r="E98" s="9"/>
      <c r="F98" s="10"/>
      <c r="G98" s="9"/>
      <c r="H98" s="9"/>
      <c r="I98" s="10"/>
    </row>
    <row r="99" spans="1:9">
      <c r="A99" s="9"/>
      <c r="B99" s="14"/>
      <c r="C99" s="9"/>
      <c r="D99" s="9"/>
      <c r="E99" s="9"/>
      <c r="F99" s="10"/>
      <c r="G99" s="9"/>
      <c r="H99" s="9"/>
      <c r="I99" s="10"/>
    </row>
    <row r="100" spans="1:9">
      <c r="A100" s="9"/>
      <c r="B100" s="14"/>
      <c r="C100" s="9"/>
      <c r="D100" s="9"/>
      <c r="E100" s="9"/>
      <c r="F100" s="10"/>
      <c r="G100" s="9"/>
      <c r="H100" s="9"/>
      <c r="I100" s="10"/>
    </row>
    <row r="101" spans="1:9">
      <c r="A101" s="9"/>
      <c r="B101" s="14"/>
      <c r="C101" s="9"/>
      <c r="D101" s="9"/>
      <c r="E101" s="9"/>
      <c r="F101" s="10"/>
      <c r="G101" s="9"/>
      <c r="H101" s="9"/>
      <c r="I101" s="10"/>
    </row>
    <row r="102" spans="1:9">
      <c r="A102" s="9"/>
      <c r="B102" s="14"/>
      <c r="C102" s="9"/>
      <c r="D102" s="9"/>
      <c r="E102" s="9"/>
      <c r="F102" s="10"/>
      <c r="G102" s="9"/>
      <c r="H102" s="9"/>
      <c r="I102" s="10"/>
    </row>
    <row r="103" spans="1:9">
      <c r="A103" s="9"/>
      <c r="B103" s="14"/>
      <c r="C103" s="9"/>
      <c r="D103" s="9"/>
      <c r="E103" s="9"/>
      <c r="F103" s="10"/>
      <c r="G103" s="9"/>
      <c r="H103" s="9"/>
      <c r="I103" s="10"/>
    </row>
    <row r="104" spans="1:9">
      <c r="A104" s="9"/>
      <c r="B104" s="14"/>
      <c r="C104" s="9"/>
      <c r="D104" s="9"/>
      <c r="E104" s="9"/>
      <c r="F104" s="10"/>
      <c r="G104" s="9"/>
      <c r="H104" s="9"/>
      <c r="I104" s="10"/>
    </row>
    <row r="105" spans="1:9">
      <c r="A105" s="9"/>
      <c r="B105" s="14"/>
      <c r="C105" s="9"/>
      <c r="D105" s="9"/>
      <c r="E105" s="9"/>
      <c r="F105" s="10"/>
      <c r="G105" s="9"/>
      <c r="H105" s="9"/>
      <c r="I105" s="10"/>
    </row>
    <row r="106" spans="1:9">
      <c r="A106" s="9"/>
      <c r="B106" s="14"/>
      <c r="C106" s="9"/>
      <c r="D106" s="9"/>
      <c r="E106" s="9"/>
      <c r="F106" s="10"/>
      <c r="G106" s="9"/>
      <c r="H106" s="9"/>
      <c r="I106" s="10"/>
    </row>
    <row r="107" spans="1:9">
      <c r="A107" s="9"/>
      <c r="B107" s="14"/>
      <c r="C107" s="9"/>
      <c r="D107" s="9"/>
      <c r="E107" s="9"/>
      <c r="F107" s="10"/>
      <c r="G107" s="9"/>
      <c r="H107" s="9"/>
      <c r="I107" s="10"/>
    </row>
    <row r="108" spans="1:9">
      <c r="A108" s="9"/>
      <c r="B108" s="14"/>
      <c r="C108" s="9"/>
      <c r="D108" s="9"/>
      <c r="E108" s="9"/>
      <c r="F108" s="10"/>
      <c r="G108" s="9"/>
      <c r="H108" s="9"/>
      <c r="I108" s="10"/>
    </row>
    <row r="109" spans="1:9">
      <c r="A109" s="9"/>
      <c r="B109" s="14"/>
      <c r="C109" s="9"/>
      <c r="D109" s="9"/>
      <c r="E109" s="9"/>
      <c r="F109" s="10"/>
      <c r="G109" s="9"/>
      <c r="H109" s="9"/>
      <c r="I109" s="10"/>
    </row>
    <row r="110" spans="1:9">
      <c r="A110" s="9"/>
      <c r="B110" s="14"/>
      <c r="C110" s="9"/>
      <c r="D110" s="9"/>
      <c r="E110" s="9"/>
      <c r="F110" s="10"/>
      <c r="G110" s="9"/>
      <c r="H110" s="9"/>
      <c r="I110" s="10"/>
    </row>
    <row r="111" spans="1:9">
      <c r="A111" s="9"/>
      <c r="B111" s="14"/>
      <c r="C111" s="9"/>
      <c r="D111" s="9"/>
      <c r="E111" s="9"/>
      <c r="F111" s="10"/>
      <c r="G111" s="9"/>
      <c r="H111" s="9"/>
      <c r="I111" s="10"/>
    </row>
    <row r="112" spans="1:9">
      <c r="A112" s="9"/>
      <c r="B112" s="14"/>
      <c r="C112" s="9"/>
      <c r="D112" s="9"/>
      <c r="E112" s="9"/>
      <c r="F112" s="10"/>
      <c r="G112" s="9"/>
      <c r="H112" s="9"/>
      <c r="I112" s="10"/>
    </row>
    <row r="113" spans="1:9">
      <c r="A113" s="9"/>
      <c r="B113" s="14"/>
      <c r="C113" s="9"/>
      <c r="D113" s="9"/>
      <c r="E113" s="9"/>
      <c r="F113" s="10"/>
      <c r="G113" s="9"/>
      <c r="H113" s="9"/>
      <c r="I113" s="10"/>
    </row>
    <row r="114" spans="1:9">
      <c r="A114" s="9"/>
      <c r="B114" s="14"/>
      <c r="C114" s="9"/>
      <c r="D114" s="9"/>
      <c r="E114" s="9"/>
      <c r="F114" s="10"/>
      <c r="G114" s="9"/>
      <c r="H114" s="9"/>
      <c r="I114" s="10"/>
    </row>
    <row r="115" spans="1:9">
      <c r="A115" s="9"/>
      <c r="B115" s="14"/>
      <c r="C115" s="9"/>
      <c r="D115" s="9"/>
      <c r="E115" s="9"/>
      <c r="F115" s="10"/>
      <c r="G115" s="9"/>
      <c r="H115" s="9"/>
      <c r="I115" s="10"/>
    </row>
    <row r="116" spans="1:9">
      <c r="A116" s="9"/>
      <c r="B116" s="14"/>
      <c r="C116" s="9"/>
      <c r="D116" s="9"/>
      <c r="E116" s="9"/>
      <c r="F116" s="10"/>
      <c r="G116" s="9"/>
      <c r="H116" s="9"/>
      <c r="I116" s="10"/>
    </row>
    <row r="117" spans="1:9">
      <c r="A117" s="9"/>
      <c r="B117" s="14"/>
      <c r="C117" s="9"/>
      <c r="D117" s="9"/>
      <c r="E117" s="9"/>
      <c r="F117" s="10"/>
      <c r="G117" s="9"/>
      <c r="H117" s="9"/>
      <c r="I117" s="10"/>
    </row>
    <row r="118" spans="1:9">
      <c r="A118" s="9"/>
      <c r="B118" s="14"/>
      <c r="C118" s="9"/>
      <c r="D118" s="9"/>
      <c r="E118" s="9"/>
      <c r="F118" s="10"/>
      <c r="G118" s="9"/>
      <c r="H118" s="9"/>
      <c r="I118" s="10"/>
    </row>
    <row r="119" spans="1:9">
      <c r="A119" s="9"/>
      <c r="B119" s="14"/>
      <c r="C119" s="9"/>
      <c r="D119" s="9"/>
      <c r="E119" s="9"/>
      <c r="F119" s="10"/>
      <c r="G119" s="9"/>
      <c r="H119" s="9"/>
      <c r="I119" s="10"/>
    </row>
    <row r="120" spans="1:9">
      <c r="A120" s="9"/>
      <c r="B120" s="14"/>
      <c r="C120" s="9"/>
      <c r="D120" s="9"/>
      <c r="E120" s="9"/>
      <c r="F120" s="10"/>
      <c r="G120" s="9"/>
      <c r="H120" s="9"/>
      <c r="I120" s="10"/>
    </row>
    <row r="121" spans="1:9">
      <c r="A121" s="9"/>
      <c r="B121" s="14"/>
      <c r="C121" s="9"/>
      <c r="D121" s="9"/>
      <c r="E121" s="9"/>
      <c r="F121" s="10"/>
      <c r="G121" s="9"/>
      <c r="H121" s="9"/>
      <c r="I121" s="10"/>
    </row>
    <row r="122" spans="1:9">
      <c r="A122" s="9"/>
      <c r="B122" s="14"/>
      <c r="C122" s="9"/>
      <c r="D122" s="9"/>
      <c r="E122" s="9"/>
      <c r="F122" s="10"/>
      <c r="G122" s="9"/>
      <c r="H122" s="9"/>
      <c r="I122" s="10"/>
    </row>
    <row r="123" spans="1:9">
      <c r="A123" s="9"/>
      <c r="B123" s="14"/>
      <c r="C123" s="9"/>
      <c r="D123" s="9"/>
      <c r="E123" s="9"/>
      <c r="F123" s="10"/>
      <c r="G123" s="9"/>
      <c r="H123" s="9"/>
      <c r="I123" s="10"/>
    </row>
    <row r="124" spans="1:9">
      <c r="A124" s="9"/>
      <c r="B124" s="14"/>
      <c r="C124" s="9"/>
      <c r="D124" s="9"/>
      <c r="E124" s="9"/>
      <c r="F124" s="10"/>
      <c r="G124" s="9"/>
      <c r="H124" s="9"/>
      <c r="I124" s="10"/>
    </row>
    <row r="125" spans="1:9">
      <c r="A125" s="9"/>
      <c r="B125" s="14"/>
      <c r="C125" s="9"/>
      <c r="D125" s="9"/>
      <c r="E125" s="9"/>
      <c r="F125" s="10"/>
      <c r="G125" s="9"/>
      <c r="H125" s="9"/>
      <c r="I125" s="10"/>
    </row>
    <row r="126" spans="1:9">
      <c r="A126" s="9"/>
      <c r="B126" s="14"/>
      <c r="C126" s="9"/>
      <c r="D126" s="9"/>
      <c r="E126" s="9"/>
      <c r="F126" s="10"/>
      <c r="G126" s="9"/>
      <c r="H126" s="9"/>
      <c r="I126" s="10"/>
    </row>
    <row r="127" spans="1:9">
      <c r="A127" s="9"/>
      <c r="B127" s="14"/>
      <c r="C127" s="9"/>
      <c r="D127" s="9"/>
      <c r="E127" s="9"/>
      <c r="F127" s="10"/>
      <c r="G127" s="9"/>
      <c r="H127" s="9"/>
      <c r="I127" s="10"/>
    </row>
    <row r="128" spans="1:9">
      <c r="A128" s="9"/>
      <c r="B128" s="14"/>
      <c r="C128" s="9"/>
      <c r="D128" s="9"/>
      <c r="E128" s="9"/>
      <c r="F128" s="10"/>
      <c r="G128" s="9"/>
      <c r="H128" s="9"/>
      <c r="I128" s="10"/>
    </row>
    <row r="129" spans="1:9">
      <c r="A129" s="9"/>
      <c r="B129" s="14"/>
      <c r="C129" s="9"/>
      <c r="D129" s="9"/>
      <c r="E129" s="9"/>
      <c r="F129" s="10"/>
      <c r="G129" s="9"/>
      <c r="H129" s="9"/>
      <c r="I129" s="10"/>
    </row>
    <row r="130" spans="1:9">
      <c r="A130" s="9"/>
      <c r="B130" s="14"/>
      <c r="C130" s="9"/>
      <c r="D130" s="9"/>
      <c r="E130" s="9"/>
      <c r="F130" s="10"/>
      <c r="G130" s="9"/>
      <c r="H130" s="9"/>
      <c r="I130" s="10"/>
    </row>
    <row r="131" spans="1:9">
      <c r="A131" s="9"/>
      <c r="B131" s="14"/>
      <c r="C131" s="9"/>
      <c r="D131" s="9"/>
      <c r="E131" s="9"/>
      <c r="F131" s="10"/>
      <c r="G131" s="9"/>
      <c r="H131" s="9"/>
      <c r="I131" s="10"/>
    </row>
    <row r="132" spans="1:9">
      <c r="A132" s="9"/>
      <c r="B132" s="14"/>
      <c r="C132" s="9"/>
      <c r="D132" s="9"/>
      <c r="E132" s="9"/>
      <c r="F132" s="10"/>
      <c r="G132" s="9"/>
      <c r="H132" s="9"/>
      <c r="I132" s="10"/>
    </row>
    <row r="133" spans="1:9">
      <c r="A133" s="9"/>
      <c r="B133" s="14"/>
      <c r="C133" s="9"/>
      <c r="D133" s="9"/>
      <c r="E133" s="9"/>
      <c r="F133" s="10"/>
      <c r="G133" s="9"/>
      <c r="H133" s="9"/>
      <c r="I133" s="10"/>
    </row>
    <row r="134" spans="1:9">
      <c r="A134" s="9"/>
      <c r="B134" s="14"/>
      <c r="C134" s="9"/>
      <c r="D134" s="9"/>
      <c r="E134" s="9"/>
      <c r="F134" s="10"/>
      <c r="G134" s="9"/>
      <c r="H134" s="9"/>
      <c r="I134" s="10"/>
    </row>
    <row r="135" spans="1:9">
      <c r="A135" s="9"/>
      <c r="B135" s="14"/>
      <c r="C135" s="9"/>
      <c r="D135" s="9"/>
      <c r="E135" s="9"/>
      <c r="F135" s="10"/>
      <c r="G135" s="9"/>
      <c r="H135" s="9"/>
      <c r="I135" s="10"/>
    </row>
    <row r="136" spans="1:9">
      <c r="A136" s="9"/>
      <c r="B136" s="14"/>
      <c r="C136" s="9"/>
      <c r="D136" s="9"/>
      <c r="E136" s="9"/>
      <c r="F136" s="10"/>
      <c r="G136" s="9"/>
      <c r="H136" s="9"/>
      <c r="I136" s="10"/>
    </row>
    <row r="137" spans="1:9">
      <c r="A137" s="9"/>
      <c r="B137" s="14"/>
      <c r="C137" s="9"/>
      <c r="D137" s="9"/>
      <c r="E137" s="9"/>
      <c r="F137" s="10"/>
      <c r="G137" s="9"/>
      <c r="H137" s="9"/>
      <c r="I137" s="10"/>
    </row>
    <row r="138" spans="1:9">
      <c r="A138" s="9"/>
      <c r="B138" s="14"/>
      <c r="C138" s="9"/>
      <c r="D138" s="9"/>
      <c r="E138" s="9"/>
      <c r="F138" s="10"/>
      <c r="G138" s="9"/>
      <c r="H138" s="9"/>
      <c r="I138" s="10"/>
    </row>
    <row r="139" spans="1:9">
      <c r="A139" s="9"/>
      <c r="B139" s="14"/>
      <c r="C139" s="9"/>
      <c r="D139" s="9"/>
      <c r="E139" s="9"/>
      <c r="F139" s="10"/>
      <c r="G139" s="9"/>
      <c r="H139" s="9"/>
      <c r="I139" s="10"/>
    </row>
    <row r="140" spans="1:9">
      <c r="A140" s="9"/>
      <c r="B140" s="14"/>
      <c r="C140" s="9"/>
      <c r="D140" s="9"/>
      <c r="E140" s="9"/>
      <c r="F140" s="10"/>
      <c r="G140" s="9"/>
      <c r="H140" s="9"/>
      <c r="I140" s="10"/>
    </row>
    <row r="141" spans="1:9">
      <c r="A141" s="9"/>
      <c r="B141" s="14"/>
      <c r="C141" s="9"/>
      <c r="D141" s="9"/>
      <c r="E141" s="9"/>
      <c r="F141" s="10"/>
      <c r="G141" s="9"/>
      <c r="H141" s="9"/>
      <c r="I141" s="10"/>
    </row>
    <row r="142" spans="1:9">
      <c r="A142" s="9"/>
      <c r="B142" s="14"/>
      <c r="C142" s="9"/>
      <c r="D142" s="9"/>
      <c r="E142" s="9"/>
      <c r="F142" s="10"/>
      <c r="G142" s="9"/>
      <c r="H142" s="9"/>
      <c r="I142" s="10"/>
    </row>
    <row r="143" spans="1:9">
      <c r="A143" s="9"/>
      <c r="B143" s="14"/>
      <c r="C143" s="9"/>
      <c r="D143" s="9"/>
      <c r="E143" s="9"/>
      <c r="F143" s="10"/>
      <c r="G143" s="9"/>
      <c r="H143" s="9"/>
      <c r="I143" s="10"/>
    </row>
    <row r="144" spans="1:9">
      <c r="A144" s="9"/>
      <c r="B144" s="14"/>
      <c r="C144" s="9"/>
      <c r="D144" s="9"/>
      <c r="E144" s="9"/>
      <c r="F144" s="10"/>
      <c r="G144" s="9"/>
      <c r="H144" s="9"/>
      <c r="I144" s="10"/>
    </row>
    <row r="145" spans="1:9">
      <c r="A145" s="9"/>
      <c r="B145" s="14"/>
      <c r="C145" s="9"/>
      <c r="D145" s="9"/>
      <c r="E145" s="9"/>
      <c r="F145" s="10"/>
      <c r="G145" s="9"/>
      <c r="H145" s="9"/>
      <c r="I145" s="10"/>
    </row>
    <row r="146" spans="1:9">
      <c r="A146" s="9"/>
      <c r="B146" s="14"/>
      <c r="C146" s="9"/>
      <c r="D146" s="9"/>
      <c r="E146" s="9"/>
      <c r="F146" s="10"/>
      <c r="G146" s="9"/>
      <c r="H146" s="9"/>
      <c r="I146" s="10"/>
    </row>
    <row r="147" spans="1:9">
      <c r="A147" s="9"/>
      <c r="B147" s="14"/>
      <c r="C147" s="9"/>
      <c r="D147" s="9"/>
      <c r="E147" s="9"/>
      <c r="F147" s="10"/>
      <c r="G147" s="9"/>
      <c r="H147" s="9"/>
      <c r="I147" s="10"/>
    </row>
    <row r="148" spans="1:9">
      <c r="A148" s="9"/>
      <c r="B148" s="14"/>
      <c r="C148" s="9"/>
      <c r="D148" s="9"/>
      <c r="E148" s="9"/>
      <c r="F148" s="10"/>
      <c r="G148" s="9"/>
      <c r="H148" s="9"/>
      <c r="I148" s="10"/>
    </row>
    <row r="149" spans="1:9">
      <c r="A149" s="9"/>
      <c r="B149" s="14"/>
      <c r="C149" s="9"/>
      <c r="D149" s="9"/>
      <c r="E149" s="9"/>
      <c r="F149" s="10"/>
      <c r="G149" s="9"/>
      <c r="H149" s="9"/>
      <c r="I149" s="10"/>
    </row>
    <row r="150" spans="1:9">
      <c r="A150" s="9"/>
      <c r="B150" s="14"/>
      <c r="C150" s="9"/>
      <c r="D150" s="9"/>
      <c r="E150" s="9"/>
      <c r="F150" s="10"/>
      <c r="G150" s="9"/>
      <c r="H150" s="9"/>
      <c r="I150" s="10"/>
    </row>
    <row r="151" spans="1:9">
      <c r="A151" s="9"/>
      <c r="B151" s="14"/>
      <c r="C151" s="9"/>
      <c r="D151" s="9"/>
      <c r="E151" s="9"/>
      <c r="F151" s="10"/>
      <c r="G151" s="9"/>
      <c r="H151" s="9"/>
      <c r="I151" s="10"/>
    </row>
    <row r="152" spans="1:9">
      <c r="A152" s="9"/>
      <c r="B152" s="14"/>
      <c r="C152" s="9"/>
      <c r="D152" s="9"/>
      <c r="E152" s="9"/>
      <c r="F152" s="10"/>
      <c r="G152" s="9"/>
      <c r="H152" s="9"/>
      <c r="I152" s="10"/>
    </row>
    <row r="153" spans="1:9">
      <c r="A153" s="9"/>
      <c r="B153" s="14"/>
      <c r="C153" s="9"/>
      <c r="D153" s="9"/>
      <c r="E153" s="9"/>
      <c r="F153" s="10"/>
      <c r="G153" s="9"/>
      <c r="H153" s="9"/>
      <c r="I153" s="10"/>
    </row>
    <row r="154" spans="1:9">
      <c r="A154" s="9"/>
      <c r="B154" s="14"/>
      <c r="C154" s="9"/>
      <c r="D154" s="9"/>
      <c r="E154" s="9"/>
      <c r="F154" s="10"/>
      <c r="G154" s="9"/>
      <c r="H154" s="9"/>
      <c r="I154" s="10"/>
    </row>
    <row r="155" spans="1:9">
      <c r="A155" s="9"/>
      <c r="B155" s="14"/>
      <c r="C155" s="9"/>
      <c r="D155" s="9"/>
      <c r="E155" s="9"/>
      <c r="F155" s="10"/>
      <c r="G155" s="9"/>
      <c r="H155" s="9"/>
      <c r="I155" s="10"/>
    </row>
    <row r="156" spans="1:9">
      <c r="A156" s="9"/>
      <c r="B156" s="14"/>
      <c r="C156" s="9"/>
      <c r="D156" s="9"/>
      <c r="E156" s="9"/>
      <c r="F156" s="10"/>
      <c r="G156" s="9"/>
      <c r="H156" s="9"/>
      <c r="I156" s="10"/>
    </row>
    <row r="157" spans="1:9">
      <c r="A157" s="9"/>
      <c r="B157" s="14"/>
      <c r="C157" s="9"/>
      <c r="D157" s="9"/>
      <c r="E157" s="9"/>
      <c r="F157" s="10"/>
      <c r="G157" s="9"/>
      <c r="H157" s="9"/>
      <c r="I157" s="10"/>
    </row>
    <row r="158" spans="1:9">
      <c r="A158" s="9"/>
      <c r="B158" s="14"/>
      <c r="C158" s="9"/>
      <c r="D158" s="9"/>
      <c r="E158" s="9"/>
      <c r="F158" s="10"/>
      <c r="G158" s="9"/>
      <c r="H158" s="9"/>
      <c r="I158" s="10"/>
    </row>
    <row r="159" spans="1:9">
      <c r="A159" s="9"/>
      <c r="B159" s="14"/>
      <c r="C159" s="9"/>
      <c r="D159" s="9"/>
      <c r="E159" s="9"/>
      <c r="F159" s="10"/>
      <c r="G159" s="9"/>
      <c r="H159" s="9"/>
      <c r="I159" s="10"/>
    </row>
    <row r="160" spans="1:9">
      <c r="A160" s="9"/>
      <c r="B160" s="14"/>
      <c r="C160" s="9"/>
      <c r="D160" s="9"/>
      <c r="E160" s="9"/>
      <c r="F160" s="10"/>
      <c r="G160" s="9"/>
      <c r="H160" s="9"/>
      <c r="I160" s="10"/>
    </row>
    <row r="161" spans="1:9">
      <c r="A161" s="9"/>
      <c r="B161" s="14"/>
      <c r="C161" s="9"/>
      <c r="D161" s="9"/>
      <c r="E161" s="9"/>
      <c r="F161" s="10"/>
      <c r="G161" s="9"/>
      <c r="H161" s="9"/>
      <c r="I161" s="10"/>
    </row>
    <row r="162" spans="1:9">
      <c r="A162" s="9"/>
      <c r="B162" s="14"/>
      <c r="C162" s="9"/>
      <c r="D162" s="9"/>
      <c r="E162" s="9"/>
      <c r="F162" s="10"/>
      <c r="G162" s="9"/>
      <c r="H162" s="9"/>
      <c r="I162" s="10"/>
    </row>
    <row r="163" spans="1:9">
      <c r="A163" s="9"/>
      <c r="B163" s="14"/>
      <c r="C163" s="9"/>
      <c r="D163" s="9"/>
      <c r="E163" s="9"/>
      <c r="F163" s="10"/>
      <c r="G163" s="9"/>
      <c r="H163" s="9"/>
      <c r="I163" s="10"/>
    </row>
    <row r="164" spans="1:9">
      <c r="A164" s="9"/>
      <c r="B164" s="14"/>
      <c r="C164" s="9"/>
      <c r="D164" s="9"/>
      <c r="E164" s="9"/>
      <c r="F164" s="10"/>
      <c r="G164" s="9"/>
      <c r="H164" s="9"/>
      <c r="I164" s="10"/>
    </row>
    <row r="165" spans="1:9">
      <c r="A165" s="9"/>
      <c r="B165" s="14"/>
      <c r="C165" s="9"/>
      <c r="D165" s="9"/>
      <c r="E165" s="9"/>
      <c r="F165" s="10"/>
      <c r="G165" s="9"/>
      <c r="H165" s="9"/>
      <c r="I165" s="10"/>
    </row>
    <row r="166" spans="1:9">
      <c r="A166" s="9"/>
      <c r="B166" s="14"/>
      <c r="C166" s="9"/>
      <c r="D166" s="9"/>
      <c r="E166" s="9"/>
      <c r="F166" s="10"/>
      <c r="G166" s="9"/>
      <c r="H166" s="9"/>
      <c r="I166" s="10"/>
    </row>
    <row r="167" spans="1:9">
      <c r="A167" s="9"/>
      <c r="B167" s="14"/>
      <c r="C167" s="9"/>
      <c r="D167" s="9"/>
      <c r="E167" s="9"/>
      <c r="F167" s="10"/>
      <c r="G167" s="9"/>
      <c r="H167" s="9"/>
      <c r="I167" s="10"/>
    </row>
    <row r="168" spans="1:9">
      <c r="A168" s="9"/>
      <c r="B168" s="14"/>
      <c r="C168" s="9"/>
      <c r="D168" s="9"/>
      <c r="E168" s="9"/>
      <c r="F168" s="10"/>
      <c r="G168" s="9"/>
      <c r="H168" s="9"/>
      <c r="I168" s="10"/>
    </row>
    <row r="169" spans="1:9">
      <c r="A169" s="9"/>
      <c r="B169" s="14"/>
      <c r="C169" s="9"/>
      <c r="D169" s="9"/>
      <c r="E169" s="9"/>
      <c r="F169" s="10"/>
      <c r="G169" s="9"/>
      <c r="H169" s="9"/>
      <c r="I169" s="10"/>
    </row>
    <row r="170" spans="1:9">
      <c r="A170" s="9"/>
      <c r="B170" s="14"/>
      <c r="C170" s="9"/>
      <c r="D170" s="9"/>
      <c r="E170" s="9"/>
      <c r="F170" s="10"/>
      <c r="G170" s="9"/>
      <c r="H170" s="9"/>
      <c r="I170" s="10"/>
    </row>
    <row r="171" spans="1:9">
      <c r="A171" s="9"/>
      <c r="B171" s="14"/>
      <c r="C171" s="9"/>
      <c r="D171" s="9"/>
      <c r="E171" s="9"/>
      <c r="F171" s="10"/>
      <c r="G171" s="9"/>
      <c r="H171" s="9"/>
      <c r="I171" s="10"/>
    </row>
    <row r="172" spans="1:9">
      <c r="A172" s="9"/>
      <c r="B172" s="14"/>
      <c r="C172" s="9"/>
      <c r="D172" s="9"/>
      <c r="E172" s="9"/>
      <c r="F172" s="10"/>
      <c r="G172" s="9"/>
      <c r="H172" s="9"/>
      <c r="I172" s="10"/>
    </row>
    <row r="173" spans="1:9">
      <c r="A173" s="9"/>
      <c r="B173" s="14"/>
      <c r="C173" s="9"/>
      <c r="D173" s="9"/>
      <c r="E173" s="9"/>
      <c r="F173" s="10"/>
      <c r="G173" s="9"/>
      <c r="H173" s="9"/>
      <c r="I173" s="10"/>
    </row>
    <row r="174" spans="1:9">
      <c r="A174" s="9"/>
      <c r="B174" s="14"/>
      <c r="C174" s="9"/>
      <c r="D174" s="9"/>
      <c r="E174" s="9"/>
      <c r="F174" s="10"/>
      <c r="G174" s="9"/>
      <c r="H174" s="9"/>
      <c r="I174" s="10"/>
    </row>
    <row r="175" spans="1:9">
      <c r="A175" s="9"/>
      <c r="B175" s="14"/>
      <c r="C175" s="9"/>
      <c r="D175" s="9"/>
      <c r="E175" s="9"/>
      <c r="F175" s="10"/>
      <c r="G175" s="9"/>
      <c r="H175" s="9"/>
      <c r="I175" s="10"/>
    </row>
    <row r="176" spans="1:9">
      <c r="A176" s="9"/>
      <c r="B176" s="14"/>
      <c r="C176" s="9"/>
      <c r="D176" s="9"/>
      <c r="E176" s="9"/>
      <c r="F176" s="10"/>
      <c r="G176" s="9"/>
      <c r="H176" s="9"/>
      <c r="I176" s="10"/>
    </row>
    <row r="177" spans="1:9">
      <c r="A177" s="9"/>
      <c r="B177" s="14"/>
      <c r="C177" s="9"/>
      <c r="D177" s="9"/>
      <c r="E177" s="9"/>
      <c r="F177" s="10"/>
      <c r="G177" s="9"/>
      <c r="H177" s="9"/>
      <c r="I177" s="10"/>
    </row>
    <row r="178" spans="1:9">
      <c r="A178" s="9"/>
      <c r="B178" s="14"/>
      <c r="C178" s="9"/>
      <c r="D178" s="9"/>
      <c r="E178" s="9"/>
      <c r="F178" s="10"/>
      <c r="G178" s="9"/>
      <c r="H178" s="9"/>
      <c r="I178" s="10"/>
    </row>
    <row r="179" spans="1:9">
      <c r="A179" s="9"/>
      <c r="B179" s="14"/>
      <c r="C179" s="9"/>
      <c r="D179" s="9"/>
      <c r="E179" s="9"/>
      <c r="F179" s="10"/>
      <c r="G179" s="9"/>
      <c r="H179" s="9"/>
      <c r="I179" s="10"/>
    </row>
    <row r="180" spans="1:9">
      <c r="A180" s="9"/>
      <c r="B180" s="14"/>
      <c r="C180" s="9"/>
      <c r="D180" s="9"/>
      <c r="E180" s="9"/>
      <c r="F180" s="10"/>
      <c r="G180" s="9"/>
      <c r="H180" s="9"/>
      <c r="I180" s="10"/>
    </row>
    <row r="181" spans="1:9">
      <c r="A181" s="9"/>
      <c r="B181" s="14"/>
      <c r="C181" s="9"/>
      <c r="D181" s="9"/>
      <c r="E181" s="9"/>
      <c r="F181" s="10"/>
      <c r="G181" s="9"/>
      <c r="H181" s="9"/>
      <c r="I181" s="10"/>
    </row>
    <row r="182" spans="1:9">
      <c r="A182" s="9"/>
      <c r="B182" s="14"/>
      <c r="C182" s="9"/>
      <c r="D182" s="9"/>
      <c r="E182" s="9"/>
      <c r="F182" s="10"/>
      <c r="G182" s="9"/>
      <c r="H182" s="9"/>
      <c r="I182" s="10"/>
    </row>
    <row r="183" spans="1:9">
      <c r="A183" s="9"/>
      <c r="B183" s="14"/>
      <c r="C183" s="9"/>
      <c r="D183" s="9"/>
      <c r="E183" s="9"/>
      <c r="F183" s="10"/>
      <c r="G183" s="9"/>
      <c r="H183" s="9"/>
      <c r="I183" s="10"/>
    </row>
    <row r="184" spans="1:9">
      <c r="A184" s="9"/>
      <c r="B184" s="14"/>
      <c r="C184" s="9"/>
      <c r="D184" s="9"/>
      <c r="E184" s="9"/>
      <c r="F184" s="10"/>
      <c r="G184" s="9"/>
      <c r="H184" s="9"/>
      <c r="I184" s="10"/>
    </row>
    <row r="185" spans="1:9">
      <c r="A185" s="9"/>
      <c r="B185" s="14"/>
      <c r="C185" s="9"/>
      <c r="D185" s="9"/>
      <c r="E185" s="9"/>
      <c r="F185" s="10"/>
      <c r="G185" s="9"/>
      <c r="H185" s="9"/>
      <c r="I185" s="10"/>
    </row>
    <row r="186" spans="1:9">
      <c r="A186" s="9"/>
      <c r="B186" s="14"/>
      <c r="C186" s="9"/>
      <c r="D186" s="9"/>
      <c r="E186" s="9"/>
      <c r="F186" s="10"/>
      <c r="G186" s="9"/>
      <c r="H186" s="9"/>
      <c r="I186" s="10"/>
    </row>
    <row r="187" spans="1:9">
      <c r="A187" s="9"/>
      <c r="B187" s="14"/>
      <c r="C187" s="9"/>
      <c r="D187" s="9"/>
      <c r="E187" s="9"/>
      <c r="F187" s="10"/>
      <c r="G187" s="9"/>
      <c r="H187" s="9"/>
      <c r="I187" s="10"/>
    </row>
    <row r="188" spans="1:9">
      <c r="A188" s="9"/>
      <c r="B188" s="14"/>
      <c r="C188" s="9"/>
      <c r="D188" s="9"/>
      <c r="E188" s="9"/>
      <c r="F188" s="10"/>
      <c r="G188" s="9"/>
      <c r="H188" s="9"/>
      <c r="I188" s="10"/>
    </row>
    <row r="189" spans="1:9">
      <c r="A189" s="9"/>
      <c r="B189" s="14"/>
      <c r="C189" s="9"/>
      <c r="D189" s="9"/>
      <c r="E189" s="9"/>
      <c r="F189" s="10"/>
      <c r="G189" s="9"/>
      <c r="H189" s="9"/>
      <c r="I189" s="10"/>
    </row>
    <row r="190" spans="1:9">
      <c r="A190" s="9"/>
      <c r="B190" s="14"/>
      <c r="C190" s="9"/>
      <c r="D190" s="9"/>
      <c r="E190" s="9"/>
      <c r="F190" s="10"/>
      <c r="G190" s="9"/>
      <c r="H190" s="9"/>
      <c r="I190" s="10"/>
    </row>
    <row r="191" spans="1:9">
      <c r="A191" s="9"/>
      <c r="B191" s="14"/>
      <c r="C191" s="9"/>
      <c r="D191" s="9"/>
      <c r="E191" s="9"/>
      <c r="F191" s="10"/>
      <c r="G191" s="9"/>
      <c r="H191" s="9"/>
      <c r="I191" s="10"/>
    </row>
    <row r="192" spans="1:9">
      <c r="A192" s="9"/>
      <c r="B192" s="14"/>
      <c r="C192" s="9"/>
      <c r="D192" s="9"/>
      <c r="E192" s="9"/>
      <c r="F192" s="10"/>
      <c r="G192" s="9"/>
      <c r="H192" s="9"/>
      <c r="I192" s="10"/>
    </row>
    <row r="193" spans="1:9">
      <c r="A193" s="9"/>
      <c r="B193" s="14"/>
      <c r="C193" s="9"/>
      <c r="D193" s="9"/>
      <c r="E193" s="9"/>
      <c r="F193" s="10"/>
      <c r="G193" s="9"/>
      <c r="H193" s="9"/>
      <c r="I193" s="10"/>
    </row>
    <row r="194" spans="1:9">
      <c r="A194" s="9"/>
      <c r="B194" s="14"/>
      <c r="C194" s="9"/>
      <c r="D194" s="9"/>
      <c r="E194" s="9"/>
      <c r="F194" s="10"/>
      <c r="G194" s="9"/>
      <c r="H194" s="9"/>
      <c r="I194" s="10"/>
    </row>
    <row r="195" spans="1:9">
      <c r="A195" s="9"/>
      <c r="B195" s="14"/>
      <c r="C195" s="9"/>
      <c r="D195" s="9"/>
      <c r="E195" s="9"/>
      <c r="F195" s="10"/>
      <c r="G195" s="9"/>
      <c r="H195" s="9"/>
      <c r="I195" s="10"/>
    </row>
    <row r="196" spans="1:9">
      <c r="A196" s="9"/>
      <c r="B196" s="14"/>
      <c r="C196" s="9"/>
      <c r="D196" s="9"/>
      <c r="E196" s="9"/>
      <c r="F196" s="10"/>
      <c r="G196" s="9"/>
      <c r="H196" s="9"/>
      <c r="I196" s="10"/>
    </row>
    <row r="197" spans="1:9">
      <c r="A197" s="9"/>
      <c r="B197" s="14"/>
      <c r="C197" s="9"/>
      <c r="D197" s="9"/>
      <c r="E197" s="9"/>
      <c r="F197" s="10"/>
      <c r="G197" s="9"/>
      <c r="H197" s="9"/>
      <c r="I197" s="10"/>
    </row>
    <row r="198" spans="1:9">
      <c r="A198" s="9"/>
      <c r="B198" s="14"/>
      <c r="C198" s="9"/>
      <c r="D198" s="9"/>
      <c r="E198" s="9"/>
      <c r="F198" s="10"/>
      <c r="G198" s="9"/>
      <c r="H198" s="9"/>
      <c r="I198" s="10"/>
    </row>
    <row r="199" spans="1:9">
      <c r="A199" s="9"/>
      <c r="B199" s="14"/>
      <c r="C199" s="9"/>
      <c r="D199" s="9"/>
      <c r="E199" s="9"/>
      <c r="F199" s="10"/>
      <c r="G199" s="9"/>
      <c r="H199" s="9"/>
      <c r="I199" s="10"/>
    </row>
    <row r="200" spans="1:9">
      <c r="A200" s="9"/>
      <c r="B200" s="14"/>
      <c r="C200" s="9"/>
      <c r="D200" s="9"/>
      <c r="E200" s="9"/>
      <c r="F200" s="10"/>
      <c r="G200" s="9"/>
      <c r="H200" s="9"/>
      <c r="I200" s="10"/>
    </row>
    <row r="201" spans="1:9">
      <c r="A201" s="9"/>
      <c r="B201" s="14"/>
      <c r="C201" s="9"/>
      <c r="D201" s="9"/>
      <c r="E201" s="9"/>
      <c r="F201" s="10"/>
      <c r="G201" s="9"/>
      <c r="H201" s="9"/>
      <c r="I201" s="10"/>
    </row>
    <row r="202" spans="1:9">
      <c r="A202" s="9"/>
      <c r="B202" s="14"/>
      <c r="C202" s="9"/>
      <c r="D202" s="9"/>
      <c r="E202" s="9"/>
      <c r="F202" s="10"/>
      <c r="G202" s="9"/>
      <c r="H202" s="9"/>
      <c r="I202" s="10"/>
    </row>
    <row r="203" spans="1:9">
      <c r="A203" s="9"/>
      <c r="B203" s="14"/>
      <c r="C203" s="9"/>
      <c r="D203" s="9"/>
      <c r="E203" s="9"/>
      <c r="F203" s="10"/>
      <c r="G203" s="9"/>
      <c r="H203" s="9"/>
      <c r="I203" s="10"/>
    </row>
    <row r="204" spans="1:9">
      <c r="A204" s="9"/>
      <c r="B204" s="14"/>
      <c r="C204" s="9"/>
      <c r="D204" s="9"/>
      <c r="E204" s="9"/>
      <c r="F204" s="10"/>
      <c r="G204" s="9"/>
      <c r="H204" s="9"/>
      <c r="I204" s="10"/>
    </row>
    <row r="205" spans="1:9">
      <c r="A205" s="9"/>
      <c r="B205" s="14"/>
      <c r="C205" s="9"/>
      <c r="D205" s="9"/>
      <c r="E205" s="9"/>
      <c r="F205" s="10"/>
      <c r="G205" s="9"/>
      <c r="H205" s="9"/>
      <c r="I205" s="10"/>
    </row>
    <row r="206" spans="1:9">
      <c r="A206" s="9"/>
      <c r="B206" s="14"/>
      <c r="C206" s="9"/>
      <c r="D206" s="9"/>
      <c r="E206" s="9"/>
      <c r="F206" s="10"/>
      <c r="G206" s="9"/>
      <c r="H206" s="9"/>
      <c r="I206" s="10"/>
    </row>
    <row r="207" spans="1:9">
      <c r="A207" s="9"/>
      <c r="B207" s="14"/>
      <c r="C207" s="9"/>
      <c r="D207" s="9"/>
      <c r="E207" s="9"/>
      <c r="F207" s="10"/>
      <c r="G207" s="9"/>
      <c r="H207" s="9"/>
      <c r="I207" s="10"/>
    </row>
    <row r="208" spans="1:9">
      <c r="A208" s="9"/>
      <c r="B208" s="14"/>
      <c r="C208" s="9"/>
      <c r="D208" s="9"/>
      <c r="E208" s="9"/>
      <c r="F208" s="10"/>
      <c r="G208" s="9"/>
      <c r="H208" s="9"/>
      <c r="I208" s="10"/>
    </row>
    <row r="209" spans="1:9">
      <c r="A209" s="9"/>
      <c r="B209" s="14"/>
      <c r="C209" s="9"/>
      <c r="D209" s="9"/>
      <c r="E209" s="9"/>
      <c r="F209" s="10"/>
      <c r="G209" s="9"/>
      <c r="H209" s="9"/>
      <c r="I209" s="10"/>
    </row>
    <row r="210" spans="1:9">
      <c r="A210" s="9"/>
      <c r="B210" s="14"/>
      <c r="C210" s="9"/>
      <c r="D210" s="9"/>
      <c r="E210" s="9"/>
      <c r="F210" s="10"/>
      <c r="G210" s="9"/>
      <c r="H210" s="9"/>
      <c r="I210" s="10"/>
    </row>
    <row r="211" spans="1:9">
      <c r="A211" s="9"/>
      <c r="B211" s="14"/>
      <c r="C211" s="9"/>
      <c r="D211" s="9"/>
      <c r="E211" s="9"/>
      <c r="F211" s="10"/>
      <c r="G211" s="9"/>
      <c r="H211" s="9"/>
      <c r="I211" s="10"/>
    </row>
    <row r="212" spans="1:9">
      <c r="A212" s="9"/>
      <c r="B212" s="14"/>
      <c r="C212" s="9"/>
      <c r="D212" s="9"/>
      <c r="E212" s="9"/>
      <c r="F212" s="10"/>
      <c r="G212" s="9"/>
      <c r="H212" s="9"/>
      <c r="I212" s="10"/>
    </row>
    <row r="213" spans="1:9">
      <c r="A213" s="9"/>
      <c r="B213" s="14"/>
      <c r="C213" s="9"/>
      <c r="D213" s="9"/>
      <c r="E213" s="9"/>
      <c r="F213" s="10"/>
      <c r="G213" s="9"/>
      <c r="H213" s="9"/>
      <c r="I213" s="10"/>
    </row>
    <row r="214" spans="1:9">
      <c r="A214" s="9"/>
      <c r="B214" s="14"/>
      <c r="C214" s="9"/>
      <c r="D214" s="9"/>
      <c r="E214" s="9"/>
      <c r="F214" s="10"/>
      <c r="G214" s="9"/>
      <c r="H214" s="9"/>
      <c r="I214" s="10"/>
    </row>
    <row r="215" spans="1:9">
      <c r="A215" s="9"/>
      <c r="B215" s="14"/>
      <c r="C215" s="9"/>
      <c r="D215" s="9"/>
      <c r="E215" s="9"/>
      <c r="F215" s="10"/>
      <c r="G215" s="9"/>
      <c r="H215" s="9"/>
      <c r="I215" s="10"/>
    </row>
    <row r="216" spans="1:9">
      <c r="A216" s="9"/>
      <c r="B216" s="14"/>
      <c r="C216" s="9"/>
      <c r="D216" s="9"/>
      <c r="E216" s="9"/>
      <c r="F216" s="10"/>
      <c r="G216" s="9"/>
      <c r="H216" s="9"/>
      <c r="I216" s="10"/>
    </row>
    <row r="217" spans="1:9">
      <c r="A217" s="9"/>
      <c r="B217" s="14"/>
      <c r="C217" s="9"/>
      <c r="D217" s="9"/>
      <c r="E217" s="9"/>
      <c r="F217" s="10"/>
      <c r="G217" s="9"/>
      <c r="H217" s="9"/>
      <c r="I217" s="10"/>
    </row>
    <row r="218" spans="1:9">
      <c r="A218" s="9"/>
      <c r="B218" s="14"/>
      <c r="C218" s="9"/>
      <c r="D218" s="9"/>
      <c r="E218" s="9"/>
      <c r="F218" s="10"/>
      <c r="G218" s="9"/>
      <c r="H218" s="9"/>
      <c r="I218" s="10"/>
    </row>
    <row r="219" spans="1:9">
      <c r="A219" s="9"/>
      <c r="B219" s="14"/>
      <c r="C219" s="9"/>
      <c r="D219" s="9"/>
      <c r="E219" s="9"/>
      <c r="F219" s="10"/>
      <c r="G219" s="9"/>
      <c r="H219" s="9"/>
      <c r="I219" s="10"/>
    </row>
    <row r="220" spans="1:9">
      <c r="A220" s="9"/>
      <c r="B220" s="14"/>
      <c r="C220" s="9"/>
      <c r="D220" s="9"/>
      <c r="E220" s="9"/>
      <c r="F220" s="10"/>
      <c r="G220" s="9"/>
      <c r="H220" s="9"/>
      <c r="I220" s="10"/>
    </row>
    <row r="221" spans="1:9">
      <c r="A221" s="9"/>
      <c r="B221" s="14"/>
      <c r="C221" s="9"/>
      <c r="D221" s="9"/>
      <c r="E221" s="9"/>
      <c r="F221" s="10"/>
      <c r="G221" s="9"/>
      <c r="H221" s="9"/>
      <c r="I221" s="10"/>
    </row>
    <row r="222" spans="1:9">
      <c r="A222" s="9"/>
      <c r="B222" s="14"/>
      <c r="C222" s="9"/>
      <c r="D222" s="9"/>
      <c r="E222" s="9"/>
      <c r="F222" s="10"/>
      <c r="G222" s="9"/>
      <c r="H222" s="9"/>
      <c r="I222" s="10"/>
    </row>
    <row r="223" spans="1:9">
      <c r="A223" s="9"/>
      <c r="B223" s="14"/>
      <c r="C223" s="9"/>
      <c r="D223" s="9"/>
      <c r="E223" s="9"/>
      <c r="F223" s="10"/>
      <c r="G223" s="9"/>
      <c r="H223" s="9"/>
      <c r="I223" s="10"/>
    </row>
    <row r="224" spans="1:9">
      <c r="A224" s="9"/>
      <c r="B224" s="14"/>
      <c r="C224" s="9"/>
      <c r="D224" s="9"/>
      <c r="E224" s="9"/>
      <c r="F224" s="10"/>
      <c r="G224" s="9"/>
      <c r="H224" s="9"/>
      <c r="I224" s="10"/>
    </row>
    <row r="225" spans="1:9">
      <c r="A225" s="9"/>
      <c r="B225" s="14"/>
      <c r="C225" s="9"/>
      <c r="D225" s="9"/>
      <c r="E225" s="9"/>
      <c r="F225" s="10"/>
      <c r="G225" s="9"/>
      <c r="H225" s="9"/>
      <c r="I225" s="10"/>
    </row>
    <row r="226" spans="1:9">
      <c r="A226" s="9"/>
      <c r="B226" s="14"/>
      <c r="C226" s="9"/>
      <c r="D226" s="9"/>
      <c r="E226" s="9"/>
      <c r="F226" s="10"/>
      <c r="G226" s="9"/>
      <c r="H226" s="9"/>
      <c r="I226" s="10"/>
    </row>
    <row r="227" spans="1:9">
      <c r="A227" s="9"/>
      <c r="B227" s="14"/>
      <c r="C227" s="9"/>
      <c r="D227" s="9"/>
      <c r="E227" s="9"/>
      <c r="F227" s="10"/>
      <c r="G227" s="9"/>
      <c r="H227" s="9"/>
      <c r="I227" s="10"/>
    </row>
    <row r="228" spans="1:9">
      <c r="A228" s="9"/>
      <c r="B228" s="14"/>
      <c r="C228" s="9"/>
      <c r="D228" s="9"/>
      <c r="E228" s="9"/>
      <c r="F228" s="10"/>
      <c r="G228" s="9"/>
      <c r="H228" s="9"/>
      <c r="I228" s="10"/>
    </row>
    <row r="229" spans="1:9">
      <c r="A229" s="9"/>
      <c r="B229" s="14"/>
      <c r="C229" s="9"/>
      <c r="D229" s="9"/>
      <c r="E229" s="9"/>
      <c r="F229" s="10"/>
      <c r="G229" s="9"/>
      <c r="H229" s="9"/>
      <c r="I229" s="10"/>
    </row>
    <row r="230" spans="1:9">
      <c r="A230" s="9"/>
      <c r="B230" s="14"/>
      <c r="C230" s="9"/>
      <c r="D230" s="9"/>
      <c r="E230" s="9"/>
      <c r="F230" s="10"/>
      <c r="G230" s="9"/>
      <c r="H230" s="9"/>
      <c r="I230" s="10"/>
    </row>
    <row r="231" spans="1:9">
      <c r="A231" s="9"/>
      <c r="B231" s="14"/>
      <c r="C231" s="9"/>
      <c r="D231" s="9"/>
      <c r="E231" s="9"/>
      <c r="F231" s="10"/>
      <c r="G231" s="9"/>
      <c r="H231" s="9"/>
      <c r="I231" s="10"/>
    </row>
    <row r="232" spans="1:9">
      <c r="A232" s="9"/>
      <c r="B232" s="14"/>
      <c r="C232" s="9"/>
      <c r="D232" s="9"/>
      <c r="E232" s="9"/>
      <c r="F232" s="10"/>
      <c r="G232" s="9"/>
      <c r="H232" s="9"/>
      <c r="I232" s="10"/>
    </row>
    <row r="233" spans="1:9">
      <c r="A233" s="9"/>
      <c r="B233" s="14"/>
      <c r="C233" s="9"/>
      <c r="D233" s="9"/>
      <c r="E233" s="9"/>
      <c r="F233" s="10"/>
      <c r="G233" s="9"/>
      <c r="H233" s="9"/>
      <c r="I233" s="10"/>
    </row>
    <row r="234" spans="1:9">
      <c r="A234" s="9"/>
      <c r="B234" s="14"/>
      <c r="C234" s="9"/>
      <c r="D234" s="9"/>
      <c r="E234" s="9"/>
      <c r="F234" s="10"/>
      <c r="G234" s="9"/>
      <c r="H234" s="9"/>
      <c r="I234" s="10"/>
    </row>
    <row r="235" spans="1:9">
      <c r="A235" s="9"/>
      <c r="B235" s="14"/>
      <c r="C235" s="9"/>
      <c r="D235" s="9"/>
      <c r="E235" s="9"/>
      <c r="F235" s="10"/>
      <c r="G235" s="9"/>
      <c r="H235" s="9"/>
      <c r="I235" s="10"/>
    </row>
    <row r="236" spans="1:9">
      <c r="A236" s="9"/>
      <c r="B236" s="14"/>
      <c r="C236" s="9"/>
      <c r="D236" s="9"/>
      <c r="E236" s="9"/>
      <c r="F236" s="10"/>
      <c r="G236" s="9"/>
      <c r="H236" s="9"/>
      <c r="I236" s="10"/>
    </row>
    <row r="237" spans="1:9">
      <c r="A237" s="9"/>
      <c r="B237" s="14"/>
      <c r="C237" s="9"/>
      <c r="D237" s="9"/>
      <c r="E237" s="9"/>
      <c r="F237" s="10"/>
      <c r="G237" s="9"/>
      <c r="H237" s="9"/>
      <c r="I237" s="10"/>
    </row>
    <row r="238" spans="1:9">
      <c r="A238" s="9"/>
      <c r="B238" s="14"/>
      <c r="C238" s="9"/>
      <c r="D238" s="9"/>
      <c r="E238" s="9"/>
      <c r="F238" s="10"/>
      <c r="G238" s="9"/>
      <c r="H238" s="9"/>
      <c r="I238" s="10"/>
    </row>
    <row r="239" spans="1:9">
      <c r="A239" s="9"/>
      <c r="B239" s="14"/>
      <c r="C239" s="9"/>
      <c r="D239" s="9"/>
      <c r="E239" s="9"/>
      <c r="F239" s="10"/>
      <c r="G239" s="9"/>
      <c r="H239" s="9"/>
      <c r="I239" s="10"/>
    </row>
    <row r="240" spans="1:9">
      <c r="A240" s="9"/>
      <c r="B240" s="14"/>
      <c r="C240" s="9"/>
      <c r="D240" s="9"/>
      <c r="E240" s="9"/>
      <c r="F240" s="10"/>
      <c r="G240" s="9"/>
      <c r="H240" s="9"/>
      <c r="I240" s="10"/>
    </row>
    <row r="241" spans="1:9">
      <c r="A241" s="9"/>
      <c r="B241" s="14"/>
      <c r="C241" s="9"/>
      <c r="D241" s="9"/>
      <c r="E241" s="9"/>
      <c r="F241" s="10"/>
      <c r="G241" s="9"/>
      <c r="H241" s="9"/>
      <c r="I241" s="10"/>
    </row>
    <row r="242" spans="1:9">
      <c r="A242" s="9"/>
      <c r="B242" s="14"/>
      <c r="C242" s="9"/>
      <c r="D242" s="9"/>
      <c r="E242" s="9"/>
      <c r="F242" s="10"/>
      <c r="G242" s="9"/>
      <c r="H242" s="9"/>
      <c r="I242" s="10"/>
    </row>
    <row r="243" spans="1:9">
      <c r="A243" s="9"/>
      <c r="B243" s="14"/>
      <c r="C243" s="9"/>
      <c r="D243" s="9"/>
      <c r="E243" s="9"/>
      <c r="F243" s="10"/>
      <c r="G243" s="9"/>
      <c r="H243" s="9"/>
      <c r="I243" s="10"/>
    </row>
    <row r="244" spans="1:9">
      <c r="A244" s="9"/>
      <c r="B244" s="14"/>
      <c r="C244" s="9"/>
      <c r="D244" s="9"/>
      <c r="E244" s="9"/>
      <c r="F244" s="10"/>
      <c r="G244" s="9"/>
      <c r="H244" s="9"/>
      <c r="I244" s="10"/>
    </row>
    <row r="245" spans="1:9">
      <c r="A245" s="9"/>
      <c r="B245" s="14"/>
      <c r="C245" s="9"/>
      <c r="D245" s="9"/>
      <c r="E245" s="9"/>
      <c r="F245" s="10"/>
      <c r="G245" s="9"/>
      <c r="H245" s="9"/>
      <c r="I245" s="10"/>
    </row>
    <row r="246" spans="1:9">
      <c r="A246" s="9"/>
      <c r="B246" s="14"/>
      <c r="C246" s="9"/>
      <c r="D246" s="9"/>
      <c r="E246" s="9"/>
      <c r="F246" s="10"/>
      <c r="G246" s="9"/>
      <c r="H246" s="9"/>
      <c r="I246" s="10"/>
    </row>
    <row r="247" spans="1:9">
      <c r="A247" s="9"/>
      <c r="B247" s="14"/>
      <c r="C247" s="9"/>
      <c r="D247" s="9"/>
      <c r="E247" s="9"/>
      <c r="F247" s="10"/>
      <c r="G247" s="9"/>
      <c r="H247" s="9"/>
      <c r="I247" s="10"/>
    </row>
    <row r="248" spans="1:9">
      <c r="A248" s="9"/>
      <c r="B248" s="14"/>
      <c r="C248" s="9"/>
      <c r="D248" s="9"/>
      <c r="E248" s="9"/>
      <c r="F248" s="10"/>
      <c r="G248" s="9"/>
      <c r="H248" s="9"/>
      <c r="I248" s="10"/>
    </row>
    <row r="249" spans="1:9">
      <c r="A249" s="9"/>
      <c r="B249" s="14"/>
      <c r="C249" s="9"/>
      <c r="D249" s="9"/>
      <c r="E249" s="9"/>
      <c r="F249" s="10"/>
      <c r="G249" s="9"/>
      <c r="H249" s="9"/>
      <c r="I249" s="10"/>
    </row>
    <row r="250" spans="1:9">
      <c r="A250" s="9"/>
      <c r="B250" s="14"/>
      <c r="C250" s="9"/>
      <c r="D250" s="9"/>
      <c r="E250" s="9"/>
      <c r="F250" s="10"/>
      <c r="G250" s="9"/>
      <c r="H250" s="9"/>
      <c r="I250" s="10"/>
    </row>
    <row r="251" spans="1:9">
      <c r="A251" s="9"/>
      <c r="B251" s="14"/>
      <c r="C251" s="9"/>
      <c r="D251" s="9"/>
      <c r="E251" s="9"/>
      <c r="F251" s="10"/>
      <c r="G251" s="9"/>
      <c r="H251" s="9"/>
      <c r="I251" s="10"/>
    </row>
    <row r="252" spans="1:9">
      <c r="A252" s="9"/>
      <c r="B252" s="14"/>
      <c r="C252" s="9"/>
      <c r="D252" s="9"/>
      <c r="E252" s="9"/>
      <c r="F252" s="10"/>
      <c r="G252" s="9"/>
      <c r="H252" s="9"/>
      <c r="I252" s="10"/>
    </row>
    <row r="253" spans="1:9">
      <c r="A253" s="9"/>
      <c r="B253" s="14"/>
      <c r="C253" s="9"/>
      <c r="D253" s="9"/>
      <c r="E253" s="9"/>
      <c r="F253" s="10"/>
      <c r="G253" s="9"/>
      <c r="H253" s="9"/>
      <c r="I253" s="10"/>
    </row>
    <row r="254" spans="1:9">
      <c r="A254" s="9"/>
      <c r="B254" s="14"/>
      <c r="C254" s="9"/>
      <c r="D254" s="9"/>
      <c r="E254" s="9"/>
      <c r="F254" s="10"/>
      <c r="G254" s="9"/>
      <c r="H254" s="9"/>
      <c r="I254" s="10"/>
    </row>
    <row r="255" spans="1:9">
      <c r="A255" s="9"/>
      <c r="B255" s="14"/>
      <c r="C255" s="9"/>
      <c r="D255" s="9"/>
      <c r="E255" s="9"/>
      <c r="F255" s="10"/>
      <c r="G255" s="9"/>
      <c r="H255" s="9"/>
      <c r="I255" s="10"/>
    </row>
    <row r="256" spans="1:9">
      <c r="A256" s="9"/>
      <c r="B256" s="14"/>
      <c r="C256" s="9"/>
      <c r="D256" s="9"/>
      <c r="E256" s="9"/>
      <c r="F256" s="10"/>
      <c r="G256" s="9"/>
      <c r="H256" s="9"/>
      <c r="I256" s="10"/>
    </row>
    <row r="257" spans="1:9">
      <c r="A257" s="9"/>
      <c r="B257" s="14"/>
      <c r="C257" s="9"/>
      <c r="D257" s="9"/>
      <c r="E257" s="9"/>
      <c r="F257" s="10"/>
      <c r="G257" s="9"/>
      <c r="H257" s="9"/>
      <c r="I257" s="10"/>
    </row>
    <row r="258" spans="1:9">
      <c r="A258" s="9"/>
      <c r="B258" s="14"/>
      <c r="C258" s="9"/>
      <c r="D258" s="9"/>
      <c r="E258" s="9"/>
      <c r="F258" s="10"/>
      <c r="G258" s="9"/>
      <c r="H258" s="9"/>
      <c r="I258" s="10"/>
    </row>
    <row r="259" spans="1:9">
      <c r="A259" s="9"/>
      <c r="B259" s="14"/>
      <c r="C259" s="9"/>
      <c r="D259" s="9"/>
      <c r="E259" s="9"/>
      <c r="F259" s="10"/>
      <c r="G259" s="9"/>
      <c r="H259" s="9"/>
      <c r="I259" s="10"/>
    </row>
    <row r="260" spans="1:9">
      <c r="A260" s="9"/>
      <c r="B260" s="14"/>
      <c r="C260" s="9"/>
      <c r="D260" s="9"/>
      <c r="E260" s="9"/>
      <c r="F260" s="10"/>
      <c r="G260" s="9"/>
      <c r="H260" s="9"/>
      <c r="I260" s="10"/>
    </row>
    <row r="261" spans="1:9">
      <c r="A261" s="9"/>
      <c r="B261" s="14"/>
      <c r="C261" s="9"/>
      <c r="D261" s="9"/>
      <c r="E261" s="9"/>
      <c r="F261" s="10"/>
      <c r="G261" s="9"/>
      <c r="H261" s="9"/>
      <c r="I261" s="10"/>
    </row>
    <row r="262" spans="1:9">
      <c r="A262" s="9"/>
      <c r="B262" s="14"/>
      <c r="C262" s="9"/>
      <c r="D262" s="9"/>
      <c r="E262" s="9"/>
      <c r="F262" s="10"/>
      <c r="G262" s="9"/>
      <c r="H262" s="9"/>
      <c r="I262" s="10"/>
    </row>
    <row r="263" spans="1:9">
      <c r="A263" s="9"/>
      <c r="B263" s="14"/>
      <c r="C263" s="9"/>
      <c r="D263" s="9"/>
      <c r="E263" s="9"/>
      <c r="F263" s="10"/>
      <c r="G263" s="9"/>
      <c r="H263" s="9"/>
      <c r="I263" s="10"/>
    </row>
    <row r="264" spans="1:9">
      <c r="A264" s="9"/>
      <c r="B264" s="14"/>
      <c r="C264" s="9"/>
      <c r="D264" s="9"/>
      <c r="E264" s="9"/>
      <c r="F264" s="10"/>
      <c r="G264" s="9"/>
      <c r="H264" s="9"/>
      <c r="I264" s="10"/>
    </row>
    <row r="265" spans="1:9">
      <c r="A265" s="9"/>
      <c r="B265" s="14"/>
      <c r="C265" s="9"/>
      <c r="D265" s="9"/>
      <c r="E265" s="9"/>
      <c r="F265" s="10"/>
      <c r="G265" s="9"/>
      <c r="H265" s="9"/>
      <c r="I265" s="10"/>
    </row>
    <row r="266" spans="1:9">
      <c r="A266" s="9"/>
      <c r="B266" s="14"/>
      <c r="C266" s="9"/>
      <c r="D266" s="9"/>
      <c r="E266" s="9"/>
      <c r="F266" s="10"/>
      <c r="G266" s="9"/>
      <c r="H266" s="9"/>
      <c r="I266" s="10"/>
    </row>
    <row r="267" spans="1:9">
      <c r="A267" s="9"/>
      <c r="B267" s="14"/>
      <c r="C267" s="9"/>
      <c r="D267" s="9"/>
      <c r="E267" s="9"/>
      <c r="F267" s="10"/>
      <c r="G267" s="9"/>
      <c r="H267" s="9"/>
      <c r="I267" s="10"/>
    </row>
    <row r="268" spans="1:9">
      <c r="A268" s="9"/>
      <c r="B268" s="14"/>
      <c r="C268" s="9"/>
      <c r="D268" s="9"/>
      <c r="E268" s="9"/>
      <c r="F268" s="10"/>
      <c r="G268" s="9"/>
      <c r="H268" s="9"/>
      <c r="I268" s="10"/>
    </row>
    <row r="269" spans="1:9">
      <c r="A269" s="9"/>
      <c r="B269" s="14"/>
      <c r="C269" s="9"/>
      <c r="D269" s="9"/>
      <c r="E269" s="9"/>
      <c r="F269" s="10"/>
      <c r="G269" s="9"/>
      <c r="H269" s="9"/>
      <c r="I269" s="10"/>
    </row>
    <row r="270" spans="1:9">
      <c r="A270" s="9"/>
      <c r="B270" s="14"/>
      <c r="C270" s="9"/>
      <c r="D270" s="9"/>
      <c r="E270" s="9"/>
      <c r="F270" s="10"/>
      <c r="G270" s="9"/>
      <c r="H270" s="9"/>
      <c r="I270" s="10"/>
    </row>
    <row r="271" spans="1:9">
      <c r="A271" s="9"/>
      <c r="B271" s="14"/>
      <c r="C271" s="9"/>
      <c r="D271" s="9"/>
      <c r="E271" s="9"/>
      <c r="F271" s="10"/>
      <c r="G271" s="9"/>
      <c r="H271" s="9"/>
      <c r="I271" s="10"/>
    </row>
    <row r="272" spans="1:9">
      <c r="A272" s="9"/>
      <c r="B272" s="14"/>
      <c r="C272" s="9"/>
      <c r="D272" s="9"/>
      <c r="E272" s="9"/>
      <c r="F272" s="10"/>
      <c r="G272" s="9"/>
      <c r="H272" s="9"/>
      <c r="I272" s="10"/>
    </row>
    <row r="273" spans="1:9">
      <c r="A273" s="9"/>
      <c r="B273" s="14"/>
      <c r="C273" s="9"/>
      <c r="D273" s="9"/>
      <c r="E273" s="9"/>
      <c r="F273" s="10"/>
      <c r="G273" s="9"/>
      <c r="H273" s="9"/>
      <c r="I273" s="10"/>
    </row>
    <row r="274" spans="1:9">
      <c r="A274" s="9"/>
      <c r="B274" s="14"/>
      <c r="C274" s="9"/>
      <c r="D274" s="9"/>
      <c r="E274" s="9"/>
      <c r="F274" s="10"/>
      <c r="G274" s="9"/>
      <c r="H274" s="9"/>
      <c r="I274" s="10"/>
    </row>
    <row r="275" spans="1:9">
      <c r="A275" s="9"/>
      <c r="B275" s="14"/>
      <c r="C275" s="9"/>
      <c r="D275" s="9"/>
      <c r="E275" s="9"/>
      <c r="F275" s="10"/>
      <c r="G275" s="9"/>
      <c r="H275" s="9"/>
      <c r="I275" s="10"/>
    </row>
    <row r="276" spans="1:9">
      <c r="A276" s="9"/>
      <c r="B276" s="14"/>
      <c r="C276" s="9"/>
      <c r="D276" s="9"/>
      <c r="E276" s="9"/>
      <c r="F276" s="10"/>
      <c r="G276" s="9"/>
      <c r="H276" s="9"/>
      <c r="I276" s="10"/>
    </row>
    <row r="277" spans="1:9">
      <c r="A277" s="9"/>
      <c r="B277" s="14"/>
      <c r="C277" s="9"/>
      <c r="D277" s="9"/>
      <c r="E277" s="9"/>
      <c r="F277" s="10"/>
      <c r="G277" s="9"/>
      <c r="H277" s="9"/>
      <c r="I277" s="10"/>
    </row>
    <row r="278" spans="1:9">
      <c r="A278" s="9"/>
      <c r="B278" s="14"/>
      <c r="C278" s="9"/>
      <c r="D278" s="9"/>
      <c r="E278" s="9"/>
      <c r="F278" s="10"/>
      <c r="G278" s="9"/>
      <c r="H278" s="9"/>
      <c r="I278" s="10"/>
    </row>
    <row r="279" spans="1:9">
      <c r="A279" s="9"/>
      <c r="B279" s="14"/>
      <c r="C279" s="9"/>
      <c r="D279" s="9"/>
      <c r="E279" s="9"/>
      <c r="F279" s="10"/>
      <c r="G279" s="9"/>
      <c r="H279" s="9"/>
      <c r="I279" s="10"/>
    </row>
    <row r="280" spans="1:9">
      <c r="A280" s="9"/>
      <c r="B280" s="14"/>
      <c r="C280" s="9"/>
      <c r="D280" s="9"/>
      <c r="E280" s="9"/>
      <c r="F280" s="10"/>
      <c r="G280" s="9"/>
      <c r="H280" s="9"/>
      <c r="I280" s="10"/>
    </row>
    <row r="281" spans="1:9">
      <c r="A281" s="9"/>
      <c r="B281" s="14"/>
      <c r="C281" s="9"/>
      <c r="D281" s="9"/>
      <c r="E281" s="9"/>
      <c r="F281" s="10"/>
      <c r="G281" s="9"/>
      <c r="H281" s="9"/>
      <c r="I281" s="10"/>
    </row>
    <row r="282" spans="1:9">
      <c r="A282" s="9"/>
      <c r="B282" s="14"/>
      <c r="C282" s="9"/>
      <c r="D282" s="9"/>
      <c r="E282" s="9"/>
      <c r="F282" s="10"/>
      <c r="G282" s="9"/>
      <c r="H282" s="9"/>
      <c r="I282" s="10"/>
    </row>
    <row r="283" spans="1:9">
      <c r="A283" s="9"/>
      <c r="B283" s="14"/>
      <c r="C283" s="9"/>
      <c r="D283" s="9"/>
      <c r="E283" s="9"/>
      <c r="F283" s="10"/>
      <c r="G283" s="9"/>
      <c r="H283" s="9"/>
      <c r="I283" s="10"/>
    </row>
    <row r="284" spans="1:9">
      <c r="A284" s="9"/>
      <c r="B284" s="14"/>
      <c r="C284" s="9"/>
      <c r="D284" s="9"/>
      <c r="E284" s="9"/>
      <c r="F284" s="10"/>
      <c r="G284" s="9"/>
      <c r="H284" s="9"/>
      <c r="I284" s="10"/>
    </row>
    <row r="285" spans="1:9">
      <c r="A285" s="9"/>
      <c r="B285" s="14"/>
      <c r="C285" s="9"/>
      <c r="D285" s="9"/>
      <c r="E285" s="9"/>
      <c r="F285" s="10"/>
      <c r="G285" s="9"/>
      <c r="H285" s="9"/>
      <c r="I285" s="10"/>
    </row>
    <row r="286" spans="1:9">
      <c r="A286" s="9"/>
      <c r="B286" s="14"/>
      <c r="C286" s="9"/>
      <c r="D286" s="9"/>
      <c r="E286" s="9"/>
      <c r="F286" s="10"/>
      <c r="G286" s="9"/>
      <c r="H286" s="9"/>
      <c r="I286" s="10"/>
    </row>
    <row r="287" spans="1:9">
      <c r="A287" s="9"/>
      <c r="B287" s="14"/>
      <c r="C287" s="9"/>
      <c r="D287" s="9"/>
      <c r="E287" s="9"/>
      <c r="F287" s="10"/>
      <c r="G287" s="9"/>
      <c r="H287" s="9"/>
      <c r="I287" s="10"/>
    </row>
    <row r="288" spans="1:9">
      <c r="A288" s="9"/>
      <c r="B288" s="14"/>
      <c r="C288" s="9"/>
      <c r="D288" s="9"/>
      <c r="E288" s="9"/>
      <c r="F288" s="10"/>
      <c r="G288" s="9"/>
      <c r="H288" s="9"/>
      <c r="I288" s="10"/>
    </row>
    <row r="289" spans="1:9">
      <c r="A289" s="9"/>
      <c r="B289" s="14"/>
      <c r="C289" s="9"/>
      <c r="D289" s="9"/>
      <c r="E289" s="9"/>
      <c r="F289" s="10"/>
      <c r="G289" s="9"/>
      <c r="H289" s="9"/>
      <c r="I289" s="10"/>
    </row>
    <row r="290" spans="1:9">
      <c r="A290" s="9"/>
      <c r="B290" s="14"/>
      <c r="C290" s="9"/>
      <c r="D290" s="9"/>
      <c r="E290" s="9"/>
      <c r="F290" s="10"/>
      <c r="G290" s="9"/>
      <c r="H290" s="9"/>
      <c r="I290" s="10"/>
    </row>
    <row r="291" spans="1:9">
      <c r="A291" s="9"/>
      <c r="B291" s="14"/>
      <c r="C291" s="9"/>
      <c r="D291" s="9"/>
      <c r="E291" s="9"/>
      <c r="F291" s="10"/>
      <c r="G291" s="9"/>
      <c r="H291" s="9"/>
      <c r="I291" s="10"/>
    </row>
    <row r="292" spans="1:9">
      <c r="A292" s="9"/>
      <c r="B292" s="14"/>
      <c r="C292" s="9"/>
      <c r="D292" s="9"/>
      <c r="E292" s="9"/>
      <c r="F292" s="10"/>
      <c r="G292" s="9"/>
      <c r="H292" s="9"/>
      <c r="I292" s="10"/>
    </row>
    <row r="293" spans="1:9">
      <c r="A293" s="9"/>
      <c r="B293" s="14"/>
      <c r="C293" s="9"/>
      <c r="D293" s="9"/>
      <c r="E293" s="9"/>
      <c r="F293" s="10"/>
      <c r="G293" s="9"/>
      <c r="H293" s="9"/>
      <c r="I293" s="10"/>
    </row>
    <row r="294" spans="1:9">
      <c r="A294" s="9"/>
      <c r="B294" s="14"/>
      <c r="C294" s="9"/>
      <c r="D294" s="9"/>
      <c r="E294" s="9"/>
      <c r="F294" s="10"/>
      <c r="G294" s="9"/>
      <c r="H294" s="9"/>
      <c r="I294" s="10"/>
    </row>
    <row r="295" spans="1:9">
      <c r="A295" s="9"/>
      <c r="B295" s="14"/>
      <c r="C295" s="9"/>
      <c r="D295" s="9"/>
      <c r="E295" s="9"/>
      <c r="F295" s="10"/>
      <c r="G295" s="9"/>
      <c r="H295" s="9"/>
      <c r="I295" s="10"/>
    </row>
    <row r="296" spans="1:9">
      <c r="A296" s="9"/>
      <c r="B296" s="14"/>
      <c r="C296" s="9"/>
      <c r="D296" s="9"/>
      <c r="E296" s="9"/>
      <c r="F296" s="10"/>
      <c r="G296" s="9"/>
      <c r="H296" s="9"/>
      <c r="I296" s="10"/>
    </row>
    <row r="297" spans="1:9">
      <c r="A297" s="9"/>
      <c r="B297" s="14"/>
      <c r="C297" s="9"/>
      <c r="D297" s="9"/>
      <c r="E297" s="9"/>
      <c r="F297" s="10"/>
      <c r="G297" s="9"/>
      <c r="H297" s="9"/>
      <c r="I297" s="10"/>
    </row>
    <row r="298" spans="1:9">
      <c r="A298" s="9"/>
      <c r="B298" s="14"/>
      <c r="C298" s="9"/>
      <c r="D298" s="9"/>
      <c r="E298" s="9"/>
      <c r="F298" s="10"/>
      <c r="G298" s="9"/>
      <c r="H298" s="9"/>
      <c r="I298" s="10"/>
    </row>
    <row r="299" spans="1:9">
      <c r="A299" s="9"/>
      <c r="B299" s="14"/>
      <c r="C299" s="9"/>
      <c r="D299" s="9"/>
      <c r="E299" s="9"/>
      <c r="F299" s="10"/>
      <c r="G299" s="9"/>
      <c r="H299" s="9"/>
      <c r="I299" s="10"/>
    </row>
    <row r="300" spans="1:9">
      <c r="A300" s="9"/>
      <c r="B300" s="14"/>
      <c r="C300" s="9"/>
      <c r="D300" s="9"/>
      <c r="E300" s="9"/>
      <c r="F300" s="10"/>
      <c r="G300" s="9"/>
      <c r="H300" s="9"/>
      <c r="I300" s="10"/>
    </row>
    <row r="301" spans="1:9">
      <c r="A301" s="9"/>
      <c r="B301" s="14"/>
      <c r="C301" s="9"/>
      <c r="D301" s="9"/>
      <c r="E301" s="9"/>
      <c r="F301" s="10"/>
      <c r="G301" s="9"/>
      <c r="H301" s="9"/>
      <c r="I301" s="10"/>
    </row>
    <row r="302" spans="1:9">
      <c r="A302" s="9"/>
      <c r="B302" s="14"/>
      <c r="C302" s="9"/>
      <c r="D302" s="9"/>
      <c r="E302" s="9"/>
      <c r="F302" s="10"/>
      <c r="G302" s="9"/>
      <c r="H302" s="9"/>
      <c r="I302" s="10"/>
    </row>
    <row r="303" spans="1:9">
      <c r="A303" s="9"/>
      <c r="B303" s="14"/>
      <c r="C303" s="9"/>
      <c r="D303" s="9"/>
      <c r="E303" s="9"/>
      <c r="F303" s="10"/>
      <c r="G303" s="9"/>
      <c r="H303" s="9"/>
      <c r="I303" s="10"/>
    </row>
    <row r="304" spans="1:9">
      <c r="A304" s="9"/>
      <c r="B304" s="14"/>
      <c r="C304" s="9"/>
      <c r="D304" s="9"/>
      <c r="E304" s="9"/>
      <c r="F304" s="10"/>
      <c r="G304" s="9"/>
      <c r="H304" s="9"/>
      <c r="I304" s="10"/>
    </row>
    <row r="305" spans="1:9">
      <c r="A305" s="9"/>
      <c r="B305" s="14"/>
      <c r="C305" s="9"/>
      <c r="D305" s="9"/>
      <c r="E305" s="9"/>
      <c r="F305" s="10"/>
      <c r="G305" s="9"/>
      <c r="H305" s="9"/>
      <c r="I305" s="10"/>
    </row>
    <row r="306" spans="1:9">
      <c r="A306" s="9"/>
      <c r="B306" s="14"/>
      <c r="C306" s="9"/>
      <c r="D306" s="9"/>
      <c r="E306" s="9"/>
      <c r="F306" s="10"/>
      <c r="G306" s="9"/>
      <c r="H306" s="9"/>
      <c r="I306" s="10"/>
    </row>
    <row r="307" spans="1:9">
      <c r="A307" s="9"/>
      <c r="B307" s="14"/>
      <c r="C307" s="9"/>
      <c r="D307" s="9"/>
      <c r="E307" s="9"/>
      <c r="F307" s="10"/>
      <c r="G307" s="9"/>
      <c r="H307" s="9"/>
      <c r="I307" s="10"/>
    </row>
    <row r="308" spans="1:9">
      <c r="A308" s="9"/>
      <c r="B308" s="14"/>
      <c r="C308" s="9"/>
      <c r="D308" s="9"/>
      <c r="E308" s="9"/>
      <c r="F308" s="10"/>
      <c r="G308" s="9"/>
      <c r="H308" s="9"/>
      <c r="I308" s="10"/>
    </row>
    <row r="309" spans="1:9">
      <c r="A309" s="9"/>
      <c r="B309" s="14"/>
      <c r="C309" s="9"/>
      <c r="D309" s="9"/>
      <c r="E309" s="9"/>
      <c r="F309" s="10"/>
      <c r="G309" s="9"/>
      <c r="H309" s="9"/>
      <c r="I309" s="10"/>
    </row>
    <row r="310" spans="1:9">
      <c r="A310" s="9"/>
      <c r="B310" s="14"/>
      <c r="C310" s="9"/>
      <c r="D310" s="9"/>
      <c r="E310" s="9"/>
      <c r="F310" s="10"/>
      <c r="G310" s="9"/>
      <c r="H310" s="9"/>
      <c r="I310" s="10"/>
    </row>
    <row r="311" spans="1:9">
      <c r="A311" s="9"/>
      <c r="B311" s="14"/>
      <c r="C311" s="9"/>
      <c r="D311" s="9"/>
      <c r="E311" s="9"/>
      <c r="F311" s="10"/>
      <c r="G311" s="9"/>
      <c r="H311" s="9"/>
      <c r="I311" s="10"/>
    </row>
    <row r="312" spans="1:9">
      <c r="A312" s="9"/>
      <c r="B312" s="14"/>
      <c r="C312" s="9"/>
      <c r="D312" s="9"/>
      <c r="E312" s="9"/>
      <c r="F312" s="10"/>
      <c r="G312" s="9"/>
      <c r="H312" s="9"/>
      <c r="I312" s="10"/>
    </row>
    <row r="313" spans="1:9">
      <c r="A313" s="9"/>
      <c r="B313" s="14"/>
      <c r="C313" s="9"/>
      <c r="D313" s="9"/>
      <c r="E313" s="9"/>
      <c r="F313" s="10"/>
      <c r="G313" s="9"/>
      <c r="H313" s="9"/>
      <c r="I313" s="10"/>
    </row>
    <row r="314" spans="1:9">
      <c r="A314" s="9"/>
      <c r="B314" s="14"/>
      <c r="C314" s="9"/>
      <c r="D314" s="9"/>
      <c r="E314" s="9"/>
      <c r="F314" s="10"/>
      <c r="G314" s="9"/>
      <c r="H314" s="9"/>
      <c r="I314" s="10"/>
    </row>
    <row r="315" spans="1:9">
      <c r="A315" s="9"/>
      <c r="B315" s="14"/>
      <c r="C315" s="9"/>
      <c r="D315" s="9"/>
      <c r="E315" s="9"/>
      <c r="F315" s="10"/>
      <c r="G315" s="9"/>
      <c r="H315" s="9"/>
      <c r="I315" s="10"/>
    </row>
    <row r="316" spans="1:9">
      <c r="A316" s="9"/>
      <c r="B316" s="14"/>
      <c r="C316" s="9"/>
      <c r="D316" s="9"/>
      <c r="E316" s="9"/>
      <c r="F316" s="10"/>
      <c r="G316" s="9"/>
      <c r="H316" s="9"/>
      <c r="I316" s="10"/>
    </row>
    <row r="317" spans="1:9">
      <c r="A317" s="9"/>
      <c r="B317" s="14"/>
      <c r="C317" s="9"/>
      <c r="D317" s="9"/>
      <c r="E317" s="9"/>
      <c r="F317" s="10"/>
      <c r="G317" s="9"/>
      <c r="H317" s="9"/>
      <c r="I317" s="10"/>
    </row>
    <row r="318" spans="1:9">
      <c r="A318" s="9"/>
      <c r="B318" s="14"/>
      <c r="C318" s="9"/>
      <c r="D318" s="9"/>
      <c r="E318" s="9"/>
      <c r="F318" s="10"/>
      <c r="G318" s="9"/>
      <c r="H318" s="9"/>
      <c r="I318" s="10"/>
    </row>
    <row r="319" spans="1:9">
      <c r="A319" s="9"/>
      <c r="B319" s="14"/>
      <c r="C319" s="9"/>
      <c r="D319" s="9"/>
      <c r="E319" s="9"/>
      <c r="F319" s="10"/>
      <c r="G319" s="9"/>
      <c r="H319" s="9"/>
      <c r="I319" s="10"/>
    </row>
    <row r="320" spans="1:9">
      <c r="A320" s="9"/>
      <c r="B320" s="14"/>
      <c r="C320" s="9"/>
      <c r="D320" s="9"/>
      <c r="E320" s="9"/>
      <c r="F320" s="10"/>
      <c r="G320" s="9"/>
      <c r="H320" s="9"/>
      <c r="I320" s="10"/>
    </row>
    <row r="321" spans="1:9">
      <c r="A321" s="9"/>
      <c r="B321" s="14"/>
      <c r="C321" s="9"/>
      <c r="D321" s="9"/>
      <c r="E321" s="9"/>
      <c r="F321" s="10"/>
      <c r="G321" s="9"/>
      <c r="H321" s="9"/>
      <c r="I321" s="10"/>
    </row>
    <row r="322" spans="1:9">
      <c r="A322" s="9"/>
      <c r="B322" s="14"/>
      <c r="C322" s="9"/>
      <c r="D322" s="9"/>
      <c r="E322" s="9"/>
      <c r="F322" s="10"/>
      <c r="G322" s="9"/>
      <c r="H322" s="9"/>
      <c r="I322" s="10"/>
    </row>
    <row r="323" spans="1:9">
      <c r="A323" s="9"/>
      <c r="B323" s="14"/>
      <c r="C323" s="9"/>
      <c r="D323" s="9"/>
      <c r="E323" s="9"/>
      <c r="F323" s="10"/>
      <c r="G323" s="9"/>
      <c r="H323" s="9"/>
      <c r="I323" s="10"/>
    </row>
    <row r="324" spans="1:9">
      <c r="A324" s="9"/>
      <c r="B324" s="14"/>
      <c r="C324" s="9"/>
      <c r="D324" s="9"/>
      <c r="E324" s="9"/>
      <c r="F324" s="10"/>
      <c r="G324" s="9"/>
      <c r="H324" s="9"/>
      <c r="I324" s="10"/>
    </row>
    <row r="325" spans="1:9">
      <c r="A325" s="9"/>
      <c r="B325" s="14"/>
      <c r="C325" s="9"/>
      <c r="D325" s="9"/>
      <c r="E325" s="9"/>
      <c r="F325" s="10"/>
      <c r="G325" s="9"/>
      <c r="H325" s="9"/>
      <c r="I325" s="10"/>
    </row>
    <row r="326" spans="1:9">
      <c r="A326" s="9"/>
      <c r="B326" s="14"/>
      <c r="C326" s="9"/>
      <c r="D326" s="9"/>
      <c r="E326" s="9"/>
      <c r="F326" s="10"/>
      <c r="G326" s="9"/>
      <c r="H326" s="9"/>
      <c r="I326" s="10"/>
    </row>
    <row r="327" spans="1:9">
      <c r="A327" s="9"/>
      <c r="B327" s="14"/>
      <c r="C327" s="9"/>
      <c r="D327" s="9"/>
      <c r="E327" s="9"/>
      <c r="F327" s="10"/>
      <c r="G327" s="9"/>
      <c r="H327" s="9"/>
      <c r="I327" s="10"/>
    </row>
    <row r="328" spans="1:9">
      <c r="A328" s="9"/>
      <c r="B328" s="14"/>
      <c r="C328" s="9"/>
      <c r="D328" s="9"/>
      <c r="E328" s="9"/>
      <c r="F328" s="10"/>
      <c r="G328" s="9"/>
      <c r="H328" s="9"/>
      <c r="I328" s="10"/>
    </row>
    <row r="329" spans="1:9">
      <c r="A329" s="9"/>
      <c r="B329" s="14"/>
      <c r="C329" s="9"/>
      <c r="D329" s="9"/>
      <c r="E329" s="9"/>
      <c r="F329" s="10"/>
      <c r="G329" s="9"/>
      <c r="H329" s="9"/>
      <c r="I329" s="10"/>
    </row>
    <row r="330" spans="1:9">
      <c r="A330" s="9"/>
      <c r="B330" s="14"/>
      <c r="C330" s="9"/>
      <c r="D330" s="9"/>
      <c r="E330" s="9"/>
      <c r="F330" s="10"/>
      <c r="G330" s="9"/>
      <c r="H330" s="9"/>
      <c r="I330" s="10"/>
    </row>
    <row r="331" spans="1:9">
      <c r="A331" s="9"/>
      <c r="B331" s="14"/>
      <c r="C331" s="9"/>
      <c r="D331" s="9"/>
      <c r="E331" s="9"/>
      <c r="F331" s="10"/>
      <c r="G331" s="9"/>
      <c r="H331" s="9"/>
      <c r="I331" s="10"/>
    </row>
    <row r="332" spans="1:9">
      <c r="A332" s="9"/>
      <c r="B332" s="14"/>
      <c r="C332" s="9"/>
      <c r="D332" s="9"/>
      <c r="E332" s="9"/>
      <c r="F332" s="10"/>
      <c r="G332" s="9"/>
      <c r="H332" s="9"/>
      <c r="I332" s="10"/>
    </row>
    <row r="333" spans="1:9">
      <c r="A333" s="9"/>
      <c r="B333" s="14"/>
      <c r="C333" s="9"/>
      <c r="D333" s="9"/>
      <c r="E333" s="9"/>
      <c r="F333" s="10"/>
      <c r="G333" s="9"/>
      <c r="H333" s="9"/>
      <c r="I333" s="10"/>
    </row>
    <row r="334" spans="1:9">
      <c r="A334" s="9"/>
      <c r="B334" s="14"/>
      <c r="C334" s="9"/>
      <c r="D334" s="9"/>
      <c r="E334" s="9"/>
      <c r="F334" s="10"/>
      <c r="G334" s="9"/>
      <c r="H334" s="9"/>
      <c r="I334" s="10"/>
    </row>
    <row r="335" spans="1:9">
      <c r="A335" s="9"/>
      <c r="B335" s="14"/>
      <c r="C335" s="9"/>
      <c r="D335" s="9"/>
      <c r="E335" s="9"/>
      <c r="F335" s="10"/>
      <c r="G335" s="9"/>
      <c r="H335" s="9"/>
      <c r="I335" s="10"/>
    </row>
    <row r="336" spans="1:9">
      <c r="A336" s="9"/>
      <c r="B336" s="14"/>
      <c r="C336" s="9"/>
      <c r="D336" s="9"/>
      <c r="E336" s="9"/>
      <c r="F336" s="10"/>
      <c r="G336" s="9"/>
      <c r="H336" s="9"/>
      <c r="I336" s="10"/>
    </row>
    <row r="337" spans="1:9">
      <c r="A337" s="9"/>
      <c r="B337" s="14"/>
      <c r="C337" s="9"/>
      <c r="D337" s="9"/>
      <c r="E337" s="9"/>
      <c r="F337" s="10"/>
      <c r="G337" s="9"/>
      <c r="H337" s="9"/>
      <c r="I337" s="10"/>
    </row>
    <row r="338" spans="1:9">
      <c r="A338" s="9"/>
      <c r="B338" s="14"/>
      <c r="C338" s="9"/>
      <c r="D338" s="9"/>
      <c r="E338" s="9"/>
      <c r="F338" s="10"/>
      <c r="G338" s="9"/>
      <c r="H338" s="9"/>
      <c r="I338" s="10"/>
    </row>
    <row r="339" spans="1:9">
      <c r="A339" s="9"/>
      <c r="B339" s="14"/>
      <c r="C339" s="9"/>
      <c r="D339" s="9"/>
      <c r="E339" s="9"/>
      <c r="F339" s="10"/>
      <c r="G339" s="9"/>
      <c r="H339" s="9"/>
      <c r="I339" s="10"/>
    </row>
    <row r="340" spans="1:9">
      <c r="A340" s="9"/>
      <c r="B340" s="14"/>
      <c r="C340" s="9"/>
      <c r="D340" s="9"/>
      <c r="E340" s="9"/>
      <c r="F340" s="10"/>
      <c r="G340" s="9"/>
      <c r="H340" s="9"/>
      <c r="I340" s="10"/>
    </row>
    <row r="341" spans="1:9">
      <c r="C341" s="9"/>
      <c r="D341" s="9"/>
      <c r="E341" s="9"/>
      <c r="F341" s="10"/>
      <c r="G341" s="9"/>
      <c r="H341" s="9"/>
      <c r="I341" s="10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1"/>
  <sheetViews>
    <sheetView zoomScale="86" zoomScaleNormal="86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123" t="str" cm="1">
        <f t="array" ref="A1">portfolio</f>
        <v>REC Solar</v>
      </c>
      <c r="B1" s="123"/>
      <c r="C1" s="123"/>
      <c r="D1" s="124" t="s">
        <v>90</v>
      </c>
      <c r="E1" s="124"/>
      <c r="F1" s="124"/>
      <c r="G1" s="122" t="s">
        <v>91</v>
      </c>
      <c r="H1" s="122"/>
      <c r="I1" s="122"/>
      <c r="J1" s="4"/>
      <c r="K1" s="4"/>
    </row>
    <row r="2" spans="1:14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4" ht="15.6">
      <c r="A4" s="40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9"/>
      <c r="K4" s="59"/>
      <c r="L4" s="80"/>
      <c r="M4" s="80"/>
      <c r="N4" s="80"/>
    </row>
    <row r="5" spans="1:14" ht="15.6">
      <c r="A5" s="42" t="str">
        <v>AZ: Tucson - Amazon - TUS2</v>
      </c>
      <c r="B5" s="43" t="str">
        <v>AZ</v>
      </c>
      <c r="C5" s="36"/>
      <c r="D5" s="37"/>
      <c r="E5" s="37" t="str">
        <f t="shared" ref="E5:E24" si="0">IF(AND(ISNUMBER(C5),ISNUMBER(D5)), C5-D5, "")</f>
        <v/>
      </c>
      <c r="F5" s="38" t="str">
        <f>IFERROR(E5/D5, "")</f>
        <v/>
      </c>
      <c r="G5" s="39"/>
      <c r="H5" s="39" t="str">
        <f t="shared" ref="H5:H24" si="1">IF(AND(ISNUMBER(C5),ISNUMBER(G5)), C5-G5, "")</f>
        <v/>
      </c>
      <c r="I5" s="38" t="str">
        <f t="shared" ref="I5:I24" si="2">IFERROR(H5/G5, "")</f>
        <v/>
      </c>
      <c r="J5" s="60"/>
      <c r="K5" s="60"/>
      <c r="L5" s="80"/>
      <c r="M5" s="80"/>
      <c r="N5" s="80"/>
    </row>
    <row r="6" spans="1:14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>IFERROR(E6/D6, "")</f>
        <v/>
      </c>
      <c r="G6" s="32"/>
      <c r="H6" s="32" t="str">
        <f t="shared" si="1"/>
        <v/>
      </c>
      <c r="I6" s="33" t="str">
        <f t="shared" si="2"/>
        <v/>
      </c>
      <c r="J6" s="59"/>
      <c r="K6" s="73"/>
      <c r="L6" s="81"/>
      <c r="M6" s="81"/>
      <c r="N6" s="80"/>
    </row>
    <row r="7" spans="1:14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ref="F7:F24" si="3">IFERROR(E7/D7, "")</f>
        <v/>
      </c>
      <c r="G7" s="39"/>
      <c r="H7" s="39" t="str">
        <f t="shared" si="1"/>
        <v/>
      </c>
      <c r="I7" s="38" t="str">
        <f t="shared" si="2"/>
        <v/>
      </c>
      <c r="J7" s="60"/>
      <c r="K7" s="75"/>
      <c r="L7" s="80"/>
      <c r="M7" s="80"/>
      <c r="N7" s="80"/>
    </row>
    <row r="8" spans="1:14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9"/>
      <c r="K8" s="73"/>
      <c r="L8" s="80"/>
      <c r="M8" s="80"/>
      <c r="N8" s="80"/>
    </row>
    <row r="9" spans="1:14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60"/>
      <c r="K9" s="75"/>
      <c r="L9" s="80"/>
      <c r="M9" s="80"/>
      <c r="N9" s="80"/>
    </row>
    <row r="10" spans="1:14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9"/>
      <c r="K10" s="59"/>
      <c r="L10" s="80"/>
      <c r="M10" s="80"/>
      <c r="N10" s="80"/>
    </row>
    <row r="11" spans="1:14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60"/>
      <c r="K11" s="60"/>
      <c r="L11" s="80"/>
      <c r="M11" s="80"/>
      <c r="N11" s="80"/>
    </row>
    <row r="12" spans="1:14" ht="82.5" customHeight="1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9"/>
      <c r="K12" s="73"/>
      <c r="L12" s="81"/>
      <c r="M12" s="80"/>
      <c r="N12" s="80"/>
    </row>
    <row r="13" spans="1:14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60"/>
      <c r="K13" s="75"/>
      <c r="L13" s="80"/>
      <c r="M13" s="80"/>
      <c r="N13" s="80"/>
    </row>
    <row r="14" spans="1:14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9"/>
      <c r="K14" s="59"/>
      <c r="L14" s="80"/>
      <c r="M14" s="80"/>
      <c r="N14" s="80"/>
    </row>
    <row r="15" spans="1:14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60"/>
      <c r="K15" s="75"/>
      <c r="L15" s="80"/>
      <c r="M15" s="80"/>
      <c r="N15" s="80"/>
    </row>
    <row r="16" spans="1:14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59"/>
      <c r="K16" s="73"/>
      <c r="L16" s="81"/>
      <c r="M16" s="80"/>
      <c r="N16" s="80"/>
    </row>
    <row r="17" spans="1:14" ht="15.6">
      <c r="A17" s="42" t="str">
        <v>MA: Andover - Boston One Campus</v>
      </c>
      <c r="B17" s="43" t="str">
        <v>MA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60"/>
      <c r="K17" s="75"/>
      <c r="L17" s="80"/>
      <c r="M17" s="80"/>
      <c r="N17" s="80"/>
    </row>
    <row r="18" spans="1:14" ht="15.6">
      <c r="A18" s="79" t="str">
        <v>MA: Foxboro - Schneider Cocasset</v>
      </c>
      <c r="B18" s="41" t="str">
        <v>MA</v>
      </c>
      <c r="C18" s="29"/>
      <c r="D18" s="30"/>
      <c r="E18" s="30" t="str">
        <f t="shared" si="0"/>
        <v/>
      </c>
      <c r="F18" s="31" t="str">
        <f t="shared" si="3"/>
        <v/>
      </c>
      <c r="G18" s="32"/>
      <c r="H18" s="32" t="str">
        <f t="shared" si="1"/>
        <v/>
      </c>
      <c r="I18" s="33" t="str">
        <f t="shared" si="2"/>
        <v/>
      </c>
      <c r="J18" s="59"/>
      <c r="K18" s="73"/>
      <c r="L18" s="80"/>
      <c r="M18" s="80"/>
      <c r="N18" s="80"/>
    </row>
    <row r="19" spans="1:14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60"/>
      <c r="K19" s="75"/>
      <c r="L19" s="80"/>
      <c r="M19" s="80"/>
      <c r="N19" s="80"/>
    </row>
    <row r="20" spans="1:14" ht="15.6">
      <c r="A20" s="44" t="str">
        <v>MD: Sparrows Point - Amazon DCA1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59"/>
      <c r="K20" s="59"/>
      <c r="L20" s="80"/>
      <c r="M20" s="80"/>
      <c r="N20" s="80"/>
    </row>
    <row r="21" spans="1:14" ht="15.6">
      <c r="A21" s="42" t="str">
        <v>NJ: Piscataway - LVMH DC</v>
      </c>
      <c r="B21" s="43" t="str">
        <v>NJ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60"/>
      <c r="K21" s="60"/>
      <c r="L21" s="80"/>
      <c r="M21" s="80"/>
      <c r="N21" s="80"/>
    </row>
    <row r="22" spans="1:14" ht="15.6">
      <c r="A22" s="44" t="str">
        <v>NM: Edgewood - Walmart #4201</v>
      </c>
      <c r="B22" s="41" t="str">
        <v>NM</v>
      </c>
      <c r="C22" s="29"/>
      <c r="D22" s="30"/>
      <c r="E22" s="30" t="str">
        <f t="shared" si="0"/>
        <v/>
      </c>
      <c r="F22" s="31" t="str">
        <f t="shared" si="3"/>
        <v/>
      </c>
      <c r="G22" s="32"/>
      <c r="H22" s="32" t="str">
        <f t="shared" si="1"/>
        <v/>
      </c>
      <c r="I22" s="33" t="str">
        <f t="shared" si="2"/>
        <v/>
      </c>
      <c r="J22" s="59"/>
      <c r="K22" s="59"/>
      <c r="L22" s="80"/>
      <c r="M22" s="80"/>
      <c r="N22" s="80"/>
    </row>
    <row r="23" spans="1:14" ht="15.6">
      <c r="A23" s="42" t="str">
        <v>NM: Gallup - Walmart #906</v>
      </c>
      <c r="B23" s="43" t="str">
        <v>NM</v>
      </c>
      <c r="C23" s="36"/>
      <c r="D23" s="30"/>
      <c r="E23" s="30" t="str">
        <f t="shared" si="0"/>
        <v/>
      </c>
      <c r="F23" s="31" t="str">
        <f t="shared" si="3"/>
        <v/>
      </c>
      <c r="G23" s="39"/>
      <c r="H23" s="39" t="str">
        <f t="shared" si="1"/>
        <v/>
      </c>
      <c r="I23" s="38" t="str">
        <f t="shared" si="2"/>
        <v/>
      </c>
      <c r="J23" s="60"/>
      <c r="K23" s="60"/>
      <c r="L23" s="80"/>
      <c r="M23" s="80"/>
      <c r="N23" s="80"/>
    </row>
    <row r="24" spans="1:14" ht="15.6">
      <c r="A24" s="44" t="str">
        <v>NV: Las Vegas - Amazon - LAS5</v>
      </c>
      <c r="B24" s="41" t="str">
        <v>NV</v>
      </c>
      <c r="C24" s="29"/>
      <c r="D24" s="30"/>
      <c r="E24" s="30" t="str">
        <f t="shared" si="0"/>
        <v/>
      </c>
      <c r="F24" s="31" t="str">
        <f t="shared" si="3"/>
        <v/>
      </c>
      <c r="G24" s="32"/>
      <c r="H24" s="32" t="str">
        <f t="shared" si="1"/>
        <v/>
      </c>
      <c r="I24" s="33" t="str">
        <f t="shared" si="2"/>
        <v/>
      </c>
      <c r="J24" s="59"/>
      <c r="K24" s="73"/>
      <c r="L24" s="80"/>
      <c r="M24" s="80"/>
      <c r="N24" s="80"/>
    </row>
    <row r="25" spans="1:14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4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</row>
    <row r="27" spans="1:14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</row>
    <row r="28" spans="1:14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</row>
    <row r="29" spans="1:14" ht="14.45">
      <c r="A29" s="9"/>
      <c r="B29" s="14"/>
      <c r="C29" s="9"/>
      <c r="D29" s="9"/>
      <c r="E29" s="9"/>
      <c r="F29" s="9"/>
      <c r="G29" s="9"/>
      <c r="H29" s="9"/>
      <c r="I29" s="9"/>
      <c r="J29" s="9"/>
    </row>
    <row r="30" spans="1:14" ht="14.45">
      <c r="A30" s="9"/>
      <c r="B30" s="14"/>
      <c r="C30" s="9"/>
      <c r="D30" s="9"/>
      <c r="E30" s="9"/>
      <c r="F30" s="9"/>
      <c r="G30" s="9"/>
      <c r="H30" s="9"/>
      <c r="I30" s="9"/>
      <c r="J30" s="9"/>
    </row>
    <row r="31" spans="1:14" ht="14.45">
      <c r="A31" s="9"/>
      <c r="B31" s="14"/>
      <c r="C31" s="9"/>
      <c r="D31" s="9"/>
      <c r="E31" s="9"/>
      <c r="F31" s="9"/>
      <c r="G31" s="9"/>
      <c r="H31" s="9"/>
      <c r="I31" s="9"/>
      <c r="J31" s="9"/>
    </row>
    <row r="32" spans="1:14" ht="14.45">
      <c r="A32" s="9"/>
      <c r="B32" s="14"/>
      <c r="C32" s="9"/>
      <c r="D32" s="9"/>
      <c r="E32" s="9"/>
      <c r="F32" s="10"/>
      <c r="G32" s="9"/>
      <c r="H32" s="10"/>
      <c r="I32" s="9"/>
      <c r="J32" s="9"/>
    </row>
    <row r="33" spans="1:11" ht="14.45">
      <c r="A33" s="9"/>
      <c r="B33" s="14"/>
      <c r="C33" s="9"/>
      <c r="D33" s="9"/>
      <c r="E33" s="9"/>
      <c r="F33" s="10"/>
      <c r="G33" s="9"/>
      <c r="H33" s="10"/>
      <c r="I33" s="9"/>
      <c r="J33" s="9"/>
    </row>
    <row r="34" spans="1:11" ht="14.45">
      <c r="A34" s="9"/>
      <c r="B34" s="14"/>
      <c r="C34" s="9"/>
      <c r="D34" s="9"/>
      <c r="E34" s="9"/>
      <c r="F34" s="10"/>
      <c r="G34" s="9"/>
      <c r="H34" s="10"/>
      <c r="I34" s="9"/>
      <c r="J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1"/>
  <sheetViews>
    <sheetView zoomScale="86" zoomScaleNormal="86" zoomScaleSheetLayoutView="100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0.140625" customWidth="1"/>
  </cols>
  <sheetData>
    <row r="1" spans="1:13" ht="19.5" customHeight="1">
      <c r="A1" s="123" t="str" cm="1">
        <f t="array" ref="A1">portfolio</f>
        <v>REC Solar</v>
      </c>
      <c r="B1" s="123"/>
      <c r="C1" s="123"/>
      <c r="D1" s="124" t="s">
        <v>92</v>
      </c>
      <c r="E1" s="124"/>
      <c r="F1" s="124"/>
      <c r="G1" s="122" t="s">
        <v>93</v>
      </c>
      <c r="H1" s="122"/>
      <c r="I1" s="122"/>
      <c r="J1" s="4"/>
      <c r="K1" s="4"/>
    </row>
    <row r="2" spans="1:13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126" customHeight="1">
      <c r="A4" s="79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9"/>
      <c r="K4" s="73"/>
      <c r="L4" s="81"/>
      <c r="M4" s="80"/>
    </row>
    <row r="5" spans="1:13" ht="15.6">
      <c r="A5" s="42" t="str">
        <v>AZ: Tucson - Amazon - TUS2</v>
      </c>
      <c r="B5" s="43" t="str">
        <v>AZ</v>
      </c>
      <c r="C5" s="36"/>
      <c r="D5" s="37"/>
      <c r="E5" s="37" t="str">
        <f t="shared" ref="E5:E24" si="0">IF(AND(ISNUMBER(C5),ISNUMBER(D5)), C5-D5, "")</f>
        <v/>
      </c>
      <c r="F5" s="38" t="str">
        <f>IFERROR(E5/D5, "")</f>
        <v/>
      </c>
      <c r="G5" s="39"/>
      <c r="H5" s="39" t="str">
        <f t="shared" ref="H5:H24" si="1">IF(AND(ISNUMBER(C5),ISNUMBER(G5)), C5-G5, "")</f>
        <v/>
      </c>
      <c r="I5" s="38" t="str">
        <f t="shared" ref="I5:I24" si="2">IFERROR(H5/G5, "")</f>
        <v/>
      </c>
      <c r="J5" s="60"/>
      <c r="K5" s="75"/>
      <c r="L5" s="81"/>
      <c r="M5" s="80"/>
    </row>
    <row r="6" spans="1:13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24" si="3">IFERROR(E6/D6, "")</f>
        <v/>
      </c>
      <c r="G6" s="32"/>
      <c r="H6" s="32" t="str">
        <f t="shared" si="1"/>
        <v/>
      </c>
      <c r="I6" s="33" t="str">
        <f t="shared" si="2"/>
        <v/>
      </c>
      <c r="J6" s="59"/>
      <c r="K6" s="59"/>
      <c r="L6" s="80"/>
      <c r="M6" s="80"/>
    </row>
    <row r="7" spans="1:13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0"/>
      <c r="K7" s="61"/>
      <c r="L7" s="80"/>
      <c r="M7" s="80"/>
    </row>
    <row r="8" spans="1:13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9"/>
      <c r="K8" s="73"/>
      <c r="L8" s="81"/>
      <c r="M8" s="80"/>
    </row>
    <row r="9" spans="1:13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60"/>
      <c r="K9" s="75"/>
      <c r="L9" s="80"/>
      <c r="M9" s="80"/>
    </row>
    <row r="10" spans="1:13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9"/>
      <c r="K10" s="73"/>
      <c r="L10" s="80"/>
      <c r="M10" s="80"/>
    </row>
    <row r="11" spans="1:13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60"/>
      <c r="K11" s="75"/>
      <c r="L11" s="81"/>
      <c r="M11" s="80"/>
    </row>
    <row r="12" spans="1:13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9"/>
      <c r="K12" s="73"/>
      <c r="L12" s="80"/>
      <c r="M12" s="80"/>
    </row>
    <row r="13" spans="1:13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60"/>
      <c r="K13" s="75"/>
      <c r="L13" s="80"/>
      <c r="M13" s="80"/>
    </row>
    <row r="14" spans="1:13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9"/>
      <c r="K14" s="73"/>
      <c r="L14" s="80"/>
      <c r="M14" s="80"/>
    </row>
    <row r="15" spans="1:13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60"/>
      <c r="K15" s="61"/>
      <c r="L15" s="80"/>
      <c r="M15" s="80"/>
    </row>
    <row r="16" spans="1:13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86"/>
      <c r="K16" s="73"/>
      <c r="L16" s="80"/>
      <c r="M16" s="80"/>
    </row>
    <row r="17" spans="1:13" ht="15.6">
      <c r="A17" s="42" t="str">
        <v>MA: Andover - Boston One Campus</v>
      </c>
      <c r="B17" s="43" t="str">
        <v>MA</v>
      </c>
      <c r="C17" s="36"/>
      <c r="D17" s="37"/>
      <c r="E17" s="37"/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60"/>
      <c r="K17" s="61"/>
      <c r="L17" s="80"/>
      <c r="M17" s="80"/>
    </row>
    <row r="18" spans="1:13" ht="15.6">
      <c r="A18" s="79" t="str">
        <v>MA: Foxboro - Schneider Cocasset</v>
      </c>
      <c r="B18" s="41" t="str">
        <v>MA</v>
      </c>
      <c r="C18" s="29"/>
      <c r="D18" s="30"/>
      <c r="E18" s="30" t="str">
        <f t="shared" si="0"/>
        <v/>
      </c>
      <c r="F18" s="31" t="str">
        <f t="shared" si="3"/>
        <v/>
      </c>
      <c r="G18" s="32"/>
      <c r="H18" s="32" t="str">
        <f t="shared" si="1"/>
        <v/>
      </c>
      <c r="I18" s="33" t="str">
        <f t="shared" si="2"/>
        <v/>
      </c>
      <c r="J18" s="59"/>
      <c r="K18" s="73"/>
      <c r="L18" s="80"/>
      <c r="M18" s="80"/>
    </row>
    <row r="19" spans="1:13" ht="37.5" customHeight="1">
      <c r="A19" s="42" t="str">
        <v>MD: Gaithersburg - Montgomery Cnty - PSHQ</v>
      </c>
      <c r="B19" s="43" t="str">
        <v>MD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60"/>
      <c r="K19" s="75"/>
      <c r="L19" s="80"/>
      <c r="M19" s="80"/>
    </row>
    <row r="20" spans="1:13" ht="15.6">
      <c r="A20" s="44" t="str">
        <v>MD: Sparrows Point - Amazon DCA1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59"/>
      <c r="K20" s="73"/>
      <c r="L20" s="80"/>
      <c r="M20" s="80"/>
    </row>
    <row r="21" spans="1:13" ht="15.6">
      <c r="A21" s="42" t="str">
        <v>NJ: Piscataway - LVMH DC</v>
      </c>
      <c r="B21" s="43" t="str">
        <v>NJ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60"/>
      <c r="K21" s="75"/>
      <c r="L21" s="80"/>
      <c r="M21" s="80"/>
    </row>
    <row r="22" spans="1:13" ht="15.6">
      <c r="A22" s="44" t="str">
        <v>NM: Edgewood - Walmart #4201</v>
      </c>
      <c r="B22" s="41" t="str">
        <v>NM</v>
      </c>
      <c r="C22" s="29"/>
      <c r="D22" s="30"/>
      <c r="E22" s="30" t="str">
        <f t="shared" si="0"/>
        <v/>
      </c>
      <c r="F22" s="31" t="str">
        <f t="shared" si="3"/>
        <v/>
      </c>
      <c r="G22" s="32"/>
      <c r="H22" s="32" t="str">
        <f t="shared" si="1"/>
        <v/>
      </c>
      <c r="I22" s="33" t="str">
        <f t="shared" si="2"/>
        <v/>
      </c>
      <c r="J22" s="59"/>
      <c r="K22" s="59"/>
      <c r="L22" s="80"/>
      <c r="M22" s="80"/>
    </row>
    <row r="23" spans="1:13" ht="15.6">
      <c r="A23" s="42" t="str">
        <v>NM: Gallup - Walmart #906</v>
      </c>
      <c r="B23" s="43" t="str">
        <v>NM</v>
      </c>
      <c r="C23" s="36"/>
      <c r="D23" s="37"/>
      <c r="E23" s="37" t="str">
        <f t="shared" si="0"/>
        <v/>
      </c>
      <c r="F23" s="38" t="str">
        <f t="shared" si="3"/>
        <v/>
      </c>
      <c r="G23" s="39"/>
      <c r="H23" s="39" t="str">
        <f t="shared" si="1"/>
        <v/>
      </c>
      <c r="I23" s="38" t="str">
        <f t="shared" si="2"/>
        <v/>
      </c>
      <c r="J23" s="60"/>
      <c r="K23" s="60"/>
      <c r="L23" s="80"/>
      <c r="M23" s="80"/>
    </row>
    <row r="24" spans="1:13" ht="15.6">
      <c r="A24" s="44" t="str">
        <v>NV: Las Vegas - Amazon - LAS5</v>
      </c>
      <c r="B24" s="41" t="str">
        <v>NV</v>
      </c>
      <c r="C24" s="29"/>
      <c r="D24" s="30"/>
      <c r="E24" s="30" t="str">
        <f t="shared" si="0"/>
        <v/>
      </c>
      <c r="F24" s="31" t="str">
        <f t="shared" si="3"/>
        <v/>
      </c>
      <c r="G24" s="32"/>
      <c r="H24" s="32" t="str">
        <f t="shared" si="1"/>
        <v/>
      </c>
      <c r="I24" s="33" t="str">
        <f t="shared" si="2"/>
        <v/>
      </c>
      <c r="J24" s="59"/>
      <c r="K24" s="59"/>
      <c r="L24" s="80"/>
      <c r="M24" s="80"/>
    </row>
    <row r="25" spans="1:13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3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3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3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3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3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3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3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4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1"/>
  <sheetViews>
    <sheetView zoomScale="86" zoomScaleNormal="86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123" t="str" cm="1">
        <f t="array" ref="A1">portfolio</f>
        <v>REC Solar</v>
      </c>
      <c r="B1" s="123"/>
      <c r="C1" s="123"/>
      <c r="D1" s="124" t="s">
        <v>94</v>
      </c>
      <c r="E1" s="124"/>
      <c r="F1" s="124"/>
      <c r="G1" s="122" t="s">
        <v>95</v>
      </c>
      <c r="H1" s="122"/>
      <c r="I1" s="122"/>
      <c r="J1" s="4"/>
      <c r="K1" s="4"/>
    </row>
    <row r="2" spans="1:12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66.75" customHeight="1">
      <c r="A4" s="79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82"/>
      <c r="L4" s="76"/>
    </row>
    <row r="5" spans="1:12" ht="45" customHeight="1">
      <c r="A5" s="42" t="str">
        <v>AZ: Tucson - Amazon - TUS2</v>
      </c>
      <c r="B5" s="43" t="str">
        <v>AZ</v>
      </c>
      <c r="C5" s="36"/>
      <c r="D5" s="37"/>
      <c r="E5" s="37" t="str">
        <f t="shared" ref="E5:E24" si="0">IF(AND(ISNUMBER(C5),ISNUMBER(D5)), C5-D5, "")</f>
        <v/>
      </c>
      <c r="F5" s="38" t="str">
        <f>IFERROR(E5/D5, "")</f>
        <v/>
      </c>
      <c r="G5" s="39"/>
      <c r="H5" s="39" t="str">
        <f t="shared" ref="H5:H24" si="1">IF(AND(ISNUMBER(C5),ISNUMBER(G5)), C5-G5, "")</f>
        <v/>
      </c>
      <c r="I5" s="38" t="str">
        <f t="shared" ref="I5:I24" si="2">IFERROR(H5/G5, "")</f>
        <v/>
      </c>
      <c r="J5" s="60"/>
      <c r="K5" s="75"/>
    </row>
    <row r="6" spans="1:12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24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2" ht="81" customHeight="1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2"/>
      <c r="K7" s="83"/>
    </row>
    <row r="8" spans="1:12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2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1"/>
      <c r="K9" s="51"/>
    </row>
    <row r="10" spans="1:12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0"/>
      <c r="K10" s="50"/>
    </row>
    <row r="11" spans="1:12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1"/>
      <c r="K11" s="75"/>
      <c r="L11" s="76"/>
    </row>
    <row r="12" spans="1:12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0"/>
      <c r="K12" s="50"/>
    </row>
    <row r="13" spans="1:12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1"/>
      <c r="K13" s="51"/>
    </row>
    <row r="14" spans="1:12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0"/>
      <c r="K14" s="50"/>
    </row>
    <row r="15" spans="1:12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1"/>
      <c r="K15" s="51"/>
    </row>
    <row r="16" spans="1:12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50"/>
      <c r="K16" s="50"/>
    </row>
    <row r="17" spans="1:12" ht="15.6">
      <c r="A17" s="42" t="str">
        <v>MA: Andover - Boston One Campus</v>
      </c>
      <c r="B17" s="43" t="str">
        <v>MA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51"/>
      <c r="K17" s="51"/>
    </row>
    <row r="18" spans="1:12" ht="48.75" customHeight="1">
      <c r="A18" s="79" t="str">
        <v>MA: Foxboro - Schneider Cocasset</v>
      </c>
      <c r="B18" s="41" t="str">
        <v>MA</v>
      </c>
      <c r="C18" s="29"/>
      <c r="D18" s="30"/>
      <c r="E18" s="30" t="str">
        <f t="shared" si="0"/>
        <v/>
      </c>
      <c r="F18" s="31" t="str">
        <f t="shared" si="3"/>
        <v/>
      </c>
      <c r="G18" s="32"/>
      <c r="H18" s="32" t="str">
        <f t="shared" si="1"/>
        <v/>
      </c>
      <c r="I18" s="33" t="str">
        <f t="shared" si="2"/>
        <v/>
      </c>
      <c r="J18" s="50"/>
      <c r="K18" s="82"/>
    </row>
    <row r="19" spans="1:12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62"/>
      <c r="K19" s="83"/>
    </row>
    <row r="20" spans="1:12" ht="15.6">
      <c r="A20" s="44" t="str">
        <v>MD: Sparrows Point - Amazon DCA1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50"/>
      <c r="K20" s="50"/>
    </row>
    <row r="21" spans="1:12" ht="15.6">
      <c r="A21" s="42" t="str">
        <v>NJ: Piscataway - LVMH DC</v>
      </c>
      <c r="B21" s="43" t="str">
        <v>NJ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51"/>
      <c r="K21" s="51"/>
    </row>
    <row r="22" spans="1:12" ht="15.6">
      <c r="A22" s="44" t="str">
        <v>NM: Edgewood - Walmart #4201</v>
      </c>
      <c r="B22" s="41" t="str">
        <v>NM</v>
      </c>
      <c r="C22" s="29"/>
      <c r="D22" s="30"/>
      <c r="E22" s="30" t="str">
        <f t="shared" si="0"/>
        <v/>
      </c>
      <c r="F22" s="31" t="str">
        <f t="shared" si="3"/>
        <v/>
      </c>
      <c r="G22" s="32"/>
      <c r="H22" s="32" t="str">
        <f t="shared" si="1"/>
        <v/>
      </c>
      <c r="I22" s="33" t="str">
        <f t="shared" si="2"/>
        <v/>
      </c>
      <c r="J22" s="50"/>
      <c r="K22" s="82"/>
    </row>
    <row r="23" spans="1:12" ht="15.6">
      <c r="A23" s="42" t="str">
        <v>NM: Gallup - Walmart #906</v>
      </c>
      <c r="B23" s="43" t="str">
        <v>NM</v>
      </c>
      <c r="C23" s="36"/>
      <c r="D23" s="37"/>
      <c r="E23" s="37" t="str">
        <f t="shared" si="0"/>
        <v/>
      </c>
      <c r="F23" s="38" t="str">
        <f t="shared" si="3"/>
        <v/>
      </c>
      <c r="G23" s="39"/>
      <c r="H23" s="39" t="str">
        <f t="shared" si="1"/>
        <v/>
      </c>
      <c r="I23" s="38" t="str">
        <f t="shared" si="2"/>
        <v/>
      </c>
      <c r="J23" s="51"/>
      <c r="K23" s="75"/>
      <c r="L23" s="76"/>
    </row>
    <row r="24" spans="1:12" ht="15.6">
      <c r="A24" s="44" t="str">
        <v>NV: Las Vegas - Amazon - LAS5</v>
      </c>
      <c r="B24" s="41" t="str">
        <v>NV</v>
      </c>
      <c r="C24" s="29"/>
      <c r="D24" s="30"/>
      <c r="E24" s="30" t="str">
        <f t="shared" si="0"/>
        <v/>
      </c>
      <c r="F24" s="31" t="str">
        <f t="shared" si="3"/>
        <v/>
      </c>
      <c r="G24" s="32"/>
      <c r="H24" s="32" t="str">
        <f t="shared" si="1"/>
        <v/>
      </c>
      <c r="I24" s="33" t="str">
        <f t="shared" si="2"/>
        <v/>
      </c>
      <c r="J24" s="50"/>
      <c r="K24" s="50"/>
    </row>
    <row r="25" spans="1:12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2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86" zoomScaleNormal="86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0"/>
  </cols>
  <sheetData>
    <row r="1" spans="1:13" ht="19.5" customHeight="1">
      <c r="A1" s="123" t="str" cm="1">
        <f t="array" ref="A1">portfolio</f>
        <v>REC Solar</v>
      </c>
      <c r="B1" s="123"/>
      <c r="C1" s="123"/>
      <c r="D1" s="124" t="s">
        <v>96</v>
      </c>
      <c r="E1" s="124"/>
      <c r="F1" s="124"/>
      <c r="G1" s="122" t="s">
        <v>97</v>
      </c>
      <c r="H1" s="122"/>
      <c r="I1" s="122"/>
      <c r="J1" s="4"/>
      <c r="K1" s="4"/>
    </row>
    <row r="2" spans="1:13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15.6">
      <c r="A4" s="40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84"/>
      <c r="K4" s="85"/>
      <c r="L4" s="81"/>
    </row>
    <row r="5" spans="1:13" ht="15.6">
      <c r="A5" s="42" t="str">
        <v>AZ: Tucson - Amazon - TUS2</v>
      </c>
      <c r="B5" s="43" t="str">
        <v>AZ</v>
      </c>
      <c r="C5" s="36"/>
      <c r="D5" s="37"/>
      <c r="E5" s="37" t="str">
        <f t="shared" ref="E5:E16" si="0">IF(AND(ISNUMBER(C5),ISNUMBER(D5)), C5-D5, "")</f>
        <v/>
      </c>
      <c r="F5" s="38" t="str">
        <f>IFERROR(E5/D5, "")</f>
        <v/>
      </c>
      <c r="G5" s="39"/>
      <c r="H5" s="39" t="str">
        <f t="shared" ref="H5:H17" si="1">IF(AND(ISNUMBER(C5),ISNUMBER(G5)), C5-G5, "")</f>
        <v/>
      </c>
      <c r="I5" s="38" t="str">
        <f t="shared" ref="I5:I17" si="2">IFERROR(H5/G5, "")</f>
        <v/>
      </c>
      <c r="J5" s="60"/>
      <c r="K5" s="60"/>
    </row>
    <row r="6" spans="1:13" ht="47.25" customHeight="1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17" si="3">IFERROR(E6/D6, "")</f>
        <v/>
      </c>
      <c r="G6" s="32"/>
      <c r="H6" s="32" t="str">
        <f t="shared" si="1"/>
        <v/>
      </c>
      <c r="I6" s="33" t="str">
        <f t="shared" si="2"/>
        <v/>
      </c>
      <c r="J6" s="59"/>
      <c r="K6" s="73"/>
      <c r="L6" s="81"/>
    </row>
    <row r="7" spans="1:13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0"/>
      <c r="K7" s="60"/>
    </row>
    <row r="8" spans="1:13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9"/>
      <c r="K8" s="59"/>
    </row>
    <row r="9" spans="1:13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60"/>
      <c r="K9" s="60"/>
    </row>
    <row r="10" spans="1:13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9"/>
      <c r="K10" s="73"/>
      <c r="L10" s="81"/>
    </row>
    <row r="11" spans="1:13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60"/>
      <c r="K11" s="75"/>
      <c r="L11" s="81"/>
      <c r="M11" s="81"/>
    </row>
    <row r="12" spans="1:13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9"/>
      <c r="K12" s="73"/>
      <c r="L12" s="81"/>
      <c r="M12" s="81"/>
    </row>
    <row r="13" spans="1:13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60"/>
      <c r="K13" s="75"/>
      <c r="L13" s="81"/>
      <c r="M13" s="81"/>
    </row>
    <row r="14" spans="1:13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9"/>
      <c r="K14" s="73"/>
      <c r="L14" s="81"/>
    </row>
    <row r="15" spans="1:13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60"/>
      <c r="K15" s="75"/>
    </row>
    <row r="16" spans="1:13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59"/>
      <c r="K16" s="73"/>
      <c r="L16" s="81"/>
    </row>
    <row r="17" spans="1:11" ht="15.6">
      <c r="A17" s="42" t="str">
        <v>MA: Andover - Boston One Campus</v>
      </c>
      <c r="B17" s="43" t="str">
        <v>MA</v>
      </c>
      <c r="C17" s="36"/>
      <c r="D17" s="37"/>
      <c r="E17" s="37"/>
      <c r="F17" s="63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60"/>
      <c r="K17" s="60"/>
    </row>
    <row r="18" spans="1:11" ht="28.5" customHeight="1">
      <c r="A18" s="40" t="str">
        <v>MA: Foxboro - Schneider Cocasset</v>
      </c>
      <c r="B18" s="41" t="str">
        <v>MA</v>
      </c>
      <c r="C18" s="29"/>
      <c r="D18" s="30"/>
      <c r="E18" s="30" t="str">
        <f t="shared" ref="E18:E24" si="4">IF(AND(ISNUMBER(C18),ISNUMBER(D18)), C18-D18, "")</f>
        <v/>
      </c>
      <c r="F18" s="31" t="str">
        <f t="shared" ref="F18:F24" si="5">IFERROR(E18/D18, "")</f>
        <v/>
      </c>
      <c r="G18" s="32"/>
      <c r="H18" s="32" t="str">
        <f t="shared" ref="H18:H24" si="6">IF(AND(ISNUMBER(C18),ISNUMBER(G18)), C18-G18, "")</f>
        <v/>
      </c>
      <c r="I18" s="33" t="str">
        <f t="shared" ref="I18:I24" si="7">IFERROR(H18/G18, "")</f>
        <v/>
      </c>
      <c r="J18" s="59"/>
      <c r="K18" s="59"/>
    </row>
    <row r="19" spans="1:11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4"/>
        <v/>
      </c>
      <c r="F19" s="63" t="str">
        <f t="shared" si="5"/>
        <v/>
      </c>
      <c r="G19" s="39"/>
      <c r="H19" s="39" t="str">
        <f t="shared" si="6"/>
        <v/>
      </c>
      <c r="I19" s="38" t="str">
        <f t="shared" si="7"/>
        <v/>
      </c>
      <c r="J19" s="60"/>
      <c r="K19" s="60"/>
    </row>
    <row r="20" spans="1:11" ht="15.6">
      <c r="A20" s="44" t="str">
        <v>MD: Sparrows Point - Amazon DCA1</v>
      </c>
      <c r="B20" s="41" t="str">
        <v>MD</v>
      </c>
      <c r="C20" s="29"/>
      <c r="D20" s="30"/>
      <c r="E20" s="30" t="str">
        <f t="shared" si="4"/>
        <v/>
      </c>
      <c r="F20" s="31" t="str">
        <f t="shared" si="5"/>
        <v/>
      </c>
      <c r="G20" s="32"/>
      <c r="H20" s="32" t="str">
        <f t="shared" si="6"/>
        <v/>
      </c>
      <c r="I20" s="33" t="str">
        <f t="shared" si="7"/>
        <v/>
      </c>
      <c r="J20" s="59"/>
      <c r="K20" s="59"/>
    </row>
    <row r="21" spans="1:11" ht="34.5" customHeight="1">
      <c r="A21" s="42" t="str">
        <v>NJ: Piscataway - LVMH DC</v>
      </c>
      <c r="B21" s="43" t="str">
        <v>NJ</v>
      </c>
      <c r="C21" s="36"/>
      <c r="D21" s="37"/>
      <c r="E21" s="37" t="str">
        <f t="shared" si="4"/>
        <v/>
      </c>
      <c r="F21" s="63" t="str">
        <f t="shared" si="5"/>
        <v/>
      </c>
      <c r="G21" s="39"/>
      <c r="H21" s="39" t="str">
        <f t="shared" si="6"/>
        <v/>
      </c>
      <c r="I21" s="38" t="str">
        <f t="shared" si="7"/>
        <v/>
      </c>
      <c r="J21" s="60"/>
      <c r="K21" s="60"/>
    </row>
    <row r="22" spans="1:11" ht="15.6">
      <c r="A22" s="44" t="str">
        <v>NM: Edgewood - Walmart #4201</v>
      </c>
      <c r="B22" s="41" t="str">
        <v>NM</v>
      </c>
      <c r="C22" s="29"/>
      <c r="D22" s="30"/>
      <c r="E22" s="30" t="str">
        <f t="shared" si="4"/>
        <v/>
      </c>
      <c r="F22" s="31" t="str">
        <f t="shared" si="5"/>
        <v/>
      </c>
      <c r="G22" s="32"/>
      <c r="H22" s="32" t="str">
        <f t="shared" si="6"/>
        <v/>
      </c>
      <c r="I22" s="33" t="str">
        <f t="shared" si="7"/>
        <v/>
      </c>
      <c r="J22" s="59"/>
      <c r="K22" s="73"/>
    </row>
    <row r="23" spans="1:11" ht="15.6">
      <c r="A23" s="42" t="str">
        <v>NM: Gallup - Walmart #906</v>
      </c>
      <c r="B23" s="43" t="str">
        <v>NM</v>
      </c>
      <c r="C23" s="36"/>
      <c r="D23" s="37"/>
      <c r="E23" s="37" t="str">
        <f t="shared" si="4"/>
        <v/>
      </c>
      <c r="F23" s="63" t="str">
        <f t="shared" si="5"/>
        <v/>
      </c>
      <c r="G23" s="39"/>
      <c r="H23" s="39" t="str">
        <f t="shared" si="6"/>
        <v/>
      </c>
      <c r="I23" s="38" t="str">
        <f t="shared" si="7"/>
        <v/>
      </c>
      <c r="J23" s="60"/>
      <c r="K23" s="75"/>
    </row>
    <row r="24" spans="1:11" ht="15.6">
      <c r="A24" s="44" t="str">
        <v>NV: Las Vegas - Amazon - LAS5</v>
      </c>
      <c r="B24" s="41" t="str">
        <v>NV</v>
      </c>
      <c r="C24" s="29"/>
      <c r="D24" s="30"/>
      <c r="E24" s="30" t="str">
        <f t="shared" si="4"/>
        <v/>
      </c>
      <c r="F24" s="31" t="str">
        <f t="shared" si="5"/>
        <v/>
      </c>
      <c r="G24" s="32"/>
      <c r="H24" s="32" t="str">
        <f t="shared" si="6"/>
        <v/>
      </c>
      <c r="I24" s="33" t="str">
        <f t="shared" si="7"/>
        <v/>
      </c>
      <c r="J24" s="59"/>
      <c r="K24" s="59"/>
    </row>
    <row r="25" spans="1:11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1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1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1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1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1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1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41"/>
  <sheetViews>
    <sheetView zoomScale="86" zoomScaleNormal="86" workbookViewId="0">
      <pane xSplit="2" ySplit="3" topLeftCell="C15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46.7109375" bestFit="1" customWidth="1"/>
    <col min="12" max="14" width="9.140625" style="89"/>
  </cols>
  <sheetData>
    <row r="1" spans="1:14" ht="19.5" customHeight="1">
      <c r="A1" s="123" t="s">
        <v>98</v>
      </c>
      <c r="B1" s="123"/>
      <c r="C1" s="123"/>
      <c r="D1" s="124" t="s">
        <v>99</v>
      </c>
      <c r="E1" s="124"/>
      <c r="F1" s="124"/>
      <c r="G1" s="122" t="s">
        <v>100</v>
      </c>
      <c r="H1" s="122"/>
      <c r="I1" s="122"/>
      <c r="J1" s="4"/>
      <c r="K1" s="4"/>
    </row>
    <row r="2" spans="1:14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4" ht="102.75" customHeight="1">
      <c r="A4" s="79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9"/>
      <c r="K4" s="73"/>
      <c r="L4" s="76"/>
      <c r="M4" s="76"/>
      <c r="N4" s="76"/>
    </row>
    <row r="5" spans="1:14" ht="15.6">
      <c r="A5" s="42" t="str">
        <v>AZ: Tucson - Amazon - TUS2</v>
      </c>
      <c r="B5" s="43" t="str">
        <v>AZ</v>
      </c>
      <c r="C5" s="36"/>
      <c r="D5" s="37"/>
      <c r="E5" s="37" t="str">
        <f t="shared" ref="E5:E24" si="0">IF(AND(ISNUMBER(C5),ISNUMBER(D5)), C5-D5, "")</f>
        <v/>
      </c>
      <c r="F5" s="38" t="str">
        <f>IFERROR(E5/D5, "")</f>
        <v/>
      </c>
      <c r="G5" s="39"/>
      <c r="H5" s="39" t="str">
        <f t="shared" ref="H5:H24" si="1">IF(AND(ISNUMBER(C5),ISNUMBER(G5)), C5-G5, "")</f>
        <v/>
      </c>
      <c r="I5" s="38" t="str">
        <f t="shared" ref="I5:I24" si="2">IFERROR(H5/G5, "")</f>
        <v/>
      </c>
      <c r="J5" s="72"/>
      <c r="K5" s="72"/>
    </row>
    <row r="6" spans="1:14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24" si="3">IFERROR(E6/D6, "")</f>
        <v/>
      </c>
      <c r="G6" s="32"/>
      <c r="H6" s="32" t="str">
        <f t="shared" si="1"/>
        <v/>
      </c>
      <c r="I6" s="33" t="str">
        <f t="shared" si="2"/>
        <v/>
      </c>
      <c r="J6" s="59"/>
      <c r="K6" s="59"/>
    </row>
    <row r="7" spans="1:14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72"/>
      <c r="K7" s="88"/>
    </row>
    <row r="8" spans="1:14" ht="35.25" customHeight="1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9"/>
      <c r="K8" s="73"/>
    </row>
    <row r="9" spans="1:14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72"/>
      <c r="K9" s="88"/>
    </row>
    <row r="10" spans="1:14" ht="72" customHeight="1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9"/>
      <c r="K10" s="73"/>
      <c r="L10" s="76"/>
      <c r="M10" s="76"/>
    </row>
    <row r="11" spans="1:14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72"/>
      <c r="K11" s="88"/>
    </row>
    <row r="12" spans="1:14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9"/>
      <c r="K12" s="59"/>
    </row>
    <row r="13" spans="1:14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72"/>
      <c r="K13" s="88"/>
    </row>
    <row r="14" spans="1:14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9"/>
      <c r="K14" s="59"/>
    </row>
    <row r="15" spans="1:14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72"/>
      <c r="K15" s="88"/>
    </row>
    <row r="16" spans="1:14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59"/>
      <c r="K16" s="59"/>
    </row>
    <row r="17" spans="1:12" ht="15.6">
      <c r="A17" s="42" t="str">
        <v>MA: Andover - Boston One Campus</v>
      </c>
      <c r="B17" s="43" t="str">
        <v>MA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72"/>
      <c r="K17" s="88"/>
    </row>
    <row r="18" spans="1:12" ht="77.25" customHeight="1">
      <c r="A18" s="44" t="str">
        <v>MA: Foxboro - Schneider Cocasset</v>
      </c>
      <c r="B18" s="41" t="str">
        <v>MA</v>
      </c>
      <c r="C18" s="29"/>
      <c r="D18" s="30"/>
      <c r="E18" s="30" t="str">
        <f t="shared" si="0"/>
        <v/>
      </c>
      <c r="F18" s="31" t="str">
        <f t="shared" si="3"/>
        <v/>
      </c>
      <c r="G18" s="32"/>
      <c r="H18" s="32" t="str">
        <f t="shared" si="1"/>
        <v/>
      </c>
      <c r="I18" s="33" t="str">
        <f t="shared" si="2"/>
        <v/>
      </c>
      <c r="J18" s="59"/>
      <c r="K18" s="73"/>
      <c r="L18" s="76"/>
    </row>
    <row r="19" spans="1:12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51"/>
      <c r="K19" s="62"/>
    </row>
    <row r="20" spans="1:12" ht="15.6">
      <c r="A20" s="44" t="str">
        <v>MD: Sparrows Point - Amazon DCA1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50"/>
      <c r="K20" s="50"/>
    </row>
    <row r="21" spans="1:12" ht="15.6">
      <c r="A21" s="42" t="str">
        <v>NJ: Piscataway - LVMH DC</v>
      </c>
      <c r="B21" s="43" t="str">
        <v>NJ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60"/>
      <c r="K21" s="61"/>
    </row>
    <row r="22" spans="1:12" ht="15.6">
      <c r="A22" s="44" t="str">
        <v>NM: Edgewood - Walmart #4201</v>
      </c>
      <c r="B22" s="41" t="str">
        <v>NM</v>
      </c>
      <c r="C22" s="29"/>
      <c r="D22" s="30"/>
      <c r="E22" s="30" t="str">
        <f t="shared" si="0"/>
        <v/>
      </c>
      <c r="F22" s="31" t="str">
        <f t="shared" si="3"/>
        <v/>
      </c>
      <c r="G22" s="32"/>
      <c r="H22" s="32" t="str">
        <f t="shared" si="1"/>
        <v/>
      </c>
      <c r="I22" s="33" t="str">
        <f t="shared" si="2"/>
        <v/>
      </c>
      <c r="J22" s="50"/>
      <c r="K22" s="50"/>
    </row>
    <row r="23" spans="1:12" ht="15.6">
      <c r="A23" s="42" t="str">
        <v>NM: Gallup - Walmart #906</v>
      </c>
      <c r="B23" s="43" t="str">
        <v>NM</v>
      </c>
      <c r="C23" s="36"/>
      <c r="D23" s="37"/>
      <c r="E23" s="37" t="str">
        <f t="shared" si="0"/>
        <v/>
      </c>
      <c r="F23" s="38" t="str">
        <f t="shared" si="3"/>
        <v/>
      </c>
      <c r="G23" s="39"/>
      <c r="H23" s="39" t="str">
        <f t="shared" si="1"/>
        <v/>
      </c>
      <c r="I23" s="38" t="str">
        <f t="shared" si="2"/>
        <v/>
      </c>
      <c r="J23" s="51"/>
      <c r="K23" s="52"/>
    </row>
    <row r="24" spans="1:12" ht="15.6">
      <c r="A24" s="44" t="str">
        <v>NV: Las Vegas - Amazon - LAS5</v>
      </c>
      <c r="B24" s="41" t="str">
        <v>NV</v>
      </c>
      <c r="C24" s="29"/>
      <c r="D24" s="30"/>
      <c r="E24" s="30" t="str">
        <f t="shared" si="0"/>
        <v/>
      </c>
      <c r="F24" s="31" t="str">
        <f t="shared" si="3"/>
        <v/>
      </c>
      <c r="G24" s="32"/>
      <c r="H24" s="32" t="str">
        <f t="shared" si="1"/>
        <v/>
      </c>
      <c r="I24" s="33" t="str">
        <f t="shared" si="2"/>
        <v/>
      </c>
      <c r="J24" s="50"/>
      <c r="K24" s="50"/>
    </row>
    <row r="25" spans="1:12" ht="14.45">
      <c r="A25" s="9" t="str">
        <v>RI: Narragansett - Anchor Storage</v>
      </c>
      <c r="B25" s="14" t="str">
        <v>RI</v>
      </c>
      <c r="C25" s="9"/>
      <c r="D25" s="9"/>
      <c r="E25" s="9"/>
      <c r="F25" s="9"/>
      <c r="G25" s="9"/>
      <c r="H25" s="9"/>
      <c r="I25" s="9"/>
      <c r="J25" s="9"/>
      <c r="K25" s="9"/>
    </row>
    <row r="26" spans="1:12" ht="14.45">
      <c r="A26" s="9" t="str">
        <v>RI: North Kingstown - Walmart #2261</v>
      </c>
      <c r="B26" s="14" t="str">
        <v>RI</v>
      </c>
      <c r="C26" s="9"/>
      <c r="D26" s="9"/>
      <c r="E26" s="9"/>
      <c r="F26" s="9"/>
      <c r="G26" s="9"/>
      <c r="H26" s="9"/>
      <c r="I26" s="9"/>
      <c r="J26" s="9"/>
      <c r="K26" s="9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41"/>
  <sheetViews>
    <sheetView zoomScale="86" zoomScaleNormal="86" workbookViewId="0">
      <pane xSplit="2" ySplit="3" topLeftCell="C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80"/>
  </cols>
  <sheetData>
    <row r="1" spans="1:13" ht="19.5" customHeight="1">
      <c r="A1" s="123" t="str" cm="1">
        <f t="array" ref="A1">portfolio</f>
        <v>REC Solar</v>
      </c>
      <c r="B1" s="123"/>
      <c r="C1" s="123"/>
      <c r="D1" s="124" t="s">
        <v>101</v>
      </c>
      <c r="E1" s="124"/>
      <c r="F1" s="124"/>
      <c r="G1" s="122" t="s">
        <v>102</v>
      </c>
      <c r="H1" s="122"/>
      <c r="I1" s="122"/>
      <c r="J1" s="4"/>
      <c r="K1" s="4"/>
    </row>
    <row r="2" spans="1:13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3" ht="15.6">
      <c r="A4" s="40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82"/>
      <c r="L4" s="81"/>
      <c r="M4" s="81"/>
    </row>
    <row r="5" spans="1:13" ht="15.6">
      <c r="A5" s="42" t="str">
        <v>AZ: Tucson - Amazon - TUS2</v>
      </c>
      <c r="B5" s="43" t="str">
        <v>AZ</v>
      </c>
      <c r="C5" s="36"/>
      <c r="D5" s="37"/>
      <c r="E5" s="37" t="str">
        <f t="shared" ref="E5:E24" si="0">IF(AND(ISNUMBER(C5),ISNUMBER(D5)), C5-D5, "")</f>
        <v/>
      </c>
      <c r="F5" s="38" t="str">
        <f>IFERROR(E5/D5, "")</f>
        <v/>
      </c>
      <c r="G5" s="39"/>
      <c r="H5" s="39" t="str">
        <f t="shared" ref="H5:H24" si="1">IF(AND(ISNUMBER(C5),ISNUMBER(G5)), C5-G5, "")</f>
        <v/>
      </c>
      <c r="I5" s="38" t="str">
        <f t="shared" ref="I5:I24" si="2">IFERROR(H5/G5, "")</f>
        <v/>
      </c>
      <c r="J5" s="51"/>
      <c r="K5" s="51"/>
    </row>
    <row r="6" spans="1:13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24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</row>
    <row r="7" spans="1:13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94"/>
    </row>
    <row r="8" spans="1:13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</row>
    <row r="9" spans="1:13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51"/>
      <c r="K9" s="52"/>
    </row>
    <row r="10" spans="1:13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0"/>
      <c r="K10" s="82"/>
      <c r="L10" s="81"/>
    </row>
    <row r="11" spans="1:13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1"/>
      <c r="K11" s="52"/>
    </row>
    <row r="12" spans="1:13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0"/>
      <c r="K12" s="82"/>
      <c r="L12" s="81"/>
    </row>
    <row r="13" spans="1:13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1"/>
      <c r="K13" s="94"/>
    </row>
    <row r="14" spans="1:13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0"/>
      <c r="K14" s="82"/>
    </row>
    <row r="15" spans="1:13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1"/>
      <c r="K15" s="52"/>
    </row>
    <row r="16" spans="1:13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50"/>
      <c r="K16" s="50"/>
    </row>
    <row r="17" spans="1:12" ht="15.6">
      <c r="A17" s="42" t="str">
        <v>MA: Andover - Boston One Campus</v>
      </c>
      <c r="B17" s="43" t="str">
        <v>MA</v>
      </c>
      <c r="C17" s="36"/>
      <c r="D17" s="37"/>
      <c r="E17" s="37"/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51"/>
      <c r="K17" s="52"/>
    </row>
    <row r="18" spans="1:12" ht="12.75" customHeight="1">
      <c r="A18" s="44" t="str">
        <v>MA: Foxboro - Schneider Cocasset</v>
      </c>
      <c r="B18" s="41" t="str">
        <v>MA</v>
      </c>
      <c r="C18" s="29"/>
      <c r="D18" s="30"/>
      <c r="E18" s="30" t="str">
        <f t="shared" si="0"/>
        <v/>
      </c>
      <c r="F18" s="31" t="str">
        <f t="shared" si="3"/>
        <v/>
      </c>
      <c r="G18" s="32"/>
      <c r="H18" s="32" t="str">
        <f t="shared" si="1"/>
        <v/>
      </c>
      <c r="I18" s="33" t="str">
        <f t="shared" si="2"/>
        <v/>
      </c>
      <c r="J18" s="50"/>
      <c r="K18" s="50"/>
    </row>
    <row r="19" spans="1:12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0"/>
        <v/>
      </c>
      <c r="F19" s="38" t="str">
        <f t="shared" si="3"/>
        <v/>
      </c>
      <c r="G19" s="39"/>
      <c r="H19" s="39" t="str">
        <f t="shared" si="1"/>
        <v/>
      </c>
      <c r="I19" s="38" t="str">
        <f t="shared" si="2"/>
        <v/>
      </c>
      <c r="J19" s="51"/>
      <c r="K19" s="51"/>
    </row>
    <row r="20" spans="1:12" ht="15.6">
      <c r="A20" s="44" t="str">
        <v>MD: Sparrows Point - Amazon DCA1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32"/>
      <c r="H20" s="32" t="str">
        <f t="shared" si="1"/>
        <v/>
      </c>
      <c r="I20" s="33" t="str">
        <f t="shared" si="2"/>
        <v/>
      </c>
      <c r="J20" s="50"/>
      <c r="K20" s="50"/>
    </row>
    <row r="21" spans="1:12" ht="15.6">
      <c r="A21" s="42" t="str">
        <v>NJ: Piscataway - LVMH DC</v>
      </c>
      <c r="B21" s="43" t="str">
        <v>NJ</v>
      </c>
      <c r="C21" s="36"/>
      <c r="D21" s="37"/>
      <c r="E21" s="37" t="str">
        <f t="shared" si="0"/>
        <v/>
      </c>
      <c r="F21" s="38" t="str">
        <f t="shared" si="3"/>
        <v/>
      </c>
      <c r="G21" s="39"/>
      <c r="H21" s="39" t="str">
        <f t="shared" si="1"/>
        <v/>
      </c>
      <c r="I21" s="38" t="str">
        <f t="shared" si="2"/>
        <v/>
      </c>
      <c r="J21" s="51"/>
      <c r="K21" s="52"/>
    </row>
    <row r="22" spans="1:12" ht="15.6">
      <c r="A22" s="44" t="str">
        <v>NM: Edgewood - Walmart #4201</v>
      </c>
      <c r="B22" s="41" t="str">
        <v>NM</v>
      </c>
      <c r="C22" s="29"/>
      <c r="D22" s="30"/>
      <c r="E22" s="30" t="str">
        <f t="shared" si="0"/>
        <v/>
      </c>
      <c r="F22" s="31" t="str">
        <f t="shared" si="3"/>
        <v/>
      </c>
      <c r="G22" s="32"/>
      <c r="H22" s="32" t="str">
        <f t="shared" si="1"/>
        <v/>
      </c>
      <c r="I22" s="33" t="str">
        <f t="shared" si="2"/>
        <v/>
      </c>
      <c r="J22" s="50"/>
      <c r="K22" s="50"/>
    </row>
    <row r="23" spans="1:12" ht="15.6">
      <c r="A23" s="42" t="str">
        <v>NM: Gallup - Walmart #906</v>
      </c>
      <c r="B23" s="43" t="str">
        <v>NM</v>
      </c>
      <c r="C23" s="36"/>
      <c r="D23" s="37"/>
      <c r="E23" s="37" t="str">
        <f t="shared" si="0"/>
        <v/>
      </c>
      <c r="F23" s="38" t="str">
        <f t="shared" si="3"/>
        <v/>
      </c>
      <c r="G23" s="39"/>
      <c r="H23" s="39" t="str">
        <f t="shared" si="1"/>
        <v/>
      </c>
      <c r="I23" s="38" t="str">
        <f t="shared" si="2"/>
        <v/>
      </c>
      <c r="J23" s="51"/>
      <c r="K23" s="94"/>
    </row>
    <row r="24" spans="1:12" ht="15.6">
      <c r="A24" s="44" t="str">
        <v>NV: Las Vegas - Amazon - LAS5</v>
      </c>
      <c r="B24" s="41" t="str">
        <v>NV</v>
      </c>
      <c r="C24" s="29"/>
      <c r="D24" s="30"/>
      <c r="E24" s="30" t="str">
        <f t="shared" si="0"/>
        <v/>
      </c>
      <c r="F24" s="31" t="str">
        <f t="shared" si="3"/>
        <v/>
      </c>
      <c r="G24" s="32"/>
      <c r="H24" s="32" t="str">
        <f t="shared" si="1"/>
        <v/>
      </c>
      <c r="I24" s="33" t="str">
        <f t="shared" si="2"/>
        <v/>
      </c>
      <c r="J24" s="50"/>
      <c r="K24" s="50"/>
    </row>
    <row r="25" spans="1:12" ht="15.6">
      <c r="A25" s="42" t="str">
        <v>RI: Narragansett - Anchor Storage</v>
      </c>
      <c r="B25" s="43" t="str">
        <v>RI</v>
      </c>
      <c r="C25" s="36"/>
      <c r="D25" s="37"/>
      <c r="E25" s="37" t="str">
        <f t="shared" ref="E25:E26" si="4">IF(AND(ISNUMBER(C25),ISNUMBER(D25)), C25-D25, "")</f>
        <v/>
      </c>
      <c r="F25" s="38" t="str">
        <f t="shared" ref="F25:F26" si="5">IFERROR(E25/D25, "")</f>
        <v/>
      </c>
      <c r="G25" s="39"/>
      <c r="H25" s="39" t="str">
        <f t="shared" ref="H25:H26" si="6">IF(AND(ISNUMBER(C25),ISNUMBER(G25)), C25-G25, "")</f>
        <v/>
      </c>
      <c r="I25" s="38" t="str">
        <f t="shared" ref="I25:I26" si="7">IFERROR(H25/G25, "")</f>
        <v/>
      </c>
      <c r="J25" s="51"/>
      <c r="K25" s="94"/>
    </row>
    <row r="26" spans="1:12" ht="15.6">
      <c r="A26" s="44" t="str">
        <v>RI: North Kingstown - Walmart #2261</v>
      </c>
      <c r="B26" s="41" t="str">
        <v>RI</v>
      </c>
      <c r="C26" s="29"/>
      <c r="D26" s="93"/>
      <c r="E26" s="30" t="str">
        <f t="shared" si="4"/>
        <v/>
      </c>
      <c r="F26" s="31" t="str">
        <f t="shared" si="5"/>
        <v/>
      </c>
      <c r="G26" s="32"/>
      <c r="H26" s="32" t="str">
        <f t="shared" si="6"/>
        <v/>
      </c>
      <c r="I26" s="33" t="str">
        <f t="shared" si="7"/>
        <v/>
      </c>
      <c r="J26" s="50"/>
      <c r="K26" s="82"/>
      <c r="L26" s="81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9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P341"/>
  <sheetViews>
    <sheetView zoomScale="86" zoomScaleNormal="86" workbookViewId="0">
      <pane xSplit="2" ySplit="3" topLeftCell="C15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80"/>
  </cols>
  <sheetData>
    <row r="1" spans="1:12" ht="19.5" customHeight="1">
      <c r="A1" s="123" t="str" cm="1">
        <f t="array" ref="A1">portfolio</f>
        <v>REC Solar</v>
      </c>
      <c r="B1" s="123"/>
      <c r="C1" s="123"/>
      <c r="D1" s="124" t="s">
        <v>103</v>
      </c>
      <c r="E1" s="124"/>
      <c r="F1" s="124"/>
      <c r="G1" s="122" t="s">
        <v>104</v>
      </c>
      <c r="H1" s="122"/>
      <c r="I1" s="122"/>
      <c r="J1" s="4"/>
      <c r="K1" s="4"/>
    </row>
    <row r="2" spans="1:12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</row>
    <row r="4" spans="1:12" ht="15.6">
      <c r="A4" s="79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95"/>
      <c r="E4" s="95" t="str">
        <f>IF(AND(ISNUMBER(C4),ISNUMBER(D4)), C4-D4, "")</f>
        <v/>
      </c>
      <c r="F4" s="31" t="str">
        <f>IFERROR(E4/D4, "")</f>
        <v/>
      </c>
      <c r="G4" s="96"/>
      <c r="H4" s="96" t="str">
        <f>IF(AND(ISNUMBER(C4),ISNUMBER(G4)), C4-G4, "")</f>
        <v/>
      </c>
      <c r="I4" s="33" t="str">
        <f>IFERROR(H4/G4, "")</f>
        <v/>
      </c>
      <c r="J4" s="59"/>
      <c r="K4" s="59"/>
    </row>
    <row r="5" spans="1:12" ht="15.6">
      <c r="A5" s="42" t="str">
        <v>AZ: Tucson - Amazon - TUS2</v>
      </c>
      <c r="B5" s="43" t="str">
        <v>AZ</v>
      </c>
      <c r="C5" s="36"/>
      <c r="D5" s="97"/>
      <c r="E5" s="97" t="str">
        <f t="shared" ref="E5:E26" si="0">IF(AND(ISNUMBER(C5),ISNUMBER(D5)), C5-D5, "")</f>
        <v/>
      </c>
      <c r="F5" s="38" t="str">
        <f>IFERROR(E5/D5, "")</f>
        <v/>
      </c>
      <c r="G5" s="98"/>
      <c r="H5" s="98" t="str">
        <f t="shared" ref="H5:H26" si="1">IF(AND(ISNUMBER(C5),ISNUMBER(G5)), C5-G5, "")</f>
        <v/>
      </c>
      <c r="I5" s="38" t="str">
        <f t="shared" ref="I5:I26" si="2">IFERROR(H5/G5, "")</f>
        <v/>
      </c>
      <c r="J5" s="72"/>
      <c r="K5" s="72"/>
    </row>
    <row r="6" spans="1:12" ht="15.6">
      <c r="A6" s="44" t="str">
        <v>CO: Denver - TruStile Doors</v>
      </c>
      <c r="B6" s="41" t="str">
        <v>CO</v>
      </c>
      <c r="C6" s="29"/>
      <c r="D6" s="95"/>
      <c r="E6" s="95" t="str">
        <f t="shared" si="0"/>
        <v/>
      </c>
      <c r="F6" s="31" t="str">
        <f t="shared" ref="F6:F26" si="3">IFERROR(E6/D6, "")</f>
        <v/>
      </c>
      <c r="G6" s="96"/>
      <c r="H6" s="96" t="str">
        <f t="shared" si="1"/>
        <v/>
      </c>
      <c r="I6" s="33" t="str">
        <f t="shared" si="2"/>
        <v/>
      </c>
      <c r="J6" s="59"/>
      <c r="K6" s="59"/>
    </row>
    <row r="7" spans="1:12" ht="15.6">
      <c r="A7" s="42" t="str">
        <v>CO: Thornton - Amazon - DEN3</v>
      </c>
      <c r="B7" s="43" t="str">
        <v>CO</v>
      </c>
      <c r="C7" s="36"/>
      <c r="D7" s="97"/>
      <c r="E7" s="97" t="str">
        <f t="shared" si="0"/>
        <v/>
      </c>
      <c r="F7" s="38" t="str">
        <f t="shared" si="3"/>
        <v/>
      </c>
      <c r="G7" s="98"/>
      <c r="H7" s="98" t="str">
        <f t="shared" si="1"/>
        <v/>
      </c>
      <c r="I7" s="38" t="str">
        <f t="shared" si="2"/>
        <v/>
      </c>
      <c r="J7" s="72"/>
      <c r="K7" s="74"/>
      <c r="L7" s="81"/>
    </row>
    <row r="8" spans="1:12" ht="15.6">
      <c r="A8" s="44" t="str">
        <v>CO: Greenwood Village - REC H5 Data Center</v>
      </c>
      <c r="B8" s="41" t="str">
        <v>CO</v>
      </c>
      <c r="C8" s="29"/>
      <c r="D8" s="95"/>
      <c r="E8" s="95" t="str">
        <f t="shared" si="0"/>
        <v/>
      </c>
      <c r="F8" s="31" t="str">
        <f t="shared" si="3"/>
        <v/>
      </c>
      <c r="G8" s="96"/>
      <c r="H8" s="96" t="str">
        <f t="shared" si="1"/>
        <v/>
      </c>
      <c r="I8" s="33" t="str">
        <f t="shared" si="2"/>
        <v/>
      </c>
      <c r="J8" s="59"/>
      <c r="K8" s="59"/>
    </row>
    <row r="9" spans="1:12" ht="15.6">
      <c r="A9" s="42" t="str">
        <v>HI: Ewa Beach - Salvation Army Kroc Center</v>
      </c>
      <c r="B9" s="43" t="str">
        <v>HI</v>
      </c>
      <c r="C9" s="36"/>
      <c r="D9" s="97"/>
      <c r="E9" s="97" t="str">
        <f t="shared" si="0"/>
        <v/>
      </c>
      <c r="F9" s="38" t="str">
        <f t="shared" si="3"/>
        <v/>
      </c>
      <c r="G9" s="98"/>
      <c r="H9" s="98" t="str">
        <f t="shared" si="1"/>
        <v/>
      </c>
      <c r="I9" s="38" t="str">
        <f t="shared" si="2"/>
        <v/>
      </c>
      <c r="J9" s="72"/>
      <c r="K9" s="72"/>
    </row>
    <row r="10" spans="1:12" ht="15.6">
      <c r="A10" s="44" t="str">
        <v>HI: Honolulu - Hawaii Foodbank</v>
      </c>
      <c r="B10" s="41" t="str">
        <v>HI</v>
      </c>
      <c r="C10" s="29"/>
      <c r="D10" s="95"/>
      <c r="E10" s="95" t="str">
        <f t="shared" si="0"/>
        <v/>
      </c>
      <c r="F10" s="31" t="str">
        <f t="shared" si="3"/>
        <v/>
      </c>
      <c r="G10" s="96"/>
      <c r="H10" s="96" t="str">
        <f t="shared" si="1"/>
        <v/>
      </c>
      <c r="I10" s="33" t="str">
        <f t="shared" si="2"/>
        <v/>
      </c>
      <c r="J10" s="59"/>
      <c r="K10" s="59"/>
    </row>
    <row r="11" spans="1:12" ht="21.75" customHeight="1">
      <c r="A11" s="42" t="str">
        <v>HI: Kailua-Kona - Home Depot #1704</v>
      </c>
      <c r="B11" s="43" t="str">
        <v>HI</v>
      </c>
      <c r="C11" s="36"/>
      <c r="D11" s="97"/>
      <c r="E11" s="97" t="str">
        <f t="shared" si="0"/>
        <v/>
      </c>
      <c r="F11" s="38" t="str">
        <f t="shared" si="3"/>
        <v/>
      </c>
      <c r="G11" s="98"/>
      <c r="H11" s="98" t="str">
        <f t="shared" si="1"/>
        <v/>
      </c>
      <c r="I11" s="38" t="str">
        <f t="shared" si="2"/>
        <v/>
      </c>
      <c r="J11" s="60"/>
      <c r="K11" s="75"/>
    </row>
    <row r="12" spans="1:12" ht="18" customHeight="1">
      <c r="A12" s="44" t="str">
        <v>HI: Kapolei - Home Depot #1706</v>
      </c>
      <c r="B12" s="41" t="str">
        <v>HI</v>
      </c>
      <c r="C12" s="29"/>
      <c r="D12" s="95"/>
      <c r="E12" s="95" t="str">
        <f t="shared" si="0"/>
        <v/>
      </c>
      <c r="F12" s="31" t="str">
        <f t="shared" si="3"/>
        <v/>
      </c>
      <c r="G12" s="96"/>
      <c r="H12" s="96" t="str">
        <f t="shared" si="1"/>
        <v/>
      </c>
      <c r="I12" s="33" t="str">
        <f t="shared" si="2"/>
        <v/>
      </c>
      <c r="J12" s="59"/>
      <c r="K12" s="73"/>
    </row>
    <row r="13" spans="1:12" ht="15.6">
      <c r="A13" s="42" t="str">
        <v>HI: Laie - Polynesian Cultural Center</v>
      </c>
      <c r="B13" s="43" t="str">
        <v>HI</v>
      </c>
      <c r="C13" s="36"/>
      <c r="D13" s="97"/>
      <c r="E13" s="97" t="str">
        <f t="shared" si="0"/>
        <v/>
      </c>
      <c r="F13" s="38" t="str">
        <f t="shared" si="3"/>
        <v/>
      </c>
      <c r="G13" s="98"/>
      <c r="H13" s="98" t="str">
        <f t="shared" si="1"/>
        <v/>
      </c>
      <c r="I13" s="38" t="str">
        <f t="shared" si="2"/>
        <v/>
      </c>
      <c r="J13" s="60"/>
      <c r="K13" s="74"/>
    </row>
    <row r="14" spans="1:12" ht="15.6">
      <c r="A14" s="44" t="str">
        <v>HI: Laie- BYU Hawaii (PW)</v>
      </c>
      <c r="B14" s="41" t="str">
        <v>HI</v>
      </c>
      <c r="C14" s="29"/>
      <c r="D14" s="95"/>
      <c r="E14" s="95" t="str">
        <f t="shared" si="0"/>
        <v/>
      </c>
      <c r="F14" s="31" t="str">
        <f t="shared" si="3"/>
        <v/>
      </c>
      <c r="G14" s="96"/>
      <c r="H14" s="96" t="str">
        <f t="shared" si="1"/>
        <v/>
      </c>
      <c r="I14" s="33" t="str">
        <f t="shared" si="2"/>
        <v/>
      </c>
      <c r="J14" s="59"/>
      <c r="K14" s="73"/>
    </row>
    <row r="15" spans="1:12" ht="15.6">
      <c r="A15" s="42" t="str">
        <v>HI: Waianae - Makaha Surfside</v>
      </c>
      <c r="B15" s="43" t="str">
        <v>HI</v>
      </c>
      <c r="C15" s="36"/>
      <c r="D15" s="97"/>
      <c r="E15" s="97" t="str">
        <f t="shared" si="0"/>
        <v/>
      </c>
      <c r="F15" s="38" t="str">
        <f t="shared" si="3"/>
        <v/>
      </c>
      <c r="G15" s="98"/>
      <c r="H15" s="98" t="str">
        <f t="shared" si="1"/>
        <v/>
      </c>
      <c r="I15" s="38" t="str">
        <f t="shared" si="2"/>
        <v/>
      </c>
      <c r="J15" s="60"/>
      <c r="K15" s="88"/>
    </row>
    <row r="16" spans="1:12" ht="15.6">
      <c r="A16" s="44" t="str">
        <v>HI: Kahului - Home Depot #1703</v>
      </c>
      <c r="B16" s="41" t="str">
        <v>HI</v>
      </c>
      <c r="C16" s="29"/>
      <c r="D16" s="95"/>
      <c r="E16" s="95" t="str">
        <f t="shared" si="0"/>
        <v/>
      </c>
      <c r="F16" s="31" t="str">
        <f t="shared" si="3"/>
        <v/>
      </c>
      <c r="G16" s="96"/>
      <c r="H16" s="96" t="str">
        <f t="shared" si="1"/>
        <v/>
      </c>
      <c r="I16" s="33" t="str">
        <f t="shared" si="2"/>
        <v/>
      </c>
      <c r="J16" s="59"/>
      <c r="K16" s="59"/>
    </row>
    <row r="17" spans="1:12" ht="15.6">
      <c r="A17" s="42" t="str">
        <v>MA: Andover - Boston One Campus</v>
      </c>
      <c r="B17" s="43" t="str">
        <v>MA</v>
      </c>
      <c r="C17" s="36"/>
      <c r="D17" s="97"/>
      <c r="E17" s="97" t="str">
        <f t="shared" si="0"/>
        <v/>
      </c>
      <c r="F17" s="38" t="str">
        <f t="shared" si="3"/>
        <v/>
      </c>
      <c r="G17" s="98"/>
      <c r="H17" s="98" t="str">
        <f t="shared" si="1"/>
        <v/>
      </c>
      <c r="I17" s="38" t="str">
        <f t="shared" si="2"/>
        <v/>
      </c>
      <c r="J17" s="72"/>
      <c r="K17" s="74"/>
    </row>
    <row r="18" spans="1:12" ht="48" customHeight="1">
      <c r="A18" s="44" t="str">
        <v>MA: Foxboro - Schneider Cocasset</v>
      </c>
      <c r="B18" s="41" t="str">
        <v>MA</v>
      </c>
      <c r="C18" s="29"/>
      <c r="D18" s="95"/>
      <c r="E18" s="95" t="str">
        <f t="shared" si="0"/>
        <v/>
      </c>
      <c r="F18" s="31" t="str">
        <f t="shared" si="3"/>
        <v/>
      </c>
      <c r="G18" s="96"/>
      <c r="H18" s="96" t="str">
        <f t="shared" si="1"/>
        <v/>
      </c>
      <c r="I18" s="33" t="str">
        <f t="shared" si="2"/>
        <v/>
      </c>
      <c r="J18" s="59"/>
      <c r="K18" s="73"/>
    </row>
    <row r="19" spans="1:12" ht="15.6">
      <c r="A19" s="42" t="str">
        <v>MD: Gaithersburg - Montgomery Cnty - PSHQ</v>
      </c>
      <c r="B19" s="43" t="str">
        <v>MD</v>
      </c>
      <c r="C19" s="36"/>
      <c r="D19" s="97"/>
      <c r="E19" s="97" t="str">
        <f t="shared" si="0"/>
        <v/>
      </c>
      <c r="F19" s="38" t="str">
        <f t="shared" si="3"/>
        <v/>
      </c>
      <c r="G19" s="98"/>
      <c r="H19" s="98" t="str">
        <f t="shared" si="1"/>
        <v/>
      </c>
      <c r="I19" s="38" t="str">
        <f t="shared" si="2"/>
        <v/>
      </c>
      <c r="J19" s="72"/>
      <c r="K19" s="72"/>
    </row>
    <row r="20" spans="1:12" ht="15.6">
      <c r="A20" s="44" t="str">
        <v>MD: Sparrows Point - Amazon DCA1</v>
      </c>
      <c r="B20" s="41" t="str">
        <v>MD</v>
      </c>
      <c r="C20" s="29"/>
      <c r="D20" s="95"/>
      <c r="E20" s="95" t="str">
        <f t="shared" si="0"/>
        <v/>
      </c>
      <c r="F20" s="31" t="str">
        <f t="shared" si="3"/>
        <v/>
      </c>
      <c r="G20" s="96"/>
      <c r="H20" s="96" t="str">
        <f t="shared" si="1"/>
        <v/>
      </c>
      <c r="I20" s="33" t="str">
        <f t="shared" si="2"/>
        <v/>
      </c>
      <c r="J20" s="59"/>
      <c r="K20" s="59"/>
    </row>
    <row r="21" spans="1:12" ht="15.6">
      <c r="A21" s="42" t="str">
        <v>NJ: Piscataway - LVMH DC</v>
      </c>
      <c r="B21" s="43" t="str">
        <v>NJ</v>
      </c>
      <c r="C21" s="36"/>
      <c r="D21" s="97"/>
      <c r="E21" s="97" t="str">
        <f t="shared" si="0"/>
        <v/>
      </c>
      <c r="F21" s="38" t="str">
        <f t="shared" si="3"/>
        <v/>
      </c>
      <c r="G21" s="98"/>
      <c r="H21" s="98" t="str">
        <f t="shared" si="1"/>
        <v/>
      </c>
      <c r="I21" s="38" t="str">
        <f t="shared" si="2"/>
        <v/>
      </c>
      <c r="J21" s="60"/>
      <c r="K21" s="75"/>
    </row>
    <row r="22" spans="1:12" ht="15.6">
      <c r="A22" s="44" t="str">
        <v>NM: Edgewood - Walmart #4201</v>
      </c>
      <c r="B22" s="41" t="str">
        <v>NM</v>
      </c>
      <c r="C22" s="29"/>
      <c r="D22" s="95"/>
      <c r="E22" s="95" t="str">
        <f t="shared" si="0"/>
        <v/>
      </c>
      <c r="F22" s="31" t="str">
        <f t="shared" si="3"/>
        <v/>
      </c>
      <c r="G22" s="96"/>
      <c r="H22" s="96" t="str">
        <f t="shared" si="1"/>
        <v/>
      </c>
      <c r="I22" s="33" t="str">
        <f t="shared" si="2"/>
        <v/>
      </c>
      <c r="J22" s="59"/>
      <c r="K22" s="59"/>
    </row>
    <row r="23" spans="1:12" ht="15.6">
      <c r="A23" s="42" t="str">
        <v>NM: Gallup - Walmart #906</v>
      </c>
      <c r="B23" s="43" t="str">
        <v>NM</v>
      </c>
      <c r="C23" s="36"/>
      <c r="D23" s="97"/>
      <c r="E23" s="97" t="str">
        <f t="shared" si="0"/>
        <v/>
      </c>
      <c r="F23" s="38" t="str">
        <f t="shared" si="3"/>
        <v/>
      </c>
      <c r="G23" s="98"/>
      <c r="H23" s="98" t="str">
        <f t="shared" si="1"/>
        <v/>
      </c>
      <c r="I23" s="38" t="str">
        <f t="shared" si="2"/>
        <v/>
      </c>
      <c r="J23" s="72"/>
      <c r="K23" s="74"/>
    </row>
    <row r="24" spans="1:12" ht="15.6">
      <c r="A24" s="44" t="str">
        <v>NV: Las Vegas - Amazon - LAS5</v>
      </c>
      <c r="B24" s="41" t="str">
        <v>NV</v>
      </c>
      <c r="C24" s="29"/>
      <c r="D24" s="95"/>
      <c r="E24" s="95" t="str">
        <f t="shared" si="0"/>
        <v/>
      </c>
      <c r="F24" s="31" t="str">
        <f t="shared" si="3"/>
        <v/>
      </c>
      <c r="G24" s="96"/>
      <c r="H24" s="96" t="str">
        <f t="shared" si="1"/>
        <v/>
      </c>
      <c r="I24" s="33" t="str">
        <f t="shared" si="2"/>
        <v/>
      </c>
      <c r="J24" s="59"/>
      <c r="K24" s="73"/>
    </row>
    <row r="25" spans="1:12" ht="15.6">
      <c r="A25" s="42" t="str">
        <v>RI: Narragansett - Anchor Storage</v>
      </c>
      <c r="B25" s="43" t="str">
        <v>RI</v>
      </c>
      <c r="C25" s="36"/>
      <c r="D25" s="97"/>
      <c r="E25" s="97" t="str">
        <f t="shared" si="0"/>
        <v/>
      </c>
      <c r="F25" s="38" t="str">
        <f t="shared" si="3"/>
        <v/>
      </c>
      <c r="G25" s="98"/>
      <c r="H25" s="98" t="str">
        <f t="shared" si="1"/>
        <v/>
      </c>
      <c r="I25" s="38" t="str">
        <f t="shared" si="2"/>
        <v/>
      </c>
      <c r="J25" s="72"/>
      <c r="K25" s="74"/>
    </row>
    <row r="26" spans="1:12" ht="15.6">
      <c r="A26" s="44" t="str">
        <v>RI: North Kingstown - Walmart #2261</v>
      </c>
      <c r="B26" s="41" t="str">
        <v>RI</v>
      </c>
      <c r="C26" s="29"/>
      <c r="D26" s="95"/>
      <c r="E26" s="95" t="str">
        <f t="shared" si="0"/>
        <v/>
      </c>
      <c r="F26" s="31" t="str">
        <f t="shared" si="3"/>
        <v/>
      </c>
      <c r="G26" s="96"/>
      <c r="H26" s="96" t="str">
        <f t="shared" si="1"/>
        <v/>
      </c>
      <c r="I26" s="33" t="str">
        <f t="shared" si="2"/>
        <v/>
      </c>
      <c r="J26" s="59"/>
      <c r="K26" s="73"/>
      <c r="L26" s="81"/>
    </row>
    <row r="27" spans="1:12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2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2" ht="14.45">
      <c r="A29" s="9"/>
      <c r="B29" s="14"/>
      <c r="C29" s="9"/>
      <c r="D29" s="9"/>
      <c r="E29" s="9"/>
      <c r="F29" s="9"/>
      <c r="G29" s="9"/>
      <c r="H29" s="9"/>
      <c r="I29" s="9"/>
      <c r="J29" s="105"/>
      <c r="K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41"/>
  <sheetViews>
    <sheetView zoomScale="86" zoomScaleNormal="86" workbookViewId="0">
      <pane xSplit="2" ySplit="3" topLeftCell="G4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16.85546875" customWidth="1"/>
  </cols>
  <sheetData>
    <row r="1" spans="1:13" ht="19.5" customHeight="1">
      <c r="A1" s="123" t="str" cm="1">
        <f t="array" ref="A1">portfolio</f>
        <v>REC Solar</v>
      </c>
      <c r="B1" s="123"/>
      <c r="C1" s="123"/>
      <c r="D1" s="124" t="s">
        <v>105</v>
      </c>
      <c r="E1" s="124"/>
      <c r="F1" s="124"/>
      <c r="G1" s="122" t="s">
        <v>106</v>
      </c>
      <c r="H1" s="122"/>
      <c r="I1" s="122"/>
      <c r="J1" s="4"/>
      <c r="K1" s="4"/>
    </row>
    <row r="2" spans="1:13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  <c r="L3" s="11" t="s">
        <v>22</v>
      </c>
    </row>
    <row r="4" spans="1:13" ht="57.75" customHeight="1">
      <c r="A4" s="40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82"/>
      <c r="L4" s="50"/>
      <c r="M4" s="89"/>
    </row>
    <row r="5" spans="1:13" ht="15.6">
      <c r="A5" s="42" t="str">
        <v>AZ: Tucson - Amazon - TUS2</v>
      </c>
      <c r="B5" s="43" t="str">
        <v>AZ</v>
      </c>
      <c r="C5" s="36"/>
      <c r="D5" s="37"/>
      <c r="E5" s="37" t="str">
        <f t="shared" ref="E5:E16" si="0">IF(AND(ISNUMBER(C5),ISNUMBER(D5)), C5-D5, "")</f>
        <v/>
      </c>
      <c r="F5" s="38" t="str">
        <f>IFERROR(E5/D5, "")</f>
        <v/>
      </c>
      <c r="G5" s="39"/>
      <c r="H5" s="39" t="str">
        <f t="shared" ref="H5:H17" si="1">IF(AND(ISNUMBER(C5),ISNUMBER(G5)), C5-G5, "")</f>
        <v/>
      </c>
      <c r="I5" s="38" t="str">
        <f t="shared" ref="I5:I17" si="2">IFERROR(H5/G5, "")</f>
        <v/>
      </c>
      <c r="J5" s="51"/>
      <c r="K5" s="83"/>
      <c r="L5" s="51"/>
      <c r="M5" s="89"/>
    </row>
    <row r="6" spans="1:13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17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  <c r="L6" s="50"/>
    </row>
    <row r="7" spans="1:13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51"/>
      <c r="K7" s="51"/>
      <c r="L7" s="51"/>
    </row>
    <row r="8" spans="1:13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82"/>
      <c r="L8" s="50"/>
    </row>
    <row r="9" spans="1:13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60"/>
      <c r="K9" s="62"/>
      <c r="L9" s="51"/>
    </row>
    <row r="10" spans="1:13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0"/>
      <c r="K10" s="67"/>
      <c r="L10" s="50"/>
    </row>
    <row r="11" spans="1:13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62"/>
      <c r="K11" s="83"/>
      <c r="L11" s="51"/>
      <c r="M11" s="99"/>
    </row>
    <row r="12" spans="1:13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0"/>
      <c r="K12" s="50"/>
      <c r="L12" s="50"/>
      <c r="M12" s="89"/>
    </row>
    <row r="13" spans="1:13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62"/>
      <c r="K13" s="62"/>
      <c r="L13" s="51"/>
      <c r="M13" s="89"/>
    </row>
    <row r="14" spans="1:13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0"/>
      <c r="K14" s="50"/>
      <c r="L14" s="50"/>
      <c r="M14" s="89"/>
    </row>
    <row r="15" spans="1:13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62"/>
      <c r="K15" s="83"/>
      <c r="L15" s="51"/>
      <c r="M15" s="99"/>
    </row>
    <row r="16" spans="1:13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32"/>
      <c r="H16" s="32" t="str">
        <f t="shared" si="1"/>
        <v/>
      </c>
      <c r="I16" s="33" t="str">
        <f t="shared" si="2"/>
        <v/>
      </c>
      <c r="J16" s="50"/>
      <c r="K16" s="50"/>
      <c r="L16" s="50"/>
      <c r="M16" s="89"/>
    </row>
    <row r="17" spans="1:15" ht="15.6">
      <c r="A17" s="42" t="str">
        <v>MA: Andover - Boston One Campus</v>
      </c>
      <c r="B17" s="43" t="str">
        <v>MA</v>
      </c>
      <c r="C17" s="36"/>
      <c r="D17" s="37"/>
      <c r="E17" s="37"/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62"/>
      <c r="K17" s="83"/>
      <c r="L17" s="51"/>
      <c r="M17" s="99"/>
      <c r="N17" s="77"/>
    </row>
    <row r="18" spans="1:15" ht="12.75" customHeight="1">
      <c r="A18" s="40" t="str">
        <v>MA: Foxboro - Schneider Cocasset</v>
      </c>
      <c r="B18" s="41" t="str">
        <v>MA</v>
      </c>
      <c r="C18" s="29"/>
      <c r="D18" s="30"/>
      <c r="E18" s="30" t="str">
        <f t="shared" ref="E18:E24" si="4">IF(AND(ISNUMBER(C18),ISNUMBER(D18)), C18-D18, "")</f>
        <v/>
      </c>
      <c r="F18" s="31" t="str">
        <f t="shared" ref="F18:F24" si="5">IFERROR(E18/D18, "")</f>
        <v/>
      </c>
      <c r="G18" s="32"/>
      <c r="H18" s="32" t="str">
        <f t="shared" ref="H18:H24" si="6">IF(AND(ISNUMBER(C18),ISNUMBER(G18)), C18-G18, "")</f>
        <v/>
      </c>
      <c r="I18" s="33" t="str">
        <f t="shared" ref="I18:I24" si="7">IFERROR(H18/G18, "")</f>
        <v/>
      </c>
      <c r="J18" s="50"/>
      <c r="K18" s="82"/>
      <c r="L18" s="50"/>
      <c r="M18" s="89"/>
    </row>
    <row r="19" spans="1:15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4"/>
        <v/>
      </c>
      <c r="F19" s="38" t="str">
        <f t="shared" si="5"/>
        <v/>
      </c>
      <c r="G19" s="39"/>
      <c r="H19" s="39" t="str">
        <f t="shared" si="6"/>
        <v/>
      </c>
      <c r="I19" s="38" t="str">
        <f t="shared" si="7"/>
        <v/>
      </c>
      <c r="J19" s="62"/>
      <c r="K19" s="62"/>
      <c r="L19" s="51"/>
      <c r="M19" s="89"/>
    </row>
    <row r="20" spans="1:15" ht="15.6">
      <c r="A20" s="44" t="str">
        <v>MD: Sparrows Point - Amazon DCA1</v>
      </c>
      <c r="B20" s="41" t="str">
        <v>MD</v>
      </c>
      <c r="C20" s="29"/>
      <c r="D20" s="30"/>
      <c r="E20" s="30" t="str">
        <f t="shared" si="4"/>
        <v/>
      </c>
      <c r="F20" s="31" t="str">
        <f t="shared" si="5"/>
        <v/>
      </c>
      <c r="G20" s="32"/>
      <c r="H20" s="32" t="str">
        <f t="shared" si="6"/>
        <v/>
      </c>
      <c r="I20" s="33" t="str">
        <f t="shared" si="7"/>
        <v/>
      </c>
      <c r="J20" s="50"/>
      <c r="K20" s="50"/>
      <c r="L20" s="50"/>
      <c r="M20" s="89"/>
    </row>
    <row r="21" spans="1:15" ht="15.6">
      <c r="A21" s="42" t="str">
        <v>NJ: Piscataway - LVMH DC</v>
      </c>
      <c r="B21" s="43" t="str">
        <v>NJ</v>
      </c>
      <c r="C21" s="36"/>
      <c r="D21" s="37"/>
      <c r="E21" s="37" t="str">
        <f t="shared" si="4"/>
        <v/>
      </c>
      <c r="F21" s="38" t="str">
        <f t="shared" si="5"/>
        <v/>
      </c>
      <c r="G21" s="39"/>
      <c r="H21" s="39" t="str">
        <f t="shared" si="6"/>
        <v/>
      </c>
      <c r="I21" s="38" t="str">
        <f t="shared" si="7"/>
        <v/>
      </c>
      <c r="J21" s="62"/>
      <c r="K21" s="68"/>
      <c r="L21" s="51"/>
      <c r="M21" s="89"/>
    </row>
    <row r="22" spans="1:15" ht="15.6">
      <c r="A22" s="44" t="str">
        <v>NM: Edgewood - Walmart #4201</v>
      </c>
      <c r="B22" s="41" t="str">
        <v>NM</v>
      </c>
      <c r="C22" s="29"/>
      <c r="D22" s="30"/>
      <c r="E22" s="30" t="str">
        <f t="shared" si="4"/>
        <v/>
      </c>
      <c r="F22" s="31" t="str">
        <f t="shared" si="5"/>
        <v/>
      </c>
      <c r="G22" s="32"/>
      <c r="H22" s="32" t="str">
        <f t="shared" si="6"/>
        <v/>
      </c>
      <c r="I22" s="33" t="str">
        <f t="shared" si="7"/>
        <v/>
      </c>
      <c r="J22" s="50"/>
      <c r="K22" s="50"/>
      <c r="L22" s="50"/>
      <c r="M22" s="89"/>
    </row>
    <row r="23" spans="1:15" ht="15.6">
      <c r="A23" s="42" t="str">
        <v>NM: Gallup - Walmart #906</v>
      </c>
      <c r="B23" s="43" t="str">
        <v>NM</v>
      </c>
      <c r="C23" s="36"/>
      <c r="D23" s="37"/>
      <c r="E23" s="37" t="str">
        <f t="shared" si="4"/>
        <v/>
      </c>
      <c r="F23" s="38" t="str">
        <f t="shared" si="5"/>
        <v/>
      </c>
      <c r="G23" s="39"/>
      <c r="H23" s="39" t="str">
        <f t="shared" si="6"/>
        <v/>
      </c>
      <c r="I23" s="38" t="str">
        <f t="shared" si="7"/>
        <v/>
      </c>
      <c r="J23" s="62"/>
      <c r="K23" s="68"/>
      <c r="L23" s="51"/>
      <c r="M23" s="89"/>
    </row>
    <row r="24" spans="1:15" ht="15.6">
      <c r="A24" s="44" t="str">
        <v>NV: Las Vegas - Amazon - LAS5</v>
      </c>
      <c r="B24" s="41" t="str">
        <v>NV</v>
      </c>
      <c r="C24" s="29"/>
      <c r="D24" s="30"/>
      <c r="E24" s="30" t="str">
        <f t="shared" si="4"/>
        <v/>
      </c>
      <c r="F24" s="31" t="str">
        <f t="shared" si="5"/>
        <v/>
      </c>
      <c r="G24" s="32"/>
      <c r="H24" s="32" t="str">
        <f t="shared" si="6"/>
        <v/>
      </c>
      <c r="I24" s="33" t="str">
        <f t="shared" si="7"/>
        <v/>
      </c>
      <c r="J24" s="50"/>
      <c r="K24" s="50"/>
      <c r="L24" s="50"/>
      <c r="M24" s="89"/>
    </row>
    <row r="25" spans="1:15" ht="15.6">
      <c r="A25" s="42" t="str">
        <v>RI: Narragansett - Anchor Storage</v>
      </c>
      <c r="B25" s="43" t="str">
        <v>RI</v>
      </c>
      <c r="C25" s="36"/>
      <c r="D25" s="37"/>
      <c r="E25" s="37" t="str">
        <f t="shared" ref="E25:E26" si="8">IF(AND(ISNUMBER(C25),ISNUMBER(D25)), C25-D25, "")</f>
        <v/>
      </c>
      <c r="F25" s="38" t="str">
        <f t="shared" ref="F25:F26" si="9">IFERROR(E25/D25, "")</f>
        <v/>
      </c>
      <c r="G25" s="39"/>
      <c r="H25" s="39" t="str">
        <f t="shared" ref="H25:H26" si="10">IF(AND(ISNUMBER(C25),ISNUMBER(G25)), C25-G25, "")</f>
        <v/>
      </c>
      <c r="I25" s="38" t="str">
        <f t="shared" ref="I25:I26" si="11">IFERROR(H25/G25, "")</f>
        <v/>
      </c>
      <c r="J25" s="62"/>
      <c r="K25" s="83"/>
      <c r="L25" s="51"/>
      <c r="M25" s="99"/>
      <c r="N25" s="77"/>
      <c r="O25" s="77"/>
    </row>
    <row r="26" spans="1:15" ht="15.6">
      <c r="A26" s="44" t="str">
        <v>RI: North Kingstown - Walmart #2261</v>
      </c>
      <c r="B26" s="41" t="str">
        <v>RI</v>
      </c>
      <c r="C26" s="29"/>
      <c r="D26" s="30"/>
      <c r="E26" s="30" t="str">
        <f t="shared" si="8"/>
        <v/>
      </c>
      <c r="F26" s="31" t="str">
        <f t="shared" si="9"/>
        <v/>
      </c>
      <c r="G26" s="32"/>
      <c r="H26" s="32" t="str">
        <f t="shared" si="10"/>
        <v/>
      </c>
      <c r="I26" s="33" t="str">
        <f t="shared" si="11"/>
        <v/>
      </c>
      <c r="J26" s="50"/>
      <c r="K26" s="82"/>
      <c r="L26" s="50"/>
      <c r="M26" s="99"/>
    </row>
    <row r="27" spans="1:15" ht="14.45">
      <c r="A27" s="9" t="str">
        <v>RI: Warwick - Walmart #2373</v>
      </c>
      <c r="B27" s="14" t="str">
        <v>RI</v>
      </c>
      <c r="C27" s="9"/>
      <c r="D27" s="9"/>
      <c r="E27" s="9"/>
      <c r="F27" s="9"/>
      <c r="G27" s="9"/>
      <c r="H27" s="9"/>
      <c r="I27" s="9"/>
      <c r="J27" s="9"/>
      <c r="K27" s="9"/>
    </row>
    <row r="28" spans="1:15" ht="14.45">
      <c r="A28" s="9" t="str">
        <v>TX: Seguin - Niagara Bottling LLC</v>
      </c>
      <c r="B28" s="14" t="str">
        <v>TX</v>
      </c>
      <c r="C28" s="9"/>
      <c r="D28" s="9"/>
      <c r="E28" s="9"/>
      <c r="F28" s="9"/>
      <c r="G28" s="9"/>
      <c r="H28" s="9"/>
      <c r="I28" s="9"/>
      <c r="J28" s="9"/>
      <c r="K28" s="9"/>
    </row>
    <row r="29" spans="1:15" ht="14.45">
      <c r="A29" s="9"/>
      <c r="B29" s="14"/>
      <c r="C29" s="9"/>
      <c r="D29" s="9"/>
      <c r="E29" s="9"/>
      <c r="F29" s="9"/>
      <c r="G29" s="100" t="s">
        <v>107</v>
      </c>
      <c r="H29" s="9"/>
      <c r="I29" s="9"/>
      <c r="J29" s="9"/>
      <c r="K29" s="9"/>
    </row>
    <row r="30" spans="1:15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</row>
    <row r="31" spans="1:15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</row>
    <row r="323" spans="1:11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</row>
    <row r="324" spans="1:11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</row>
    <row r="325" spans="1:11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</row>
    <row r="326" spans="1:11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</row>
    <row r="327" spans="1:11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</row>
    <row r="328" spans="1:11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</row>
    <row r="329" spans="1:11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</row>
    <row r="330" spans="1:11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</row>
    <row r="331" spans="1:11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</row>
    <row r="332" spans="1:11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</row>
    <row r="333" spans="1:11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</row>
    <row r="334" spans="1:11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</row>
    <row r="335" spans="1:11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</row>
    <row r="336" spans="1:11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</row>
    <row r="337" spans="1:11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</row>
    <row r="338" spans="1:11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</row>
    <row r="339" spans="1:11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</row>
    <row r="340" spans="1:11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</row>
    <row r="341" spans="1:11" ht="14.45">
      <c r="C341" s="9"/>
      <c r="D341" s="9"/>
      <c r="E341" s="9"/>
      <c r="F341" s="10"/>
      <c r="G341" s="9"/>
      <c r="H341" s="9"/>
      <c r="I341" s="10"/>
      <c r="J341" s="9"/>
      <c r="K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R341"/>
  <sheetViews>
    <sheetView zoomScale="86" zoomScaleNormal="86" workbookViewId="0">
      <pane xSplit="2" ySplit="3" topLeftCell="D11" activePane="bottomRight" state="frozen"/>
      <selection pane="bottomRight" activeCell="H31" sqref="H31"/>
      <selection pane="bottomLeft" activeCell="H31" sqref="H31"/>
      <selection pane="topRight" activeCell="H31" sqref="H3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89" bestFit="1" customWidth="1"/>
    <col min="12" max="12" width="14" customWidth="1"/>
    <col min="13" max="18" width="9.140625" style="80"/>
  </cols>
  <sheetData>
    <row r="1" spans="1:13" ht="19.5" customHeight="1">
      <c r="A1" s="123" t="str" cm="1">
        <f t="array" ref="A1">portfolio</f>
        <v>REC Solar</v>
      </c>
      <c r="B1" s="123"/>
      <c r="C1" s="123"/>
      <c r="D1" s="124" t="s">
        <v>108</v>
      </c>
      <c r="E1" s="124"/>
      <c r="F1" s="124"/>
      <c r="G1" s="122" t="s">
        <v>109</v>
      </c>
      <c r="H1" s="122"/>
      <c r="I1" s="122"/>
      <c r="J1" s="4"/>
      <c r="K1" s="101"/>
      <c r="L1" s="4"/>
    </row>
    <row r="2" spans="1:13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101"/>
      <c r="L2" s="4"/>
    </row>
    <row r="3" spans="1:13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02" t="s">
        <v>21</v>
      </c>
      <c r="L3" s="11" t="s">
        <v>22</v>
      </c>
    </row>
    <row r="4" spans="1:13" ht="44.25" customHeight="1">
      <c r="A4" s="40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82"/>
      <c r="L4" s="50"/>
      <c r="M4" s="81"/>
    </row>
    <row r="5" spans="1:13" ht="15.6">
      <c r="A5" s="42" t="str">
        <v>AZ: Tucson - Amazon - TUS2</v>
      </c>
      <c r="B5" s="43" t="str">
        <v>AZ</v>
      </c>
      <c r="C5" s="36"/>
      <c r="D5" s="37"/>
      <c r="E5" s="37" t="str">
        <f t="shared" ref="E5:E26" si="0">IF(AND(ISNUMBER(C5),ISNUMBER(D5)), C5-D5, "")</f>
        <v/>
      </c>
      <c r="F5" s="38" t="str">
        <f>IFERROR(E5/D5, "")</f>
        <v/>
      </c>
      <c r="G5" s="39"/>
      <c r="H5" s="39" t="str">
        <f t="shared" ref="H5:H17" si="1">IF(AND(ISNUMBER(C5),ISNUMBER(G5)), C5-G5, "")</f>
        <v/>
      </c>
      <c r="I5" s="38" t="str">
        <f t="shared" ref="I5:I17" si="2">IFERROR(H5/G5, "")</f>
        <v/>
      </c>
      <c r="J5" s="51"/>
      <c r="K5" s="62"/>
      <c r="L5" s="51"/>
    </row>
    <row r="6" spans="1:13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17" si="3">IFERROR(E6/D6, "")</f>
        <v/>
      </c>
      <c r="G6" s="32"/>
      <c r="H6" s="32" t="str">
        <f t="shared" si="1"/>
        <v/>
      </c>
      <c r="I6" s="33" t="str">
        <f t="shared" si="2"/>
        <v/>
      </c>
      <c r="J6" s="50"/>
      <c r="K6" s="50"/>
      <c r="L6" s="50"/>
    </row>
    <row r="7" spans="1:13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39"/>
      <c r="H7" s="39" t="str">
        <f t="shared" si="1"/>
        <v/>
      </c>
      <c r="I7" s="38" t="str">
        <f t="shared" si="2"/>
        <v/>
      </c>
      <c r="J7" s="60"/>
      <c r="K7" s="83"/>
      <c r="L7" s="52"/>
    </row>
    <row r="8" spans="1:13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32"/>
      <c r="H8" s="32" t="str">
        <f t="shared" si="1"/>
        <v/>
      </c>
      <c r="I8" s="33" t="str">
        <f t="shared" si="2"/>
        <v/>
      </c>
      <c r="J8" s="50"/>
      <c r="K8" s="50"/>
      <c r="L8" s="50"/>
    </row>
    <row r="9" spans="1:13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39"/>
      <c r="H9" s="39" t="str">
        <f t="shared" si="1"/>
        <v/>
      </c>
      <c r="I9" s="38" t="str">
        <f t="shared" si="2"/>
        <v/>
      </c>
      <c r="J9" s="60"/>
      <c r="K9" s="83"/>
      <c r="L9" s="52"/>
    </row>
    <row r="10" spans="1:13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0"/>
      <c r="K10" s="82"/>
      <c r="L10" s="50"/>
    </row>
    <row r="11" spans="1:13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39"/>
      <c r="H11" s="39" t="str">
        <f t="shared" si="1"/>
        <v/>
      </c>
      <c r="I11" s="38" t="str">
        <f t="shared" si="2"/>
        <v/>
      </c>
      <c r="J11" s="51"/>
      <c r="K11" s="103"/>
      <c r="L11" s="69"/>
    </row>
    <row r="12" spans="1:13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32"/>
      <c r="H12" s="32" t="str">
        <f t="shared" si="1"/>
        <v/>
      </c>
      <c r="I12" s="33" t="str">
        <f t="shared" si="2"/>
        <v/>
      </c>
      <c r="J12" s="50"/>
      <c r="K12" s="50"/>
      <c r="L12" s="50"/>
    </row>
    <row r="13" spans="1:13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39"/>
      <c r="H13" s="39" t="str">
        <f t="shared" si="1"/>
        <v/>
      </c>
      <c r="I13" s="38" t="str">
        <f t="shared" si="2"/>
        <v/>
      </c>
      <c r="J13" s="51"/>
      <c r="K13" s="68"/>
      <c r="L13" s="52"/>
    </row>
    <row r="14" spans="1:13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32"/>
      <c r="H14" s="32" t="str">
        <f t="shared" si="1"/>
        <v/>
      </c>
      <c r="I14" s="33" t="str">
        <f t="shared" si="2"/>
        <v/>
      </c>
      <c r="J14" s="50"/>
      <c r="K14" s="50"/>
      <c r="L14" s="50"/>
    </row>
    <row r="15" spans="1:13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51"/>
      <c r="K15" s="68"/>
      <c r="L15" s="52"/>
    </row>
    <row r="16" spans="1:13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>IFERROR(E16/D16, "")</f>
        <v/>
      </c>
      <c r="G16" s="32"/>
      <c r="H16" s="32" t="str">
        <f t="shared" si="1"/>
        <v/>
      </c>
      <c r="I16" s="33" t="str">
        <f t="shared" si="2"/>
        <v/>
      </c>
      <c r="J16" s="50"/>
      <c r="K16" s="50"/>
      <c r="L16" s="50"/>
    </row>
    <row r="17" spans="1:15" ht="15.6">
      <c r="A17" s="42" t="str">
        <v>MA: Andover - Boston One Campus</v>
      </c>
      <c r="B17" s="43" t="str">
        <v>MA</v>
      </c>
      <c r="C17" s="36"/>
      <c r="D17" s="37"/>
      <c r="E17" s="37" t="str">
        <f t="shared" si="0"/>
        <v/>
      </c>
      <c r="F17" s="38" t="str">
        <f t="shared" si="3"/>
        <v/>
      </c>
      <c r="G17" s="39"/>
      <c r="H17" s="39" t="str">
        <f t="shared" si="1"/>
        <v/>
      </c>
      <c r="I17" s="38" t="str">
        <f t="shared" si="2"/>
        <v/>
      </c>
      <c r="J17" s="51"/>
      <c r="K17" s="68"/>
      <c r="L17" s="52"/>
    </row>
    <row r="18" spans="1:15" ht="12.75" customHeight="1">
      <c r="A18" s="40" t="str">
        <v>MA: Foxboro - Schneider Cocasset</v>
      </c>
      <c r="B18" s="41" t="str">
        <v>MA</v>
      </c>
      <c r="C18" s="29"/>
      <c r="D18" s="30"/>
      <c r="E18" s="30" t="str">
        <f t="shared" si="0"/>
        <v/>
      </c>
      <c r="F18" s="31" t="str">
        <f t="shared" ref="F18:F26" si="4">IFERROR(E18/D18, "")</f>
        <v/>
      </c>
      <c r="G18" s="32"/>
      <c r="H18" s="32" t="str">
        <f t="shared" ref="H18:H26" si="5">IF(AND(ISNUMBER(C18),ISNUMBER(G18)), C18-G18, "")</f>
        <v/>
      </c>
      <c r="I18" s="33" t="str">
        <f t="shared" ref="I18:I26" si="6">IFERROR(H18/G18, "")</f>
        <v/>
      </c>
      <c r="J18" s="50"/>
      <c r="K18" s="50"/>
      <c r="L18" s="50"/>
    </row>
    <row r="19" spans="1:15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0"/>
        <v/>
      </c>
      <c r="F19" s="38" t="str">
        <f t="shared" si="4"/>
        <v/>
      </c>
      <c r="G19" s="39"/>
      <c r="H19" s="39" t="str">
        <f t="shared" si="5"/>
        <v/>
      </c>
      <c r="I19" s="38" t="str">
        <f t="shared" si="6"/>
        <v/>
      </c>
      <c r="J19" s="51"/>
      <c r="K19" s="62"/>
      <c r="L19" s="51"/>
    </row>
    <row r="20" spans="1:15" ht="15.6">
      <c r="A20" s="44" t="str">
        <v>MD: Sparrows Point - Amazon DCA1</v>
      </c>
      <c r="B20" s="41" t="str">
        <v>MD</v>
      </c>
      <c r="C20" s="29"/>
      <c r="D20" s="30"/>
      <c r="E20" s="30" t="str">
        <f t="shared" si="0"/>
        <v/>
      </c>
      <c r="F20" s="31" t="str">
        <f t="shared" si="4"/>
        <v/>
      </c>
      <c r="G20" s="32"/>
      <c r="H20" s="32" t="str">
        <f t="shared" si="5"/>
        <v/>
      </c>
      <c r="I20" s="33" t="str">
        <f t="shared" si="6"/>
        <v/>
      </c>
      <c r="J20" s="50"/>
      <c r="K20" s="50"/>
      <c r="L20" s="50"/>
    </row>
    <row r="21" spans="1:15" ht="15.6">
      <c r="A21" s="42" t="str">
        <v>NJ: Piscataway - LVMH DC</v>
      </c>
      <c r="B21" s="43" t="str">
        <v>NJ</v>
      </c>
      <c r="C21" s="36"/>
      <c r="D21" s="37"/>
      <c r="E21" s="37" t="str">
        <f t="shared" si="0"/>
        <v/>
      </c>
      <c r="F21" s="38" t="str">
        <f t="shared" si="4"/>
        <v/>
      </c>
      <c r="G21" s="39"/>
      <c r="H21" s="39" t="str">
        <f t="shared" si="5"/>
        <v/>
      </c>
      <c r="I21" s="38" t="str">
        <f t="shared" si="6"/>
        <v/>
      </c>
      <c r="J21" s="51"/>
      <c r="K21" s="68"/>
      <c r="L21" s="52"/>
    </row>
    <row r="22" spans="1:15" ht="15.6">
      <c r="A22" s="44" t="str">
        <v>NM: Edgewood - Walmart #4201</v>
      </c>
      <c r="B22" s="41" t="str">
        <v>NM</v>
      </c>
      <c r="C22" s="29"/>
      <c r="D22" s="30"/>
      <c r="E22" s="30" t="str">
        <f t="shared" si="0"/>
        <v/>
      </c>
      <c r="F22" s="31" t="str">
        <f t="shared" si="4"/>
        <v/>
      </c>
      <c r="G22" s="32"/>
      <c r="H22" s="32" t="str">
        <f t="shared" si="5"/>
        <v/>
      </c>
      <c r="I22" s="33" t="str">
        <f t="shared" si="6"/>
        <v/>
      </c>
      <c r="J22" s="50"/>
      <c r="K22" s="50"/>
      <c r="L22" s="50"/>
    </row>
    <row r="23" spans="1:15" ht="15.6">
      <c r="A23" s="42" t="str">
        <v>NM: Gallup - Walmart #906</v>
      </c>
      <c r="B23" s="43" t="str">
        <v>NM</v>
      </c>
      <c r="C23" s="36"/>
      <c r="D23" s="37"/>
      <c r="E23" s="37" t="str">
        <f t="shared" si="0"/>
        <v/>
      </c>
      <c r="F23" s="38" t="str">
        <f t="shared" si="4"/>
        <v/>
      </c>
      <c r="G23" s="39"/>
      <c r="H23" s="39" t="str">
        <f t="shared" si="5"/>
        <v/>
      </c>
      <c r="I23" s="38" t="str">
        <f t="shared" si="6"/>
        <v/>
      </c>
      <c r="J23" s="51"/>
      <c r="K23" s="68"/>
      <c r="L23" s="52"/>
    </row>
    <row r="24" spans="1:15" ht="53.25" customHeight="1">
      <c r="A24" s="44" t="str">
        <v>NV: Las Vegas - Amazon - LAS5</v>
      </c>
      <c r="B24" s="41" t="str">
        <v>NV</v>
      </c>
      <c r="C24" s="29"/>
      <c r="D24" s="30"/>
      <c r="E24" s="30" t="str">
        <f t="shared" si="0"/>
        <v/>
      </c>
      <c r="F24" s="31" t="str">
        <f t="shared" si="4"/>
        <v/>
      </c>
      <c r="G24" s="32"/>
      <c r="H24" s="32" t="str">
        <f t="shared" si="5"/>
        <v/>
      </c>
      <c r="I24" s="33" t="str">
        <f t="shared" si="6"/>
        <v/>
      </c>
      <c r="J24" s="50"/>
      <c r="K24" s="82"/>
      <c r="L24" s="50"/>
      <c r="M24" s="81"/>
    </row>
    <row r="25" spans="1:15" ht="15.6">
      <c r="A25" s="42" t="str">
        <v>RI: Narragansett - Anchor Storage</v>
      </c>
      <c r="B25" s="43" t="str">
        <v>RI</v>
      </c>
      <c r="C25" s="36"/>
      <c r="D25" s="37"/>
      <c r="E25" s="37" t="str">
        <f t="shared" si="0"/>
        <v/>
      </c>
      <c r="F25" s="38" t="str">
        <f t="shared" si="4"/>
        <v/>
      </c>
      <c r="G25" s="39"/>
      <c r="H25" s="39" t="str">
        <f t="shared" si="5"/>
        <v/>
      </c>
      <c r="I25" s="38" t="str">
        <f t="shared" si="6"/>
        <v/>
      </c>
      <c r="J25" s="51"/>
      <c r="K25" s="83"/>
      <c r="L25" s="52"/>
    </row>
    <row r="26" spans="1:15" ht="89.25" customHeight="1">
      <c r="A26" s="44" t="str">
        <v>RI: North Kingstown - Walmart #2261</v>
      </c>
      <c r="B26" s="41" t="str">
        <v>RI</v>
      </c>
      <c r="C26" s="29"/>
      <c r="D26" s="30"/>
      <c r="E26" s="30" t="str">
        <f t="shared" si="0"/>
        <v/>
      </c>
      <c r="F26" s="31" t="str">
        <f t="shared" si="4"/>
        <v/>
      </c>
      <c r="G26" s="32"/>
      <c r="H26" s="32" t="str">
        <f t="shared" si="5"/>
        <v/>
      </c>
      <c r="I26" s="33" t="str">
        <f t="shared" si="6"/>
        <v/>
      </c>
      <c r="J26" s="50"/>
      <c r="K26" s="82"/>
      <c r="L26" s="50"/>
      <c r="M26" s="81"/>
      <c r="N26" s="81"/>
      <c r="O26" s="81"/>
    </row>
    <row r="27" spans="1:15" ht="15.6">
      <c r="A27" s="42" t="str">
        <v>RI: Warwick - Walmart #2373</v>
      </c>
      <c r="B27" s="43" t="str">
        <v>RI</v>
      </c>
      <c r="C27" s="36"/>
      <c r="D27" s="37"/>
      <c r="E27" s="37" t="str">
        <f t="shared" ref="E27:E29" si="7">IF(AND(ISNUMBER(C27),ISNUMBER(D27)), C27-D27, "")</f>
        <v/>
      </c>
      <c r="F27" s="38" t="str">
        <f t="shared" ref="F27:F29" si="8">IFERROR(E27/D27, "")</f>
        <v/>
      </c>
      <c r="G27" s="39"/>
      <c r="H27" s="39" t="str">
        <f t="shared" ref="H27:H29" si="9">IF(AND(ISNUMBER(C27),ISNUMBER(G27)), C27-G27, "")</f>
        <v/>
      </c>
      <c r="I27" s="38" t="str">
        <f t="shared" ref="I27:I29" si="10">IFERROR(H27/G27, "")</f>
        <v/>
      </c>
      <c r="J27" s="51"/>
      <c r="K27" s="83"/>
      <c r="L27" s="52"/>
    </row>
    <row r="28" spans="1:15" ht="15.6">
      <c r="A28" s="44" t="str">
        <v>TX: Seguin - Niagara Bottling LLC</v>
      </c>
      <c r="B28" s="41" t="str">
        <v>TX</v>
      </c>
      <c r="C28" s="29"/>
      <c r="D28" s="30"/>
      <c r="E28" s="30" t="str">
        <f t="shared" si="7"/>
        <v/>
      </c>
      <c r="F28" s="31" t="str">
        <f t="shared" si="8"/>
        <v/>
      </c>
      <c r="G28" s="32"/>
      <c r="H28" s="32" t="str">
        <f t="shared" si="9"/>
        <v/>
      </c>
      <c r="I28" s="33" t="str">
        <f t="shared" si="10"/>
        <v/>
      </c>
      <c r="J28" s="50"/>
      <c r="K28" s="82"/>
      <c r="L28" s="50"/>
    </row>
    <row r="29" spans="1:15" ht="15.6">
      <c r="A29" s="42"/>
      <c r="B29" s="43"/>
      <c r="C29" s="36"/>
      <c r="D29" s="37"/>
      <c r="E29" s="37" t="str">
        <f t="shared" si="7"/>
        <v/>
      </c>
      <c r="F29" s="38" t="str">
        <f t="shared" si="8"/>
        <v/>
      </c>
      <c r="G29" s="39"/>
      <c r="H29" s="39" t="str">
        <f t="shared" si="9"/>
        <v/>
      </c>
      <c r="I29" s="38" t="str">
        <f t="shared" si="10"/>
        <v/>
      </c>
      <c r="J29" s="51"/>
      <c r="K29" s="83"/>
      <c r="L29" s="52"/>
    </row>
    <row r="30" spans="1:15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104"/>
      <c r="L30" s="9"/>
    </row>
    <row r="31" spans="1:15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104"/>
      <c r="L31" s="9"/>
    </row>
    <row r="32" spans="1:15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104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104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104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104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104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104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104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104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104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104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104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104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104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104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104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104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104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104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104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104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104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104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104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104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104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104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104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104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104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104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104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104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104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104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104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104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104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104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104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104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104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104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104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104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104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104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104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104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104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104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104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104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104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104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104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104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104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104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104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104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104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104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104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104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104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104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104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104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104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104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104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104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104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104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104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104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104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104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104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104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104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104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104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104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104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104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104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104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104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104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104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104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104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104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104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104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104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104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104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104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104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104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104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104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104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104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104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104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104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104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104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104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104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104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104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104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104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104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104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104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104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104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104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104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104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104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104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104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104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104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104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104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104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104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104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104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104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104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104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104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104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104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104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104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104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104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104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104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104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104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104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104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104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104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104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104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104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104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104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104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104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104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104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104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104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104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104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104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104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104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104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104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104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104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104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104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104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104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104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104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104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104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104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104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104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104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104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104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104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104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104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104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104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104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104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104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104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104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104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104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104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104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104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104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104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104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104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104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104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104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104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104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104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104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104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104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104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104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104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104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104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104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104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104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104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104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104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104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104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104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104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104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104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104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104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104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104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104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104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104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104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104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104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104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104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104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104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104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104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104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104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104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104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104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104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104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104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104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104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104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104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104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104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104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104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104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104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104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104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104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104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104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104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104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104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104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104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104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104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104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104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104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104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104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104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104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104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104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104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104"/>
      <c r="L321" s="9"/>
    </row>
    <row r="322" spans="1:12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104"/>
      <c r="L322" s="9"/>
    </row>
    <row r="323" spans="1:12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104"/>
      <c r="L323" s="9"/>
    </row>
    <row r="324" spans="1:12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104"/>
      <c r="L324" s="9"/>
    </row>
    <row r="325" spans="1:12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104"/>
      <c r="L325" s="9"/>
    </row>
    <row r="326" spans="1:12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104"/>
      <c r="L326" s="9"/>
    </row>
    <row r="327" spans="1:12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104"/>
      <c r="L327" s="9"/>
    </row>
    <row r="328" spans="1:12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104"/>
      <c r="L328" s="9"/>
    </row>
    <row r="329" spans="1:12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104"/>
      <c r="L329" s="9"/>
    </row>
    <row r="330" spans="1:12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104"/>
      <c r="L330" s="9"/>
    </row>
    <row r="331" spans="1:12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104"/>
      <c r="L331" s="9"/>
    </row>
    <row r="332" spans="1:12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104"/>
      <c r="L332" s="9"/>
    </row>
    <row r="333" spans="1:12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104"/>
      <c r="L333" s="9"/>
    </row>
    <row r="334" spans="1:12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104"/>
      <c r="L334" s="9"/>
    </row>
    <row r="335" spans="1:12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104"/>
      <c r="L335" s="9"/>
    </row>
    <row r="336" spans="1:12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104"/>
      <c r="L336" s="9"/>
    </row>
    <row r="337" spans="1:12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104"/>
      <c r="L337" s="9"/>
    </row>
    <row r="338" spans="1:12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104"/>
      <c r="L338" s="9"/>
    </row>
    <row r="339" spans="1:12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104"/>
      <c r="L339" s="9"/>
    </row>
    <row r="340" spans="1:12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104"/>
      <c r="L340" s="9"/>
    </row>
    <row r="341" spans="1:12" ht="14.45">
      <c r="C341" s="9"/>
      <c r="D341" s="9"/>
      <c r="E341" s="9"/>
      <c r="F341" s="10"/>
      <c r="G341" s="9"/>
      <c r="H341" s="9"/>
      <c r="I341" s="10"/>
      <c r="J341" s="9"/>
      <c r="K341" s="104"/>
      <c r="L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1"/>
  <sheetViews>
    <sheetView zoomScale="86" zoomScaleNormal="86" workbookViewId="0">
      <pane xSplit="2" ySplit="3" topLeftCell="L4" activePane="bottomRight" state="frozen"/>
      <selection pane="bottomRight" activeCell="L3" sqref="L3"/>
      <selection pane="bottomLeft" activeCell="N11" sqref="N11"/>
      <selection pane="topRight" activeCell="N11" sqref="N11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140625" customWidth="1"/>
  </cols>
  <sheetData>
    <row r="1" spans="1:12" ht="19.5" customHeight="1">
      <c r="A1" s="123" t="str" cm="1">
        <f t="array" ref="A1">portfolio</f>
        <v>REC Solar</v>
      </c>
      <c r="B1" s="123"/>
      <c r="C1" s="123"/>
      <c r="D1" s="124" t="s">
        <v>110</v>
      </c>
      <c r="E1" s="124"/>
      <c r="F1" s="124"/>
      <c r="G1" s="122" t="s">
        <v>111</v>
      </c>
      <c r="H1" s="122"/>
      <c r="I1" s="122"/>
      <c r="J1" s="4"/>
      <c r="K1" s="4"/>
      <c r="L1" s="4"/>
    </row>
    <row r="2" spans="1:12" ht="19.5" customHeight="1">
      <c r="A2" s="125" t="s">
        <v>2</v>
      </c>
      <c r="B2" s="125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2" ht="14.25" customHeight="1">
      <c r="A3" s="13" t="s">
        <v>3</v>
      </c>
      <c r="B3" s="13" t="s">
        <v>4</v>
      </c>
      <c r="C3" s="20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  <c r="J3" s="11" t="s">
        <v>20</v>
      </c>
      <c r="K3" s="11" t="s">
        <v>21</v>
      </c>
      <c r="L3" s="11" t="s">
        <v>22</v>
      </c>
    </row>
    <row r="4" spans="1:12" ht="15.6">
      <c r="A4" s="40" t="str" cm="1">
        <f t="array" ref="A4:A28">Sites[Site]</f>
        <v>AZ: Goodyear - Amazon GYR2</v>
      </c>
      <c r="B4" s="41" t="str" cm="1">
        <f t="array" ref="B4:B28">Sites[State]</f>
        <v>AZ</v>
      </c>
      <c r="C4" s="29"/>
      <c r="D4" s="30"/>
      <c r="E4" s="30" t="str">
        <f>IF(AND(ISNUMBER(C4),ISNUMBER(D4)), C4-D4, "")</f>
        <v/>
      </c>
      <c r="F4" s="31" t="str">
        <f>IFERROR(E4/D4, "")</f>
        <v/>
      </c>
      <c r="G4" s="32"/>
      <c r="H4" s="32" t="str">
        <f>IF(AND(ISNUMBER(C4),ISNUMBER(G4)), C4-G4, "")</f>
        <v/>
      </c>
      <c r="I4" s="33" t="str">
        <f>IFERROR(H4/G4, "")</f>
        <v/>
      </c>
      <c r="J4" s="50"/>
      <c r="K4" s="50"/>
      <c r="L4" s="50"/>
    </row>
    <row r="5" spans="1:12" ht="15.6">
      <c r="A5" s="42" t="str">
        <v>AZ: Tucson - Amazon - TUS2</v>
      </c>
      <c r="B5" s="43" t="str">
        <v>AZ</v>
      </c>
      <c r="C5" s="36"/>
      <c r="D5" s="37"/>
      <c r="E5" s="37" t="str">
        <f t="shared" ref="E5:E27" si="0">IF(AND(ISNUMBER(C5),ISNUMBER(D5)), C5-D5, "")</f>
        <v/>
      </c>
      <c r="F5" s="38" t="str">
        <f>IFERROR(E5/D5, "")</f>
        <v/>
      </c>
      <c r="G5" s="107"/>
      <c r="H5" s="39" t="str">
        <f t="shared" ref="H5:H27" si="1">IF(AND(ISNUMBER(C5),ISNUMBER(G5)), C5-G5, "")</f>
        <v/>
      </c>
      <c r="I5" s="38" t="str">
        <f t="shared" ref="I5:I26" si="2">IFERROR(H5/G5, "")</f>
        <v/>
      </c>
      <c r="J5" s="62"/>
      <c r="K5" s="62"/>
      <c r="L5" s="62"/>
    </row>
    <row r="6" spans="1:12" ht="15.6">
      <c r="A6" s="44" t="str">
        <v>CO: Denver - TruStile Doors</v>
      </c>
      <c r="B6" s="41" t="str">
        <v>CO</v>
      </c>
      <c r="C6" s="29"/>
      <c r="D6" s="30"/>
      <c r="E6" s="30" t="str">
        <f t="shared" si="0"/>
        <v/>
      </c>
      <c r="F6" s="31" t="str">
        <f t="shared" ref="F6:F27" si="3">IFERROR(E6/D6, "")</f>
        <v/>
      </c>
      <c r="G6" s="108"/>
      <c r="H6" s="32" t="str">
        <f t="shared" si="1"/>
        <v/>
      </c>
      <c r="I6" s="33" t="str">
        <f t="shared" si="2"/>
        <v/>
      </c>
      <c r="J6" s="50"/>
      <c r="K6" s="50"/>
      <c r="L6" s="50"/>
    </row>
    <row r="7" spans="1:12" ht="15.6">
      <c r="A7" s="42" t="str">
        <v>CO: Thornton - Amazon - DEN3</v>
      </c>
      <c r="B7" s="43" t="str">
        <v>CO</v>
      </c>
      <c r="C7" s="36"/>
      <c r="D7" s="37"/>
      <c r="E7" s="37" t="str">
        <f t="shared" si="0"/>
        <v/>
      </c>
      <c r="F7" s="38" t="str">
        <f t="shared" si="3"/>
        <v/>
      </c>
      <c r="G7" s="107"/>
      <c r="H7" s="39" t="str">
        <f t="shared" si="1"/>
        <v/>
      </c>
      <c r="I7" s="38" t="str">
        <f t="shared" si="2"/>
        <v/>
      </c>
      <c r="J7" s="51"/>
      <c r="K7" s="52"/>
      <c r="L7" s="52"/>
    </row>
    <row r="8" spans="1:12" ht="15.6">
      <c r="A8" s="44" t="str">
        <v>CO: Greenwood Village - REC H5 Data Center</v>
      </c>
      <c r="B8" s="41" t="str">
        <v>CO</v>
      </c>
      <c r="C8" s="29"/>
      <c r="D8" s="30"/>
      <c r="E8" s="30" t="str">
        <f t="shared" si="0"/>
        <v/>
      </c>
      <c r="F8" s="31" t="str">
        <f t="shared" si="3"/>
        <v/>
      </c>
      <c r="G8" s="108"/>
      <c r="H8" s="32" t="str">
        <f t="shared" si="1"/>
        <v/>
      </c>
      <c r="I8" s="33" t="str">
        <f t="shared" si="2"/>
        <v/>
      </c>
      <c r="J8" s="50"/>
      <c r="K8" s="50"/>
      <c r="L8" s="50"/>
    </row>
    <row r="9" spans="1:12" ht="15.6">
      <c r="A9" s="42" t="str">
        <v>HI: Ewa Beach - Salvation Army Kroc Center</v>
      </c>
      <c r="B9" s="43" t="str">
        <v>HI</v>
      </c>
      <c r="C9" s="36"/>
      <c r="D9" s="37"/>
      <c r="E9" s="37" t="str">
        <f t="shared" si="0"/>
        <v/>
      </c>
      <c r="F9" s="38" t="str">
        <f t="shared" si="3"/>
        <v/>
      </c>
      <c r="G9" s="107"/>
      <c r="H9" s="39" t="str">
        <f t="shared" si="1"/>
        <v/>
      </c>
      <c r="I9" s="38" t="str">
        <f t="shared" si="2"/>
        <v/>
      </c>
      <c r="J9" s="60"/>
      <c r="K9" s="70"/>
      <c r="L9" s="70"/>
    </row>
    <row r="10" spans="1:12" ht="15.6">
      <c r="A10" s="44" t="str">
        <v>HI: Honolulu - Hawaii Foodbank</v>
      </c>
      <c r="B10" s="41" t="str">
        <v>HI</v>
      </c>
      <c r="C10" s="29"/>
      <c r="D10" s="30"/>
      <c r="E10" s="30" t="str">
        <f t="shared" si="0"/>
        <v/>
      </c>
      <c r="F10" s="31" t="str">
        <f t="shared" si="3"/>
        <v/>
      </c>
      <c r="G10" s="32"/>
      <c r="H10" s="32" t="str">
        <f t="shared" si="1"/>
        <v/>
      </c>
      <c r="I10" s="33" t="str">
        <f t="shared" si="2"/>
        <v/>
      </c>
      <c r="J10" s="50"/>
      <c r="K10" s="50"/>
      <c r="L10" s="50"/>
    </row>
    <row r="11" spans="1:12" ht="15.6">
      <c r="A11" s="42" t="str">
        <v>HI: Kailua-Kona - Home Depot #1704</v>
      </c>
      <c r="B11" s="43" t="str">
        <v>HI</v>
      </c>
      <c r="C11" s="36"/>
      <c r="D11" s="37"/>
      <c r="E11" s="37" t="str">
        <f t="shared" si="0"/>
        <v/>
      </c>
      <c r="F11" s="38" t="str">
        <f t="shared" si="3"/>
        <v/>
      </c>
      <c r="G11" s="107"/>
      <c r="H11" s="39" t="str">
        <f t="shared" si="1"/>
        <v/>
      </c>
      <c r="I11" s="38" t="str">
        <f t="shared" si="2"/>
        <v/>
      </c>
      <c r="J11" s="51"/>
      <c r="K11" s="69"/>
      <c r="L11" s="69"/>
    </row>
    <row r="12" spans="1:12" ht="15.6">
      <c r="A12" s="44" t="str">
        <v>HI: Kapolei - Home Depot #1706</v>
      </c>
      <c r="B12" s="41" t="str">
        <v>HI</v>
      </c>
      <c r="C12" s="29"/>
      <c r="D12" s="30"/>
      <c r="E12" s="30" t="str">
        <f t="shared" si="0"/>
        <v/>
      </c>
      <c r="F12" s="31" t="str">
        <f t="shared" si="3"/>
        <v/>
      </c>
      <c r="G12" s="108"/>
      <c r="H12" s="32" t="str">
        <f t="shared" si="1"/>
        <v/>
      </c>
      <c r="I12" s="33" t="str">
        <f t="shared" si="2"/>
        <v/>
      </c>
      <c r="J12" s="59"/>
      <c r="K12" s="59"/>
      <c r="L12" s="59"/>
    </row>
    <row r="13" spans="1:12" ht="15.6">
      <c r="A13" s="42" t="str">
        <v>HI: Laie - Polynesian Cultural Center</v>
      </c>
      <c r="B13" s="43" t="str">
        <v>HI</v>
      </c>
      <c r="C13" s="36"/>
      <c r="D13" s="37"/>
      <c r="E13" s="37" t="str">
        <f t="shared" si="0"/>
        <v/>
      </c>
      <c r="F13" s="38" t="str">
        <f t="shared" si="3"/>
        <v/>
      </c>
      <c r="G13" s="107"/>
      <c r="H13" s="39" t="str">
        <f t="shared" si="1"/>
        <v/>
      </c>
      <c r="I13" s="38" t="str">
        <f t="shared" si="2"/>
        <v/>
      </c>
      <c r="J13" s="51"/>
      <c r="K13" s="52"/>
      <c r="L13" s="52"/>
    </row>
    <row r="14" spans="1:12" ht="15.6">
      <c r="A14" s="44" t="str">
        <v>HI: Laie- BYU Hawaii (PW)</v>
      </c>
      <c r="B14" s="41" t="str">
        <v>HI</v>
      </c>
      <c r="C14" s="29"/>
      <c r="D14" s="30"/>
      <c r="E14" s="30" t="str">
        <f t="shared" si="0"/>
        <v/>
      </c>
      <c r="F14" s="31" t="str">
        <f t="shared" si="3"/>
        <v/>
      </c>
      <c r="G14" s="108"/>
      <c r="H14" s="32" t="str">
        <f t="shared" si="1"/>
        <v/>
      </c>
      <c r="I14" s="33" t="str">
        <f t="shared" si="2"/>
        <v/>
      </c>
      <c r="J14" s="59"/>
      <c r="K14" s="59"/>
      <c r="L14" s="59"/>
    </row>
    <row r="15" spans="1:12" ht="15.6">
      <c r="A15" s="42" t="str">
        <v>HI: Waianae - Makaha Surfside</v>
      </c>
      <c r="B15" s="43" t="str">
        <v>HI</v>
      </c>
      <c r="C15" s="36"/>
      <c r="D15" s="37"/>
      <c r="E15" s="37" t="str">
        <f t="shared" si="0"/>
        <v/>
      </c>
      <c r="F15" s="38" t="str">
        <f t="shared" si="3"/>
        <v/>
      </c>
      <c r="G15" s="39"/>
      <c r="H15" s="39" t="str">
        <f t="shared" si="1"/>
        <v/>
      </c>
      <c r="I15" s="38" t="str">
        <f t="shared" si="2"/>
        <v/>
      </c>
      <c r="J15" s="106"/>
      <c r="K15" s="70"/>
      <c r="L15" s="70"/>
    </row>
    <row r="16" spans="1:12" ht="15.6">
      <c r="A16" s="44" t="str">
        <v>HI: Kahului - Home Depot #1703</v>
      </c>
      <c r="B16" s="41" t="str">
        <v>HI</v>
      </c>
      <c r="C16" s="29"/>
      <c r="D16" s="30"/>
      <c r="E16" s="30" t="str">
        <f t="shared" si="0"/>
        <v/>
      </c>
      <c r="F16" s="31" t="str">
        <f t="shared" si="3"/>
        <v/>
      </c>
      <c r="G16" s="108"/>
      <c r="H16" s="32" t="str">
        <f t="shared" si="1"/>
        <v/>
      </c>
      <c r="I16" s="33" t="str">
        <f t="shared" si="2"/>
        <v/>
      </c>
      <c r="J16" s="87"/>
      <c r="K16" s="50"/>
      <c r="L16" s="50"/>
    </row>
    <row r="17" spans="1:12" ht="15.6">
      <c r="A17" s="42" t="str">
        <v>MA: Andover - Boston One Campus</v>
      </c>
      <c r="B17" s="43" t="str">
        <v>MA</v>
      </c>
      <c r="C17" s="36"/>
      <c r="D17" s="37"/>
      <c r="E17" s="37" t="str">
        <f t="shared" si="0"/>
        <v/>
      </c>
      <c r="F17" s="38" t="str">
        <f t="shared" si="3"/>
        <v/>
      </c>
      <c r="G17" s="107"/>
      <c r="H17" s="39" t="str">
        <f t="shared" si="1"/>
        <v/>
      </c>
      <c r="I17" s="38" t="str">
        <f t="shared" si="2"/>
        <v/>
      </c>
      <c r="J17" s="51"/>
      <c r="K17" s="70"/>
      <c r="L17" s="70"/>
    </row>
    <row r="18" spans="1:12" ht="15.6">
      <c r="A18" s="44" t="str">
        <v>MA: Foxboro - Schneider Cocasset</v>
      </c>
      <c r="B18" s="41" t="str">
        <v>MA</v>
      </c>
      <c r="C18" s="29"/>
      <c r="D18" s="30"/>
      <c r="E18" s="30" t="str">
        <f t="shared" si="0"/>
        <v/>
      </c>
      <c r="F18" s="31" t="str">
        <f t="shared" si="3"/>
        <v/>
      </c>
      <c r="G18" s="108"/>
      <c r="H18" s="32" t="str">
        <f t="shared" si="1"/>
        <v/>
      </c>
      <c r="I18" s="33" t="str">
        <f t="shared" si="2"/>
        <v/>
      </c>
      <c r="J18" s="50"/>
      <c r="K18" s="50"/>
      <c r="L18" s="50"/>
    </row>
    <row r="19" spans="1:12" ht="15.6">
      <c r="A19" s="42" t="str">
        <v>MD: Gaithersburg - Montgomery Cnty - PSHQ</v>
      </c>
      <c r="B19" s="43" t="str">
        <v>MD</v>
      </c>
      <c r="C19" s="36"/>
      <c r="D19" s="37"/>
      <c r="E19" s="37" t="str">
        <f t="shared" si="0"/>
        <v/>
      </c>
      <c r="F19" s="38" t="str">
        <f t="shared" si="3"/>
        <v/>
      </c>
      <c r="G19" s="107"/>
      <c r="H19" s="39" t="str">
        <f t="shared" si="1"/>
        <v/>
      </c>
      <c r="I19" s="38" t="str">
        <f t="shared" si="2"/>
        <v/>
      </c>
      <c r="J19" s="51"/>
      <c r="K19" s="51"/>
      <c r="L19" s="51"/>
    </row>
    <row r="20" spans="1:12" ht="15.6">
      <c r="A20" s="44" t="str">
        <v>MD: Sparrows Point - Amazon DCA1</v>
      </c>
      <c r="B20" s="41" t="str">
        <v>MD</v>
      </c>
      <c r="C20" s="29"/>
      <c r="D20" s="30"/>
      <c r="E20" s="30" t="str">
        <f t="shared" si="0"/>
        <v/>
      </c>
      <c r="F20" s="31" t="str">
        <f t="shared" si="3"/>
        <v/>
      </c>
      <c r="G20" s="108"/>
      <c r="H20" s="32" t="str">
        <f t="shared" si="1"/>
        <v/>
      </c>
      <c r="I20" s="33" t="str">
        <f t="shared" si="2"/>
        <v/>
      </c>
      <c r="J20" s="50"/>
      <c r="K20" s="50"/>
      <c r="L20" s="50"/>
    </row>
    <row r="21" spans="1:12" ht="15.6">
      <c r="A21" s="42" t="str">
        <v>NJ: Piscataway - LVMH DC</v>
      </c>
      <c r="B21" s="43" t="str">
        <v>NJ</v>
      </c>
      <c r="C21" s="36"/>
      <c r="D21" s="37"/>
      <c r="E21" s="37" t="str">
        <f t="shared" si="0"/>
        <v/>
      </c>
      <c r="F21" s="38" t="str">
        <f t="shared" si="3"/>
        <v/>
      </c>
      <c r="G21" s="107"/>
      <c r="H21" s="39" t="str">
        <f t="shared" si="1"/>
        <v/>
      </c>
      <c r="I21" s="38" t="str">
        <f t="shared" si="2"/>
        <v/>
      </c>
      <c r="J21" s="51"/>
      <c r="K21" s="52"/>
      <c r="L21" s="52"/>
    </row>
    <row r="22" spans="1:12" ht="15.6">
      <c r="A22" s="44" t="str">
        <v>NM: Edgewood - Walmart #4201</v>
      </c>
      <c r="B22" s="41" t="str">
        <v>NM</v>
      </c>
      <c r="C22" s="29"/>
      <c r="D22" s="30"/>
      <c r="E22" s="30" t="str">
        <f t="shared" si="0"/>
        <v/>
      </c>
      <c r="F22" s="31" t="str">
        <f t="shared" si="3"/>
        <v/>
      </c>
      <c r="G22" s="108"/>
      <c r="H22" s="32" t="str">
        <f t="shared" si="1"/>
        <v/>
      </c>
      <c r="I22" s="33" t="str">
        <f t="shared" si="2"/>
        <v/>
      </c>
      <c r="J22" s="67"/>
      <c r="K22" s="50"/>
      <c r="L22" s="50"/>
    </row>
    <row r="23" spans="1:12" ht="15.6">
      <c r="A23" s="42" t="str">
        <v>NM: Gallup - Walmart #906</v>
      </c>
      <c r="B23" s="43" t="str">
        <v>NM</v>
      </c>
      <c r="C23" s="36"/>
      <c r="D23" s="37"/>
      <c r="E23" s="37" t="str">
        <f t="shared" si="0"/>
        <v/>
      </c>
      <c r="F23" s="38" t="str">
        <f t="shared" si="3"/>
        <v/>
      </c>
      <c r="G23" s="107"/>
      <c r="H23" s="39" t="str">
        <f t="shared" si="1"/>
        <v/>
      </c>
      <c r="I23" s="38" t="str">
        <f t="shared" si="2"/>
        <v/>
      </c>
      <c r="J23" s="62"/>
      <c r="K23" s="68"/>
      <c r="L23" s="68"/>
    </row>
    <row r="24" spans="1:12" ht="15.6">
      <c r="A24" s="44" t="str">
        <v>NV: Las Vegas - Amazon - LAS5</v>
      </c>
      <c r="B24" s="41" t="str">
        <v>NV</v>
      </c>
      <c r="C24" s="29"/>
      <c r="D24" s="30"/>
      <c r="E24" s="30" t="str">
        <f t="shared" si="0"/>
        <v/>
      </c>
      <c r="F24" s="31" t="str">
        <f t="shared" si="3"/>
        <v/>
      </c>
      <c r="G24" s="108"/>
      <c r="H24" s="32" t="str">
        <f t="shared" si="1"/>
        <v/>
      </c>
      <c r="I24" s="33" t="str">
        <f t="shared" si="2"/>
        <v/>
      </c>
      <c r="J24" s="50"/>
      <c r="K24" s="50"/>
      <c r="L24" s="50"/>
    </row>
    <row r="25" spans="1:12" ht="15.6">
      <c r="A25" s="42" t="str">
        <v>RI: Narragansett - Anchor Storage</v>
      </c>
      <c r="B25" s="43" t="str">
        <v>RI</v>
      </c>
      <c r="C25" s="36"/>
      <c r="D25" s="37"/>
      <c r="E25" s="37" t="str">
        <f t="shared" si="0"/>
        <v/>
      </c>
      <c r="F25" s="38" t="str">
        <f t="shared" si="3"/>
        <v/>
      </c>
      <c r="G25" s="107"/>
      <c r="H25" s="39" t="str">
        <f t="shared" si="1"/>
        <v/>
      </c>
      <c r="I25" s="38" t="str">
        <f t="shared" si="2"/>
        <v/>
      </c>
      <c r="J25" s="62"/>
      <c r="K25" s="68"/>
      <c r="L25" s="68"/>
    </row>
    <row r="26" spans="1:12" ht="15.6">
      <c r="A26" s="44" t="str">
        <v>RI: North Kingstown - Walmart #2261</v>
      </c>
      <c r="B26" s="41" t="str">
        <v>RI</v>
      </c>
      <c r="C26" s="29"/>
      <c r="D26" s="30"/>
      <c r="E26" s="30" t="str">
        <f t="shared" si="0"/>
        <v/>
      </c>
      <c r="F26" s="31" t="str">
        <f t="shared" si="3"/>
        <v/>
      </c>
      <c r="G26" s="108"/>
      <c r="H26" s="32" t="str">
        <f t="shared" si="1"/>
        <v/>
      </c>
      <c r="I26" s="33" t="str">
        <f t="shared" si="2"/>
        <v/>
      </c>
      <c r="J26" s="50"/>
      <c r="K26" s="50"/>
      <c r="L26" s="50"/>
    </row>
    <row r="27" spans="1:12" ht="15.6">
      <c r="A27" s="42" t="str">
        <v>RI: Warwick - Walmart #2373</v>
      </c>
      <c r="B27" s="43" t="str">
        <v>RI</v>
      </c>
      <c r="C27" s="36"/>
      <c r="D27" s="37"/>
      <c r="E27" s="37" t="str">
        <f t="shared" si="0"/>
        <v/>
      </c>
      <c r="F27" s="38" t="str">
        <f t="shared" si="3"/>
        <v/>
      </c>
      <c r="G27" s="107"/>
      <c r="H27" s="39" t="str">
        <f t="shared" si="1"/>
        <v/>
      </c>
      <c r="I27" s="38"/>
      <c r="J27" s="62"/>
      <c r="K27" s="68"/>
      <c r="L27" s="68"/>
    </row>
    <row r="28" spans="1:12" ht="15.6">
      <c r="A28" s="44" t="str">
        <v>TX: Seguin - Niagara Bottling LLC</v>
      </c>
      <c r="B28" s="41" t="str">
        <v>TX</v>
      </c>
      <c r="C28" s="29"/>
      <c r="D28" s="30"/>
      <c r="E28" s="30" t="str">
        <f t="shared" ref="E28:E29" si="4">IF(AND(ISNUMBER(C28),ISNUMBER(D28)), C28-D28, "")</f>
        <v/>
      </c>
      <c r="F28" s="31" t="str">
        <f t="shared" ref="F28:F29" si="5">IFERROR(E28/D28, "")</f>
        <v/>
      </c>
      <c r="G28" s="108"/>
      <c r="H28" s="32" t="str">
        <f t="shared" ref="H28:H29" si="6">IF(AND(ISNUMBER(C28),ISNUMBER(G28)), C28-G28, "")</f>
        <v/>
      </c>
      <c r="I28" s="33" t="str">
        <f t="shared" ref="I28" si="7">IFERROR(H28/G28, "")</f>
        <v/>
      </c>
      <c r="J28" s="50"/>
      <c r="K28" s="50"/>
      <c r="L28" s="50"/>
    </row>
    <row r="29" spans="1:12" ht="14.45">
      <c r="A29" s="9"/>
      <c r="B29" s="14"/>
      <c r="C29" s="9"/>
      <c r="D29" s="9"/>
      <c r="E29" s="9" t="str">
        <f t="shared" si="4"/>
        <v/>
      </c>
      <c r="F29" s="9" t="str">
        <f t="shared" si="5"/>
        <v/>
      </c>
      <c r="G29" s="9"/>
      <c r="H29" s="9" t="str">
        <f t="shared" si="6"/>
        <v/>
      </c>
      <c r="I29" s="9"/>
      <c r="J29" s="9"/>
      <c r="K29" s="9"/>
      <c r="L29" s="9"/>
    </row>
    <row r="30" spans="1:12" ht="14.45">
      <c r="A30" s="9"/>
      <c r="B30" s="14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14.45">
      <c r="A31" s="9"/>
      <c r="B31" s="14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  <c r="L321" s="9"/>
    </row>
    <row r="322" spans="1:12" ht="14.45">
      <c r="A322" s="9"/>
      <c r="B322" s="14"/>
      <c r="C322" s="9"/>
      <c r="D322" s="9"/>
      <c r="E322" s="9"/>
      <c r="F322" s="10"/>
      <c r="G322" s="9"/>
      <c r="H322" s="9"/>
      <c r="I322" s="10"/>
      <c r="J322" s="9"/>
      <c r="K322" s="9"/>
      <c r="L322" s="9"/>
    </row>
    <row r="323" spans="1:12" ht="14.45">
      <c r="A323" s="9"/>
      <c r="B323" s="14"/>
      <c r="C323" s="9"/>
      <c r="D323" s="9"/>
      <c r="E323" s="9"/>
      <c r="F323" s="10"/>
      <c r="G323" s="9"/>
      <c r="H323" s="9"/>
      <c r="I323" s="10"/>
      <c r="J323" s="9"/>
      <c r="K323" s="9"/>
      <c r="L323" s="9"/>
    </row>
    <row r="324" spans="1:12" ht="14.45">
      <c r="A324" s="9"/>
      <c r="B324" s="14"/>
      <c r="C324" s="9"/>
      <c r="D324" s="9"/>
      <c r="E324" s="9"/>
      <c r="F324" s="10"/>
      <c r="G324" s="9"/>
      <c r="H324" s="9"/>
      <c r="I324" s="10"/>
      <c r="J324" s="9"/>
      <c r="K324" s="9"/>
      <c r="L324" s="9"/>
    </row>
    <row r="325" spans="1:12" ht="14.45">
      <c r="A325" s="9"/>
      <c r="B325" s="14"/>
      <c r="C325" s="9"/>
      <c r="D325" s="9"/>
      <c r="E325" s="9"/>
      <c r="F325" s="10"/>
      <c r="G325" s="9"/>
      <c r="H325" s="9"/>
      <c r="I325" s="10"/>
      <c r="J325" s="9"/>
      <c r="K325" s="9"/>
      <c r="L325" s="9"/>
    </row>
    <row r="326" spans="1:12" ht="14.45">
      <c r="A326" s="9"/>
      <c r="B326" s="14"/>
      <c r="C326" s="9"/>
      <c r="D326" s="9"/>
      <c r="E326" s="9"/>
      <c r="F326" s="10"/>
      <c r="G326" s="9"/>
      <c r="H326" s="9"/>
      <c r="I326" s="10"/>
      <c r="J326" s="9"/>
      <c r="K326" s="9"/>
      <c r="L326" s="9"/>
    </row>
    <row r="327" spans="1:12" ht="14.45">
      <c r="A327" s="9"/>
      <c r="B327" s="14"/>
      <c r="C327" s="9"/>
      <c r="D327" s="9"/>
      <c r="E327" s="9"/>
      <c r="F327" s="10"/>
      <c r="G327" s="9"/>
      <c r="H327" s="9"/>
      <c r="I327" s="10"/>
      <c r="J327" s="9"/>
      <c r="K327" s="9"/>
      <c r="L327" s="9"/>
    </row>
    <row r="328" spans="1:12" ht="14.45">
      <c r="A328" s="9"/>
      <c r="B328" s="14"/>
      <c r="C328" s="9"/>
      <c r="D328" s="9"/>
      <c r="E328" s="9"/>
      <c r="F328" s="10"/>
      <c r="G328" s="9"/>
      <c r="H328" s="9"/>
      <c r="I328" s="10"/>
      <c r="J328" s="9"/>
      <c r="K328" s="9"/>
      <c r="L328" s="9"/>
    </row>
    <row r="329" spans="1:12" ht="14.45">
      <c r="A329" s="9"/>
      <c r="B329" s="14"/>
      <c r="C329" s="9"/>
      <c r="D329" s="9"/>
      <c r="E329" s="9"/>
      <c r="F329" s="10"/>
      <c r="G329" s="9"/>
      <c r="H329" s="9"/>
      <c r="I329" s="10"/>
      <c r="J329" s="9"/>
      <c r="K329" s="9"/>
      <c r="L329" s="9"/>
    </row>
    <row r="330" spans="1:12" ht="14.45">
      <c r="A330" s="9"/>
      <c r="B330" s="14"/>
      <c r="C330" s="9"/>
      <c r="D330" s="9"/>
      <c r="E330" s="9"/>
      <c r="F330" s="10"/>
      <c r="G330" s="9"/>
      <c r="H330" s="9"/>
      <c r="I330" s="10"/>
      <c r="J330" s="9"/>
      <c r="K330" s="9"/>
      <c r="L330" s="9"/>
    </row>
    <row r="331" spans="1:12" ht="14.45">
      <c r="A331" s="9"/>
      <c r="B331" s="14"/>
      <c r="C331" s="9"/>
      <c r="D331" s="9"/>
      <c r="E331" s="9"/>
      <c r="F331" s="10"/>
      <c r="G331" s="9"/>
      <c r="H331" s="9"/>
      <c r="I331" s="10"/>
      <c r="J331" s="9"/>
      <c r="K331" s="9"/>
      <c r="L331" s="9"/>
    </row>
    <row r="332" spans="1:12" ht="14.45">
      <c r="A332" s="9"/>
      <c r="B332" s="14"/>
      <c r="C332" s="9"/>
      <c r="D332" s="9"/>
      <c r="E332" s="9"/>
      <c r="F332" s="10"/>
      <c r="G332" s="9"/>
      <c r="H332" s="9"/>
      <c r="I332" s="10"/>
      <c r="J332" s="9"/>
      <c r="K332" s="9"/>
      <c r="L332" s="9"/>
    </row>
    <row r="333" spans="1:12" ht="14.45">
      <c r="A333" s="9"/>
      <c r="B333" s="14"/>
      <c r="C333" s="9"/>
      <c r="D333" s="9"/>
      <c r="E333" s="9"/>
      <c r="F333" s="10"/>
      <c r="G333" s="9"/>
      <c r="H333" s="9"/>
      <c r="I333" s="10"/>
      <c r="J333" s="9"/>
      <c r="K333" s="9"/>
      <c r="L333" s="9"/>
    </row>
    <row r="334" spans="1:12" ht="14.45">
      <c r="A334" s="9"/>
      <c r="B334" s="14"/>
      <c r="C334" s="9"/>
      <c r="D334" s="9"/>
      <c r="E334" s="9"/>
      <c r="F334" s="10"/>
      <c r="G334" s="9"/>
      <c r="H334" s="9"/>
      <c r="I334" s="10"/>
      <c r="J334" s="9"/>
      <c r="K334" s="9"/>
      <c r="L334" s="9"/>
    </row>
    <row r="335" spans="1:12" ht="14.45">
      <c r="A335" s="9"/>
      <c r="B335" s="14"/>
      <c r="C335" s="9"/>
      <c r="D335" s="9"/>
      <c r="E335" s="9"/>
      <c r="F335" s="10"/>
      <c r="G335" s="9"/>
      <c r="H335" s="9"/>
      <c r="I335" s="10"/>
      <c r="J335" s="9"/>
      <c r="K335" s="9"/>
      <c r="L335" s="9"/>
    </row>
    <row r="336" spans="1:12" ht="14.45">
      <c r="A336" s="9"/>
      <c r="B336" s="14"/>
      <c r="C336" s="9"/>
      <c r="D336" s="9"/>
      <c r="E336" s="9"/>
      <c r="F336" s="10"/>
      <c r="G336" s="9"/>
      <c r="H336" s="9"/>
      <c r="I336" s="10"/>
      <c r="J336" s="9"/>
      <c r="K336" s="9"/>
      <c r="L336" s="9"/>
    </row>
    <row r="337" spans="1:12" ht="14.45">
      <c r="A337" s="9"/>
      <c r="B337" s="14"/>
      <c r="C337" s="9"/>
      <c r="D337" s="9"/>
      <c r="E337" s="9"/>
      <c r="F337" s="10"/>
      <c r="G337" s="9"/>
      <c r="H337" s="9"/>
      <c r="I337" s="10"/>
      <c r="J337" s="9"/>
      <c r="K337" s="9"/>
      <c r="L337" s="9"/>
    </row>
    <row r="338" spans="1:12" ht="14.45">
      <c r="A338" s="9"/>
      <c r="B338" s="14"/>
      <c r="C338" s="9"/>
      <c r="D338" s="9"/>
      <c r="E338" s="9"/>
      <c r="F338" s="10"/>
      <c r="G338" s="9"/>
      <c r="H338" s="9"/>
      <c r="I338" s="10"/>
      <c r="J338" s="9"/>
      <c r="K338" s="9"/>
      <c r="L338" s="9"/>
    </row>
    <row r="339" spans="1:12" ht="14.45">
      <c r="A339" s="9"/>
      <c r="B339" s="14"/>
      <c r="C339" s="9"/>
      <c r="D339" s="9"/>
      <c r="E339" s="9"/>
      <c r="F339" s="10"/>
      <c r="G339" s="9"/>
      <c r="H339" s="9"/>
      <c r="I339" s="10"/>
      <c r="J339" s="9"/>
      <c r="K339" s="9"/>
      <c r="L339" s="9"/>
    </row>
    <row r="340" spans="1:12" ht="14.45">
      <c r="A340" s="9"/>
      <c r="B340" s="14"/>
      <c r="C340" s="9"/>
      <c r="D340" s="9"/>
      <c r="E340" s="9"/>
      <c r="F340" s="10"/>
      <c r="G340" s="9"/>
      <c r="H340" s="9"/>
      <c r="I340" s="10"/>
      <c r="J340" s="9"/>
      <c r="K340" s="9"/>
      <c r="L340" s="9"/>
    </row>
    <row r="341" spans="1:12" ht="14.45">
      <c r="C341" s="9"/>
      <c r="D341" s="9"/>
      <c r="E341" s="9"/>
      <c r="F341" s="10"/>
      <c r="G341" s="9"/>
      <c r="H341" s="9"/>
      <c r="I341" s="10"/>
      <c r="J341" s="9"/>
      <c r="K341" s="9"/>
      <c r="L341" s="9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9"/>
  <sheetViews>
    <sheetView workbookViewId="0">
      <pane ySplit="3" topLeftCell="A4" activePane="bottomLeft" state="frozen"/>
      <selection pane="bottomLeft" activeCell="B32" sqref="B3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112</v>
      </c>
      <c r="B1" t="s">
        <v>113</v>
      </c>
    </row>
    <row r="3" spans="1:12" ht="13.15">
      <c r="A3" t="s">
        <v>114</v>
      </c>
      <c r="B3" t="s">
        <v>3</v>
      </c>
      <c r="C3" t="s">
        <v>4</v>
      </c>
      <c r="D3" t="s">
        <v>115</v>
      </c>
      <c r="E3" s="2" t="s">
        <v>116</v>
      </c>
    </row>
    <row r="4" spans="1:12" ht="14.45">
      <c r="A4" s="19" t="s">
        <v>117</v>
      </c>
      <c r="B4" t="s">
        <v>117</v>
      </c>
      <c r="C4" s="18" t="s">
        <v>118</v>
      </c>
      <c r="D4" s="17"/>
      <c r="E4" t="s">
        <v>119</v>
      </c>
      <c r="G4" s="3"/>
    </row>
    <row r="5" spans="1:12" ht="14.45">
      <c r="A5" s="19" t="s">
        <v>120</v>
      </c>
      <c r="B5" t="s">
        <v>120</v>
      </c>
      <c r="C5" s="18" t="s">
        <v>118</v>
      </c>
      <c r="D5" s="17"/>
      <c r="E5" t="s">
        <v>121</v>
      </c>
      <c r="G5" s="3"/>
    </row>
    <row r="6" spans="1:12" ht="14.45">
      <c r="A6" s="19" t="s">
        <v>122</v>
      </c>
      <c r="B6" t="s">
        <v>122</v>
      </c>
      <c r="C6" s="18" t="s">
        <v>123</v>
      </c>
      <c r="D6" s="17"/>
      <c r="E6" t="s">
        <v>121</v>
      </c>
      <c r="G6" s="3"/>
    </row>
    <row r="7" spans="1:12" ht="12.75" customHeight="1">
      <c r="A7" s="19" t="s">
        <v>124</v>
      </c>
      <c r="B7" t="s">
        <v>124</v>
      </c>
      <c r="C7" s="18" t="s">
        <v>123</v>
      </c>
      <c r="D7" s="17"/>
      <c r="E7" t="s">
        <v>121</v>
      </c>
    </row>
    <row r="8" spans="1:12" ht="12.75" customHeight="1">
      <c r="A8" s="19" t="s">
        <v>125</v>
      </c>
      <c r="B8" t="s">
        <v>125</v>
      </c>
      <c r="C8" s="18" t="s">
        <v>123</v>
      </c>
      <c r="D8" s="17"/>
      <c r="E8" t="s">
        <v>121</v>
      </c>
    </row>
    <row r="9" spans="1:12" ht="12.75" customHeight="1">
      <c r="A9" s="19" t="s">
        <v>126</v>
      </c>
      <c r="B9" t="s">
        <v>126</v>
      </c>
      <c r="C9" s="18" t="s">
        <v>127</v>
      </c>
      <c r="D9" s="17"/>
      <c r="E9" t="s">
        <v>128</v>
      </c>
    </row>
    <row r="10" spans="1:12" ht="12.75" customHeight="1">
      <c r="A10" s="19" t="s">
        <v>129</v>
      </c>
      <c r="B10" t="s">
        <v>129</v>
      </c>
      <c r="C10" s="18" t="s">
        <v>127</v>
      </c>
      <c r="D10" s="17"/>
      <c r="E10" t="s">
        <v>130</v>
      </c>
      <c r="K10" s="16"/>
      <c r="L10" s="16"/>
    </row>
    <row r="11" spans="1:12" ht="12.75" customHeight="1">
      <c r="A11" s="19" t="s">
        <v>131</v>
      </c>
      <c r="B11" t="s">
        <v>131</v>
      </c>
      <c r="C11" s="18" t="s">
        <v>127</v>
      </c>
      <c r="D11" s="17"/>
      <c r="E11" t="s">
        <v>121</v>
      </c>
      <c r="K11" s="16"/>
      <c r="L11" s="16"/>
    </row>
    <row r="12" spans="1:12" ht="12.75" customHeight="1">
      <c r="A12" s="19" t="s">
        <v>132</v>
      </c>
      <c r="B12" t="s">
        <v>132</v>
      </c>
      <c r="C12" s="18" t="s">
        <v>127</v>
      </c>
      <c r="D12" s="17"/>
      <c r="E12" t="s">
        <v>121</v>
      </c>
      <c r="K12" s="16"/>
      <c r="L12" s="16"/>
    </row>
    <row r="13" spans="1:12" ht="12.75" customHeight="1">
      <c r="A13" s="19" t="s">
        <v>133</v>
      </c>
      <c r="B13" t="s">
        <v>133</v>
      </c>
      <c r="C13" s="18" t="s">
        <v>127</v>
      </c>
      <c r="D13" s="17"/>
      <c r="E13" t="s">
        <v>128</v>
      </c>
      <c r="K13" s="16"/>
      <c r="L13" s="16"/>
    </row>
    <row r="14" spans="1:12" ht="12.75" customHeight="1">
      <c r="A14" s="19" t="s">
        <v>134</v>
      </c>
      <c r="B14" t="s">
        <v>134</v>
      </c>
      <c r="C14" s="18" t="s">
        <v>127</v>
      </c>
      <c r="D14" s="17"/>
      <c r="E14" t="s">
        <v>121</v>
      </c>
      <c r="K14" s="16"/>
      <c r="L14" s="16"/>
    </row>
    <row r="15" spans="1:12" ht="12.75" customHeight="1">
      <c r="A15" s="19" t="s">
        <v>135</v>
      </c>
      <c r="B15" t="s">
        <v>135</v>
      </c>
      <c r="C15" s="18" t="s">
        <v>127</v>
      </c>
      <c r="D15" s="17"/>
      <c r="E15" t="s">
        <v>130</v>
      </c>
      <c r="K15" s="16"/>
      <c r="L15" s="16"/>
    </row>
    <row r="16" spans="1:12" ht="12.75" customHeight="1">
      <c r="A16" s="19" t="s">
        <v>136</v>
      </c>
      <c r="B16" t="s">
        <v>136</v>
      </c>
      <c r="C16" s="18" t="s">
        <v>127</v>
      </c>
      <c r="D16" s="17"/>
      <c r="E16" t="s">
        <v>121</v>
      </c>
      <c r="K16" s="16"/>
      <c r="L16" s="16"/>
    </row>
    <row r="17" spans="1:12" ht="12.75" customHeight="1">
      <c r="A17" s="19" t="s">
        <v>137</v>
      </c>
      <c r="B17" t="s">
        <v>137</v>
      </c>
      <c r="C17" s="18" t="s">
        <v>138</v>
      </c>
      <c r="D17" s="17"/>
      <c r="E17" t="s">
        <v>130</v>
      </c>
      <c r="K17" s="16"/>
      <c r="L17" s="16"/>
    </row>
    <row r="18" spans="1:12" ht="12.75" customHeight="1">
      <c r="A18" s="19" t="s">
        <v>139</v>
      </c>
      <c r="B18" t="s">
        <v>139</v>
      </c>
      <c r="C18" s="18" t="s">
        <v>138</v>
      </c>
      <c r="D18" s="17"/>
      <c r="E18" t="s">
        <v>121</v>
      </c>
      <c r="K18" s="16"/>
      <c r="L18" s="16"/>
    </row>
    <row r="19" spans="1:12" ht="12.75" customHeight="1">
      <c r="A19" s="19" t="s">
        <v>140</v>
      </c>
      <c r="B19" t="s">
        <v>140</v>
      </c>
      <c r="C19" s="18" t="s">
        <v>141</v>
      </c>
      <c r="D19" s="17"/>
      <c r="E19" t="s">
        <v>121</v>
      </c>
      <c r="K19" s="16"/>
      <c r="L19" s="16"/>
    </row>
    <row r="20" spans="1:12" ht="12.75" customHeight="1">
      <c r="A20" s="19" t="s">
        <v>142</v>
      </c>
      <c r="B20" t="s">
        <v>142</v>
      </c>
      <c r="C20" s="18" t="s">
        <v>141</v>
      </c>
      <c r="D20" s="17"/>
      <c r="E20" t="s">
        <v>121</v>
      </c>
      <c r="K20" s="16"/>
      <c r="L20" s="16"/>
    </row>
    <row r="21" spans="1:12" ht="12.75" customHeight="1">
      <c r="A21" s="19" t="s">
        <v>143</v>
      </c>
      <c r="B21" t="s">
        <v>143</v>
      </c>
      <c r="C21" s="18" t="s">
        <v>144</v>
      </c>
      <c r="D21" s="17"/>
      <c r="E21" t="s">
        <v>121</v>
      </c>
      <c r="K21" s="16"/>
      <c r="L21" s="16"/>
    </row>
    <row r="22" spans="1:12" ht="12.75" customHeight="1">
      <c r="A22" s="19" t="s">
        <v>145</v>
      </c>
      <c r="B22" t="s">
        <v>145</v>
      </c>
      <c r="C22" s="18" t="s">
        <v>146</v>
      </c>
      <c r="D22" s="17"/>
      <c r="E22" t="s">
        <v>121</v>
      </c>
      <c r="K22" s="16"/>
      <c r="L22" s="16"/>
    </row>
    <row r="23" spans="1:12" ht="12.75" customHeight="1">
      <c r="A23" s="19" t="s">
        <v>147</v>
      </c>
      <c r="B23" t="s">
        <v>147</v>
      </c>
      <c r="C23" s="18" t="s">
        <v>146</v>
      </c>
      <c r="D23" s="17"/>
      <c r="E23" t="s">
        <v>121</v>
      </c>
      <c r="K23" s="16"/>
      <c r="L23" s="16"/>
    </row>
    <row r="24" spans="1:12" ht="12.75" customHeight="1">
      <c r="A24" s="91" t="s">
        <v>148</v>
      </c>
      <c r="B24" s="92" t="s">
        <v>148</v>
      </c>
      <c r="C24" s="18" t="s">
        <v>149</v>
      </c>
      <c r="D24" s="17"/>
      <c r="E24" t="s">
        <v>121</v>
      </c>
      <c r="K24" s="16"/>
      <c r="L24" s="16"/>
    </row>
    <row r="25" spans="1:12" ht="12.75" customHeight="1">
      <c r="A25" s="91" t="s">
        <v>150</v>
      </c>
      <c r="B25" s="92" t="s">
        <v>150</v>
      </c>
      <c r="C25" s="18" t="s">
        <v>151</v>
      </c>
      <c r="D25" s="17"/>
      <c r="E25" t="s">
        <v>121</v>
      </c>
      <c r="K25" s="16"/>
      <c r="L25" s="16"/>
    </row>
    <row r="26" spans="1:12" ht="12.75" customHeight="1">
      <c r="A26" s="91" t="s">
        <v>152</v>
      </c>
      <c r="B26" s="92" t="s">
        <v>152</v>
      </c>
      <c r="C26" s="18" t="s">
        <v>151</v>
      </c>
      <c r="D26" s="17"/>
      <c r="E26" t="s">
        <v>121</v>
      </c>
      <c r="K26" s="16"/>
      <c r="L26" s="16"/>
    </row>
    <row r="27" spans="1:12" ht="12.75" customHeight="1">
      <c r="A27" s="91" t="s">
        <v>153</v>
      </c>
      <c r="B27" s="92" t="s">
        <v>153</v>
      </c>
      <c r="C27" s="18" t="s">
        <v>151</v>
      </c>
      <c r="D27" s="17"/>
      <c r="E27" t="s">
        <v>121</v>
      </c>
      <c r="K27" s="16"/>
      <c r="L27" s="16"/>
    </row>
    <row r="28" spans="1:12" ht="12.75" customHeight="1">
      <c r="A28" s="91" t="s">
        <v>154</v>
      </c>
      <c r="B28" s="92" t="s">
        <v>154</v>
      </c>
      <c r="C28" s="18" t="s">
        <v>155</v>
      </c>
      <c r="E28" t="s">
        <v>121</v>
      </c>
      <c r="K28" s="16"/>
      <c r="L28" s="16"/>
    </row>
    <row r="29" spans="1:12" ht="12.75" customHeight="1">
      <c r="K29" s="16"/>
      <c r="L29" s="1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753D26A8-60CD-41C1-A126-83BD9F040D5D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2026-01-02T00:16:31Z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