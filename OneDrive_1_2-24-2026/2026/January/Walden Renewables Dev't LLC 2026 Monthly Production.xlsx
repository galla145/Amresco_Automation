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BC147FF-4998-4832-BDD1-AC6345B90B14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Littlefield Solar YTD" sheetId="73" r:id="rId1"/>
    <sheet name="Year to Date" sheetId="34" state="hidden" r:id="rId2"/>
    <sheet name="1st Qtr" sheetId="1" r:id="rId3"/>
    <sheet name="2nd Qtr" sheetId="18" r:id="rId4"/>
    <sheet name="3rd Qtr" sheetId="29" r:id="rId5"/>
    <sheet name="4th Qtr" sheetId="30" r:id="rId6"/>
    <sheet name="Jan" sheetId="72" r:id="rId7"/>
    <sheet name="Feb" sheetId="3" r:id="rId8"/>
    <sheet name="Mar" sheetId="4" r:id="rId9"/>
    <sheet name="Apr" sheetId="21" r:id="rId10"/>
    <sheet name="May" sheetId="20" r:id="rId11"/>
    <sheet name="Jun" sheetId="19" r:id="rId12"/>
    <sheet name="Jul" sheetId="26" r:id="rId13"/>
    <sheet name="Aug" sheetId="27" r:id="rId14"/>
    <sheet name="Sep" sheetId="28" r:id="rId15"/>
    <sheet name="Oct" sheetId="31" r:id="rId16"/>
    <sheet name="Nov" sheetId="32" r:id="rId17"/>
    <sheet name="Dec" sheetId="33" r:id="rId18"/>
    <sheet name="Sites" sheetId="68" r:id="rId19"/>
  </sheets>
  <definedNames>
    <definedName name="_xlnm._FilterDatabase" localSheetId="2" hidden="1">'1st Qtr'!$A$2:$I$2</definedName>
    <definedName name="_xlnm._FilterDatabase" localSheetId="3" hidden="1">'2nd Qtr'!$A$2:$I$2</definedName>
    <definedName name="_xlnm._FilterDatabase" localSheetId="4" hidden="1">'3rd Qtr'!$A$2:$I$2</definedName>
    <definedName name="_xlnm._FilterDatabase" localSheetId="5" hidden="1">'4th Qtr'!$A$2:$I$2</definedName>
    <definedName name="_xlnm._FilterDatabase" localSheetId="9" hidden="1">Apr!$A$2:$I$2</definedName>
    <definedName name="_xlnm._FilterDatabase" localSheetId="13" hidden="1">Aug!$A$2:$I$2</definedName>
    <definedName name="_xlnm._FilterDatabase" localSheetId="17" hidden="1">Dec!$A$2:$I$2</definedName>
    <definedName name="_xlnm._FilterDatabase" localSheetId="7" hidden="1">Feb!$A$2:$I$2</definedName>
    <definedName name="_xlnm._FilterDatabase" localSheetId="6" hidden="1">Jan!$A$3:$K$3</definedName>
    <definedName name="_xlnm._FilterDatabase" localSheetId="12" hidden="1">Jul!$A$2:$I$2</definedName>
    <definedName name="_xlnm._FilterDatabase" localSheetId="11" hidden="1">Jun!$A$2:$I$2</definedName>
    <definedName name="_xlnm._FilterDatabase" localSheetId="8" hidden="1">Mar!$A$2:$I$2</definedName>
    <definedName name="_xlnm._FilterDatabase" localSheetId="10" hidden="1">May!$A$2:$I$2</definedName>
    <definedName name="_xlnm._FilterDatabase" localSheetId="16" hidden="1">Nov!$A$2:$I$2</definedName>
    <definedName name="_xlnm._FilterDatabase" localSheetId="15" hidden="1">Oct!$A$2:$I$2</definedName>
    <definedName name="_xlnm._FilterDatabase" localSheetId="14" hidden="1">Sep!$A$2:$I$2</definedName>
    <definedName name="_xlnm._FilterDatabase" localSheetId="1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3" l="1" a="1"/>
  <c r="A4" i="73" s="1"/>
  <c r="A1" i="73" a="1"/>
  <c r="A1" i="73" s="1"/>
  <c r="E4" i="21"/>
  <c r="F4" i="21" s="1"/>
  <c r="E4" i="20"/>
  <c r="F4" i="20" s="1"/>
  <c r="H4" i="20"/>
  <c r="I4" i="20" s="1"/>
  <c r="E4" i="72"/>
  <c r="F4" i="72"/>
  <c r="H4" i="72"/>
  <c r="I4" i="72" s="1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B4" i="73" l="1"/>
  <c r="F4" i="73"/>
  <c r="H2" i="32"/>
  <c r="I2" i="32" s="1"/>
  <c r="C4" i="73"/>
  <c r="H2" i="28"/>
  <c r="I2" i="28" s="1"/>
  <c r="E2" i="20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73" l="1"/>
  <c r="E4" i="73" s="1"/>
  <c r="I4" i="30"/>
  <c r="G4" i="73"/>
  <c r="H4" i="73" s="1"/>
  <c r="E2" i="29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<sst xmlns="http://schemas.openxmlformats.org/spreadsheetml/2006/main" count="263" uniqueCount="64">
  <si>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</si>
  <si>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</si>
  <si>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</si>
  <si>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</si>
  <si>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</si>
  <si>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</si>
  <si>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</si>
  <si>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</si>
  <si>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</si>
  <si>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State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</si>
  <si>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</si>
  <si>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</si>
  <si>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</si>
  <si>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</si>
  <si>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</si>
  <si>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</si>
  <si>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</si>
  <si>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</si>
  <si>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</si>
  <si>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</si>
  <si>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</si>
  <si>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</si>
  <si>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</si>
  <si>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Status</t>
  </si>
  <si>
    <t>1.Found significant morning shading and spliced cable tray circuitry that may be causing faults during weather events.
2.Site tripped offline at 14:00 on 1/25 and later back online 09:15 on 01/27
3.Inverter 1 - String 1
Inverter 2 - String 14 
Inverter 3 - String 5
Inverter 4 - String 4 
Inverter 6 - String 4 and 5. 
Inverter 7 - String 13 and 9
Inverter 8 - String 10 and 14
Inverter 17 - String 6 
Inverter 20 - String 13, 9, 17, 13, 10,11 and 14. 
Inverter 22 - String 8
Inverter 29 - string 1 
Inverter 35 string 16 and 12 and 6 
Inverter 39 - string 5 and 16. having shading issues</t>
  </si>
  <si>
    <t>1.SR114125
2.SR115323
3.SR115383</t>
  </si>
  <si>
    <t>1.Closed
2.Closed
3.Work in progress</t>
  </si>
  <si>
    <t>SR115323</t>
  </si>
  <si>
    <t>SR115383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</si>
  <si>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</si>
  <si>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</si>
  <si>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</si>
  <si>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</si>
  <si>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</si>
  <si>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</si>
  <si>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</si>
  <si>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</si>
  <si>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</si>
  <si>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</si>
  <si>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</si>
  <si>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</si>
  <si>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SR103744</t>
  </si>
  <si>
    <t>SR105336</t>
  </si>
  <si>
    <t>s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</si>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</sst>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24" fillId="39" borderId="1" xfId="0" applyFont="1" applyFill="1" applyBorder="1" applyAlignment="1">
      <alignment horizontal="center" vertical="center"/>
    </xf>
    <xf numFmtId="0" fontId="35" fillId="0" borderId="0" xfId="45"/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5383" TargetMode="External"/><Relationship Id="rId2" Type="http://schemas.openxmlformats.org/officeDocument/2006/relationships/hyperlink" Target="https://us3.assetplanner.com/service_request?ID=115323" TargetMode="External"/><Relationship Id="rId1" Type="http://schemas.openxmlformats.org/officeDocument/2006/relationships/hyperlink" Target="https://us3.assetplanner.com/service_request?ID=114125" TargetMode="External"/><Relationship Id="rId4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336" TargetMode="External"/><Relationship Id="rId1" Type="http://schemas.openxmlformats.org/officeDocument/2006/relationships/hyperlink" Target="https://us3.assetplanner.com/service_request?ID=10374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7825-86A6-4F53-8D65-5B3C3AD9C1D6}">
  <sheetPr>
    <tabColor rgb="FFFFFF00"/>
  </sheetPr>
  <dimension ref="A1:H4"/>
  <sheetViews>
    <sheetView zoomScale="60" zoomScaleNormal="60" workbookViewId="0">
      <selection activeCell="I13" sqref="I13"/>
    </sheetView>
  </sheetViews>
  <sheetFormatPr defaultRowHeight="13.15"/>
  <cols>
    <col min="1" max="1" width="35.85546875" bestFit="1" customWidth="1"/>
    <col min="2" max="2" width="11.7109375" customWidth="1"/>
    <col min="3" max="8" width="13.28515625" customWidth="1"/>
    <col min="9" max="9" width="71.5703125" customWidth="1"/>
    <col min="10" max="10" width="20.5703125" bestFit="1" customWidth="1"/>
  </cols>
  <sheetData>
    <row r="1" spans="1:8" ht="15.6">
      <c r="A1" s="52" t="str" cm="1">
        <f t="array" ref="A1">portfolio</f>
        <v>Walden Renewables Dev't LLC</v>
      </c>
      <c r="B1" s="52"/>
      <c r="C1" s="53" t="s">
        <v>0</v>
      </c>
      <c r="D1" s="53"/>
      <c r="E1" s="53"/>
      <c r="F1" s="54" t="s">
        <v>1</v>
      </c>
      <c r="G1" s="54"/>
      <c r="H1" s="54"/>
    </row>
    <row r="2" spans="1:8" ht="13.9">
      <c r="A2" s="50" t="s">
        <v>2</v>
      </c>
      <c r="B2" s="6"/>
      <c r="C2" s="6"/>
      <c r="D2" s="6"/>
      <c r="E2" s="7"/>
      <c r="F2" s="6"/>
      <c r="G2" s="8"/>
      <c r="H2" s="7"/>
    </row>
    <row r="3" spans="1:8">
      <c r="A3" s="9" t="s">
        <v>3</v>
      </c>
      <c r="B3" s="25" t="s">
        <v>4</v>
      </c>
      <c r="C3" s="36" t="s">
        <v>5</v>
      </c>
      <c r="D3" s="36" t="s">
        <v>6</v>
      </c>
      <c r="E3" s="37" t="s">
        <v>7</v>
      </c>
      <c r="F3" s="38" t="s">
        <v>8</v>
      </c>
      <c r="G3" s="39" t="s">
        <v>6</v>
      </c>
      <c r="H3" s="40" t="s">
        <v>7</v>
      </c>
    </row>
    <row r="4" spans="1:8" ht="15.6">
      <c r="A4" s="13" t="str" cm="1">
        <f t="array" ref="A4">Sites[Site]</f>
        <v>ME: Wells - Littlefield Solar</v>
      </c>
      <c r="B4" s="26">
        <f>SUM('1st Qtr'!C4, '2nd Qtr'!C4, '3rd Qtr'!C4, '4th Qtr'!C4)</f>
        <v>236520</v>
      </c>
      <c r="C4" s="14">
        <f>SUM('1st Qtr'!D4, '2nd Qtr'!D4, '3rd Qtr'!D4, '4th Qtr'!D4)</f>
        <v>466213.658</v>
      </c>
      <c r="D4" s="14">
        <f>IF(AND(ISNUMBER(B4),ISNUMBER(C4)), B4-C4, "")</f>
        <v>-229693.658</v>
      </c>
      <c r="E4" s="15">
        <f>IFERROR(D4/C4, "")</f>
        <v>-0.49267895536428064</v>
      </c>
      <c r="F4" s="16">
        <f>SUM('1st Qtr'!G4,'2nd Qtr'!G4,'3rd Qtr'!G4,'4th Qtr'!G4)</f>
        <v>352565.40399999998</v>
      </c>
      <c r="G4" s="16">
        <f>SUM('1st Qtr'!H4, '2nd Qtr'!H4, '3rd Qtr'!H4, '4th Qtr'!H4)</f>
        <v>-116045.40399999998</v>
      </c>
      <c r="H4" s="17">
        <f>IFERROR(G4/F4, "")</f>
        <v>-0.32914574908206246</v>
      </c>
    </row>
  </sheetData>
  <mergeCells count="3">
    <mergeCell ref="A1:B1"/>
    <mergeCell ref="C1:E1"/>
    <mergeCell ref="F1:H1"/>
  </mergeCells>
  <conditionalFormatting sqref="E2 H2 E4 H4">
    <cfRule type="cellIs" dxfId="38" priority="3" stopIfTrue="1" operator="lessThanOrEqual">
      <formula>-0.1</formula>
    </cfRule>
    <cfRule type="expression" dxfId="37" priority="4">
      <formula>AND(ISNUMBER(E2), E2&gt;=0.1)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02"/>
  <sheetViews>
    <sheetView workbookViewId="0">
      <pane ySplit="2" topLeftCell="A3" activePane="bottomLeft" state="frozen"/>
      <selection pane="bottomLeft" sqref="A1:I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0</v>
      </c>
      <c r="E1" s="53"/>
      <c r="F1" s="53"/>
      <c r="G1" s="54" t="s">
        <v>1</v>
      </c>
      <c r="H1" s="54"/>
      <c r="I1" s="54"/>
    </row>
    <row r="2" spans="1:9" ht="19.5" customHeight="1">
      <c r="A2" s="55" t="s">
        <v>2</v>
      </c>
      <c r="B2" s="55"/>
      <c r="C2" s="6">
        <f>SUM(C4:C60)</f>
        <v>236520</v>
      </c>
      <c r="D2" s="6">
        <f>SUM(D4:D60)</f>
        <v>466213.658</v>
      </c>
      <c r="E2" s="6">
        <f>C2-D2</f>
        <v>-229693.658</v>
      </c>
      <c r="F2" s="7">
        <f>IFERROR(E2/D2, 0)</f>
        <v>-0.49267895536428064</v>
      </c>
      <c r="G2" s="6">
        <f>SUM(G4:G60)</f>
        <v>352565.40399999998</v>
      </c>
      <c r="H2" s="8">
        <f>C2-G2</f>
        <v>-116045.40399999998</v>
      </c>
      <c r="I2" s="7">
        <f>IFERROR(H2/G2, 0)</f>
        <v>-0.32914574908206246</v>
      </c>
    </row>
    <row r="3" spans="1:9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236520</v>
      </c>
      <c r="D4" s="14">
        <f>SUM('1st Qtr'!D4, '2nd Qtr'!D4, '3rd Qtr'!D4, '4th Qtr'!D4)</f>
        <v>466213.658</v>
      </c>
      <c r="E4" s="14">
        <f>IF(AND(ISNUMBER(C4),ISNUMBER(D4)), C4-D4, "")</f>
        <v>-229693.658</v>
      </c>
      <c r="F4" s="15">
        <f>IFERROR(E4/D4, "")</f>
        <v>-0.49267895536428064</v>
      </c>
      <c r="G4" s="16">
        <f>SUM('1st Qtr'!G4,'2nd Qtr'!G4,'3rd Qtr'!G4,'4th Qtr'!G4)</f>
        <v>352565.40399999998</v>
      </c>
      <c r="H4" s="16">
        <f>SUM('1st Qtr'!H4, '2nd Qtr'!H4, '3rd Qtr'!H4, '4th Qtr'!H4)</f>
        <v>-116045.40399999998</v>
      </c>
      <c r="I4" s="17">
        <f>IFERROR(H4/G4, "")</f>
        <v>-0.32914574908206246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11" sqref="H11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10</v>
      </c>
      <c r="E1" s="53"/>
      <c r="F1" s="53"/>
      <c r="G1" s="54" t="s">
        <v>11</v>
      </c>
      <c r="H1" s="54"/>
      <c r="I1" s="54"/>
    </row>
    <row r="2" spans="1:9" ht="19.5" customHeight="1">
      <c r="A2" s="55" t="s">
        <v>2</v>
      </c>
      <c r="B2" s="55"/>
      <c r="C2" s="6">
        <f>SUM(C4:C68)</f>
        <v>236520</v>
      </c>
      <c r="D2" s="6">
        <f>SUM(D4:D68)</f>
        <v>466213.658</v>
      </c>
      <c r="E2" s="6">
        <f>C2-D2</f>
        <v>-229693.658</v>
      </c>
      <c r="F2" s="7">
        <f>IFERROR(E2/D2, 0)</f>
        <v>-0.49267895536428064</v>
      </c>
      <c r="G2" s="6">
        <f>SUM(G4:G68)</f>
        <v>352565.40399999998</v>
      </c>
      <c r="H2" s="8">
        <f>C2-G2</f>
        <v>-116045.40399999998</v>
      </c>
      <c r="I2" s="7">
        <f>IFERROR(H2/G2, 0)</f>
        <v>-0.32914574908206246</v>
      </c>
    </row>
    <row r="3" spans="1:9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236520</v>
      </c>
      <c r="D4" s="14">
        <f>SUM(Jan!D4, Feb!D4, Mar!D4)</f>
        <v>466213.658</v>
      </c>
      <c r="E4" s="14">
        <f>IF(AND(ISNUMBER(C4),ISNUMBER(D4)), C4-D4, "")</f>
        <v>-229693.658</v>
      </c>
      <c r="F4" s="15">
        <f>IFERROR(E4/D4, "")</f>
        <v>-0.49267895536428064</v>
      </c>
      <c r="G4" s="16">
        <f>SUM(Jan!G4, Feb!G4, Mar!G4)</f>
        <v>352565.40399999998</v>
      </c>
      <c r="H4" s="16">
        <f>SUM(Jan!H4, Feb!H4, Mar!H4)</f>
        <v>-116045.40399999998</v>
      </c>
      <c r="I4" s="17">
        <f>IFERROR(H4/G4, "")</f>
        <v>-0.32914574908206246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U31" sqref="U3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12</v>
      </c>
      <c r="E1" s="53"/>
      <c r="F1" s="53"/>
      <c r="G1" s="54" t="s">
        <v>13</v>
      </c>
      <c r="H1" s="54"/>
      <c r="I1" s="54"/>
    </row>
    <row r="2" spans="1:9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14</v>
      </c>
      <c r="E1" s="53"/>
      <c r="F1" s="53"/>
      <c r="G1" s="54" t="s">
        <v>15</v>
      </c>
      <c r="H1" s="54"/>
      <c r="I1" s="54"/>
    </row>
    <row r="2" spans="1:9" ht="19.5" customHeight="1">
      <c r="A2" s="55" t="s">
        <v>2</v>
      </c>
      <c r="B2" s="5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22" sqref="G2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16</v>
      </c>
      <c r="E1" s="53"/>
      <c r="F1" s="53"/>
      <c r="G1" s="54" t="s">
        <v>17</v>
      </c>
      <c r="H1" s="54"/>
      <c r="I1" s="54"/>
    </row>
    <row r="2" spans="1:9" ht="19.5" customHeight="1">
      <c r="A2" s="55" t="s">
        <v>2</v>
      </c>
      <c r="B2" s="5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31"/>
  <sheetViews>
    <sheetView tabSelected="1" zoomScale="70" zoomScaleNormal="70" workbookViewId="0">
      <pane ySplit="3" topLeftCell="A4" activePane="bottomLeft" state="frozen"/>
      <selection pane="bottomLeft" activeCell="L1" sqref="L1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140625" customWidth="1"/>
    <col min="13" max="16" width="8.85546875" style="46"/>
  </cols>
  <sheetData>
    <row r="1" spans="1:14" ht="19.5" customHeight="1">
      <c r="A1" s="52" t="str" cm="1">
        <f t="array" ref="A1">portfolio</f>
        <v>Walden Renewables Dev't LLC</v>
      </c>
      <c r="B1" s="52"/>
      <c r="C1" s="52"/>
      <c r="D1" s="53" t="s">
        <v>18</v>
      </c>
      <c r="E1" s="53"/>
      <c r="F1" s="53"/>
      <c r="G1" s="54" t="s">
        <v>19</v>
      </c>
      <c r="H1" s="54"/>
      <c r="I1" s="54"/>
      <c r="J1" s="5"/>
      <c r="K1" s="5"/>
      <c r="L1" s="5"/>
    </row>
    <row r="2" spans="1:14" ht="19.5" customHeight="1">
      <c r="A2" s="55" t="s">
        <v>2</v>
      </c>
      <c r="B2" s="55"/>
      <c r="C2" s="6">
        <f>SUM(C4:C89)</f>
        <v>236520</v>
      </c>
      <c r="D2" s="6">
        <f>SUM(D4:D89)</f>
        <v>466213.658</v>
      </c>
      <c r="E2" s="6">
        <f>C2-D2</f>
        <v>-229693.658</v>
      </c>
      <c r="F2" s="7">
        <f>IFERROR(E2/D2, 0)</f>
        <v>-0.49267895536428064</v>
      </c>
      <c r="G2" s="6">
        <f>SUM(G4:G89)</f>
        <v>352565.40399999998</v>
      </c>
      <c r="H2" s="8">
        <f>C2-G2</f>
        <v>-116045.40399999998</v>
      </c>
      <c r="I2" s="7">
        <f>IFERROR(H2/G2, 0)</f>
        <v>-0.32914574908206246</v>
      </c>
      <c r="J2" s="28" t="s">
        <v>20</v>
      </c>
      <c r="K2" s="5"/>
      <c r="L2" s="5"/>
    </row>
    <row r="3" spans="1:14" ht="14.25" customHeight="1">
      <c r="A3" s="2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41" t="s">
        <v>8</v>
      </c>
      <c r="H3" s="39" t="s">
        <v>6</v>
      </c>
      <c r="I3" s="40" t="s">
        <v>7</v>
      </c>
      <c r="J3" s="27" t="s">
        <v>21</v>
      </c>
      <c r="K3" s="27" t="s">
        <v>22</v>
      </c>
      <c r="L3" s="27" t="s">
        <v>23</v>
      </c>
    </row>
    <row r="4" spans="1:14" ht="230.4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236520</v>
      </c>
      <c r="D4" s="14">
        <v>466213.658</v>
      </c>
      <c r="E4" s="14">
        <f>IF(AND(ISNUMBER(C4),ISNUMBER(D4)), C4-D4, "")</f>
        <v>-229693.658</v>
      </c>
      <c r="F4" s="15">
        <f>IFERROR(E4/D4, "")</f>
        <v>-0.49267895536428064</v>
      </c>
      <c r="G4" s="16">
        <v>352565.40399999998</v>
      </c>
      <c r="H4" s="16">
        <f>IF(AND(ISNUMBER(C4),ISNUMBER(G4)), C4-G4, "")</f>
        <v>-116045.40399999998</v>
      </c>
      <c r="I4" s="17">
        <f>IFERROR(H4/G4, "")</f>
        <v>-0.32914574908206246</v>
      </c>
      <c r="J4" s="18" t="s">
        <v>24</v>
      </c>
      <c r="K4" s="43" t="s">
        <v>25</v>
      </c>
      <c r="L4" s="18" t="s">
        <v>26</v>
      </c>
      <c r="M4" s="47" t="s">
        <v>27</v>
      </c>
      <c r="N4" s="47" t="s">
        <v>28</v>
      </c>
    </row>
    <row r="5" spans="1:14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  <c r="L5" s="19"/>
    </row>
    <row r="6" spans="1:14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  <c r="L6" s="23"/>
    </row>
    <row r="7" spans="1:14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4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4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4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4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4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4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4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4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4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  <c r="L22" s="23"/>
    </row>
    <row r="23" spans="1:12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4" r:id="rId1" display="https://us3.assetplanner.com/service_request?ID=114125" xr:uid="{B065BCE5-870F-4A70-9C05-8BF0602B4C3A}"/>
    <hyperlink ref="M4" r:id="rId2" display="https://us3.assetplanner.com/service_request?ID=115323" xr:uid="{24B0BB5F-823D-419F-BB12-C467B4A66A9B}"/>
    <hyperlink ref="N4" r:id="rId3" display="https://us3.assetplanner.com/service_request?ID=115383" xr:uid="{5AD5248B-5A8C-4C45-8CC0-7BE8DAA7EB09}"/>
  </hyperlinks>
  <pageMargins left="0.4" right="0.7" top="0.25" bottom="0.25" header="0.3" footer="0.3"/>
  <pageSetup fitToHeight="99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29</v>
      </c>
      <c r="E1" s="53"/>
      <c r="F1" s="53"/>
      <c r="G1" s="54" t="s">
        <v>30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2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  <c r="L4" s="44"/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31</v>
      </c>
      <c r="E1" s="53"/>
      <c r="F1" s="53"/>
      <c r="G1" s="54" t="s">
        <v>32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33</v>
      </c>
      <c r="E1" s="53"/>
      <c r="F1" s="53"/>
      <c r="G1" s="54" t="s">
        <v>34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4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35</v>
      </c>
      <c r="E1" s="53"/>
      <c r="F1" s="53"/>
      <c r="G1" s="54" t="s">
        <v>36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37</v>
      </c>
      <c r="E1" s="53"/>
      <c r="F1" s="53"/>
      <c r="G1" s="54" t="s">
        <v>38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  <c r="L4" s="47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2" t="str" cm="1">
        <f t="array" ref="A1">portfolio</f>
        <v>Walden Renewables Dev't LLC</v>
      </c>
      <c r="B1" s="52"/>
      <c r="C1" s="52"/>
      <c r="D1" s="53" t="s">
        <v>39</v>
      </c>
      <c r="E1" s="53"/>
      <c r="F1" s="53"/>
      <c r="G1" s="54" t="s">
        <v>40</v>
      </c>
      <c r="H1" s="54"/>
      <c r="I1" s="54"/>
      <c r="J1" s="5"/>
      <c r="K1" s="5"/>
    </row>
    <row r="2" spans="1:17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7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9"/>
      <c r="K4" s="43"/>
      <c r="L4" s="44"/>
      <c r="M4" s="44"/>
      <c r="N4" s="44"/>
      <c r="O4" s="44"/>
      <c r="P4" s="44" t="s">
        <v>41</v>
      </c>
      <c r="Q4" s="44" t="s">
        <v>42</v>
      </c>
    </row>
    <row r="5" spans="1:17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43</v>
      </c>
      <c r="K10" s="23"/>
    </row>
    <row r="11" spans="1:17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P4" r:id="rId1" display="https://us3.assetplanner.com/service_request?ID=103744" xr:uid="{DDF1E588-F559-4E2F-A2B5-2C71491D02FD}"/>
    <hyperlink ref="Q4" r:id="rId2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70" zoomScaleNormal="7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44</v>
      </c>
      <c r="E1" s="53"/>
      <c r="F1" s="53"/>
      <c r="G1" s="54" t="s">
        <v>45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Normal="10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46</v>
      </c>
      <c r="E1" s="53"/>
      <c r="F1" s="53"/>
      <c r="G1" s="54" t="s">
        <v>47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4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C1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48</v>
      </c>
      <c r="E1" s="53"/>
      <c r="F1" s="53"/>
      <c r="G1" s="54" t="s">
        <v>49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  <c r="L3" s="27" t="s">
        <v>23</v>
      </c>
    </row>
    <row r="4" spans="1:12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  <c r="L4" s="18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6" zoomScaleNormal="76" workbookViewId="0">
      <pane ySplit="2" topLeftCell="A4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50</v>
      </c>
      <c r="E1" s="53"/>
      <c r="F1" s="53"/>
      <c r="G1" s="54" t="s">
        <v>51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32"/>
  <sheetViews>
    <sheetView zoomScale="70" zoomScaleNormal="70" workbookViewId="0">
      <pane ySplit="2" topLeftCell="A3" activePane="bottomLeft" state="frozen"/>
      <selection pane="bottomLeft" activeCell="F28" sqref="F28"/>
      <selection activeCell="F28" sqref="F2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" customWidth="1"/>
  </cols>
  <sheetData>
    <row r="1" spans="1:13" ht="19.5" customHeight="1">
      <c r="A1" s="52" t="str" cm="1">
        <f t="array" ref="A1">portfolio</f>
        <v>Walden Renewables Dev't LLC</v>
      </c>
      <c r="B1" s="52"/>
      <c r="C1" s="52"/>
      <c r="D1" s="53" t="s">
        <v>52</v>
      </c>
      <c r="E1" s="53"/>
      <c r="F1" s="53"/>
      <c r="G1" s="54" t="s">
        <v>53</v>
      </c>
      <c r="H1" s="54"/>
      <c r="I1" s="54"/>
      <c r="J1" s="5"/>
      <c r="K1" s="5"/>
      <c r="L1" s="5"/>
    </row>
    <row r="2" spans="1:13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  <c r="L2" s="5"/>
    </row>
    <row r="3" spans="1:13" ht="14.25" customHeight="1">
      <c r="A3" s="9" t="s">
        <v>3</v>
      </c>
      <c r="B3" s="9" t="s">
        <v>9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21</v>
      </c>
      <c r="K3" s="27" t="s">
        <v>22</v>
      </c>
      <c r="L3" s="27" t="s">
        <v>23</v>
      </c>
    </row>
    <row r="4" spans="1:13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43"/>
      <c r="L4" s="18"/>
      <c r="M4" s="51"/>
    </row>
    <row r="5" spans="1:13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  <c r="L5" s="19"/>
    </row>
    <row r="6" spans="1:13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3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3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3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 ht="13.15">
      <c r="A3" t="s">
        <v>56</v>
      </c>
      <c r="B3" t="s">
        <v>3</v>
      </c>
      <c r="C3" t="s">
        <v>9</v>
      </c>
      <c r="D3" t="s">
        <v>57</v>
      </c>
      <c r="E3" s="2" t="s">
        <v>58</v>
      </c>
    </row>
    <row r="4" spans="1:7" ht="14.45">
      <c r="A4" t="s">
        <v>59</v>
      </c>
      <c r="B4" t="s">
        <v>60</v>
      </c>
      <c r="C4" s="4" t="s">
        <v>61</v>
      </c>
      <c r="D4" t="s">
        <v>62</v>
      </c>
      <c r="E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E5ADB9E2-F721-48D3-A510-3F5934D1C02B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