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BB8BDCB-713B-4890-94B5-D88B95DE2B6C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3" l="1"/>
  <c r="I10" i="33" s="1"/>
  <c r="E10" i="33"/>
  <c r="F10" i="33" s="1"/>
  <c r="H10" i="32"/>
  <c r="I10" i="32" s="1"/>
  <c r="E10" i="32"/>
  <c r="F10" i="32"/>
  <c r="E9" i="32"/>
  <c r="F9" i="32" s="1"/>
  <c r="E10" i="31"/>
  <c r="F10" i="31" s="1"/>
  <c r="E8" i="31"/>
  <c r="H6" i="31"/>
  <c r="I6" i="31" s="1"/>
  <c r="H7" i="31"/>
  <c r="I7" i="31" s="1"/>
  <c r="H8" i="31"/>
  <c r="I8" i="31" s="1"/>
  <c r="H9" i="31"/>
  <c r="H10" i="31"/>
  <c r="I10" i="31" s="1"/>
  <c r="H4" i="31"/>
  <c r="H8" i="28"/>
  <c r="I8" i="28" s="1"/>
  <c r="H9" i="28"/>
  <c r="I9" i="28" s="1"/>
  <c r="H10" i="28"/>
  <c r="I10" i="28" s="1"/>
  <c r="E8" i="28"/>
  <c r="F8" i="28" s="1"/>
  <c r="E9" i="28"/>
  <c r="F9" i="28" s="1"/>
  <c r="E10" i="28"/>
  <c r="F10" i="28" s="1"/>
  <c r="H9" i="27"/>
  <c r="I9" i="27" s="1"/>
  <c r="H10" i="27"/>
  <c r="I10" i="27" s="1"/>
  <c r="E9" i="27"/>
  <c r="F9" i="27" s="1"/>
  <c r="E10" i="27"/>
  <c r="F10" i="27" s="1"/>
  <c r="E6" i="26"/>
  <c r="F6" i="26" s="1"/>
  <c r="E7" i="26"/>
  <c r="F7" i="26" s="1"/>
  <c r="H6" i="26"/>
  <c r="I6" i="26"/>
  <c r="H7" i="26"/>
  <c r="I7" i="26" s="1"/>
  <c r="H8" i="26"/>
  <c r="I8" i="26"/>
  <c r="H9" i="26"/>
  <c r="I9" i="26" s="1"/>
  <c r="H10" i="26"/>
  <c r="I10" i="26"/>
  <c r="E8" i="26"/>
  <c r="F8" i="26"/>
  <c r="E9" i="26"/>
  <c r="F9" i="26" s="1"/>
  <c r="E10" i="26"/>
  <c r="F10" i="26"/>
  <c r="E5" i="26"/>
  <c r="F5" i="26" s="1"/>
  <c r="E4" i="26"/>
  <c r="A4" i="26" a="1"/>
  <c r="A4" i="26"/>
  <c r="H9" i="19"/>
  <c r="I9" i="19" s="1"/>
  <c r="H10" i="19"/>
  <c r="I10" i="19" s="1"/>
  <c r="F9" i="19"/>
  <c r="E9" i="19"/>
  <c r="E10" i="19"/>
  <c r="F10" i="19" s="1"/>
  <c r="H9" i="20"/>
  <c r="I9" i="20" s="1"/>
  <c r="H10" i="20"/>
  <c r="I10" i="20" s="1"/>
  <c r="F9" i="20"/>
  <c r="E9" i="20"/>
  <c r="E10" i="20"/>
  <c r="F10" i="20" s="1"/>
  <c r="H7" i="21"/>
  <c r="I7" i="21" s="1"/>
  <c r="H8" i="21"/>
  <c r="H9" i="21"/>
  <c r="I9" i="21" s="1"/>
  <c r="H10" i="21"/>
  <c r="I10" i="21" s="1"/>
  <c r="E7" i="21"/>
  <c r="F7" i="21" s="1"/>
  <c r="E8" i="21"/>
  <c r="F8" i="21" s="1"/>
  <c r="E9" i="21"/>
  <c r="F9" i="21" s="1"/>
  <c r="E10" i="21"/>
  <c r="F10" i="21" s="1"/>
  <c r="H10" i="4"/>
  <c r="H9" i="4"/>
  <c r="E6" i="4"/>
  <c r="F6" i="4" s="1"/>
  <c r="E7" i="4"/>
  <c r="F7" i="4" s="1"/>
  <c r="E8" i="4"/>
  <c r="F8" i="4" s="1"/>
  <c r="E9" i="4"/>
  <c r="F9" i="4" s="1"/>
  <c r="E10" i="4"/>
  <c r="F10" i="4"/>
  <c r="I9" i="4"/>
  <c r="I10" i="4"/>
  <c r="E7" i="3"/>
  <c r="F7" i="3" s="1"/>
  <c r="E8" i="3"/>
  <c r="E9" i="3"/>
  <c r="F9" i="3" s="1"/>
  <c r="E10" i="3"/>
  <c r="F10" i="3" s="1"/>
  <c r="F8" i="3"/>
  <c r="H9" i="3"/>
  <c r="H10" i="3"/>
  <c r="I10" i="3" s="1"/>
  <c r="G10" i="18"/>
  <c r="D10" i="18"/>
  <c r="C10" i="18"/>
  <c r="G9" i="29"/>
  <c r="G10" i="29"/>
  <c r="D10" i="29"/>
  <c r="C10" i="29"/>
  <c r="G10" i="1"/>
  <c r="D10" i="1"/>
  <c r="C10" i="1"/>
  <c r="G10" i="30"/>
  <c r="D10" i="30"/>
  <c r="C10" i="30"/>
  <c r="H10" i="72"/>
  <c r="I10" i="72" s="1"/>
  <c r="E10" i="72"/>
  <c r="F10" i="72" s="1"/>
  <c r="H9" i="72"/>
  <c r="I9" i="72" s="1"/>
  <c r="E9" i="72"/>
  <c r="F9" i="72" s="1"/>
  <c r="A4" i="72" a="1"/>
  <c r="A4" i="72" s="1"/>
  <c r="B4" i="72" a="1"/>
  <c r="B4" i="72" s="1"/>
  <c r="E4" i="72"/>
  <c r="F4" i="72" s="1"/>
  <c r="H4" i="72"/>
  <c r="I4" i="72" s="1"/>
  <c r="G8" i="18"/>
  <c r="G9" i="18"/>
  <c r="D9" i="18"/>
  <c r="C9" i="18"/>
  <c r="G8" i="1"/>
  <c r="G9" i="1"/>
  <c r="D8" i="1"/>
  <c r="D9" i="1"/>
  <c r="C9" i="1"/>
  <c r="D9" i="30"/>
  <c r="C9" i="30"/>
  <c r="G6" i="30"/>
  <c r="G7" i="30"/>
  <c r="G8" i="30"/>
  <c r="G9" i="30"/>
  <c r="G5" i="30"/>
  <c r="G4" i="30"/>
  <c r="H9" i="33"/>
  <c r="I9" i="33" s="1"/>
  <c r="E9" i="33"/>
  <c r="F9" i="33" s="1"/>
  <c r="E9" i="31"/>
  <c r="F9" i="31" s="1"/>
  <c r="H9" i="32"/>
  <c r="I9" i="32" s="1"/>
  <c r="E8" i="32"/>
  <c r="F8" i="32" s="1"/>
  <c r="E6" i="31"/>
  <c r="H5" i="31"/>
  <c r="I5" i="31" s="1"/>
  <c r="D9" i="29"/>
  <c r="C9" i="29"/>
  <c r="G5" i="29"/>
  <c r="G6" i="29"/>
  <c r="G7" i="29"/>
  <c r="G8" i="29"/>
  <c r="G4" i="29"/>
  <c r="G4" i="18"/>
  <c r="G5" i="18"/>
  <c r="G6" i="18"/>
  <c r="G7" i="18"/>
  <c r="E4" i="4"/>
  <c r="E5" i="72"/>
  <c r="F5" i="72" s="1"/>
  <c r="E6" i="72"/>
  <c r="F6" i="72" s="1"/>
  <c r="E7" i="72"/>
  <c r="F7" i="72" s="1"/>
  <c r="E8" i="72"/>
  <c r="F8" i="72" s="1"/>
  <c r="H9" i="18" l="1"/>
  <c r="H10" i="29"/>
  <c r="H10" i="30"/>
  <c r="H9" i="30"/>
  <c r="I9" i="30" s="1"/>
  <c r="I10" i="30"/>
  <c r="E10" i="30"/>
  <c r="F10" i="30" s="1"/>
  <c r="E9" i="30"/>
  <c r="F9" i="30" s="1"/>
  <c r="I9" i="31"/>
  <c r="I10" i="29"/>
  <c r="E10" i="29"/>
  <c r="F10" i="29" s="1"/>
  <c r="E9" i="29"/>
  <c r="F9" i="29" s="1"/>
  <c r="H10" i="18"/>
  <c r="I10" i="18" s="1"/>
  <c r="E10" i="18"/>
  <c r="F10" i="18" s="1"/>
  <c r="D10" i="34"/>
  <c r="I8" i="21"/>
  <c r="H9" i="29"/>
  <c r="I9" i="29" s="1"/>
  <c r="I9" i="18"/>
  <c r="G10" i="34"/>
  <c r="E9" i="18"/>
  <c r="F9" i="18" s="1"/>
  <c r="H9" i="34"/>
  <c r="I9" i="3"/>
  <c r="H9" i="1"/>
  <c r="I9" i="1" s="1"/>
  <c r="H10" i="1"/>
  <c r="G8" i="34"/>
  <c r="E10" i="1"/>
  <c r="F10" i="1" s="1"/>
  <c r="C10" i="34"/>
  <c r="E9" i="1"/>
  <c r="F9" i="1" s="1"/>
  <c r="C9" i="34"/>
  <c r="G9" i="34"/>
  <c r="I9" i="34" s="1"/>
  <c r="D9" i="34"/>
  <c r="C2" i="3"/>
  <c r="E10" i="34" l="1"/>
  <c r="F10" i="34" s="1"/>
  <c r="H10" i="34"/>
  <c r="I10" i="34" s="1"/>
  <c r="I10" i="1"/>
  <c r="E9" i="34"/>
  <c r="F9" i="34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30" a="1"/>
  <c r="A4" i="30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H7" i="3"/>
  <c r="I7" i="3" s="1"/>
  <c r="H8" i="3"/>
  <c r="I8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F8" i="31"/>
  <c r="E7" i="31"/>
  <c r="F7" i="31" s="1"/>
  <c r="F6" i="31"/>
  <c r="E5" i="31"/>
  <c r="F5" i="31" s="1"/>
  <c r="I4" i="31"/>
  <c r="E4" i="31"/>
  <c r="F4" i="31" s="1"/>
  <c r="G2" i="31"/>
  <c r="D2" i="31"/>
  <c r="C2" i="31"/>
  <c r="A1" i="31" a="1"/>
  <c r="A1" i="31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H4" i="26"/>
  <c r="F4" i="26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H7" i="4"/>
  <c r="I7" i="4" s="1"/>
  <c r="H6" i="4"/>
  <c r="I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G2" i="72"/>
  <c r="D2" i="72"/>
  <c r="C2" i="72"/>
  <c r="J2" i="72" s="1"/>
  <c r="A1" i="72" a="1"/>
  <c r="A1" i="72" s="1"/>
  <c r="E6" i="29" l="1"/>
  <c r="F6" i="29" s="1"/>
  <c r="E8" i="30"/>
  <c r="F8" i="30" s="1"/>
  <c r="H6" i="29"/>
  <c r="I8" i="32"/>
  <c r="H8" i="30"/>
  <c r="I8" i="30" s="1"/>
  <c r="H7" i="29"/>
  <c r="I7" i="29" s="1"/>
  <c r="I8" i="20"/>
  <c r="H8" i="18"/>
  <c r="I8" i="18" s="1"/>
  <c r="C7" i="34"/>
  <c r="H8" i="1"/>
  <c r="H7" i="34"/>
  <c r="I7" i="34" s="1"/>
  <c r="C6" i="34"/>
  <c r="E8" i="1"/>
  <c r="F8" i="1" s="1"/>
  <c r="C8" i="34"/>
  <c r="H8" i="29"/>
  <c r="I8" i="29" s="1"/>
  <c r="D5" i="34"/>
  <c r="I4" i="26"/>
  <c r="H4" i="29"/>
  <c r="I4" i="29" s="1"/>
  <c r="D6" i="34"/>
  <c r="D7" i="34"/>
  <c r="I5" i="26"/>
  <c r="H5" i="29"/>
  <c r="I5" i="29" s="1"/>
  <c r="C5" i="34"/>
  <c r="D8" i="34"/>
  <c r="E5" i="30"/>
  <c r="F5" i="30" s="1"/>
  <c r="E8" i="29"/>
  <c r="F8" i="29" s="1"/>
  <c r="E7" i="18"/>
  <c r="F7" i="18" s="1"/>
  <c r="E5" i="18"/>
  <c r="F5" i="18" s="1"/>
  <c r="D2" i="18"/>
  <c r="I6" i="29"/>
  <c r="E4" i="18"/>
  <c r="F4" i="18" s="1"/>
  <c r="E8" i="18"/>
  <c r="F8" i="18" s="1"/>
  <c r="E6" i="30"/>
  <c r="F6" i="30" s="1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H6" i="18"/>
  <c r="I6" i="18" s="1"/>
  <c r="H4" i="18"/>
  <c r="I4" i="18" s="1"/>
  <c r="H7" i="18"/>
  <c r="I7" i="18" s="1"/>
  <c r="C4" i="34"/>
  <c r="H5" i="18"/>
  <c r="I5" i="18" s="1"/>
  <c r="H5" i="34"/>
  <c r="I5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6" i="34" l="1"/>
  <c r="F6" i="34" s="1"/>
  <c r="E7" i="34"/>
  <c r="F7" i="34" s="1"/>
  <c r="E8" i="34"/>
  <c r="F8" i="34" s="1"/>
  <c r="E5" i="34"/>
  <c r="F5" i="34" s="1"/>
  <c r="D2" i="34"/>
  <c r="I6" i="1"/>
  <c r="H6" i="34"/>
  <c r="I6" i="34" s="1"/>
  <c r="I8" i="1"/>
  <c r="H8" i="34"/>
  <c r="I8" i="34" s="1"/>
  <c r="E4" i="34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tc={3D522789-ECA8-4C30-877B-6F1E3693CA43}</author>
  </authors>
  <commentList>
    <comment ref="C4" authorId="0" shapeId="0" xr:uid="{3D522789-ECA8-4C30-877B-6F1E3693CA4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meter is not reporting full production due to bad CT actual energy was taken from total inverter energy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<sst xmlns="http://schemas.openxmlformats.org/spreadsheetml/2006/main" count="293" uniqueCount="88">
  <si>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</si>
  <si>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</si>
  <si>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</si>
  <si>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</si>
  <si>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</si>
  <si>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</si>
  <si>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</si>
  <si>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</si>
  <si>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</si>
  <si>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</si>
  <si>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</si>
  <si>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</si>
  <si>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</si>
  <si>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</si>
  <si>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</si>
  <si>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</si>
  <si>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</si>
  <si>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</si>
  <si>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</si>
  <si>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</si>
  <si>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</si>
  <si>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</si>
  <si>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</si>
  <si>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1. The meter was  reporting the full production of the inverters since 01/06
2. Inverters 2 to 4 came back online at 14:00 on 01/22 but inverter 1 offline through out the month
3. Inverter 1 is underperforming by 5 kW down compared to its peer inverters since 06/16 at 14:00.</t>
  </si>
  <si>
    <t>1.	SR108381
2.	SR108510
3.SR103049</t>
  </si>
  <si>
    <t>1.Closed
2.Closed
3.pending</t>
  </si>
  <si>
    <t>SR108510</t>
  </si>
  <si>
    <t>SR103049</t>
  </si>
  <si>
    <t>1. Site was producing as expected</t>
  </si>
  <si>
    <t>1.Inverter 1 started late production at 09:45 on 01/03</t>
  </si>
  <si>
    <t>1.Inverter 12 back online on 01/02
2.Inverter 14 was offline on 01/14 an it came back online at 13:45 on 01/11
3.Inverter 13 was offline on 01/21 and it came back online on 01/22
4.Inverter 18 started late for production at 08:15 on 01/27</t>
  </si>
  <si>
    <t>1.SR113701
2.SR114362
3.	SR114823
4.	SR115371</t>
  </si>
  <si>
    <t>1.Closed
2.Closed
3.pending
4.Closed</t>
  </si>
  <si>
    <t>SR114362</t>
  </si>
  <si>
    <t>SR114823</t>
  </si>
  <si>
    <t>SR115371</t>
  </si>
  <si>
    <t>1. Inverter 5 String 4 has low performance. 
2. Inverters have morning and evening shading</t>
  </si>
  <si>
    <t>1.SR102034</t>
  </si>
  <si>
    <t>1.pending</t>
  </si>
  <si>
    <t>1.Inverter 3 was offline on 01/04 
2.Inverter 24 started late for production through out the month</t>
  </si>
  <si>
    <t>1	SR114072
2.	SR114174</t>
  </si>
  <si>
    <t>1.Closed
2.Closed</t>
  </si>
  <si>
    <t>SR114174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</si>
  <si>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</si>
  <si>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</si>
  <si>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</si>
  <si>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</si>
  <si>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</si>
  <si>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</si>
  <si>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 xml:space="preserve"> 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</si>
  <si>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</si>
  <si>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</si>
  <si>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</si>
  <si>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</si>
  <si>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</si>
  <si>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</si>
  <si>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</si>
  <si>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</si>
  <si>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</si>
  <si>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</si>
  <si>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</si>
  <si>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</si>
  <si>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</si>
  <si>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</si>
  <si>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</si>
  <si>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</si>
  <si>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</si>
  <si>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KPCA Investment, LLC</t>
  </si>
  <si>
    <t>Site DAS Name</t>
  </si>
  <si>
    <t>Update</t>
  </si>
  <si>
    <t>DAS</t>
  </si>
  <si>
    <t>Kaiser - KP3 - Chino Grand CA6581</t>
  </si>
  <si>
    <t>Chino - 3750-3770 Grand Ave</t>
  </si>
  <si>
    <t>CA</t>
  </si>
  <si>
    <t>AEF</t>
  </si>
  <si>
    <t>PowerTrack</t>
  </si>
  <si>
    <t>Murrietta MOB - CA5341</t>
  </si>
  <si>
    <t>Murrieta - 28150 Keller Rd</t>
  </si>
  <si>
    <t>Kaiser - KP3 - La Habra - CA3841 Site</t>
  </si>
  <si>
    <t>La Habra - 601 E Imperial Way</t>
  </si>
  <si>
    <t>San Jose - Skyport</t>
  </si>
  <si>
    <t>Kaiser - KP3 - SCA Skyport - CN7901 Site</t>
  </si>
  <si>
    <t>Kaiser - KP3 - Irwindale MOB &amp; Garage - CA5681 Site</t>
  </si>
  <si>
    <t>Irwindale - 12761 Schabarum Ave</t>
  </si>
  <si>
    <t>Santa Rosa 6 - CN7001</t>
  </si>
  <si>
    <t>Santa Rosa - 2240 Mercury Way</t>
  </si>
  <si>
    <t>Kaiser - KP3 - Dublin - CN2A99 Site</t>
  </si>
  <si>
    <t>Dublin - 3100 Dublin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</si>
</sst>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8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35" fillId="43" borderId="1" xfId="0" applyFont="1" applyFill="1" applyBorder="1" applyAlignment="1">
      <alignment horizontal="center" vertical="center" wrapText="1"/>
    </xf>
    <xf numFmtId="0" fontId="22" fillId="0" borderId="0" xfId="43" applyFont="1" applyAlignment="1">
      <alignment horizontal="left" wrapText="1"/>
    </xf>
    <xf numFmtId="0" fontId="22" fillId="0" borderId="0" xfId="43" applyFont="1"/>
    <xf numFmtId="49" fontId="28" fillId="0" borderId="0" xfId="0" applyNumberFormat="1" applyFont="1" applyAlignment="1">
      <alignment vertical="top" wrapText="1"/>
    </xf>
    <xf numFmtId="0" fontId="34" fillId="40" borderId="0" xfId="0" applyFont="1" applyFill="1" applyAlignment="1">
      <alignment vertical="top"/>
    </xf>
    <xf numFmtId="49" fontId="23" fillId="38" borderId="0" xfId="2" applyNumberFormat="1" applyFont="1" applyFill="1" applyBorder="1" applyAlignment="1">
      <alignment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horizontal="left" vertical="top" wrapText="1"/>
    </xf>
    <xf numFmtId="49" fontId="36" fillId="0" borderId="0" xfId="45" applyNumberFormat="1" applyAlignment="1">
      <alignment vertical="top" wrapText="1"/>
    </xf>
    <xf numFmtId="0" fontId="36" fillId="0" borderId="0" xfId="45" applyAlignment="1">
      <alignment horizontal="left" vertical="top"/>
    </xf>
    <xf numFmtId="0" fontId="36" fillId="0" borderId="0" xfId="45" applyAlignment="1">
      <alignment vertical="top"/>
    </xf>
    <xf numFmtId="10" fontId="30" fillId="0" borderId="0" xfId="0" applyNumberFormat="1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6" fillId="0" borderId="0" xfId="45"/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49" fontId="30" fillId="38" borderId="0" xfId="2" applyNumberFormat="1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0" fontId="32" fillId="0" borderId="0" xfId="0" applyFont="1" applyAlignment="1">
      <alignment horizontal="left"/>
    </xf>
    <xf numFmtId="49" fontId="36" fillId="0" borderId="0" xfId="45" applyNumberFormat="1" applyAlignment="1">
      <alignment vertical="center" wrapText="1"/>
    </xf>
    <xf numFmtId="9" fontId="31" fillId="0" borderId="0" xfId="2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36" fillId="0" borderId="0" xfId="45" applyNumberFormat="1" applyAlignment="1">
      <alignment horizontal="left" vertical="center" wrapText="1"/>
    </xf>
    <xf numFmtId="0" fontId="5" fillId="45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0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558B42D1-B8BE-4CD6-9196-F154B505DFC8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1-03T11:36:29.84" personId="{558B42D1-B8BE-4CD6-9196-F154B505DFC8}" id="{3D522789-ECA8-4C30-877B-6F1E3693CA43}">
    <text>As meter is not reporting full production due to bad CT actual energy was taken from total inverter energy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2034" TargetMode="External"/><Relationship Id="rId3" Type="http://schemas.openxmlformats.org/officeDocument/2006/relationships/hyperlink" Target="https://us3.assetplanner.com/service_request?ID=103049" TargetMode="External"/><Relationship Id="rId7" Type="http://schemas.openxmlformats.org/officeDocument/2006/relationships/hyperlink" Target="https://us3.assetplanner.com/service_request?ID=115371" TargetMode="External"/><Relationship Id="rId2" Type="http://schemas.openxmlformats.org/officeDocument/2006/relationships/hyperlink" Target="https://us3.assetplanner.com/service_request?ID=108510" TargetMode="External"/><Relationship Id="rId1" Type="http://schemas.openxmlformats.org/officeDocument/2006/relationships/hyperlink" Target="https://us3.assetplanner.com/service_request?ID=108381" TargetMode="External"/><Relationship Id="rId6" Type="http://schemas.openxmlformats.org/officeDocument/2006/relationships/hyperlink" Target="https://us3.assetplanner.com/service_request?ID=114823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https://us3.assetplanner.com/service_request?ID=114362" TargetMode="External"/><Relationship Id="rId10" Type="http://schemas.openxmlformats.org/officeDocument/2006/relationships/hyperlink" Target="https://us3.assetplanner.com/service_request?ID=114174" TargetMode="External"/><Relationship Id="rId4" Type="http://schemas.openxmlformats.org/officeDocument/2006/relationships/hyperlink" Target="https://us3.assetplanner.com/service_request?ID=113701" TargetMode="External"/><Relationship Id="rId9" Type="http://schemas.openxmlformats.org/officeDocument/2006/relationships/hyperlink" Target="https://us3.assetplanner.com/service_request?ID=11407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D4" activePane="bottomRight" state="frozen"/>
      <selection pane="bottomRight" activeCell="D18" sqref="D18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KPCA Investment, LLC</v>
      </c>
      <c r="B1" s="84"/>
      <c r="C1" s="84"/>
      <c r="D1" s="85" t="s">
        <v>0</v>
      </c>
      <c r="E1" s="85"/>
      <c r="F1" s="85"/>
      <c r="G1" s="83" t="s">
        <v>1</v>
      </c>
      <c r="H1" s="83"/>
      <c r="I1" s="83"/>
    </row>
    <row r="2" spans="1:9" ht="19.5" customHeight="1">
      <c r="A2" s="86" t="s">
        <v>2</v>
      </c>
      <c r="B2" s="86"/>
      <c r="C2" s="5">
        <f>SUM(C4:C80)</f>
        <v>258840.91757013489</v>
      </c>
      <c r="D2" s="5">
        <f>SUM(D4:D80)</f>
        <v>247924.44399999999</v>
      </c>
      <c r="E2" s="5">
        <f>C2-D2</f>
        <v>10916.473570134898</v>
      </c>
      <c r="F2" s="6">
        <f>IFERROR(E2/D2, 0)</f>
        <v>4.4031453268621221E-2</v>
      </c>
      <c r="G2" s="5">
        <f>SUM(G4:G80)</f>
        <v>268467.96000000002</v>
      </c>
      <c r="H2" s="7">
        <f>C2-G2</f>
        <v>-9627.0424298651342</v>
      </c>
      <c r="I2" s="6">
        <f>IFERROR(H2/G2, 0)</f>
        <v>-3.5859185691525845E-2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9" t="str" cm="1">
        <f t="array" ref="A4:A10">Sites[Site]</f>
        <v>Chino - 3750-3770 Grand Ave</v>
      </c>
      <c r="B4" s="30" t="str" cm="1">
        <f t="array" ref="B4:B10">Sites[State]</f>
        <v>CA</v>
      </c>
      <c r="C4" s="22">
        <f>SUM('1st Qtr'!C4, '2nd Qtr'!C4, '3rd Qtr'!C4, '4th Qtr'!C4)</f>
        <v>11509.168269231001</v>
      </c>
      <c r="D4" s="12">
        <f>SUM('1st Qtr'!D4, '2nd Qtr'!D4, '3rd Qtr'!D4, '4th Qtr'!D4)</f>
        <v>14454.71</v>
      </c>
      <c r="E4" s="12">
        <f>IF(AND(ISNUMBER(C4),ISNUMBER(D4)), C4-D4, "")</f>
        <v>-2945.5417307689986</v>
      </c>
      <c r="F4" s="13">
        <f>IFERROR(E4/D4, "")</f>
        <v>-0.20377729686510479</v>
      </c>
      <c r="G4" s="14">
        <f>SUM('1st Qtr'!G4, '2nd Qtr'!G4, '3rd Qtr'!G4, '4th Qtr'!G4)</f>
        <v>24617</v>
      </c>
      <c r="H4" s="14">
        <f>SUM('1st Qtr'!H4, '2nd Qtr'!H4, '3rd Qtr'!H4, '4th Qtr'!H4)</f>
        <v>-13107.831730768999</v>
      </c>
      <c r="I4" s="15">
        <f>IFERROR(H4/G4, "")</f>
        <v>-0.53247072067144652</v>
      </c>
    </row>
    <row r="5" spans="1:9" ht="15.6">
      <c r="A5" s="50" t="str">
        <v>Murrieta - 28150 Keller Rd</v>
      </c>
      <c r="B5" s="28" t="str">
        <v>CA</v>
      </c>
      <c r="C5" s="16">
        <f>SUM('1st Qtr'!C5, '2nd Qtr'!C5, '3rd Qtr'!C5, '4th Qtr'!C5)</f>
        <v>52046.5</v>
      </c>
      <c r="D5" s="16">
        <f>SUM('1st Qtr'!D5, '2nd Qtr'!D5, '3rd Qtr'!D5, '4th Qtr'!D5)</f>
        <v>52187.51</v>
      </c>
      <c r="E5" s="16">
        <f t="shared" ref="E5:E10" si="0">IF(AND(ISNUMBER(C5),ISNUMBER(D5)), C5-D5, "")</f>
        <v>-141.01000000000204</v>
      </c>
      <c r="F5" s="17">
        <f>IFERROR(E5/D5, "")</f>
        <v>-2.7019875062060258E-3</v>
      </c>
      <c r="G5" s="18">
        <f>SUM('1st Qtr'!G5, '2nd Qtr'!G5, '3rd Qtr'!G5, '4th Qtr'!G5)</f>
        <v>58271.39</v>
      </c>
      <c r="H5" s="18">
        <f>SUM(Jan!H5, Feb!H5, Mar!H5)</f>
        <v>-6224.8899999999994</v>
      </c>
      <c r="I5" s="17">
        <f>IFERROR(H5/G5, "")</f>
        <v>-0.10682583683004643</v>
      </c>
    </row>
    <row r="6" spans="1:9" ht="15.6">
      <c r="A6" s="51" t="str">
        <v>La Habra - 601 E Imperial Way</v>
      </c>
      <c r="B6" s="26" t="str">
        <v>CA</v>
      </c>
      <c r="C6" s="22">
        <f>SUM('1st Qtr'!C6, '2nd Qtr'!C6, '3rd Qtr'!C6, '4th Qtr'!C6)</f>
        <v>11683.369999999901</v>
      </c>
      <c r="D6" s="12">
        <f>SUM('1st Qtr'!D6, '2nd Qtr'!D6, '3rd Qtr'!D6, '4th Qtr'!D6)</f>
        <v>8956.2939999999999</v>
      </c>
      <c r="E6" s="12">
        <f t="shared" si="0"/>
        <v>2727.0759999999009</v>
      </c>
      <c r="F6" s="13">
        <f t="shared" ref="F6:F10" si="1">IFERROR(E6/D6, "")</f>
        <v>0.30448710147298658</v>
      </c>
      <c r="G6" s="14">
        <f>SUM('1st Qtr'!G6, '2nd Qtr'!G6, '3rd Qtr'!G6, '4th Qtr'!G6)</f>
        <v>12856.88</v>
      </c>
      <c r="H6" s="14">
        <f>SUM('1st Qtr'!H6, '2nd Qtr'!H6, '3rd Qtr'!H6, '4th Qtr'!H6)</f>
        <v>-1173.5100000000984</v>
      </c>
      <c r="I6" s="15">
        <f t="shared" ref="I6:I10" si="2">IFERROR(H6/G6, "")</f>
        <v>-9.1274866063936075E-2</v>
      </c>
    </row>
    <row r="7" spans="1:9" ht="15.6">
      <c r="A7" s="50" t="str">
        <v>Kaiser - KP3 - SCA Skyport - CN7901 Site</v>
      </c>
      <c r="B7" s="28" t="str">
        <v>CA</v>
      </c>
      <c r="C7" s="16">
        <f>SUM('1st Qtr'!C7, '2nd Qtr'!C7, '3rd Qtr'!C7, '4th Qtr'!C7)</f>
        <v>47106.51</v>
      </c>
      <c r="D7" s="16">
        <f>SUM('1st Qtr'!D7, '2nd Qtr'!D7, '3rd Qtr'!D7, '4th Qtr'!D7)</f>
        <v>50038.6</v>
      </c>
      <c r="E7" s="16">
        <f t="shared" si="0"/>
        <v>-2932.0899999999965</v>
      </c>
      <c r="F7" s="17">
        <f t="shared" si="1"/>
        <v>-5.8596563453014207E-2</v>
      </c>
      <c r="G7" s="18">
        <f>SUM('1st Qtr'!G7, '2nd Qtr'!G7, '3rd Qtr'!G7, '4th Qtr'!G7)</f>
        <v>45205.4</v>
      </c>
      <c r="H7" s="18">
        <f>SUM(Jan!H7, Feb!H7, Mar!H7)</f>
        <v>1901.1100000000006</v>
      </c>
      <c r="I7" s="17">
        <f t="shared" si="2"/>
        <v>4.2054931490485663E-2</v>
      </c>
    </row>
    <row r="8" spans="1:9" ht="15.6">
      <c r="A8" s="51" t="str">
        <v>Irwindale - 12761 Schabarum Ave</v>
      </c>
      <c r="B8" s="26" t="str">
        <v>CA</v>
      </c>
      <c r="C8" s="22">
        <f>SUM('1st Qtr'!C8, '2nd Qtr'!C8, '3rd Qtr'!C8, '4th Qtr'!C8)</f>
        <v>13273.880000000099</v>
      </c>
      <c r="D8" s="12">
        <f>SUM('1st Qtr'!D8, '2nd Qtr'!D8, '3rd Qtr'!D8, '4th Qtr'!D8)</f>
        <v>10702.9</v>
      </c>
      <c r="E8" s="12">
        <f t="shared" si="0"/>
        <v>2570.9800000000996</v>
      </c>
      <c r="F8" s="13">
        <f t="shared" si="1"/>
        <v>0.24021340010652251</v>
      </c>
      <c r="G8" s="14">
        <f>SUM('1st Qtr'!G8, '2nd Qtr'!G8, '3rd Qtr'!G8, '4th Qtr'!G8)</f>
        <v>16512.79</v>
      </c>
      <c r="H8" s="14">
        <f>SUM('1st Qtr'!H8, '2nd Qtr'!H8, '3rd Qtr'!H8, '4th Qtr'!H8)</f>
        <v>-3238.9099999999016</v>
      </c>
      <c r="I8" s="15">
        <f t="shared" si="2"/>
        <v>-0.19614553325028064</v>
      </c>
    </row>
    <row r="9" spans="1:9" ht="15.6">
      <c r="A9" s="50" t="str">
        <v>Santa Rosa - 2240 Mercury Way</v>
      </c>
      <c r="B9" s="28" t="str">
        <v>CA</v>
      </c>
      <c r="C9" s="16">
        <f>SUM('1st Qtr'!C9, '2nd Qtr'!C9, '3rd Qtr'!C9, '4th Qtr'!C9)</f>
        <v>39031.989300903901</v>
      </c>
      <c r="D9" s="16">
        <f>SUM('1st Qtr'!D9, '2nd Qtr'!D9, '3rd Qtr'!D9, '4th Qtr'!D9)</f>
        <v>38749.43</v>
      </c>
      <c r="E9" s="16">
        <f t="shared" si="0"/>
        <v>282.55930090390029</v>
      </c>
      <c r="F9" s="17">
        <f t="shared" si="1"/>
        <v>7.2919601889343995E-3</v>
      </c>
      <c r="G9" s="18">
        <f>SUM('1st Qtr'!G9, '2nd Qtr'!G9, '3rd Qtr'!G9, '4th Qtr'!G9)</f>
        <v>37988</v>
      </c>
      <c r="H9" s="18">
        <f>SUM(Jan!H9, Feb!H9, Mar!H9)</f>
        <v>1043.9893009039006</v>
      </c>
      <c r="I9" s="17">
        <f t="shared" si="2"/>
        <v>2.7482081207326012E-2</v>
      </c>
    </row>
    <row r="10" spans="1:9" ht="15.6">
      <c r="A10" s="51" t="str">
        <v>Dublin - 3100 Dublin Blvd</v>
      </c>
      <c r="B10" s="26" t="str">
        <v>CA</v>
      </c>
      <c r="C10" s="22">
        <f>SUM('1st Qtr'!C10, '2nd Qtr'!C10, '3rd Qtr'!C10, '4th Qtr'!C10)</f>
        <v>84189.5</v>
      </c>
      <c r="D10" s="12">
        <f>SUM('1st Qtr'!D10, '2nd Qtr'!D10, '3rd Qtr'!D10, '4th Qtr'!D10)</f>
        <v>72835</v>
      </c>
      <c r="E10" s="12">
        <f t="shared" si="0"/>
        <v>11354.5</v>
      </c>
      <c r="F10" s="13">
        <f t="shared" si="1"/>
        <v>0.15589345781561062</v>
      </c>
      <c r="G10" s="14">
        <f>SUM('1st Qtr'!G10, '2nd Qtr'!G10, '3rd Qtr'!G10, '4th Qtr'!G10)</f>
        <v>73016.5</v>
      </c>
      <c r="H10" s="14">
        <f>SUM('1st Qtr'!H10, '2nd Qtr'!H10, '3rd Qtr'!H10, '4th Qtr'!H10)</f>
        <v>11173</v>
      </c>
      <c r="I10" s="15">
        <f t="shared" si="2"/>
        <v>0.15302020776125944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9" priority="1" stopIfTrue="1" operator="lessThanOrEqual">
      <formula>-0.1</formula>
    </cfRule>
    <cfRule type="expression" dxfId="5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D4" activePane="bottomRight" state="frozen"/>
      <selection pane="bottomRight" activeCell="D4" sqref="D4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KPCA Investment, LLC</v>
      </c>
      <c r="B1" s="84"/>
      <c r="C1" s="84"/>
      <c r="D1" s="85" t="s">
        <v>10</v>
      </c>
      <c r="E1" s="85"/>
      <c r="F1" s="85"/>
      <c r="G1" s="83" t="s">
        <v>11</v>
      </c>
      <c r="H1" s="83"/>
      <c r="I1" s="83"/>
    </row>
    <row r="2" spans="1:9" ht="19.5" customHeight="1">
      <c r="A2" s="86" t="s">
        <v>2</v>
      </c>
      <c r="B2" s="86"/>
      <c r="C2" s="5">
        <f>SUM(C4:C80)</f>
        <v>258840.91757013489</v>
      </c>
      <c r="D2" s="5">
        <f>SUM(D4:D80)</f>
        <v>247924.44399999999</v>
      </c>
      <c r="E2" s="5">
        <f>C2-D2</f>
        <v>10916.473570134898</v>
      </c>
      <c r="F2" s="6">
        <f>IFERROR(E2/D2, 0)</f>
        <v>4.4031453268621221E-2</v>
      </c>
      <c r="G2" s="5">
        <f>SUM(G4:G80)</f>
        <v>268467.96000000002</v>
      </c>
      <c r="H2" s="7">
        <f>C2-G2</f>
        <v>-9627.0424298651342</v>
      </c>
      <c r="I2" s="6">
        <f>IFERROR(H2/G2, 0)</f>
        <v>-3.5859185691525845E-2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SUM(Jan!C4, Feb!C4, Mar!C4)</f>
        <v>11509.168269231001</v>
      </c>
      <c r="D4" s="12">
        <f>SUM(Jan!D4, Feb!D4, Mar!D4)</f>
        <v>14454.71</v>
      </c>
      <c r="E4" s="12">
        <f>IF(AND(ISNUMBER(C4),ISNUMBER(D4)), C4-D4, "")</f>
        <v>-2945.5417307689986</v>
      </c>
      <c r="F4" s="13">
        <f>IFERROR(E4/D4, "")</f>
        <v>-0.20377729686510479</v>
      </c>
      <c r="G4" s="14">
        <f>SUM(Jan!G4, Feb!G4, Mar!G4)</f>
        <v>24617</v>
      </c>
      <c r="H4" s="14">
        <f>SUM(Jan!H4, Feb!H4, Mar!H4)</f>
        <v>-13107.831730768999</v>
      </c>
      <c r="I4" s="15">
        <f>IFERROR(H4/G4, "")</f>
        <v>-0.53247072067144652</v>
      </c>
    </row>
    <row r="5" spans="1:9" ht="15.6">
      <c r="A5" s="47" t="str">
        <v>Murrieta - 28150 Keller Rd</v>
      </c>
      <c r="B5" s="10" t="str">
        <v>CA</v>
      </c>
      <c r="C5" s="11">
        <f>SUM(Jan!C5, Feb!C5, Mar!C5)</f>
        <v>52046.5</v>
      </c>
      <c r="D5" s="16">
        <f>SUM(Jan!D5, Feb!D5, Mar!D5)</f>
        <v>52187.51</v>
      </c>
      <c r="E5" s="16">
        <f t="shared" ref="E5:E10" si="0">IF(AND(ISNUMBER(C5),ISNUMBER(D5)), C5-D5, "")</f>
        <v>-141.01000000000204</v>
      </c>
      <c r="F5" s="17">
        <f>IFERROR(E5/D5, "")</f>
        <v>-2.7019875062060258E-3</v>
      </c>
      <c r="G5" s="18">
        <f>SUM(Jan!G5, Feb!G5, Mar!G5)</f>
        <v>58271.39</v>
      </c>
      <c r="H5" s="18">
        <f>SUM(Jan!H5, Feb!H5, Mar!H5)</f>
        <v>-6224.8899999999994</v>
      </c>
      <c r="I5" s="17">
        <f>IFERROR(H5/G5, "")</f>
        <v>-0.10682583683004643</v>
      </c>
    </row>
    <row r="6" spans="1:9" ht="15.6">
      <c r="A6" s="46" t="str">
        <v>La Habra - 601 E Imperial Way</v>
      </c>
      <c r="B6" s="9" t="str">
        <v>CA</v>
      </c>
      <c r="C6" s="22">
        <f>SUM(Jan!C6, Feb!C6, Mar!C6)</f>
        <v>11683.369999999901</v>
      </c>
      <c r="D6" s="12">
        <f>SUM(Jan!D6, Feb!D6, Mar!D6)</f>
        <v>8956.2939999999999</v>
      </c>
      <c r="E6" s="12">
        <f t="shared" si="0"/>
        <v>2727.0759999999009</v>
      </c>
      <c r="F6" s="13">
        <f t="shared" ref="F6:F10" si="1">IFERROR(E6/D6, "")</f>
        <v>0.30448710147298658</v>
      </c>
      <c r="G6" s="14">
        <f>SUM(Jan!G6, Feb!G6, Mar!G6)</f>
        <v>12856.88</v>
      </c>
      <c r="H6" s="14">
        <f>SUM(Jan!H6, Feb!H6, Mar!H6)</f>
        <v>-1173.5100000000984</v>
      </c>
      <c r="I6" s="15">
        <f t="shared" ref="I6:I10" si="2">IFERROR(H6/G6, "")</f>
        <v>-9.1274866063936075E-2</v>
      </c>
    </row>
    <row r="7" spans="1:9" ht="15.6">
      <c r="A7" s="47" t="str">
        <v>Kaiser - KP3 - SCA Skyport - CN7901 Site</v>
      </c>
      <c r="B7" s="10" t="str">
        <v>CA</v>
      </c>
      <c r="C7" s="11">
        <f>SUM(Jan!C7, Feb!C7, Mar!C7)</f>
        <v>47106.51</v>
      </c>
      <c r="D7" s="16">
        <f>SUM(Jan!D7, Feb!D7, Mar!D7)</f>
        <v>50038.6</v>
      </c>
      <c r="E7" s="16">
        <f t="shared" si="0"/>
        <v>-2932.0899999999965</v>
      </c>
      <c r="F7" s="17">
        <f t="shared" si="1"/>
        <v>-5.8596563453014207E-2</v>
      </c>
      <c r="G7" s="18">
        <f>SUM(Jan!G7, Feb!G7, Mar!G7)</f>
        <v>45205.4</v>
      </c>
      <c r="H7" s="18">
        <f>SUM(Jan!H7, Feb!H7, Mar!H7)</f>
        <v>1901.1100000000006</v>
      </c>
      <c r="I7" s="17">
        <f t="shared" si="2"/>
        <v>4.2054931490485663E-2</v>
      </c>
    </row>
    <row r="8" spans="1:9" ht="15.6">
      <c r="A8" s="46" t="str">
        <v>Irwindale - 12761 Schabarum Ave</v>
      </c>
      <c r="B8" s="9" t="str">
        <v>CA</v>
      </c>
      <c r="C8" s="22">
        <f>SUM(Jan!C8, Feb!C8, Mar!C8)</f>
        <v>13273.880000000099</v>
      </c>
      <c r="D8" s="12">
        <f>SUM(Jan!D8, Feb!D8, Mar!D8)</f>
        <v>10702.9</v>
      </c>
      <c r="E8" s="12">
        <f t="shared" si="0"/>
        <v>2570.9800000000996</v>
      </c>
      <c r="F8" s="13">
        <f t="shared" si="1"/>
        <v>0.24021340010652251</v>
      </c>
      <c r="G8" s="14">
        <f>SUM(Jan!G8, Feb!G8, Mar!G8)</f>
        <v>16512.79</v>
      </c>
      <c r="H8" s="14">
        <f>SUM(Jan!H8, Feb!H8, Mar!H8)</f>
        <v>-3238.9099999999016</v>
      </c>
      <c r="I8" s="15">
        <f t="shared" si="2"/>
        <v>-0.19614553325028064</v>
      </c>
    </row>
    <row r="9" spans="1:9" ht="15.6">
      <c r="A9" s="47" t="str">
        <v>Santa Rosa - 2240 Mercury Way</v>
      </c>
      <c r="B9" s="10" t="str">
        <v>CA</v>
      </c>
      <c r="C9" s="11">
        <f>SUM(Jan!C9, Feb!C9, Mar!C9)</f>
        <v>39031.989300903901</v>
      </c>
      <c r="D9" s="16">
        <f>SUM(Jan!D9, Feb!D9, Mar!D9)</f>
        <v>38749.43</v>
      </c>
      <c r="E9" s="16">
        <f t="shared" si="0"/>
        <v>282.55930090390029</v>
      </c>
      <c r="F9" s="17">
        <f t="shared" si="1"/>
        <v>7.2919601889343995E-3</v>
      </c>
      <c r="G9" s="18">
        <f>SUM(Jan!G9, Feb!G9, Mar!G9)</f>
        <v>37988</v>
      </c>
      <c r="H9" s="18">
        <f>SUM(Jan!H9, Feb!H9, Mar!H9)</f>
        <v>1043.9893009039006</v>
      </c>
      <c r="I9" s="17">
        <f t="shared" si="2"/>
        <v>2.7482081207326012E-2</v>
      </c>
    </row>
    <row r="10" spans="1:9" ht="15.6">
      <c r="A10" s="46" t="str">
        <v>Dublin - 3100 Dublin Blvd</v>
      </c>
      <c r="B10" s="9" t="str">
        <v>CA</v>
      </c>
      <c r="C10" s="22">
        <f>SUM(Jan!C10, Feb!C10, Mar!C10)</f>
        <v>84189.5</v>
      </c>
      <c r="D10" s="12">
        <f>SUM(Jan!D10, Feb!D10, Mar!D10)</f>
        <v>72835</v>
      </c>
      <c r="E10" s="12">
        <f t="shared" si="0"/>
        <v>11354.5</v>
      </c>
      <c r="F10" s="13">
        <f t="shared" si="1"/>
        <v>0.15589345781561062</v>
      </c>
      <c r="G10" s="14">
        <f>SUM(Jan!G10, Feb!G10, Mar!G10)</f>
        <v>73016.5</v>
      </c>
      <c r="H10" s="14">
        <f>SUM(Jan!H10, Feb!H10, Mar!H10)</f>
        <v>11173</v>
      </c>
      <c r="I10" s="15">
        <f t="shared" si="2"/>
        <v>0.15302020776125944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E24" sqref="E24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KPCA Investment, LLC</v>
      </c>
      <c r="B1" s="84"/>
      <c r="C1" s="84"/>
      <c r="D1" s="85" t="s">
        <v>12</v>
      </c>
      <c r="E1" s="85"/>
      <c r="F1" s="85"/>
      <c r="G1" s="83" t="s">
        <v>13</v>
      </c>
      <c r="H1" s="83"/>
      <c r="I1" s="83"/>
    </row>
    <row r="2" spans="1:9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SUM(Apr!G4+May!G4+Jun!G4)</f>
        <v>0</v>
      </c>
      <c r="H4" s="14">
        <f>SUM(Apr!H4, May!H4, Jun!H4)</f>
        <v>0</v>
      </c>
      <c r="I4" s="15" t="str">
        <f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SUM(Apr!C5, May!C5, Jun!C5)</f>
        <v>0</v>
      </c>
      <c r="D5" s="16">
        <f>SUM(Apr!D5, May!D5, Jun!D5)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8">
        <f>SUM(Apr!G5+May!G5+Jun!G5)</f>
        <v>0</v>
      </c>
      <c r="H5" s="18">
        <f>SUM(Apr!H5, May!H5, Jun!H5)</f>
        <v>0</v>
      </c>
      <c r="I5" s="17" t="str">
        <f>IFERROR(H5/G5, "")</f>
        <v/>
      </c>
    </row>
    <row r="6" spans="1:9" ht="15.6">
      <c r="A6" s="46" t="str">
        <v>La Habra - 601 E Imperial Way</v>
      </c>
      <c r="B6" s="9" t="str">
        <v>CA</v>
      </c>
      <c r="C6" s="22">
        <f>SUM(Apr!C6, May!C6, Jun!C6)</f>
        <v>0</v>
      </c>
      <c r="D6" s="12">
        <f>SUM(Apr!D6, May!D6, Jun!D6)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SUM(Apr!G6+May!G6+Jun!G6)</f>
        <v>0</v>
      </c>
      <c r="H6" s="14">
        <f>SUM(Apr!H6, May!H6, Jun!H6)</f>
        <v>0</v>
      </c>
      <c r="I6" s="15" t="str">
        <f t="shared" ref="I6:I9" si="2">IFERROR(H6/G6, "")</f>
        <v/>
      </c>
    </row>
    <row r="7" spans="1:9" ht="15.6">
      <c r="A7" s="47" t="str">
        <v>Kaiser - KP3 - SCA Skyport - CN7901 Site</v>
      </c>
      <c r="B7" s="10" t="str">
        <v>CA</v>
      </c>
      <c r="C7" s="11">
        <f>SUM(Apr!C7, May!C7, Jun!C7)</f>
        <v>0</v>
      </c>
      <c r="D7" s="16">
        <f>SUM(Apr!D7, May!D7, Jun!D7)</f>
        <v>0</v>
      </c>
      <c r="E7" s="16">
        <f t="shared" si="0"/>
        <v>0</v>
      </c>
      <c r="F7" s="17" t="str">
        <f t="shared" si="1"/>
        <v/>
      </c>
      <c r="G7" s="18">
        <f>SUM(Apr!G7+May!G7+Jun!G7)</f>
        <v>0</v>
      </c>
      <c r="H7" s="18">
        <f>SUM(Apr!H7, May!H7, Jun!H7)</f>
        <v>0</v>
      </c>
      <c r="I7" s="17" t="str">
        <f t="shared" si="2"/>
        <v/>
      </c>
    </row>
    <row r="8" spans="1:9" ht="15.6">
      <c r="A8" s="46" t="str">
        <v>Irwindale - 12761 Schabarum Ave</v>
      </c>
      <c r="B8" s="9" t="str">
        <v>CA</v>
      </c>
      <c r="C8" s="22">
        <f>SUM(Apr!C8, May!C8, Jun!C8)</f>
        <v>0</v>
      </c>
      <c r="D8" s="12">
        <f>SUM(Apr!D8, May!D8, Jun!D8)</f>
        <v>0</v>
      </c>
      <c r="E8" s="12">
        <f t="shared" si="0"/>
        <v>0</v>
      </c>
      <c r="F8" s="13" t="str">
        <f t="shared" si="1"/>
        <v/>
      </c>
      <c r="G8" s="14">
        <f>SUM(Apr!G8+May!G8+Jun!G8)</f>
        <v>0</v>
      </c>
      <c r="H8" s="14">
        <f>SUM(Apr!H8, May!H8, Jun!H8)</f>
        <v>0</v>
      </c>
      <c r="I8" s="15" t="str">
        <f>IFERROR(H8/G8, "")</f>
        <v/>
      </c>
    </row>
    <row r="9" spans="1:9" ht="15.6">
      <c r="A9" s="47" t="str">
        <v>Santa Rosa - 2240 Mercury Way</v>
      </c>
      <c r="B9" s="10" t="str">
        <v>CA</v>
      </c>
      <c r="C9" s="11">
        <f>SUM(Apr!C9, May!C9, Jun!C9)</f>
        <v>0</v>
      </c>
      <c r="D9" s="16">
        <f>SUM(Apr!D9, May!D9, Jun!D9)</f>
        <v>0</v>
      </c>
      <c r="E9" s="16">
        <f t="shared" si="0"/>
        <v>0</v>
      </c>
      <c r="F9" s="17" t="str">
        <f t="shared" si="1"/>
        <v/>
      </c>
      <c r="G9" s="18">
        <f>SUM(Apr!G9+May!G9+Jun!G9)</f>
        <v>0</v>
      </c>
      <c r="H9" s="18">
        <f>SUM(Apr!H9, May!H9, Jun!H9)</f>
        <v>0</v>
      </c>
      <c r="I9" s="17" t="str">
        <f t="shared" si="2"/>
        <v/>
      </c>
    </row>
    <row r="10" spans="1:9" ht="15.6">
      <c r="A10" s="46" t="str">
        <v>Dublin - 3100 Dublin Blvd</v>
      </c>
      <c r="B10" s="9" t="str">
        <v>CA</v>
      </c>
      <c r="C10" s="22">
        <f>SUM(Apr!C10, May!C10, Jun!C10)</f>
        <v>0</v>
      </c>
      <c r="D10" s="12">
        <f>SUM(Apr!D10, May!D10, Jun!D10)</f>
        <v>0</v>
      </c>
      <c r="E10" s="12">
        <f t="shared" si="0"/>
        <v>0</v>
      </c>
      <c r="F10" s="13" t="str">
        <f t="shared" si="1"/>
        <v/>
      </c>
      <c r="G10" s="14">
        <f>SUM(Apr!G10+May!G10+Jun!G10)</f>
        <v>0</v>
      </c>
      <c r="H10" s="14">
        <f>SUM(Apr!H10, May!H10, Jun!H10)</f>
        <v>0</v>
      </c>
      <c r="I10" s="15" t="str">
        <f>IFERROR(H10/G10, "")</f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23" sqref="C23"/>
      <selection pane="bottomLeft" activeCell="F27" sqref="F27"/>
      <selection pane="topRight" activeCell="F27" sqref="F27"/>
    </sheetView>
  </sheetViews>
  <sheetFormatPr defaultRowHeight="12.75" customHeight="1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KPCA Investment, LLC</v>
      </c>
      <c r="B1" s="84"/>
      <c r="C1" s="84"/>
      <c r="D1" s="85" t="s">
        <v>14</v>
      </c>
      <c r="E1" s="85"/>
      <c r="F1" s="85"/>
      <c r="G1" s="83" t="s">
        <v>15</v>
      </c>
      <c r="H1" s="83"/>
      <c r="I1" s="83"/>
    </row>
    <row r="2" spans="1:9" ht="19.5" customHeight="1">
      <c r="A2" s="86" t="s">
        <v>2</v>
      </c>
      <c r="B2" s="8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 t="shared" ref="I4:I9" si="0"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SUM(Jul!C5, Aug!C5, Sep!C5)</f>
        <v>0</v>
      </c>
      <c r="D5" s="16">
        <f>SUM(Jul!D5, Aug!D5, Sep!D5)</f>
        <v>0</v>
      </c>
      <c r="E5" s="16">
        <f t="shared" ref="E5:E10" si="1">IF(AND(ISNUMBER(C5),ISNUMBER(D5)), C5-D5, "")</f>
        <v>0</v>
      </c>
      <c r="F5" s="17" t="str">
        <f>IFERROR(E5/D5, "")</f>
        <v/>
      </c>
      <c r="G5" s="16">
        <f>SUM(Jul!G5,Aug!G5,Sep!G5)</f>
        <v>0</v>
      </c>
      <c r="H5" s="18">
        <f>SUM(Jul!H5, Aug!H5, Sep!H5)</f>
        <v>0</v>
      </c>
      <c r="I5" s="17" t="str">
        <f t="shared" si="0"/>
        <v/>
      </c>
    </row>
    <row r="6" spans="1:9" ht="15.6">
      <c r="A6" s="46" t="str">
        <v>La Habra - 601 E Imperial Way</v>
      </c>
      <c r="B6" s="9" t="str">
        <v>CA</v>
      </c>
      <c r="C6" s="22">
        <f>SUM(Jul!C6, Aug!C6, Sep!C6)</f>
        <v>0</v>
      </c>
      <c r="D6" s="12">
        <f>SUM(Jul!D6, Aug!D6, Sep!D6)</f>
        <v>0</v>
      </c>
      <c r="E6" s="12">
        <f t="shared" si="1"/>
        <v>0</v>
      </c>
      <c r="F6" s="13" t="str">
        <f t="shared" ref="F6:F10" si="2">IFERROR(E6/D6, "")</f>
        <v/>
      </c>
      <c r="G6" s="14">
        <f>SUM(Jul!G6,Aug!G6,Sep!G6)</f>
        <v>0</v>
      </c>
      <c r="H6" s="14">
        <f>SUM(Jul!H6, Aug!H6, Sep!H6)</f>
        <v>0</v>
      </c>
      <c r="I6" s="15" t="str">
        <f t="shared" si="0"/>
        <v/>
      </c>
    </row>
    <row r="7" spans="1:9" ht="15.6">
      <c r="A7" s="47" t="str">
        <v>Kaiser - KP3 - SCA Skyport - CN7901 Site</v>
      </c>
      <c r="B7" s="10" t="str">
        <v>CA</v>
      </c>
      <c r="C7" s="11">
        <f>SUM(Jul!C7, Aug!C7, Sep!C7)</f>
        <v>0</v>
      </c>
      <c r="D7" s="16">
        <f>SUM(Jul!D7, Aug!D7, Sep!D7)</f>
        <v>0</v>
      </c>
      <c r="E7" s="16">
        <f t="shared" si="1"/>
        <v>0</v>
      </c>
      <c r="F7" s="17" t="str">
        <f t="shared" si="2"/>
        <v/>
      </c>
      <c r="G7" s="16">
        <f>SUM(Jul!G7,Aug!G7,Sep!G7)</f>
        <v>0</v>
      </c>
      <c r="H7" s="18">
        <f>SUM(Jul!H7, Aug!H7, Sep!H7)</f>
        <v>0</v>
      </c>
      <c r="I7" s="17" t="str">
        <f t="shared" si="0"/>
        <v/>
      </c>
    </row>
    <row r="8" spans="1:9" ht="15.6">
      <c r="A8" s="46" t="str">
        <v>Irwindale - 12761 Schabarum Ave</v>
      </c>
      <c r="B8" s="9" t="str">
        <v>CA</v>
      </c>
      <c r="C8" s="22">
        <f>SUM(Jul!C8, Aug!C8, Sep!C8)</f>
        <v>0</v>
      </c>
      <c r="D8" s="12">
        <f>SUM(Jul!D8, Aug!D8, Sep!D8)</f>
        <v>0</v>
      </c>
      <c r="E8" s="12">
        <f t="shared" si="1"/>
        <v>0</v>
      </c>
      <c r="F8" s="13" t="str">
        <f t="shared" si="2"/>
        <v/>
      </c>
      <c r="G8" s="14">
        <f>SUM(Jul!G8,Aug!G8,Sep!G8)</f>
        <v>0</v>
      </c>
      <c r="H8" s="14">
        <f>SUM(Jul!H8, Aug!H8, Sep!H8)</f>
        <v>0</v>
      </c>
      <c r="I8" s="15" t="str">
        <f t="shared" si="0"/>
        <v/>
      </c>
    </row>
    <row r="9" spans="1:9" ht="15.6">
      <c r="A9" s="47" t="str">
        <v>Santa Rosa - 2240 Mercury Way</v>
      </c>
      <c r="B9" s="10" t="str">
        <v>CA</v>
      </c>
      <c r="C9" s="11">
        <f>SUM(Jul!C9, Aug!C9, Sep!C9)</f>
        <v>0</v>
      </c>
      <c r="D9" s="16">
        <f>SUM(Jul!D9, Aug!D9, Sep!D9)</f>
        <v>0</v>
      </c>
      <c r="E9" s="16">
        <f t="shared" si="1"/>
        <v>0</v>
      </c>
      <c r="F9" s="17" t="str">
        <f t="shared" si="2"/>
        <v/>
      </c>
      <c r="G9" s="16">
        <f>SUM(Jul!G9,Aug!G9,Sep!G9)</f>
        <v>0</v>
      </c>
      <c r="H9" s="18">
        <f>SUM(Jul!H9, Aug!H9, Sep!H9)</f>
        <v>0</v>
      </c>
      <c r="I9" s="17" t="str">
        <f t="shared" si="0"/>
        <v/>
      </c>
    </row>
    <row r="10" spans="1:9" ht="15.6">
      <c r="A10" s="46" t="str">
        <v>Dublin - 3100 Dublin Blvd</v>
      </c>
      <c r="B10" s="9" t="str">
        <v>CA</v>
      </c>
      <c r="C10" s="22">
        <f>SUM(Jul!C10, Aug!C10, Sep!C10)</f>
        <v>0</v>
      </c>
      <c r="D10" s="12">
        <f>SUM(Jul!D10, Aug!D10, Sep!D10)</f>
        <v>0</v>
      </c>
      <c r="E10" s="12">
        <f t="shared" si="1"/>
        <v>0</v>
      </c>
      <c r="F10" s="13" t="str">
        <f t="shared" si="2"/>
        <v/>
      </c>
      <c r="G10" s="14">
        <f>SUM(Jul!G10,Aug!G10,Sep!G10)</f>
        <v>0</v>
      </c>
      <c r="H10" s="14">
        <f>SUM(Jul!H10, Aug!H10, Sep!H10)</f>
        <v>0</v>
      </c>
      <c r="I10" s="15" t="str">
        <f>IFERROR(H10/G10, "")</f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zoomScale="110" zoomScaleNormal="110" workbookViewId="0">
      <pane xSplit="2" ySplit="3" topLeftCell="C4" activePane="bottomRight" state="frozen"/>
      <selection pane="bottomRight" activeCell="G21" sqref="G21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KPCA Investment, LLC</v>
      </c>
      <c r="B1" s="84"/>
      <c r="C1" s="84"/>
      <c r="D1" s="85" t="s">
        <v>16</v>
      </c>
      <c r="E1" s="85"/>
      <c r="F1" s="85"/>
      <c r="G1" s="83" t="s">
        <v>17</v>
      </c>
      <c r="H1" s="83"/>
      <c r="I1" s="83"/>
    </row>
    <row r="2" spans="1:9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SUM(Oct!C5, Nov!C5, Dec!C5)</f>
        <v>0</v>
      </c>
      <c r="D5" s="16">
        <f>SUM(Oct!D5, Nov!D5, Dec!D5)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6">
      <c r="A6" s="46" t="str">
        <v>La Habra - 601 E Imperial Way</v>
      </c>
      <c r="B6" s="9" t="str">
        <v>CA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10" si="2">IFERROR(H6/G6, "")</f>
        <v/>
      </c>
    </row>
    <row r="7" spans="1:9" ht="15.6">
      <c r="A7" s="47" t="str">
        <v>Kaiser - KP3 - SCA Skyport - CN7901 Site</v>
      </c>
      <c r="B7" s="10" t="str">
        <v>CA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5.6">
      <c r="A8" s="46" t="str">
        <v>Irwindale - 12761 Schabarum Ave</v>
      </c>
      <c r="B8" s="9" t="str">
        <v>CA</v>
      </c>
      <c r="C8" s="22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>
        <f>SUM(Oct!G8,Nov!G8,Dec!G8)</f>
        <v>0</v>
      </c>
      <c r="H8" s="14">
        <f>SUM(Oct!H8,Nov!H8,Dec!H8)</f>
        <v>0</v>
      </c>
      <c r="I8" s="15" t="str">
        <f t="shared" si="2"/>
        <v/>
      </c>
    </row>
    <row r="9" spans="1:9" ht="15.6">
      <c r="A9" s="47" t="str">
        <v>Santa Rosa - 2240 Mercury Way</v>
      </c>
      <c r="B9" s="10" t="str">
        <v>CA</v>
      </c>
      <c r="C9" s="11">
        <f>SUM(Oct!C9, Nov!C9, Dec!C9)</f>
        <v>0</v>
      </c>
      <c r="D9" s="16">
        <f>SUM(Oct!D9, Nov!D9, Dec!D9)</f>
        <v>0</v>
      </c>
      <c r="E9" s="16">
        <f t="shared" si="0"/>
        <v>0</v>
      </c>
      <c r="F9" s="17" t="str">
        <f t="shared" si="1"/>
        <v/>
      </c>
      <c r="G9" s="16">
        <f>SUM(Oct!G9,Nov!G9,Dec!G9)</f>
        <v>0</v>
      </c>
      <c r="H9" s="18">
        <f>SUM(Oct!H9,Nov!H9,Dec!H9)</f>
        <v>0</v>
      </c>
      <c r="I9" s="17" t="str">
        <f t="shared" si="2"/>
        <v/>
      </c>
    </row>
    <row r="10" spans="1:9" ht="15.6">
      <c r="A10" s="46" t="str">
        <v>Dublin - 3100 Dublin Blvd</v>
      </c>
      <c r="B10" s="9" t="str">
        <v>CA</v>
      </c>
      <c r="C10" s="22">
        <f>SUM(Oct!C10, Nov!C10, Dec!C10)</f>
        <v>0</v>
      </c>
      <c r="D10" s="12">
        <f>SUM(Oct!D10, Nov!D10, Dec!D10)</f>
        <v>0</v>
      </c>
      <c r="E10" s="12">
        <f t="shared" si="0"/>
        <v>0</v>
      </c>
      <c r="F10" s="13" t="str">
        <f t="shared" si="1"/>
        <v/>
      </c>
      <c r="G10" s="14">
        <f>SUM(Oct!G10,Nov!G10,Dec!G10)</f>
        <v>0</v>
      </c>
      <c r="H10" s="14">
        <f>SUM(Oct!H10,Nov!H10,Dec!H10)</f>
        <v>0</v>
      </c>
      <c r="I10" s="15" t="str">
        <f t="shared" si="2"/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P321"/>
  <sheetViews>
    <sheetView tabSelected="1" zoomScale="80" zoomScaleNormal="80" workbookViewId="0">
      <pane xSplit="2" ySplit="3" topLeftCell="J4" activePane="bottomRight" state="frozen"/>
      <selection pane="bottomRight" activeCell="O8" sqref="O8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9" customWidth="1"/>
    <col min="13" max="16" width="8.85546875" style="69"/>
  </cols>
  <sheetData>
    <row r="1" spans="1:15" ht="19.5" customHeight="1">
      <c r="A1" s="84" t="str" cm="1">
        <f t="array" ref="A1">portfolio</f>
        <v>KPCA Investment, LLC</v>
      </c>
      <c r="B1" s="84"/>
      <c r="C1" s="84"/>
      <c r="D1" s="85" t="s">
        <v>18</v>
      </c>
      <c r="E1" s="85"/>
      <c r="F1" s="85"/>
      <c r="G1" s="83" t="s">
        <v>19</v>
      </c>
      <c r="H1" s="83"/>
      <c r="I1" s="83"/>
      <c r="J1" s="4"/>
      <c r="K1" s="4"/>
      <c r="L1" s="4"/>
    </row>
    <row r="2" spans="1:15" ht="19.5" customHeight="1">
      <c r="A2" s="86" t="s">
        <v>2</v>
      </c>
      <c r="B2" s="86"/>
      <c r="C2" s="5">
        <f>SUM(C4:C79)</f>
        <v>258840.91757013489</v>
      </c>
      <c r="D2" s="5">
        <f>SUM(D4:D79)</f>
        <v>247924.44399999999</v>
      </c>
      <c r="E2" s="5">
        <f>C2-D2</f>
        <v>10916.473570134898</v>
      </c>
      <c r="F2" s="6">
        <f>IFERROR(E2/D2, 0)</f>
        <v>4.4031453268621221E-2</v>
      </c>
      <c r="G2" s="5">
        <f>SUM(G4:G79)</f>
        <v>268467.96000000002</v>
      </c>
      <c r="H2" s="7">
        <f>C2-G2</f>
        <v>-9627.0424298651342</v>
      </c>
      <c r="I2" s="6">
        <f>IFERROR(H2/G2, 0)</f>
        <v>-3.5859185691525845E-2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24"/>
    </row>
    <row r="3" spans="1:15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22</v>
      </c>
    </row>
    <row r="4" spans="1:15" ht="86.25" customHeight="1">
      <c r="A4" s="57" t="str" cm="1">
        <f t="array" ref="A4:A10">Sites[Site]</f>
        <v>Chino - 3750-3770 Grand Ave</v>
      </c>
      <c r="B4" s="27" t="str" cm="1">
        <f t="array" ref="B4:B10">Sites[State]</f>
        <v>CA</v>
      </c>
      <c r="C4" s="22">
        <v>11509.168269231001</v>
      </c>
      <c r="D4" s="12">
        <v>14454.71</v>
      </c>
      <c r="E4" s="12">
        <f>IF(AND(ISNUMBER(C4),ISNUMBER(D4)), C4-D4, "")</f>
        <v>-2945.5417307689986</v>
      </c>
      <c r="F4" s="13">
        <f>IFERROR(E4/D4, "")</f>
        <v>-0.20377729686510479</v>
      </c>
      <c r="G4" s="14">
        <v>24617</v>
      </c>
      <c r="H4" s="14">
        <f>IF(AND(ISNUMBER(C4),ISNUMBER(G4)), C4-G4, "")</f>
        <v>-13107.831730768999</v>
      </c>
      <c r="I4" s="15">
        <f>IFERROR(H4/G4, "")</f>
        <v>-0.53247072067144652</v>
      </c>
      <c r="J4" s="58" t="s">
        <v>23</v>
      </c>
      <c r="K4" s="59" t="s">
        <v>24</v>
      </c>
      <c r="L4" s="58" t="s">
        <v>25</v>
      </c>
      <c r="M4" s="62" t="s">
        <v>26</v>
      </c>
      <c r="N4" s="62" t="s">
        <v>27</v>
      </c>
    </row>
    <row r="5" spans="1:15" ht="24.75" customHeight="1">
      <c r="A5" s="50" t="str">
        <v>Murrieta - 28150 Keller Rd</v>
      </c>
      <c r="B5" s="29" t="str">
        <v>CA</v>
      </c>
      <c r="C5" s="16">
        <v>52046.5</v>
      </c>
      <c r="D5" s="16">
        <v>52187.51</v>
      </c>
      <c r="E5" s="16">
        <f t="shared" ref="E5:E10" si="0">IF(AND(ISNUMBER(C5),ISNUMBER(D5)), C5-D5, "")</f>
        <v>-141.01000000000204</v>
      </c>
      <c r="F5" s="64">
        <f t="shared" ref="F5:F10" si="1">IFERROR(E5/D5, "")</f>
        <v>-2.7019875062060258E-3</v>
      </c>
      <c r="G5" s="18">
        <v>58271.39</v>
      </c>
      <c r="H5" s="18">
        <f t="shared" ref="H5:H6" si="2">IF(AND(ISNUMBER(C5),ISNUMBER(G5)), C5-G5, "")</f>
        <v>-6224.8899999999994</v>
      </c>
      <c r="I5" s="17">
        <f>IFERROR(H5/G5, "")</f>
        <v>-0.10682583683004643</v>
      </c>
      <c r="J5" s="52" t="s">
        <v>28</v>
      </c>
      <c r="K5" s="60"/>
      <c r="L5" s="52"/>
    </row>
    <row r="6" spans="1:15" ht="15.6">
      <c r="A6" s="51" t="str">
        <v>La Habra - 601 E Imperial Way</v>
      </c>
      <c r="B6" s="27" t="str">
        <v>CA</v>
      </c>
      <c r="C6" s="22">
        <v>11683.369999999901</v>
      </c>
      <c r="D6" s="12">
        <v>8956.2939999999999</v>
      </c>
      <c r="E6" s="12">
        <f t="shared" si="0"/>
        <v>2727.0759999999009</v>
      </c>
      <c r="F6" s="13">
        <f t="shared" si="1"/>
        <v>0.30448710147298658</v>
      </c>
      <c r="G6" s="14">
        <v>12856.88</v>
      </c>
      <c r="H6" s="14">
        <f t="shared" si="2"/>
        <v>-1173.5100000000984</v>
      </c>
      <c r="I6" s="15">
        <f t="shared" ref="I6:I10" si="3">IFERROR(H6/G6, "")</f>
        <v>-9.1274866063936075E-2</v>
      </c>
      <c r="J6" s="39" t="s">
        <v>29</v>
      </c>
      <c r="K6" s="59"/>
      <c r="L6" s="39"/>
    </row>
    <row r="7" spans="1:15" ht="57.6">
      <c r="A7" s="50" t="str">
        <v>Kaiser - KP3 - SCA Skyport - CN7901 Site</v>
      </c>
      <c r="B7" s="29" t="str">
        <v>CA</v>
      </c>
      <c r="C7" s="16">
        <v>47106.51</v>
      </c>
      <c r="D7" s="16">
        <v>50038.6</v>
      </c>
      <c r="E7" s="16">
        <f t="shared" si="0"/>
        <v>-2932.0899999999965</v>
      </c>
      <c r="F7" s="16">
        <f t="shared" si="1"/>
        <v>-5.8596563453014207E-2</v>
      </c>
      <c r="G7" s="18">
        <v>45205.4</v>
      </c>
      <c r="H7" s="18">
        <f t="shared" ref="H7:H10" si="4">IF(AND(ISNUMBER(C7),ISNUMBER(G7)), C7-G7, "")</f>
        <v>1901.1100000000006</v>
      </c>
      <c r="I7" s="17">
        <f t="shared" si="3"/>
        <v>4.2054931490485663E-2</v>
      </c>
      <c r="J7" s="40" t="s">
        <v>30</v>
      </c>
      <c r="K7" s="75" t="s">
        <v>31</v>
      </c>
      <c r="L7" s="40" t="s">
        <v>32</v>
      </c>
      <c r="M7" s="62" t="s">
        <v>33</v>
      </c>
      <c r="N7" s="62" t="s">
        <v>34</v>
      </c>
      <c r="O7" s="62" t="s">
        <v>35</v>
      </c>
    </row>
    <row r="8" spans="1:15" ht="28.9">
      <c r="A8" s="51" t="str">
        <v>Irwindale - 12761 Schabarum Ave</v>
      </c>
      <c r="B8" s="27" t="str">
        <v>CA</v>
      </c>
      <c r="C8" s="22">
        <v>13273.880000000099</v>
      </c>
      <c r="D8" s="12">
        <v>10702.9</v>
      </c>
      <c r="E8" s="12">
        <f t="shared" si="0"/>
        <v>2570.9800000000996</v>
      </c>
      <c r="F8" s="43">
        <f t="shared" si="1"/>
        <v>0.24021340010652251</v>
      </c>
      <c r="G8" s="14">
        <v>16512.79</v>
      </c>
      <c r="H8" s="14">
        <f t="shared" si="4"/>
        <v>-3238.9099999999016</v>
      </c>
      <c r="I8" s="15">
        <f t="shared" si="3"/>
        <v>-0.19614553325028064</v>
      </c>
      <c r="J8" s="39" t="s">
        <v>36</v>
      </c>
      <c r="K8" s="59" t="s">
        <v>37</v>
      </c>
      <c r="L8" s="39" t="s">
        <v>38</v>
      </c>
      <c r="N8" s="62"/>
    </row>
    <row r="9" spans="1:15" ht="15.6">
      <c r="A9" s="50" t="str">
        <v>Santa Rosa - 2240 Mercury Way</v>
      </c>
      <c r="B9" s="29" t="str">
        <v>CA</v>
      </c>
      <c r="C9" s="16">
        <v>39031.989300903901</v>
      </c>
      <c r="D9" s="16">
        <v>38749.43</v>
      </c>
      <c r="E9" s="16">
        <f t="shared" si="0"/>
        <v>282.55930090390029</v>
      </c>
      <c r="F9" s="64">
        <f t="shared" si="1"/>
        <v>7.2919601889343995E-3</v>
      </c>
      <c r="G9" s="18">
        <v>37988</v>
      </c>
      <c r="H9" s="18">
        <f t="shared" si="4"/>
        <v>1043.9893009039006</v>
      </c>
      <c r="I9" s="17">
        <f t="shared" si="3"/>
        <v>2.7482081207326012E-2</v>
      </c>
      <c r="J9" s="40"/>
      <c r="K9" s="61"/>
      <c r="L9" s="40"/>
    </row>
    <row r="10" spans="1:15" ht="28.9">
      <c r="A10" s="51" t="str">
        <v>Dublin - 3100 Dublin Blvd</v>
      </c>
      <c r="B10" s="27" t="str">
        <v>CA</v>
      </c>
      <c r="C10" s="22">
        <v>84189.5</v>
      </c>
      <c r="D10" s="12">
        <v>72835</v>
      </c>
      <c r="E10" s="12">
        <f t="shared" si="0"/>
        <v>11354.5</v>
      </c>
      <c r="F10" s="43">
        <f t="shared" si="1"/>
        <v>0.15589345781561062</v>
      </c>
      <c r="G10" s="14">
        <v>73016.5</v>
      </c>
      <c r="H10" s="14">
        <f t="shared" si="4"/>
        <v>11173</v>
      </c>
      <c r="I10" s="15">
        <f t="shared" si="3"/>
        <v>0.15302020776125944</v>
      </c>
      <c r="J10" s="39" t="s">
        <v>39</v>
      </c>
      <c r="K10" s="59" t="s">
        <v>40</v>
      </c>
      <c r="L10" s="39" t="s">
        <v>41</v>
      </c>
      <c r="M10" s="62" t="s">
        <v>42</v>
      </c>
      <c r="N10" s="62"/>
    </row>
    <row r="11" spans="1:15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5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  <c r="L12" s="19"/>
    </row>
    <row r="13" spans="1:15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  <c r="L13" s="19"/>
    </row>
    <row r="14" spans="1:15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  <c r="L14" s="19"/>
    </row>
    <row r="15" spans="1:15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  <c r="L15" s="19"/>
    </row>
    <row r="16" spans="1:15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1:12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</sheetData>
  <mergeCells count="4">
    <mergeCell ref="D1:F1"/>
    <mergeCell ref="A1:C1"/>
    <mergeCell ref="G1:I1"/>
    <mergeCell ref="A2:B2"/>
  </mergeCells>
  <conditionalFormatting sqref="F2 I2 I4:I79">
    <cfRule type="cellIs" dxfId="49" priority="12" stopIfTrue="1" operator="lessThanOrEqual">
      <formula>-0.1</formula>
    </cfRule>
    <cfRule type="expression" dxfId="48" priority="13">
      <formula>AND(ISNUMBER(F2), F2&gt;=0.1)</formula>
    </cfRule>
  </conditionalFormatting>
  <conditionalFormatting sqref="F4">
    <cfRule type="cellIs" dxfId="47" priority="3" stopIfTrue="1" operator="lessThanOrEqual">
      <formula>-0.1</formula>
    </cfRule>
    <cfRule type="expression" dxfId="46" priority="4">
      <formula>AND(ISNUMBER(F4), F4&gt;=0.1)</formula>
    </cfRule>
  </conditionalFormatting>
  <conditionalFormatting sqref="F6">
    <cfRule type="cellIs" dxfId="45" priority="1" stopIfTrue="1" operator="lessThanOrEqual">
      <formula>-0.1</formula>
    </cfRule>
    <cfRule type="expression" dxfId="44" priority="2">
      <formula>AND(ISNUMBER(F6), F6&gt;=0.1)</formula>
    </cfRule>
  </conditionalFormatting>
  <conditionalFormatting sqref="F11:F79">
    <cfRule type="cellIs" dxfId="43" priority="5" stopIfTrue="1" operator="lessThanOrEqual">
      <formula>-0.1</formula>
    </cfRule>
    <cfRule type="expression" dxfId="42" priority="6">
      <formula>AND(ISNUMBER(F11), F11&gt;=0.1)</formula>
    </cfRule>
  </conditionalFormatting>
  <hyperlinks>
    <hyperlink ref="K4" r:id="rId1" display="https://us3.assetplanner.com/service_request?ID=108381" xr:uid="{8C89432D-C628-4664-88CB-75F3CC1DA485}"/>
    <hyperlink ref="M4" r:id="rId2" display="https://us3.assetplanner.com/service_request?ID=108510" xr:uid="{E841070A-D901-4C5A-8CDC-16F765BC4A5D}"/>
    <hyperlink ref="N4" r:id="rId3" display="https://us3.assetplanner.com/service_request?ID=103049" xr:uid="{C61014D3-AE95-49F2-9066-5C9387A80289}"/>
    <hyperlink ref="K7" r:id="rId4" display="https://us3.assetplanner.com/service_request?ID=113701" xr:uid="{E00134F6-EA02-42C0-9157-B08B7D159405}"/>
    <hyperlink ref="M7" r:id="rId5" display="https://us3.assetplanner.com/service_request?ID=114362" xr:uid="{177818C9-5028-4365-BC56-164B367D41E5}"/>
    <hyperlink ref="N7" r:id="rId6" display="https://us3.assetplanner.com/service_request?ID=114823" xr:uid="{1CCF3564-5555-4ABD-836A-A56F6694563B}"/>
    <hyperlink ref="O7" r:id="rId7" display="https://us3.assetplanner.com/service_request?ID=115371" xr:uid="{B2CE768E-F95D-4D3E-B93A-6ED7213E04B7}"/>
    <hyperlink ref="K8" r:id="rId8" display="https://us3.assetplanner.com/service_request?ID=102034" xr:uid="{F5D090CD-F1A8-4B80-8980-8771C2C3DBB3}"/>
    <hyperlink ref="K10" r:id="rId9" display="https://us3.assetplanner.com/service_request?ID=114072" xr:uid="{F85D12F9-118A-44E6-AE28-63374D237294}"/>
    <hyperlink ref="M10" r:id="rId10" display="https://us3.assetplanner.com/service_request?ID=114174" xr:uid="{20B9F46C-E638-4DC3-BDD7-6CA82F23D937}"/>
  </hyperlinks>
  <pageMargins left="0.4" right="0.7" top="0.25" bottom="0.25" header="0.3" footer="0.3"/>
  <pageSetup fitToHeight="99" orientation="landscape"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2"/>
  <sheetViews>
    <sheetView zoomScale="60" zoomScaleNormal="60" workbookViewId="0">
      <pane xSplit="2" ySplit="3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4" t="str" cm="1">
        <f t="array" ref="A1">portfolio</f>
        <v>KPCA Investment, LLC</v>
      </c>
      <c r="B1" s="84"/>
      <c r="C1" s="84"/>
      <c r="D1" s="85" t="s">
        <v>43</v>
      </c>
      <c r="E1" s="85"/>
      <c r="F1" s="85"/>
      <c r="G1" s="83" t="s">
        <v>44</v>
      </c>
      <c r="H1" s="83"/>
      <c r="I1" s="83"/>
      <c r="J1" s="4"/>
      <c r="K1" s="4"/>
    </row>
    <row r="2" spans="1:14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57.6" customHeight="1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66"/>
      <c r="M4" s="66"/>
    </row>
    <row r="5" spans="1:14" ht="201.6" customHeight="1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 t="shared" ref="F5:F10" si="1">IFERROR(E5/D5, "")</f>
        <v/>
      </c>
      <c r="G5" s="18"/>
      <c r="H5" s="18" t="str">
        <f t="shared" ref="H5:H10" si="2">IF(AND(ISNUMBER(C5),ISNUMBER(G5)), C5-G5, "")</f>
        <v/>
      </c>
      <c r="I5" s="17" t="str">
        <f>IFERROR(H5/G5, "")</f>
        <v/>
      </c>
      <c r="J5" s="52"/>
      <c r="K5" s="60"/>
      <c r="L5" s="66"/>
      <c r="M5" s="66"/>
      <c r="N5" s="66"/>
    </row>
    <row r="6" spans="1:14" ht="121.5" customHeight="1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6"/>
    </row>
    <row r="7" spans="1:14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si="2"/>
        <v/>
      </c>
      <c r="I7" s="17" t="str">
        <f t="shared" si="3"/>
        <v/>
      </c>
      <c r="J7" s="40"/>
      <c r="K7" s="41"/>
    </row>
    <row r="8" spans="1:14" ht="97.5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 t="str">
        <f t="shared" si="2"/>
        <v/>
      </c>
      <c r="I8" s="15" t="str">
        <f t="shared" si="3"/>
        <v/>
      </c>
      <c r="J8" s="39"/>
      <c r="K8" s="59"/>
      <c r="L8" s="66"/>
      <c r="M8" s="66"/>
    </row>
    <row r="9" spans="1:14" ht="98.25" customHeight="1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2"/>
        <v/>
      </c>
      <c r="I9" s="17" t="str">
        <f t="shared" si="3"/>
        <v/>
      </c>
      <c r="J9" s="40"/>
      <c r="K9" s="60"/>
      <c r="L9" s="66"/>
      <c r="M9" s="66"/>
    </row>
    <row r="10" spans="1:14" ht="97.5" customHeight="1">
      <c r="A10" s="26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13" t="str">
        <f t="shared" si="1"/>
        <v/>
      </c>
      <c r="G10" s="14"/>
      <c r="H10" s="14" t="str">
        <f t="shared" si="2"/>
        <v/>
      </c>
      <c r="I10" s="15" t="str">
        <f t="shared" si="3"/>
        <v/>
      </c>
      <c r="J10" s="39"/>
      <c r="K10" s="59"/>
      <c r="L10" s="66"/>
      <c r="M10" s="66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41" priority="11" stopIfTrue="1" operator="lessThanOrEqual">
      <formula>-0.1</formula>
    </cfRule>
    <cfRule type="expression" dxfId="40" priority="12">
      <formula>AND(ISNUMBER(F2), F2&gt;=0.1)</formula>
    </cfRule>
  </conditionalFormatting>
  <conditionalFormatting sqref="F4:F80 I4:I80">
    <cfRule type="cellIs" dxfId="39" priority="1" stopIfTrue="1" operator="lessThanOrEqual">
      <formula>-0.1</formula>
    </cfRule>
    <cfRule type="expression" dxfId="3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22"/>
  <sheetViews>
    <sheetView zoomScale="50" zoomScaleNormal="50" workbookViewId="0">
      <pane xSplit="2" ySplit="3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7" ht="19.5" customHeight="1">
      <c r="A1" s="84" t="str" cm="1">
        <f t="array" ref="A1">portfolio</f>
        <v>KPCA Investment, LLC</v>
      </c>
      <c r="B1" s="84"/>
      <c r="C1" s="84"/>
      <c r="D1" s="85" t="s">
        <v>45</v>
      </c>
      <c r="E1" s="85"/>
      <c r="F1" s="85"/>
      <c r="G1" s="83" t="s">
        <v>46</v>
      </c>
      <c r="H1" s="83"/>
      <c r="I1" s="83"/>
      <c r="J1" s="4"/>
      <c r="K1" s="4"/>
    </row>
    <row r="2" spans="1:17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7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7" ht="141" customHeight="1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61"/>
      <c r="L5" s="66"/>
      <c r="M5" s="66"/>
      <c r="N5" s="66"/>
    </row>
    <row r="6" spans="1:17" ht="98.25" customHeight="1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  <c r="L6" s="62"/>
      <c r="M6" s="69"/>
      <c r="N6" s="69"/>
      <c r="O6" s="69"/>
      <c r="P6" s="69"/>
      <c r="Q6" s="69"/>
    </row>
    <row r="7" spans="1:17" ht="78.75" customHeight="1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67"/>
      <c r="H7" s="18" t="str">
        <f t="shared" si="1"/>
        <v/>
      </c>
      <c r="I7" s="17" t="str">
        <f t="shared" si="2"/>
        <v/>
      </c>
      <c r="J7" s="40"/>
      <c r="K7" s="61"/>
      <c r="L7" s="62"/>
      <c r="M7" s="62"/>
      <c r="N7" s="69"/>
      <c r="O7" s="69"/>
      <c r="P7" s="69"/>
      <c r="Q7" s="69"/>
    </row>
    <row r="8" spans="1:17" ht="142.5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68"/>
      <c r="H8" s="14" t="str">
        <f t="shared" si="1"/>
        <v/>
      </c>
      <c r="I8" s="15" t="str">
        <f t="shared" si="2"/>
        <v/>
      </c>
      <c r="J8" s="39"/>
      <c r="K8" s="59"/>
      <c r="L8" s="62"/>
      <c r="M8" s="62"/>
      <c r="N8" s="62"/>
      <c r="O8" s="69"/>
      <c r="P8" s="69"/>
      <c r="Q8" s="69"/>
    </row>
    <row r="9" spans="1:17" ht="300.75" customHeight="1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2"/>
      <c r="K9" s="61"/>
      <c r="L9" s="62"/>
      <c r="M9" s="62"/>
      <c r="N9" s="62"/>
      <c r="O9" s="62"/>
      <c r="P9" s="62"/>
      <c r="Q9" s="69"/>
    </row>
    <row r="10" spans="1:17" ht="142.5" customHeight="1">
      <c r="A10" s="26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13" t="str">
        <f t="shared" si="3"/>
        <v/>
      </c>
      <c r="G10" s="68"/>
      <c r="H10" s="14" t="str">
        <f t="shared" si="1"/>
        <v/>
      </c>
      <c r="I10" s="15" t="str">
        <f t="shared" si="2"/>
        <v/>
      </c>
      <c r="J10" s="39"/>
      <c r="K10" s="59"/>
      <c r="L10" s="62"/>
      <c r="M10" s="62"/>
      <c r="N10" s="62"/>
      <c r="O10" s="69"/>
      <c r="P10" s="69"/>
      <c r="Q10" s="69"/>
    </row>
    <row r="11" spans="1:17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7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7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7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7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7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7" priority="7" stopIfTrue="1" operator="lessThanOrEqual">
      <formula>-0.1</formula>
    </cfRule>
    <cfRule type="expression" dxfId="36" priority="8">
      <formula>AND(ISNUMBER(F2), F2&gt;=0.1)</formula>
    </cfRule>
  </conditionalFormatting>
  <conditionalFormatting sqref="F4:F80 I4:I80">
    <cfRule type="cellIs" dxfId="35" priority="1" stopIfTrue="1" operator="lessThanOrEqual">
      <formula>-0.1</formula>
    </cfRule>
    <cfRule type="expression" dxfId="3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2"/>
  <sheetViews>
    <sheetView zoomScale="70" zoomScaleNormal="70" workbookViewId="0">
      <pane xSplit="2" ySplit="3" topLeftCell="E4" activePane="bottomRight" state="frozen"/>
      <selection pane="bottomRight" activeCell="I27" sqref="I27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3" max="13" width="9.85546875" bestFit="1" customWidth="1"/>
  </cols>
  <sheetData>
    <row r="1" spans="1:14" ht="19.5" customHeight="1">
      <c r="A1" s="84" t="str" cm="1">
        <f t="array" ref="A1">portfolio</f>
        <v>KPCA Investment, LLC</v>
      </c>
      <c r="B1" s="84"/>
      <c r="C1" s="84"/>
      <c r="D1" s="85" t="s">
        <v>47</v>
      </c>
      <c r="E1" s="85"/>
      <c r="F1" s="85"/>
      <c r="G1" s="83" t="s">
        <v>48</v>
      </c>
      <c r="H1" s="83"/>
      <c r="I1" s="83"/>
      <c r="J1" s="4"/>
      <c r="K1" s="4"/>
    </row>
    <row r="2" spans="1:14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5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15.6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70"/>
      <c r="K4" s="72"/>
      <c r="L4" s="69"/>
      <c r="M4" s="69"/>
      <c r="N4" s="69"/>
    </row>
    <row r="5" spans="1:14" ht="15.6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71"/>
      <c r="K5" s="52"/>
      <c r="L5" s="69"/>
      <c r="M5" s="69"/>
      <c r="N5" s="69"/>
    </row>
    <row r="6" spans="1:14" ht="30.75" customHeight="1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70"/>
      <c r="K6" s="70"/>
      <c r="L6" s="69"/>
      <c r="M6" s="69"/>
      <c r="N6" s="69"/>
    </row>
    <row r="7" spans="1:14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2"/>
      <c r="K7" s="60"/>
      <c r="L7" s="62"/>
      <c r="M7" s="62"/>
    </row>
    <row r="8" spans="1:14" ht="27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70"/>
      <c r="K8" s="70"/>
      <c r="L8" s="69"/>
      <c r="M8" s="69"/>
      <c r="N8" s="69"/>
    </row>
    <row r="9" spans="1:14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2"/>
      <c r="K9" s="60"/>
      <c r="L9" s="62"/>
      <c r="M9" s="62"/>
      <c r="N9" s="69"/>
    </row>
    <row r="10" spans="1:14" ht="48.75" customHeight="1">
      <c r="A10" s="26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13" t="str">
        <f t="shared" si="3"/>
        <v/>
      </c>
      <c r="G10" s="14"/>
      <c r="H10" s="14" t="str">
        <f t="shared" si="1"/>
        <v/>
      </c>
      <c r="I10" s="15" t="str">
        <f t="shared" si="2"/>
        <v/>
      </c>
      <c r="J10" s="70"/>
      <c r="K10" s="72"/>
      <c r="L10" s="69"/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 t="s">
        <v>49</v>
      </c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3" priority="5" stopIfTrue="1" operator="lessThanOrEqual">
      <formula>-0.1</formula>
    </cfRule>
    <cfRule type="expression" dxfId="32" priority="6">
      <formula>AND(ISNUMBER(F2), F2&gt;=0.1)</formula>
    </cfRule>
  </conditionalFormatting>
  <conditionalFormatting sqref="F4:F80 I4:I80">
    <cfRule type="cellIs" dxfId="31" priority="1" stopIfTrue="1" operator="lessThanOrEqual">
      <formula>-0.1</formula>
    </cfRule>
    <cfRule type="expression" dxfId="3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22"/>
  <sheetViews>
    <sheetView zoomScale="70" zoomScaleNormal="70" workbookViewId="0">
      <pane xSplit="2" ySplit="3" topLeftCell="J10" activePane="bottomRight" state="frozen"/>
      <selection pane="bottomRight" activeCell="I27" sqref="I27"/>
      <selection pane="bottomLeft" activeCell="I27" sqref="I27"/>
      <selection pane="topRight" activeCell="I27" sqref="I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4" t="str" cm="1">
        <f t="array" ref="A1">portfolio</f>
        <v>KPCA Investment, LLC</v>
      </c>
      <c r="B1" s="84"/>
      <c r="C1" s="84"/>
      <c r="D1" s="85" t="s">
        <v>50</v>
      </c>
      <c r="E1" s="85"/>
      <c r="F1" s="85"/>
      <c r="G1" s="83" t="s">
        <v>51</v>
      </c>
      <c r="H1" s="83"/>
      <c r="I1" s="83"/>
      <c r="J1" s="4"/>
      <c r="K1" s="4"/>
    </row>
    <row r="2" spans="1:14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72"/>
      <c r="L4" s="62"/>
      <c r="M4" s="69"/>
      <c r="N4" s="69"/>
    </row>
    <row r="5" spans="1:14" ht="15.6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52"/>
      <c r="L5" s="69"/>
      <c r="M5" s="69"/>
      <c r="N5" s="69"/>
    </row>
    <row r="6" spans="1:14" ht="47.25" customHeight="1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72"/>
      <c r="L6" s="69"/>
      <c r="M6" s="69"/>
      <c r="N6" s="69"/>
    </row>
    <row r="7" spans="1:14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73"/>
      <c r="L7" s="69"/>
      <c r="M7" s="69"/>
      <c r="N7" s="69"/>
    </row>
    <row r="8" spans="1:14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70"/>
      <c r="L8" s="69"/>
      <c r="M8" s="69"/>
      <c r="N8" s="69"/>
    </row>
    <row r="9" spans="1:14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73"/>
      <c r="L9" s="69"/>
      <c r="M9" s="69"/>
      <c r="N9" s="69"/>
    </row>
    <row r="10" spans="1:14" ht="15.6">
      <c r="A10" s="26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13" t="str">
        <f t="shared" si="3"/>
        <v/>
      </c>
      <c r="G10" s="14"/>
      <c r="H10" s="14" t="str">
        <f t="shared" si="1"/>
        <v/>
      </c>
      <c r="I10" s="15" t="str">
        <f t="shared" si="2"/>
        <v/>
      </c>
      <c r="J10" s="39"/>
      <c r="K10" s="72"/>
      <c r="L10" s="62"/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74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9" priority="5" stopIfTrue="1" operator="lessThanOrEqual">
      <formula>-0.1</formula>
    </cfRule>
    <cfRule type="expression" dxfId="28" priority="6">
      <formula>AND(ISNUMBER(F2), F2&gt;=0.1)</formula>
    </cfRule>
  </conditionalFormatting>
  <conditionalFormatting sqref="F4:F80 I4:I80">
    <cfRule type="cellIs" dxfId="27" priority="1" stopIfTrue="1" operator="lessThanOrEqual">
      <formula>-0.1</formula>
    </cfRule>
    <cfRule type="expression" dxfId="2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2"/>
  <sheetViews>
    <sheetView zoomScale="70" zoomScaleNormal="70" workbookViewId="0">
      <pane xSplit="2" ySplit="3" topLeftCell="C4" activePane="bottomRight" state="frozen"/>
      <selection pane="bottomRight" activeCell="I27" sqref="I27"/>
      <selection pane="bottomLeft" activeCell="I27" sqref="I27"/>
      <selection pane="topRight" activeCell="I27" sqref="I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84" t="str" cm="1">
        <f t="array" ref="A1">portfolio</f>
        <v>KPCA Investment, LLC</v>
      </c>
      <c r="B1" s="84"/>
      <c r="C1" s="84"/>
      <c r="D1" s="85" t="s">
        <v>52</v>
      </c>
      <c r="E1" s="85"/>
      <c r="F1" s="85"/>
      <c r="G1" s="83" t="s">
        <v>53</v>
      </c>
      <c r="H1" s="83"/>
      <c r="I1" s="83"/>
      <c r="J1" s="4"/>
      <c r="K1" s="4"/>
    </row>
    <row r="2" spans="1:12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5.6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62"/>
    </row>
    <row r="5" spans="1:12" ht="15.6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40"/>
    </row>
    <row r="6" spans="1:12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</row>
    <row r="7" spans="1:12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2" ht="35.1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59"/>
    </row>
    <row r="9" spans="1:12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2" ht="66.75" customHeight="1">
      <c r="A10" s="26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13" t="str">
        <f t="shared" si="3"/>
        <v/>
      </c>
      <c r="G10" s="14"/>
      <c r="H10" s="14" t="str">
        <f t="shared" si="1"/>
        <v/>
      </c>
      <c r="I10" s="15" t="str">
        <f t="shared" si="2"/>
        <v/>
      </c>
      <c r="J10" s="39"/>
      <c r="K10" s="59"/>
    </row>
    <row r="11" spans="1:12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2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2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2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2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2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F4:F80 I4:I80">
    <cfRule type="cellIs" dxfId="23" priority="1" stopIfTrue="1" operator="lessThanOrEqual">
      <formula>-0.1</formula>
    </cfRule>
    <cfRule type="expression" dxfId="2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N322"/>
  <sheetViews>
    <sheetView zoomScale="70" zoomScaleNormal="70" workbookViewId="0">
      <pane xSplit="2" ySplit="3" topLeftCell="C4" activePane="bottomRight" state="frozen"/>
      <selection pane="bottomRight" activeCell="I27" sqref="I27"/>
      <selection pane="bottomLeft" activeCell="I27" sqref="I27"/>
      <selection pane="topRight" activeCell="I27" sqref="I27"/>
    </sheetView>
  </sheetViews>
  <sheetFormatPr defaultRowHeight="13.9"/>
  <cols>
    <col min="1" max="1" width="43" customWidth="1"/>
    <col min="2" max="2" width="8.42578125" style="32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</cols>
  <sheetData>
    <row r="1" spans="1:14" ht="19.5" customHeight="1">
      <c r="A1" s="84" t="str" cm="1">
        <f t="array" ref="A1">portfolio</f>
        <v>KPCA Investment, LLC</v>
      </c>
      <c r="B1" s="84"/>
      <c r="C1" s="84"/>
      <c r="D1" s="85" t="s">
        <v>54</v>
      </c>
      <c r="E1" s="85"/>
      <c r="F1" s="85"/>
      <c r="G1" s="83" t="s">
        <v>55</v>
      </c>
      <c r="H1" s="83"/>
      <c r="I1" s="83"/>
      <c r="J1" s="4"/>
      <c r="K1" s="4"/>
    </row>
    <row r="2" spans="1:14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 t="shared" ref="E4:E7" si="0"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62"/>
      <c r="M4" s="69"/>
      <c r="N4" s="69"/>
    </row>
    <row r="5" spans="1:14" ht="15.6">
      <c r="A5" s="28" t="str">
        <v>Murrieta - 28150 Keller Rd</v>
      </c>
      <c r="B5" s="29" t="str">
        <v>CA</v>
      </c>
      <c r="C5" s="11"/>
      <c r="D5" s="16"/>
      <c r="E5" s="16" t="str">
        <f t="shared" si="0"/>
        <v/>
      </c>
      <c r="F5" s="17" t="str">
        <f>IFERROR(E5/D5, "")</f>
        <v/>
      </c>
      <c r="G5" s="18"/>
      <c r="H5" s="18" t="str">
        <f t="shared" ref="H5:H6" si="1">IF(AND(ISNUMBER(C5),ISNUMBER(G5)), C5-G5, "")</f>
        <v/>
      </c>
      <c r="I5" s="17" t="str">
        <f t="shared" ref="I5:I6" si="2">IFERROR(H5/G5, "")</f>
        <v/>
      </c>
      <c r="J5" s="40"/>
      <c r="K5" s="40"/>
      <c r="L5" s="69"/>
      <c r="M5" s="69"/>
      <c r="N5" s="69"/>
    </row>
    <row r="6" spans="1:14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  <c r="L6" s="69"/>
      <c r="M6" s="69"/>
      <c r="N6" s="69"/>
    </row>
    <row r="7" spans="1:14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ref="H7:H10" si="4">IF(AND(ISNUMBER(C7),ISNUMBER(G7)), C7-G7, "")</f>
        <v/>
      </c>
      <c r="I7" s="17" t="str">
        <f t="shared" ref="I7:I10" si="5">IFERROR(H7/G7, "")</f>
        <v/>
      </c>
      <c r="J7" s="40"/>
      <c r="K7" s="75"/>
      <c r="L7" s="62"/>
      <c r="M7" s="69"/>
      <c r="N7" s="69"/>
    </row>
    <row r="8" spans="1:14" ht="15.6">
      <c r="A8" s="26" t="str">
        <v>Irwindale - 12761 Schabarum Ave</v>
      </c>
      <c r="B8" s="27" t="str">
        <v>CA</v>
      </c>
      <c r="C8" s="22"/>
      <c r="D8" s="12"/>
      <c r="E8" s="12" t="str">
        <f t="shared" ref="E8:E10" si="6">IF(AND(ISNUMBER(C8),ISNUMBER(D8)), C8-D8, "")</f>
        <v/>
      </c>
      <c r="F8" s="13" t="str">
        <f t="shared" si="3"/>
        <v/>
      </c>
      <c r="G8" s="14"/>
      <c r="H8" s="14" t="str">
        <f t="shared" si="4"/>
        <v/>
      </c>
      <c r="I8" s="15" t="str">
        <f t="shared" si="5"/>
        <v/>
      </c>
      <c r="J8" s="39"/>
      <c r="K8" s="59"/>
      <c r="L8" s="69"/>
      <c r="M8" s="69"/>
      <c r="N8" s="69"/>
    </row>
    <row r="9" spans="1:14" ht="15.6">
      <c r="A9" s="28" t="str">
        <v>Santa Rosa - 2240 Mercury Way</v>
      </c>
      <c r="B9" s="29" t="str">
        <v>CA</v>
      </c>
      <c r="C9" s="11"/>
      <c r="D9" s="16"/>
      <c r="E9" s="16" t="str">
        <f t="shared" si="6"/>
        <v/>
      </c>
      <c r="F9" s="17" t="str">
        <f t="shared" si="3"/>
        <v/>
      </c>
      <c r="G9" s="18"/>
      <c r="H9" s="18" t="str">
        <f t="shared" si="4"/>
        <v/>
      </c>
      <c r="I9" s="17" t="str">
        <f t="shared" si="5"/>
        <v/>
      </c>
      <c r="J9" s="40"/>
      <c r="K9" s="41"/>
      <c r="L9" s="69"/>
      <c r="M9" s="69"/>
      <c r="N9" s="69"/>
    </row>
    <row r="10" spans="1:14" ht="60.75" customHeight="1">
      <c r="A10" s="26" t="str">
        <v>Dublin - 3100 Dublin Blvd</v>
      </c>
      <c r="B10" s="27" t="str">
        <v>CA</v>
      </c>
      <c r="C10" s="22"/>
      <c r="D10" s="12"/>
      <c r="E10" s="12" t="str">
        <f t="shared" si="6"/>
        <v/>
      </c>
      <c r="F10" s="13" t="str">
        <f t="shared" si="3"/>
        <v/>
      </c>
      <c r="G10" s="14"/>
      <c r="H10" s="14" t="str">
        <f t="shared" si="4"/>
        <v/>
      </c>
      <c r="I10" s="15" t="str">
        <f t="shared" si="5"/>
        <v/>
      </c>
      <c r="J10" s="39"/>
      <c r="K10" s="59"/>
      <c r="L10" s="69"/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21" priority="5" stopIfTrue="1" operator="lessThanOrEqual">
      <formula>-0.1</formula>
    </cfRule>
    <cfRule type="expression" dxfId="20" priority="6">
      <formula>AND(ISNUMBER(F2), F2&gt;=0.1)</formula>
    </cfRule>
  </conditionalFormatting>
  <conditionalFormatting sqref="F4:F80 I4:I80">
    <cfRule type="cellIs" dxfId="19" priority="1" stopIfTrue="1" operator="lessThanOrEqual">
      <formula>-0.1</formula>
    </cfRule>
    <cfRule type="expression" dxfId="1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N322"/>
  <sheetViews>
    <sheetView zoomScale="70" zoomScaleNormal="70" workbookViewId="0">
      <pane xSplit="2" ySplit="3" topLeftCell="E4" activePane="bottomRight" state="frozen"/>
      <selection pane="bottomRight" activeCell="I27" sqref="I27"/>
      <selection pane="bottomLeft" activeCell="I27" sqref="I27"/>
      <selection pane="topRight" activeCell="I27" sqref="I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4" t="str" cm="1">
        <f t="array" ref="A1">portfolio</f>
        <v>KPCA Investment, LLC</v>
      </c>
      <c r="B1" s="84"/>
      <c r="C1" s="84"/>
      <c r="D1" s="85" t="s">
        <v>56</v>
      </c>
      <c r="E1" s="85"/>
      <c r="F1" s="85"/>
      <c r="G1" s="83" t="s">
        <v>57</v>
      </c>
      <c r="H1" s="83"/>
      <c r="I1" s="83"/>
      <c r="J1" s="4"/>
      <c r="K1" s="4"/>
    </row>
    <row r="2" spans="1:14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62"/>
      <c r="M4" s="69"/>
      <c r="N4" s="69"/>
    </row>
    <row r="5" spans="1:14" ht="15.6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40"/>
      <c r="L5" s="76"/>
      <c r="M5" s="69"/>
      <c r="N5" s="69"/>
    </row>
    <row r="6" spans="1:14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  <c r="L6" s="69"/>
      <c r="M6" s="69"/>
      <c r="N6" s="69"/>
    </row>
    <row r="7" spans="1:14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75"/>
      <c r="L7" s="62"/>
      <c r="M7" s="69"/>
      <c r="N7" s="69"/>
    </row>
    <row r="8" spans="1:14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59"/>
      <c r="L8" s="62"/>
      <c r="M8" s="69"/>
      <c r="N8" s="69"/>
    </row>
    <row r="9" spans="1:14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  <c r="L9" s="69"/>
      <c r="M9" s="69"/>
      <c r="N9" s="69"/>
    </row>
    <row r="10" spans="1:14" ht="15.6">
      <c r="A10" s="26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13" t="str">
        <f t="shared" si="3"/>
        <v/>
      </c>
      <c r="G10" s="14"/>
      <c r="H10" s="14" t="str">
        <f t="shared" si="1"/>
        <v/>
      </c>
      <c r="I10" s="15" t="str">
        <f t="shared" si="2"/>
        <v/>
      </c>
      <c r="J10" s="39"/>
      <c r="K10" s="39"/>
      <c r="L10" s="69"/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7" priority="5" stopIfTrue="1" operator="lessThanOrEqual">
      <formula>-0.1</formula>
    </cfRule>
    <cfRule type="expression" dxfId="16" priority="6">
      <formula>AND(ISNUMBER(F2), F2&gt;=0.1)</formula>
    </cfRule>
  </conditionalFormatting>
  <conditionalFormatting sqref="L5">
    <cfRule type="cellIs" dxfId="15" priority="1" stopIfTrue="1" operator="lessThanOrEqual">
      <formula>-0.1</formula>
    </cfRule>
    <cfRule type="expression" dxfId="14" priority="2">
      <formula>AND(ISNUMBER(L5), L5&gt;=0.1)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R322"/>
  <sheetViews>
    <sheetView zoomScale="70" zoomScaleNormal="70" workbookViewId="0">
      <pane xSplit="2" ySplit="3" topLeftCell="C5" activePane="bottomRight" state="frozen"/>
      <selection pane="bottomRight" activeCell="I27" sqref="I27"/>
      <selection pane="bottomLeft" activeCell="I27" sqref="I27"/>
      <selection pane="topRight" activeCell="I27" sqref="I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8" width="8.85546875" style="69"/>
  </cols>
  <sheetData>
    <row r="1" spans="1:15" ht="19.5" customHeight="1">
      <c r="A1" s="84" t="str" cm="1">
        <f t="array" ref="A1">portfolio</f>
        <v>KPCA Investment, LLC</v>
      </c>
      <c r="B1" s="84"/>
      <c r="C1" s="84"/>
      <c r="D1" s="85" t="s">
        <v>58</v>
      </c>
      <c r="E1" s="85"/>
      <c r="F1" s="85"/>
      <c r="G1" s="83" t="s">
        <v>59</v>
      </c>
      <c r="H1" s="83"/>
      <c r="I1" s="83"/>
      <c r="J1" s="4"/>
      <c r="K1" s="4"/>
    </row>
    <row r="2" spans="1:15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5" ht="15.6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70"/>
      <c r="K4" s="72"/>
      <c r="L4" s="62"/>
      <c r="M4" s="62"/>
      <c r="N4" s="62"/>
      <c r="O4" s="62"/>
    </row>
    <row r="5" spans="1:15" ht="15.6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77"/>
      <c r="K5" s="77"/>
    </row>
    <row r="6" spans="1:15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70"/>
      <c r="K6" s="70"/>
    </row>
    <row r="7" spans="1:15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77"/>
      <c r="K7" s="78"/>
      <c r="L7" s="62"/>
    </row>
    <row r="8" spans="1:15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70"/>
      <c r="K8" s="72"/>
      <c r="L8" s="62"/>
      <c r="M8" s="62"/>
    </row>
    <row r="9" spans="1:15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77"/>
      <c r="K9" s="73"/>
    </row>
    <row r="10" spans="1:15" ht="15.6">
      <c r="A10" s="26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13" t="str">
        <f t="shared" si="3"/>
        <v/>
      </c>
      <c r="G10" s="14"/>
      <c r="H10" s="14" t="str">
        <f>IF(AND(ISNUMBER(C10),ISNUMBER(G10)), C10-G10, "")</f>
        <v/>
      </c>
      <c r="I10" s="15" t="str">
        <f>IFERROR(H10/G10, "")</f>
        <v/>
      </c>
      <c r="J10" s="70"/>
      <c r="K10" s="70"/>
    </row>
    <row r="11" spans="1:15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5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5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5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5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5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O322"/>
  <sheetViews>
    <sheetView zoomScale="70" zoomScaleNormal="70" workbookViewId="0">
      <pane xSplit="2" ySplit="3" topLeftCell="C4" activePane="bottomRight" state="frozen"/>
      <selection pane="bottomRight" activeCell="I27" sqref="I27"/>
      <selection pane="bottomLeft" activeCell="I27" sqref="I27"/>
      <selection pane="topRight" activeCell="I27" sqref="I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0.5703125" style="69" customWidth="1"/>
  </cols>
  <sheetData>
    <row r="1" spans="1:15" ht="19.5" customHeight="1">
      <c r="A1" s="84" t="str" cm="1">
        <f t="array" ref="A1">portfolio</f>
        <v>KPCA Investment, LLC</v>
      </c>
      <c r="B1" s="84"/>
      <c r="C1" s="84"/>
      <c r="D1" s="85" t="s">
        <v>60</v>
      </c>
      <c r="E1" s="85"/>
      <c r="F1" s="85"/>
      <c r="G1" s="83" t="s">
        <v>61</v>
      </c>
      <c r="H1" s="83"/>
      <c r="I1" s="83"/>
      <c r="J1" s="4"/>
      <c r="K1" s="4"/>
    </row>
    <row r="2" spans="1:15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79" t="s">
        <v>22</v>
      </c>
    </row>
    <row r="4" spans="1:15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80"/>
      <c r="M4" s="66"/>
      <c r="N4" s="66"/>
      <c r="O4" s="66"/>
    </row>
    <row r="5" spans="1:15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>IF(AND(ISNUMBER(C5),ISNUMBER(G5)), C5-G5, "")</f>
        <v/>
      </c>
      <c r="I5" s="17" t="str">
        <f>IFERROR(H5/G5, "")</f>
        <v/>
      </c>
      <c r="J5" s="40"/>
      <c r="K5" s="61"/>
    </row>
    <row r="6" spans="1:15" ht="15.6">
      <c r="A6" s="30" t="str">
        <v>La Habra - 601 E Imperial Way</v>
      </c>
      <c r="B6" s="27" t="str">
        <v>CA</v>
      </c>
      <c r="C6" s="22"/>
      <c r="D6" s="12"/>
      <c r="E6" s="12" t="str">
        <f>IF(AND(ISNUMBER(C6),ISNUMBER(D6)), C6-D6, "")</f>
        <v/>
      </c>
      <c r="F6" s="13" t="str">
        <f t="shared" ref="F6:F9" si="1">IFERROR(E6/D6, "")</f>
        <v/>
      </c>
      <c r="G6" s="14"/>
      <c r="H6" s="14" t="str">
        <f t="shared" ref="H6:H10" si="2">IF(AND(ISNUMBER(C6),ISNUMBER(G6)), C6-G6, "")</f>
        <v/>
      </c>
      <c r="I6" s="15" t="str">
        <f t="shared" ref="I6" si="3">IFERROR(H6/G6, "")</f>
        <v/>
      </c>
      <c r="J6" s="39"/>
      <c r="K6" s="39"/>
    </row>
    <row r="7" spans="1:15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si="2"/>
        <v/>
      </c>
      <c r="I7" s="17" t="str">
        <f>IFERROR(H7/G7, "")</f>
        <v/>
      </c>
      <c r="J7" s="52"/>
      <c r="K7" s="75"/>
      <c r="L7" s="80"/>
      <c r="M7" s="66"/>
    </row>
    <row r="8" spans="1:15" ht="15.6">
      <c r="A8" s="26" t="str">
        <v>Irwindale - 12761 Schabarum Ave</v>
      </c>
      <c r="B8" s="27" t="str">
        <v>CA</v>
      </c>
      <c r="C8" s="22"/>
      <c r="D8" s="12"/>
      <c r="E8" s="12" t="str">
        <f>IF(AND(ISNUMBER(C8),ISNUMBER(D8)), C8-D8, "")</f>
        <v/>
      </c>
      <c r="F8" s="13" t="str">
        <f t="shared" si="1"/>
        <v/>
      </c>
      <c r="G8" s="14"/>
      <c r="H8" s="14" t="str">
        <f t="shared" si="2"/>
        <v/>
      </c>
      <c r="I8" s="15" t="str">
        <f t="shared" ref="I8:I10" si="4">IFERROR(H8/G8, "")</f>
        <v/>
      </c>
      <c r="J8" s="39"/>
      <c r="K8" s="59"/>
      <c r="L8" s="80"/>
      <c r="M8" s="66"/>
    </row>
    <row r="9" spans="1:15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2"/>
        <v/>
      </c>
      <c r="I9" s="17" t="str">
        <f>IFERROR(H9/G9, "")</f>
        <v/>
      </c>
      <c r="J9" s="40"/>
      <c r="K9" s="41"/>
    </row>
    <row r="10" spans="1:15" ht="15.6">
      <c r="A10" s="26" t="str">
        <v>Dublin - 3100 Dublin Blvd</v>
      </c>
      <c r="B10" s="27" t="str">
        <v>CA</v>
      </c>
      <c r="C10" s="22"/>
      <c r="D10" s="12"/>
      <c r="E10" s="12" t="str">
        <f>IF(AND(ISNUMBER(C10),ISNUMBER(D10)), C10-D10, "")</f>
        <v/>
      </c>
      <c r="F10" s="13" t="str">
        <f t="shared" ref="F10" si="5">IFERROR(E10/D10, "")</f>
        <v/>
      </c>
      <c r="G10" s="14"/>
      <c r="H10" s="14" t="str">
        <f t="shared" si="2"/>
        <v/>
      </c>
      <c r="I10" s="15" t="str">
        <f t="shared" si="4"/>
        <v/>
      </c>
      <c r="J10" s="39"/>
      <c r="K10" s="39"/>
    </row>
    <row r="11" spans="1:15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5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5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5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5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5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11" priority="5" stopIfTrue="1" operator="lessThanOrEqual">
      <formula>-0.1</formula>
    </cfRule>
    <cfRule type="expression" dxfId="10" priority="6">
      <formula>AND(ISNUMBER(F2), F2&gt;=0.1)</formula>
    </cfRule>
  </conditionalFormatting>
  <conditionalFormatting sqref="F4:F80 I4:I8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O322"/>
  <sheetViews>
    <sheetView zoomScale="70" zoomScaleNormal="70" workbookViewId="0">
      <pane xSplit="2" ySplit="4" topLeftCell="C5" activePane="bottomRight" state="frozen"/>
      <selection pane="bottomRight" activeCell="I27" sqref="I27"/>
      <selection pane="bottomLeft" activeCell="I27" sqref="I27"/>
      <selection pane="topRight" activeCell="I27" sqref="I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5.42578125" customWidth="1"/>
    <col min="12" max="12" width="12.28515625" customWidth="1"/>
    <col min="13" max="15" width="9.140625" style="82"/>
  </cols>
  <sheetData>
    <row r="1" spans="1:15" ht="19.5" customHeight="1">
      <c r="A1" s="84" t="str" cm="1">
        <f t="array" ref="A1">portfolio</f>
        <v>KPCA Investment, LLC</v>
      </c>
      <c r="B1" s="84"/>
      <c r="C1" s="84"/>
      <c r="D1" s="85" t="s">
        <v>62</v>
      </c>
      <c r="E1" s="85"/>
      <c r="F1" s="85"/>
      <c r="G1" s="83" t="s">
        <v>63</v>
      </c>
      <c r="H1" s="83"/>
      <c r="I1" s="83"/>
      <c r="J1" s="4"/>
      <c r="K1" s="4"/>
    </row>
    <row r="2" spans="1:15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22</v>
      </c>
    </row>
    <row r="4" spans="1:15" ht="15.6">
      <c r="A4" s="26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71"/>
      <c r="M4" s="63"/>
      <c r="N4" s="63"/>
    </row>
    <row r="5" spans="1:15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56"/>
      <c r="K5" s="52"/>
    </row>
    <row r="6" spans="1:15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5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6"/>
      <c r="K7" s="75"/>
      <c r="L7" s="81"/>
      <c r="M7" s="63"/>
      <c r="N7" s="63"/>
      <c r="O7" s="63"/>
    </row>
    <row r="8" spans="1:15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59"/>
    </row>
    <row r="9" spans="1:15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5" ht="15.6">
      <c r="A10" s="26" t="str">
        <v>Dublin - 3100 Dublin Blvd</v>
      </c>
      <c r="B10" s="27" t="str">
        <v>CA</v>
      </c>
      <c r="C10" s="22"/>
      <c r="D10" s="12"/>
      <c r="E10" s="12" t="str">
        <f t="shared" ref="E10" si="4">IF(AND(ISNUMBER(C10),ISNUMBER(D10)), C10-D10, "")</f>
        <v/>
      </c>
      <c r="F10" s="13" t="str">
        <f t="shared" ref="F10" si="5">IFERROR(E10/D10, "")</f>
        <v/>
      </c>
      <c r="G10" s="14"/>
      <c r="H10" s="14" t="str">
        <f t="shared" ref="H10" si="6">IF(AND(ISNUMBER(C10),ISNUMBER(G10)), C10-G10, "")</f>
        <v/>
      </c>
      <c r="I10" s="15" t="str">
        <f t="shared" ref="I10" si="7">IFERROR(H10/G10, "")</f>
        <v/>
      </c>
      <c r="J10" s="39"/>
      <c r="K10" s="39"/>
    </row>
    <row r="11" spans="1:15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5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5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5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5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5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22"/>
  <sheetViews>
    <sheetView zoomScale="70" zoomScaleNormal="70" workbookViewId="0">
      <pane xSplit="2" ySplit="3" topLeftCell="C4" activePane="bottomRight" state="frozen"/>
      <selection pane="bottomRight" activeCell="I27" sqref="I27"/>
      <selection pane="bottomLeft" activeCell="I27" sqref="I27"/>
      <selection pane="topRight" activeCell="I27" sqref="I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3" customWidth="1"/>
  </cols>
  <sheetData>
    <row r="1" spans="1:13" ht="19.5" customHeight="1">
      <c r="A1" s="84" t="str" cm="1">
        <f t="array" ref="A1">portfolio</f>
        <v>KPCA Investment, LLC</v>
      </c>
      <c r="B1" s="84"/>
      <c r="C1" s="84"/>
      <c r="D1" s="85" t="s">
        <v>64</v>
      </c>
      <c r="E1" s="85"/>
      <c r="F1" s="85"/>
      <c r="G1" s="83" t="s">
        <v>65</v>
      </c>
      <c r="H1" s="83"/>
      <c r="I1" s="83"/>
      <c r="J1" s="4"/>
      <c r="K1" s="4"/>
      <c r="L1" s="4"/>
    </row>
    <row r="2" spans="1:13" ht="19.5" customHeight="1">
      <c r="A2" s="86" t="s">
        <v>2</v>
      </c>
      <c r="B2" s="8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2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22</v>
      </c>
    </row>
    <row r="4" spans="1:13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39"/>
      <c r="M4" s="66"/>
    </row>
    <row r="5" spans="1:13" ht="15.6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56"/>
      <c r="L5" s="40"/>
    </row>
    <row r="6" spans="1:13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  <c r="L6" s="39"/>
    </row>
    <row r="7" spans="1:13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  <c r="L7" s="40"/>
    </row>
    <row r="8" spans="1:13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59"/>
      <c r="L8" s="39"/>
    </row>
    <row r="9" spans="1:13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56"/>
      <c r="L9" s="40"/>
    </row>
    <row r="10" spans="1:13" ht="15.6">
      <c r="A10" s="26" t="str">
        <v>Dublin - 3100 Dublin Blvd</v>
      </c>
      <c r="B10" s="27" t="str">
        <v>CA</v>
      </c>
      <c r="C10" s="22"/>
      <c r="D10" s="12"/>
      <c r="E10" s="12" t="str">
        <f t="shared" si="0"/>
        <v/>
      </c>
      <c r="F10" s="13" t="str">
        <f t="shared" si="3"/>
        <v/>
      </c>
      <c r="G10" s="14"/>
      <c r="H10" s="14" t="str">
        <f t="shared" si="1"/>
        <v/>
      </c>
      <c r="I10" s="15" t="str">
        <f t="shared" si="2"/>
        <v/>
      </c>
      <c r="J10" s="39"/>
      <c r="K10" s="39"/>
      <c r="L10" s="39"/>
    </row>
    <row r="11" spans="1:13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3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3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  <c r="L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  <c r="L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  <c r="L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1:12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  <row r="322" spans="1:12" ht="14.45">
      <c r="C322" s="19"/>
      <c r="D322" s="19"/>
      <c r="E322" s="19"/>
      <c r="F322" s="20"/>
      <c r="G322" s="19"/>
      <c r="H322" s="19"/>
      <c r="I322" s="20"/>
      <c r="J322" s="19"/>
      <c r="K322" s="19"/>
      <c r="L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21" sqref="B2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66</v>
      </c>
      <c r="B1" t="s">
        <v>67</v>
      </c>
    </row>
    <row r="3" spans="1:12" ht="13.15">
      <c r="A3" t="s">
        <v>68</v>
      </c>
      <c r="B3" t="s">
        <v>3</v>
      </c>
      <c r="C3" t="s">
        <v>4</v>
      </c>
      <c r="D3" t="s">
        <v>69</v>
      </c>
      <c r="E3" s="2" t="s">
        <v>70</v>
      </c>
    </row>
    <row r="4" spans="1:12" ht="14.45">
      <c r="A4" s="48" t="s">
        <v>71</v>
      </c>
      <c r="B4" t="s">
        <v>72</v>
      </c>
      <c r="C4" s="45" t="s">
        <v>73</v>
      </c>
      <c r="D4" s="44" t="s">
        <v>74</v>
      </c>
      <c r="E4" t="s">
        <v>75</v>
      </c>
      <c r="G4" s="3"/>
    </row>
    <row r="5" spans="1:12" ht="14.45">
      <c r="A5" s="48" t="s">
        <v>76</v>
      </c>
      <c r="B5" t="s">
        <v>77</v>
      </c>
      <c r="C5" s="45" t="s">
        <v>73</v>
      </c>
      <c r="D5" s="44" t="s">
        <v>74</v>
      </c>
      <c r="E5" t="s">
        <v>75</v>
      </c>
      <c r="G5" s="3"/>
    </row>
    <row r="6" spans="1:12" ht="14.45">
      <c r="A6" s="48" t="s">
        <v>78</v>
      </c>
      <c r="B6" t="s">
        <v>79</v>
      </c>
      <c r="C6" s="45" t="s">
        <v>73</v>
      </c>
      <c r="D6" s="44" t="s">
        <v>74</v>
      </c>
      <c r="E6" t="s">
        <v>75</v>
      </c>
      <c r="G6" s="3"/>
    </row>
    <row r="7" spans="1:12" ht="12.75" customHeight="1">
      <c r="A7" s="48" t="s">
        <v>80</v>
      </c>
      <c r="B7" t="s">
        <v>81</v>
      </c>
      <c r="C7" s="45" t="s">
        <v>73</v>
      </c>
      <c r="D7" s="44"/>
      <c r="E7" t="s">
        <v>75</v>
      </c>
    </row>
    <row r="8" spans="1:12" ht="12.75" customHeight="1">
      <c r="A8" s="48" t="s">
        <v>82</v>
      </c>
      <c r="B8" t="s">
        <v>83</v>
      </c>
      <c r="C8" s="45" t="s">
        <v>73</v>
      </c>
      <c r="D8" s="44" t="s">
        <v>74</v>
      </c>
      <c r="E8" t="s">
        <v>75</v>
      </c>
    </row>
    <row r="9" spans="1:12" ht="12.75" customHeight="1">
      <c r="A9" s="54" t="s">
        <v>84</v>
      </c>
      <c r="B9" s="55" t="s">
        <v>85</v>
      </c>
      <c r="C9" s="45" t="s">
        <v>73</v>
      </c>
      <c r="D9" s="44" t="s">
        <v>74</v>
      </c>
      <c r="E9" t="s">
        <v>75</v>
      </c>
      <c r="K9" s="42"/>
      <c r="L9" s="42"/>
    </row>
    <row r="10" spans="1:12" ht="12.75" customHeight="1">
      <c r="A10" s="54" t="s">
        <v>86</v>
      </c>
      <c r="B10" s="55" t="s">
        <v>87</v>
      </c>
      <c r="C10" s="45" t="s">
        <v>73</v>
      </c>
      <c r="D10" s="44"/>
      <c r="E10" t="s">
        <v>75</v>
      </c>
      <c r="K10" s="42"/>
      <c r="L10" s="42"/>
    </row>
    <row r="11" spans="1:12" ht="12.75" customHeight="1">
      <c r="K11" s="42"/>
      <c r="L11" s="42"/>
    </row>
    <row r="12" spans="1:12" ht="12.75" customHeight="1">
      <c r="K12" s="42"/>
      <c r="L12" s="42"/>
    </row>
    <row r="13" spans="1:12" ht="12.75" customHeight="1">
      <c r="K13" s="42"/>
      <c r="L13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D533CEF3-DD3E-4853-A619-D0A9A28292A6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2026-02-21T11:40:32Z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2025-02-19T15:07:26Z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4f0b5842-f6c9-4578-8573-2512e3aad7f8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