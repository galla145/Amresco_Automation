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6"/>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EAA6B232-B656-4EF0-BB59-5D6BA7E04204}" xr6:coauthVersionLast="47" xr6:coauthVersionMax="47" xr10:uidLastSave="{00000000-0000-0000-0000-000000000000}"/>
  <bookViews>
    <workbookView xWindow="-108" yWindow="-108" windowWidth="23256" windowHeight="13896" tabRatio="866" firstSheet="8" activeTab="8"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21" l="1"/>
  <c r="F13" i="21" s="1"/>
  <c r="H4" i="4"/>
  <c r="I4" i="4" s="1"/>
  <c r="E7" i="4"/>
  <c r="F13" i="4"/>
  <c r="E13" i="4"/>
  <c r="I10" i="4"/>
  <c r="I11" i="4"/>
  <c r="I12" i="4"/>
  <c r="I13" i="4"/>
  <c r="H10" i="4"/>
  <c r="H10" i="1" s="1"/>
  <c r="H11" i="4"/>
  <c r="H11" i="1" s="1"/>
  <c r="H12" i="4"/>
  <c r="H13" i="4"/>
  <c r="F9" i="4"/>
  <c r="F10" i="4"/>
  <c r="F11" i="4"/>
  <c r="F12" i="4"/>
  <c r="E9" i="4"/>
  <c r="E10" i="4"/>
  <c r="E11" i="4"/>
  <c r="E12" i="4"/>
  <c r="I6" i="3"/>
  <c r="I7" i="3"/>
  <c r="I8" i="3"/>
  <c r="I9" i="3"/>
  <c r="I10" i="3"/>
  <c r="I11" i="3"/>
  <c r="I12" i="3"/>
  <c r="I13" i="3"/>
  <c r="E5" i="3"/>
  <c r="E8" i="3"/>
  <c r="F10" i="3"/>
  <c r="F11" i="3"/>
  <c r="F12" i="3"/>
  <c r="F13" i="3"/>
  <c r="H9" i="3"/>
  <c r="H10" i="3"/>
  <c r="H11" i="3"/>
  <c r="H12" i="3"/>
  <c r="H13" i="3"/>
  <c r="E9" i="3"/>
  <c r="F9" i="3" s="1"/>
  <c r="E10" i="3"/>
  <c r="E11" i="3"/>
  <c r="E12" i="3"/>
  <c r="E13" i="3"/>
  <c r="H9" i="72"/>
  <c r="I9" i="72" s="1"/>
  <c r="H10" i="72"/>
  <c r="I10" i="72" s="1"/>
  <c r="H11" i="72"/>
  <c r="I11" i="72" s="1"/>
  <c r="H12" i="72"/>
  <c r="I12" i="72" s="1"/>
  <c r="H13" i="72"/>
  <c r="I13" i="72" s="1"/>
  <c r="E9" i="72"/>
  <c r="F9" i="72" s="1"/>
  <c r="E10" i="72"/>
  <c r="F10" i="72" s="1"/>
  <c r="E11" i="72"/>
  <c r="F11" i="72" s="1"/>
  <c r="E12" i="72"/>
  <c r="F12" i="72" s="1"/>
  <c r="E13" i="72"/>
  <c r="F13" i="72" s="1"/>
  <c r="G6" i="29"/>
  <c r="G7" i="29"/>
  <c r="G8" i="29"/>
  <c r="G9" i="29"/>
  <c r="G10" i="29"/>
  <c r="G11" i="29"/>
  <c r="G12" i="29"/>
  <c r="G13" i="29"/>
  <c r="H17" i="31"/>
  <c r="I17" i="31" s="1"/>
  <c r="G2" i="31"/>
  <c r="G6" i="30"/>
  <c r="G7" i="30"/>
  <c r="G8" i="30"/>
  <c r="G9" i="30"/>
  <c r="G10" i="30"/>
  <c r="G11" i="30"/>
  <c r="G12" i="30"/>
  <c r="G13" i="30"/>
  <c r="G5" i="30"/>
  <c r="G4" i="30"/>
  <c r="A4" i="28" a="1"/>
  <c r="A4" i="28"/>
  <c r="G5" i="29"/>
  <c r="G4" i="29"/>
  <c r="E12" i="27"/>
  <c r="F12" i="27" s="1"/>
  <c r="E5" i="27"/>
  <c r="F5" i="27" s="1"/>
  <c r="H11" i="19"/>
  <c r="E11" i="19"/>
  <c r="H10" i="19"/>
  <c r="E10" i="19"/>
  <c r="H9" i="19"/>
  <c r="E9" i="19"/>
  <c r="F9" i="19" s="1"/>
  <c r="H8" i="19"/>
  <c r="I8" i="19" s="1"/>
  <c r="E8" i="19"/>
  <c r="H7" i="19"/>
  <c r="E7" i="19"/>
  <c r="F7" i="19" s="1"/>
  <c r="H6" i="19"/>
  <c r="I6" i="19" s="1"/>
  <c r="E6" i="19"/>
  <c r="F6" i="19" s="1"/>
  <c r="E5" i="19"/>
  <c r="H17" i="19"/>
  <c r="E17" i="19"/>
  <c r="H16" i="19"/>
  <c r="E16" i="19"/>
  <c r="H15" i="19"/>
  <c r="E15" i="19"/>
  <c r="H14" i="19"/>
  <c r="E14" i="19"/>
  <c r="H13" i="19"/>
  <c r="E13" i="19"/>
  <c r="F13" i="19" s="1"/>
  <c r="H12" i="19"/>
  <c r="E12" i="19"/>
  <c r="H9" i="21"/>
  <c r="I9" i="21" s="1"/>
  <c r="H10" i="21"/>
  <c r="I10" i="21" s="1"/>
  <c r="H11" i="21"/>
  <c r="I11" i="21" s="1"/>
  <c r="H12" i="21"/>
  <c r="I12" i="21" s="1"/>
  <c r="F9" i="21"/>
  <c r="E9" i="21"/>
  <c r="E10" i="21"/>
  <c r="F10" i="21" s="1"/>
  <c r="E11" i="21"/>
  <c r="F11" i="21" s="1"/>
  <c r="E12" i="21"/>
  <c r="F12" i="21" s="1"/>
  <c r="A4" i="19" a="1"/>
  <c r="A4" i="19" s="1"/>
  <c r="E6" i="72"/>
  <c r="F6" i="72" s="1"/>
  <c r="H6" i="72"/>
  <c r="E7" i="72"/>
  <c r="F7" i="72"/>
  <c r="H7" i="72"/>
  <c r="I7" i="72" s="1"/>
  <c r="E8" i="72"/>
  <c r="F8" i="72" s="1"/>
  <c r="H8" i="72"/>
  <c r="C6" i="30"/>
  <c r="D6" i="30"/>
  <c r="C7" i="30"/>
  <c r="D7" i="30"/>
  <c r="C8" i="30"/>
  <c r="D8" i="30"/>
  <c r="C9" i="30"/>
  <c r="D9" i="30"/>
  <c r="C10" i="30"/>
  <c r="D10" i="30"/>
  <c r="C11" i="30"/>
  <c r="D11" i="30"/>
  <c r="C12" i="30"/>
  <c r="D12" i="30"/>
  <c r="C13" i="30"/>
  <c r="D13" i="30"/>
  <c r="C6" i="29"/>
  <c r="D6" i="29"/>
  <c r="C7" i="29"/>
  <c r="D7" i="29"/>
  <c r="C8" i="29"/>
  <c r="D8" i="29"/>
  <c r="C9" i="29"/>
  <c r="D9" i="29"/>
  <c r="C10" i="29"/>
  <c r="D10" i="29"/>
  <c r="C11" i="29"/>
  <c r="D11" i="29"/>
  <c r="C12" i="29"/>
  <c r="D12" i="29"/>
  <c r="C13" i="29"/>
  <c r="D13" i="29"/>
  <c r="C6" i="18"/>
  <c r="D6" i="18"/>
  <c r="G6" i="18"/>
  <c r="C7" i="18"/>
  <c r="D7" i="18"/>
  <c r="G7" i="18"/>
  <c r="C8" i="18"/>
  <c r="D8" i="18"/>
  <c r="G8" i="18"/>
  <c r="C9" i="18"/>
  <c r="D9" i="18"/>
  <c r="G9" i="18"/>
  <c r="C10" i="18"/>
  <c r="D10" i="18"/>
  <c r="G10" i="18"/>
  <c r="C11" i="18"/>
  <c r="D11" i="18"/>
  <c r="G11" i="18"/>
  <c r="C12" i="18"/>
  <c r="D12" i="18"/>
  <c r="G12" i="18"/>
  <c r="C13" i="18"/>
  <c r="D13" i="18"/>
  <c r="G13" i="18"/>
  <c r="H13" i="1"/>
  <c r="G13" i="1"/>
  <c r="D13" i="1"/>
  <c r="C13" i="1"/>
  <c r="H12" i="1"/>
  <c r="G12" i="1"/>
  <c r="D12" i="1"/>
  <c r="C12" i="1"/>
  <c r="G11" i="1"/>
  <c r="D11" i="1"/>
  <c r="C11" i="1"/>
  <c r="G10" i="1"/>
  <c r="D10" i="1"/>
  <c r="C10" i="1"/>
  <c r="G9" i="1"/>
  <c r="D9" i="1"/>
  <c r="C9" i="1"/>
  <c r="G8" i="1"/>
  <c r="D8" i="1"/>
  <c r="C8" i="1"/>
  <c r="E8" i="1" s="1"/>
  <c r="F8" i="1" s="1"/>
  <c r="G7" i="1"/>
  <c r="D7" i="1"/>
  <c r="C7" i="1"/>
  <c r="G6" i="1"/>
  <c r="D6" i="1"/>
  <c r="C6" i="1"/>
  <c r="E6" i="32"/>
  <c r="F6" i="32" s="1"/>
  <c r="H6" i="32"/>
  <c r="I6" i="32" s="1"/>
  <c r="E7" i="32"/>
  <c r="F7" i="32" s="1"/>
  <c r="H7" i="32"/>
  <c r="I7" i="32" s="1"/>
  <c r="E8" i="32"/>
  <c r="F8" i="32" s="1"/>
  <c r="H8" i="32"/>
  <c r="I8" i="32" s="1"/>
  <c r="E9" i="32"/>
  <c r="F9" i="32" s="1"/>
  <c r="H9" i="32"/>
  <c r="I9" i="32"/>
  <c r="E10" i="32"/>
  <c r="F10" i="32" s="1"/>
  <c r="H10" i="32"/>
  <c r="I10" i="32" s="1"/>
  <c r="E11" i="32"/>
  <c r="F11" i="32" s="1"/>
  <c r="H11" i="32"/>
  <c r="I11" i="32" s="1"/>
  <c r="E12" i="32"/>
  <c r="F12" i="32" s="1"/>
  <c r="H12" i="32"/>
  <c r="I12" i="32" s="1"/>
  <c r="E13" i="32"/>
  <c r="F13" i="32" s="1"/>
  <c r="H13" i="32"/>
  <c r="I13" i="32" s="1"/>
  <c r="E6" i="33"/>
  <c r="F6" i="33" s="1"/>
  <c r="H6" i="33"/>
  <c r="I6" i="33" s="1"/>
  <c r="E7" i="33"/>
  <c r="F7" i="33" s="1"/>
  <c r="H7" i="33"/>
  <c r="I7" i="33"/>
  <c r="E8" i="33"/>
  <c r="F8" i="33" s="1"/>
  <c r="H8" i="33"/>
  <c r="I8" i="33" s="1"/>
  <c r="E9" i="33"/>
  <c r="F9" i="33" s="1"/>
  <c r="H9" i="33"/>
  <c r="I9" i="33" s="1"/>
  <c r="E10" i="33"/>
  <c r="F10" i="33" s="1"/>
  <c r="H10" i="33"/>
  <c r="I10" i="33" s="1"/>
  <c r="E11" i="33"/>
  <c r="F11" i="33"/>
  <c r="H11" i="33"/>
  <c r="I11" i="33" s="1"/>
  <c r="E12" i="33"/>
  <c r="F12" i="33" s="1"/>
  <c r="H12" i="33"/>
  <c r="I12" i="33" s="1"/>
  <c r="E13" i="33"/>
  <c r="F13" i="33" s="1"/>
  <c r="H13" i="33"/>
  <c r="I13" i="33"/>
  <c r="H5" i="20"/>
  <c r="I5" i="20" s="1"/>
  <c r="H6" i="20"/>
  <c r="I6" i="20" s="1"/>
  <c r="H7" i="20"/>
  <c r="I7" i="20" s="1"/>
  <c r="H8" i="20"/>
  <c r="I8" i="20" s="1"/>
  <c r="H9" i="20"/>
  <c r="I9" i="20" s="1"/>
  <c r="H10" i="20"/>
  <c r="I10" i="20" s="1"/>
  <c r="E5" i="20"/>
  <c r="F5" i="20" s="1"/>
  <c r="E6" i="20"/>
  <c r="F6" i="20" s="1"/>
  <c r="E7" i="20"/>
  <c r="F7" i="20" s="1"/>
  <c r="E8" i="20"/>
  <c r="F8" i="20" s="1"/>
  <c r="E9" i="20"/>
  <c r="F9" i="20" s="1"/>
  <c r="E10" i="20"/>
  <c r="F10" i="20" s="1"/>
  <c r="G5" i="18"/>
  <c r="G4" i="18"/>
  <c r="H17" i="33"/>
  <c r="I17" i="33" s="1"/>
  <c r="E17" i="33"/>
  <c r="F17" i="33" s="1"/>
  <c r="H16" i="33"/>
  <c r="I16" i="33" s="1"/>
  <c r="E16" i="33"/>
  <c r="F16" i="33" s="1"/>
  <c r="H17" i="32"/>
  <c r="I17" i="32" s="1"/>
  <c r="E17" i="32"/>
  <c r="F17" i="32" s="1"/>
  <c r="H16" i="32"/>
  <c r="I16" i="32" s="1"/>
  <c r="E16" i="32"/>
  <c r="F16" i="32" s="1"/>
  <c r="E17" i="31"/>
  <c r="F17" i="31" s="1"/>
  <c r="H16" i="31"/>
  <c r="I16" i="31" s="1"/>
  <c r="E16" i="31"/>
  <c r="F16" i="31" s="1"/>
  <c r="H17" i="28"/>
  <c r="I17" i="28" s="1"/>
  <c r="E17" i="28"/>
  <c r="F17" i="28" s="1"/>
  <c r="H16" i="28"/>
  <c r="I16" i="28" s="1"/>
  <c r="E16" i="28"/>
  <c r="F16" i="28" s="1"/>
  <c r="H17" i="27"/>
  <c r="I17" i="27" s="1"/>
  <c r="E17" i="27"/>
  <c r="F17" i="27" s="1"/>
  <c r="H16" i="27"/>
  <c r="I16" i="27" s="1"/>
  <c r="E16" i="27"/>
  <c r="F16" i="27" s="1"/>
  <c r="H17" i="26"/>
  <c r="I17" i="26" s="1"/>
  <c r="E17" i="26"/>
  <c r="F17" i="26" s="1"/>
  <c r="H16" i="26"/>
  <c r="I16" i="26" s="1"/>
  <c r="E16" i="26"/>
  <c r="F16" i="26" s="1"/>
  <c r="I17" i="19"/>
  <c r="F17" i="19"/>
  <c r="I16" i="19"/>
  <c r="F16" i="19"/>
  <c r="H9" i="4"/>
  <c r="I9" i="4" s="1"/>
  <c r="E5" i="72"/>
  <c r="F5" i="72" s="1"/>
  <c r="E4" i="72"/>
  <c r="F4" i="72" s="1"/>
  <c r="B4" i="33" a="1"/>
  <c r="B4" i="33" s="1"/>
  <c r="A4" i="33" a="1"/>
  <c r="A4" i="33" s="1"/>
  <c r="B4" i="32" a="1"/>
  <c r="B4" i="32" s="1"/>
  <c r="A4" i="32" a="1"/>
  <c r="A4" i="32" s="1"/>
  <c r="B4" i="31" a="1"/>
  <c r="B4" i="31" s="1"/>
  <c r="A4" i="31" a="1"/>
  <c r="A4" i="31" s="1"/>
  <c r="B4" i="19" a="1"/>
  <c r="B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F5" i="3"/>
  <c r="H5" i="3"/>
  <c r="I5" i="3" s="1"/>
  <c r="E6" i="3"/>
  <c r="F6" i="3" s="1"/>
  <c r="H6" i="3"/>
  <c r="E7" i="3"/>
  <c r="F7" i="3" s="1"/>
  <c r="H7" i="3"/>
  <c r="F8" i="3"/>
  <c r="H8" i="3"/>
  <c r="G5" i="1"/>
  <c r="G4" i="1"/>
  <c r="B4" i="34" a="1"/>
  <c r="B4" i="34" s="1"/>
  <c r="A4" i="34" a="1"/>
  <c r="A4" i="34" s="1"/>
  <c r="A1" i="34" a="1"/>
  <c r="A1" i="34" s="1"/>
  <c r="D5" i="30"/>
  <c r="C5" i="30"/>
  <c r="D4" i="30"/>
  <c r="C4" i="30"/>
  <c r="D5" i="29"/>
  <c r="C5" i="29"/>
  <c r="E5" i="29" s="1"/>
  <c r="F5" i="29" s="1"/>
  <c r="D4" i="29"/>
  <c r="C4" i="29"/>
  <c r="D5" i="18"/>
  <c r="C5" i="18"/>
  <c r="D4" i="18"/>
  <c r="C4" i="18"/>
  <c r="B4" i="30" a="1"/>
  <c r="B4" i="30" s="1"/>
  <c r="A1" i="30" a="1"/>
  <c r="A1" i="30" s="1"/>
  <c r="B4" i="29" a="1"/>
  <c r="B4" i="29" s="1"/>
  <c r="A4" i="29" a="1"/>
  <c r="A4" i="29" s="1"/>
  <c r="A1" i="29" a="1"/>
  <c r="A1" i="29" s="1"/>
  <c r="B4" i="18" a="1"/>
  <c r="B4" i="18" s="1"/>
  <c r="A4" i="18" a="1"/>
  <c r="A4" i="18" s="1"/>
  <c r="A1" i="18" a="1"/>
  <c r="A1" i="18" s="1"/>
  <c r="C5" i="1"/>
  <c r="C4" i="1"/>
  <c r="D5" i="1"/>
  <c r="D4" i="1"/>
  <c r="B4" i="1" a="1"/>
  <c r="B4" i="1" s="1"/>
  <c r="A4" i="1" a="1"/>
  <c r="A4" i="1" s="1"/>
  <c r="A1" i="1" a="1"/>
  <c r="A1" i="1" s="1"/>
  <c r="H15" i="33"/>
  <c r="I15" i="33" s="1"/>
  <c r="E15" i="33"/>
  <c r="F15" i="33" s="1"/>
  <c r="I14" i="33"/>
  <c r="H14" i="33"/>
  <c r="E14" i="33"/>
  <c r="F14" i="33" s="1"/>
  <c r="H5" i="33"/>
  <c r="I5" i="33" s="1"/>
  <c r="E5" i="33"/>
  <c r="F5" i="33" s="1"/>
  <c r="H4" i="33"/>
  <c r="I4" i="33" s="1"/>
  <c r="E4" i="33"/>
  <c r="F4" i="33" s="1"/>
  <c r="G2" i="33"/>
  <c r="D2" i="33"/>
  <c r="C2" i="33"/>
  <c r="A1" i="33" a="1"/>
  <c r="A1" i="33" s="1"/>
  <c r="H15" i="32"/>
  <c r="I15" i="32" s="1"/>
  <c r="F15" i="32"/>
  <c r="E15" i="32"/>
  <c r="H14" i="32"/>
  <c r="I14" i="32" s="1"/>
  <c r="E14" i="32"/>
  <c r="F14"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D2" i="31"/>
  <c r="C2" i="31"/>
  <c r="A1" i="31" a="1"/>
  <c r="A1" i="31" s="1"/>
  <c r="H15" i="28"/>
  <c r="I15" i="28" s="1"/>
  <c r="E15" i="28"/>
  <c r="F15" i="28"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G2" i="28"/>
  <c r="D2" i="28"/>
  <c r="C2" i="28"/>
  <c r="A1" i="28" a="1"/>
  <c r="A1" i="28" s="1"/>
  <c r="H15" i="27"/>
  <c r="I15" i="27" s="1"/>
  <c r="E15" i="27"/>
  <c r="F15" i="27" s="1"/>
  <c r="H14" i="27"/>
  <c r="I14" i="27" s="1"/>
  <c r="E14" i="27"/>
  <c r="F14" i="27" s="1"/>
  <c r="H13" i="27"/>
  <c r="I13" i="27" s="1"/>
  <c r="E13" i="27"/>
  <c r="F13" i="27" s="1"/>
  <c r="H12" i="27"/>
  <c r="I12" i="27" s="1"/>
  <c r="H11" i="27"/>
  <c r="I11" i="27" s="1"/>
  <c r="E11" i="27"/>
  <c r="F11" i="27" s="1"/>
  <c r="H10" i="27"/>
  <c r="I10" i="27" s="1"/>
  <c r="E10" i="27"/>
  <c r="F10" i="27" s="1"/>
  <c r="H9" i="27"/>
  <c r="I9" i="27" s="1"/>
  <c r="E9" i="27"/>
  <c r="F9" i="27" s="1"/>
  <c r="H8" i="27"/>
  <c r="I8" i="27" s="1"/>
  <c r="E8" i="27"/>
  <c r="F8" i="27" s="1"/>
  <c r="H7" i="27"/>
  <c r="I7" i="27" s="1"/>
  <c r="E7" i="27"/>
  <c r="F7" i="27" s="1"/>
  <c r="H6" i="27"/>
  <c r="I6" i="27" s="1"/>
  <c r="E6" i="27"/>
  <c r="F6" i="27" s="1"/>
  <c r="H5" i="27"/>
  <c r="I5" i="27" s="1"/>
  <c r="H4" i="27"/>
  <c r="I4" i="27" s="1"/>
  <c r="E4" i="27"/>
  <c r="F4" i="27" s="1"/>
  <c r="G2" i="27"/>
  <c r="D2" i="27"/>
  <c r="C2" i="27"/>
  <c r="A1" i="27" a="1"/>
  <c r="A1" i="27" s="1"/>
  <c r="H15" i="26"/>
  <c r="E15" i="26"/>
  <c r="F15" i="26"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H7" i="29" s="1"/>
  <c r="I7" i="29" s="1"/>
  <c r="E7" i="26"/>
  <c r="F7" i="26" s="1"/>
  <c r="H6" i="26"/>
  <c r="E6" i="26"/>
  <c r="F6" i="26" s="1"/>
  <c r="H5" i="26"/>
  <c r="I5" i="26" s="1"/>
  <c r="E5" i="26"/>
  <c r="F5" i="26" s="1"/>
  <c r="H4" i="26"/>
  <c r="I4" i="26" s="1"/>
  <c r="E4" i="26"/>
  <c r="F4" i="26" s="1"/>
  <c r="G2" i="26"/>
  <c r="D2" i="26"/>
  <c r="C2" i="26"/>
  <c r="A1" i="26" a="1"/>
  <c r="A1" i="26" s="1"/>
  <c r="I15" i="19"/>
  <c r="F15" i="19"/>
  <c r="I14" i="19"/>
  <c r="F14" i="19"/>
  <c r="I13" i="19"/>
  <c r="I12" i="19"/>
  <c r="F12" i="19"/>
  <c r="I11" i="19"/>
  <c r="F11" i="19"/>
  <c r="I10" i="19"/>
  <c r="F10" i="19"/>
  <c r="I9" i="19"/>
  <c r="F8" i="19"/>
  <c r="I7" i="19"/>
  <c r="I5" i="19"/>
  <c r="F5" i="19"/>
  <c r="I4" i="19"/>
  <c r="G2" i="19"/>
  <c r="D2" i="19"/>
  <c r="C2" i="19"/>
  <c r="J2" i="19" s="1"/>
  <c r="A1" i="19" a="1"/>
  <c r="A1" i="19" s="1"/>
  <c r="H4" i="20"/>
  <c r="I4" i="20" s="1"/>
  <c r="E4" i="20"/>
  <c r="F4" i="20" s="1"/>
  <c r="G2" i="20"/>
  <c r="D2" i="20"/>
  <c r="C2" i="20"/>
  <c r="A1" i="20" a="1"/>
  <c r="A1" i="20" s="1"/>
  <c r="H8" i="21"/>
  <c r="I8" i="21" s="1"/>
  <c r="E8" i="21"/>
  <c r="F8" i="21" s="1"/>
  <c r="H7" i="21"/>
  <c r="I7" i="21" s="1"/>
  <c r="H6" i="21"/>
  <c r="I6" i="21" s="1"/>
  <c r="E6" i="21"/>
  <c r="F6" i="21" s="1"/>
  <c r="H5" i="21"/>
  <c r="I5" i="21" s="1"/>
  <c r="E5" i="21"/>
  <c r="F5" i="21" s="1"/>
  <c r="H4" i="21"/>
  <c r="I4" i="21" s="1"/>
  <c r="E4" i="21"/>
  <c r="F4" i="21" s="1"/>
  <c r="G2" i="21"/>
  <c r="D2" i="21"/>
  <c r="C2" i="21"/>
  <c r="A1" i="21" a="1"/>
  <c r="A1" i="21" s="1"/>
  <c r="H8" i="4"/>
  <c r="I8" i="4" s="1"/>
  <c r="E8" i="4"/>
  <c r="F8" i="4" s="1"/>
  <c r="H7" i="4"/>
  <c r="I7" i="4" s="1"/>
  <c r="F7" i="4"/>
  <c r="H6" i="4"/>
  <c r="I6" i="4" s="1"/>
  <c r="E6" i="4"/>
  <c r="F6" i="4" s="1"/>
  <c r="H5" i="4"/>
  <c r="I5" i="4" s="1"/>
  <c r="E5" i="4"/>
  <c r="F5" i="4" s="1"/>
  <c r="E4" i="4"/>
  <c r="F4" i="4" s="1"/>
  <c r="G2" i="4"/>
  <c r="D2" i="4"/>
  <c r="C2" i="4"/>
  <c r="A1" i="4" a="1"/>
  <c r="A1" i="4" s="1"/>
  <c r="G2" i="3"/>
  <c r="D2" i="3"/>
  <c r="C2" i="3"/>
  <c r="J2" i="3" s="1"/>
  <c r="A1" i="3" a="1"/>
  <c r="A1" i="3" s="1"/>
  <c r="H5" i="72"/>
  <c r="I5" i="72" s="1"/>
  <c r="H4" i="72"/>
  <c r="I4" i="72" s="1"/>
  <c r="G2" i="72"/>
  <c r="D2" i="72"/>
  <c r="C2" i="72"/>
  <c r="J2" i="72" s="1"/>
  <c r="A1" i="72" a="1"/>
  <c r="A1" i="72" s="1"/>
  <c r="C5" i="34" l="1"/>
  <c r="C13" i="34"/>
  <c r="C7" i="34"/>
  <c r="G11" i="34"/>
  <c r="G7" i="34"/>
  <c r="G2" i="29"/>
  <c r="G6" i="34"/>
  <c r="D8" i="34"/>
  <c r="G5" i="34"/>
  <c r="C8" i="34"/>
  <c r="G13" i="34"/>
  <c r="C11" i="34"/>
  <c r="D9" i="34"/>
  <c r="D13" i="34"/>
  <c r="G12" i="34"/>
  <c r="D12" i="34"/>
  <c r="H12" i="29"/>
  <c r="I12" i="29" s="1"/>
  <c r="D5" i="34"/>
  <c r="C12" i="34"/>
  <c r="G9" i="34"/>
  <c r="D11" i="34"/>
  <c r="G8" i="34"/>
  <c r="G2" i="30"/>
  <c r="D6" i="34"/>
  <c r="C6" i="34"/>
  <c r="G4" i="34"/>
  <c r="G10" i="34"/>
  <c r="D10" i="34"/>
  <c r="C10" i="34"/>
  <c r="E7" i="30"/>
  <c r="F7" i="30" s="1"/>
  <c r="D7" i="34"/>
  <c r="E9" i="30"/>
  <c r="F9" i="30" s="1"/>
  <c r="C9" i="34"/>
  <c r="E6" i="30"/>
  <c r="F6" i="30" s="1"/>
  <c r="E10" i="30"/>
  <c r="F10" i="30" s="1"/>
  <c r="E11" i="29"/>
  <c r="F11" i="29" s="1"/>
  <c r="E9" i="29"/>
  <c r="F9" i="29" s="1"/>
  <c r="E12" i="29"/>
  <c r="F12" i="29" s="1"/>
  <c r="E7" i="29"/>
  <c r="F7" i="29" s="1"/>
  <c r="E8" i="29"/>
  <c r="F8" i="29" s="1"/>
  <c r="E10" i="29"/>
  <c r="F10" i="29" s="1"/>
  <c r="E11" i="18"/>
  <c r="F11" i="18" s="1"/>
  <c r="E13" i="18"/>
  <c r="F13" i="18" s="1"/>
  <c r="E9" i="18"/>
  <c r="F9" i="18" s="1"/>
  <c r="H10" i="18"/>
  <c r="I10" i="18" s="1"/>
  <c r="E13" i="30"/>
  <c r="F13" i="30" s="1"/>
  <c r="E12" i="30"/>
  <c r="F12" i="30" s="1"/>
  <c r="H12" i="30"/>
  <c r="E8" i="30"/>
  <c r="F8" i="30" s="1"/>
  <c r="H7" i="30"/>
  <c r="H11" i="30"/>
  <c r="H9" i="30"/>
  <c r="E11" i="30"/>
  <c r="F11" i="30" s="1"/>
  <c r="H6" i="30"/>
  <c r="I6" i="30" s="1"/>
  <c r="H13" i="30"/>
  <c r="H10" i="30"/>
  <c r="H8" i="30"/>
  <c r="E6" i="29"/>
  <c r="F6" i="29" s="1"/>
  <c r="H9" i="29"/>
  <c r="I9" i="29" s="1"/>
  <c r="H11" i="29"/>
  <c r="I11" i="29" s="1"/>
  <c r="H6" i="29"/>
  <c r="H13" i="29"/>
  <c r="I13" i="29" s="1"/>
  <c r="E13" i="29"/>
  <c r="F13" i="29" s="1"/>
  <c r="H8" i="29"/>
  <c r="I8" i="29" s="1"/>
  <c r="H10" i="29"/>
  <c r="I10" i="29" s="1"/>
  <c r="H7" i="18"/>
  <c r="I7" i="18" s="1"/>
  <c r="E10" i="18"/>
  <c r="F10" i="18" s="1"/>
  <c r="H12" i="18"/>
  <c r="H13" i="18"/>
  <c r="I13" i="18" s="1"/>
  <c r="H11" i="18"/>
  <c r="I11" i="18" s="1"/>
  <c r="E6" i="18"/>
  <c r="F6" i="18" s="1"/>
  <c r="H9" i="18"/>
  <c r="I9" i="18" s="1"/>
  <c r="E12" i="18"/>
  <c r="F12" i="18" s="1"/>
  <c r="E7" i="18"/>
  <c r="F7" i="18" s="1"/>
  <c r="H8" i="18"/>
  <c r="I8" i="18" s="1"/>
  <c r="H6" i="18"/>
  <c r="I6" i="18" s="1"/>
  <c r="E8" i="18"/>
  <c r="F8" i="18" s="1"/>
  <c r="H9" i="1"/>
  <c r="I9" i="1" s="1"/>
  <c r="E13" i="1"/>
  <c r="F13" i="1" s="1"/>
  <c r="H6" i="1"/>
  <c r="I6" i="1" s="1"/>
  <c r="H7" i="1"/>
  <c r="I7" i="1" s="1"/>
  <c r="H8" i="1"/>
  <c r="I12" i="1"/>
  <c r="I11" i="1"/>
  <c r="E10" i="1"/>
  <c r="F10" i="1" s="1"/>
  <c r="I8" i="72"/>
  <c r="I6" i="72"/>
  <c r="I10" i="1"/>
  <c r="E9" i="1"/>
  <c r="F9" i="1" s="1"/>
  <c r="E6" i="1"/>
  <c r="F6" i="1" s="1"/>
  <c r="E11" i="1"/>
  <c r="F11" i="1" s="1"/>
  <c r="E7" i="1"/>
  <c r="F7" i="1" s="1"/>
  <c r="E12" i="1"/>
  <c r="F12" i="1" s="1"/>
  <c r="I13" i="1"/>
  <c r="G2" i="18"/>
  <c r="D2" i="30"/>
  <c r="D2" i="18"/>
  <c r="E5" i="18"/>
  <c r="F5" i="18" s="1"/>
  <c r="E4" i="18"/>
  <c r="F4" i="18" s="1"/>
  <c r="D4" i="34"/>
  <c r="E4" i="30"/>
  <c r="F4" i="30" s="1"/>
  <c r="E5" i="30"/>
  <c r="F5" i="30" s="1"/>
  <c r="D2" i="29"/>
  <c r="H2" i="33"/>
  <c r="I2" i="33" s="1"/>
  <c r="J2" i="33"/>
  <c r="H2" i="32"/>
  <c r="I2" i="32" s="1"/>
  <c r="J2" i="32"/>
  <c r="H2" i="31"/>
  <c r="I2" i="31" s="1"/>
  <c r="J2" i="31"/>
  <c r="H2" i="28"/>
  <c r="I2" i="28" s="1"/>
  <c r="J2" i="28"/>
  <c r="E2" i="28"/>
  <c r="F2" i="28" s="1"/>
  <c r="H2" i="27"/>
  <c r="I2" i="27" s="1"/>
  <c r="J2" i="27"/>
  <c r="H2" i="26"/>
  <c r="I2" i="26" s="1"/>
  <c r="J2" i="26"/>
  <c r="H2" i="19"/>
  <c r="I2" i="19" s="1"/>
  <c r="E2" i="20"/>
  <c r="F2" i="20" s="1"/>
  <c r="J2" i="20"/>
  <c r="H2" i="20"/>
  <c r="I2" i="20" s="1"/>
  <c r="H2" i="21"/>
  <c r="I2" i="21" s="1"/>
  <c r="J2" i="21"/>
  <c r="H2" i="4"/>
  <c r="I2" i="4" s="1"/>
  <c r="J2" i="4"/>
  <c r="H2" i="3"/>
  <c r="I2" i="3" s="1"/>
  <c r="G2" i="1"/>
  <c r="E5" i="1"/>
  <c r="F5" i="1" s="1"/>
  <c r="H4" i="30"/>
  <c r="I4" i="30" s="1"/>
  <c r="H5" i="30"/>
  <c r="I6" i="26"/>
  <c r="I9" i="26"/>
  <c r="I12" i="26"/>
  <c r="I15" i="26"/>
  <c r="H4" i="29"/>
  <c r="I4" i="29" s="1"/>
  <c r="H5" i="29"/>
  <c r="I5" i="29" s="1"/>
  <c r="I7" i="26"/>
  <c r="H4" i="18"/>
  <c r="I4" i="18" s="1"/>
  <c r="C4" i="34"/>
  <c r="H5" i="18"/>
  <c r="I5" i="18" s="1"/>
  <c r="C2" i="29"/>
  <c r="C2" i="30"/>
  <c r="E4" i="29"/>
  <c r="F4" i="29" s="1"/>
  <c r="C2" i="18"/>
  <c r="H4" i="1"/>
  <c r="H5" i="1"/>
  <c r="I5" i="1" s="1"/>
  <c r="C2" i="1"/>
  <c r="E2" i="3"/>
  <c r="F2" i="3" s="1"/>
  <c r="E4" i="1"/>
  <c r="F4" i="1" s="1"/>
  <c r="D2" i="1"/>
  <c r="E2" i="33"/>
  <c r="F2" i="33" s="1"/>
  <c r="E2" i="32"/>
  <c r="F2" i="32" s="1"/>
  <c r="E2" i="31"/>
  <c r="F2" i="31" s="1"/>
  <c r="E2" i="27"/>
  <c r="F2" i="27" s="1"/>
  <c r="E2" i="26"/>
  <c r="F2" i="26" s="1"/>
  <c r="E2" i="19"/>
  <c r="F2" i="19" s="1"/>
  <c r="E2" i="21"/>
  <c r="F2" i="21" s="1"/>
  <c r="E2" i="4"/>
  <c r="F2" i="4" s="1"/>
  <c r="H2" i="72"/>
  <c r="E13" i="34" l="1"/>
  <c r="F13" i="34" s="1"/>
  <c r="E7" i="34"/>
  <c r="F7" i="34" s="1"/>
  <c r="E5" i="34"/>
  <c r="F5" i="34" s="1"/>
  <c r="E11" i="34"/>
  <c r="F11" i="34" s="1"/>
  <c r="G2" i="34"/>
  <c r="E9" i="34"/>
  <c r="F9" i="34" s="1"/>
  <c r="I5" i="30"/>
  <c r="H5" i="34"/>
  <c r="I5" i="34" s="1"/>
  <c r="I9" i="30"/>
  <c r="H9" i="34"/>
  <c r="I9" i="34" s="1"/>
  <c r="I12" i="30"/>
  <c r="H12" i="34"/>
  <c r="I12" i="34" s="1"/>
  <c r="I13" i="30"/>
  <c r="H13" i="34"/>
  <c r="I13" i="34" s="1"/>
  <c r="I8" i="30"/>
  <c r="H8" i="34"/>
  <c r="I8" i="34" s="1"/>
  <c r="I7" i="30"/>
  <c r="H7" i="34"/>
  <c r="I7" i="34" s="1"/>
  <c r="I11" i="30"/>
  <c r="H11" i="34"/>
  <c r="I11" i="34" s="1"/>
  <c r="I10" i="30"/>
  <c r="H10" i="34"/>
  <c r="I10" i="34" s="1"/>
  <c r="I6" i="29"/>
  <c r="H6" i="34"/>
  <c r="I6" i="34" s="1"/>
  <c r="E6" i="34"/>
  <c r="F6" i="34" s="1"/>
  <c r="E2" i="29"/>
  <c r="F2" i="29" s="1"/>
  <c r="E10" i="34"/>
  <c r="F10" i="34" s="1"/>
  <c r="I12" i="18"/>
  <c r="E12" i="34"/>
  <c r="F12" i="34" s="1"/>
  <c r="I8" i="1"/>
  <c r="E8" i="34"/>
  <c r="F8" i="34" s="1"/>
  <c r="D2" i="34"/>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<sst xmlns="http://schemas.openxmlformats.org/spreadsheetml/2006/main" count="370" uniqueCount="157">
  <si>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</si>
  <si>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</si>
  <si>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</si>
  <si>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</si>
  <si>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</si>
  <si>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</si>
  <si>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</si>
  <si>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</si>
  <si>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</si>
  <si>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</si>
  <si>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</si>
  <si>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</si>
  <si>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</si>
  <si>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</si>
  <si>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</si>
  <si>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</si>
  <si>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</si>
  <si>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</si>
  <si>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</si>
  <si>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</si>
  <si>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</si>
  <si>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</si>
  <si>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1 was offline on 01/10 and back online on 1/11 and again inverter 1 was offline from 01/21 to 01/25 Inverter 1 will hard starts with low IR., Inverter 2 started late on 01/21 at 12:30pm and inverter 2 tripping on and offline throughout the month due to  ZERO SEQUENCE fault</t>
  </si>
  <si>
    <t>1.SR095491,	SR095824</t>
  </si>
  <si>
    <t>SR095824</t>
  </si>
  <si>
    <t>1.Inverter 1 has been offline since 12/02 due to a common-mode fault. Bold Renewables advised replacing the AC contactor, which was replaced on 01/29, and the inverter was brought back online.</t>
  </si>
  <si>
    <t>1. 	SR093905</t>
  </si>
  <si>
    <t>1.Low generation due to weather/snow.</t>
  </si>
  <si>
    <t>1. As per the meter, 1 inverter is offline and also according to the meter, some trackers do appear to be stuck.</t>
  </si>
  <si>
    <t>1. SR096263</t>
  </si>
  <si>
    <t>1. Inverter 1 is derating by 1000kW due to Impulsion fan comms issue from 11/20</t>
  </si>
  <si>
    <t>1. SR093458</t>
  </si>
  <si>
    <t>1. Inverter 57 was offline throughout the month due to fault permanent power module failure. 
2.  Inverters 29, 30, 32, 64, 68, 69, 78, and 80 are offline due to a hunt. The LOTO has been applied to the inverters, and all trackers are stuck.</t>
  </si>
  <si>
    <t>1. SR094033
2. SR095849</t>
  </si>
  <si>
    <t>SR095849</t>
  </si>
  <si>
    <t>1.  Trackers group A to J are currently in wind stow status for whole month.</t>
  </si>
  <si>
    <t>1. SR096181</t>
  </si>
  <si>
    <t>1. Site tripped offline on 12/30 due to a squirrel climbing the utility pole and shorting the phase B fuse after installing cut out fuse on 01/21 the site was back online at 11:00am on 01/21.
2. Site was tripped offline at 14:15 on 01/29 due to inverter voltages was dropped &amp; reported "Grid Phase Voltage Out of Range" and site was back online at 16:20 on 01/21.
3. Inverter 23 is underproducing due to FTC tracker - network control unit 2: tracker motor 7 is not tracking.</t>
  </si>
  <si>
    <t>1. SR095130
2. SR096122
3. SR096074</t>
  </si>
  <si>
    <t>SR096122</t>
  </si>
  <si>
    <t>SR096074</t>
  </si>
  <si>
    <t>1.Trackers D28, A27, and C26 are stuck for whole month due to defective batteries.</t>
  </si>
  <si>
    <t>1. 	SR091277</t>
  </si>
  <si>
    <t>1. Site was not communicated for whole month due to bad modem.</t>
  </si>
  <si>
    <t>1. SR094062</t>
  </si>
  <si>
    <t>February Actual v. Expected</t>
  </si>
  <si>
    <t>February Actual v. Forecasted</t>
  </si>
  <si>
    <t>1. Inverter 2 was tripping offline for several hours in the middle of the day throughout the month. A synchronization card is required to bring the inverter back to normal.</t>
  </si>
  <si>
    <t>1. SR095824</t>
  </si>
  <si>
    <t>1. Low generation due to weather/snow.</t>
  </si>
  <si>
    <t>1. As per meter data, 1 inverter was offline. Additionally few trackers were struck. Working with NREL for dispatch.</t>
  </si>
  <si>
    <t>1. Inverter 1 is derating by 1000kW due to Impulsion fan comms issue since 11/20. Waiting on DGA syringe to group with the dispatch.</t>
  </si>
  <si>
    <t xml:space="preserve"> 1. Inverter 2 tripped offline at 09:04 AM on 02/06/25, reporting a Permanent fault of power module. On 02/07/25, the technician reset the inverter, but the same fault occurred. Chint confirmed a power head failure, and a ticket was issued for replacement. On 02/27/25, the technician replaced the malfunctioning inverter with a new one brought back online at 10:15AM the same day.
2. Inverter 57 back online at 11:45AM on 02/07/25 after technician replaced old powerhead with new.
3.Inverter 9 tripped offline at 09:30 AM on 02/18/25 due to a permanent power module failure. Parts are required to bring it back online, and it remained offline throughout the month
4. Inverter 65 is derated by 50 kW due to an external fan error on 02/21, 02/22. On 02/24/25, a technician found no faults, compared output with nearby inverters (which were similar), and confirmed with Chint that no issues were detected.
5.  Inverter 42 was derated by approximately 54 kW compared to its peers due to an external fan error on 02/21 to 02/23. On 02/24/25, a technician discovered a string wrapped around the fans, removed the old pull from the unit, and brought it to the expected production level the same day.
6. Inverter 60 was derating by approximately 50 kW due to an external fan fault issue from 02/27/25.
7. Inverters 29, 30, 64, 68, 69, 78,79 and 80 are offline and confirmed with Hunt these inverters are LOTOd. Additionally all trackers were struck.</t>
  </si>
  <si>
    <t>1.SR096391
2. SR094033
3. SR097304
4. SR097622
5. SR097663
6. SR097884
7. SR095849, SR083529, SR085269</t>
  </si>
  <si>
    <t>SR094033</t>
  </si>
  <si>
    <t>SR097304</t>
  </si>
  <si>
    <t>SR097622</t>
  </si>
  <si>
    <t>SR097663</t>
  </si>
  <si>
    <t>SR097884</t>
  </si>
  <si>
    <t>SR083529</t>
  </si>
  <si>
    <t>SR085269</t>
  </si>
  <si>
    <t>1. Inverter 21 was derating by 50kW from 02/24 due to External Fan fault.
2. Trackers A to J have been stuck since 01/31/25. On 02/04/25, a technician found 56 stuck trackers across the site. On 02/13/25, the technician removed the fuse and power-cycled each tracker, restoring tracking on most of the site. However, 22 trackers remained stuck, and a ticket was submitted to meet with Soltec technicians to diagnose the recurring communication issue. On 02/18/25, the technician found some trackers were not communicating with RSUs. After installing a new tracker, 12 trackers still required additional troubleshooting.</t>
  </si>
  <si>
    <t>1. SR097728
2. SR096181</t>
  </si>
  <si>
    <t>SR096181</t>
  </si>
  <si>
    <t>1. Inverter 23 is underproducing due to FTC tracker - network control unit 2 and tracker motor 7 are not tracking. On 02/03/25, the technician found 3 trackers stuck and power-cycled them. After 30 minutes, they resumed tracking, but tracker motor 7 requires additional troubleshooting. On 02/19/25, the technician confirmed with steven and RMA'd the motor.
2. Trackers 8, 10, 45, and 46 have been stuck since 02/16/25. On 02/19/25, the technician found them in the stow position due to defective batteries, requiring additional troubleshooting. By 02/27/25, motors 8 and 45 self-resolved, while 10 and 46 remain stuck.</t>
  </si>
  <si>
    <t>1. SR096074, SR096778
2. SR097433, 	SR097757</t>
  </si>
  <si>
    <t>SR096778</t>
  </si>
  <si>
    <t>SR097433</t>
  </si>
  <si>
    <t>SR097757</t>
  </si>
  <si>
    <t xml:space="preserve"> 1.The Hukseflux SR15-D1 - POA is missing communication since 02/14/25. GHI, double mod, and BPOA are currently communicating.
2. Trackers D28, A27, and C26 are stuck for whole month due to defective batteries.
3. Multiple tracker motors have been stuck since 02/11/25 due to snow</t>
  </si>
  <si>
    <t>1. SR097908
2. SR091277
3. SR096700</t>
  </si>
  <si>
    <t>SR091277</t>
  </si>
  <si>
    <t>SR096700</t>
  </si>
  <si>
    <t>March Actual v. Expected</t>
  </si>
  <si>
    <t>March Actual v. Forecasted</t>
  </si>
  <si>
    <t>1.Inverter 2 was tripping offline for several hours in the middle of the day throughout the month. A synchronization card and logic board are required to bring the inverter back to normal.</t>
  </si>
  <si>
    <t>1.SR095824</t>
  </si>
  <si>
    <t>1.Meter power dropped to zero from 13:15 to 15:30 on 03/06.</t>
  </si>
  <si>
    <t>1.SR098228</t>
  </si>
  <si>
    <t>1.SR096263</t>
  </si>
  <si>
    <t>1.Inverter 1 was derating by 1000kw due to Impulsion fan Comms issue since 11/20/24. On 03/04, technician replaced bad exhaust fan with new fan and re-energized the inverter but didn't have the required software needed to configure it for proper operation. Again inverter started derating by 1.7MW due to fan fault from 03/29.
2.Inverter 1 tripped offline at 13:45 on 03/15 due to  Fault:197 and back online at 11AM on 03/16 again tripped offline at 12:30 on 03/16 and back online by remote reset at 10:15AM on 03/17. Again tripped offline at 12PM on 03/21 and self resolved and back online on 03/24.
3.Inverter 2 was offline from 03/07 due to Isolation fault and was offline through out the month.</t>
  </si>
  <si>
    <t>1.SR093458 &amp; SR099185
2.SR098335
3.SR098248</t>
  </si>
  <si>
    <t>SR099185</t>
  </si>
  <si>
    <t>SR098335</t>
  </si>
  <si>
    <t>SR098248</t>
  </si>
  <si>
    <t xml:space="preserve">1.Inverter 9 was offline from 02/18 due to Bus (sum) Over Voltage fault and inverter power head was being RMA'D from 02/24. On 03/07, the technician replaced the RMA'd inverter power head with a new unit, and the inverter is now operating in line with peer inverters.
2.Inverter 60 was derating by approximately 50 kW due to an external fan fault issue from 02/27/25 and producing normal after technician replaced RMA'D fan with new fan on 03/10.
3.Inverter 13 has been underproducing by approximately 30 kW compared to its peers since the MC4 connectors were replaced in early December 2024 to resolve ongoing tripping issues. 
4.Inverter 64 was offline from 12/18/24 which was LOTO'd.
5.Inverters 29, 30, 64, 68, 69, 78,79 and 80 are offline from 12/26/24 and confirmed with Hunt these inverters are LOTOd.
6.Soltec Tracker Full T01: Motors 22, 77, 138 were stuck.
Soltec Tracker Full T02: Motors 4, 21, 23, 32, 37, 58, 61, 83 were stuck.
Soltec Tracker Full T03: Motors 13, 52 were stuck.
Soltec Tracker Full T04: Motors 1, 11, 27, 28, 29, 32, 39, 51, 57, 65, 75, 88, 94, 112, 113 were stuck through out the month.
7.Energy values are updated till 03/10, and from 03/11 the data is in TrueGreen client templete. </t>
  </si>
  <si>
    <t>1.SR097304
2.SR097884
3.SR098364
4.SR099221
5.SR095849
6.SR099224</t>
  </si>
  <si>
    <t>SR098364</t>
  </si>
  <si>
    <t>SR099221</t>
  </si>
  <si>
    <t>SR099224</t>
  </si>
  <si>
    <t xml:space="preserve">1.Inverter 21 was derating by 50kW on high irradiance days from 02/24 due to External Fan fault. 
2.12 trackers were stuck from 02/18. On 03/10 technician checked in and worked with erika and brought back 5 trackers back online and 4 trackers were still truck.  One new tracker has no lights good fuse and module is only putting out 30 V. Will need a new module.
3.Energy values are updated till 03/10 , and from 03/11 the data is in TrueGreen client templete. </t>
  </si>
  <si>
    <t>1.SR097728
2.SR096181</t>
  </si>
  <si>
    <t xml:space="preserve">1.Inverter 18 tripped offline at 11:45AM on 03/01 due to Inverter Over Current and self resolved and back online on 03/02.
2.Inverter 15 tripped offline at 13:30 on 03/08 due to Inverter Over Current and self resolved and back online on 03/09.
3.NCU 1 motors 10, &amp; 46 were stuck from 02/16.
4.NCU 2 motor 7 was stuck and motor was being RMA'd from 02/19.
5. Energy values are updated till 03/10, and from 03/11 the data is in TrueGreen client templete. </t>
  </si>
  <si>
    <t xml:space="preserve">1.SR097945
2.SR098302
3.SR097757
4.SR096778 &amp;SR098566
</t>
  </si>
  <si>
    <t>SR098302</t>
  </si>
  <si>
    <t>SR098566</t>
  </si>
  <si>
    <t xml:space="preserve">1.The Hukseflux SR15-D1 - POA is missing communication since 02/14/25 and resumed communication at 16:00 on 03/03.
2.Trackers D28, A27, and C26 have been stuck all month due to bad batteries. On March 3, tech installed 2 new batteries, but 5 trackers remain stuck—3 not yet added, 2 showing low voltage. HMI login failed due to system error.
3.Multiple tracker motors have been stuck since 02/11/25. Shared SPS info with Soltec; awaiting response. Unable to access Soltec internal HMI onsite due to server connection issue.
4.Energy values are updated till 03/10 ,  and from 03/11 the data is in TrueGreen client templete. </t>
  </si>
  <si>
    <t>1.SR097908
2.SR091277 
3.SR096700</t>
  </si>
  <si>
    <t>1.SR097305</t>
  </si>
  <si>
    <t>April Actual v. Expected</t>
  </si>
  <si>
    <t>April Actual v. Forecasted</t>
  </si>
  <si>
    <t>1.  Inverter 1 was tripped offline at 03:45pm on 04/14 due to damage to the internal components from a thermal event. 
2. Bold and ameresco technicians were on site on 04/01 to troubleshoot inverters. Inverter 2 remained offline on 04/01 after installing the new AC contactor and its feeders inverter 2 was back online on 04/02 at 02:25pm.</t>
  </si>
  <si>
    <t>1. SR099790
2. SR095824</t>
  </si>
  <si>
    <t>N/A</t>
  </si>
  <si>
    <t xml:space="preserve">1. Meter dropped production upto 219kW on 04/08 and later on 04/11 technician found inverter 4 was offline and was able to reenergize the inverter. </t>
  </si>
  <si>
    <t>1. SR099593</t>
  </si>
  <si>
    <t>1. On 04/18 and 04/19 the production was low due to bad weather.</t>
  </si>
  <si>
    <t>1.As per the meter 1 inverter was offline and also there were struck trackers. Additionally, meter was down about another 146KW and likely 1 inveter offline and another inverter at half production.Working with NREL for dispatch.</t>
  </si>
  <si>
    <t>1. Inverter 1 was derating for whole month fan being replaced and during visit on 04/14 technician found twelve AC capacitors requiring replacement.
2. Inverter 2 was tripped offline on 04/06 at 18:00 due to GFDI. inverter 2 needs DC contactors and possibly capacitors.</t>
  </si>
  <si>
    <t>1. SR099994, 	SR099185
2. SR099478</t>
  </si>
  <si>
    <t>SR099478</t>
  </si>
  <si>
    <t>1.These sites are moved to true green portifolio</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</si>
  <si>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</si>
  <si>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</si>
  <si>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</si>
  <si>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</si>
  <si>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</si>
  <si>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</si>
  <si>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</si>
  <si>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</si>
  <si>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</si>
  <si>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</si>
  <si>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</si>
  <si>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</si>
  <si>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</si>
  <si>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</si>
  <si>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</si>
  <si>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</si>
  <si>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</si>
  <si>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Ecofin</t>
  </si>
  <si>
    <t>Site DAS Name</t>
  </si>
  <si>
    <t>Update</t>
  </si>
  <si>
    <t>DAS</t>
  </si>
  <si>
    <t>003 - Alamosa School District</t>
  </si>
  <si>
    <t>Alamosa School District</t>
  </si>
  <si>
    <t>CO</t>
  </si>
  <si>
    <t>002 - San Luis Valley Regional MC</t>
  </si>
  <si>
    <t>San Luis Valley</t>
  </si>
  <si>
    <t>002 - NREL 2</t>
  </si>
  <si>
    <t>Golden NREL 2</t>
  </si>
  <si>
    <t>004 - NREL Wind 3</t>
  </si>
  <si>
    <t>Golden NREL Wind 3</t>
  </si>
  <si>
    <t>Kenyon Energy KS Solar</t>
  </si>
  <si>
    <t>Pratt Solar Farm</t>
  </si>
  <si>
    <t>KS</t>
  </si>
  <si>
    <t>MN WestSide Solar</t>
  </si>
  <si>
    <t>Rochester - 5516 Valleyhigh NW</t>
  </si>
  <si>
    <t>MN</t>
  </si>
  <si>
    <t>Hemings (VA) - ODEC</t>
  </si>
  <si>
    <t>Warsaw - 2201 Richmond</t>
  </si>
  <si>
    <t>VA</t>
  </si>
  <si>
    <t>Randolf (VA) - ODEC</t>
  </si>
  <si>
    <t>Mount Jackson - Randolf</t>
  </si>
  <si>
    <t>Monroe Solar (MEC) - ODEC</t>
  </si>
  <si>
    <t>Callands Gretna - Monroe</t>
  </si>
  <si>
    <t>Smallmouth Bass (BARC) - ODEC</t>
  </si>
  <si>
    <t>Rockbridge Baths - Small Mouth Bass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</si>
</sst>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sz val="11"/>
      <name val="Calibri"/>
      <family val="2"/>
      <scheme val="minor"/>
    </font>
    <font>
      <sz val="8"/>
      <name val="Arial"/>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9" fillId="0" borderId="0" applyNumberFormat="0" applyFill="0" applyBorder="0" applyAlignment="0" applyProtection="0"/>
  </cellStyleXfs>
  <cellXfs count="74">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0" fontId="3" fillId="0" borderId="0" xfId="0" applyFont="1"/>
    <xf numFmtId="0" fontId="36" fillId="0" borderId="0" xfId="0" applyFont="1"/>
    <xf numFmtId="49" fontId="37" fillId="38" borderId="0" xfId="2" applyNumberFormat="1" applyFont="1" applyFill="1" applyBorder="1" applyAlignment="1">
      <alignment horizontal="left" vertical="top" wrapText="1"/>
    </xf>
    <xf numFmtId="164" fontId="29" fillId="44" borderId="0" xfId="1" applyNumberFormat="1" applyFont="1" applyFill="1" applyAlignment="1">
      <alignment horizontal="center" vertical="center"/>
    </xf>
    <xf numFmtId="3" fontId="31" fillId="4" borderId="0" xfId="1" applyNumberFormat="1" applyFont="1" applyFill="1" applyBorder="1" applyAlignment="1">
      <alignment vertical="center" wrapText="1"/>
    </xf>
    <xf numFmtId="49" fontId="29" fillId="0" borderId="0" xfId="0" applyNumberFormat="1" applyFont="1" applyAlignment="1">
      <alignment horizontal="left" vertical="top" wrapText="1"/>
    </xf>
    <xf numFmtId="49" fontId="1" fillId="0" borderId="0" xfId="0" applyNumberFormat="1" applyFont="1" applyAlignment="1">
      <alignment horizontal="left" vertical="center" wrapText="1"/>
    </xf>
    <xf numFmtId="49" fontId="31" fillId="38" borderId="0" xfId="2" applyNumberFormat="1" applyFont="1" applyFill="1" applyBorder="1" applyAlignment="1">
      <alignment horizontal="left" vertical="top" wrapText="1"/>
    </xf>
    <xf numFmtId="0" fontId="35" fillId="40" borderId="0" xfId="0" applyFont="1" applyFill="1" applyAlignment="1">
      <alignment horizontal="center" vertical="center"/>
    </xf>
    <xf numFmtId="164" fontId="29" fillId="0" borderId="0" xfId="1" applyNumberFormat="1" applyFont="1" applyAlignment="1">
      <alignment horizontal="center" vertical="center"/>
    </xf>
    <xf numFmtId="9" fontId="31" fillId="0" borderId="0" xfId="2" applyFont="1" applyAlignment="1">
      <alignment horizontal="center" vertical="center"/>
    </xf>
    <xf numFmtId="3" fontId="31" fillId="0" borderId="0" xfId="1" applyNumberFormat="1" applyFont="1" applyFill="1" applyBorder="1" applyAlignment="1">
      <alignment vertical="center" wrapText="1"/>
    </xf>
    <xf numFmtId="49" fontId="29" fillId="0" borderId="0" xfId="0" applyNumberFormat="1" applyFont="1" applyAlignment="1">
      <alignment vertical="top" wrapText="1"/>
    </xf>
    <xf numFmtId="9" fontId="31" fillId="37" borderId="0" xfId="2" applyFont="1" applyFill="1" applyAlignment="1">
      <alignment horizontal="center" vertical="center"/>
    </xf>
    <xf numFmtId="3" fontId="31" fillId="0" borderId="0" xfId="1" applyNumberFormat="1" applyFont="1" applyAlignment="1">
      <alignment vertical="center"/>
    </xf>
    <xf numFmtId="0" fontId="6" fillId="45" borderId="1" xfId="0" applyFont="1" applyFill="1" applyBorder="1" applyAlignment="1">
      <alignment horizontal="left" vertical="top"/>
    </xf>
    <xf numFmtId="49" fontId="39" fillId="38" borderId="0" xfId="45" applyNumberFormat="1" applyFill="1" applyBorder="1" applyAlignment="1">
      <alignment horizontal="left" vertical="top" wrapText="1"/>
    </xf>
    <xf numFmtId="49" fontId="39" fillId="0" borderId="0" xfId="45" applyNumberFormat="1" applyAlignment="1">
      <alignment horizontal="left" vertical="top" wrapText="1"/>
    </xf>
    <xf numFmtId="0" fontId="39" fillId="0" borderId="0" xfId="45" applyAlignment="1">
      <alignment horizontal="left" vertical="top"/>
    </xf>
    <xf numFmtId="0" fontId="0" fillId="0" borderId="0" xfId="0" applyAlignment="1">
      <alignment horizontal="left" vertical="top"/>
    </xf>
    <xf numFmtId="49" fontId="31" fillId="38" borderId="0" xfId="2" applyNumberFormat="1" applyFont="1" applyFill="1" applyAlignment="1">
      <alignment horizontal="left" vertical="top" wrapText="1"/>
    </xf>
    <xf numFmtId="49" fontId="1" fillId="0" borderId="0" xfId="0" applyNumberFormat="1" applyFont="1" applyAlignment="1">
      <alignment horizontal="left" vertical="top" wrapText="1"/>
    </xf>
    <xf numFmtId="0" fontId="31" fillId="0" borderId="0" xfId="0" applyFont="1" applyAlignment="1">
      <alignment vertical="center"/>
    </xf>
    <xf numFmtId="0" fontId="36" fillId="0" borderId="0" xfId="0" applyFont="1" applyAlignment="1">
      <alignment horizontal="center" vertical="center"/>
    </xf>
    <xf numFmtId="49" fontId="39" fillId="0" borderId="0" xfId="45" applyNumberFormat="1" applyAlignment="1">
      <alignment horizontal="left" vertical="center" wrapText="1"/>
    </xf>
    <xf numFmtId="49" fontId="39" fillId="38" borderId="0" xfId="45" applyNumberFormat="1" applyFill="1" applyBorder="1" applyAlignment="1">
      <alignment vertical="top" wrapText="1"/>
    </xf>
    <xf numFmtId="3" fontId="31" fillId="0" borderId="0" xfId="1" applyNumberFormat="1" applyFont="1" applyFill="1" applyBorder="1" applyAlignment="1">
      <alignment horizontal="right" vertical="center"/>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51">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3" totalsRowShown="0">
  <autoFilter ref="A3:E13"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6181" TargetMode="External"/><Relationship Id="rId13" Type="http://schemas.openxmlformats.org/officeDocument/2006/relationships/hyperlink" Target="https://us3.assetplanner.com/service_request?ID=094062" TargetMode="External"/><Relationship Id="rId3" Type="http://schemas.openxmlformats.org/officeDocument/2006/relationships/hyperlink" Target="https://us3.assetplanner.com/service_request?ID=093905" TargetMode="External"/><Relationship Id="rId7" Type="http://schemas.openxmlformats.org/officeDocument/2006/relationships/hyperlink" Target="https://us3.assetplanner.com/service_request?ID=095849" TargetMode="External"/><Relationship Id="rId12" Type="http://schemas.openxmlformats.org/officeDocument/2006/relationships/hyperlink" Target="https://us3.assetplanner.com/service_request?ID=091277" TargetMode="External"/><Relationship Id="rId2" Type="http://schemas.openxmlformats.org/officeDocument/2006/relationships/hyperlink" Target="https://us3.assetplanner.com/service_request?ID=095824" TargetMode="External"/><Relationship Id="rId1" Type="http://schemas.openxmlformats.org/officeDocument/2006/relationships/hyperlink" Target="https://us3.assetplanner.com/service_request?ID=095491" TargetMode="External"/><Relationship Id="rId6" Type="http://schemas.openxmlformats.org/officeDocument/2006/relationships/hyperlink" Target="https://us3.assetplanner.com/service_request?ID=094033" TargetMode="External"/><Relationship Id="rId11" Type="http://schemas.openxmlformats.org/officeDocument/2006/relationships/hyperlink" Target="https://us3.assetplanner.com/service_request?ID=096074" TargetMode="External"/><Relationship Id="rId5" Type="http://schemas.openxmlformats.org/officeDocument/2006/relationships/hyperlink" Target="https://us3.assetplanner.com/service_request?ID=093458" TargetMode="External"/><Relationship Id="rId10" Type="http://schemas.openxmlformats.org/officeDocument/2006/relationships/hyperlink" Target="https://us3.assetplanner.com/service_request?ID=096122" TargetMode="External"/><Relationship Id="rId4" Type="http://schemas.openxmlformats.org/officeDocument/2006/relationships/hyperlink" Target="https://us3.assetplanner.com/service_request?ID=096263" TargetMode="External"/><Relationship Id="rId9" Type="http://schemas.openxmlformats.org/officeDocument/2006/relationships/hyperlink" Target="https://us3.assetplanner.com/service_request?ID=095130" TargetMode="External"/><Relationship Id="rId1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663" TargetMode="External"/><Relationship Id="rId13" Type="http://schemas.openxmlformats.org/officeDocument/2006/relationships/hyperlink" Target="https://us3.assetplanner.com/service_request?ID=097728" TargetMode="External"/><Relationship Id="rId18" Type="http://schemas.openxmlformats.org/officeDocument/2006/relationships/hyperlink" Target="https://us3.assetplanner.com/service_request?ID=097757" TargetMode="External"/><Relationship Id="rId3" Type="http://schemas.openxmlformats.org/officeDocument/2006/relationships/hyperlink" Target="https://us3.assetplanner.com/service_request?ID=093458" TargetMode="External"/><Relationship Id="rId21" Type="http://schemas.openxmlformats.org/officeDocument/2006/relationships/hyperlink" Target="https://us3.assetplanner.com/service_request?ID=096700" TargetMode="External"/><Relationship Id="rId7" Type="http://schemas.openxmlformats.org/officeDocument/2006/relationships/hyperlink" Target="https://us3.assetplanner.com/service_request?ID=097622" TargetMode="External"/><Relationship Id="rId12" Type="http://schemas.openxmlformats.org/officeDocument/2006/relationships/hyperlink" Target="https://us3.assetplanner.com/service_request?ID=085269" TargetMode="External"/><Relationship Id="rId17" Type="http://schemas.openxmlformats.org/officeDocument/2006/relationships/hyperlink" Target="https://us3.assetplanner.com/service_request?ID=097433" TargetMode="External"/><Relationship Id="rId2" Type="http://schemas.openxmlformats.org/officeDocument/2006/relationships/hyperlink" Target="https://us3.assetplanner.com/service_request?ID=096263" TargetMode="External"/><Relationship Id="rId16" Type="http://schemas.openxmlformats.org/officeDocument/2006/relationships/hyperlink" Target="https://us3.assetplanner.com/service_request?ID=096778" TargetMode="External"/><Relationship Id="rId20" Type="http://schemas.openxmlformats.org/officeDocument/2006/relationships/hyperlink" Target="https://us3.assetplanner.com/service_request?ID=091277" TargetMode="External"/><Relationship Id="rId1" Type="http://schemas.openxmlformats.org/officeDocument/2006/relationships/hyperlink" Target="https://us3.assetplanner.com/service_request?ID=095824" TargetMode="External"/><Relationship Id="rId6" Type="http://schemas.openxmlformats.org/officeDocument/2006/relationships/hyperlink" Target="https://us3.assetplanner.com/service_request?ID=097304" TargetMode="External"/><Relationship Id="rId11" Type="http://schemas.openxmlformats.org/officeDocument/2006/relationships/hyperlink" Target="https://us3.assetplanner.com/service_request?ID=083529" TargetMode="External"/><Relationship Id="rId5" Type="http://schemas.openxmlformats.org/officeDocument/2006/relationships/hyperlink" Target="https://us3.assetplanner.com/service_request?ID=094033" TargetMode="External"/><Relationship Id="rId15" Type="http://schemas.openxmlformats.org/officeDocument/2006/relationships/hyperlink" Target="https://us3.assetplanner.com/service_request?ID=096074" TargetMode="External"/><Relationship Id="rId10" Type="http://schemas.openxmlformats.org/officeDocument/2006/relationships/hyperlink" Target="https://us3.assetplanner.com/service_request?ID=095849" TargetMode="External"/><Relationship Id="rId19" Type="http://schemas.openxmlformats.org/officeDocument/2006/relationships/hyperlink" Target="https://us3.assetplanner.com/service_request?ID=097908" TargetMode="External"/><Relationship Id="rId4" Type="http://schemas.openxmlformats.org/officeDocument/2006/relationships/hyperlink" Target="https://us3.assetplanner.com/service_request?ID=096391" TargetMode="External"/><Relationship Id="rId9" Type="http://schemas.openxmlformats.org/officeDocument/2006/relationships/hyperlink" Target="https://us3.assetplanner.com/service_request?ID=097884" TargetMode="External"/><Relationship Id="rId14" Type="http://schemas.openxmlformats.org/officeDocument/2006/relationships/hyperlink" Target="https://us3.assetplanner.com/service_request?ID=096181" TargetMode="External"/><Relationship Id="rId22" Type="http://schemas.openxmlformats.org/officeDocument/2006/relationships/hyperlink" Target="https://us3.assetplanner.com/service_request?ID=094062"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304" TargetMode="External"/><Relationship Id="rId13" Type="http://schemas.openxmlformats.org/officeDocument/2006/relationships/hyperlink" Target="https://us3.assetplanner.com/service_request?ID=099224" TargetMode="External"/><Relationship Id="rId18" Type="http://schemas.openxmlformats.org/officeDocument/2006/relationships/hyperlink" Target="https://us3.assetplanner.com/service_request?ID=097757" TargetMode="External"/><Relationship Id="rId3" Type="http://schemas.openxmlformats.org/officeDocument/2006/relationships/hyperlink" Target="https://us3.assetplanner.com/service_request?ID=096263" TargetMode="External"/><Relationship Id="rId21" Type="http://schemas.openxmlformats.org/officeDocument/2006/relationships/hyperlink" Target="https://us3.assetplanner.com/service_request?ID=097908" TargetMode="External"/><Relationship Id="rId7" Type="http://schemas.openxmlformats.org/officeDocument/2006/relationships/hyperlink" Target="https://us3.assetplanner.com/service_request?ID=098248" TargetMode="External"/><Relationship Id="rId12" Type="http://schemas.openxmlformats.org/officeDocument/2006/relationships/hyperlink" Target="https://us3.assetplanner.com/service_request?ID=095849" TargetMode="External"/><Relationship Id="rId17" Type="http://schemas.openxmlformats.org/officeDocument/2006/relationships/hyperlink" Target="https://us3.assetplanner.com/service_request?ID=098302" TargetMode="External"/><Relationship Id="rId2" Type="http://schemas.openxmlformats.org/officeDocument/2006/relationships/hyperlink" Target="https://us3.assetplanner.com/service_request?ID=098228" TargetMode="External"/><Relationship Id="rId16" Type="http://schemas.openxmlformats.org/officeDocument/2006/relationships/hyperlink" Target="https://us3.assetplanner.com/service_request?ID=097945" TargetMode="External"/><Relationship Id="rId20" Type="http://schemas.openxmlformats.org/officeDocument/2006/relationships/hyperlink" Target="https://us3.assetplanner.com/service_request?ID=098566" TargetMode="External"/><Relationship Id="rId1" Type="http://schemas.openxmlformats.org/officeDocument/2006/relationships/hyperlink" Target="https://us3.assetplanner.com/service_request?ID=095824" TargetMode="External"/><Relationship Id="rId6" Type="http://schemas.openxmlformats.org/officeDocument/2006/relationships/hyperlink" Target="https://us3.assetplanner.com/service_request?ID=098335" TargetMode="External"/><Relationship Id="rId11" Type="http://schemas.openxmlformats.org/officeDocument/2006/relationships/hyperlink" Target="https://us3.assetplanner.com/service_request?ID=099221" TargetMode="External"/><Relationship Id="rId24" Type="http://schemas.openxmlformats.org/officeDocument/2006/relationships/hyperlink" Target="https://us3.assetplanner.com/service_request?ID=097305" TargetMode="External"/><Relationship Id="rId5" Type="http://schemas.openxmlformats.org/officeDocument/2006/relationships/hyperlink" Target="https://us3.assetplanner.com/service_request?ID=099185" TargetMode="External"/><Relationship Id="rId15" Type="http://schemas.openxmlformats.org/officeDocument/2006/relationships/hyperlink" Target="https://us3.assetplanner.com/service_request?ID=096181" TargetMode="External"/><Relationship Id="rId23" Type="http://schemas.openxmlformats.org/officeDocument/2006/relationships/hyperlink" Target="https://us3.assetplanner.com/service_request?ID=096700" TargetMode="External"/><Relationship Id="rId10" Type="http://schemas.openxmlformats.org/officeDocument/2006/relationships/hyperlink" Target="https://us3.assetplanner.com/service_request?ID=098364" TargetMode="External"/><Relationship Id="rId19" Type="http://schemas.openxmlformats.org/officeDocument/2006/relationships/hyperlink" Target="https://us3.assetplanner.com/service_request?ID=096778" TargetMode="External"/><Relationship Id="rId4" Type="http://schemas.openxmlformats.org/officeDocument/2006/relationships/hyperlink" Target="https://us3.assetplanner.com/service_request?ID=093458" TargetMode="External"/><Relationship Id="rId9" Type="http://schemas.openxmlformats.org/officeDocument/2006/relationships/hyperlink" Target="https://us3.assetplanner.com/service_request?ID=097884" TargetMode="External"/><Relationship Id="rId14" Type="http://schemas.openxmlformats.org/officeDocument/2006/relationships/hyperlink" Target="https://us3.assetplanner.com/service_request?ID=097728" TargetMode="External"/><Relationship Id="rId22" Type="http://schemas.openxmlformats.org/officeDocument/2006/relationships/hyperlink" Target="https://us3.assetplanner.com/service_request?ID=091277"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099593" TargetMode="External"/><Relationship Id="rId7" Type="http://schemas.openxmlformats.org/officeDocument/2006/relationships/hyperlink" Target="https://us3.assetplanner.com/service_request?ID=099478" TargetMode="External"/><Relationship Id="rId2" Type="http://schemas.openxmlformats.org/officeDocument/2006/relationships/hyperlink" Target="https://us3.assetplanner.com/service_request?ID=095824" TargetMode="External"/><Relationship Id="rId1" Type="http://schemas.openxmlformats.org/officeDocument/2006/relationships/hyperlink" Target="https://us3.assetplanner.com/service_request?ID=099790" TargetMode="External"/><Relationship Id="rId6" Type="http://schemas.openxmlformats.org/officeDocument/2006/relationships/hyperlink" Target="https://us3.assetplanner.com/service_request?ID=099185" TargetMode="External"/><Relationship Id="rId5" Type="http://schemas.openxmlformats.org/officeDocument/2006/relationships/hyperlink" Target="https://us3.assetplanner.com/service_request?ID=099994" TargetMode="External"/><Relationship Id="rId4" Type="http://schemas.openxmlformats.org/officeDocument/2006/relationships/hyperlink" Target="https://us3.assetplanner.com/service_request?ID=096263"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3"/>
  <sheetViews>
    <sheetView workbookViewId="0">
      <pane xSplit="2" ySplit="3" topLeftCell="C4" activePane="bottomRight" state="frozen"/>
      <selection pane="bottomRight" activeCell="H22" sqref="H22"/>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1" t="str" cm="1">
        <f t="array" ref="A1">portfolio</f>
        <v>Ecofin</v>
      </c>
      <c r="B1" s="71"/>
      <c r="C1" s="71"/>
      <c r="D1" s="72" t="s">
        <v>0</v>
      </c>
      <c r="E1" s="72"/>
      <c r="F1" s="72"/>
      <c r="G1" s="70" t="s">
        <v>1</v>
      </c>
      <c r="H1" s="70"/>
      <c r="I1" s="70"/>
    </row>
    <row r="2" spans="1:9" ht="19.5" customHeight="1">
      <c r="A2" s="73" t="s">
        <v>2</v>
      </c>
      <c r="B2" s="73"/>
      <c r="C2" s="6">
        <f>SUM(C4:C91)</f>
        <v>8551158.5583724231</v>
      </c>
      <c r="D2" s="6">
        <f>SUM(D4:D91)</f>
        <v>11103352.706246836</v>
      </c>
      <c r="E2" s="6">
        <f>C2-D2</f>
        <v>-2552194.1478744131</v>
      </c>
      <c r="F2" s="7">
        <f>IFERROR(E2/D2, 0)</f>
        <v>-0.22985797311820311</v>
      </c>
      <c r="G2" s="6" t="e">
        <f>SUM(G4:G91)</f>
        <v>#VALUE!</v>
      </c>
      <c r="H2" s="8" t="e">
        <f>C2-G2</f>
        <v>#VALUE!</v>
      </c>
      <c r="I2" s="7">
        <f>IFERROR(H2/G2, 0)</f>
        <v>0</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SUM('1st Qtr'!C4, '2nd Qtr'!C4, '3rd Qtr'!C4, '4th Qtr'!C4)</f>
        <v>291807</v>
      </c>
      <c r="D4" s="14">
        <f>SUM('1st Qtr'!D4, '2nd Qtr'!D4, '3rd Qtr'!D4, '4th Qtr'!D4)</f>
        <v>391331.98709583562</v>
      </c>
      <c r="E4" s="14">
        <f>IF(AND(ISNUMBER(C4),ISNUMBER(D4)), C4-D4, "")</f>
        <v>-99524.987095835619</v>
      </c>
      <c r="F4" s="15">
        <f>IFERROR(E4/D4, "")</f>
        <v>-0.25432366987026378</v>
      </c>
      <c r="G4" s="16">
        <f>SUM('1st Qtr'!G4, '2nd Qtr'!G4, '3rd Qtr'!G4, '4th Qtr'!G4)</f>
        <v>351495.62</v>
      </c>
      <c r="H4" s="16">
        <f>SUM('1st Qtr'!H4, '2nd Qtr'!H4, '3rd Qtr'!H4, '4th Qtr'!H4)</f>
        <v>-59688.620000000024</v>
      </c>
      <c r="I4" s="56">
        <f>IFERROR(H4/G4, "")</f>
        <v>-0.16981326822792281</v>
      </c>
    </row>
    <row r="5" spans="1:9" ht="15.6">
      <c r="A5" s="18" t="str">
        <v>San Luis Valley</v>
      </c>
      <c r="B5" s="11" t="str">
        <v>CO</v>
      </c>
      <c r="C5" s="19">
        <f>SUM('1st Qtr'!C5, '2nd Qtr'!C5, '3rd Qtr'!C5, '4th Qtr'!C5)</f>
        <v>772059.625</v>
      </c>
      <c r="D5" s="19">
        <f>SUM('1st Qtr'!D5, '2nd Qtr'!D5, '3rd Qtr'!D5, '4th Qtr'!D5)</f>
        <v>786420.1</v>
      </c>
      <c r="E5" s="19">
        <f t="shared" ref="E5:E6" si="0">IF(AND(ISNUMBER(C5),ISNUMBER(D5)), C5-D5, "")</f>
        <v>-14360.474999999977</v>
      </c>
      <c r="F5" s="20">
        <f>IFERROR(E5/D5, "")</f>
        <v>-1.8260564550677146E-2</v>
      </c>
      <c r="G5" s="21" t="e">
        <f>SUM('1st Qtr'!G5, '2nd Qtr'!G5, '3rd Qtr'!G5, '4th Qtr'!G5)</f>
        <v>#VALUE!</v>
      </c>
      <c r="H5" s="57">
        <f>SUM('1st Qtr'!H5, '2nd Qtr'!H5, '3rd Qtr'!H5, '4th Qtr'!H5)</f>
        <v>728098.06570000004</v>
      </c>
      <c r="I5" s="20" t="str">
        <f>IFERROR(H5/G5, "")</f>
        <v/>
      </c>
    </row>
    <row r="6" spans="1:9" ht="15.6">
      <c r="A6" s="13" t="str">
        <v>Golden NREL 2</v>
      </c>
      <c r="B6" s="10" t="str">
        <v>CO</v>
      </c>
      <c r="C6" s="25">
        <f>SUM('1st Qtr'!C6, '2nd Qtr'!C6, '3rd Qtr'!C6, '4th Qtr'!C6)</f>
        <v>35333</v>
      </c>
      <c r="D6" s="14">
        <f>SUM('1st Qtr'!D6, '2nd Qtr'!D6, '3rd Qtr'!D6, '4th Qtr'!D6)</f>
        <v>32647.266151000003</v>
      </c>
      <c r="E6" s="14">
        <f t="shared" si="0"/>
        <v>2685.7338489999966</v>
      </c>
      <c r="F6" s="15">
        <f t="shared" ref="F6:F13" si="1">IFERROR(E6/D6, "")</f>
        <v>8.2265199069899181E-2</v>
      </c>
      <c r="G6" s="16">
        <f>SUM('1st Qtr'!G6, '2nd Qtr'!G6, '3rd Qtr'!G6, '4th Qtr'!G6)</f>
        <v>41423.08</v>
      </c>
      <c r="H6" s="16">
        <f>SUM('1st Qtr'!H6, '2nd Qtr'!H6, '3rd Qtr'!H6, '4th Qtr'!H6)</f>
        <v>-6090.08</v>
      </c>
      <c r="I6" s="17">
        <f t="shared" ref="I6:I13" si="2">IFERROR(H6/G6, "")</f>
        <v>-0.14702141897705337</v>
      </c>
    </row>
    <row r="7" spans="1:9" ht="15.6">
      <c r="A7" s="18" t="str">
        <v>Golden NREL Wind 3</v>
      </c>
      <c r="B7" s="11" t="str">
        <v>CO</v>
      </c>
      <c r="C7" s="19">
        <f>SUM('1st Qtr'!C7, '2nd Qtr'!C7, '3rd Qtr'!C7, '4th Qtr'!C7)</f>
        <v>272554.03014125</v>
      </c>
      <c r="D7" s="19">
        <f>SUM('1st Qtr'!D7, '2nd Qtr'!D7, '3rd Qtr'!D7, '4th Qtr'!D7)</f>
        <v>412379.815</v>
      </c>
      <c r="E7" s="19">
        <f t="shared" ref="E7:E13" si="3">IF(AND(ISNUMBER(C7),ISNUMBER(D7)), C7-D7, "")</f>
        <v>-139825.78485875</v>
      </c>
      <c r="F7" s="20">
        <f t="shared" si="1"/>
        <v>-0.33907039038452935</v>
      </c>
      <c r="G7" s="21" t="e">
        <f>SUM('1st Qtr'!G7, '2nd Qtr'!G7, '3rd Qtr'!G7, '4th Qtr'!G7)</f>
        <v>#VALUE!</v>
      </c>
      <c r="H7" s="21">
        <f>SUM('1st Qtr'!H7, '2nd Qtr'!H7, '3rd Qtr'!H7, '4th Qtr'!H7)</f>
        <v>193034.7190475</v>
      </c>
      <c r="I7" s="20" t="str">
        <f t="shared" si="2"/>
        <v/>
      </c>
    </row>
    <row r="8" spans="1:9" ht="15.6">
      <c r="A8" s="13" t="str">
        <v>Pratt Solar Farm</v>
      </c>
      <c r="B8" s="10" t="str">
        <v>KS</v>
      </c>
      <c r="C8" s="25">
        <f>SUM('1st Qtr'!C8, '2nd Qtr'!C8, '3rd Qtr'!C8, '4th Qtr'!C8)</f>
        <v>1978560</v>
      </c>
      <c r="D8" s="14">
        <f>SUM('1st Qtr'!D8, '2nd Qtr'!D8, '3rd Qtr'!D8, '4th Qtr'!D8)</f>
        <v>4117171.909</v>
      </c>
      <c r="E8" s="14">
        <f t="shared" si="3"/>
        <v>-2138611.909</v>
      </c>
      <c r="F8" s="15">
        <f t="shared" si="1"/>
        <v>-0.51943711758186872</v>
      </c>
      <c r="G8" s="16">
        <f>SUM('1st Qtr'!G8, '2nd Qtr'!G8, '3rd Qtr'!G8, '4th Qtr'!G8)</f>
        <v>3808406.9299999997</v>
      </c>
      <c r="H8" s="16">
        <f>SUM('1st Qtr'!H8, '2nd Qtr'!H8, '3rd Qtr'!H8, '4th Qtr'!H8)</f>
        <v>-1829846.9300000002</v>
      </c>
      <c r="I8" s="17">
        <f t="shared" si="2"/>
        <v>-0.48047568540686392</v>
      </c>
    </row>
    <row r="9" spans="1:9" ht="12.75" customHeight="1">
      <c r="A9" s="18" t="str">
        <v>Rochester - 5516 Valleyhigh NW</v>
      </c>
      <c r="B9" s="11" t="str">
        <v>MN</v>
      </c>
      <c r="C9" s="19">
        <f>SUM('1st Qtr'!C9, '2nd Qtr'!C9, '3rd Qtr'!C9, '4th Qtr'!C9)</f>
        <v>2374799</v>
      </c>
      <c r="D9" s="19">
        <f>SUM('1st Qtr'!D9, '2nd Qtr'!D9, '3rd Qtr'!D9, '4th Qtr'!D9)</f>
        <v>2609126.2000000002</v>
      </c>
      <c r="E9" s="19">
        <f t="shared" si="3"/>
        <v>-234327.20000000019</v>
      </c>
      <c r="F9" s="20">
        <f t="shared" si="1"/>
        <v>-8.9810604025209725E-2</v>
      </c>
      <c r="G9" s="21">
        <f>SUM('1st Qtr'!G9, '2nd Qtr'!G9, '3rd Qtr'!G9, '4th Qtr'!G9)</f>
        <v>2510275.5</v>
      </c>
      <c r="H9" s="21">
        <f>SUM('1st Qtr'!H9, '2nd Qtr'!H9, '3rd Qtr'!H9, '4th Qtr'!H9)</f>
        <v>-135476.5</v>
      </c>
      <c r="I9" s="20">
        <f t="shared" si="2"/>
        <v>-5.3968777530593752E-2</v>
      </c>
    </row>
    <row r="10" spans="1:9" ht="15.6">
      <c r="A10" s="13" t="str">
        <v>Warsaw - 2201 Richmond</v>
      </c>
      <c r="B10" s="10" t="str">
        <v>VA</v>
      </c>
      <c r="C10" s="25">
        <f>SUM('1st Qtr'!C10, '2nd Qtr'!C10, '3rd Qtr'!C10, '4th Qtr'!C10)</f>
        <v>1384836.0999999989</v>
      </c>
      <c r="D10" s="14">
        <f>SUM('1st Qtr'!D10, '2nd Qtr'!D10, '3rd Qtr'!D10, '4th Qtr'!D10)</f>
        <v>1541238.5</v>
      </c>
      <c r="E10" s="14">
        <f t="shared" si="3"/>
        <v>-156402.40000000107</v>
      </c>
      <c r="F10" s="15">
        <f t="shared" si="1"/>
        <v>-0.10147838897094841</v>
      </c>
      <c r="G10" s="16">
        <f>SUM('1st Qtr'!G10, '2nd Qtr'!G10, '3rd Qtr'!G10, '4th Qtr'!G10)</f>
        <v>1483119.35</v>
      </c>
      <c r="H10" s="16">
        <f>SUM('1st Qtr'!H10, '2nd Qtr'!H10, '3rd Qtr'!H10, '4th Qtr'!H10)</f>
        <v>-98283.25000000099</v>
      </c>
      <c r="I10" s="17">
        <f t="shared" si="2"/>
        <v>-6.6267930493928887E-2</v>
      </c>
    </row>
    <row r="11" spans="1:9" ht="15.6">
      <c r="A11" s="18" t="str">
        <v>Mount Jackson - Randolf</v>
      </c>
      <c r="B11" s="11" t="str">
        <v>VA</v>
      </c>
      <c r="C11" s="19">
        <f>SUM('1st Qtr'!C11, '2nd Qtr'!C11, '3rd Qtr'!C11, '4th Qtr'!C11)</f>
        <v>775388.80323117494</v>
      </c>
      <c r="D11" s="19">
        <f>SUM('1st Qtr'!D11, '2nd Qtr'!D11, '3rd Qtr'!D11, '4th Qtr'!D11)</f>
        <v>778421.83899999992</v>
      </c>
      <c r="E11" s="19">
        <f t="shared" si="3"/>
        <v>-3033.0357688249787</v>
      </c>
      <c r="F11" s="20">
        <f t="shared" si="1"/>
        <v>-3.8963908986949414E-3</v>
      </c>
      <c r="G11" s="21">
        <f>SUM('1st Qtr'!G11, '2nd Qtr'!G11, '3rd Qtr'!G11, '4th Qtr'!G11)</f>
        <v>1000099.6</v>
      </c>
      <c r="H11" s="21">
        <f>SUM('1st Qtr'!H11, '2nd Qtr'!H11, '3rd Qtr'!H11, '4th Qtr'!H11)</f>
        <v>-224710.79676882501</v>
      </c>
      <c r="I11" s="20">
        <f t="shared" si="2"/>
        <v>-0.22468841780241189</v>
      </c>
    </row>
    <row r="12" spans="1:9" ht="15.6">
      <c r="A12" s="13" t="str">
        <v>Callands Gretna - Monroe</v>
      </c>
      <c r="B12" s="10" t="str">
        <v>VA</v>
      </c>
      <c r="C12" s="25">
        <f>SUM('1st Qtr'!C12, '2nd Qtr'!C12, '3rd Qtr'!C12, '4th Qtr'!C12)</f>
        <v>665821</v>
      </c>
      <c r="D12" s="14">
        <f>SUM('1st Qtr'!D12, '2nd Qtr'!D12, '3rd Qtr'!D12, '4th Qtr'!D12)</f>
        <v>434615.08999999997</v>
      </c>
      <c r="E12" s="14">
        <f t="shared" si="3"/>
        <v>231205.91000000003</v>
      </c>
      <c r="F12" s="15">
        <f t="shared" si="1"/>
        <v>0.53197856061555537</v>
      </c>
      <c r="G12" s="16">
        <f>SUM('1st Qtr'!G12, '2nd Qtr'!G12, '3rd Qtr'!G12, '4th Qtr'!G12)</f>
        <v>723637.5</v>
      </c>
      <c r="H12" s="16">
        <f>SUM('1st Qtr'!H12, '2nd Qtr'!H12, '3rd Qtr'!H12, '4th Qtr'!H12)</f>
        <v>-57816.5</v>
      </c>
      <c r="I12" s="17">
        <f t="shared" si="2"/>
        <v>-7.9897047900364476E-2</v>
      </c>
    </row>
    <row r="13" spans="1:9" ht="15.6">
      <c r="A13" s="18" t="str">
        <v>Rockbridge Baths - Small Mouth Bass</v>
      </c>
      <c r="B13" s="11" t="str">
        <v>VA</v>
      </c>
      <c r="C13" s="19">
        <f>SUM('1st Qtr'!C13, '2nd Qtr'!C13, '3rd Qtr'!C13, '4th Qtr'!C13)</f>
        <v>0</v>
      </c>
      <c r="D13" s="19">
        <f>SUM('1st Qtr'!D13, '2nd Qtr'!D13, '3rd Qtr'!D13, '4th Qtr'!D13)</f>
        <v>0</v>
      </c>
      <c r="E13" s="19">
        <f t="shared" si="3"/>
        <v>0</v>
      </c>
      <c r="F13" s="20" t="str">
        <f t="shared" si="1"/>
        <v/>
      </c>
      <c r="G13" s="21">
        <f>SUM('1st Qtr'!G13, '2nd Qtr'!G13, '3rd Qtr'!G13, '4th Qtr'!G13)</f>
        <v>0</v>
      </c>
      <c r="H13" s="21">
        <f>SUM('1st Qtr'!H13, '2nd Qtr'!H13, '3rd Qtr'!H13, '4th Qtr'!H13)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autoFilter ref="A2:I2" xr:uid="{D5C25034-9971-4A61-864F-C938F31EB1B8}"/>
  <mergeCells count="4">
    <mergeCell ref="G1:I1"/>
    <mergeCell ref="A1:C1"/>
    <mergeCell ref="D1:F1"/>
    <mergeCell ref="A2:B2"/>
  </mergeCells>
  <conditionalFormatting sqref="F2 I2 F4:F91 I4:I91">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3"/>
  <sheetViews>
    <sheetView workbookViewId="0">
      <pane xSplit="2" ySplit="3" topLeftCell="C4" activePane="bottomRight" state="frozen"/>
      <selection pane="bottomRight" activeCell="H19" sqref="H19"/>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1" t="str" cm="1">
        <f t="array" ref="A1">portfolio</f>
        <v>Ecofin</v>
      </c>
      <c r="B1" s="71"/>
      <c r="C1" s="71"/>
      <c r="D1" s="72" t="s">
        <v>10</v>
      </c>
      <c r="E1" s="72"/>
      <c r="F1" s="72"/>
      <c r="G1" s="70" t="s">
        <v>11</v>
      </c>
      <c r="H1" s="70"/>
      <c r="I1" s="70"/>
    </row>
    <row r="2" spans="1:9" ht="19.5" customHeight="1">
      <c r="A2" s="73" t="s">
        <v>2</v>
      </c>
      <c r="B2" s="73"/>
      <c r="C2" s="6">
        <f>SUM(C4:C91)</f>
        <v>7828410.9972786736</v>
      </c>
      <c r="D2" s="6">
        <f>SUM(D4:D91)</f>
        <v>9581522.090431001</v>
      </c>
      <c r="E2" s="6">
        <f>C2-D2</f>
        <v>-1753111.0931523275</v>
      </c>
      <c r="F2" s="7">
        <f>IFERROR(E2/D2, 0)</f>
        <v>-0.18296791225927947</v>
      </c>
      <c r="G2" s="6">
        <f>SUM(G4:G91)</f>
        <v>8684356.0800000001</v>
      </c>
      <c r="H2" s="8">
        <f>C2-G2</f>
        <v>-855945.0827213265</v>
      </c>
      <c r="I2" s="7">
        <f>IFERROR(H2/G2, 0)</f>
        <v>-9.8561721195721222E-2</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SUM(Jan!C4, Feb!C4, Mar!C4)</f>
        <v>207937</v>
      </c>
      <c r="D4" s="14">
        <f>SUM(Jan!D4, Feb!D4, Mar!D4)</f>
        <v>274034.57530000003</v>
      </c>
      <c r="E4" s="14">
        <f>IF(AND(ISNUMBER(C4),ISNUMBER(D4)), C4-D4, "")</f>
        <v>-66097.575300000026</v>
      </c>
      <c r="F4" s="15">
        <f>IFERROR(E4/D4, "")</f>
        <v>-0.24120159008270961</v>
      </c>
      <c r="G4" s="16">
        <f>SUM(Jan!G4, Feb!G4, Mar!G4)</f>
        <v>222541.9</v>
      </c>
      <c r="H4" s="16">
        <f>SUM(Jan!H4, Feb!H4, Mar!H4)</f>
        <v>-14604.899999999994</v>
      </c>
      <c r="I4" s="17">
        <f>IFERROR(H4/G4, "")</f>
        <v>-6.5627641356526545E-2</v>
      </c>
    </row>
    <row r="5" spans="1:9" ht="15.6">
      <c r="A5" s="18" t="str">
        <v>San Luis Valley</v>
      </c>
      <c r="B5" s="11" t="str">
        <v>CO</v>
      </c>
      <c r="C5" s="12">
        <f>SUM(Jan!C5, Feb!C5, Mar!C5)</f>
        <v>547486.375</v>
      </c>
      <c r="D5" s="19">
        <f>SUM(Jan!D5, Feb!D5, Mar!D5)</f>
        <v>553969.5</v>
      </c>
      <c r="E5" s="19">
        <f t="shared" ref="E5:E6" si="0">IF(AND(ISNUMBER(C5),ISNUMBER(D5)), C5-D5, "")</f>
        <v>-6483.125</v>
      </c>
      <c r="F5" s="20">
        <f>IFERROR(E5/D5, "")</f>
        <v>-1.1703035997469175E-2</v>
      </c>
      <c r="G5" s="21">
        <f>SUM(Jan!G5, Feb!G5, Mar!G5)</f>
        <v>0</v>
      </c>
      <c r="H5" s="21">
        <f>SUM(Jan!H5, Feb!H5, Mar!H5)</f>
        <v>547486.375</v>
      </c>
      <c r="I5" s="20" t="str">
        <f>IFERROR(H5/G5, "")</f>
        <v/>
      </c>
    </row>
    <row r="6" spans="1:9" ht="15.6">
      <c r="A6" s="13" t="str">
        <v>Golden NREL 2</v>
      </c>
      <c r="B6" s="10" t="str">
        <v>CO</v>
      </c>
      <c r="C6" s="25">
        <f>SUM(Jan!C6, Feb!C6, Mar!C6)</f>
        <v>24178</v>
      </c>
      <c r="D6" s="14">
        <f>SUM(Jan!D6, Feb!D6, Mar!D6)</f>
        <v>22334.862131000002</v>
      </c>
      <c r="E6" s="14">
        <f t="shared" si="0"/>
        <v>1843.1378689999983</v>
      </c>
      <c r="F6" s="15">
        <f t="shared" ref="F6:F13" si="1">IFERROR(E6/D6, "")</f>
        <v>8.2522912305860521E-2</v>
      </c>
      <c r="G6" s="16">
        <f>SUM(Jan!G6, Feb!G6, Mar!G6)</f>
        <v>28588.3</v>
      </c>
      <c r="H6" s="16">
        <f>SUM(Jan!H6, Feb!H6, Mar!H6)</f>
        <v>-4410.2999999999993</v>
      </c>
      <c r="I6" s="17">
        <f t="shared" ref="I6:I13" si="2">IFERROR(H6/G6, "")</f>
        <v>-0.15426940391698699</v>
      </c>
    </row>
    <row r="7" spans="1:9" ht="15.6">
      <c r="A7" s="18" t="str">
        <v>Golden NREL Wind 3</v>
      </c>
      <c r="B7" s="11" t="str">
        <v>CO</v>
      </c>
      <c r="C7" s="12">
        <f>SUM(Jan!C7, Feb!C7, Mar!C7)</f>
        <v>193034.7190475</v>
      </c>
      <c r="D7" s="19">
        <f>SUM(Jan!D7, Feb!D7, Mar!D7)</f>
        <v>270721.61499999999</v>
      </c>
      <c r="E7" s="19">
        <f t="shared" ref="E7:E13" si="3">IF(AND(ISNUMBER(C7),ISNUMBER(D7)), C7-D7, "")</f>
        <v>-77686.895952499995</v>
      </c>
      <c r="F7" s="20">
        <f t="shared" si="1"/>
        <v>-0.28696229502213927</v>
      </c>
      <c r="G7" s="21">
        <f>SUM(Jan!G7, Feb!G7, Mar!G7)</f>
        <v>0</v>
      </c>
      <c r="H7" s="21">
        <f>SUM(Jan!H7, Feb!H7, Mar!H7)</f>
        <v>193034.7190475</v>
      </c>
      <c r="I7" s="20" t="str">
        <f t="shared" si="2"/>
        <v/>
      </c>
    </row>
    <row r="8" spans="1:9" ht="15.6">
      <c r="A8" s="13" t="str">
        <v>Pratt Solar Farm</v>
      </c>
      <c r="B8" s="10" t="str">
        <v>KS</v>
      </c>
      <c r="C8" s="25">
        <f>SUM(Jan!C8, Feb!C8, Mar!C8)</f>
        <v>1654930</v>
      </c>
      <c r="D8" s="14">
        <f>SUM(Jan!D8, Feb!D8, Mar!D8)</f>
        <v>3097059.909</v>
      </c>
      <c r="E8" s="14">
        <f t="shared" si="3"/>
        <v>-1442129.909</v>
      </c>
      <c r="F8" s="15">
        <f t="shared" si="1"/>
        <v>-0.46564482166108462</v>
      </c>
      <c r="G8" s="16">
        <f>SUM(Jan!G8, Feb!G8, Mar!G8)</f>
        <v>2716093.9299999997</v>
      </c>
      <c r="H8" s="16">
        <f>SUM(Jan!H8, Feb!H8, Mar!H8)</f>
        <v>-1061163.9300000002</v>
      </c>
      <c r="I8" s="17">
        <f t="shared" si="2"/>
        <v>-0.39069485715466412</v>
      </c>
    </row>
    <row r="9" spans="1:9" ht="12.75" customHeight="1">
      <c r="A9" s="18" t="str">
        <v>Rochester - 5516 Valleyhigh NW</v>
      </c>
      <c r="B9" s="11" t="str">
        <v>MN</v>
      </c>
      <c r="C9" s="12">
        <f>SUM(Jan!C9, Feb!C9, Mar!C9)</f>
        <v>2374799</v>
      </c>
      <c r="D9" s="19">
        <f>SUM(Jan!D9, Feb!D9, Mar!D9)</f>
        <v>2609126.2000000002</v>
      </c>
      <c r="E9" s="19">
        <f t="shared" si="3"/>
        <v>-234327.20000000019</v>
      </c>
      <c r="F9" s="20">
        <f t="shared" si="1"/>
        <v>-8.9810604025209725E-2</v>
      </c>
      <c r="G9" s="21">
        <f>SUM(Jan!G9, Feb!G9, Mar!G9)</f>
        <v>2510275.5</v>
      </c>
      <c r="H9" s="21">
        <f>SUM(Jan!H9, Feb!H9, Mar!H9)</f>
        <v>-135476.5</v>
      </c>
      <c r="I9" s="20">
        <f t="shared" si="2"/>
        <v>-5.3968777530593752E-2</v>
      </c>
    </row>
    <row r="10" spans="1:9" ht="15.6">
      <c r="A10" s="13" t="str">
        <v>Warsaw - 2201 Richmond</v>
      </c>
      <c r="B10" s="10" t="str">
        <v>VA</v>
      </c>
      <c r="C10" s="25">
        <f>SUM(Jan!C10, Feb!C10, Mar!C10)</f>
        <v>1384836.0999999989</v>
      </c>
      <c r="D10" s="14">
        <f>SUM(Jan!D10, Feb!D10, Mar!D10)</f>
        <v>1541238.5</v>
      </c>
      <c r="E10" s="14">
        <f t="shared" si="3"/>
        <v>-156402.40000000107</v>
      </c>
      <c r="F10" s="15">
        <f t="shared" si="1"/>
        <v>-0.10147838897094841</v>
      </c>
      <c r="G10" s="16">
        <f>SUM(Jan!G10, Feb!G10, Mar!G10)</f>
        <v>1483119.35</v>
      </c>
      <c r="H10" s="16">
        <f>SUM(Jan!H10, Feb!H10, Mar!H10)</f>
        <v>-98283.25000000099</v>
      </c>
      <c r="I10" s="17">
        <f t="shared" si="2"/>
        <v>-6.6267930493928887E-2</v>
      </c>
    </row>
    <row r="11" spans="1:9" ht="15.6">
      <c r="A11" s="18" t="str">
        <v>Mount Jackson - Randolf</v>
      </c>
      <c r="B11" s="11" t="str">
        <v>VA</v>
      </c>
      <c r="C11" s="12">
        <f>SUM(Jan!C11, Feb!C11, Mar!C11)</f>
        <v>775388.80323117494</v>
      </c>
      <c r="D11" s="19">
        <f>SUM(Jan!D11, Feb!D11, Mar!D11)</f>
        <v>778421.83899999992</v>
      </c>
      <c r="E11" s="19">
        <f t="shared" si="3"/>
        <v>-3033.0357688249787</v>
      </c>
      <c r="F11" s="20">
        <f t="shared" si="1"/>
        <v>-3.8963908986949414E-3</v>
      </c>
      <c r="G11" s="21">
        <f>SUM(Jan!G11, Feb!G11, Mar!G11)</f>
        <v>1000099.6</v>
      </c>
      <c r="H11" s="21">
        <f>SUM(Jan!H11, Feb!H11, Mar!H11)</f>
        <v>-224710.79676882501</v>
      </c>
      <c r="I11" s="20">
        <f t="shared" si="2"/>
        <v>-0.22468841780241189</v>
      </c>
    </row>
    <row r="12" spans="1:9" ht="15.6">
      <c r="A12" s="13" t="str">
        <v>Callands Gretna - Monroe</v>
      </c>
      <c r="B12" s="10" t="str">
        <v>VA</v>
      </c>
      <c r="C12" s="25">
        <f>SUM(Jan!C12, Feb!C12, Mar!C12)</f>
        <v>665821</v>
      </c>
      <c r="D12" s="14">
        <f>SUM(Jan!D12, Feb!D12, Mar!D12)</f>
        <v>434615.08999999997</v>
      </c>
      <c r="E12" s="14">
        <f t="shared" si="3"/>
        <v>231205.91000000003</v>
      </c>
      <c r="F12" s="15">
        <f t="shared" si="1"/>
        <v>0.53197856061555537</v>
      </c>
      <c r="G12" s="16">
        <f>SUM(Jan!G12, Feb!G12, Mar!G12)</f>
        <v>723637.5</v>
      </c>
      <c r="H12" s="16">
        <f>SUM(Jan!H12, Feb!H12, Mar!H12)</f>
        <v>-57816.5</v>
      </c>
      <c r="I12" s="17">
        <f t="shared" si="2"/>
        <v>-7.9897047900364476E-2</v>
      </c>
    </row>
    <row r="13" spans="1:9" ht="15.6">
      <c r="A13" s="18" t="str">
        <v>Rockbridge Baths - Small Mouth Bass</v>
      </c>
      <c r="B13" s="11" t="str">
        <v>VA</v>
      </c>
      <c r="C13" s="12">
        <f>SUM(Jan!C13, Feb!C13, Mar!C13)</f>
        <v>0</v>
      </c>
      <c r="D13" s="19">
        <f>SUM(Jan!D13, Feb!D13, Mar!D13)</f>
        <v>0</v>
      </c>
      <c r="E13" s="19">
        <f t="shared" si="3"/>
        <v>0</v>
      </c>
      <c r="F13" s="20" t="str">
        <f t="shared" si="1"/>
        <v/>
      </c>
      <c r="G13" s="21">
        <f>SUM(Jan!G13, Feb!G13, Mar!G13)</f>
        <v>0</v>
      </c>
      <c r="H13" s="21">
        <f>SUM(Jan!H13, Feb!H13, Mar!H13)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sortState xmlns:xlrd2="http://schemas.microsoft.com/office/spreadsheetml/2017/richdata2" ref="A3:I3">
    <sortCondition ref="A3"/>
  </sortState>
  <mergeCells count="4">
    <mergeCell ref="G1:I1"/>
    <mergeCell ref="A1:C1"/>
    <mergeCell ref="D1:F1"/>
    <mergeCell ref="A2:B2"/>
  </mergeCells>
  <conditionalFormatting sqref="F2 I2 F4:F91 I4:I91">
    <cfRule type="cellIs" dxfId="48" priority="1" stopIfTrue="1" operator="lessThanOrEqual">
      <formula>-0.1</formula>
    </cfRule>
    <cfRule type="expression" dxfId="47"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3"/>
  <sheetViews>
    <sheetView workbookViewId="0">
      <pane xSplit="2" ySplit="3" topLeftCell="C4" activePane="bottomRight" state="frozen"/>
      <selection pane="bottomRight" activeCell="L13" sqref="L12:L13"/>
      <selection pane="bottomLeft" activeCell="D12" sqref="D12"/>
      <selection pane="topRight" activeCell="D12" sqref="D1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1" t="str" cm="1">
        <f t="array" ref="A1">portfolio</f>
        <v>Ecofin</v>
      </c>
      <c r="B1" s="71"/>
      <c r="C1" s="71"/>
      <c r="D1" s="72" t="s">
        <v>12</v>
      </c>
      <c r="E1" s="72"/>
      <c r="F1" s="72"/>
      <c r="G1" s="70" t="s">
        <v>13</v>
      </c>
      <c r="H1" s="70"/>
      <c r="I1" s="70"/>
    </row>
    <row r="2" spans="1:9" ht="19.5" customHeight="1">
      <c r="A2" s="73" t="s">
        <v>2</v>
      </c>
      <c r="B2" s="73"/>
      <c r="C2" s="6">
        <f>SUM(C4:C91)</f>
        <v>722747.56109374994</v>
      </c>
      <c r="D2" s="6">
        <f>SUM(D4:D91)</f>
        <v>1521830.6158158355</v>
      </c>
      <c r="E2" s="6">
        <f>C2-D2</f>
        <v>-799083.0547220856</v>
      </c>
      <c r="F2" s="7">
        <f>IFERROR(E2/D2, 0)</f>
        <v>-0.5250801543992506</v>
      </c>
      <c r="G2" s="6" t="e">
        <f>SUM(G4:G91)</f>
        <v>#VALUE!</v>
      </c>
      <c r="H2" s="8" t="e">
        <f>C2-G2</f>
        <v>#VALUE!</v>
      </c>
      <c r="I2" s="7">
        <f>IFERROR(H2/G2, 0)</f>
        <v>0</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SUM(Apr!C4, May!C4, Jun!C4)</f>
        <v>83870</v>
      </c>
      <c r="D4" s="14">
        <f>SUM(Apr!D4, May!D4, Jun!D4)</f>
        <v>117297.41179583556</v>
      </c>
      <c r="E4" s="14">
        <f>IF(AND(ISNUMBER(C4),ISNUMBER(D4)), C4-D4, "")</f>
        <v>-33427.411795835564</v>
      </c>
      <c r="F4" s="15">
        <f>IFERROR(E4/D4, "")</f>
        <v>-0.28497996063219483</v>
      </c>
      <c r="G4" s="16">
        <f>SUM(Apr!G4+May!G4+Jun!G4)</f>
        <v>128953.72000000003</v>
      </c>
      <c r="H4" s="16">
        <f>SUM(Apr!H4, May!H4, Jun!H4)</f>
        <v>-45083.72000000003</v>
      </c>
      <c r="I4" s="17">
        <f>IFERROR(H4/G4, "")</f>
        <v>-0.34961162810968166</v>
      </c>
    </row>
    <row r="5" spans="1:9" ht="15.6">
      <c r="A5" s="18" t="str">
        <v>San Luis Valley</v>
      </c>
      <c r="B5" s="11" t="str">
        <v>CO</v>
      </c>
      <c r="C5" s="12">
        <f>SUM(Apr!C5, May!C5, Jun!C5)</f>
        <v>224573.25</v>
      </c>
      <c r="D5" s="19">
        <f>SUM(Apr!D5, May!D5, Jun!D5)</f>
        <v>232450.6</v>
      </c>
      <c r="E5" s="19">
        <f t="shared" ref="E5:E6" si="0">IF(AND(ISNUMBER(C5),ISNUMBER(D5)), C5-D5, "")</f>
        <v>-7877.3500000000058</v>
      </c>
      <c r="F5" s="20">
        <f>IFERROR(E5/D5, "")</f>
        <v>-3.3888275616410564E-2</v>
      </c>
      <c r="G5" s="21" t="e">
        <f>SUM(Apr!G5+May!G5+Jun!G5)</f>
        <v>#VALUE!</v>
      </c>
      <c r="H5" s="21">
        <f>SUM(Apr!H5, May!H5, Jun!H5)</f>
        <v>180611.69070000001</v>
      </c>
      <c r="I5" s="20" t="str">
        <f>IFERROR(H5/G5, "")</f>
        <v/>
      </c>
    </row>
    <row r="6" spans="1:9" ht="15.6">
      <c r="A6" s="13" t="str">
        <v>Golden NREL 2</v>
      </c>
      <c r="B6" s="10" t="str">
        <v>CO</v>
      </c>
      <c r="C6" s="25">
        <f>SUM(Apr!C6, May!C6, Jun!C6)</f>
        <v>11155</v>
      </c>
      <c r="D6" s="14">
        <f>SUM(Apr!D6, May!D6, Jun!D6)</f>
        <v>10312.40402</v>
      </c>
      <c r="E6" s="14">
        <f t="shared" si="0"/>
        <v>842.59598000000005</v>
      </c>
      <c r="F6" s="15">
        <f t="shared" ref="F6:F13" si="1">IFERROR(E6/D6, "")</f>
        <v>8.1707037308260941E-2</v>
      </c>
      <c r="G6" s="16">
        <f>SUM(Apr!G6+May!G6+Jun!G6)</f>
        <v>12834.78</v>
      </c>
      <c r="H6" s="16">
        <f>SUM(Apr!H6, May!H6, Jun!H6)</f>
        <v>-1679.7800000000007</v>
      </c>
      <c r="I6" s="17">
        <f t="shared" ref="I6:I13" si="2">IFERROR(H6/G6, "")</f>
        <v>-0.13087719462273609</v>
      </c>
    </row>
    <row r="7" spans="1:9" ht="15.6">
      <c r="A7" s="18" t="str">
        <v>Golden NREL Wind 3</v>
      </c>
      <c r="B7" s="11" t="str">
        <v>CO</v>
      </c>
      <c r="C7" s="12">
        <f>SUM(Apr!C7, May!C7, Jun!C7)</f>
        <v>79519.311093750002</v>
      </c>
      <c r="D7" s="19">
        <f>SUM(Apr!D7, May!D7, Jun!D7)</f>
        <v>141658.20000000001</v>
      </c>
      <c r="E7" s="19">
        <f t="shared" ref="E7:E13" si="3">IF(AND(ISNUMBER(C7),ISNUMBER(D7)), C7-D7, "")</f>
        <v>-62138.888906250009</v>
      </c>
      <c r="F7" s="20">
        <f t="shared" si="1"/>
        <v>-0.43865366711034026</v>
      </c>
      <c r="G7" s="21" t="e">
        <f>SUM(Apr!G7+May!G7+Jun!G7)</f>
        <v>#VALUE!</v>
      </c>
      <c r="H7" s="21">
        <f>SUM(Apr!H7, May!H7, Jun!H7)</f>
        <v>0</v>
      </c>
      <c r="I7" s="20" t="str">
        <f t="shared" si="2"/>
        <v/>
      </c>
    </row>
    <row r="8" spans="1:9" ht="15.6">
      <c r="A8" s="13" t="str">
        <v>Pratt Solar Farm</v>
      </c>
      <c r="B8" s="10" t="str">
        <v>KS</v>
      </c>
      <c r="C8" s="25">
        <f>SUM(Apr!C8, May!C8, Jun!C8)</f>
        <v>323630</v>
      </c>
      <c r="D8" s="14">
        <f>SUM(Apr!D8, May!D8, Jun!D8)</f>
        <v>1020112</v>
      </c>
      <c r="E8" s="14">
        <f t="shared" si="3"/>
        <v>-696482</v>
      </c>
      <c r="F8" s="15">
        <f t="shared" si="1"/>
        <v>-0.68275052151136351</v>
      </c>
      <c r="G8" s="16">
        <f>SUM(Apr!G8+May!G8+Jun!G8)</f>
        <v>1092313</v>
      </c>
      <c r="H8" s="16">
        <f>SUM(Apr!H8, May!H8, Jun!H8)</f>
        <v>-768683</v>
      </c>
      <c r="I8" s="17">
        <f t="shared" si="2"/>
        <v>-0.70372045375272474</v>
      </c>
    </row>
    <row r="9" spans="1:9" ht="12.75" customHeight="1">
      <c r="A9" s="18" t="str">
        <v>Rochester - 5516 Valleyhigh NW</v>
      </c>
      <c r="B9" s="11" t="str">
        <v>MN</v>
      </c>
      <c r="C9" s="12">
        <f>SUM(Apr!C9, May!C9, Jun!C9)</f>
        <v>0</v>
      </c>
      <c r="D9" s="19">
        <f>SUM(Apr!D9, May!D9, Jun!D9)</f>
        <v>0</v>
      </c>
      <c r="E9" s="19">
        <f t="shared" si="3"/>
        <v>0</v>
      </c>
      <c r="F9" s="20" t="str">
        <f t="shared" si="1"/>
        <v/>
      </c>
      <c r="G9" s="21">
        <f>SUM(Apr!G9+May!G9+Jun!G9)</f>
        <v>0</v>
      </c>
      <c r="H9" s="21">
        <f>SUM(Apr!H9, May!H9, Jun!H9)</f>
        <v>0</v>
      </c>
      <c r="I9" s="20" t="str">
        <f t="shared" si="2"/>
        <v/>
      </c>
    </row>
    <row r="10" spans="1:9" ht="15.6">
      <c r="A10" s="13" t="str">
        <v>Warsaw - 2201 Richmond</v>
      </c>
      <c r="B10" s="10" t="str">
        <v>VA</v>
      </c>
      <c r="C10" s="25">
        <f>SUM(Apr!C10, May!C10, Jun!C10)</f>
        <v>0</v>
      </c>
      <c r="D10" s="14">
        <f>SUM(Apr!D10, May!D10, Jun!D10)</f>
        <v>0</v>
      </c>
      <c r="E10" s="14">
        <f t="shared" si="3"/>
        <v>0</v>
      </c>
      <c r="F10" s="15" t="str">
        <f t="shared" si="1"/>
        <v/>
      </c>
      <c r="G10" s="16">
        <f>SUM(Apr!G10+May!G10+Jun!G10)</f>
        <v>0</v>
      </c>
      <c r="H10" s="16">
        <f>SUM(Apr!H10, May!H10, Jun!H10)</f>
        <v>0</v>
      </c>
      <c r="I10" s="17" t="str">
        <f t="shared" si="2"/>
        <v/>
      </c>
    </row>
    <row r="11" spans="1:9" ht="15.6">
      <c r="A11" s="18" t="str">
        <v>Mount Jackson - Randolf</v>
      </c>
      <c r="B11" s="11" t="str">
        <v>VA</v>
      </c>
      <c r="C11" s="12">
        <f>SUM(Apr!C11, May!C11, Jun!C11)</f>
        <v>0</v>
      </c>
      <c r="D11" s="19">
        <f>SUM(Apr!D11, May!D11, Jun!D11)</f>
        <v>0</v>
      </c>
      <c r="E11" s="19">
        <f t="shared" si="3"/>
        <v>0</v>
      </c>
      <c r="F11" s="20" t="str">
        <f t="shared" si="1"/>
        <v/>
      </c>
      <c r="G11" s="21">
        <f>SUM(Apr!G11+May!G11+Jun!G11)</f>
        <v>0</v>
      </c>
      <c r="H11" s="21">
        <f>SUM(Apr!H11, May!H11, Jun!H11)</f>
        <v>0</v>
      </c>
      <c r="I11" s="20" t="str">
        <f t="shared" si="2"/>
        <v/>
      </c>
    </row>
    <row r="12" spans="1:9" ht="15.6">
      <c r="A12" s="13" t="str">
        <v>Callands Gretna - Monroe</v>
      </c>
      <c r="B12" s="10" t="str">
        <v>VA</v>
      </c>
      <c r="C12" s="25">
        <f>SUM(Apr!C12, May!C12, Jun!C12)</f>
        <v>0</v>
      </c>
      <c r="D12" s="14">
        <f>SUM(Apr!D12, May!D12, Jun!D12)</f>
        <v>0</v>
      </c>
      <c r="E12" s="14">
        <f t="shared" si="3"/>
        <v>0</v>
      </c>
      <c r="F12" s="15" t="str">
        <f t="shared" si="1"/>
        <v/>
      </c>
      <c r="G12" s="16">
        <f>SUM(Apr!G12+May!G12+Jun!G12)</f>
        <v>0</v>
      </c>
      <c r="H12" s="16">
        <f>SUM(Apr!H12, May!H12, Jun!H12)</f>
        <v>0</v>
      </c>
      <c r="I12" s="17" t="str">
        <f t="shared" si="2"/>
        <v/>
      </c>
    </row>
    <row r="13" spans="1:9" ht="15.6">
      <c r="A13" s="18" t="str">
        <v>Rockbridge Baths - Small Mouth Bass</v>
      </c>
      <c r="B13" s="11" t="str">
        <v>VA</v>
      </c>
      <c r="C13" s="12">
        <f>SUM(Apr!C13, May!C13, Jun!C13)</f>
        <v>0</v>
      </c>
      <c r="D13" s="19">
        <f>SUM(Apr!D13, May!D13, Jun!D13)</f>
        <v>0</v>
      </c>
      <c r="E13" s="19">
        <f t="shared" si="3"/>
        <v>0</v>
      </c>
      <c r="F13" s="20" t="str">
        <f t="shared" si="1"/>
        <v/>
      </c>
      <c r="G13" s="21">
        <f>SUM(Apr!G13+May!G13+Jun!G13)</f>
        <v>0</v>
      </c>
      <c r="H13" s="21">
        <f>SUM(Apr!H13, May!H13, Jun!H13)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sortState xmlns:xlrd2="http://schemas.microsoft.com/office/spreadsheetml/2017/richdata2" ref="A3:I4">
    <sortCondition ref="A3:A4"/>
  </sortState>
  <mergeCells count="4">
    <mergeCell ref="G1:I1"/>
    <mergeCell ref="A1:C1"/>
    <mergeCell ref="D1:F1"/>
    <mergeCell ref="A2:B2"/>
  </mergeCells>
  <conditionalFormatting sqref="F2 I2 F4:F91 I4:I91">
    <cfRule type="cellIs" dxfId="46" priority="1" stopIfTrue="1" operator="lessThanOrEqual">
      <formula>-0.1</formula>
    </cfRule>
    <cfRule type="expression" dxfId="4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3"/>
  <sheetViews>
    <sheetView workbookViewId="0">
      <pane xSplit="2" ySplit="3" topLeftCell="C4" activePane="bottomRight" state="frozen"/>
      <selection pane="bottomRight" activeCell="C7" sqref="C7"/>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1" t="str" cm="1">
        <f t="array" ref="A1">portfolio</f>
        <v>Ecofin</v>
      </c>
      <c r="B1" s="71"/>
      <c r="C1" s="71"/>
      <c r="D1" s="72" t="s">
        <v>14</v>
      </c>
      <c r="E1" s="72"/>
      <c r="F1" s="72"/>
      <c r="G1" s="70" t="s">
        <v>15</v>
      </c>
      <c r="H1" s="70"/>
      <c r="I1" s="70"/>
    </row>
    <row r="2" spans="1:9" ht="19.5" customHeight="1">
      <c r="A2" s="73" t="s">
        <v>2</v>
      </c>
      <c r="B2" s="73"/>
      <c r="C2" s="6">
        <f>SUM(C4:C91)</f>
        <v>0</v>
      </c>
      <c r="D2" s="6">
        <f>SUM(D4:D91)</f>
        <v>0</v>
      </c>
      <c r="E2" s="6">
        <f>C2-D2</f>
        <v>0</v>
      </c>
      <c r="F2" s="7">
        <f>IFERROR(E2/D2, 0)</f>
        <v>0</v>
      </c>
      <c r="G2" s="6">
        <f>SUM(G4:G91)</f>
        <v>0</v>
      </c>
      <c r="H2" s="8">
        <f>C2-G2</f>
        <v>0</v>
      </c>
      <c r="I2" s="7">
        <f>IFERROR(H2/G2, 0)</f>
        <v>0</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SUM(Jul!C4, Aug!C4, Sep!C4)</f>
        <v>0</v>
      </c>
      <c r="D4" s="14">
        <f>SUM(Jul!D4, Aug!D4, Sep!D4)</f>
        <v>0</v>
      </c>
      <c r="E4" s="14">
        <f>IF(AND(ISNUMBER(C4),ISNUMBER(D4)), C4-D4, "")</f>
        <v>0</v>
      </c>
      <c r="F4" s="15" t="str">
        <f>IFERROR(E4/D4, "")</f>
        <v/>
      </c>
      <c r="G4" s="16">
        <f>SUM(Jul!G4,Aug!G4,Sep!G4)</f>
        <v>0</v>
      </c>
      <c r="H4" s="16">
        <f>SUM(Jul!H4, Aug!H4, Sep!H4)</f>
        <v>0</v>
      </c>
      <c r="I4" s="17" t="str">
        <f>IFERROR(H4/G4, "")</f>
        <v/>
      </c>
    </row>
    <row r="5" spans="1:9" ht="15.6">
      <c r="A5" s="18" t="str">
        <v>San Luis Valley</v>
      </c>
      <c r="B5" s="11" t="str">
        <v>CO</v>
      </c>
      <c r="C5" s="12">
        <f>SUM(Jul!C5, Aug!C5, Sep!C5)</f>
        <v>0</v>
      </c>
      <c r="D5" s="19">
        <f>SUM(Jul!D5, Aug!D5, Sep!D5)</f>
        <v>0</v>
      </c>
      <c r="E5" s="19">
        <f t="shared" ref="E5:E6" si="0">IF(AND(ISNUMBER(C5),ISNUMBER(D5)), C5-D5, "")</f>
        <v>0</v>
      </c>
      <c r="F5" s="20" t="str">
        <f>IFERROR(E5/D5, "")</f>
        <v/>
      </c>
      <c r="G5" s="57">
        <f>SUM(Jul!G5,Aug!G5,Sep!G5)</f>
        <v>0</v>
      </c>
      <c r="H5" s="21">
        <f>SUM(Jul!H5, Aug!H5, Sep!H5)</f>
        <v>0</v>
      </c>
      <c r="I5" s="20" t="str">
        <f>IFERROR(H5/G5, "")</f>
        <v/>
      </c>
    </row>
    <row r="6" spans="1:9" ht="15.6">
      <c r="A6" s="13" t="str">
        <v>Golden NREL 2</v>
      </c>
      <c r="B6" s="10" t="str">
        <v>CO</v>
      </c>
      <c r="C6" s="25">
        <f>SUM(Jul!C6, Aug!C6, Sep!C6)</f>
        <v>0</v>
      </c>
      <c r="D6" s="14">
        <f>SUM(Jul!D6, Aug!D6, Sep!D6)</f>
        <v>0</v>
      </c>
      <c r="E6" s="14">
        <f t="shared" si="0"/>
        <v>0</v>
      </c>
      <c r="F6" s="15" t="str">
        <f t="shared" ref="F6:F13" si="1">IFERROR(E6/D6, "")</f>
        <v/>
      </c>
      <c r="G6" s="16">
        <f>SUM(Jul!G6,Aug!G6,Sep!G6)</f>
        <v>0</v>
      </c>
      <c r="H6" s="16">
        <f>SUM(Jul!H6, Aug!H6, Sep!H6)</f>
        <v>0</v>
      </c>
      <c r="I6" s="17" t="str">
        <f t="shared" ref="I6:I13" si="2">IFERROR(H6/G6, "")</f>
        <v/>
      </c>
    </row>
    <row r="7" spans="1:9" ht="15.6">
      <c r="A7" s="18" t="str">
        <v>Golden NREL Wind 3</v>
      </c>
      <c r="B7" s="11" t="str">
        <v>CO</v>
      </c>
      <c r="C7" s="12">
        <f>SUM(Jul!C7, Aug!C7, Sep!C7)</f>
        <v>0</v>
      </c>
      <c r="D7" s="19">
        <f>SUM(Jul!D7, Aug!D7, Sep!D7)</f>
        <v>0</v>
      </c>
      <c r="E7" s="19">
        <f t="shared" ref="E7:E13" si="3">IF(AND(ISNUMBER(C7),ISNUMBER(D7)), C7-D7, "")</f>
        <v>0</v>
      </c>
      <c r="F7" s="20" t="str">
        <f t="shared" si="1"/>
        <v/>
      </c>
      <c r="G7" s="57">
        <f>SUM(Jul!G7,Aug!G7,Sep!G7)</f>
        <v>0</v>
      </c>
      <c r="H7" s="21">
        <f>SUM(Jul!H7, Aug!H7, Sep!H7)</f>
        <v>0</v>
      </c>
      <c r="I7" s="20" t="str">
        <f t="shared" si="2"/>
        <v/>
      </c>
    </row>
    <row r="8" spans="1:9" ht="15.6">
      <c r="A8" s="13" t="str">
        <v>Pratt Solar Farm</v>
      </c>
      <c r="B8" s="10" t="str">
        <v>KS</v>
      </c>
      <c r="C8" s="25">
        <f>SUM(Jul!C8, Aug!C8, Sep!C8)</f>
        <v>0</v>
      </c>
      <c r="D8" s="14">
        <f>SUM(Jul!D8, Aug!D8, Sep!D8)</f>
        <v>0</v>
      </c>
      <c r="E8" s="14">
        <f t="shared" si="3"/>
        <v>0</v>
      </c>
      <c r="F8" s="15" t="str">
        <f t="shared" si="1"/>
        <v/>
      </c>
      <c r="G8" s="16">
        <f>SUM(Jul!G8,Aug!G8,Sep!G8)</f>
        <v>0</v>
      </c>
      <c r="H8" s="16">
        <f>SUM(Jul!H8, Aug!H8, Sep!H8)</f>
        <v>0</v>
      </c>
      <c r="I8" s="17" t="str">
        <f t="shared" si="2"/>
        <v/>
      </c>
    </row>
    <row r="9" spans="1:9" ht="12.75" customHeight="1">
      <c r="A9" s="18" t="str">
        <v>Rochester - 5516 Valleyhigh NW</v>
      </c>
      <c r="B9" s="11" t="str">
        <v>MN</v>
      </c>
      <c r="C9" s="12">
        <f>SUM(Jul!C9, Aug!C9, Sep!C9)</f>
        <v>0</v>
      </c>
      <c r="D9" s="19">
        <f>SUM(Jul!D9, Aug!D9, Sep!D9)</f>
        <v>0</v>
      </c>
      <c r="E9" s="19">
        <f t="shared" si="3"/>
        <v>0</v>
      </c>
      <c r="F9" s="20" t="str">
        <f t="shared" si="1"/>
        <v/>
      </c>
      <c r="G9" s="57">
        <f>SUM(Jul!G9,Aug!G9,Sep!G9)</f>
        <v>0</v>
      </c>
      <c r="H9" s="21">
        <f>SUM(Jul!H9, Aug!H9, Sep!H9)</f>
        <v>0</v>
      </c>
      <c r="I9" s="20" t="str">
        <f t="shared" si="2"/>
        <v/>
      </c>
    </row>
    <row r="10" spans="1:9" ht="15.6">
      <c r="A10" s="13" t="str">
        <v>Warsaw - 2201 Richmond</v>
      </c>
      <c r="B10" s="10" t="str">
        <v>VA</v>
      </c>
      <c r="C10" s="25">
        <f>SUM(Jul!C10, Aug!C10, Sep!C10)</f>
        <v>0</v>
      </c>
      <c r="D10" s="14">
        <f>SUM(Jul!D10, Aug!D10, Sep!D10)</f>
        <v>0</v>
      </c>
      <c r="E10" s="14">
        <f t="shared" si="3"/>
        <v>0</v>
      </c>
      <c r="F10" s="15" t="str">
        <f t="shared" si="1"/>
        <v/>
      </c>
      <c r="G10" s="16">
        <f>SUM(Jul!G10,Aug!G10,Sep!G10)</f>
        <v>0</v>
      </c>
      <c r="H10" s="16">
        <f>SUM(Jul!H10, Aug!H10, Sep!H10)</f>
        <v>0</v>
      </c>
      <c r="I10" s="17" t="str">
        <f t="shared" si="2"/>
        <v/>
      </c>
    </row>
    <row r="11" spans="1:9" ht="15.6">
      <c r="A11" s="18" t="str">
        <v>Mount Jackson - Randolf</v>
      </c>
      <c r="B11" s="11" t="str">
        <v>VA</v>
      </c>
      <c r="C11" s="12">
        <f>SUM(Jul!C11, Aug!C11, Sep!C11)</f>
        <v>0</v>
      </c>
      <c r="D11" s="19">
        <f>SUM(Jul!D11, Aug!D11, Sep!D11)</f>
        <v>0</v>
      </c>
      <c r="E11" s="19">
        <f t="shared" si="3"/>
        <v>0</v>
      </c>
      <c r="F11" s="20" t="str">
        <f t="shared" si="1"/>
        <v/>
      </c>
      <c r="G11" s="57">
        <f>SUM(Jul!G11,Aug!G11,Sep!G11)</f>
        <v>0</v>
      </c>
      <c r="H11" s="21">
        <f>SUM(Jul!H11, Aug!H11, Sep!H11)</f>
        <v>0</v>
      </c>
      <c r="I11" s="20" t="str">
        <f t="shared" si="2"/>
        <v/>
      </c>
    </row>
    <row r="12" spans="1:9" ht="15.6">
      <c r="A12" s="13" t="str">
        <v>Callands Gretna - Monroe</v>
      </c>
      <c r="B12" s="10" t="str">
        <v>VA</v>
      </c>
      <c r="C12" s="25">
        <f>SUM(Jul!C12, Aug!C12, Sep!C12)</f>
        <v>0</v>
      </c>
      <c r="D12" s="14">
        <f>SUM(Jul!D12, Aug!D12, Sep!D12)</f>
        <v>0</v>
      </c>
      <c r="E12" s="14">
        <f t="shared" si="3"/>
        <v>0</v>
      </c>
      <c r="F12" s="15" t="str">
        <f t="shared" si="1"/>
        <v/>
      </c>
      <c r="G12" s="16">
        <f>SUM(Jul!G12,Aug!G12,Sep!G12)</f>
        <v>0</v>
      </c>
      <c r="H12" s="16">
        <f>SUM(Jul!H12, Aug!H12, Sep!H12)</f>
        <v>0</v>
      </c>
      <c r="I12" s="17" t="str">
        <f t="shared" si="2"/>
        <v/>
      </c>
    </row>
    <row r="13" spans="1:9" ht="15.6">
      <c r="A13" s="18" t="str">
        <v>Rockbridge Baths - Small Mouth Bass</v>
      </c>
      <c r="B13" s="11" t="str">
        <v>VA</v>
      </c>
      <c r="C13" s="12">
        <f>SUM(Jul!C13, Aug!C13, Sep!C13)</f>
        <v>0</v>
      </c>
      <c r="D13" s="19">
        <f>SUM(Jul!D13, Aug!D13, Sep!D13)</f>
        <v>0</v>
      </c>
      <c r="E13" s="19">
        <f t="shared" si="3"/>
        <v>0</v>
      </c>
      <c r="F13" s="20" t="str">
        <f t="shared" si="1"/>
        <v/>
      </c>
      <c r="G13" s="57">
        <f>SUM(Jul!G13,Aug!G13,Sep!G13)</f>
        <v>0</v>
      </c>
      <c r="H13" s="21">
        <f>SUM(Jul!H13, Aug!H13, Sep!H13)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4" priority="5" stopIfTrue="1" operator="lessThanOrEqual">
      <formula>-0.1</formula>
    </cfRule>
    <cfRule type="expression" dxfId="43" priority="6">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3"/>
  <sheetViews>
    <sheetView workbookViewId="0">
      <pane xSplit="2" ySplit="3" topLeftCell="C7" activePane="bottomRight" state="frozen"/>
      <selection pane="bottomRight" activeCell="C7" sqref="C7"/>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1" t="str" cm="1">
        <f t="array" ref="A1">portfolio</f>
        <v>Ecofin</v>
      </c>
      <c r="B1" s="71"/>
      <c r="C1" s="71"/>
      <c r="D1" s="72" t="s">
        <v>16</v>
      </c>
      <c r="E1" s="72"/>
      <c r="F1" s="72"/>
      <c r="G1" s="70" t="s">
        <v>17</v>
      </c>
      <c r="H1" s="70"/>
      <c r="I1" s="70"/>
    </row>
    <row r="2" spans="1:9" ht="19.5" customHeight="1">
      <c r="A2" s="73" t="s">
        <v>2</v>
      </c>
      <c r="B2" s="73"/>
      <c r="C2" s="6">
        <f>SUM(C4:C91)</f>
        <v>0</v>
      </c>
      <c r="D2" s="6">
        <f>SUM(D4:D91)</f>
        <v>0</v>
      </c>
      <c r="E2" s="6">
        <f>C2-D2</f>
        <v>0</v>
      </c>
      <c r="F2" s="7">
        <f>IFERROR(E2/D2, 0)</f>
        <v>0</v>
      </c>
      <c r="G2" s="6">
        <f>SUM(G4:G91)</f>
        <v>0</v>
      </c>
      <c r="H2" s="8">
        <f>C2-G2</f>
        <v>0</v>
      </c>
      <c r="I2" s="7">
        <f>IFERROR(H2/G2, 0)</f>
        <v>0</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SUM(Oct!C4, Nov!C4, Dec!C4)</f>
        <v>0</v>
      </c>
      <c r="D4" s="14">
        <f>SUM(Oct!D4, Nov!D4, Dec!D4)</f>
        <v>0</v>
      </c>
      <c r="E4" s="14">
        <f>IF(AND(ISNUMBER(C4),ISNUMBER(D4)), C4-D4, "")</f>
        <v>0</v>
      </c>
      <c r="F4" s="15" t="str">
        <f>IFERROR(E4/D4, "")</f>
        <v/>
      </c>
      <c r="G4" s="16">
        <f>SUM(Oct!G4,Nov!G4,Dec!G4)</f>
        <v>0</v>
      </c>
      <c r="H4" s="16">
        <f>SUM(Oct!H4, Nov!H4, Dec!H4)</f>
        <v>0</v>
      </c>
      <c r="I4" s="17" t="str">
        <f>IFERROR(H4/G4, "")</f>
        <v/>
      </c>
    </row>
    <row r="5" spans="1:9" ht="15.6">
      <c r="A5" s="18" t="str">
        <v>San Luis Valley</v>
      </c>
      <c r="B5" s="11" t="str">
        <v>CO</v>
      </c>
      <c r="C5" s="12">
        <f>SUM(Oct!C5, Nov!C5, Dec!C5)</f>
        <v>0</v>
      </c>
      <c r="D5" s="19">
        <f>SUM(Oct!D5, Nov!D5, Dec!D5)</f>
        <v>0</v>
      </c>
      <c r="E5" s="19">
        <f t="shared" ref="E5:E6" si="0">IF(AND(ISNUMBER(C5),ISNUMBER(D5)), C5-D5, "")</f>
        <v>0</v>
      </c>
      <c r="F5" s="20" t="str">
        <f>IFERROR(E5/D5, "")</f>
        <v/>
      </c>
      <c r="G5" s="21">
        <f>SUM(Oct!G5,Nov!G5,Dec!G5)</f>
        <v>0</v>
      </c>
      <c r="H5" s="21">
        <f>SUM(Oct!H5, Nov!H5, Dec!H5)</f>
        <v>0</v>
      </c>
      <c r="I5" s="20" t="str">
        <f>IFERROR(H5/G5, "")</f>
        <v/>
      </c>
    </row>
    <row r="6" spans="1:9" ht="15.6">
      <c r="A6" s="13" t="str">
        <v>Golden NREL 2</v>
      </c>
      <c r="B6" s="10" t="str">
        <v>CO</v>
      </c>
      <c r="C6" s="25">
        <f>SUM(Oct!C6, Nov!C6, Dec!C6)</f>
        <v>0</v>
      </c>
      <c r="D6" s="14">
        <f>SUM(Oct!D6, Nov!D6, Dec!D6)</f>
        <v>0</v>
      </c>
      <c r="E6" s="14">
        <f t="shared" si="0"/>
        <v>0</v>
      </c>
      <c r="F6" s="15" t="str">
        <f t="shared" ref="F6:F13" si="1">IFERROR(E6/D6, "")</f>
        <v/>
      </c>
      <c r="G6" s="16">
        <f>SUM(Oct!G6,Nov!G6,Dec!G6)</f>
        <v>0</v>
      </c>
      <c r="H6" s="16">
        <f>SUM(Oct!H6, Nov!H6, Dec!H6)</f>
        <v>0</v>
      </c>
      <c r="I6" s="17" t="str">
        <f t="shared" ref="I6:I13" si="2">IFERROR(H6/G6, "")</f>
        <v/>
      </c>
    </row>
    <row r="7" spans="1:9" ht="15.6">
      <c r="A7" s="18" t="str">
        <v>Golden NREL Wind 3</v>
      </c>
      <c r="B7" s="11" t="str">
        <v>CO</v>
      </c>
      <c r="C7" s="12">
        <f>SUM(Oct!C7, Nov!C7, Dec!C7)</f>
        <v>0</v>
      </c>
      <c r="D7" s="19">
        <f>SUM(Oct!D7, Nov!D7, Dec!D7)</f>
        <v>0</v>
      </c>
      <c r="E7" s="19">
        <f t="shared" ref="E7:E13" si="3">IF(AND(ISNUMBER(C7),ISNUMBER(D7)), C7-D7, "")</f>
        <v>0</v>
      </c>
      <c r="F7" s="20" t="str">
        <f t="shared" si="1"/>
        <v/>
      </c>
      <c r="G7" s="21">
        <f>SUM(Oct!G7,Nov!G7,Dec!G7)</f>
        <v>0</v>
      </c>
      <c r="H7" s="21">
        <f>SUM(Oct!H7, Nov!H7, Dec!H7)</f>
        <v>0</v>
      </c>
      <c r="I7" s="20" t="str">
        <f t="shared" si="2"/>
        <v/>
      </c>
    </row>
    <row r="8" spans="1:9" ht="15.6">
      <c r="A8" s="13" t="str">
        <v>Pratt Solar Farm</v>
      </c>
      <c r="B8" s="10" t="str">
        <v>KS</v>
      </c>
      <c r="C8" s="25">
        <f>SUM(Oct!C8, Nov!C8, Dec!C8)</f>
        <v>0</v>
      </c>
      <c r="D8" s="14">
        <f>SUM(Oct!D8, Nov!D8, Dec!D8)</f>
        <v>0</v>
      </c>
      <c r="E8" s="14">
        <f t="shared" si="3"/>
        <v>0</v>
      </c>
      <c r="F8" s="15" t="str">
        <f t="shared" si="1"/>
        <v/>
      </c>
      <c r="G8" s="16">
        <f>SUM(Oct!G8,Nov!G8,Dec!G8)</f>
        <v>0</v>
      </c>
      <c r="H8" s="16">
        <f>SUM(Oct!H8, Nov!H8, Dec!H8)</f>
        <v>0</v>
      </c>
      <c r="I8" s="17" t="str">
        <f t="shared" si="2"/>
        <v/>
      </c>
    </row>
    <row r="9" spans="1:9" ht="12.75" customHeight="1">
      <c r="A9" s="18" t="str">
        <v>Rochester - 5516 Valleyhigh NW</v>
      </c>
      <c r="B9" s="11" t="str">
        <v>MN</v>
      </c>
      <c r="C9" s="12">
        <f>SUM(Oct!C9, Nov!C9, Dec!C9)</f>
        <v>0</v>
      </c>
      <c r="D9" s="19">
        <f>SUM(Oct!D9, Nov!D9, Dec!D9)</f>
        <v>0</v>
      </c>
      <c r="E9" s="19">
        <f t="shared" si="3"/>
        <v>0</v>
      </c>
      <c r="F9" s="20" t="str">
        <f t="shared" si="1"/>
        <v/>
      </c>
      <c r="G9" s="21">
        <f>SUM(Oct!G9,Nov!G9,Dec!G9)</f>
        <v>0</v>
      </c>
      <c r="H9" s="21">
        <f>SUM(Oct!H9, Nov!H9, Dec!H9)</f>
        <v>0</v>
      </c>
      <c r="I9" s="20" t="str">
        <f t="shared" si="2"/>
        <v/>
      </c>
    </row>
    <row r="10" spans="1:9" ht="15.6">
      <c r="A10" s="13" t="str">
        <v>Warsaw - 2201 Richmond</v>
      </c>
      <c r="B10" s="10" t="str">
        <v>VA</v>
      </c>
      <c r="C10" s="25">
        <f>SUM(Oct!C10, Nov!C10, Dec!C10)</f>
        <v>0</v>
      </c>
      <c r="D10" s="14">
        <f>SUM(Oct!D10, Nov!D10, Dec!D10)</f>
        <v>0</v>
      </c>
      <c r="E10" s="14">
        <f t="shared" si="3"/>
        <v>0</v>
      </c>
      <c r="F10" s="15" t="str">
        <f t="shared" si="1"/>
        <v/>
      </c>
      <c r="G10" s="16">
        <f>SUM(Oct!G10,Nov!G10,Dec!G10)</f>
        <v>0</v>
      </c>
      <c r="H10" s="16">
        <f>SUM(Oct!H10, Nov!H10, Dec!H10)</f>
        <v>0</v>
      </c>
      <c r="I10" s="17" t="str">
        <f t="shared" si="2"/>
        <v/>
      </c>
    </row>
    <row r="11" spans="1:9" ht="15.6">
      <c r="A11" s="18" t="str">
        <v>Mount Jackson - Randolf</v>
      </c>
      <c r="B11" s="11" t="str">
        <v>VA</v>
      </c>
      <c r="C11" s="12">
        <f>SUM(Oct!C11, Nov!C11, Dec!C11)</f>
        <v>0</v>
      </c>
      <c r="D11" s="19">
        <f>SUM(Oct!D11, Nov!D11, Dec!D11)</f>
        <v>0</v>
      </c>
      <c r="E11" s="19">
        <f t="shared" si="3"/>
        <v>0</v>
      </c>
      <c r="F11" s="20" t="str">
        <f t="shared" si="1"/>
        <v/>
      </c>
      <c r="G11" s="21">
        <f>SUM(Oct!G11,Nov!G11,Dec!G11)</f>
        <v>0</v>
      </c>
      <c r="H11" s="21">
        <f>SUM(Oct!H11, Nov!H11, Dec!H11)</f>
        <v>0</v>
      </c>
      <c r="I11" s="20" t="str">
        <f t="shared" si="2"/>
        <v/>
      </c>
    </row>
    <row r="12" spans="1:9" ht="15.6">
      <c r="A12" s="13" t="str">
        <v>Callands Gretna - Monroe</v>
      </c>
      <c r="B12" s="10" t="str">
        <v>VA</v>
      </c>
      <c r="C12" s="25">
        <f>SUM(Oct!C12, Nov!C12, Dec!C12)</f>
        <v>0</v>
      </c>
      <c r="D12" s="14">
        <f>SUM(Oct!D12, Nov!D12, Dec!D12)</f>
        <v>0</v>
      </c>
      <c r="E12" s="14">
        <f t="shared" si="3"/>
        <v>0</v>
      </c>
      <c r="F12" s="15" t="str">
        <f t="shared" si="1"/>
        <v/>
      </c>
      <c r="G12" s="16">
        <f>SUM(Oct!G12,Nov!G12,Dec!G12)</f>
        <v>0</v>
      </c>
      <c r="H12" s="16">
        <f>SUM(Oct!H12, Nov!H12, Dec!H12)</f>
        <v>0</v>
      </c>
      <c r="I12" s="17" t="str">
        <f t="shared" si="2"/>
        <v/>
      </c>
    </row>
    <row r="13" spans="1:9" ht="15.6">
      <c r="A13" s="18" t="str">
        <v>Rockbridge Baths - Small Mouth Bass</v>
      </c>
      <c r="B13" s="11" t="str">
        <v>VA</v>
      </c>
      <c r="C13" s="12">
        <f>SUM(Oct!C13, Nov!C13, Dec!C13)</f>
        <v>0</v>
      </c>
      <c r="D13" s="19">
        <f>SUM(Oct!D13, Nov!D13, Dec!D13)</f>
        <v>0</v>
      </c>
      <c r="E13" s="19">
        <f t="shared" si="3"/>
        <v>0</v>
      </c>
      <c r="F13" s="20" t="str">
        <f t="shared" si="1"/>
        <v/>
      </c>
      <c r="G13" s="21">
        <f>SUM(Oct!G13,Nov!G13,Dec!G13)</f>
        <v>0</v>
      </c>
      <c r="H13" s="21">
        <f>SUM(Oct!H13, Nov!H13, Dec!H13)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2" priority="1" stopIfTrue="1" operator="lessThanOrEqual">
      <formula>-0.1</formula>
    </cfRule>
    <cfRule type="expression" dxfId="4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4"/>
  <sheetViews>
    <sheetView zoomScale="80" zoomScaleNormal="80" workbookViewId="0">
      <pane xSplit="2" ySplit="3" topLeftCell="I4" activePane="bottomRight" state="frozen"/>
      <selection pane="bottomRight" activeCell="I21" sqref="I21"/>
      <selection pane="bottomLeft" activeCell="A16" sqref="A16"/>
      <selection pane="topRight" activeCell="A16" sqref="A1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36.5703125" customWidth="1"/>
  </cols>
  <sheetData>
    <row r="1" spans="1:13" ht="19.5" customHeight="1">
      <c r="A1" s="71" t="str" cm="1">
        <f t="array" ref="A1">portfolio</f>
        <v>Ecofin</v>
      </c>
      <c r="B1" s="71"/>
      <c r="C1" s="71"/>
      <c r="D1" s="72" t="s">
        <v>18</v>
      </c>
      <c r="E1" s="72"/>
      <c r="F1" s="72"/>
      <c r="G1" s="70" t="s">
        <v>19</v>
      </c>
      <c r="H1" s="70"/>
      <c r="I1" s="70"/>
      <c r="J1" s="5"/>
      <c r="K1" s="5"/>
    </row>
    <row r="2" spans="1:13" ht="19.5" customHeight="1">
      <c r="A2" s="73" t="s">
        <v>2</v>
      </c>
      <c r="B2" s="73"/>
      <c r="C2" s="6">
        <f>SUM(C4:C82)</f>
        <v>2501712.4954186738</v>
      </c>
      <c r="D2" s="6">
        <f>SUM(D4:D82)</f>
        <v>3032066.6599999997</v>
      </c>
      <c r="E2" s="6">
        <f>C2-D2</f>
        <v>-530354.16458132584</v>
      </c>
      <c r="F2" s="7">
        <f>IFERROR(E2/D2, 0)</f>
        <v>-0.17491507412351082</v>
      </c>
      <c r="G2" s="6">
        <f>SUM(G4:G82)</f>
        <v>3048208</v>
      </c>
      <c r="H2" s="8">
        <f>C2-G2</f>
        <v>-546495.50458132615</v>
      </c>
      <c r="I2" s="7">
        <f>IFERROR(H2/G2, 0)</f>
        <v>-0.17928419077088117</v>
      </c>
      <c r="J2" s="27" t="str">
        <f ca="1">IF(AND(TODAY()&gt;DATE(2024, 1, 1), COUNTA(Sites[Site])&lt;&gt;(COUNT(C:C)-1)), "Some sites are missing actual data; if new sites were added, make sure they are aligned correctly (including prior months!)", "")</f>
        <v/>
      </c>
      <c r="K2" s="5"/>
    </row>
    <row r="3" spans="1:13" ht="14.25" customHeight="1">
      <c r="A3" s="28" t="s">
        <v>3</v>
      </c>
      <c r="B3" s="9" t="s">
        <v>4</v>
      </c>
      <c r="C3" s="24" t="s">
        <v>5</v>
      </c>
      <c r="D3" s="35" t="s">
        <v>6</v>
      </c>
      <c r="E3" s="35" t="s">
        <v>7</v>
      </c>
      <c r="F3" s="36" t="s">
        <v>8</v>
      </c>
      <c r="G3" s="40" t="s">
        <v>9</v>
      </c>
      <c r="H3" s="38" t="s">
        <v>7</v>
      </c>
      <c r="I3" s="39" t="s">
        <v>8</v>
      </c>
      <c r="J3" s="58" t="s">
        <v>20</v>
      </c>
      <c r="K3" s="58" t="s">
        <v>21</v>
      </c>
    </row>
    <row r="4" spans="1:13" ht="57.6">
      <c r="A4" s="32" t="str" cm="1">
        <f t="array" ref="A4:A13">Sites[Site]</f>
        <v>Alamosa School District</v>
      </c>
      <c r="B4" s="29" t="str" cm="1">
        <f t="array" ref="B4:B13">Sites[State]</f>
        <v>CO</v>
      </c>
      <c r="C4" s="25">
        <v>57157</v>
      </c>
      <c r="D4" s="14">
        <v>78953</v>
      </c>
      <c r="E4" s="14">
        <f>IF(AND(ISNUMBER(C4),ISNUMBER(D4)), C4-D4, "")</f>
        <v>-21796</v>
      </c>
      <c r="F4" s="15">
        <f>IFERROR(E4/D4, "")</f>
        <v>-0.27606297417450887</v>
      </c>
      <c r="G4" s="16">
        <v>92539.7</v>
      </c>
      <c r="H4" s="16">
        <f>IF(AND(ISNUMBER(C4),ISNUMBER(G4)), C4-G4, "")</f>
        <v>-35382.699999999997</v>
      </c>
      <c r="I4" s="17">
        <f>IFERROR(H4/G4, "")</f>
        <v>-0.38235157451342505</v>
      </c>
      <c r="J4" s="50" t="s">
        <v>22</v>
      </c>
      <c r="K4" s="59" t="s">
        <v>23</v>
      </c>
      <c r="L4" s="61" t="s">
        <v>24</v>
      </c>
      <c r="M4" s="62"/>
    </row>
    <row r="5" spans="1:13" ht="43.15">
      <c r="A5" s="30" t="str">
        <v>San Luis Valley</v>
      </c>
      <c r="B5" s="31" t="str">
        <v>CO</v>
      </c>
      <c r="C5" s="12">
        <v>144650.5</v>
      </c>
      <c r="D5" s="19">
        <v>160327.5</v>
      </c>
      <c r="E5" s="19">
        <f t="shared" ref="E5:E13" si="0">IF(AND(ISNUMBER(C5),ISNUMBER(D5)), C5-D5, "")</f>
        <v>-15677</v>
      </c>
      <c r="F5" s="20">
        <f>IFERROR(E5/D5, "")</f>
        <v>-9.7781104302131577E-2</v>
      </c>
      <c r="G5" s="21">
        <v>0</v>
      </c>
      <c r="H5" s="21">
        <f t="shared" ref="H5:H6" si="1">IF(AND(ISNUMBER(C5),ISNUMBER(G5)), C5-G5, "")</f>
        <v>144650.5</v>
      </c>
      <c r="I5" s="20" t="str">
        <f t="shared" ref="I5:I6" si="2">IFERROR(H5/G5, "")</f>
        <v/>
      </c>
      <c r="J5" s="48" t="s">
        <v>25</v>
      </c>
      <c r="K5" s="60" t="s">
        <v>26</v>
      </c>
      <c r="L5" s="62"/>
      <c r="M5" s="62"/>
    </row>
    <row r="6" spans="1:13" ht="15.6">
      <c r="A6" s="32" t="str">
        <v>Golden NREL 2</v>
      </c>
      <c r="B6" s="29" t="str">
        <v>CO</v>
      </c>
      <c r="C6" s="25">
        <v>5628</v>
      </c>
      <c r="D6" s="14">
        <v>5616.3</v>
      </c>
      <c r="E6" s="14">
        <f t="shared" si="0"/>
        <v>11.699999999999818</v>
      </c>
      <c r="F6" s="15">
        <f t="shared" ref="F6:F13" si="3">IFERROR(E6/D6, "")</f>
        <v>2.0832220501041288E-3</v>
      </c>
      <c r="G6" s="16">
        <v>7739.1</v>
      </c>
      <c r="H6" s="16">
        <f t="shared" si="1"/>
        <v>-2111.1000000000004</v>
      </c>
      <c r="I6" s="17">
        <f t="shared" si="2"/>
        <v>-0.27278365701438156</v>
      </c>
      <c r="J6" s="50" t="s">
        <v>27</v>
      </c>
      <c r="K6" s="50"/>
      <c r="L6" s="62"/>
      <c r="M6" s="62"/>
    </row>
    <row r="7" spans="1:13" ht="28.9">
      <c r="A7" s="30" t="str">
        <v>Golden NREL Wind 3</v>
      </c>
      <c r="B7" s="31" t="str">
        <v>CO</v>
      </c>
      <c r="C7" s="12">
        <v>45016.592187499999</v>
      </c>
      <c r="D7" s="19">
        <v>65286.76</v>
      </c>
      <c r="E7" s="19">
        <f t="shared" si="0"/>
        <v>-20270.167812500003</v>
      </c>
      <c r="F7" s="20">
        <f t="shared" si="3"/>
        <v>-0.31047899777075783</v>
      </c>
      <c r="G7" s="21">
        <v>0</v>
      </c>
      <c r="H7" s="21">
        <f t="shared" ref="H7:H13" si="4">IF(AND(ISNUMBER(C7),ISNUMBER(G7)), C7-G7, "")</f>
        <v>45016.592187499999</v>
      </c>
      <c r="I7" s="20" t="str">
        <f t="shared" ref="I7:I13" si="5">IFERROR(H7/G7, "")</f>
        <v/>
      </c>
      <c r="J7" s="48" t="s">
        <v>28</v>
      </c>
      <c r="K7" s="60" t="s">
        <v>29</v>
      </c>
      <c r="L7" s="62"/>
      <c r="M7" s="62"/>
    </row>
    <row r="8" spans="1:13" ht="15.6">
      <c r="A8" s="32" t="str">
        <v>Pratt Solar Farm</v>
      </c>
      <c r="B8" s="29" t="str">
        <v>KS</v>
      </c>
      <c r="C8" s="25">
        <v>641110</v>
      </c>
      <c r="D8" s="14">
        <v>959485.1</v>
      </c>
      <c r="E8" s="14">
        <f t="shared" si="0"/>
        <v>-318375.09999999998</v>
      </c>
      <c r="F8" s="15">
        <f t="shared" si="3"/>
        <v>-0.33181870150979936</v>
      </c>
      <c r="G8" s="16">
        <v>865991.1</v>
      </c>
      <c r="H8" s="16">
        <f t="shared" si="4"/>
        <v>-224881.09999999998</v>
      </c>
      <c r="I8" s="17">
        <f t="shared" si="5"/>
        <v>-0.25968061334579534</v>
      </c>
      <c r="J8" s="50" t="s">
        <v>30</v>
      </c>
      <c r="K8" s="59" t="s">
        <v>31</v>
      </c>
      <c r="L8" s="62"/>
      <c r="M8" s="62"/>
    </row>
    <row r="9" spans="1:13" ht="57.6">
      <c r="A9" s="30" t="str">
        <v>Rochester - 5516 Valleyhigh NW</v>
      </c>
      <c r="B9" s="31" t="str">
        <v>MN</v>
      </c>
      <c r="C9" s="12">
        <v>748299</v>
      </c>
      <c r="D9" s="19">
        <v>805370.6</v>
      </c>
      <c r="E9" s="19">
        <f t="shared" si="0"/>
        <v>-57071.599999999977</v>
      </c>
      <c r="F9" s="20">
        <f t="shared" si="3"/>
        <v>-7.0863773770733593E-2</v>
      </c>
      <c r="G9" s="21">
        <v>885341.6</v>
      </c>
      <c r="H9" s="21">
        <f t="shared" si="4"/>
        <v>-137042.59999999998</v>
      </c>
      <c r="I9" s="20">
        <f t="shared" si="5"/>
        <v>-0.15479064803912973</v>
      </c>
      <c r="J9" s="48" t="s">
        <v>32</v>
      </c>
      <c r="K9" s="60" t="s">
        <v>33</v>
      </c>
      <c r="L9" s="61" t="s">
        <v>34</v>
      </c>
      <c r="M9" s="62"/>
    </row>
    <row r="10" spans="1:13" ht="15.6">
      <c r="A10" s="32" t="str">
        <v>Warsaw - 2201 Richmond</v>
      </c>
      <c r="B10" s="29" t="str">
        <v>VA</v>
      </c>
      <c r="C10" s="25">
        <v>479142.19999999902</v>
      </c>
      <c r="D10" s="14">
        <v>554593.9</v>
      </c>
      <c r="E10" s="14">
        <f t="shared" si="0"/>
        <v>-75451.700000001001</v>
      </c>
      <c r="F10" s="15">
        <f t="shared" si="3"/>
        <v>-0.13604855733177196</v>
      </c>
      <c r="G10" s="16">
        <v>548915</v>
      </c>
      <c r="H10" s="16">
        <f t="shared" si="4"/>
        <v>-69772.800000000978</v>
      </c>
      <c r="I10" s="17">
        <f t="shared" si="5"/>
        <v>-0.1271103904976198</v>
      </c>
      <c r="J10" s="50" t="s">
        <v>35</v>
      </c>
      <c r="K10" s="59" t="s">
        <v>36</v>
      </c>
      <c r="L10" s="62"/>
      <c r="M10" s="62"/>
    </row>
    <row r="11" spans="1:13" ht="115.15">
      <c r="A11" s="30" t="str">
        <v>Mount Jackson - Randolf</v>
      </c>
      <c r="B11" s="31" t="str">
        <v>VA</v>
      </c>
      <c r="C11" s="12">
        <v>127473.20323117499</v>
      </c>
      <c r="D11" s="19">
        <v>147694.20000000001</v>
      </c>
      <c r="E11" s="19">
        <f t="shared" si="0"/>
        <v>-20220.996768825018</v>
      </c>
      <c r="F11" s="20">
        <f t="shared" si="3"/>
        <v>-0.13691124478026231</v>
      </c>
      <c r="G11" s="21">
        <v>364481.5</v>
      </c>
      <c r="H11" s="21">
        <f t="shared" si="4"/>
        <v>-237008.29676882501</v>
      </c>
      <c r="I11" s="20">
        <f t="shared" si="5"/>
        <v>-0.65026152704273055</v>
      </c>
      <c r="J11" s="48" t="s">
        <v>37</v>
      </c>
      <c r="K11" s="60" t="s">
        <v>38</v>
      </c>
      <c r="L11" s="61" t="s">
        <v>39</v>
      </c>
      <c r="M11" s="61" t="s">
        <v>40</v>
      </c>
    </row>
    <row r="12" spans="1:13" ht="15.6">
      <c r="A12" s="32" t="str">
        <v>Callands Gretna - Monroe</v>
      </c>
      <c r="B12" s="29" t="str">
        <v>VA</v>
      </c>
      <c r="C12" s="25">
        <v>253236</v>
      </c>
      <c r="D12" s="14">
        <v>254739.3</v>
      </c>
      <c r="E12" s="14">
        <f t="shared" si="0"/>
        <v>-1503.2999999999884</v>
      </c>
      <c r="F12" s="15">
        <f t="shared" si="3"/>
        <v>-5.9013273570273153E-3</v>
      </c>
      <c r="G12" s="16">
        <v>283200</v>
      </c>
      <c r="H12" s="16">
        <f t="shared" si="4"/>
        <v>-29964</v>
      </c>
      <c r="I12" s="17">
        <f t="shared" si="5"/>
        <v>-0.10580508474576271</v>
      </c>
      <c r="J12" s="50" t="s">
        <v>41</v>
      </c>
      <c r="K12" s="59" t="s">
        <v>42</v>
      </c>
      <c r="L12" s="62"/>
      <c r="M12" s="62"/>
    </row>
    <row r="13" spans="1:13" ht="15.6">
      <c r="A13" s="30" t="str">
        <v>Rockbridge Baths - Small Mouth Bass</v>
      </c>
      <c r="B13" s="31" t="str">
        <v>VA</v>
      </c>
      <c r="C13" s="12">
        <v>0</v>
      </c>
      <c r="D13" s="19">
        <v>0</v>
      </c>
      <c r="E13" s="19">
        <f t="shared" si="0"/>
        <v>0</v>
      </c>
      <c r="F13" s="20" t="str">
        <f t="shared" si="3"/>
        <v/>
      </c>
      <c r="G13" s="21">
        <v>0</v>
      </c>
      <c r="H13" s="21">
        <f t="shared" si="4"/>
        <v>0</v>
      </c>
      <c r="I13" s="20" t="str">
        <f t="shared" si="5"/>
        <v/>
      </c>
      <c r="J13" s="48" t="s">
        <v>43</v>
      </c>
      <c r="K13" s="60" t="s">
        <v>44</v>
      </c>
      <c r="L13" s="62"/>
      <c r="M13" s="62"/>
    </row>
    <row r="14" spans="1:13" ht="14.45">
      <c r="A14" s="22"/>
      <c r="B14" s="33"/>
      <c r="C14" s="22"/>
      <c r="D14" s="22"/>
      <c r="E14" s="22"/>
      <c r="F14" s="22"/>
      <c r="G14" s="22"/>
      <c r="H14" s="22"/>
      <c r="I14" s="22"/>
      <c r="J14" s="22"/>
      <c r="K14" s="22"/>
      <c r="L14" s="62"/>
      <c r="M14" s="62"/>
    </row>
    <row r="15" spans="1:13" ht="14.45">
      <c r="A15" s="22"/>
      <c r="B15" s="33"/>
      <c r="C15" s="22"/>
      <c r="D15" s="22"/>
      <c r="E15" s="22"/>
      <c r="F15" s="23"/>
      <c r="G15" s="22"/>
      <c r="H15" s="22"/>
      <c r="I15" s="23"/>
      <c r="J15" s="22"/>
      <c r="K15" s="22"/>
    </row>
    <row r="16" spans="1:13" ht="14.45">
      <c r="A16" s="22"/>
      <c r="B16" s="33"/>
      <c r="C16" s="22"/>
      <c r="D16" s="22"/>
      <c r="E16" s="22"/>
      <c r="F16" s="23"/>
      <c r="G16" s="22"/>
      <c r="H16" s="22"/>
      <c r="I16" s="23"/>
      <c r="J16" s="22"/>
      <c r="K16" s="22"/>
    </row>
    <row r="17" spans="1:11" ht="14.45">
      <c r="A17" s="22"/>
      <c r="B17" s="33"/>
      <c r="C17" s="22"/>
      <c r="D17" s="22"/>
      <c r="E17" s="22"/>
      <c r="F17" s="23"/>
      <c r="G17" s="22"/>
      <c r="H17" s="22"/>
      <c r="I17" s="23"/>
      <c r="J17" s="22"/>
      <c r="K17" s="22"/>
    </row>
    <row r="18" spans="1:11" ht="14.45">
      <c r="A18" s="22"/>
      <c r="B18" s="33"/>
      <c r="C18" s="22"/>
      <c r="D18" s="22"/>
      <c r="E18" s="22"/>
      <c r="F18" s="23"/>
      <c r="G18" s="22"/>
      <c r="H18" s="22"/>
      <c r="I18" s="23"/>
      <c r="J18" s="22"/>
      <c r="K18" s="22"/>
    </row>
    <row r="19" spans="1:11" ht="14.45">
      <c r="A19" s="22"/>
      <c r="B19" s="33"/>
      <c r="C19" s="22"/>
      <c r="D19" s="22"/>
      <c r="E19" s="22"/>
      <c r="F19" s="23"/>
      <c r="G19" s="22"/>
      <c r="H19" s="22"/>
      <c r="I19" s="23"/>
      <c r="J19" s="22"/>
      <c r="K19" s="22"/>
    </row>
    <row r="20" spans="1:11" ht="14.45">
      <c r="A20" s="22"/>
      <c r="B20" s="33"/>
      <c r="C20" s="22"/>
      <c r="D20" s="22"/>
      <c r="E20" s="22"/>
      <c r="F20" s="23"/>
      <c r="G20" s="22"/>
      <c r="H20" s="22"/>
      <c r="I20" s="23"/>
      <c r="J20" s="22"/>
      <c r="K20" s="22"/>
    </row>
    <row r="21" spans="1:11" ht="14.45">
      <c r="A21" s="22"/>
      <c r="B21" s="33"/>
      <c r="C21" s="22"/>
      <c r="D21" s="22"/>
      <c r="E21" s="22"/>
      <c r="F21" s="23"/>
      <c r="G21" s="22"/>
      <c r="H21" s="22"/>
      <c r="I21" s="23"/>
      <c r="J21" s="22"/>
      <c r="K21" s="22"/>
    </row>
    <row r="22" spans="1:11" ht="14.45">
      <c r="A22" s="22"/>
      <c r="B22" s="33"/>
      <c r="C22" s="22"/>
      <c r="D22" s="22"/>
      <c r="E22" s="22"/>
      <c r="F22" s="23"/>
      <c r="G22" s="22"/>
      <c r="H22" s="22"/>
      <c r="I22" s="23"/>
      <c r="J22" s="22"/>
      <c r="K22" s="22"/>
    </row>
    <row r="23" spans="1:11" ht="14.45">
      <c r="A23" s="22"/>
      <c r="B23" s="33"/>
      <c r="C23" s="22"/>
      <c r="D23" s="22"/>
      <c r="E23" s="22"/>
      <c r="F23" s="23"/>
      <c r="G23" s="22"/>
      <c r="H23" s="22"/>
      <c r="I23" s="23"/>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sheetData>
  <mergeCells count="4">
    <mergeCell ref="D1:F1"/>
    <mergeCell ref="A1:C1"/>
    <mergeCell ref="G1:I1"/>
    <mergeCell ref="A2:B2"/>
  </mergeCells>
  <phoneticPr fontId="5" type="noConversion"/>
  <conditionalFormatting sqref="F2 I2 F4:F82 I4:I82">
    <cfRule type="cellIs" dxfId="40" priority="4" stopIfTrue="1" operator="lessThanOrEqual">
      <formula>-0.1</formula>
    </cfRule>
    <cfRule type="expression" dxfId="39" priority="5">
      <formula>AND(ISNUMBER(F2), F2&gt;=0.1)</formula>
    </cfRule>
  </conditionalFormatting>
  <hyperlinks>
    <hyperlink ref="K4" r:id="rId1" display="https://us3.assetplanner.com/service_request?ID=095491" xr:uid="{5940B625-444B-4823-88EE-56222C9072EE}"/>
    <hyperlink ref="L4" r:id="rId2" display="https://us3.assetplanner.com/service_request?ID=095824" xr:uid="{7ADCB564-FEB5-4BE6-AA78-48ADCDD1A4D2}"/>
    <hyperlink ref="K5" r:id="rId3" display="https://us3.assetplanner.com/service_request?ID=093905" xr:uid="{F54AD888-9EFE-4712-9D2A-738DA0EA507C}"/>
    <hyperlink ref="K7" r:id="rId4" display="https://us3.assetplanner.com/service_request?ID=096263" xr:uid="{FC157595-6CE6-45B6-8F9D-0C99F5429DC0}"/>
    <hyperlink ref="K8" r:id="rId5" display="https://us3.assetplanner.com/service_request?ID=093458" xr:uid="{8261A5E9-B459-4994-9A6C-ACEB3C8FDF66}"/>
    <hyperlink ref="K9" r:id="rId6" display="https://us3.assetplanner.com/service_request?ID=094033" xr:uid="{E4A28255-A87F-4028-9A6E-9E382EF56033}"/>
    <hyperlink ref="L9" r:id="rId7" display="https://us3.assetplanner.com/service_request?ID=095849" xr:uid="{D0599B1F-063E-4CFA-98E1-117E548D1E79}"/>
    <hyperlink ref="K10" r:id="rId8" display="https://us3.assetplanner.com/service_request?ID=096181" xr:uid="{5FCF1054-1E2A-4E6E-928A-E1CB562A2B88}"/>
    <hyperlink ref="K11" r:id="rId9" display="https://us3.assetplanner.com/service_request?ID=095130" xr:uid="{2C492312-C80F-4F92-A6FF-306912090297}"/>
    <hyperlink ref="L11" r:id="rId10" display="https://us3.assetplanner.com/service_request?ID=096122" xr:uid="{4B6F55BF-A4C2-4444-A8D5-8DB6AD4A5888}"/>
    <hyperlink ref="M11" r:id="rId11" display="https://us3.assetplanner.com/service_request?ID=096074" xr:uid="{53D84153-AD4B-462C-86DE-F25090E169D3}"/>
    <hyperlink ref="K12" r:id="rId12" display="https://us3.assetplanner.com/service_request?ID=091277" xr:uid="{56F88AC4-E46B-4785-A872-18D6C13D64A6}"/>
    <hyperlink ref="K13" r:id="rId13" display="https://us3.assetplanner.com/service_request?ID=094062" xr:uid="{6C09063B-B6F1-4C4C-8D77-A6B0263E9635}"/>
  </hyperlinks>
  <pageMargins left="0.4" right="0.7" top="0.25" bottom="0.25" header="0.3" footer="0.3"/>
  <pageSetup fitToHeight="99" orientation="landscape"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U333"/>
  <sheetViews>
    <sheetView zoomScale="84" zoomScaleNormal="60" workbookViewId="0">
      <pane xSplit="2" ySplit="3" topLeftCell="F4" activePane="bottomRight" state="frozen"/>
      <selection pane="bottomRight" activeCell="N21" sqref="N21"/>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1" ht="19.5" customHeight="1">
      <c r="A1" s="71" t="str" cm="1">
        <f t="array" ref="A1">portfolio</f>
        <v>Ecofin</v>
      </c>
      <c r="B1" s="71"/>
      <c r="C1" s="71"/>
      <c r="D1" s="72" t="s">
        <v>45</v>
      </c>
      <c r="E1" s="72"/>
      <c r="F1" s="72"/>
      <c r="G1" s="70" t="s">
        <v>46</v>
      </c>
      <c r="H1" s="70"/>
      <c r="I1" s="70"/>
      <c r="J1" s="5"/>
      <c r="K1" s="5"/>
    </row>
    <row r="2" spans="1:21" ht="19.5" customHeight="1">
      <c r="A2" s="73" t="s">
        <v>2</v>
      </c>
      <c r="B2" s="73"/>
      <c r="C2" s="6">
        <f>SUM(C4:C91)</f>
        <v>3345331.7428600001</v>
      </c>
      <c r="D2" s="6">
        <f>SUM(D4:D91)</f>
        <v>3654038.1054529999</v>
      </c>
      <c r="E2" s="6">
        <f>C2-D2</f>
        <v>-308706.36259299982</v>
      </c>
      <c r="F2" s="7">
        <f>IFERROR(E2/D2, 0)</f>
        <v>-8.4483618857808473E-2</v>
      </c>
      <c r="G2" s="6">
        <f>SUM(G4:G91)</f>
        <v>3375549.1</v>
      </c>
      <c r="H2" s="8">
        <f>C2-G2</f>
        <v>-30217.357139999978</v>
      </c>
      <c r="I2" s="7">
        <f>IFERROR(H2/G2, 0)</f>
        <v>-8.9518345741141717E-3</v>
      </c>
      <c r="J2" s="27" t="str">
        <f ca="1">IF(AND(TODAY()&gt;DATE(2024, 2, 1), COUNTA(Sites[Site])&lt;&gt;(COUNT(C:C)-1)), "Some sites are missing actual data; if new sites were added, make sure they are aligned correctly (including prior months!)", "")</f>
        <v/>
      </c>
      <c r="K2" s="5"/>
    </row>
    <row r="3" spans="1:21" ht="14.25" customHeight="1">
      <c r="A3" s="9" t="s">
        <v>3</v>
      </c>
      <c r="B3" s="9" t="s">
        <v>4</v>
      </c>
      <c r="C3" s="24" t="s">
        <v>5</v>
      </c>
      <c r="D3" s="35" t="s">
        <v>6</v>
      </c>
      <c r="E3" s="35" t="s">
        <v>7</v>
      </c>
      <c r="F3" s="36" t="s">
        <v>8</v>
      </c>
      <c r="G3" s="37" t="s">
        <v>9</v>
      </c>
      <c r="H3" s="38" t="s">
        <v>7</v>
      </c>
      <c r="I3" s="39" t="s">
        <v>8</v>
      </c>
      <c r="J3" s="26" t="s">
        <v>20</v>
      </c>
      <c r="K3" s="26" t="s">
        <v>21</v>
      </c>
    </row>
    <row r="4" spans="1:21" ht="43.15">
      <c r="A4" s="32" t="str" cm="1">
        <f t="array" ref="A4:A13">Sites[Site]</f>
        <v>Alamosa School District</v>
      </c>
      <c r="B4" s="29" t="str" cm="1">
        <f t="array" ref="B4:B13">Sites[State]</f>
        <v>CO</v>
      </c>
      <c r="C4" s="25">
        <v>70710</v>
      </c>
      <c r="D4" s="14">
        <v>90943.272800000006</v>
      </c>
      <c r="E4" s="14">
        <f>IF(AND(ISNUMBER(C4),ISNUMBER(D4)), C4-D4, "")</f>
        <v>-20233.272800000006</v>
      </c>
      <c r="F4" s="15">
        <f>IFERROR(E4/D4, "")</f>
        <v>-0.22248234725944463</v>
      </c>
      <c r="G4" s="16">
        <v>9724.2000000000007</v>
      </c>
      <c r="H4" s="16">
        <f>IF(AND(ISNUMBER(C4),ISNUMBER(G4)), C4-G4, "")</f>
        <v>60985.8</v>
      </c>
      <c r="I4" s="17">
        <f>IFERROR(H4/G4, "")</f>
        <v>6.271549330536188</v>
      </c>
      <c r="J4" s="45" t="s">
        <v>47</v>
      </c>
      <c r="K4" s="59" t="s">
        <v>48</v>
      </c>
      <c r="L4" s="62"/>
      <c r="M4" s="62"/>
      <c r="N4" s="62"/>
      <c r="O4" s="62"/>
      <c r="P4" s="62"/>
      <c r="Q4" s="62"/>
      <c r="R4" s="62"/>
      <c r="S4" s="62"/>
      <c r="T4" s="62"/>
      <c r="U4" s="62"/>
    </row>
    <row r="5" spans="1:21" ht="15.6">
      <c r="A5" s="30" t="str">
        <v>San Luis Valley</v>
      </c>
      <c r="B5" s="31" t="str">
        <v>CO</v>
      </c>
      <c r="C5" s="12">
        <v>194848</v>
      </c>
      <c r="D5" s="12">
        <v>185624.7</v>
      </c>
      <c r="E5" s="19">
        <f>IF(AND(ISNUMBER(C5),ISNUMBER(D5)), C5-D5, "")</f>
        <v>9223.2999999999884</v>
      </c>
      <c r="F5" s="20">
        <f>IFERROR(E5/D5, "")</f>
        <v>4.9687891751474818E-2</v>
      </c>
      <c r="G5" s="44">
        <v>0</v>
      </c>
      <c r="H5" s="21">
        <f t="shared" ref="H5:H13" si="0">IF(AND(ISNUMBER(C5),ISNUMBER(G5)), C5-G5, "")</f>
        <v>194848</v>
      </c>
      <c r="I5" s="20" t="str">
        <f t="shared" ref="I5:I13" si="1">IFERROR(H5/G5, "")</f>
        <v/>
      </c>
      <c r="J5" s="49"/>
      <c r="K5" s="49"/>
      <c r="L5" s="62"/>
      <c r="M5" s="62"/>
      <c r="N5" s="62"/>
      <c r="O5" s="62"/>
      <c r="P5" s="62"/>
      <c r="Q5" s="62"/>
      <c r="R5" s="62"/>
      <c r="S5" s="62"/>
      <c r="T5" s="62"/>
      <c r="U5" s="62"/>
    </row>
    <row r="6" spans="1:21" ht="15.6">
      <c r="A6" s="32" t="str">
        <v>Golden NREL 2</v>
      </c>
      <c r="B6" s="29" t="str">
        <v>CO</v>
      </c>
      <c r="C6" s="25">
        <v>7116</v>
      </c>
      <c r="D6" s="14">
        <v>6946.0426530000004</v>
      </c>
      <c r="E6" s="14">
        <f t="shared" ref="E6:E13" si="2">IF(AND(ISNUMBER(C6),ISNUMBER(D6)), C6-D6, "")</f>
        <v>169.95734699999957</v>
      </c>
      <c r="F6" s="15">
        <f t="shared" ref="F6:F13" si="3">IFERROR(E6/D6, "")</f>
        <v>2.4468226800564617E-2</v>
      </c>
      <c r="G6" s="16">
        <v>8817.9</v>
      </c>
      <c r="H6" s="16">
        <f t="shared" si="0"/>
        <v>-1701.8999999999996</v>
      </c>
      <c r="I6" s="17">
        <f t="shared" si="1"/>
        <v>-0.19300513727758306</v>
      </c>
      <c r="J6" s="45" t="s">
        <v>49</v>
      </c>
      <c r="K6" s="45"/>
      <c r="L6" s="62"/>
      <c r="M6" s="62"/>
      <c r="N6" s="62"/>
      <c r="O6" s="62"/>
      <c r="P6" s="62"/>
      <c r="Q6" s="62"/>
      <c r="R6" s="62"/>
      <c r="S6" s="62"/>
      <c r="T6" s="62"/>
      <c r="U6" s="62"/>
    </row>
    <row r="7" spans="1:21" ht="28.9">
      <c r="A7" s="30" t="str">
        <v>Golden NREL Wind 3</v>
      </c>
      <c r="B7" s="31" t="str">
        <v>CO</v>
      </c>
      <c r="C7" s="12">
        <v>55115.14286</v>
      </c>
      <c r="D7" s="12">
        <v>83777.100000000006</v>
      </c>
      <c r="E7" s="19">
        <f t="shared" si="2"/>
        <v>-28661.957140000006</v>
      </c>
      <c r="F7" s="20">
        <f t="shared" si="3"/>
        <v>-0.34212161963114029</v>
      </c>
      <c r="G7" s="44">
        <v>0</v>
      </c>
      <c r="H7" s="21">
        <f t="shared" si="0"/>
        <v>55115.14286</v>
      </c>
      <c r="I7" s="20" t="str">
        <f t="shared" si="1"/>
        <v/>
      </c>
      <c r="J7" s="49" t="s">
        <v>50</v>
      </c>
      <c r="K7" s="60" t="s">
        <v>29</v>
      </c>
      <c r="L7" s="62"/>
      <c r="M7" s="62"/>
      <c r="N7" s="62"/>
      <c r="O7" s="62"/>
      <c r="P7" s="62"/>
      <c r="Q7" s="62"/>
      <c r="R7" s="62"/>
      <c r="S7" s="62"/>
      <c r="T7" s="62"/>
      <c r="U7" s="62"/>
    </row>
    <row r="8" spans="1:21" ht="28.9">
      <c r="A8" s="32" t="str">
        <v>Pratt Solar Farm</v>
      </c>
      <c r="B8" s="29" t="str">
        <v>KS</v>
      </c>
      <c r="C8" s="25">
        <v>609030</v>
      </c>
      <c r="D8" s="14">
        <v>919002.6</v>
      </c>
      <c r="E8" s="14">
        <f>IF(AND(ISNUMBER(C8),ISNUMBER(D8)), C8-D8, "")</f>
        <v>-309972.59999999998</v>
      </c>
      <c r="F8" s="15">
        <f t="shared" si="3"/>
        <v>-0.33729240809547217</v>
      </c>
      <c r="G8" s="16">
        <v>811213.8</v>
      </c>
      <c r="H8" s="16">
        <f t="shared" si="0"/>
        <v>-202183.80000000005</v>
      </c>
      <c r="I8" s="17">
        <f t="shared" si="1"/>
        <v>-0.24923614465138541</v>
      </c>
      <c r="J8" s="63" t="s">
        <v>51</v>
      </c>
      <c r="K8" s="59" t="s">
        <v>31</v>
      </c>
      <c r="L8" s="62"/>
      <c r="M8" s="62"/>
      <c r="N8" s="62"/>
      <c r="O8" s="62"/>
      <c r="P8" s="62"/>
      <c r="Q8" s="62"/>
      <c r="R8" s="62"/>
      <c r="S8" s="62"/>
      <c r="T8" s="62"/>
      <c r="U8" s="62"/>
    </row>
    <row r="9" spans="1:21" ht="326.25" customHeight="1">
      <c r="A9" s="30" t="str">
        <v>Rochester - 5516 Valleyhigh NW</v>
      </c>
      <c r="B9" s="31" t="str">
        <v>MN</v>
      </c>
      <c r="C9" s="12">
        <v>1053549</v>
      </c>
      <c r="D9" s="65">
        <v>1144122</v>
      </c>
      <c r="E9" s="19">
        <f t="shared" si="2"/>
        <v>-90573</v>
      </c>
      <c r="F9" s="20">
        <f t="shared" si="3"/>
        <v>-7.9163760508057707E-2</v>
      </c>
      <c r="G9" s="65">
        <v>1113658</v>
      </c>
      <c r="H9" s="21">
        <f t="shared" si="0"/>
        <v>-60109</v>
      </c>
      <c r="I9" s="20">
        <f t="shared" si="1"/>
        <v>-5.3974379926332861E-2</v>
      </c>
      <c r="J9" s="64" t="s">
        <v>52</v>
      </c>
      <c r="K9" s="60" t="s">
        <v>53</v>
      </c>
      <c r="L9" s="61" t="s">
        <v>54</v>
      </c>
      <c r="M9" s="61" t="s">
        <v>55</v>
      </c>
      <c r="N9" s="61" t="s">
        <v>56</v>
      </c>
      <c r="O9" s="61" t="s">
        <v>57</v>
      </c>
      <c r="P9" s="61" t="s">
        <v>58</v>
      </c>
      <c r="Q9" s="61" t="s">
        <v>34</v>
      </c>
      <c r="R9" s="61" t="s">
        <v>59</v>
      </c>
      <c r="S9" s="61" t="s">
        <v>60</v>
      </c>
      <c r="T9" s="62"/>
      <c r="U9" s="62"/>
    </row>
    <row r="10" spans="1:21" ht="115.15">
      <c r="A10" s="32" t="str">
        <v>Warsaw - 2201 Richmond</v>
      </c>
      <c r="B10" s="29" t="str">
        <v>VA</v>
      </c>
      <c r="C10" s="25">
        <v>638142.1</v>
      </c>
      <c r="D10" s="14">
        <v>701308.1</v>
      </c>
      <c r="E10" s="14">
        <f t="shared" si="2"/>
        <v>-63166</v>
      </c>
      <c r="F10" s="15">
        <f t="shared" si="3"/>
        <v>-9.0068829947921605E-2</v>
      </c>
      <c r="G10" s="16">
        <v>663175</v>
      </c>
      <c r="H10" s="16">
        <f t="shared" si="0"/>
        <v>-25032.900000000023</v>
      </c>
      <c r="I10" s="17">
        <f t="shared" si="1"/>
        <v>-3.7747050175293131E-2</v>
      </c>
      <c r="J10" s="45" t="s">
        <v>61</v>
      </c>
      <c r="K10" s="59" t="s">
        <v>62</v>
      </c>
      <c r="L10" s="61" t="s">
        <v>63</v>
      </c>
      <c r="M10" s="62"/>
      <c r="N10" s="62"/>
      <c r="O10" s="62"/>
      <c r="P10" s="62"/>
      <c r="Q10" s="62"/>
      <c r="R10" s="62"/>
      <c r="S10" s="62"/>
      <c r="T10" s="62"/>
      <c r="U10" s="62"/>
    </row>
    <row r="11" spans="1:21" ht="143.25" customHeight="1">
      <c r="A11" s="30" t="str">
        <v>Mount Jackson - Randolf</v>
      </c>
      <c r="B11" s="31" t="str">
        <v>VA</v>
      </c>
      <c r="C11" s="12">
        <v>437522.5</v>
      </c>
      <c r="D11" s="66">
        <v>422842.5</v>
      </c>
      <c r="E11" s="19">
        <f t="shared" si="2"/>
        <v>14680</v>
      </c>
      <c r="F11" s="20">
        <f t="shared" si="3"/>
        <v>3.4717418424117727E-2</v>
      </c>
      <c r="G11" s="66">
        <v>449760.2</v>
      </c>
      <c r="H11" s="21">
        <f t="shared" si="0"/>
        <v>-12237.700000000012</v>
      </c>
      <c r="I11" s="20">
        <f t="shared" si="1"/>
        <v>-2.7209388469677867E-2</v>
      </c>
      <c r="J11" s="64" t="s">
        <v>64</v>
      </c>
      <c r="K11" s="60" t="s">
        <v>65</v>
      </c>
      <c r="L11" s="61" t="s">
        <v>66</v>
      </c>
      <c r="M11" s="61" t="s">
        <v>67</v>
      </c>
      <c r="N11" s="61" t="s">
        <v>68</v>
      </c>
      <c r="O11" s="62"/>
      <c r="P11" s="62"/>
      <c r="Q11" s="62"/>
      <c r="R11" s="62"/>
      <c r="S11" s="62"/>
      <c r="T11" s="62"/>
      <c r="U11" s="62"/>
    </row>
    <row r="12" spans="1:21" ht="57.6">
      <c r="A12" s="32" t="str">
        <v>Callands Gretna - Monroe</v>
      </c>
      <c r="B12" s="29" t="str">
        <v>VA</v>
      </c>
      <c r="C12" s="25">
        <v>279299</v>
      </c>
      <c r="D12" s="14">
        <v>99471.79</v>
      </c>
      <c r="E12" s="14">
        <f t="shared" si="2"/>
        <v>179827.21000000002</v>
      </c>
      <c r="F12" s="15">
        <f t="shared" si="3"/>
        <v>1.8078211923199536</v>
      </c>
      <c r="G12" s="16">
        <v>319200</v>
      </c>
      <c r="H12" s="16">
        <f t="shared" si="0"/>
        <v>-39901</v>
      </c>
      <c r="I12" s="17">
        <f t="shared" si="1"/>
        <v>-0.1250031328320802</v>
      </c>
      <c r="J12" s="45" t="s">
        <v>69</v>
      </c>
      <c r="K12" s="59" t="s">
        <v>70</v>
      </c>
      <c r="L12" s="61" t="s">
        <v>71</v>
      </c>
      <c r="M12" s="61" t="s">
        <v>72</v>
      </c>
      <c r="N12" s="62"/>
      <c r="O12" s="62"/>
      <c r="P12" s="62"/>
      <c r="Q12" s="62"/>
      <c r="R12" s="62"/>
      <c r="S12" s="62"/>
      <c r="T12" s="62"/>
      <c r="U12" s="62"/>
    </row>
    <row r="13" spans="1:21" ht="15.6">
      <c r="A13" s="30" t="str">
        <v>Rockbridge Baths - Small Mouth Bass</v>
      </c>
      <c r="B13" s="31" t="str">
        <v>VA</v>
      </c>
      <c r="C13" s="12">
        <v>0</v>
      </c>
      <c r="D13" s="44">
        <v>0</v>
      </c>
      <c r="E13" s="19">
        <f t="shared" si="2"/>
        <v>0</v>
      </c>
      <c r="F13" s="20" t="str">
        <f t="shared" si="3"/>
        <v/>
      </c>
      <c r="G13" s="44">
        <v>0</v>
      </c>
      <c r="H13" s="21">
        <f t="shared" si="0"/>
        <v>0</v>
      </c>
      <c r="I13" s="20" t="str">
        <f t="shared" si="1"/>
        <v/>
      </c>
      <c r="J13" s="49" t="s">
        <v>43</v>
      </c>
      <c r="K13" s="67" t="s">
        <v>44</v>
      </c>
      <c r="L13" s="62"/>
      <c r="M13" s="62"/>
      <c r="N13" s="62"/>
      <c r="O13" s="62"/>
      <c r="P13" s="62"/>
      <c r="Q13" s="62"/>
      <c r="R13" s="62"/>
      <c r="S13" s="62"/>
      <c r="T13" s="62"/>
      <c r="U13" s="62"/>
    </row>
    <row r="14" spans="1:21" ht="14.45">
      <c r="A14" s="22"/>
      <c r="B14" s="33"/>
      <c r="C14" s="22"/>
      <c r="D14" s="22"/>
      <c r="E14" s="22"/>
      <c r="F14" s="22"/>
      <c r="G14" s="22"/>
      <c r="H14" s="22"/>
      <c r="I14" s="22"/>
      <c r="J14" s="22"/>
      <c r="K14" s="22"/>
    </row>
    <row r="15" spans="1:21" ht="14.45">
      <c r="A15" s="22"/>
      <c r="B15" s="33"/>
      <c r="C15" s="22"/>
      <c r="D15" s="22"/>
      <c r="E15" s="22"/>
      <c r="F15" s="22"/>
      <c r="G15" s="22"/>
      <c r="H15" s="22"/>
      <c r="I15" s="22"/>
      <c r="J15" s="22"/>
      <c r="K15" s="22"/>
    </row>
    <row r="16" spans="1:21"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8" priority="1" stopIfTrue="1" operator="lessThanOrEqual">
      <formula>-0.1</formula>
    </cfRule>
    <cfRule type="expression" dxfId="37" priority="2">
      <formula>AND(ISNUMBER(F2), F2&gt;=0.1)</formula>
    </cfRule>
  </conditionalFormatting>
  <hyperlinks>
    <hyperlink ref="K4" r:id="rId1" display="https://us3.assetplanner.com/service_request?ID=095824" xr:uid="{C9E25F70-D49C-4348-90B9-8E87A15F7273}"/>
    <hyperlink ref="K7" r:id="rId2" display="https://us3.assetplanner.com/service_request?ID=096263" xr:uid="{3C015CD1-F457-4E6C-B129-279D33A970DE}"/>
    <hyperlink ref="K8" r:id="rId3" display="https://us3.assetplanner.com/service_request?ID=093458" xr:uid="{EC4851D9-A487-45CE-A1AD-7E3DC5426B13}"/>
    <hyperlink ref="K9" r:id="rId4" display="https://us3.assetplanner.com/service_request?ID=096391" xr:uid="{CE2DB604-971E-4667-BCBE-E28FB5DC8E92}"/>
    <hyperlink ref="L9" r:id="rId5" display="https://us3.assetplanner.com/service_request?ID=094033" xr:uid="{DC46DDA4-8821-4C7A-8BBF-03E01BBBD7F5}"/>
    <hyperlink ref="M9" r:id="rId6" display="https://us3.assetplanner.com/service_request?ID=097304" xr:uid="{6A5C0138-809C-47A4-8351-EBADB2EE4184}"/>
    <hyperlink ref="N9" r:id="rId7" display="https://us3.assetplanner.com/service_request?ID=097622" xr:uid="{1AF6993C-98B5-445D-B039-51AA334A966B}"/>
    <hyperlink ref="O9" r:id="rId8" display="https://us3.assetplanner.com/service_request?ID=097663" xr:uid="{564BF9A3-619F-4887-A040-4CC39E5E8148}"/>
    <hyperlink ref="P9" r:id="rId9" display="https://us3.assetplanner.com/service_request?ID=097884" xr:uid="{A8C129AE-5637-4023-B6CD-212D8B59C06F}"/>
    <hyperlink ref="Q9" r:id="rId10" display="https://us3.assetplanner.com/service_request?ID=095849" xr:uid="{0583A289-B063-468A-89F2-DC778AC4A36A}"/>
    <hyperlink ref="R9" r:id="rId11" display="https://us3.assetplanner.com/service_request?ID=083529" xr:uid="{E130C841-8F73-42E0-83B2-133526A6602C}"/>
    <hyperlink ref="S9" r:id="rId12" display="https://us3.assetplanner.com/service_request?ID=085269" xr:uid="{31E94259-43E0-4E65-85BD-AADA93D8B979}"/>
    <hyperlink ref="K10" r:id="rId13" display="https://us3.assetplanner.com/service_request?ID=097728" xr:uid="{8AC6D07A-E637-4B5E-9012-B5CCE6650393}"/>
    <hyperlink ref="L10" r:id="rId14" display="https://us3.assetplanner.com/service_request?ID=096181" xr:uid="{D6F7457A-27AA-4515-9030-11B023EC5DD8}"/>
    <hyperlink ref="K11" r:id="rId15" display="https://us3.assetplanner.com/service_request?ID=096074" xr:uid="{A422F9FC-2824-4F1B-AF68-F86D35728F8B}"/>
    <hyperlink ref="L11" r:id="rId16" display="https://us3.assetplanner.com/service_request?ID=096778" xr:uid="{CED90D30-9053-4299-B40C-5F79F7485C6F}"/>
    <hyperlink ref="M11" r:id="rId17" display="https://us3.assetplanner.com/service_request?ID=097433" xr:uid="{B77EF4DD-A409-4FBE-A853-F28C950329F8}"/>
    <hyperlink ref="N11" r:id="rId18" display="https://us3.assetplanner.com/service_request?ID=097757" xr:uid="{7586AC55-DC13-4FB9-8BED-F063DA6EF562}"/>
    <hyperlink ref="K12" r:id="rId19" display="https://us3.assetplanner.com/service_request?ID=097908" xr:uid="{28E62BEA-6567-4CD6-A820-B4B81190F76B}"/>
    <hyperlink ref="L12" r:id="rId20" display="https://us3.assetplanner.com/service_request?ID=091277" xr:uid="{363705A0-1A0D-4010-AD90-2EDBFC6B73B5}"/>
    <hyperlink ref="M12" r:id="rId21" display="https://us3.assetplanner.com/service_request?ID=096700" xr:uid="{E07EE97B-8DEA-4FBB-AD0F-382C6D454CFB}"/>
    <hyperlink ref="K13" r:id="rId22" display="https://us3.assetplanner.com/service_request?ID=094062" xr:uid="{0A9832C3-3D49-4A75-95EC-8E56518E22F5}"/>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34"/>
  <sheetViews>
    <sheetView zoomScale="50" zoomScaleNormal="50" workbookViewId="0">
      <pane xSplit="2" ySplit="3" topLeftCell="C4" activePane="bottomRight" state="frozen"/>
      <selection pane="bottomRight" activeCell="J8" sqref="J8"/>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71" t="str" cm="1">
        <f t="array" ref="A1">portfolio</f>
        <v>Ecofin</v>
      </c>
      <c r="B1" s="71"/>
      <c r="C1" s="71"/>
      <c r="D1" s="72" t="s">
        <v>73</v>
      </c>
      <c r="E1" s="72"/>
      <c r="F1" s="72"/>
      <c r="G1" s="70" t="s">
        <v>74</v>
      </c>
      <c r="H1" s="70"/>
      <c r="I1" s="70"/>
      <c r="J1" s="5"/>
      <c r="K1" s="5"/>
    </row>
    <row r="2" spans="1:16" ht="19.5" customHeight="1">
      <c r="A2" s="73" t="s">
        <v>2</v>
      </c>
      <c r="B2" s="73"/>
      <c r="C2" s="6">
        <f>SUM(C4:C92)</f>
        <v>1981366.7590000001</v>
      </c>
      <c r="D2" s="6">
        <f>SUM(D4:D92)</f>
        <v>2895417.324978</v>
      </c>
      <c r="E2" s="6">
        <f>C2-D2</f>
        <v>-914050.56597799994</v>
      </c>
      <c r="F2" s="7">
        <f>IFERROR(E2/D2, 0)</f>
        <v>-0.31568871198383985</v>
      </c>
      <c r="G2" s="6">
        <f>SUM(G4:G92)</f>
        <v>2260598.98</v>
      </c>
      <c r="H2" s="8">
        <f>C2-G2</f>
        <v>-279232.2209999999</v>
      </c>
      <c r="I2" s="7">
        <f>IFERROR(H2/G2, 0)</f>
        <v>-0.12352134256028015</v>
      </c>
      <c r="J2" s="27" t="str">
        <f ca="1">IF(AND(TODAY()&gt;DATE(2024, 3, 1), COUNTA(Sites[Site])&lt;&gt;(COUNT(C:C)-1)), "Some sites are missing actual data; if new sites were added, make sure they are aligned correctly (including prior months!)", "")</f>
        <v/>
      </c>
      <c r="K2" s="5"/>
    </row>
    <row r="3" spans="1:16" ht="14.25" customHeight="1">
      <c r="A3" s="9" t="s">
        <v>3</v>
      </c>
      <c r="B3" s="9" t="s">
        <v>4</v>
      </c>
      <c r="C3" s="24" t="s">
        <v>5</v>
      </c>
      <c r="D3" s="35" t="s">
        <v>6</v>
      </c>
      <c r="E3" s="35" t="s">
        <v>7</v>
      </c>
      <c r="F3" s="36" t="s">
        <v>8</v>
      </c>
      <c r="G3" s="37" t="s">
        <v>9</v>
      </c>
      <c r="H3" s="38" t="s">
        <v>7</v>
      </c>
      <c r="I3" s="39" t="s">
        <v>8</v>
      </c>
      <c r="J3" s="26" t="s">
        <v>20</v>
      </c>
      <c r="K3" s="26" t="s">
        <v>21</v>
      </c>
    </row>
    <row r="4" spans="1:16" ht="43.15">
      <c r="A4" s="32" t="str" cm="1">
        <f t="array" ref="A4:A13">Sites[Site]</f>
        <v>Alamosa School District</v>
      </c>
      <c r="B4" s="29" t="str" cm="1">
        <f t="array" ref="B4:B13">Sites[State]</f>
        <v>CO</v>
      </c>
      <c r="C4" s="46">
        <v>80070</v>
      </c>
      <c r="D4" s="14">
        <v>104138.30250000001</v>
      </c>
      <c r="E4" s="14">
        <f>IF(AND(ISNUMBER(C4),ISNUMBER(D4)), C4-D4, "")</f>
        <v>-24068.302500000005</v>
      </c>
      <c r="F4" s="15">
        <f>IFERROR(E4/D4, "")</f>
        <v>-0.23111863668029353</v>
      </c>
      <c r="G4" s="47">
        <v>120278</v>
      </c>
      <c r="H4" s="16">
        <f>IF(AND(ISNUMBER(C4),ISNUMBER(G4)), C4-G4, "")</f>
        <v>-40208</v>
      </c>
      <c r="I4" s="17">
        <f>IFERROR(H4/G4, "")</f>
        <v>-0.33429222301667805</v>
      </c>
      <c r="J4" s="41" t="s">
        <v>75</v>
      </c>
      <c r="K4" s="68" t="s">
        <v>76</v>
      </c>
      <c r="L4" s="62"/>
      <c r="M4" s="62"/>
      <c r="N4" s="62"/>
      <c r="O4" s="62"/>
      <c r="P4" s="62"/>
    </row>
    <row r="5" spans="1:16" ht="15.6">
      <c r="A5" s="30" t="str">
        <v>San Luis Valley</v>
      </c>
      <c r="B5" s="31" t="str">
        <v>CO</v>
      </c>
      <c r="C5" s="12">
        <v>207987.875</v>
      </c>
      <c r="D5" s="19">
        <v>208017.3</v>
      </c>
      <c r="E5" s="19">
        <f t="shared" ref="E5:E13" si="0">IF(AND(ISNUMBER(C5),ISNUMBER(D5)), C5-D5, "")</f>
        <v>-29.424999999988358</v>
      </c>
      <c r="F5" s="20">
        <f>IFERROR(E5/D5, "")</f>
        <v>-1.4145458094104847E-4</v>
      </c>
      <c r="G5" s="21">
        <v>0</v>
      </c>
      <c r="H5" s="21">
        <f t="shared" ref="H5:H13" si="1">IF(AND(ISNUMBER(C5),ISNUMBER(G5)), C5-G5, "")</f>
        <v>207987.875</v>
      </c>
      <c r="I5" s="20" t="str">
        <f t="shared" ref="I5:I13" si="2">IFERROR(H5/G5, "")</f>
        <v/>
      </c>
      <c r="J5" s="48" t="s">
        <v>77</v>
      </c>
      <c r="K5" s="60" t="s">
        <v>78</v>
      </c>
      <c r="L5" s="62"/>
      <c r="M5" s="62"/>
      <c r="N5" s="62"/>
      <c r="O5" s="62"/>
      <c r="P5" s="62"/>
    </row>
    <row r="6" spans="1:16" ht="15.6">
      <c r="A6" s="32" t="str">
        <v>Golden NREL 2</v>
      </c>
      <c r="B6" s="29" t="str">
        <v>CO</v>
      </c>
      <c r="C6" s="46">
        <v>11434</v>
      </c>
      <c r="D6" s="14">
        <v>9772.5194780000002</v>
      </c>
      <c r="E6" s="14">
        <f t="shared" si="0"/>
        <v>1661.4805219999998</v>
      </c>
      <c r="F6" s="15">
        <f t="shared" ref="F6:F13" si="3">IFERROR(E6/D6, "")</f>
        <v>0.17001557538364007</v>
      </c>
      <c r="G6" s="47">
        <v>12031.3</v>
      </c>
      <c r="H6" s="16">
        <f t="shared" si="1"/>
        <v>-597.29999999999927</v>
      </c>
      <c r="I6" s="17">
        <f t="shared" si="2"/>
        <v>-4.9645507966720077E-2</v>
      </c>
      <c r="J6" s="41"/>
      <c r="K6" s="41"/>
      <c r="L6" s="62"/>
      <c r="M6" s="62"/>
      <c r="N6" s="62"/>
      <c r="O6" s="62"/>
      <c r="P6" s="62"/>
    </row>
    <row r="7" spans="1:16" ht="28.9">
      <c r="A7" s="30" t="str">
        <v>Golden NREL Wind 3</v>
      </c>
      <c r="B7" s="31" t="str">
        <v>CO</v>
      </c>
      <c r="C7" s="12">
        <v>92902.983999999997</v>
      </c>
      <c r="D7" s="19">
        <v>121657.755</v>
      </c>
      <c r="E7" s="19">
        <f t="shared" si="0"/>
        <v>-28754.771000000008</v>
      </c>
      <c r="F7" s="20">
        <f t="shared" si="3"/>
        <v>-0.23635789596807871</v>
      </c>
      <c r="G7" s="21">
        <v>0</v>
      </c>
      <c r="H7" s="21">
        <f t="shared" si="1"/>
        <v>92902.983999999997</v>
      </c>
      <c r="I7" s="20" t="str">
        <f t="shared" si="2"/>
        <v/>
      </c>
      <c r="J7" s="48" t="s">
        <v>50</v>
      </c>
      <c r="K7" s="60" t="s">
        <v>79</v>
      </c>
      <c r="L7" s="62"/>
      <c r="M7" s="62"/>
      <c r="N7" s="62"/>
      <c r="O7" s="62"/>
      <c r="P7" s="62"/>
    </row>
    <row r="8" spans="1:16" ht="158.44999999999999">
      <c r="A8" s="51" t="str">
        <v>Pratt Solar Farm</v>
      </c>
      <c r="B8" s="29" t="str">
        <v>KS</v>
      </c>
      <c r="C8" s="46">
        <v>404790</v>
      </c>
      <c r="D8" s="14">
        <v>1218572.209</v>
      </c>
      <c r="E8" s="14">
        <f t="shared" si="0"/>
        <v>-813782.20900000003</v>
      </c>
      <c r="F8" s="15">
        <f t="shared" si="3"/>
        <v>-0.66781615647366199</v>
      </c>
      <c r="G8" s="47">
        <v>1038889.03</v>
      </c>
      <c r="H8" s="16">
        <f t="shared" si="1"/>
        <v>-634099.03</v>
      </c>
      <c r="I8" s="17">
        <f t="shared" si="2"/>
        <v>-0.61036261976892758</v>
      </c>
      <c r="J8" s="41" t="s">
        <v>80</v>
      </c>
      <c r="K8" s="68" t="s">
        <v>81</v>
      </c>
      <c r="L8" s="61" t="s">
        <v>82</v>
      </c>
      <c r="M8" s="61" t="s">
        <v>83</v>
      </c>
      <c r="N8" s="61" t="s">
        <v>84</v>
      </c>
      <c r="O8" s="62"/>
      <c r="P8" s="62"/>
    </row>
    <row r="9" spans="1:16" ht="288">
      <c r="A9" s="30" t="str">
        <v>Rochester - 5516 Valleyhigh NW</v>
      </c>
      <c r="B9" s="31" t="str">
        <v>MN</v>
      </c>
      <c r="C9" s="12">
        <v>572951</v>
      </c>
      <c r="D9" s="19">
        <v>659633.6</v>
      </c>
      <c r="E9" s="19">
        <f t="shared" si="0"/>
        <v>-86682.599999999977</v>
      </c>
      <c r="F9" s="20">
        <f t="shared" si="3"/>
        <v>-0.13141022531296159</v>
      </c>
      <c r="G9" s="21">
        <v>511275.9</v>
      </c>
      <c r="H9" s="21">
        <f t="shared" si="1"/>
        <v>61675.099999999977</v>
      </c>
      <c r="I9" s="20">
        <f t="shared" si="2"/>
        <v>0.12062978129812098</v>
      </c>
      <c r="J9" s="48" t="s">
        <v>85</v>
      </c>
      <c r="K9" s="60" t="s">
        <v>86</v>
      </c>
      <c r="L9" s="61" t="s">
        <v>58</v>
      </c>
      <c r="M9" s="61" t="s">
        <v>87</v>
      </c>
      <c r="N9" s="61" t="s">
        <v>88</v>
      </c>
      <c r="O9" s="61" t="s">
        <v>34</v>
      </c>
      <c r="P9" s="61" t="s">
        <v>89</v>
      </c>
    </row>
    <row r="10" spans="1:16" ht="106.5" customHeight="1">
      <c r="A10" s="32" t="str">
        <v>Warsaw - 2201 Richmond</v>
      </c>
      <c r="B10" s="29" t="str">
        <v>VA</v>
      </c>
      <c r="C10" s="46">
        <v>267551.8</v>
      </c>
      <c r="D10" s="14">
        <v>285336.5</v>
      </c>
      <c r="E10" s="14">
        <f t="shared" si="0"/>
        <v>-17784.700000000012</v>
      </c>
      <c r="F10" s="15">
        <f t="shared" si="3"/>
        <v>-6.2328864340874764E-2</v>
      </c>
      <c r="G10" s="47">
        <v>271029.34999999998</v>
      </c>
      <c r="H10" s="16">
        <f t="shared" si="1"/>
        <v>-3477.5499999999884</v>
      </c>
      <c r="I10" s="17">
        <f t="shared" si="2"/>
        <v>-1.2830898203460211E-2</v>
      </c>
      <c r="J10" s="41" t="s">
        <v>90</v>
      </c>
      <c r="K10" s="68" t="s">
        <v>91</v>
      </c>
      <c r="L10" s="61" t="s">
        <v>63</v>
      </c>
      <c r="M10" s="62"/>
      <c r="N10" s="62"/>
      <c r="O10" s="62"/>
      <c r="P10" s="62"/>
    </row>
    <row r="11" spans="1:16" ht="115.15">
      <c r="A11" s="30" t="str">
        <v>Mount Jackson - Randolf</v>
      </c>
      <c r="B11" s="31" t="str">
        <v>VA</v>
      </c>
      <c r="C11" s="12">
        <v>210393.1</v>
      </c>
      <c r="D11" s="19">
        <v>207885.139</v>
      </c>
      <c r="E11" s="19">
        <f t="shared" si="0"/>
        <v>2507.9610000000102</v>
      </c>
      <c r="F11" s="20">
        <f t="shared" si="3"/>
        <v>1.206416683782293E-2</v>
      </c>
      <c r="G11" s="21">
        <v>185857.9</v>
      </c>
      <c r="H11" s="21">
        <f t="shared" si="1"/>
        <v>24535.200000000012</v>
      </c>
      <c r="I11" s="20">
        <f t="shared" si="2"/>
        <v>0.13201053062581689</v>
      </c>
      <c r="J11" s="48" t="s">
        <v>92</v>
      </c>
      <c r="K11" s="60" t="s">
        <v>93</v>
      </c>
      <c r="L11" s="61" t="s">
        <v>94</v>
      </c>
      <c r="M11" s="61" t="s">
        <v>68</v>
      </c>
      <c r="N11" s="61" t="s">
        <v>66</v>
      </c>
      <c r="O11" s="61" t="s">
        <v>95</v>
      </c>
      <c r="P11" s="62"/>
    </row>
    <row r="12" spans="1:16" ht="144">
      <c r="A12" s="32" t="str">
        <v>Callands Gretna - Monroe</v>
      </c>
      <c r="B12" s="29" t="str">
        <v>VA</v>
      </c>
      <c r="C12" s="46">
        <v>133286</v>
      </c>
      <c r="D12" s="14">
        <v>80404</v>
      </c>
      <c r="E12" s="14">
        <f t="shared" si="0"/>
        <v>52882</v>
      </c>
      <c r="F12" s="15">
        <f t="shared" si="3"/>
        <v>0.65770359683597834</v>
      </c>
      <c r="G12" s="47">
        <v>121237.5</v>
      </c>
      <c r="H12" s="16">
        <f t="shared" si="1"/>
        <v>12048.5</v>
      </c>
      <c r="I12" s="17">
        <f t="shared" si="2"/>
        <v>9.9379317455407776E-2</v>
      </c>
      <c r="J12" s="41" t="s">
        <v>96</v>
      </c>
      <c r="K12" s="68" t="s">
        <v>97</v>
      </c>
      <c r="L12" s="61" t="s">
        <v>71</v>
      </c>
      <c r="M12" s="61" t="s">
        <v>72</v>
      </c>
      <c r="N12" s="62"/>
      <c r="O12" s="62"/>
      <c r="P12" s="62"/>
    </row>
    <row r="13" spans="1:16" ht="15.6">
      <c r="A13" s="30" t="str">
        <v>Rockbridge Baths - Small Mouth Bass</v>
      </c>
      <c r="B13" s="31" t="str">
        <v>VA</v>
      </c>
      <c r="C13" s="12">
        <v>0</v>
      </c>
      <c r="D13" s="19">
        <v>0</v>
      </c>
      <c r="E13" s="19">
        <f t="shared" si="0"/>
        <v>0</v>
      </c>
      <c r="F13" s="20" t="str">
        <f t="shared" si="3"/>
        <v/>
      </c>
      <c r="G13" s="21">
        <v>0</v>
      </c>
      <c r="H13" s="21">
        <f t="shared" si="1"/>
        <v>0</v>
      </c>
      <c r="I13" s="20" t="str">
        <f t="shared" si="2"/>
        <v/>
      </c>
      <c r="J13" s="48" t="s">
        <v>43</v>
      </c>
      <c r="K13" s="60" t="s">
        <v>98</v>
      </c>
      <c r="L13" s="62"/>
      <c r="M13" s="62"/>
      <c r="N13" s="62"/>
      <c r="O13" s="62"/>
      <c r="P13" s="62"/>
    </row>
    <row r="14" spans="1:16" ht="14.45">
      <c r="A14" s="22"/>
      <c r="B14" s="33"/>
      <c r="C14" s="22"/>
      <c r="D14" s="22"/>
      <c r="E14" s="22"/>
      <c r="F14" s="22"/>
      <c r="G14" s="22"/>
      <c r="H14" s="22"/>
      <c r="I14" s="22"/>
      <c r="J14" s="22"/>
      <c r="K14" s="22"/>
    </row>
    <row r="15" spans="1:16" ht="14.45">
      <c r="A15" s="22"/>
      <c r="B15" s="33"/>
      <c r="C15" s="22"/>
      <c r="D15" s="22"/>
      <c r="E15" s="22"/>
      <c r="F15" s="22"/>
      <c r="G15" s="22"/>
      <c r="H15" s="22"/>
      <c r="I15" s="22"/>
      <c r="J15" s="22"/>
      <c r="K15" s="22"/>
    </row>
    <row r="16" spans="1:16"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2"/>
      <c r="G24" s="22"/>
      <c r="H24" s="22"/>
      <c r="I24" s="22"/>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C334" s="22"/>
      <c r="D334" s="22"/>
      <c r="E334" s="22"/>
      <c r="F334" s="23"/>
      <c r="G334" s="22"/>
      <c r="H334" s="22"/>
      <c r="I334" s="23"/>
      <c r="J334" s="22"/>
      <c r="K334" s="22"/>
    </row>
  </sheetData>
  <mergeCells count="4">
    <mergeCell ref="G1:I1"/>
    <mergeCell ref="A1:C1"/>
    <mergeCell ref="D1:F1"/>
    <mergeCell ref="A2:B2"/>
  </mergeCells>
  <conditionalFormatting sqref="F2 I2 F4:F92 I4:I92">
    <cfRule type="cellIs" dxfId="36" priority="3" stopIfTrue="1" operator="lessThanOrEqual">
      <formula>-0.1</formula>
    </cfRule>
    <cfRule type="expression" dxfId="35" priority="4">
      <formula>AND(ISNUMBER(F2), F2&gt;=0.1)</formula>
    </cfRule>
  </conditionalFormatting>
  <hyperlinks>
    <hyperlink ref="K4" r:id="rId1" display="https://us3.assetplanner.com/service_request?ID=095824" xr:uid="{4A3A61FD-E10A-4F3A-A7C2-FE60E5B2F84C}"/>
    <hyperlink ref="K5" r:id="rId2" display="https://us3.assetplanner.com/service_request?ID=098228" xr:uid="{4CAA1BC8-88E6-4D29-BB12-B0284BE659A2}"/>
    <hyperlink ref="K7" r:id="rId3" display="https://us3.assetplanner.com/service_request?ID=096263" xr:uid="{FC84A9D6-CC04-4775-95F0-F9B8D507F9F3}"/>
    <hyperlink ref="K8" r:id="rId4" display="https://us3.assetplanner.com/service_request?ID=093458" xr:uid="{9A4BD8B9-25B2-47D6-B136-77B34AFE3922}"/>
    <hyperlink ref="L8" r:id="rId5" display="https://us3.assetplanner.com/service_request?ID=099185" xr:uid="{264A05B3-86D6-4B1D-A539-ACC8DCBF8482}"/>
    <hyperlink ref="M8" r:id="rId6" display="https://us3.assetplanner.com/service_request?ID=098335" xr:uid="{28CC4955-4661-4AF9-8FBA-EB9B3584C1CA}"/>
    <hyperlink ref="N8" r:id="rId7" display="https://us3.assetplanner.com/service_request?ID=098248" xr:uid="{1BE5832F-30A4-46E0-9F66-F17D23B9AE9E}"/>
    <hyperlink ref="K9" r:id="rId8" display="https://us3.assetplanner.com/service_request?ID=097304" xr:uid="{C4F6C497-B9BD-4424-9A4B-C0DF875D1F77}"/>
    <hyperlink ref="L9" r:id="rId9" display="https://us3.assetplanner.com/service_request?ID=097884" xr:uid="{BEB8DC35-E3B6-4AF1-BBD5-A41A4E6A94D4}"/>
    <hyperlink ref="M9" r:id="rId10" display="https://us3.assetplanner.com/service_request?ID=098364" xr:uid="{71175B5A-59D3-4038-9A73-D1B164A80A85}"/>
    <hyperlink ref="N9" r:id="rId11" display="https://us3.assetplanner.com/service_request?ID=099221" xr:uid="{AB8098E5-1734-4C68-B827-650F47FCA6FA}"/>
    <hyperlink ref="O9" r:id="rId12" display="https://us3.assetplanner.com/service_request?ID=095849" xr:uid="{CD3A38D9-20B3-4737-8DEE-1BA78131C5E8}"/>
    <hyperlink ref="P9" r:id="rId13" display="https://us3.assetplanner.com/service_request?ID=099224" xr:uid="{B7EDB383-BA4E-4FA0-8FE2-9DE8BB4CBBBA}"/>
    <hyperlink ref="K10" r:id="rId14" display="https://us3.assetplanner.com/service_request?ID=097728" xr:uid="{D3635796-4811-43AE-95B4-6E4D97DBEC34}"/>
    <hyperlink ref="L10" r:id="rId15" display="https://us3.assetplanner.com/service_request?ID=096181" xr:uid="{2D73F108-E386-4F5E-8647-15D626C42C18}"/>
    <hyperlink ref="K11" r:id="rId16" display="https://us3.assetplanner.com/service_request?ID=097945" xr:uid="{766BC863-307B-4B25-8DBE-CA73CEF5A4F2}"/>
    <hyperlink ref="L11" r:id="rId17" display="https://us3.assetplanner.com/service_request?ID=098302" xr:uid="{91823CD8-FA04-4FAC-9A03-5BD278ACC4F0}"/>
    <hyperlink ref="M11" r:id="rId18" display="https://us3.assetplanner.com/service_request?ID=097757" xr:uid="{6268572B-68D2-4156-A60A-EC835753816A}"/>
    <hyperlink ref="N11" r:id="rId19" display="https://us3.assetplanner.com/service_request?ID=096778" xr:uid="{C167592D-1DD4-4E04-B840-AA80EDE36DC6}"/>
    <hyperlink ref="O11" r:id="rId20" display="https://us3.assetplanner.com/service_request?ID=098566" xr:uid="{4B949AD2-510D-42FA-BD5B-22541A54154A}"/>
    <hyperlink ref="K12" r:id="rId21" display="https://us3.assetplanner.com/service_request?ID=097908" xr:uid="{9A529F08-F7C5-4B6D-BA54-DF05A8F2F548}"/>
    <hyperlink ref="L12" r:id="rId22" display="https://us3.assetplanner.com/service_request?ID=091277" xr:uid="{62C4720E-188B-43AA-924B-4C8281D54D54}"/>
    <hyperlink ref="M12" r:id="rId23" display="https://us3.assetplanner.com/service_request?ID=096700" xr:uid="{AF20820B-256F-41E5-91F0-EB8166CCD989}"/>
    <hyperlink ref="K13" r:id="rId24" display="https://us3.assetplanner.com/service_request?ID=097305" xr:uid="{BDB5D614-1182-408E-B605-05BFF734205A}"/>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N333"/>
  <sheetViews>
    <sheetView tabSelected="1" zoomScale="80" zoomScaleNormal="80" workbookViewId="0">
      <pane xSplit="2" ySplit="3" topLeftCell="C4" activePane="bottomRight" state="frozen"/>
      <selection pane="bottomRight" activeCell="H16" sqref="H16"/>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62"/>
  </cols>
  <sheetData>
    <row r="1" spans="1:13" ht="19.5" customHeight="1">
      <c r="A1" s="71" t="str" cm="1">
        <f t="array" ref="A1">portfolio</f>
        <v>Ecofin</v>
      </c>
      <c r="B1" s="71"/>
      <c r="C1" s="71"/>
      <c r="D1" s="72" t="s">
        <v>99</v>
      </c>
      <c r="E1" s="72"/>
      <c r="F1" s="72"/>
      <c r="G1" s="70" t="s">
        <v>100</v>
      </c>
      <c r="H1" s="70"/>
      <c r="I1" s="70"/>
      <c r="J1" s="5"/>
      <c r="K1" s="5"/>
    </row>
    <row r="2" spans="1:13" ht="19.5" customHeight="1">
      <c r="A2" s="73" t="s">
        <v>2</v>
      </c>
      <c r="B2" s="73"/>
      <c r="C2" s="6">
        <f>SUM(C4:C91)</f>
        <v>722747.56109374994</v>
      </c>
      <c r="D2" s="6">
        <f>SUM(D4:D91)</f>
        <v>1521830.6158158355</v>
      </c>
      <c r="E2" s="6">
        <f>C2-D2</f>
        <v>-799083.0547220856</v>
      </c>
      <c r="F2" s="7">
        <f>IFERROR(E2/D2, 0)</f>
        <v>-0.5250801543992506</v>
      </c>
      <c r="G2" s="6">
        <f>SUM(G4:G91)</f>
        <v>1234101.5</v>
      </c>
      <c r="H2" s="8">
        <f>C2-G2</f>
        <v>-511353.93890625006</v>
      </c>
      <c r="I2" s="7">
        <f>IFERROR(H2/G2, 0)</f>
        <v>-0.41435322694790505</v>
      </c>
      <c r="J2" s="27" t="str">
        <f ca="1">IF(AND(TODAY()&gt;DATE(2024, 4, 1), COUNTA(Sites[Site])&lt;&gt;(COUNT(C:C)-1)), "Some sites are missing actual data; if new sites were added, make sure they are aligned correctly (including prior months!)", "")</f>
        <v/>
      </c>
      <c r="K2" s="5"/>
    </row>
    <row r="3" spans="1:13" ht="14.25" customHeight="1">
      <c r="A3" s="9" t="s">
        <v>3</v>
      </c>
      <c r="B3" s="9" t="s">
        <v>4</v>
      </c>
      <c r="C3" s="24" t="s">
        <v>5</v>
      </c>
      <c r="D3" s="35" t="s">
        <v>6</v>
      </c>
      <c r="E3" s="35" t="s">
        <v>7</v>
      </c>
      <c r="F3" s="36" t="s">
        <v>8</v>
      </c>
      <c r="G3" s="37" t="s">
        <v>9</v>
      </c>
      <c r="H3" s="38" t="s">
        <v>7</v>
      </c>
      <c r="I3" s="39" t="s">
        <v>8</v>
      </c>
      <c r="J3" s="26" t="s">
        <v>20</v>
      </c>
      <c r="K3" s="26" t="s">
        <v>21</v>
      </c>
    </row>
    <row r="4" spans="1:13" ht="72">
      <c r="A4" s="51" t="str" cm="1">
        <f t="array" ref="A4:A13">Sites[Site]</f>
        <v>Alamosa School District</v>
      </c>
      <c r="B4" s="29" t="str" cm="1">
        <f t="array" ref="B4:B13">Sites[State]</f>
        <v>CO</v>
      </c>
      <c r="C4" s="25">
        <v>83870</v>
      </c>
      <c r="D4" s="14">
        <v>117297.41179583556</v>
      </c>
      <c r="E4" s="14">
        <f>IF(AND(ISNUMBER(C4),ISNUMBER(D4)), C4-D4, "")</f>
        <v>-33427.411795835564</v>
      </c>
      <c r="F4" s="15">
        <f>IFERROR(E4/D4, "")</f>
        <v>-0.28497996063219483</v>
      </c>
      <c r="G4" s="16">
        <v>128953.72000000003</v>
      </c>
      <c r="H4" s="16">
        <f>IF(AND(ISNUMBER(C4),ISNUMBER(G4)), C4-G4, "")</f>
        <v>-45083.72000000003</v>
      </c>
      <c r="I4" s="17">
        <f>IFERROR(H4/G4, "")</f>
        <v>-0.34961162810968166</v>
      </c>
      <c r="J4" s="41" t="s">
        <v>101</v>
      </c>
      <c r="K4" s="68" t="s">
        <v>102</v>
      </c>
      <c r="L4" s="61" t="s">
        <v>24</v>
      </c>
    </row>
    <row r="5" spans="1:13" ht="28.9">
      <c r="A5" s="30" t="str">
        <v>San Luis Valley</v>
      </c>
      <c r="B5" s="31" t="str">
        <v>CO</v>
      </c>
      <c r="C5" s="12">
        <v>224573.25</v>
      </c>
      <c r="D5" s="19">
        <v>232450.6</v>
      </c>
      <c r="E5" s="19">
        <f t="shared" ref="E5:E13" si="0">IF(AND(ISNUMBER(C5),ISNUMBER(D5)), C5-D5, "")</f>
        <v>-7877.3500000000058</v>
      </c>
      <c r="F5" s="20">
        <f>IFERROR(E5/D5, "")</f>
        <v>-3.3888275616410564E-2</v>
      </c>
      <c r="G5" s="69" t="s">
        <v>103</v>
      </c>
      <c r="H5" s="21" t="str">
        <f t="shared" ref="H5:H8" si="1">IF(AND(ISNUMBER(C5),ISNUMBER(G5)), C5-G5, "")</f>
        <v/>
      </c>
      <c r="I5" s="20" t="str">
        <f t="shared" ref="I5:I8" si="2">IFERROR(H5/G5, "")</f>
        <v/>
      </c>
      <c r="J5" s="48" t="s">
        <v>104</v>
      </c>
      <c r="K5" s="60" t="s">
        <v>105</v>
      </c>
    </row>
    <row r="6" spans="1:13" ht="15.6">
      <c r="A6" s="32" t="str">
        <v>Golden NREL 2</v>
      </c>
      <c r="B6" s="29" t="str">
        <v>CO</v>
      </c>
      <c r="C6" s="25">
        <v>11155</v>
      </c>
      <c r="D6" s="14">
        <v>10312.40402</v>
      </c>
      <c r="E6" s="14">
        <f t="shared" si="0"/>
        <v>842.59598000000005</v>
      </c>
      <c r="F6" s="15">
        <f t="shared" ref="F6:F13" si="3">IFERROR(E6/D6, "")</f>
        <v>8.1707037308260941E-2</v>
      </c>
      <c r="G6" s="16">
        <v>12834.78</v>
      </c>
      <c r="H6" s="16">
        <f t="shared" si="1"/>
        <v>-1679.7800000000007</v>
      </c>
      <c r="I6" s="17">
        <f t="shared" si="2"/>
        <v>-0.13087719462273609</v>
      </c>
      <c r="J6" s="50" t="s">
        <v>106</v>
      </c>
      <c r="K6" s="50"/>
    </row>
    <row r="7" spans="1:13" ht="69" customHeight="1">
      <c r="A7" s="30" t="str">
        <v>Golden NREL Wind 3</v>
      </c>
      <c r="B7" s="31" t="str">
        <v>CO</v>
      </c>
      <c r="C7" s="12">
        <v>79519.311093750002</v>
      </c>
      <c r="D7" s="19">
        <v>141658.20000000001</v>
      </c>
      <c r="E7" s="19"/>
      <c r="F7" s="20">
        <v>0</v>
      </c>
      <c r="G7" s="69" t="s">
        <v>103</v>
      </c>
      <c r="H7" s="21" t="str">
        <f t="shared" si="1"/>
        <v/>
      </c>
      <c r="I7" s="20" t="str">
        <f t="shared" si="2"/>
        <v/>
      </c>
      <c r="J7" s="48" t="s">
        <v>107</v>
      </c>
      <c r="K7" s="60" t="s">
        <v>79</v>
      </c>
    </row>
    <row r="8" spans="1:13" ht="57.6">
      <c r="A8" s="51" t="str">
        <v>Pratt Solar Farm</v>
      </c>
      <c r="B8" s="29" t="str">
        <v>KS</v>
      </c>
      <c r="C8" s="25">
        <v>323630</v>
      </c>
      <c r="D8" s="14">
        <v>1020112</v>
      </c>
      <c r="E8" s="14">
        <f t="shared" si="0"/>
        <v>-696482</v>
      </c>
      <c r="F8" s="15">
        <f t="shared" si="3"/>
        <v>-0.68275052151136351</v>
      </c>
      <c r="G8" s="16">
        <v>1092313</v>
      </c>
      <c r="H8" s="16">
        <f t="shared" si="1"/>
        <v>-768683</v>
      </c>
      <c r="I8" s="17">
        <f t="shared" si="2"/>
        <v>-0.70372045375272474</v>
      </c>
      <c r="J8" s="50" t="s">
        <v>108</v>
      </c>
      <c r="K8" s="59" t="s">
        <v>109</v>
      </c>
      <c r="L8" s="61" t="s">
        <v>82</v>
      </c>
      <c r="M8" s="61" t="s">
        <v>110</v>
      </c>
    </row>
    <row r="9" spans="1:13" ht="38.65" customHeight="1">
      <c r="A9" s="30" t="str">
        <v>Rochester - 5516 Valleyhigh NW</v>
      </c>
      <c r="B9" s="31" t="str">
        <v>MN</v>
      </c>
      <c r="C9" s="12">
        <v>0</v>
      </c>
      <c r="D9" s="19">
        <v>0</v>
      </c>
      <c r="E9" s="19">
        <f t="shared" si="0"/>
        <v>0</v>
      </c>
      <c r="F9" s="20" t="str">
        <f t="shared" si="3"/>
        <v/>
      </c>
      <c r="G9" s="21">
        <v>0</v>
      </c>
      <c r="H9" s="21">
        <f t="shared" ref="H9:H12" si="4">IF(AND(ISNUMBER(C9),ISNUMBER(G9)), C9-G9, "")</f>
        <v>0</v>
      </c>
      <c r="I9" s="20" t="str">
        <f t="shared" ref="I9:I12" si="5">IFERROR(H9/G9, "")</f>
        <v/>
      </c>
      <c r="J9" s="48" t="s">
        <v>111</v>
      </c>
      <c r="K9" s="48"/>
    </row>
    <row r="10" spans="1:13" ht="15.6">
      <c r="A10" s="32" t="str">
        <v>Warsaw - 2201 Richmond</v>
      </c>
      <c r="B10" s="29" t="str">
        <v>VA</v>
      </c>
      <c r="C10" s="25">
        <v>0</v>
      </c>
      <c r="D10" s="14">
        <v>0</v>
      </c>
      <c r="E10" s="14">
        <f t="shared" si="0"/>
        <v>0</v>
      </c>
      <c r="F10" s="15" t="str">
        <f t="shared" si="3"/>
        <v/>
      </c>
      <c r="G10" s="16">
        <v>0</v>
      </c>
      <c r="H10" s="16">
        <f t="shared" si="4"/>
        <v>0</v>
      </c>
      <c r="I10" s="17" t="str">
        <f t="shared" si="5"/>
        <v/>
      </c>
      <c r="J10" s="50" t="s">
        <v>111</v>
      </c>
      <c r="K10" s="50"/>
    </row>
    <row r="11" spans="1:13" ht="15.6">
      <c r="A11" s="30" t="str">
        <v>Mount Jackson - Randolf</v>
      </c>
      <c r="B11" s="31" t="str">
        <v>VA</v>
      </c>
      <c r="C11" s="12">
        <v>0</v>
      </c>
      <c r="D11" s="19">
        <v>0</v>
      </c>
      <c r="E11" s="19">
        <f t="shared" si="0"/>
        <v>0</v>
      </c>
      <c r="F11" s="20" t="str">
        <f t="shared" si="3"/>
        <v/>
      </c>
      <c r="G11" s="21">
        <v>0</v>
      </c>
      <c r="H11" s="21">
        <f t="shared" si="4"/>
        <v>0</v>
      </c>
      <c r="I11" s="20" t="str">
        <f t="shared" si="5"/>
        <v/>
      </c>
      <c r="J11" s="48" t="s">
        <v>111</v>
      </c>
      <c r="K11" s="48"/>
    </row>
    <row r="12" spans="1:13" ht="15.6">
      <c r="A12" s="32" t="str">
        <v>Callands Gretna - Monroe</v>
      </c>
      <c r="B12" s="29" t="str">
        <v>VA</v>
      </c>
      <c r="C12" s="25">
        <v>0</v>
      </c>
      <c r="D12" s="14"/>
      <c r="E12" s="14" t="str">
        <f t="shared" si="0"/>
        <v/>
      </c>
      <c r="F12" s="15" t="str">
        <f t="shared" si="3"/>
        <v/>
      </c>
      <c r="G12" s="16">
        <v>0</v>
      </c>
      <c r="H12" s="16">
        <f t="shared" si="4"/>
        <v>0</v>
      </c>
      <c r="I12" s="17" t="str">
        <f t="shared" si="5"/>
        <v/>
      </c>
      <c r="J12" s="50" t="s">
        <v>111</v>
      </c>
      <c r="K12" s="50"/>
    </row>
    <row r="13" spans="1:13" ht="15.6">
      <c r="A13" s="30" t="str">
        <v>Rockbridge Baths - Small Mouth Bass</v>
      </c>
      <c r="B13" s="31" t="str">
        <v>VA</v>
      </c>
      <c r="C13" s="12">
        <v>0</v>
      </c>
      <c r="D13" s="19">
        <v>0</v>
      </c>
      <c r="E13" s="19">
        <f t="shared" si="0"/>
        <v>0</v>
      </c>
      <c r="F13" s="20" t="str">
        <f t="shared" si="3"/>
        <v/>
      </c>
      <c r="G13" s="21">
        <v>0</v>
      </c>
      <c r="H13" s="21"/>
      <c r="I13" s="20"/>
      <c r="J13" s="42"/>
      <c r="K13" s="42"/>
    </row>
    <row r="14" spans="1:13" ht="14.45">
      <c r="A14" s="22"/>
      <c r="B14" s="33"/>
      <c r="C14" s="22"/>
      <c r="D14" s="22"/>
      <c r="E14" s="22"/>
      <c r="F14" s="22"/>
      <c r="G14" s="22"/>
      <c r="H14" s="22"/>
      <c r="I14" s="22"/>
      <c r="J14" s="22"/>
      <c r="K14" s="22"/>
    </row>
    <row r="15" spans="1:13" ht="14.45">
      <c r="A15" s="22"/>
      <c r="B15" s="33"/>
      <c r="C15" s="22"/>
      <c r="D15" s="22"/>
      <c r="E15" s="22"/>
      <c r="F15" s="22"/>
      <c r="G15" s="22"/>
      <c r="H15" s="22"/>
      <c r="I15" s="22"/>
      <c r="J15" s="22"/>
      <c r="K15" s="22"/>
    </row>
    <row r="16" spans="1:13"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4" priority="3" stopIfTrue="1" operator="lessThanOrEqual">
      <formula>-0.1</formula>
    </cfRule>
    <cfRule type="expression" dxfId="33" priority="4">
      <formula>AND(ISNUMBER(F2), F2&gt;=0.1)</formula>
    </cfRule>
  </conditionalFormatting>
  <hyperlinks>
    <hyperlink ref="K4" r:id="rId1" display="https://us3.assetplanner.com/service_request?ID=099790" xr:uid="{19EEFE01-137B-4BC2-94F1-1287EEF525D4}"/>
    <hyperlink ref="L4" r:id="rId2" display="https://us3.assetplanner.com/service_request?ID=095824" xr:uid="{812A7739-A026-44A6-99A2-BEA7B507EA1E}"/>
    <hyperlink ref="K5" r:id="rId3" display="https://us3.assetplanner.com/service_request?ID=099593" xr:uid="{A3819476-92C1-4A6C-BD51-98BBECD56436}"/>
    <hyperlink ref="K7" r:id="rId4" display="https://us3.assetplanner.com/service_request?ID=096263" xr:uid="{B48BF4D4-FEEF-46A7-83ED-F675701736B7}"/>
    <hyperlink ref="K8" r:id="rId5" display="https://us3.assetplanner.com/service_request?ID=099994" xr:uid="{4C0D8479-EC5C-4EA7-8011-E0D3B6AD6597}"/>
    <hyperlink ref="L8" r:id="rId6" display="https://us3.assetplanner.com/service_request?ID=099185" xr:uid="{DDC31F8E-7837-48CB-9D48-BE4FC927F295}"/>
    <hyperlink ref="M8" r:id="rId7" display="https://us3.assetplanner.com/service_request?ID=099478" xr:uid="{B92AECDF-F7DB-47B4-924B-01DA7ECDB248}"/>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32"/>
  <sheetViews>
    <sheetView zoomScale="80" zoomScaleNormal="80" workbookViewId="0">
      <pane xSplit="2" ySplit="3" topLeftCell="C4"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1" t="str" cm="1">
        <f t="array" ref="A1">portfolio</f>
        <v>Ecofin</v>
      </c>
      <c r="B1" s="71"/>
      <c r="C1" s="71"/>
      <c r="D1" s="72" t="s">
        <v>112</v>
      </c>
      <c r="E1" s="72"/>
      <c r="F1" s="72"/>
      <c r="G1" s="70" t="s">
        <v>113</v>
      </c>
      <c r="H1" s="70"/>
      <c r="I1" s="70"/>
      <c r="J1" s="5"/>
      <c r="K1" s="5"/>
    </row>
    <row r="2" spans="1:11" ht="19.5" customHeight="1">
      <c r="A2" s="73" t="s">
        <v>2</v>
      </c>
      <c r="B2" s="73"/>
      <c r="C2" s="6">
        <f>SUM(C4:C90)</f>
        <v>0</v>
      </c>
      <c r="D2" s="6">
        <f>SUM(D4:D90)</f>
        <v>0</v>
      </c>
      <c r="E2" s="6">
        <f>C2-D2</f>
        <v>0</v>
      </c>
      <c r="F2" s="7">
        <f>IFERROR(E2/D2, 0)</f>
        <v>0</v>
      </c>
      <c r="G2" s="6">
        <f>SUM(G4:G90)</f>
        <v>0</v>
      </c>
      <c r="H2" s="8">
        <f>C2-G2</f>
        <v>0</v>
      </c>
      <c r="I2" s="7">
        <f>IFERROR(H2/G2, 0)</f>
        <v>0</v>
      </c>
      <c r="J2" s="27"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20</v>
      </c>
      <c r="K3" s="26" t="s">
        <v>21</v>
      </c>
    </row>
    <row r="4" spans="1:11"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50"/>
      <c r="K4" s="50"/>
    </row>
    <row r="5" spans="1:11" ht="15.6">
      <c r="A5" s="30" t="str">
        <v>San Luis Valley</v>
      </c>
      <c r="B5" s="31" t="str">
        <v>CO</v>
      </c>
      <c r="C5" s="12"/>
      <c r="D5" s="19"/>
      <c r="E5" s="19" t="str">
        <f t="shared" ref="E5:E10" si="0">IF(AND(ISNUMBER(C5),ISNUMBER(D5)), C5-D5, "")</f>
        <v/>
      </c>
      <c r="F5" s="20" t="str">
        <f t="shared" ref="F5:F10" si="1">IFERROR(E5/D5, "")</f>
        <v/>
      </c>
      <c r="G5" s="21"/>
      <c r="H5" s="21" t="str">
        <f t="shared" ref="H5:H10" si="2">IF(AND(ISNUMBER(C5),ISNUMBER(G5)), C5-G5, "")</f>
        <v/>
      </c>
      <c r="I5" s="20" t="str">
        <f t="shared" ref="I5:I10" si="3">IFERROR(H5/G5, "")</f>
        <v/>
      </c>
      <c r="J5" s="48"/>
      <c r="K5" s="48"/>
    </row>
    <row r="6" spans="1:11" ht="15.6">
      <c r="A6" s="32" t="str">
        <v>Golden NREL 2</v>
      </c>
      <c r="B6" s="29" t="str">
        <v>CO</v>
      </c>
      <c r="C6" s="25"/>
      <c r="D6" s="14"/>
      <c r="E6" s="14" t="str">
        <f t="shared" si="0"/>
        <v/>
      </c>
      <c r="F6" s="15" t="str">
        <f t="shared" si="1"/>
        <v/>
      </c>
      <c r="G6" s="16"/>
      <c r="H6" s="16" t="str">
        <f t="shared" si="2"/>
        <v/>
      </c>
      <c r="I6" s="17" t="str">
        <f t="shared" si="3"/>
        <v/>
      </c>
      <c r="J6" s="50"/>
      <c r="K6" s="50"/>
    </row>
    <row r="7" spans="1:11" ht="15.6">
      <c r="A7" s="30" t="str">
        <v>Golden NREL Wind 3</v>
      </c>
      <c r="B7" s="31" t="str">
        <v>CO</v>
      </c>
      <c r="C7" s="12"/>
      <c r="D7" s="19"/>
      <c r="E7" s="19" t="str">
        <f t="shared" si="0"/>
        <v/>
      </c>
      <c r="F7" s="20" t="str">
        <f t="shared" si="1"/>
        <v/>
      </c>
      <c r="G7" s="21"/>
      <c r="H7" s="21" t="str">
        <f t="shared" si="2"/>
        <v/>
      </c>
      <c r="I7" s="20" t="str">
        <f t="shared" si="3"/>
        <v/>
      </c>
      <c r="J7" s="48"/>
      <c r="K7" s="48"/>
    </row>
    <row r="8" spans="1:11" ht="15.6">
      <c r="A8" s="32" t="str">
        <v>Pratt Solar Farm</v>
      </c>
      <c r="B8" s="29" t="str">
        <v>KS</v>
      </c>
      <c r="C8" s="25"/>
      <c r="D8" s="14"/>
      <c r="E8" s="14" t="str">
        <f t="shared" si="0"/>
        <v/>
      </c>
      <c r="F8" s="15" t="str">
        <f t="shared" si="1"/>
        <v/>
      </c>
      <c r="G8" s="16"/>
      <c r="H8" s="16" t="str">
        <f t="shared" si="2"/>
        <v/>
      </c>
      <c r="I8" s="17" t="str">
        <f t="shared" si="3"/>
        <v/>
      </c>
      <c r="J8" s="50"/>
      <c r="K8" s="50"/>
    </row>
    <row r="9" spans="1:11" ht="178.5" customHeight="1">
      <c r="A9" s="30" t="str">
        <v>Rochester - 5516 Valleyhigh NW</v>
      </c>
      <c r="B9" s="31" t="str">
        <v>MN</v>
      </c>
      <c r="C9" s="12"/>
      <c r="D9" s="19"/>
      <c r="E9" s="19" t="str">
        <f t="shared" si="0"/>
        <v/>
      </c>
      <c r="F9" s="20" t="str">
        <f t="shared" si="1"/>
        <v/>
      </c>
      <c r="G9" s="21"/>
      <c r="H9" s="21" t="str">
        <f t="shared" si="2"/>
        <v/>
      </c>
      <c r="I9" s="20" t="str">
        <f t="shared" si="3"/>
        <v/>
      </c>
      <c r="J9" s="48"/>
      <c r="K9" s="48"/>
    </row>
    <row r="10" spans="1:11" ht="15.6">
      <c r="A10" s="32" t="str">
        <v>Warsaw - 2201 Richmond</v>
      </c>
      <c r="B10" s="29" t="str">
        <v>VA</v>
      </c>
      <c r="C10" s="25"/>
      <c r="D10" s="14"/>
      <c r="E10" s="14" t="str">
        <f t="shared" si="0"/>
        <v/>
      </c>
      <c r="F10" s="15" t="str">
        <f t="shared" si="1"/>
        <v/>
      </c>
      <c r="G10" s="16"/>
      <c r="H10" s="16" t="str">
        <f t="shared" si="2"/>
        <v/>
      </c>
      <c r="I10" s="17" t="str">
        <f t="shared" si="3"/>
        <v/>
      </c>
      <c r="J10" s="50"/>
      <c r="K10" s="50"/>
    </row>
    <row r="11" spans="1:11" ht="15.6">
      <c r="A11" s="30" t="str">
        <v>Mount Jackson - Randolf</v>
      </c>
      <c r="B11" s="31" t="str">
        <v>VA</v>
      </c>
      <c r="C11" s="12"/>
      <c r="D11" s="19"/>
      <c r="E11" s="19"/>
      <c r="F11" s="20"/>
      <c r="G11" s="21"/>
      <c r="H11" s="21"/>
      <c r="I11" s="20"/>
      <c r="J11" s="48"/>
      <c r="K11" s="48"/>
    </row>
    <row r="12" spans="1:11" ht="15.6">
      <c r="A12" s="32" t="str">
        <v>Callands Gretna - Monroe</v>
      </c>
      <c r="B12" s="29" t="str">
        <v>VA</v>
      </c>
      <c r="C12" s="25"/>
      <c r="D12" s="14"/>
      <c r="E12" s="14"/>
      <c r="F12" s="15"/>
      <c r="G12" s="16"/>
      <c r="H12" s="16"/>
      <c r="I12" s="17"/>
      <c r="J12" s="50"/>
      <c r="K12" s="50"/>
    </row>
    <row r="13" spans="1:11" ht="15.6">
      <c r="A13" s="30" t="str">
        <v>Rockbridge Baths - Small Mouth Bass</v>
      </c>
      <c r="B13" s="31" t="str">
        <v>VA</v>
      </c>
      <c r="C13" s="12"/>
      <c r="D13" s="19"/>
      <c r="E13" s="19"/>
      <c r="F13" s="20"/>
      <c r="G13" s="21"/>
      <c r="H13" s="21"/>
      <c r="I13" s="20"/>
      <c r="J13" s="42"/>
      <c r="K13" s="42"/>
    </row>
    <row r="14" spans="1:11" ht="14.45">
      <c r="A14" s="22"/>
      <c r="B14" s="33"/>
      <c r="C14" s="22"/>
      <c r="D14" s="22"/>
      <c r="E14" s="22"/>
      <c r="F14" s="22"/>
      <c r="G14" s="22"/>
      <c r="H14" s="22"/>
      <c r="I14" s="22"/>
      <c r="J14" s="22"/>
      <c r="K14" s="22"/>
    </row>
    <row r="15" spans="1:11" ht="14.45">
      <c r="A15" s="22"/>
      <c r="B15" s="33"/>
      <c r="C15" s="22"/>
      <c r="D15" s="22"/>
      <c r="E15" s="22"/>
      <c r="F15" s="22"/>
      <c r="G15" s="22"/>
      <c r="H15" s="22"/>
      <c r="I15" s="22"/>
      <c r="J15" s="22"/>
      <c r="K15" s="22"/>
    </row>
    <row r="16" spans="1:11"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3"/>
      <c r="G23" s="22"/>
      <c r="H23" s="22"/>
      <c r="I23" s="23"/>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C332" s="22"/>
      <c r="D332" s="22"/>
      <c r="E332" s="22"/>
      <c r="F332" s="23"/>
      <c r="G332" s="22"/>
      <c r="H332" s="22"/>
      <c r="I332" s="23"/>
      <c r="J332" s="22"/>
      <c r="K332" s="22"/>
    </row>
  </sheetData>
  <mergeCells count="4">
    <mergeCell ref="G1:I1"/>
    <mergeCell ref="A1:C1"/>
    <mergeCell ref="D1:F1"/>
    <mergeCell ref="A2:B2"/>
  </mergeCells>
  <conditionalFormatting sqref="F2 I2 F4:F90 I4:I90">
    <cfRule type="cellIs" dxfId="32" priority="3" stopIfTrue="1" operator="lessThanOrEqual">
      <formula>-0.1</formula>
    </cfRule>
    <cfRule type="expression" dxfId="31" priority="4">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42"/>
  <sheetViews>
    <sheetView zoomScale="70" zoomScaleNormal="70" workbookViewId="0">
      <pane xSplit="2" ySplit="3" topLeftCell="C9"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2.7109375" customWidth="1"/>
  </cols>
  <sheetData>
    <row r="1" spans="1:14" ht="19.5" customHeight="1">
      <c r="A1" s="71" t="str" cm="1">
        <f t="array" ref="A1">portfolio</f>
        <v>Ecofin</v>
      </c>
      <c r="B1" s="71"/>
      <c r="C1" s="71"/>
      <c r="D1" s="72" t="s">
        <v>114</v>
      </c>
      <c r="E1" s="72"/>
      <c r="F1" s="72"/>
      <c r="G1" s="70" t="s">
        <v>115</v>
      </c>
      <c r="H1" s="70"/>
      <c r="I1" s="70"/>
      <c r="J1" s="5"/>
      <c r="K1" s="5"/>
    </row>
    <row r="2" spans="1:14" ht="19.5" customHeight="1">
      <c r="A2" s="73" t="s">
        <v>2</v>
      </c>
      <c r="B2" s="73"/>
      <c r="C2" s="6">
        <f>SUM(C4:C100)</f>
        <v>0</v>
      </c>
      <c r="D2" s="6">
        <f>SUM(D4:D100)</f>
        <v>0</v>
      </c>
      <c r="E2" s="6">
        <f>C2-D2</f>
        <v>0</v>
      </c>
      <c r="F2" s="7">
        <f>IFERROR(E2/D2, 0)</f>
        <v>0</v>
      </c>
      <c r="G2" s="6">
        <f>SUM(G4:G100)</f>
        <v>0</v>
      </c>
      <c r="H2" s="8">
        <f>C2-G2</f>
        <v>0</v>
      </c>
      <c r="I2" s="7">
        <f>IFERROR(H2/G2, 0)</f>
        <v>0</v>
      </c>
      <c r="J2" s="27"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4" ht="14.25" customHeight="1">
      <c r="A3" s="9" t="s">
        <v>3</v>
      </c>
      <c r="B3" s="9" t="s">
        <v>4</v>
      </c>
      <c r="C3" s="24" t="s">
        <v>5</v>
      </c>
      <c r="D3" s="35" t="s">
        <v>6</v>
      </c>
      <c r="E3" s="35" t="s">
        <v>7</v>
      </c>
      <c r="F3" s="36" t="s">
        <v>8</v>
      </c>
      <c r="G3" s="37" t="s">
        <v>9</v>
      </c>
      <c r="H3" s="38" t="s">
        <v>7</v>
      </c>
      <c r="I3" s="39" t="s">
        <v>8</v>
      </c>
      <c r="J3" s="26" t="s">
        <v>20</v>
      </c>
      <c r="K3" s="26" t="s">
        <v>21</v>
      </c>
    </row>
    <row r="4" spans="1:14" ht="15.6">
      <c r="A4" s="51" t="str" cm="1">
        <f t="array" ref="A4:A13">Sites[Site]</f>
        <v>Alamosa School District</v>
      </c>
      <c r="B4" s="29" t="str" cm="1">
        <f t="array" ref="B4:B13">Sites[State]</f>
        <v>CO</v>
      </c>
      <c r="C4" s="25"/>
      <c r="D4" s="14"/>
      <c r="E4" s="14"/>
      <c r="F4" s="15"/>
      <c r="G4" s="16"/>
      <c r="H4" s="16"/>
      <c r="I4" s="17" t="str">
        <f>IFERROR(H4/G4, "")</f>
        <v/>
      </c>
      <c r="J4" s="50"/>
      <c r="K4" s="50"/>
    </row>
    <row r="5" spans="1:14" ht="15.6">
      <c r="A5" s="30" t="str">
        <v>San Luis Valley</v>
      </c>
      <c r="B5" s="31" t="str">
        <v>CO</v>
      </c>
      <c r="C5" s="12"/>
      <c r="D5" s="19"/>
      <c r="E5" s="19" t="str">
        <f t="shared" ref="E5:E17" si="0">IF(AND(ISNUMBER(C5),ISNUMBER(D5)), C5-D5, "")</f>
        <v/>
      </c>
      <c r="F5" s="20" t="str">
        <f>IFERROR(E5/D5, "")</f>
        <v/>
      </c>
      <c r="G5" s="21"/>
      <c r="H5" s="21">
        <v>180611.69070000001</v>
      </c>
      <c r="I5" s="20" t="str">
        <f t="shared" ref="I5:I17" si="1">IFERROR(H5/G5, "")</f>
        <v/>
      </c>
      <c r="J5" s="48"/>
      <c r="K5" s="48"/>
    </row>
    <row r="6" spans="1:14" ht="15.6">
      <c r="A6" s="51" t="str">
        <v>Golden NREL 2</v>
      </c>
      <c r="B6" s="29" t="str">
        <v>CO</v>
      </c>
      <c r="C6" s="25"/>
      <c r="D6" s="14"/>
      <c r="E6" s="14" t="str">
        <f t="shared" si="0"/>
        <v/>
      </c>
      <c r="F6" s="15" t="str">
        <f t="shared" ref="F6:F17" si="2">IFERROR(E6/D6, "")</f>
        <v/>
      </c>
      <c r="G6" s="16"/>
      <c r="H6" s="16" t="str">
        <f t="shared" ref="H6:H17" si="3">IF(AND(ISNUMBER(C6),ISNUMBER(G6)), C6-G6, "")</f>
        <v/>
      </c>
      <c r="I6" s="17" t="str">
        <f t="shared" si="1"/>
        <v/>
      </c>
      <c r="J6" s="50"/>
      <c r="K6" s="50"/>
    </row>
    <row r="7" spans="1:14" ht="15.6">
      <c r="A7" s="30" t="str">
        <v>Golden NREL Wind 3</v>
      </c>
      <c r="B7" s="31" t="str">
        <v>CO</v>
      </c>
      <c r="C7" s="12"/>
      <c r="D7" s="19"/>
      <c r="E7" s="19" t="str">
        <f t="shared" si="0"/>
        <v/>
      </c>
      <c r="F7" s="20" t="str">
        <f t="shared" si="2"/>
        <v/>
      </c>
      <c r="G7" s="21"/>
      <c r="H7" s="21" t="str">
        <f t="shared" si="3"/>
        <v/>
      </c>
      <c r="I7" s="20" t="str">
        <f t="shared" si="1"/>
        <v/>
      </c>
      <c r="J7" s="48"/>
      <c r="K7" s="48"/>
    </row>
    <row r="8" spans="1:14" ht="110.25" customHeight="1">
      <c r="A8" s="51" t="str">
        <v>Pratt Solar Farm</v>
      </c>
      <c r="B8" s="29" t="str">
        <v>KS</v>
      </c>
      <c r="C8" s="25"/>
      <c r="D8" s="14"/>
      <c r="E8" s="14" t="str">
        <f t="shared" si="0"/>
        <v/>
      </c>
      <c r="F8" s="15" t="str">
        <f t="shared" si="2"/>
        <v/>
      </c>
      <c r="G8" s="16"/>
      <c r="H8" s="16" t="str">
        <f t="shared" si="3"/>
        <v/>
      </c>
      <c r="I8" s="17" t="str">
        <f t="shared" si="1"/>
        <v/>
      </c>
      <c r="J8" s="50"/>
      <c r="K8" s="50"/>
    </row>
    <row r="9" spans="1:14" ht="191.25" customHeight="1">
      <c r="A9" s="30" t="str">
        <v>Rochester - 5516 Valleyhigh NW</v>
      </c>
      <c r="B9" s="31" t="str">
        <v>MN</v>
      </c>
      <c r="C9" s="12"/>
      <c r="D9" s="19"/>
      <c r="E9" s="19" t="str">
        <f t="shared" si="0"/>
        <v/>
      </c>
      <c r="F9" s="20" t="str">
        <f t="shared" si="2"/>
        <v/>
      </c>
      <c r="G9" s="21"/>
      <c r="H9" s="21" t="str">
        <f t="shared" si="3"/>
        <v/>
      </c>
      <c r="I9" s="20" t="str">
        <f t="shared" si="1"/>
        <v/>
      </c>
      <c r="J9" s="48"/>
      <c r="K9" s="48"/>
      <c r="L9" s="22"/>
      <c r="M9" s="22"/>
      <c r="N9" s="22"/>
    </row>
    <row r="10" spans="1:14" ht="67.5" customHeight="1">
      <c r="A10" s="51" t="str">
        <v>Warsaw - 2201 Richmond</v>
      </c>
      <c r="B10" s="29" t="str">
        <v>VA</v>
      </c>
      <c r="C10" s="25"/>
      <c r="D10" s="14"/>
      <c r="E10" s="14" t="str">
        <f t="shared" si="0"/>
        <v/>
      </c>
      <c r="F10" s="15" t="str">
        <f t="shared" si="2"/>
        <v/>
      </c>
      <c r="G10" s="16"/>
      <c r="H10" s="16" t="str">
        <f t="shared" si="3"/>
        <v/>
      </c>
      <c r="I10" s="17" t="str">
        <f t="shared" si="1"/>
        <v/>
      </c>
      <c r="J10" s="50"/>
      <c r="K10" s="50"/>
      <c r="L10" s="22"/>
      <c r="M10" s="22"/>
      <c r="N10" s="22"/>
    </row>
    <row r="11" spans="1:14" ht="165.75" customHeight="1">
      <c r="A11" s="30" t="str">
        <v>Mount Jackson - Randolf</v>
      </c>
      <c r="B11" s="31" t="str">
        <v>VA</v>
      </c>
      <c r="C11" s="12"/>
      <c r="D11" s="19"/>
      <c r="E11" s="19" t="str">
        <f t="shared" si="0"/>
        <v/>
      </c>
      <c r="F11" s="20" t="str">
        <f t="shared" si="2"/>
        <v/>
      </c>
      <c r="G11" s="21"/>
      <c r="H11" s="21" t="str">
        <f t="shared" si="3"/>
        <v/>
      </c>
      <c r="I11" s="20" t="str">
        <f t="shared" si="1"/>
        <v/>
      </c>
      <c r="J11" s="48"/>
      <c r="K11" s="48"/>
      <c r="L11" s="22"/>
      <c r="M11" s="22"/>
      <c r="N11" s="22"/>
    </row>
    <row r="12" spans="1:14" ht="81" customHeight="1">
      <c r="A12" s="51" t="str">
        <v>Callands Gretna - Monroe</v>
      </c>
      <c r="B12" s="29" t="str">
        <v>VA</v>
      </c>
      <c r="C12" s="25"/>
      <c r="D12" s="14"/>
      <c r="E12" s="14" t="str">
        <f t="shared" si="0"/>
        <v/>
      </c>
      <c r="F12" s="15" t="str">
        <f t="shared" si="2"/>
        <v/>
      </c>
      <c r="G12" s="16"/>
      <c r="H12" s="16" t="str">
        <f t="shared" si="3"/>
        <v/>
      </c>
      <c r="I12" s="17" t="str">
        <f t="shared" si="1"/>
        <v/>
      </c>
      <c r="J12" s="50"/>
      <c r="K12" s="50"/>
      <c r="L12" s="22"/>
      <c r="M12" s="22"/>
      <c r="N12" s="22"/>
    </row>
    <row r="13" spans="1:14" ht="51" customHeight="1">
      <c r="A13" s="30" t="str">
        <v>Rockbridge Baths - Small Mouth Bass</v>
      </c>
      <c r="B13" s="31" t="str">
        <v>VA</v>
      </c>
      <c r="C13" s="12"/>
      <c r="D13" s="19"/>
      <c r="E13" s="19" t="str">
        <f t="shared" si="0"/>
        <v/>
      </c>
      <c r="F13" s="20" t="str">
        <f t="shared" si="2"/>
        <v/>
      </c>
      <c r="G13" s="21"/>
      <c r="H13" s="21" t="str">
        <f t="shared" si="3"/>
        <v/>
      </c>
      <c r="I13" s="20" t="str">
        <f t="shared" si="1"/>
        <v/>
      </c>
      <c r="J13" s="48"/>
      <c r="K13" s="48"/>
      <c r="L13" s="22"/>
      <c r="M13" s="22"/>
      <c r="N13" s="22"/>
    </row>
    <row r="14" spans="1:14">
      <c r="A14" s="22"/>
      <c r="B14" s="22"/>
      <c r="C14" s="22"/>
      <c r="D14" s="22"/>
      <c r="E14" s="22" t="str">
        <f t="shared" si="0"/>
        <v/>
      </c>
      <c r="F14" s="22" t="str">
        <f t="shared" si="2"/>
        <v/>
      </c>
      <c r="G14" s="22"/>
      <c r="H14" s="22" t="str">
        <f t="shared" si="3"/>
        <v/>
      </c>
      <c r="I14" s="22" t="str">
        <f t="shared" si="1"/>
        <v/>
      </c>
      <c r="J14" s="22"/>
      <c r="K14" s="22"/>
      <c r="L14" s="22"/>
      <c r="M14" s="22"/>
      <c r="N14" s="22"/>
    </row>
    <row r="15" spans="1:14">
      <c r="A15" s="22"/>
      <c r="B15" s="22"/>
      <c r="C15" s="22"/>
      <c r="D15" s="22"/>
      <c r="E15" s="22" t="str">
        <f t="shared" si="0"/>
        <v/>
      </c>
      <c r="F15" s="22" t="str">
        <f t="shared" si="2"/>
        <v/>
      </c>
      <c r="G15" s="22"/>
      <c r="H15" s="22" t="str">
        <f t="shared" si="3"/>
        <v/>
      </c>
      <c r="I15" s="22" t="str">
        <f t="shared" si="1"/>
        <v/>
      </c>
      <c r="J15" s="22"/>
      <c r="K15" s="22"/>
      <c r="L15" s="22"/>
      <c r="M15" s="22"/>
      <c r="N15" s="22"/>
    </row>
    <row r="16" spans="1:14">
      <c r="A16" s="22"/>
      <c r="B16" s="22"/>
      <c r="C16" s="22"/>
      <c r="D16" s="22"/>
      <c r="E16" s="22" t="str">
        <f t="shared" si="0"/>
        <v/>
      </c>
      <c r="F16" s="22" t="str">
        <f t="shared" si="2"/>
        <v/>
      </c>
      <c r="G16" s="22"/>
      <c r="H16" s="22" t="str">
        <f t="shared" si="3"/>
        <v/>
      </c>
      <c r="I16" s="22" t="str">
        <f t="shared" si="1"/>
        <v/>
      </c>
      <c r="J16" s="22"/>
      <c r="K16" s="22"/>
      <c r="L16" s="22"/>
      <c r="M16" s="22"/>
      <c r="N16" s="22"/>
    </row>
    <row r="17" spans="1:14">
      <c r="A17" s="22"/>
      <c r="B17" s="22"/>
      <c r="C17" s="22"/>
      <c r="D17" s="22"/>
      <c r="E17" s="22" t="str">
        <f t="shared" si="0"/>
        <v/>
      </c>
      <c r="F17" s="22" t="str">
        <f t="shared" si="2"/>
        <v/>
      </c>
      <c r="G17" s="22"/>
      <c r="H17" s="22" t="str">
        <f t="shared" si="3"/>
        <v/>
      </c>
      <c r="I17" s="22" t="str">
        <f t="shared" si="1"/>
        <v/>
      </c>
      <c r="J17" s="22"/>
      <c r="K17" s="22"/>
      <c r="L17" s="22"/>
      <c r="M17" s="22"/>
      <c r="N17" s="22"/>
    </row>
    <row r="18" spans="1:14" ht="12.75" customHeight="1">
      <c r="A18" s="22"/>
      <c r="B18" s="33"/>
      <c r="C18" s="22"/>
      <c r="D18" s="22"/>
      <c r="E18" s="22"/>
      <c r="F18" s="22"/>
      <c r="G18" s="22"/>
      <c r="H18" s="22"/>
      <c r="I18" s="22"/>
      <c r="J18" s="22"/>
      <c r="K18" s="22"/>
    </row>
    <row r="19" spans="1:14" ht="14.45">
      <c r="A19" s="22"/>
      <c r="B19" s="33"/>
      <c r="C19" s="22"/>
      <c r="D19" s="22"/>
      <c r="E19" s="22"/>
      <c r="F19" s="22"/>
      <c r="G19" s="22"/>
      <c r="H19" s="22"/>
      <c r="I19" s="22"/>
      <c r="J19" s="22"/>
      <c r="K19" s="22"/>
    </row>
    <row r="20" spans="1:14" ht="14.45">
      <c r="A20" s="22"/>
      <c r="B20" s="33"/>
      <c r="C20" s="22"/>
      <c r="D20" s="22"/>
      <c r="E20" s="22"/>
      <c r="F20" s="22"/>
      <c r="G20" s="22"/>
      <c r="H20" s="22"/>
      <c r="I20" s="22"/>
      <c r="J20" s="22"/>
      <c r="K20" s="22"/>
    </row>
    <row r="21" spans="1:14" ht="14.45">
      <c r="A21" s="22"/>
      <c r="B21" s="33"/>
      <c r="C21" s="22"/>
      <c r="D21" s="22"/>
      <c r="E21" s="22"/>
      <c r="F21" s="22"/>
      <c r="G21" s="22"/>
      <c r="H21" s="22"/>
      <c r="I21" s="22"/>
      <c r="J21" s="22"/>
      <c r="K21" s="22"/>
    </row>
    <row r="22" spans="1:14" ht="14.45">
      <c r="A22" s="22"/>
      <c r="B22" s="33"/>
      <c r="C22" s="22"/>
      <c r="D22" s="22"/>
      <c r="E22" s="22"/>
      <c r="F22" s="22"/>
      <c r="G22" s="22"/>
      <c r="H22" s="22"/>
      <c r="I22" s="22"/>
      <c r="J22" s="22"/>
      <c r="K22" s="22"/>
    </row>
    <row r="23" spans="1:14" ht="14.45">
      <c r="A23" s="22"/>
      <c r="B23" s="33"/>
      <c r="C23" s="22"/>
      <c r="D23" s="22"/>
      <c r="E23" s="22"/>
      <c r="F23" s="22"/>
      <c r="G23" s="22"/>
      <c r="H23" s="22"/>
      <c r="I23" s="22"/>
      <c r="J23" s="22"/>
      <c r="K23" s="22"/>
    </row>
    <row r="24" spans="1:14" ht="14.45">
      <c r="A24" s="22"/>
      <c r="B24" s="33"/>
      <c r="C24" s="22"/>
      <c r="D24" s="22"/>
      <c r="E24" s="22"/>
      <c r="F24" s="22"/>
      <c r="G24" s="22"/>
      <c r="H24" s="22"/>
      <c r="I24" s="22"/>
      <c r="J24" s="22"/>
      <c r="K24" s="22"/>
    </row>
    <row r="25" spans="1:14" ht="14.45">
      <c r="A25" s="22"/>
      <c r="B25" s="33"/>
      <c r="C25" s="22"/>
      <c r="D25" s="22"/>
      <c r="E25" s="22"/>
      <c r="F25" s="22"/>
      <c r="G25" s="22"/>
      <c r="H25" s="22"/>
      <c r="I25" s="22"/>
      <c r="J25" s="22"/>
      <c r="K25" s="22"/>
    </row>
    <row r="26" spans="1:14" ht="14.45">
      <c r="A26" s="22"/>
      <c r="B26" s="33"/>
      <c r="C26" s="22"/>
      <c r="D26" s="22"/>
      <c r="E26" s="22"/>
      <c r="F26" s="22"/>
      <c r="G26" s="22"/>
      <c r="H26" s="22"/>
      <c r="I26" s="22"/>
      <c r="J26" s="22"/>
      <c r="K26" s="22"/>
    </row>
    <row r="27" spans="1:14" ht="14.45">
      <c r="A27" s="22"/>
      <c r="B27" s="33"/>
      <c r="C27" s="22"/>
      <c r="D27" s="22"/>
      <c r="E27" s="22"/>
      <c r="F27" s="22"/>
      <c r="G27" s="22"/>
      <c r="H27" s="22"/>
      <c r="I27" s="22"/>
      <c r="J27" s="22"/>
      <c r="K27" s="22"/>
    </row>
    <row r="28" spans="1:14" ht="14.45">
      <c r="A28" s="22"/>
      <c r="B28" s="33"/>
      <c r="C28" s="22"/>
      <c r="D28" s="22"/>
      <c r="E28" s="22"/>
      <c r="F28" s="22"/>
      <c r="G28" s="22"/>
      <c r="H28" s="22"/>
      <c r="I28" s="22"/>
      <c r="J28" s="22"/>
      <c r="K28" s="22"/>
    </row>
    <row r="29" spans="1:14" ht="14.45">
      <c r="A29" s="22"/>
      <c r="B29" s="33"/>
      <c r="C29" s="22"/>
      <c r="D29" s="22"/>
      <c r="E29" s="22"/>
      <c r="F29" s="22"/>
      <c r="G29" s="22"/>
      <c r="H29" s="22"/>
      <c r="I29" s="22"/>
      <c r="J29" s="22"/>
      <c r="K29" s="22"/>
    </row>
    <row r="30" spans="1:14" ht="14.45">
      <c r="A30" s="22"/>
      <c r="B30" s="33"/>
      <c r="C30" s="22"/>
      <c r="D30" s="22"/>
      <c r="E30" s="22"/>
      <c r="F30" s="22"/>
      <c r="G30" s="22"/>
      <c r="H30" s="22"/>
      <c r="I30" s="22"/>
      <c r="J30" s="22"/>
      <c r="K30" s="22"/>
    </row>
    <row r="31" spans="1:14" ht="14.45">
      <c r="A31" s="22"/>
      <c r="B31" s="33"/>
      <c r="C31" s="22"/>
      <c r="D31" s="22"/>
      <c r="E31" s="22"/>
      <c r="F31" s="22"/>
      <c r="G31" s="22"/>
      <c r="H31" s="22"/>
      <c r="I31" s="22"/>
      <c r="J31" s="22"/>
      <c r="K31" s="22"/>
    </row>
    <row r="32" spans="1:14"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30" priority="3" stopIfTrue="1" operator="lessThanOrEqual">
      <formula>-0.1</formula>
    </cfRule>
    <cfRule type="expression" dxfId="29" priority="4">
      <formula>AND(ISNUMBER(F2), F2&gt;=0.1)</formula>
    </cfRule>
  </conditionalFormatting>
  <conditionalFormatting sqref="F4:F13 I4:I13 F18:F100 I18:I100">
    <cfRule type="cellIs" dxfId="28" priority="1" stopIfTrue="1" operator="lessThanOrEqual">
      <formula>-0.1</formula>
    </cfRule>
    <cfRule type="expression" dxfId="27" priority="2">
      <formula>AND(ISNUMBER(F4), F4&gt;=0.1)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42"/>
  <sheetViews>
    <sheetView zoomScale="80" zoomScaleNormal="80" workbookViewId="0">
      <pane xSplit="2" ySplit="3" topLeftCell="C4"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71" t="str" cm="1">
        <f t="array" ref="A1">portfolio</f>
        <v>Ecofin</v>
      </c>
      <c r="B1" s="71"/>
      <c r="C1" s="71"/>
      <c r="D1" s="72" t="s">
        <v>116</v>
      </c>
      <c r="E1" s="72"/>
      <c r="F1" s="72"/>
      <c r="G1" s="70" t="s">
        <v>117</v>
      </c>
      <c r="H1" s="70"/>
      <c r="I1" s="70"/>
      <c r="J1" s="5"/>
      <c r="K1" s="5"/>
    </row>
    <row r="2" spans="1:15" ht="19.5" customHeight="1">
      <c r="A2" s="73" t="s">
        <v>2</v>
      </c>
      <c r="B2" s="73"/>
      <c r="C2" s="6">
        <f>SUM(C4:C100)</f>
        <v>0</v>
      </c>
      <c r="D2" s="6">
        <f>SUM(D4:D100)</f>
        <v>0</v>
      </c>
      <c r="E2" s="6">
        <f>C2-D2</f>
        <v>0</v>
      </c>
      <c r="F2" s="7">
        <f>IFERROR(E2/D2, 0)</f>
        <v>0</v>
      </c>
      <c r="G2" s="6">
        <f>SUM(G4:G100)</f>
        <v>0</v>
      </c>
      <c r="H2" s="8">
        <f>C2-G2</f>
        <v>0</v>
      </c>
      <c r="I2" s="7">
        <f>IFERROR(H2/G2, 0)</f>
        <v>0</v>
      </c>
      <c r="J2" s="27"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5" ht="14.25" customHeight="1">
      <c r="A3" s="9" t="s">
        <v>3</v>
      </c>
      <c r="B3" s="9" t="s">
        <v>4</v>
      </c>
      <c r="C3" s="24" t="s">
        <v>5</v>
      </c>
      <c r="D3" s="35" t="s">
        <v>6</v>
      </c>
      <c r="E3" s="35" t="s">
        <v>7</v>
      </c>
      <c r="F3" s="36" t="s">
        <v>8</v>
      </c>
      <c r="G3" s="37" t="s">
        <v>9</v>
      </c>
      <c r="H3" s="38" t="s">
        <v>7</v>
      </c>
      <c r="I3" s="39" t="s">
        <v>8</v>
      </c>
      <c r="J3" s="26" t="s">
        <v>20</v>
      </c>
      <c r="K3" s="26" t="s">
        <v>21</v>
      </c>
    </row>
    <row r="4" spans="1:15"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5" ht="15.6">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2"/>
      <c r="K5" s="42"/>
    </row>
    <row r="6" spans="1:15" ht="15.6">
      <c r="A6" s="32" t="str">
        <v>Golden NREL 2</v>
      </c>
      <c r="B6" s="29" t="str">
        <v>CO</v>
      </c>
      <c r="C6" s="25"/>
      <c r="D6" s="14"/>
      <c r="E6" s="14" t="str">
        <f t="shared" si="0"/>
        <v/>
      </c>
      <c r="F6" s="15" t="str">
        <f t="shared" ref="F6:F17" si="3">IFERROR(E6/D6, "")</f>
        <v/>
      </c>
      <c r="G6" s="16"/>
      <c r="H6" s="16" t="str">
        <f t="shared" si="1"/>
        <v/>
      </c>
      <c r="I6" s="17" t="str">
        <f t="shared" si="2"/>
        <v/>
      </c>
      <c r="J6" s="41"/>
      <c r="K6" s="41"/>
    </row>
    <row r="7" spans="1:15" ht="15.6">
      <c r="A7" s="30" t="str">
        <v>Golden NREL Wind 3</v>
      </c>
      <c r="B7" s="31" t="str">
        <v>CO</v>
      </c>
      <c r="C7" s="12"/>
      <c r="D7" s="19"/>
      <c r="E7" s="19" t="str">
        <f t="shared" si="0"/>
        <v/>
      </c>
      <c r="F7" s="20" t="str">
        <f t="shared" si="3"/>
        <v/>
      </c>
      <c r="G7" s="21"/>
      <c r="H7" s="21" t="str">
        <f t="shared" si="1"/>
        <v/>
      </c>
      <c r="I7" s="20" t="str">
        <f t="shared" si="2"/>
        <v/>
      </c>
      <c r="J7" s="48"/>
      <c r="K7" s="48"/>
    </row>
    <row r="8" spans="1:15" ht="15.6">
      <c r="A8" s="32" t="str">
        <v>Pratt Solar Farm</v>
      </c>
      <c r="B8" s="29" t="str">
        <v>KS</v>
      </c>
      <c r="C8" s="25"/>
      <c r="D8" s="14"/>
      <c r="E8" s="14" t="str">
        <f t="shared" si="0"/>
        <v/>
      </c>
      <c r="F8" s="15" t="str">
        <f t="shared" si="3"/>
        <v/>
      </c>
      <c r="G8" s="16"/>
      <c r="H8" s="16" t="str">
        <f t="shared" si="1"/>
        <v/>
      </c>
      <c r="I8" s="17" t="str">
        <f t="shared" si="2"/>
        <v/>
      </c>
      <c r="J8" s="41"/>
      <c r="K8" s="41"/>
    </row>
    <row r="9" spans="1:15" ht="111.75" customHeight="1">
      <c r="A9" s="30" t="str">
        <v>Rochester - 5516 Valleyhigh NW</v>
      </c>
      <c r="B9" s="31" t="str">
        <v>MN</v>
      </c>
      <c r="C9" s="12"/>
      <c r="D9" s="19"/>
      <c r="E9" s="19" t="str">
        <f t="shared" si="0"/>
        <v/>
      </c>
      <c r="F9" s="20" t="str">
        <f t="shared" si="3"/>
        <v/>
      </c>
      <c r="G9" s="21"/>
      <c r="H9" s="21" t="str">
        <f t="shared" si="1"/>
        <v/>
      </c>
      <c r="I9" s="20" t="str">
        <f t="shared" si="2"/>
        <v/>
      </c>
      <c r="J9" s="48"/>
      <c r="K9" s="48"/>
      <c r="L9" s="22"/>
      <c r="M9" s="22"/>
      <c r="N9" s="22"/>
      <c r="O9" s="22"/>
    </row>
    <row r="10" spans="1:15" ht="15.6">
      <c r="A10" s="32" t="str">
        <v>Warsaw - 2201 Richmond</v>
      </c>
      <c r="B10" s="29" t="str">
        <v>VA</v>
      </c>
      <c r="C10" s="25"/>
      <c r="D10" s="14"/>
      <c r="E10" s="14" t="str">
        <f t="shared" si="0"/>
        <v/>
      </c>
      <c r="F10" s="15" t="str">
        <f t="shared" si="3"/>
        <v/>
      </c>
      <c r="G10" s="16"/>
      <c r="H10" s="16" t="str">
        <f t="shared" si="1"/>
        <v/>
      </c>
      <c r="I10" s="17" t="str">
        <f t="shared" si="2"/>
        <v/>
      </c>
      <c r="J10" s="41"/>
      <c r="K10" s="41"/>
      <c r="L10" s="22"/>
      <c r="M10" s="22"/>
      <c r="N10" s="22"/>
      <c r="O10" s="22"/>
    </row>
    <row r="11" spans="1:15" ht="15.6">
      <c r="A11" s="30" t="str">
        <v>Mount Jackson - Randolf</v>
      </c>
      <c r="B11" s="31" t="str">
        <v>VA</v>
      </c>
      <c r="C11" s="12"/>
      <c r="D11" s="19"/>
      <c r="E11" s="19" t="str">
        <f t="shared" si="0"/>
        <v/>
      </c>
      <c r="F11" s="20" t="str">
        <f t="shared" si="3"/>
        <v/>
      </c>
      <c r="G11" s="21"/>
      <c r="H11" s="21" t="str">
        <f t="shared" si="1"/>
        <v/>
      </c>
      <c r="I11" s="20" t="str">
        <f t="shared" si="2"/>
        <v/>
      </c>
      <c r="J11" s="42"/>
      <c r="K11" s="48"/>
      <c r="L11" s="22"/>
      <c r="M11" s="22"/>
      <c r="N11" s="22"/>
      <c r="O11" s="22"/>
    </row>
    <row r="12" spans="1:15" ht="15.6">
      <c r="A12" s="32" t="str">
        <v>Callands Gretna - Monroe</v>
      </c>
      <c r="B12" s="29" t="str">
        <v>VA</v>
      </c>
      <c r="C12" s="25"/>
      <c r="D12" s="14"/>
      <c r="E12" s="14" t="str">
        <f t="shared" si="0"/>
        <v/>
      </c>
      <c r="F12" s="15" t="str">
        <f t="shared" si="3"/>
        <v/>
      </c>
      <c r="G12" s="16"/>
      <c r="H12" s="16" t="str">
        <f t="shared" si="1"/>
        <v/>
      </c>
      <c r="I12" s="17" t="str">
        <f t="shared" si="2"/>
        <v/>
      </c>
      <c r="J12" s="41"/>
      <c r="K12" s="41"/>
      <c r="L12" s="22"/>
      <c r="M12" s="22"/>
      <c r="N12" s="22"/>
      <c r="O12" s="22"/>
    </row>
    <row r="13" spans="1:15" ht="15.6">
      <c r="A13" s="30" t="str">
        <v>Rockbridge Baths - Small Mouth Bass</v>
      </c>
      <c r="B13" s="31" t="str">
        <v>VA</v>
      </c>
      <c r="C13" s="12"/>
      <c r="D13" s="19"/>
      <c r="E13" s="19" t="str">
        <f t="shared" si="0"/>
        <v/>
      </c>
      <c r="F13" s="20" t="str">
        <f t="shared" si="3"/>
        <v/>
      </c>
      <c r="G13" s="21"/>
      <c r="H13" s="21" t="str">
        <f t="shared" si="1"/>
        <v/>
      </c>
      <c r="I13" s="20" t="str">
        <f t="shared" si="2"/>
        <v/>
      </c>
      <c r="J13" s="42"/>
      <c r="K13" s="42"/>
      <c r="L13" s="22"/>
      <c r="M13" s="22"/>
      <c r="N13" s="22"/>
      <c r="O13" s="22"/>
    </row>
    <row r="14" spans="1:15">
      <c r="A14" s="22"/>
      <c r="B14" s="22"/>
      <c r="C14" s="22"/>
      <c r="D14" s="22"/>
      <c r="E14" s="22" t="str">
        <f t="shared" si="0"/>
        <v/>
      </c>
      <c r="F14" s="22" t="str">
        <f t="shared" si="3"/>
        <v/>
      </c>
      <c r="G14" s="22"/>
      <c r="H14" s="22" t="str">
        <f t="shared" si="1"/>
        <v/>
      </c>
      <c r="I14" s="22" t="str">
        <f t="shared" si="2"/>
        <v/>
      </c>
      <c r="J14" s="22"/>
      <c r="K14" s="22"/>
      <c r="L14" s="22"/>
      <c r="M14" s="22"/>
      <c r="N14" s="22"/>
      <c r="O14" s="22"/>
    </row>
    <row r="15" spans="1:15">
      <c r="A15" s="22"/>
      <c r="B15" s="22"/>
      <c r="C15" s="22"/>
      <c r="D15" s="22"/>
      <c r="E15" s="22" t="str">
        <f t="shared" si="0"/>
        <v/>
      </c>
      <c r="F15" s="22" t="str">
        <f t="shared" si="3"/>
        <v/>
      </c>
      <c r="G15" s="22"/>
      <c r="H15" s="22" t="str">
        <f t="shared" si="1"/>
        <v/>
      </c>
      <c r="I15" s="22" t="str">
        <f t="shared" si="2"/>
        <v/>
      </c>
      <c r="J15" s="22"/>
      <c r="K15" s="22"/>
      <c r="L15" s="22"/>
      <c r="M15" s="22"/>
      <c r="N15" s="22"/>
      <c r="O15" s="22"/>
    </row>
    <row r="16" spans="1:15">
      <c r="A16" s="22"/>
      <c r="B16" s="22"/>
      <c r="C16" s="22"/>
      <c r="D16" s="22"/>
      <c r="E16" s="22" t="str">
        <f t="shared" si="0"/>
        <v/>
      </c>
      <c r="F16" s="22" t="str">
        <f t="shared" si="3"/>
        <v/>
      </c>
      <c r="G16" s="22"/>
      <c r="H16" s="22" t="str">
        <f t="shared" si="1"/>
        <v/>
      </c>
      <c r="I16" s="22" t="str">
        <f t="shared" si="2"/>
        <v/>
      </c>
      <c r="J16" s="22"/>
      <c r="K16" s="22"/>
      <c r="L16" s="22"/>
      <c r="M16" s="22"/>
      <c r="N16" s="22"/>
      <c r="O16" s="22"/>
    </row>
    <row r="17" spans="1:15">
      <c r="A17" s="22"/>
      <c r="B17" s="22"/>
      <c r="C17" s="22"/>
      <c r="D17" s="22"/>
      <c r="E17" s="22" t="str">
        <f t="shared" si="0"/>
        <v/>
      </c>
      <c r="F17" s="22" t="str">
        <f t="shared" si="3"/>
        <v/>
      </c>
      <c r="G17" s="22"/>
      <c r="H17" s="22" t="str">
        <f t="shared" si="1"/>
        <v/>
      </c>
      <c r="I17" s="22" t="str">
        <f t="shared" si="2"/>
        <v/>
      </c>
      <c r="J17" s="22"/>
      <c r="K17" s="22"/>
      <c r="L17" s="22"/>
      <c r="M17" s="22"/>
      <c r="N17" s="22"/>
      <c r="O17" s="22"/>
    </row>
    <row r="18" spans="1:15" ht="12.75" customHeight="1">
      <c r="A18" s="22"/>
      <c r="B18" s="22"/>
      <c r="C18" s="22"/>
      <c r="D18" s="22"/>
      <c r="E18" s="22"/>
      <c r="F18" s="22"/>
      <c r="G18" s="22"/>
      <c r="H18" s="22"/>
      <c r="I18" s="22"/>
      <c r="J18" s="22"/>
      <c r="K18" s="22"/>
      <c r="L18" s="22"/>
      <c r="M18" s="22"/>
      <c r="N18" s="22"/>
      <c r="O18" s="22"/>
    </row>
    <row r="19" spans="1:15">
      <c r="A19" s="22"/>
      <c r="B19" s="22"/>
      <c r="C19" s="22"/>
      <c r="D19" s="22"/>
      <c r="E19" s="22"/>
      <c r="F19" s="22"/>
      <c r="G19" s="22"/>
      <c r="H19" s="22"/>
      <c r="I19" s="22"/>
      <c r="J19" s="22"/>
      <c r="K19" s="22"/>
      <c r="L19" s="22"/>
      <c r="M19" s="22"/>
      <c r="N19" s="22"/>
      <c r="O19" s="22"/>
    </row>
    <row r="20" spans="1:15" ht="14.45">
      <c r="A20" s="22"/>
      <c r="B20" s="33"/>
      <c r="C20" s="22"/>
      <c r="D20" s="22"/>
      <c r="E20" s="22"/>
      <c r="F20" s="22"/>
      <c r="G20" s="22"/>
      <c r="H20" s="22"/>
      <c r="I20" s="22"/>
      <c r="J20" s="22"/>
      <c r="K20" s="22"/>
    </row>
    <row r="21" spans="1:15" ht="14.45">
      <c r="A21" s="22"/>
      <c r="B21" s="33"/>
      <c r="C21" s="22"/>
      <c r="D21" s="22"/>
      <c r="E21" s="22"/>
      <c r="F21" s="22"/>
      <c r="G21" s="22"/>
      <c r="H21" s="22"/>
      <c r="I21" s="22"/>
      <c r="J21" s="22"/>
      <c r="K21" s="22"/>
    </row>
    <row r="22" spans="1:15" ht="14.45">
      <c r="A22" s="22"/>
      <c r="B22" s="33"/>
      <c r="C22" s="22"/>
      <c r="D22" s="22"/>
      <c r="E22" s="22"/>
      <c r="F22" s="22"/>
      <c r="G22" s="22"/>
      <c r="H22" s="22"/>
      <c r="I22" s="22"/>
      <c r="J22" s="22"/>
      <c r="K22" s="22"/>
    </row>
    <row r="23" spans="1:15" ht="14.45">
      <c r="A23" s="22"/>
      <c r="B23" s="33"/>
      <c r="C23" s="22"/>
      <c r="D23" s="22"/>
      <c r="E23" s="22"/>
      <c r="F23" s="22"/>
      <c r="G23" s="22"/>
      <c r="H23" s="22"/>
      <c r="I23" s="22"/>
      <c r="J23" s="22"/>
      <c r="K23" s="22"/>
    </row>
    <row r="24" spans="1:15" ht="14.45">
      <c r="A24" s="22"/>
      <c r="B24" s="33"/>
      <c r="C24" s="22"/>
      <c r="D24" s="22"/>
      <c r="E24" s="22"/>
      <c r="F24" s="22"/>
      <c r="G24" s="22"/>
      <c r="H24" s="22"/>
      <c r="I24" s="22"/>
      <c r="J24" s="22"/>
      <c r="K24" s="22"/>
    </row>
    <row r="25" spans="1:15" ht="14.45">
      <c r="A25" s="22"/>
      <c r="B25" s="33"/>
      <c r="C25" s="22"/>
      <c r="D25" s="22"/>
      <c r="E25" s="22"/>
      <c r="F25" s="22"/>
      <c r="G25" s="22"/>
      <c r="H25" s="22"/>
      <c r="I25" s="22"/>
      <c r="J25" s="22"/>
      <c r="K25" s="22"/>
    </row>
    <row r="26" spans="1:15" ht="14.45">
      <c r="A26" s="22"/>
      <c r="B26" s="33"/>
      <c r="C26" s="22"/>
      <c r="D26" s="22"/>
      <c r="E26" s="22"/>
      <c r="F26" s="22"/>
      <c r="G26" s="22"/>
      <c r="H26" s="22"/>
      <c r="I26" s="22"/>
      <c r="J26" s="22"/>
      <c r="K26" s="22"/>
    </row>
    <row r="27" spans="1:15" ht="14.45">
      <c r="A27" s="22"/>
      <c r="B27" s="33"/>
      <c r="C27" s="22"/>
      <c r="D27" s="22"/>
      <c r="E27" s="22"/>
      <c r="F27" s="22"/>
      <c r="G27" s="22"/>
      <c r="H27" s="22"/>
      <c r="I27" s="22"/>
      <c r="J27" s="22"/>
      <c r="K27" s="22"/>
    </row>
    <row r="28" spans="1:15" ht="14.45">
      <c r="A28" s="22"/>
      <c r="B28" s="33"/>
      <c r="C28" s="22"/>
      <c r="D28" s="22"/>
      <c r="E28" s="22"/>
      <c r="F28" s="22"/>
      <c r="G28" s="22"/>
      <c r="H28" s="22"/>
      <c r="I28" s="22"/>
      <c r="J28" s="22"/>
      <c r="K28" s="22"/>
    </row>
    <row r="29" spans="1:15" ht="14.45">
      <c r="A29" s="22"/>
      <c r="B29" s="33"/>
      <c r="C29" s="22"/>
      <c r="D29" s="22"/>
      <c r="E29" s="22"/>
      <c r="F29" s="22"/>
      <c r="G29" s="22"/>
      <c r="H29" s="22"/>
      <c r="I29" s="22"/>
      <c r="J29" s="22"/>
      <c r="K29" s="22"/>
    </row>
    <row r="30" spans="1:15" ht="14.45">
      <c r="A30" s="22"/>
      <c r="B30" s="33"/>
      <c r="C30" s="22"/>
      <c r="D30" s="22"/>
      <c r="E30" s="22"/>
      <c r="F30" s="22"/>
      <c r="G30" s="22"/>
      <c r="H30" s="22"/>
      <c r="I30" s="22"/>
      <c r="J30" s="22"/>
      <c r="K30" s="22"/>
    </row>
    <row r="31" spans="1:15" ht="14.45">
      <c r="A31" s="22"/>
      <c r="B31" s="33"/>
      <c r="C31" s="22"/>
      <c r="D31" s="22"/>
      <c r="E31" s="22"/>
      <c r="F31" s="22"/>
      <c r="G31" s="22"/>
      <c r="H31" s="22"/>
      <c r="I31" s="22"/>
      <c r="J31" s="22"/>
      <c r="K31" s="22"/>
    </row>
    <row r="32" spans="1:15"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26" priority="3" stopIfTrue="1" operator="lessThanOrEqual">
      <formula>-0.1</formula>
    </cfRule>
    <cfRule type="expression" dxfId="25" priority="4">
      <formula>AND(ISNUMBER(F2), F2&gt;=0.1)</formula>
    </cfRule>
  </conditionalFormatting>
  <conditionalFormatting sqref="F4:F13 I4:I13 A14:K19 F20:F100 I20:I100">
    <cfRule type="cellIs" dxfId="24" priority="1" stopIfTrue="1" operator="lessThanOrEqual">
      <formula>-0.1</formula>
    </cfRule>
    <cfRule type="expression" dxfId="23" priority="2">
      <formula>AND(ISNUMBER(A4), A4&gt;=0.1)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342"/>
  <sheetViews>
    <sheetView zoomScale="80" zoomScaleNormal="80" workbookViewId="0">
      <pane xSplit="2" ySplit="3" topLeftCell="F8"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71" t="str" cm="1">
        <f t="array" ref="A1">portfolio</f>
        <v>Ecofin</v>
      </c>
      <c r="B1" s="71"/>
      <c r="C1" s="71"/>
      <c r="D1" s="72" t="s">
        <v>118</v>
      </c>
      <c r="E1" s="72"/>
      <c r="F1" s="72"/>
      <c r="G1" s="70" t="s">
        <v>119</v>
      </c>
      <c r="H1" s="70"/>
      <c r="I1" s="70"/>
      <c r="J1" s="5"/>
      <c r="K1" s="5"/>
    </row>
    <row r="2" spans="1:12" ht="19.5" customHeight="1">
      <c r="A2" s="73" t="s">
        <v>2</v>
      </c>
      <c r="B2" s="73"/>
      <c r="C2" s="6">
        <f>SUM(C4:C100)</f>
        <v>0</v>
      </c>
      <c r="D2" s="6">
        <f>SUM(D4:D100)</f>
        <v>0</v>
      </c>
      <c r="E2" s="6">
        <f>C2-D2</f>
        <v>0</v>
      </c>
      <c r="F2" s="7">
        <f>IFERROR(E2/D2, 0)</f>
        <v>0</v>
      </c>
      <c r="G2" s="6">
        <f>SUM(G4:G100)</f>
        <v>0</v>
      </c>
      <c r="H2" s="8">
        <f>C2-G2</f>
        <v>0</v>
      </c>
      <c r="I2" s="7">
        <f>IFERROR(H2/G2, 0)</f>
        <v>0</v>
      </c>
      <c r="J2" s="27"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 t="shared" ref="I4:I13" si="0">IFERROR(H4/G4, "")</f>
        <v/>
      </c>
      <c r="J4" s="41"/>
      <c r="K4" s="41"/>
    </row>
    <row r="5" spans="1:12" ht="15.6">
      <c r="A5" s="30" t="str">
        <v>San Luis Valley</v>
      </c>
      <c r="B5" s="31" t="str">
        <v>CO</v>
      </c>
      <c r="C5" s="12"/>
      <c r="D5" s="19"/>
      <c r="E5" s="19" t="str">
        <f>IF(AND(ISNUMBER(C5),ISNUMBER(D5)), C5-D5, "")</f>
        <v/>
      </c>
      <c r="F5" s="20" t="str">
        <f>IFERROR(E5/D5, "")</f>
        <v/>
      </c>
      <c r="G5" s="21"/>
      <c r="H5" s="21" t="str">
        <f t="shared" ref="H5:H17" si="1">IF(AND(ISNUMBER(C5),ISNUMBER(G5)), C5-G5, "")</f>
        <v/>
      </c>
      <c r="I5" s="53" t="str">
        <f t="shared" si="0"/>
        <v/>
      </c>
      <c r="J5" s="42"/>
      <c r="K5" s="42"/>
    </row>
    <row r="6" spans="1:12" ht="15.6">
      <c r="A6" s="32" t="str">
        <v>Golden NREL 2</v>
      </c>
      <c r="B6" s="29" t="str">
        <v>CO</v>
      </c>
      <c r="C6" s="25"/>
      <c r="D6" s="14"/>
      <c r="E6" s="14" t="str">
        <f t="shared" ref="E6:E17" si="2">IF(AND(ISNUMBER(C6),ISNUMBER(D6)), C6-D6, "")</f>
        <v/>
      </c>
      <c r="F6" s="15" t="str">
        <f t="shared" ref="F6:F17" si="3">IFERROR(E6/D6, "")</f>
        <v/>
      </c>
      <c r="G6" s="16"/>
      <c r="H6" s="16" t="str">
        <f t="shared" si="1"/>
        <v/>
      </c>
      <c r="I6" s="17" t="str">
        <f t="shared" si="0"/>
        <v/>
      </c>
      <c r="J6" s="41"/>
      <c r="K6" s="41"/>
    </row>
    <row r="7" spans="1:12" ht="15.6">
      <c r="A7" s="30" t="str">
        <v>Golden NREL Wind 3</v>
      </c>
      <c r="B7" s="31" t="str">
        <v>CO</v>
      </c>
      <c r="C7" s="12"/>
      <c r="D7" s="19"/>
      <c r="E7" s="19" t="str">
        <f t="shared" si="2"/>
        <v/>
      </c>
      <c r="F7" s="20" t="str">
        <f t="shared" si="3"/>
        <v/>
      </c>
      <c r="G7" s="21"/>
      <c r="H7" s="21" t="str">
        <f t="shared" si="1"/>
        <v/>
      </c>
      <c r="I7" s="53" t="str">
        <f t="shared" si="0"/>
        <v/>
      </c>
      <c r="J7" s="48"/>
      <c r="K7" s="48"/>
    </row>
    <row r="8" spans="1:12" ht="15.6">
      <c r="A8" s="32" t="str">
        <v>Pratt Solar Farm</v>
      </c>
      <c r="B8" s="29" t="str">
        <v>KS</v>
      </c>
      <c r="C8" s="46"/>
      <c r="D8" s="14"/>
      <c r="E8" s="14" t="str">
        <f t="shared" si="2"/>
        <v/>
      </c>
      <c r="F8" s="15" t="str">
        <f t="shared" si="3"/>
        <v/>
      </c>
      <c r="G8" s="16"/>
      <c r="H8" s="16" t="str">
        <f t="shared" si="1"/>
        <v/>
      </c>
      <c r="I8" s="17" t="str">
        <f t="shared" si="0"/>
        <v/>
      </c>
      <c r="J8" s="41"/>
      <c r="K8" s="41"/>
    </row>
    <row r="9" spans="1:12" ht="15.6">
      <c r="A9" s="30" t="str">
        <v>Rochester - 5516 Valleyhigh NW</v>
      </c>
      <c r="B9" s="31" t="str">
        <v>MN</v>
      </c>
      <c r="C9" s="52"/>
      <c r="D9" s="19"/>
      <c r="E9" s="19" t="str">
        <f t="shared" si="2"/>
        <v/>
      </c>
      <c r="F9" s="20" t="str">
        <f t="shared" si="3"/>
        <v/>
      </c>
      <c r="G9" s="21"/>
      <c r="H9" s="21" t="str">
        <f t="shared" si="1"/>
        <v/>
      </c>
      <c r="I9" s="53" t="str">
        <f t="shared" si="0"/>
        <v/>
      </c>
      <c r="J9" s="48"/>
      <c r="K9" s="48"/>
      <c r="L9" s="22"/>
    </row>
    <row r="10" spans="1:12" ht="15.6">
      <c r="A10" s="32" t="str">
        <v>Warsaw - 2201 Richmond</v>
      </c>
      <c r="B10" s="29" t="str">
        <v>VA</v>
      </c>
      <c r="C10" s="25"/>
      <c r="D10" s="14"/>
      <c r="E10" s="14" t="str">
        <f t="shared" si="2"/>
        <v/>
      </c>
      <c r="F10" s="15" t="str">
        <f t="shared" si="3"/>
        <v/>
      </c>
      <c r="G10" s="16"/>
      <c r="H10" s="16" t="str">
        <f t="shared" si="1"/>
        <v/>
      </c>
      <c r="I10" s="17" t="str">
        <f t="shared" si="0"/>
        <v/>
      </c>
      <c r="J10" s="41"/>
      <c r="K10" s="41"/>
      <c r="L10" s="22"/>
    </row>
    <row r="11" spans="1:12" ht="15.6">
      <c r="A11" s="30" t="str">
        <v>Mount Jackson - Randolf</v>
      </c>
      <c r="B11" s="31" t="str">
        <v>VA</v>
      </c>
      <c r="C11" s="12"/>
      <c r="D11" s="19"/>
      <c r="E11" s="19" t="str">
        <f t="shared" si="2"/>
        <v/>
      </c>
      <c r="F11" s="20" t="str">
        <f t="shared" si="3"/>
        <v/>
      </c>
      <c r="G11" s="21"/>
      <c r="H11" s="21" t="str">
        <f t="shared" si="1"/>
        <v/>
      </c>
      <c r="I11" s="53" t="str">
        <f t="shared" si="0"/>
        <v/>
      </c>
      <c r="J11" s="42"/>
      <c r="K11" s="42"/>
      <c r="L11" s="22"/>
    </row>
    <row r="12" spans="1:12" ht="15.6">
      <c r="A12" s="32" t="str">
        <v>Callands Gretna - Monroe</v>
      </c>
      <c r="B12" s="29" t="str">
        <v>VA</v>
      </c>
      <c r="C12" s="25"/>
      <c r="D12" s="14"/>
      <c r="E12" s="14" t="str">
        <f>IF(AND(ISNUMBER(C12),ISNUMBER(D12)), C12-D12, "")</f>
        <v/>
      </c>
      <c r="F12" s="15" t="str">
        <f t="shared" si="3"/>
        <v/>
      </c>
      <c r="G12" s="16"/>
      <c r="H12" s="16" t="str">
        <f t="shared" si="1"/>
        <v/>
      </c>
      <c r="I12" s="17" t="str">
        <f t="shared" si="0"/>
        <v/>
      </c>
      <c r="J12" s="41"/>
      <c r="K12" s="41"/>
      <c r="L12" s="22"/>
    </row>
    <row r="13" spans="1:12" ht="15.6">
      <c r="A13" s="30" t="str">
        <v>Rockbridge Baths - Small Mouth Bass</v>
      </c>
      <c r="B13" s="31" t="str">
        <v>VA</v>
      </c>
      <c r="C13" s="12"/>
      <c r="D13" s="19"/>
      <c r="E13" s="19" t="str">
        <f t="shared" si="2"/>
        <v/>
      </c>
      <c r="F13" s="20" t="str">
        <f t="shared" si="3"/>
        <v/>
      </c>
      <c r="G13" s="21"/>
      <c r="H13" s="21" t="str">
        <f t="shared" si="1"/>
        <v/>
      </c>
      <c r="I13" s="53" t="str">
        <f t="shared" si="0"/>
        <v/>
      </c>
      <c r="J13" s="42"/>
      <c r="K13" s="42"/>
      <c r="L13" s="22"/>
    </row>
    <row r="14" spans="1:12">
      <c r="A14" s="22"/>
      <c r="B14" s="22"/>
      <c r="C14" s="22"/>
      <c r="D14" s="22"/>
      <c r="E14" s="22" t="str">
        <f t="shared" si="2"/>
        <v/>
      </c>
      <c r="F14" s="22" t="str">
        <f t="shared" si="3"/>
        <v/>
      </c>
      <c r="G14" s="22"/>
      <c r="H14" s="22" t="str">
        <f t="shared" si="1"/>
        <v/>
      </c>
      <c r="I14" s="22" t="str">
        <f t="shared" ref="I14:I17" si="4">IFERROR(H14/G14, "")</f>
        <v/>
      </c>
      <c r="J14" s="22"/>
      <c r="K14" s="22"/>
      <c r="L14" s="22"/>
    </row>
    <row r="15" spans="1:12">
      <c r="A15" s="22"/>
      <c r="B15" s="22"/>
      <c r="C15" s="22"/>
      <c r="D15" s="22"/>
      <c r="E15" s="22" t="str">
        <f t="shared" si="2"/>
        <v/>
      </c>
      <c r="F15" s="22" t="str">
        <f t="shared" si="3"/>
        <v/>
      </c>
      <c r="G15" s="22"/>
      <c r="H15" s="22" t="str">
        <f t="shared" si="1"/>
        <v/>
      </c>
      <c r="I15" s="22" t="str">
        <f t="shared" si="4"/>
        <v/>
      </c>
      <c r="J15" s="22"/>
      <c r="K15" s="22"/>
      <c r="L15" s="22"/>
    </row>
    <row r="16" spans="1:12">
      <c r="A16" s="22"/>
      <c r="B16" s="22"/>
      <c r="C16" s="22"/>
      <c r="D16" s="22"/>
      <c r="E16" s="22" t="str">
        <f t="shared" si="2"/>
        <v/>
      </c>
      <c r="F16" s="22" t="str">
        <f t="shared" si="3"/>
        <v/>
      </c>
      <c r="G16" s="22"/>
      <c r="H16" s="22" t="str">
        <f t="shared" si="1"/>
        <v/>
      </c>
      <c r="I16" s="22" t="str">
        <f t="shared" si="4"/>
        <v/>
      </c>
      <c r="J16" s="22"/>
      <c r="K16" s="22"/>
      <c r="L16" s="22"/>
    </row>
    <row r="17" spans="1:12">
      <c r="A17" s="22"/>
      <c r="B17" s="22"/>
      <c r="C17" s="22"/>
      <c r="D17" s="22"/>
      <c r="E17" s="22" t="str">
        <f t="shared" si="2"/>
        <v/>
      </c>
      <c r="F17" s="22" t="str">
        <f t="shared" si="3"/>
        <v/>
      </c>
      <c r="G17" s="22"/>
      <c r="H17" s="22" t="str">
        <f t="shared" si="1"/>
        <v/>
      </c>
      <c r="I17" s="22" t="str">
        <f t="shared" si="4"/>
        <v/>
      </c>
      <c r="J17" s="22"/>
      <c r="K17" s="22"/>
      <c r="L17" s="22"/>
    </row>
    <row r="18" spans="1:12" ht="12.75" customHeight="1">
      <c r="A18" s="22"/>
      <c r="B18" s="22"/>
      <c r="C18" s="22"/>
      <c r="D18" s="22"/>
      <c r="E18" s="22"/>
      <c r="F18" s="22"/>
      <c r="G18" s="22"/>
      <c r="H18" s="22"/>
      <c r="I18" s="22"/>
      <c r="J18" s="22"/>
      <c r="K18" s="22"/>
      <c r="L18" s="22"/>
    </row>
    <row r="19" spans="1:12">
      <c r="A19" s="22"/>
      <c r="B19" s="22"/>
      <c r="C19" s="22"/>
      <c r="D19" s="22"/>
      <c r="E19" s="22"/>
      <c r="F19" s="22"/>
      <c r="G19" s="22"/>
      <c r="H19" s="22"/>
      <c r="I19" s="22"/>
      <c r="J19" s="22"/>
      <c r="K19" s="22"/>
      <c r="L19" s="22"/>
    </row>
    <row r="20" spans="1:12">
      <c r="A20" s="22"/>
      <c r="B20" s="22"/>
      <c r="C20" s="22"/>
      <c r="D20" s="22"/>
      <c r="E20" s="22"/>
      <c r="F20" s="22"/>
      <c r="G20" s="22"/>
      <c r="H20" s="22"/>
      <c r="I20" s="22"/>
      <c r="J20" s="22"/>
      <c r="K20" s="22"/>
      <c r="L20" s="22"/>
    </row>
    <row r="21" spans="1:12" ht="14.45">
      <c r="A21" s="22"/>
      <c r="B21" s="33"/>
      <c r="C21" s="22"/>
      <c r="D21" s="22"/>
      <c r="E21" s="22"/>
      <c r="F21" s="22"/>
      <c r="G21" s="22"/>
      <c r="H21" s="22"/>
      <c r="I21" s="22"/>
      <c r="J21" s="22"/>
      <c r="K21" s="22"/>
    </row>
    <row r="22" spans="1:12" ht="14.45">
      <c r="A22" s="22"/>
      <c r="B22" s="33"/>
      <c r="C22" s="22"/>
      <c r="D22" s="22"/>
      <c r="E22" s="22"/>
      <c r="F22" s="22"/>
      <c r="G22" s="22"/>
      <c r="H22" s="22"/>
      <c r="I22" s="22"/>
      <c r="J22" s="22"/>
      <c r="K22" s="22"/>
    </row>
    <row r="23" spans="1:12" ht="14.45">
      <c r="A23" s="22"/>
      <c r="B23" s="33"/>
      <c r="C23" s="22"/>
      <c r="D23" s="22"/>
      <c r="E23" s="22"/>
      <c r="F23" s="22"/>
      <c r="G23" s="22"/>
      <c r="H23" s="22"/>
      <c r="I23" s="22"/>
      <c r="J23" s="22"/>
      <c r="K23" s="22"/>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22" priority="3" stopIfTrue="1" operator="lessThanOrEqual">
      <formula>-0.1</formula>
    </cfRule>
    <cfRule type="expression" dxfId="21" priority="4">
      <formula>AND(ISNUMBER(F2), F2&gt;=0.1)</formula>
    </cfRule>
  </conditionalFormatting>
  <conditionalFormatting sqref="F4:F100 I4:I100">
    <cfRule type="cellIs" dxfId="20" priority="1" stopIfTrue="1" operator="lessThanOrEqual">
      <formula>-0.1</formula>
    </cfRule>
    <cfRule type="expression" dxfId="19"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M342"/>
  <sheetViews>
    <sheetView zoomScale="80" zoomScaleNormal="80" workbookViewId="0">
      <pane xSplit="2" ySplit="3" topLeftCell="C4"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71" t="str" cm="1">
        <f t="array" ref="A1">portfolio</f>
        <v>Ecofin</v>
      </c>
      <c r="B1" s="71"/>
      <c r="C1" s="71"/>
      <c r="D1" s="72" t="s">
        <v>120</v>
      </c>
      <c r="E1" s="72"/>
      <c r="F1" s="72"/>
      <c r="G1" s="70" t="s">
        <v>121</v>
      </c>
      <c r="H1" s="70"/>
      <c r="I1" s="70"/>
      <c r="J1" s="5"/>
      <c r="K1" s="5"/>
    </row>
    <row r="2" spans="1:13" ht="19.5" customHeight="1">
      <c r="A2" s="73" t="s">
        <v>2</v>
      </c>
      <c r="B2" s="73"/>
      <c r="C2" s="6">
        <f>SUM(C4:C100)</f>
        <v>0</v>
      </c>
      <c r="D2" s="6">
        <f>SUM(D4:D100)</f>
        <v>0</v>
      </c>
      <c r="E2" s="6">
        <f>C2-D2</f>
        <v>0</v>
      </c>
      <c r="F2" s="7">
        <f>IFERROR(E2/D2, 0)</f>
        <v>0</v>
      </c>
      <c r="G2" s="6">
        <f>SUM(G4:G100)</f>
        <v>0</v>
      </c>
      <c r="H2" s="8">
        <f>C2-G2</f>
        <v>0</v>
      </c>
      <c r="I2" s="7">
        <f>IFERROR(H2/G2, 0)</f>
        <v>0</v>
      </c>
      <c r="J2" s="27"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3" ht="14.25" customHeight="1">
      <c r="A3" s="9" t="s">
        <v>3</v>
      </c>
      <c r="B3" s="9" t="s">
        <v>4</v>
      </c>
      <c r="C3" s="24" t="s">
        <v>5</v>
      </c>
      <c r="D3" s="35" t="s">
        <v>6</v>
      </c>
      <c r="E3" s="35" t="s">
        <v>7</v>
      </c>
      <c r="F3" s="36" t="s">
        <v>8</v>
      </c>
      <c r="G3" s="37" t="s">
        <v>9</v>
      </c>
      <c r="H3" s="38" t="s">
        <v>7</v>
      </c>
      <c r="I3" s="39" t="s">
        <v>8</v>
      </c>
      <c r="J3" s="26" t="s">
        <v>20</v>
      </c>
      <c r="K3" s="26" t="s">
        <v>21</v>
      </c>
    </row>
    <row r="4" spans="1:13"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3" ht="47.25" customHeight="1">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55"/>
      <c r="K5" s="55"/>
    </row>
    <row r="6" spans="1:13" ht="15.6">
      <c r="A6" s="32" t="str">
        <v>Golden NREL 2</v>
      </c>
      <c r="B6" s="29" t="str">
        <v>CO</v>
      </c>
      <c r="C6" s="25"/>
      <c r="D6" s="14"/>
      <c r="E6" s="14" t="str">
        <f t="shared" si="0"/>
        <v/>
      </c>
      <c r="F6" s="15" t="str">
        <f t="shared" ref="F6:F17" si="3">IFERROR(E6/D6, "")</f>
        <v/>
      </c>
      <c r="G6" s="16"/>
      <c r="H6" s="16" t="str">
        <f t="shared" si="1"/>
        <v/>
      </c>
      <c r="I6" s="17" t="str">
        <f t="shared" si="2"/>
        <v/>
      </c>
      <c r="J6" s="41"/>
      <c r="K6" s="41"/>
    </row>
    <row r="7" spans="1:13" ht="15.6">
      <c r="A7" s="30" t="str">
        <v>Golden NREL Wind 3</v>
      </c>
      <c r="B7" s="31" t="str">
        <v>CO</v>
      </c>
      <c r="C7" s="12"/>
      <c r="D7" s="19"/>
      <c r="E7" s="19" t="str">
        <f t="shared" si="0"/>
        <v/>
      </c>
      <c r="F7" s="20" t="str">
        <f t="shared" si="3"/>
        <v/>
      </c>
      <c r="G7" s="21"/>
      <c r="H7" s="21" t="str">
        <f t="shared" si="1"/>
        <v/>
      </c>
      <c r="I7" s="20" t="str">
        <f t="shared" si="2"/>
        <v/>
      </c>
      <c r="J7" s="42"/>
      <c r="K7" s="42"/>
    </row>
    <row r="8" spans="1:13" ht="15.6">
      <c r="A8" s="32" t="str">
        <v>Pratt Solar Farm</v>
      </c>
      <c r="B8" s="29" t="str">
        <v>KS</v>
      </c>
      <c r="C8" s="25"/>
      <c r="D8" s="14"/>
      <c r="E8" s="14" t="str">
        <f t="shared" si="0"/>
        <v/>
      </c>
      <c r="F8" s="15" t="str">
        <f t="shared" si="3"/>
        <v/>
      </c>
      <c r="G8" s="16"/>
      <c r="H8" s="16" t="str">
        <f t="shared" si="1"/>
        <v/>
      </c>
      <c r="I8" s="17" t="str">
        <f t="shared" si="2"/>
        <v/>
      </c>
      <c r="J8" s="41"/>
      <c r="K8" s="41"/>
    </row>
    <row r="9" spans="1:13" ht="96.75" customHeight="1">
      <c r="A9" s="30" t="str">
        <v>Rochester - 5516 Valleyhigh NW</v>
      </c>
      <c r="B9" s="31" t="str">
        <v>MN</v>
      </c>
      <c r="C9" s="12"/>
      <c r="D9" s="19"/>
      <c r="E9" s="19" t="str">
        <f t="shared" si="0"/>
        <v/>
      </c>
      <c r="F9" s="20" t="str">
        <f t="shared" si="3"/>
        <v/>
      </c>
      <c r="G9" s="54"/>
      <c r="H9" s="21" t="str">
        <f t="shared" si="1"/>
        <v/>
      </c>
      <c r="I9" s="20" t="str">
        <f t="shared" si="2"/>
        <v/>
      </c>
      <c r="J9" s="55"/>
      <c r="K9" s="55"/>
      <c r="L9" s="22"/>
      <c r="M9" s="22"/>
    </row>
    <row r="10" spans="1:13" ht="15.6">
      <c r="A10" s="32" t="str">
        <v>Warsaw - 2201 Richmond</v>
      </c>
      <c r="B10" s="29" t="str">
        <v>VA</v>
      </c>
      <c r="C10" s="25"/>
      <c r="D10" s="14"/>
      <c r="E10" s="14" t="str">
        <f t="shared" si="0"/>
        <v/>
      </c>
      <c r="F10" s="15" t="str">
        <f t="shared" si="3"/>
        <v/>
      </c>
      <c r="G10" s="16"/>
      <c r="H10" s="16" t="str">
        <f t="shared" si="1"/>
        <v/>
      </c>
      <c r="I10" s="17" t="str">
        <f t="shared" si="2"/>
        <v/>
      </c>
      <c r="J10" s="41"/>
      <c r="K10" s="41"/>
      <c r="L10" s="22"/>
      <c r="M10" s="22"/>
    </row>
    <row r="11" spans="1:13" ht="15.6">
      <c r="A11" s="30" t="str">
        <v>Mount Jackson - Randolf</v>
      </c>
      <c r="B11" s="31" t="str">
        <v>VA</v>
      </c>
      <c r="C11" s="12"/>
      <c r="D11" s="19"/>
      <c r="E11" s="19" t="str">
        <f t="shared" si="0"/>
        <v/>
      </c>
      <c r="F11" s="20" t="str">
        <f t="shared" si="3"/>
        <v/>
      </c>
      <c r="G11" s="21"/>
      <c r="H11" s="21" t="str">
        <f t="shared" si="1"/>
        <v/>
      </c>
      <c r="I11" s="20" t="str">
        <f t="shared" si="2"/>
        <v/>
      </c>
      <c r="J11" s="42"/>
      <c r="K11" s="42"/>
      <c r="L11" s="22"/>
      <c r="M11" s="22"/>
    </row>
    <row r="12" spans="1:13" ht="15.6">
      <c r="A12" s="32" t="str">
        <v>Callands Gretna - Monroe</v>
      </c>
      <c r="B12" s="29" t="str">
        <v>VA</v>
      </c>
      <c r="C12" s="25"/>
      <c r="D12" s="14"/>
      <c r="E12" s="14" t="str">
        <f t="shared" si="0"/>
        <v/>
      </c>
      <c r="F12" s="15" t="str">
        <f t="shared" si="3"/>
        <v/>
      </c>
      <c r="G12" s="16"/>
      <c r="H12" s="16" t="str">
        <f t="shared" si="1"/>
        <v/>
      </c>
      <c r="I12" s="17" t="str">
        <f t="shared" si="2"/>
        <v/>
      </c>
      <c r="J12" s="41"/>
      <c r="K12" s="41"/>
      <c r="L12" s="22"/>
      <c r="M12" s="22"/>
    </row>
    <row r="13" spans="1:13" ht="15.6">
      <c r="A13" s="30" t="str">
        <v>Rockbridge Baths - Small Mouth Bass</v>
      </c>
      <c r="B13" s="31" t="str">
        <v>VA</v>
      </c>
      <c r="C13" s="12"/>
      <c r="D13" s="19"/>
      <c r="E13" s="19" t="str">
        <f t="shared" si="0"/>
        <v/>
      </c>
      <c r="F13" s="20" t="str">
        <f t="shared" si="3"/>
        <v/>
      </c>
      <c r="G13" s="21"/>
      <c r="H13" s="21" t="str">
        <f t="shared" si="1"/>
        <v/>
      </c>
      <c r="I13" s="20" t="str">
        <f t="shared" si="2"/>
        <v/>
      </c>
      <c r="J13" s="42"/>
      <c r="K13" s="55"/>
      <c r="L13" s="22"/>
      <c r="M13" s="22"/>
    </row>
    <row r="14" spans="1:13">
      <c r="A14" s="22"/>
      <c r="B14" s="22"/>
      <c r="C14" s="22"/>
      <c r="D14" s="22"/>
      <c r="E14" s="22" t="str">
        <f t="shared" si="0"/>
        <v/>
      </c>
      <c r="F14" s="22" t="str">
        <f t="shared" si="3"/>
        <v/>
      </c>
      <c r="G14" s="22"/>
      <c r="H14" s="22" t="str">
        <f t="shared" si="1"/>
        <v/>
      </c>
      <c r="I14" s="22" t="str">
        <f t="shared" si="2"/>
        <v/>
      </c>
      <c r="J14" s="22"/>
      <c r="K14" s="22"/>
      <c r="L14" s="22"/>
      <c r="M14" s="22"/>
    </row>
    <row r="15" spans="1:13">
      <c r="A15" s="22"/>
      <c r="B15" s="22"/>
      <c r="C15" s="22"/>
      <c r="D15" s="22"/>
      <c r="E15" s="22" t="str">
        <f t="shared" si="0"/>
        <v/>
      </c>
      <c r="F15" s="22" t="str">
        <f t="shared" si="3"/>
        <v/>
      </c>
      <c r="G15" s="22"/>
      <c r="H15" s="22" t="str">
        <f t="shared" si="1"/>
        <v/>
      </c>
      <c r="I15" s="22" t="str">
        <f t="shared" si="2"/>
        <v/>
      </c>
      <c r="J15" s="22"/>
      <c r="K15" s="22"/>
      <c r="L15" s="22"/>
      <c r="M15" s="22"/>
    </row>
    <row r="16" spans="1:13">
      <c r="A16" s="22"/>
      <c r="B16" s="22"/>
      <c r="C16" s="22"/>
      <c r="D16" s="22"/>
      <c r="E16" s="22" t="str">
        <f t="shared" si="0"/>
        <v/>
      </c>
      <c r="F16" s="22" t="str">
        <f t="shared" si="3"/>
        <v/>
      </c>
      <c r="G16" s="22"/>
      <c r="H16" s="22" t="str">
        <f t="shared" si="1"/>
        <v/>
      </c>
      <c r="I16" s="22" t="str">
        <f t="shared" si="2"/>
        <v/>
      </c>
      <c r="J16" s="22"/>
      <c r="K16" s="22"/>
      <c r="L16" s="22"/>
      <c r="M16" s="22"/>
    </row>
    <row r="17" spans="1:13">
      <c r="A17" s="22"/>
      <c r="B17" s="22"/>
      <c r="C17" s="22"/>
      <c r="D17" s="22"/>
      <c r="E17" s="22" t="str">
        <f t="shared" si="0"/>
        <v/>
      </c>
      <c r="F17" s="22" t="str">
        <f t="shared" si="3"/>
        <v/>
      </c>
      <c r="G17" s="22"/>
      <c r="H17" s="22" t="str">
        <f t="shared" si="1"/>
        <v/>
      </c>
      <c r="I17" s="22" t="str">
        <f t="shared" si="2"/>
        <v/>
      </c>
      <c r="J17" s="22"/>
      <c r="K17" s="22"/>
      <c r="L17" s="22"/>
      <c r="M17" s="22"/>
    </row>
    <row r="18" spans="1:13" ht="12.75" customHeight="1">
      <c r="A18" s="22"/>
      <c r="B18" s="33"/>
      <c r="C18" s="22"/>
      <c r="D18" s="22"/>
      <c r="E18" s="22"/>
      <c r="F18" s="22"/>
      <c r="G18" s="22"/>
      <c r="H18" s="22"/>
      <c r="I18" s="22"/>
      <c r="J18" s="22"/>
      <c r="K18" s="22"/>
    </row>
    <row r="19" spans="1:13" ht="14.45">
      <c r="A19" s="22"/>
      <c r="B19" s="33"/>
      <c r="C19" s="22"/>
      <c r="D19" s="22"/>
      <c r="E19" s="22"/>
      <c r="F19" s="22"/>
      <c r="G19" s="22"/>
      <c r="H19" s="22"/>
      <c r="I19" s="22"/>
      <c r="J19" s="22"/>
      <c r="K19" s="22"/>
    </row>
    <row r="20" spans="1:13" ht="14.45">
      <c r="A20" s="22"/>
      <c r="B20" s="33"/>
      <c r="C20" s="22"/>
      <c r="D20" s="22"/>
      <c r="E20" s="22"/>
      <c r="F20" s="22"/>
      <c r="G20" s="22"/>
      <c r="H20" s="22"/>
      <c r="I20" s="22"/>
      <c r="J20" s="22"/>
      <c r="K20" s="22"/>
    </row>
    <row r="21" spans="1:13" ht="14.45">
      <c r="A21" s="22"/>
      <c r="B21" s="33"/>
      <c r="C21" s="22"/>
      <c r="D21" s="22"/>
      <c r="E21" s="22"/>
      <c r="F21" s="22"/>
      <c r="G21" s="22"/>
      <c r="H21" s="22"/>
      <c r="I21" s="22"/>
      <c r="J21" s="22"/>
      <c r="K21" s="22"/>
    </row>
    <row r="22" spans="1:13" ht="14.45">
      <c r="A22" s="22"/>
      <c r="B22" s="33"/>
      <c r="C22" s="22"/>
      <c r="D22" s="22"/>
      <c r="E22" s="22"/>
      <c r="F22" s="22"/>
      <c r="G22" s="22"/>
      <c r="H22" s="22"/>
      <c r="I22" s="22"/>
      <c r="J22" s="22"/>
      <c r="K22" s="22"/>
    </row>
    <row r="23" spans="1:13" ht="14.45">
      <c r="A23" s="22"/>
      <c r="B23" s="33"/>
      <c r="C23" s="22"/>
      <c r="D23" s="22"/>
      <c r="E23" s="22"/>
      <c r="F23" s="22"/>
      <c r="G23" s="22"/>
      <c r="H23" s="22"/>
      <c r="I23" s="22"/>
      <c r="J23" s="22"/>
      <c r="K23" s="22"/>
    </row>
    <row r="24" spans="1:13" ht="14.45">
      <c r="A24" s="22"/>
      <c r="B24" s="33"/>
      <c r="C24" s="22"/>
      <c r="D24" s="22"/>
      <c r="E24" s="22"/>
      <c r="F24" s="22"/>
      <c r="G24" s="22"/>
      <c r="H24" s="22"/>
      <c r="I24" s="22"/>
      <c r="J24" s="22"/>
      <c r="K24" s="22"/>
    </row>
    <row r="25" spans="1:13" ht="14.45">
      <c r="A25" s="22"/>
      <c r="B25" s="33"/>
      <c r="C25" s="22"/>
      <c r="D25" s="22"/>
      <c r="E25" s="22"/>
      <c r="F25" s="22"/>
      <c r="G25" s="22"/>
      <c r="H25" s="22"/>
      <c r="I25" s="22"/>
      <c r="J25" s="22"/>
      <c r="K25" s="22"/>
    </row>
    <row r="26" spans="1:13" ht="14.45">
      <c r="A26" s="22"/>
      <c r="B26" s="33"/>
      <c r="C26" s="22"/>
      <c r="D26" s="22"/>
      <c r="E26" s="22"/>
      <c r="F26" s="22"/>
      <c r="G26" s="22"/>
      <c r="H26" s="22"/>
      <c r="I26" s="22"/>
      <c r="J26" s="22"/>
      <c r="K26" s="22"/>
    </row>
    <row r="27" spans="1:13" ht="14.45">
      <c r="A27" s="22"/>
      <c r="B27" s="33"/>
      <c r="C27" s="22"/>
      <c r="D27" s="22"/>
      <c r="E27" s="22"/>
      <c r="F27" s="22"/>
      <c r="G27" s="22"/>
      <c r="H27" s="22"/>
      <c r="I27" s="22"/>
      <c r="J27" s="22"/>
      <c r="K27" s="22"/>
    </row>
    <row r="28" spans="1:13" ht="14.45">
      <c r="A28" s="22"/>
      <c r="B28" s="33"/>
      <c r="C28" s="22"/>
      <c r="D28" s="22"/>
      <c r="E28" s="22"/>
      <c r="F28" s="22"/>
      <c r="G28" s="22"/>
      <c r="H28" s="22"/>
      <c r="I28" s="22"/>
      <c r="J28" s="22"/>
      <c r="K28" s="22"/>
    </row>
    <row r="29" spans="1:13" ht="14.45">
      <c r="A29" s="22"/>
      <c r="B29" s="33"/>
      <c r="C29" s="22"/>
      <c r="D29" s="22"/>
      <c r="E29" s="22"/>
      <c r="F29" s="22"/>
      <c r="G29" s="22"/>
      <c r="H29" s="22"/>
      <c r="I29" s="22"/>
      <c r="J29" s="22"/>
      <c r="K29" s="22"/>
    </row>
    <row r="30" spans="1:13" ht="14.45">
      <c r="A30" s="22"/>
      <c r="B30" s="33"/>
      <c r="C30" s="22"/>
      <c r="D30" s="22"/>
      <c r="E30" s="22"/>
      <c r="F30" s="22"/>
      <c r="G30" s="22"/>
      <c r="H30" s="22"/>
      <c r="I30" s="22"/>
      <c r="J30" s="22"/>
      <c r="K30" s="22"/>
    </row>
    <row r="31" spans="1:13" ht="14.45">
      <c r="A31" s="22"/>
      <c r="B31" s="33"/>
      <c r="C31" s="22"/>
      <c r="D31" s="22"/>
      <c r="E31" s="22"/>
      <c r="F31" s="22"/>
      <c r="G31" s="22"/>
      <c r="H31" s="22"/>
      <c r="I31" s="22"/>
      <c r="J31" s="22"/>
      <c r="K31" s="22"/>
    </row>
    <row r="32" spans="1:13"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8" priority="3" stopIfTrue="1" operator="lessThanOrEqual">
      <formula>-0.1</formula>
    </cfRule>
    <cfRule type="expression" dxfId="17" priority="4">
      <formula>AND(ISNUMBER(F2), F2&gt;=0.1)</formula>
    </cfRule>
  </conditionalFormatting>
  <conditionalFormatting sqref="F4:F13 I4:I13 F18:F100 I18:I100">
    <cfRule type="cellIs" dxfId="16" priority="1" stopIfTrue="1" operator="lessThanOrEqual">
      <formula>-0.1</formula>
    </cfRule>
    <cfRule type="expression" dxfId="15" priority="2">
      <formula>AND(ISNUMBER(F4), F4&gt;=0.1)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42"/>
  <sheetViews>
    <sheetView zoomScale="70" zoomScaleNormal="70" workbookViewId="0">
      <pane xSplit="2" ySplit="3" topLeftCell="C4"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3.5703125" customWidth="1"/>
  </cols>
  <sheetData>
    <row r="1" spans="1:12" ht="19.5" customHeight="1">
      <c r="A1" s="71" t="str" cm="1">
        <f t="array" ref="A1">portfolio</f>
        <v>Ecofin</v>
      </c>
      <c r="B1" s="71"/>
      <c r="C1" s="71"/>
      <c r="D1" s="72" t="s">
        <v>122</v>
      </c>
      <c r="E1" s="72"/>
      <c r="F1" s="72"/>
      <c r="G1" s="70" t="s">
        <v>123</v>
      </c>
      <c r="H1" s="70"/>
      <c r="I1" s="70"/>
      <c r="J1" s="5"/>
      <c r="K1" s="5"/>
    </row>
    <row r="2" spans="1:12" ht="19.5" customHeight="1">
      <c r="A2" s="73" t="s">
        <v>2</v>
      </c>
      <c r="B2" s="73"/>
      <c r="C2" s="6">
        <f>SUM(C4:C100)</f>
        <v>0</v>
      </c>
      <c r="D2" s="6">
        <f>SUM(D4:D100)</f>
        <v>0</v>
      </c>
      <c r="E2" s="6">
        <f>C2-D2</f>
        <v>0</v>
      </c>
      <c r="F2" s="7">
        <f>IFERROR(E2/D2, 0)</f>
        <v>0</v>
      </c>
      <c r="G2" s="6">
        <f>SUM(G4:G100)</f>
        <v>0</v>
      </c>
      <c r="H2" s="8">
        <f>C2-G2</f>
        <v>0</v>
      </c>
      <c r="I2" s="7">
        <f>IFERROR(H2/G2, 0)</f>
        <v>0</v>
      </c>
      <c r="J2" s="27"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50"/>
      <c r="K4" s="50"/>
    </row>
    <row r="5" spans="1:12" ht="15.6">
      <c r="A5" s="30" t="str">
        <v>San Luis Valley</v>
      </c>
      <c r="B5" s="31" t="str">
        <v>CO</v>
      </c>
      <c r="C5" s="12"/>
      <c r="D5" s="19"/>
      <c r="E5" s="19" t="str">
        <f t="shared" ref="E5:E17" si="0">IF(AND(ISNUMBER(C5),ISNUMBER(D5)), C5-D5, "")</f>
        <v/>
      </c>
      <c r="F5" s="20" t="str">
        <f>IFERROR(E5/D5, "")</f>
        <v/>
      </c>
      <c r="G5" s="21"/>
      <c r="H5" s="21" t="str">
        <f t="shared" ref="H5:H16" si="1">IF(AND(ISNUMBER(C5),ISNUMBER(G5)), C5-G5, "")</f>
        <v/>
      </c>
      <c r="I5" s="20" t="str">
        <f t="shared" ref="I5:I16" si="2">IFERROR(H5/G5, "")</f>
        <v/>
      </c>
      <c r="J5" s="48"/>
      <c r="K5" s="48"/>
    </row>
    <row r="6" spans="1:12" ht="15.6">
      <c r="A6" s="32" t="str">
        <v>Golden NREL 2</v>
      </c>
      <c r="B6" s="29" t="str">
        <v>CO</v>
      </c>
      <c r="C6" s="25"/>
      <c r="D6" s="14"/>
      <c r="E6" s="14" t="str">
        <f t="shared" si="0"/>
        <v/>
      </c>
      <c r="F6" s="15" t="str">
        <f t="shared" ref="F6:F17" si="3">IFERROR(E6/D6, "")</f>
        <v/>
      </c>
      <c r="G6" s="16"/>
      <c r="H6" s="16" t="str">
        <f t="shared" si="1"/>
        <v/>
      </c>
      <c r="I6" s="17" t="str">
        <f t="shared" si="2"/>
        <v/>
      </c>
      <c r="J6" s="50"/>
      <c r="K6" s="50"/>
    </row>
    <row r="7" spans="1:12" ht="15.6">
      <c r="A7" s="30" t="str">
        <v>Golden NREL Wind 3</v>
      </c>
      <c r="B7" s="31" t="str">
        <v>CO</v>
      </c>
      <c r="C7" s="12"/>
      <c r="D7" s="19"/>
      <c r="E7" s="19" t="str">
        <f t="shared" si="0"/>
        <v/>
      </c>
      <c r="F7" s="20" t="str">
        <f t="shared" si="3"/>
        <v/>
      </c>
      <c r="G7" s="21"/>
      <c r="H7" s="21" t="str">
        <f t="shared" si="1"/>
        <v/>
      </c>
      <c r="I7" s="20" t="str">
        <f t="shared" si="2"/>
        <v/>
      </c>
      <c r="J7" s="48"/>
      <c r="K7" s="48"/>
    </row>
    <row r="8" spans="1:12" ht="15.6">
      <c r="A8" s="32" t="str">
        <v>Pratt Solar Farm</v>
      </c>
      <c r="B8" s="29" t="str">
        <v>KS</v>
      </c>
      <c r="C8" s="25"/>
      <c r="D8" s="14"/>
      <c r="E8" s="14" t="str">
        <f t="shared" si="0"/>
        <v/>
      </c>
      <c r="F8" s="15" t="str">
        <f t="shared" si="3"/>
        <v/>
      </c>
      <c r="G8" s="16"/>
      <c r="H8" s="16" t="str">
        <f t="shared" si="1"/>
        <v/>
      </c>
      <c r="I8" s="17" t="str">
        <f t="shared" si="2"/>
        <v/>
      </c>
      <c r="J8" s="50"/>
      <c r="K8" s="50"/>
    </row>
    <row r="9" spans="1:12" ht="100.5" customHeight="1">
      <c r="A9" s="30" t="str">
        <v>Rochester - 5516 Valleyhigh NW</v>
      </c>
      <c r="B9" s="31" t="str">
        <v>MN</v>
      </c>
      <c r="C9" s="12"/>
      <c r="D9" s="19"/>
      <c r="E9" s="19" t="str">
        <f t="shared" si="0"/>
        <v/>
      </c>
      <c r="F9" s="20" t="str">
        <f t="shared" si="3"/>
        <v/>
      </c>
      <c r="G9" s="21"/>
      <c r="H9" s="21" t="str">
        <f t="shared" si="1"/>
        <v/>
      </c>
      <c r="I9" s="20" t="str">
        <f t="shared" si="2"/>
        <v/>
      </c>
      <c r="J9" s="48"/>
      <c r="K9" s="48"/>
      <c r="L9" s="22"/>
    </row>
    <row r="10" spans="1:12" ht="15.6">
      <c r="A10" s="32" t="str">
        <v>Warsaw - 2201 Richmond</v>
      </c>
      <c r="B10" s="29" t="str">
        <v>VA</v>
      </c>
      <c r="C10" s="25"/>
      <c r="D10" s="14"/>
      <c r="E10" s="14" t="str">
        <f t="shared" si="0"/>
        <v/>
      </c>
      <c r="F10" s="15" t="str">
        <f t="shared" si="3"/>
        <v/>
      </c>
      <c r="G10" s="16"/>
      <c r="H10" s="16" t="str">
        <f t="shared" si="1"/>
        <v/>
      </c>
      <c r="I10" s="17" t="str">
        <f t="shared" si="2"/>
        <v/>
      </c>
      <c r="J10" s="50"/>
      <c r="K10" s="50"/>
      <c r="L10" s="22"/>
    </row>
    <row r="11" spans="1:12" ht="15.6">
      <c r="A11" s="30" t="str">
        <v>Mount Jackson - Randolf</v>
      </c>
      <c r="B11" s="31" t="str">
        <v>VA</v>
      </c>
      <c r="C11" s="12"/>
      <c r="D11" s="19"/>
      <c r="E11" s="19" t="str">
        <f t="shared" si="0"/>
        <v/>
      </c>
      <c r="F11" s="20" t="str">
        <f t="shared" si="3"/>
        <v/>
      </c>
      <c r="G11" s="21"/>
      <c r="H11" s="21" t="str">
        <f t="shared" si="1"/>
        <v/>
      </c>
      <c r="I11" s="20" t="str">
        <f t="shared" si="2"/>
        <v/>
      </c>
      <c r="J11" s="48"/>
      <c r="K11" s="48"/>
      <c r="L11" s="22"/>
    </row>
    <row r="12" spans="1:12" ht="15.6">
      <c r="A12" s="32" t="str">
        <v>Callands Gretna - Monroe</v>
      </c>
      <c r="B12" s="29" t="str">
        <v>VA</v>
      </c>
      <c r="C12" s="25"/>
      <c r="D12" s="14"/>
      <c r="E12" s="14" t="str">
        <f t="shared" si="0"/>
        <v/>
      </c>
      <c r="F12" s="15" t="str">
        <f t="shared" si="3"/>
        <v/>
      </c>
      <c r="G12" s="16"/>
      <c r="H12" s="16" t="str">
        <f t="shared" si="1"/>
        <v/>
      </c>
      <c r="I12" s="17" t="str">
        <f t="shared" si="2"/>
        <v/>
      </c>
      <c r="J12" s="50"/>
      <c r="K12" s="50"/>
      <c r="L12" s="22"/>
    </row>
    <row r="13" spans="1:12" ht="15.6">
      <c r="A13" s="30" t="str">
        <v>Rockbridge Baths - Small Mouth Bass</v>
      </c>
      <c r="B13" s="31" t="str">
        <v>VA</v>
      </c>
      <c r="C13" s="12"/>
      <c r="D13" s="19"/>
      <c r="E13" s="19" t="str">
        <f t="shared" si="0"/>
        <v/>
      </c>
      <c r="F13" s="20" t="str">
        <f t="shared" si="3"/>
        <v/>
      </c>
      <c r="G13" s="21"/>
      <c r="H13" s="21" t="str">
        <f t="shared" si="1"/>
        <v/>
      </c>
      <c r="I13" s="20" t="str">
        <f t="shared" si="2"/>
        <v/>
      </c>
      <c r="J13" s="48"/>
      <c r="K13" s="48"/>
      <c r="L13" s="22"/>
    </row>
    <row r="14" spans="1:12">
      <c r="A14" s="22"/>
      <c r="B14" s="22"/>
      <c r="C14" s="22"/>
      <c r="D14" s="22"/>
      <c r="E14" s="22" t="str">
        <f t="shared" si="0"/>
        <v/>
      </c>
      <c r="F14" s="22" t="str">
        <f t="shared" si="3"/>
        <v/>
      </c>
      <c r="G14" s="22"/>
      <c r="H14" s="22" t="str">
        <f t="shared" si="1"/>
        <v/>
      </c>
      <c r="I14" s="22" t="str">
        <f t="shared" si="2"/>
        <v/>
      </c>
      <c r="J14" s="22"/>
      <c r="K14" s="22"/>
      <c r="L14" s="22"/>
    </row>
    <row r="15" spans="1:12">
      <c r="A15" s="22"/>
      <c r="B15" s="22"/>
      <c r="C15" s="22"/>
      <c r="D15" s="22"/>
      <c r="E15" s="22" t="str">
        <f t="shared" si="0"/>
        <v/>
      </c>
      <c r="F15" s="22" t="str">
        <f t="shared" si="3"/>
        <v/>
      </c>
      <c r="G15" s="22"/>
      <c r="H15" s="22" t="str">
        <f t="shared" si="1"/>
        <v/>
      </c>
      <c r="I15" s="22" t="str">
        <f t="shared" si="2"/>
        <v/>
      </c>
      <c r="J15" s="22"/>
      <c r="K15" s="22"/>
      <c r="L15" s="22"/>
    </row>
    <row r="16" spans="1:12">
      <c r="A16" s="22"/>
      <c r="B16" s="22"/>
      <c r="C16" s="22"/>
      <c r="D16" s="22"/>
      <c r="E16" s="22" t="str">
        <f t="shared" si="0"/>
        <v/>
      </c>
      <c r="F16" s="22" t="str">
        <f t="shared" si="3"/>
        <v/>
      </c>
      <c r="G16" s="22"/>
      <c r="H16" s="22" t="str">
        <f t="shared" si="1"/>
        <v/>
      </c>
      <c r="I16" s="22" t="str">
        <f t="shared" si="2"/>
        <v/>
      </c>
      <c r="J16" s="22"/>
      <c r="K16" s="22"/>
      <c r="L16" s="22"/>
    </row>
    <row r="17" spans="1:12">
      <c r="A17" s="22"/>
      <c r="B17" s="22"/>
      <c r="C17" s="22"/>
      <c r="D17" s="22"/>
      <c r="E17" s="22" t="str">
        <f t="shared" si="0"/>
        <v/>
      </c>
      <c r="F17" s="22" t="str">
        <f t="shared" si="3"/>
        <v/>
      </c>
      <c r="G17" s="22"/>
      <c r="H17" s="22" t="str">
        <f>IF(AND(ISNUMBER(C17),ISNUMBER(G17)), C17-G17, "")</f>
        <v/>
      </c>
      <c r="I17" s="22" t="str">
        <f>IFERROR(H17/G17, "")</f>
        <v/>
      </c>
      <c r="J17" s="22"/>
      <c r="K17" s="22"/>
      <c r="L17" s="22"/>
    </row>
    <row r="18" spans="1:12" ht="12.75" customHeight="1">
      <c r="A18" s="22"/>
      <c r="B18" s="22"/>
      <c r="C18" s="22"/>
      <c r="D18" s="22"/>
      <c r="E18" s="22"/>
      <c r="F18" s="22"/>
      <c r="G18" s="22"/>
      <c r="H18" s="22"/>
      <c r="I18" s="22"/>
      <c r="J18" s="22"/>
      <c r="K18" s="22"/>
      <c r="L18" s="22"/>
    </row>
    <row r="19" spans="1:12">
      <c r="A19" s="22"/>
      <c r="B19" s="22"/>
      <c r="C19" s="22"/>
      <c r="D19" s="22"/>
      <c r="E19" s="22"/>
      <c r="F19" s="22"/>
      <c r="G19" s="22"/>
      <c r="H19" s="22"/>
      <c r="I19" s="22"/>
      <c r="J19" s="22"/>
      <c r="K19" s="22"/>
      <c r="L19" s="22"/>
    </row>
    <row r="20" spans="1:12" ht="14.45">
      <c r="A20" s="22"/>
      <c r="B20" s="33"/>
      <c r="C20" s="22"/>
      <c r="D20" s="22"/>
      <c r="E20" s="22"/>
      <c r="F20" s="22"/>
      <c r="G20" s="22"/>
      <c r="H20" s="22"/>
      <c r="I20" s="22"/>
      <c r="J20" s="22"/>
      <c r="K20" s="22"/>
    </row>
    <row r="21" spans="1:12" ht="14.45">
      <c r="A21" s="22"/>
      <c r="B21" s="33"/>
      <c r="C21" s="22"/>
      <c r="D21" s="22"/>
      <c r="E21" s="22"/>
      <c r="F21" s="22"/>
      <c r="G21" s="22"/>
      <c r="H21" s="22"/>
      <c r="I21" s="22"/>
      <c r="J21" s="22"/>
      <c r="K21" s="22"/>
    </row>
    <row r="22" spans="1:12" ht="14.45">
      <c r="A22" s="22"/>
      <c r="B22" s="33"/>
      <c r="C22" s="22"/>
      <c r="D22" s="22"/>
      <c r="E22" s="22"/>
      <c r="F22" s="22"/>
      <c r="G22" s="22"/>
      <c r="H22" s="22"/>
      <c r="I22" s="22"/>
      <c r="J22" s="22"/>
      <c r="K22" s="22"/>
    </row>
    <row r="23" spans="1:12" ht="14.45">
      <c r="A23" s="22"/>
      <c r="B23" s="33"/>
      <c r="C23" s="22"/>
      <c r="D23" s="22"/>
      <c r="E23" s="22"/>
      <c r="F23" s="22"/>
      <c r="G23" s="22"/>
      <c r="H23" s="22"/>
      <c r="I23" s="22"/>
      <c r="J23" s="22"/>
      <c r="K23" s="22"/>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4" priority="3" stopIfTrue="1" operator="lessThanOrEqual">
      <formula>-0.1</formula>
    </cfRule>
    <cfRule type="expression" dxfId="13" priority="4">
      <formula>AND(ISNUMBER(F2), F2&gt;=0.1)</formula>
    </cfRule>
  </conditionalFormatting>
  <conditionalFormatting sqref="F4:F13 I4:I13 F20:F100 I20:I100">
    <cfRule type="cellIs" dxfId="12" priority="1" stopIfTrue="1" operator="lessThanOrEqual">
      <formula>-0.1</formula>
    </cfRule>
    <cfRule type="expression" dxfId="11"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42"/>
  <sheetViews>
    <sheetView zoomScale="80" zoomScaleNormal="80" workbookViewId="0">
      <pane xSplit="2" ySplit="3" topLeftCell="J8"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71" t="str" cm="1">
        <f t="array" ref="A1">portfolio</f>
        <v>Ecofin</v>
      </c>
      <c r="B1" s="71"/>
      <c r="C1" s="71"/>
      <c r="D1" s="72" t="s">
        <v>124</v>
      </c>
      <c r="E1" s="72"/>
      <c r="F1" s="72"/>
      <c r="G1" s="70" t="s">
        <v>125</v>
      </c>
      <c r="H1" s="70"/>
      <c r="I1" s="70"/>
      <c r="J1" s="5"/>
      <c r="K1" s="5"/>
    </row>
    <row r="2" spans="1:12" ht="19.5" customHeight="1">
      <c r="A2" s="73" t="s">
        <v>2</v>
      </c>
      <c r="B2" s="73"/>
      <c r="C2" s="6">
        <f>SUM(C4:C100)</f>
        <v>0</v>
      </c>
      <c r="D2" s="6">
        <f>SUM(D4:D100)</f>
        <v>0</v>
      </c>
      <c r="E2" s="6">
        <f>C2-D2</f>
        <v>0</v>
      </c>
      <c r="F2" s="7">
        <f>IFERROR(E2/D2, 0)</f>
        <v>0</v>
      </c>
      <c r="G2" s="6">
        <f>SUM(G4:G100)</f>
        <v>0</v>
      </c>
      <c r="H2" s="8">
        <f>C2-G2</f>
        <v>0</v>
      </c>
      <c r="I2" s="7">
        <f>IFERROR(H2/G2, 0)</f>
        <v>0</v>
      </c>
      <c r="J2" s="27"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80.25" customHeight="1">
      <c r="A4" s="51"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50"/>
      <c r="K4" s="50"/>
    </row>
    <row r="5" spans="1:12" ht="15.6">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8"/>
      <c r="K5" s="48"/>
    </row>
    <row r="6" spans="1:12" ht="15.6">
      <c r="A6" s="32" t="str">
        <v>Golden NREL 2</v>
      </c>
      <c r="B6" s="29" t="str">
        <v>CO</v>
      </c>
      <c r="C6" s="25"/>
      <c r="D6" s="14"/>
      <c r="E6" s="14" t="str">
        <f t="shared" si="0"/>
        <v/>
      </c>
      <c r="F6" s="15" t="str">
        <f t="shared" ref="F6:F13" si="3">IFERROR(E6/D6, "")</f>
        <v/>
      </c>
      <c r="G6" s="16"/>
      <c r="H6" s="16" t="str">
        <f t="shared" si="1"/>
        <v/>
      </c>
      <c r="I6" s="17" t="str">
        <f t="shared" si="2"/>
        <v/>
      </c>
      <c r="J6" s="50"/>
      <c r="K6" s="50"/>
    </row>
    <row r="7" spans="1:12" ht="15.6">
      <c r="A7" s="30" t="str">
        <v>Golden NREL Wind 3</v>
      </c>
      <c r="B7" s="31" t="str">
        <v>CO</v>
      </c>
      <c r="C7" s="12"/>
      <c r="D7" s="19"/>
      <c r="E7" s="19" t="str">
        <f t="shared" ref="E7:E13" si="4">IF(AND(ISNUMBER(C7),ISNUMBER(D7)), C7-D7, "")</f>
        <v/>
      </c>
      <c r="F7" s="20" t="str">
        <f t="shared" si="3"/>
        <v/>
      </c>
      <c r="G7" s="21"/>
      <c r="H7" s="21" t="str">
        <f t="shared" ref="H7:H13" si="5">IF(AND(ISNUMBER(C7),ISNUMBER(G7)), C7-G7, "")</f>
        <v/>
      </c>
      <c r="I7" s="20" t="str">
        <f t="shared" ref="I7:I13" si="6">IFERROR(H7/G7, "")</f>
        <v/>
      </c>
      <c r="J7" s="48"/>
      <c r="K7" s="48"/>
    </row>
    <row r="8" spans="1:12" ht="50.25" customHeight="1">
      <c r="A8" s="51" t="str">
        <v>Pratt Solar Farm</v>
      </c>
      <c r="B8" s="29" t="str">
        <v>KS</v>
      </c>
      <c r="C8" s="25"/>
      <c r="D8" s="14"/>
      <c r="E8" s="14" t="str">
        <f t="shared" si="4"/>
        <v/>
      </c>
      <c r="F8" s="15" t="str">
        <f t="shared" si="3"/>
        <v/>
      </c>
      <c r="G8" s="16"/>
      <c r="H8" s="16" t="str">
        <f t="shared" si="5"/>
        <v/>
      </c>
      <c r="I8" s="17" t="str">
        <f t="shared" si="6"/>
        <v/>
      </c>
      <c r="J8" s="50"/>
      <c r="K8" s="50"/>
    </row>
    <row r="9" spans="1:12" ht="22.5" customHeight="1">
      <c r="A9" s="30" t="str">
        <v>Rochester - 5516 Valleyhigh NW</v>
      </c>
      <c r="B9" s="31" t="str">
        <v>MN</v>
      </c>
      <c r="C9" s="12"/>
      <c r="D9" s="19"/>
      <c r="E9" s="19" t="str">
        <f t="shared" si="4"/>
        <v/>
      </c>
      <c r="F9" s="20" t="str">
        <f t="shared" si="3"/>
        <v/>
      </c>
      <c r="G9" s="21"/>
      <c r="H9" s="21" t="str">
        <f t="shared" si="5"/>
        <v/>
      </c>
      <c r="I9" s="20" t="str">
        <f t="shared" si="6"/>
        <v/>
      </c>
      <c r="J9" s="48"/>
      <c r="K9" s="48"/>
      <c r="L9" s="30"/>
    </row>
    <row r="10" spans="1:12" ht="15.6">
      <c r="A10" s="32" t="str">
        <v>Warsaw - 2201 Richmond</v>
      </c>
      <c r="B10" s="29" t="str">
        <v>VA</v>
      </c>
      <c r="C10" s="25"/>
      <c r="D10" s="14"/>
      <c r="E10" s="14" t="str">
        <f t="shared" si="4"/>
        <v/>
      </c>
      <c r="F10" s="15" t="str">
        <f t="shared" si="3"/>
        <v/>
      </c>
      <c r="G10" s="16"/>
      <c r="H10" s="16" t="str">
        <f t="shared" si="5"/>
        <v/>
      </c>
      <c r="I10" s="17" t="str">
        <f t="shared" si="6"/>
        <v/>
      </c>
      <c r="J10" s="50"/>
      <c r="K10" s="50"/>
      <c r="L10" s="30"/>
    </row>
    <row r="11" spans="1:12" ht="15.6">
      <c r="A11" s="30" t="str">
        <v>Mount Jackson - Randolf</v>
      </c>
      <c r="B11" s="31" t="str">
        <v>VA</v>
      </c>
      <c r="C11" s="12"/>
      <c r="D11" s="19"/>
      <c r="E11" s="19" t="str">
        <f t="shared" si="4"/>
        <v/>
      </c>
      <c r="F11" s="20" t="str">
        <f t="shared" si="3"/>
        <v/>
      </c>
      <c r="G11" s="21"/>
      <c r="H11" s="21" t="str">
        <f t="shared" si="5"/>
        <v/>
      </c>
      <c r="I11" s="20" t="str">
        <f t="shared" si="6"/>
        <v/>
      </c>
      <c r="J11" s="48"/>
      <c r="K11" s="48"/>
      <c r="L11" s="30"/>
    </row>
    <row r="12" spans="1:12" ht="15.6">
      <c r="A12" s="32" t="str">
        <v>Callands Gretna - Monroe</v>
      </c>
      <c r="B12" s="29" t="str">
        <v>VA</v>
      </c>
      <c r="C12" s="25"/>
      <c r="D12" s="14"/>
      <c r="E12" s="14" t="str">
        <f t="shared" si="4"/>
        <v/>
      </c>
      <c r="F12" s="15" t="str">
        <f t="shared" si="3"/>
        <v/>
      </c>
      <c r="G12" s="16"/>
      <c r="H12" s="16" t="str">
        <f t="shared" si="5"/>
        <v/>
      </c>
      <c r="I12" s="17" t="str">
        <f t="shared" si="6"/>
        <v/>
      </c>
      <c r="J12" s="50"/>
      <c r="K12" s="50"/>
      <c r="L12" s="30"/>
    </row>
    <row r="13" spans="1:12" ht="15.6">
      <c r="A13" s="30" t="str">
        <v>Rockbridge Baths - Small Mouth Bass</v>
      </c>
      <c r="B13" s="31" t="str">
        <v>VA</v>
      </c>
      <c r="C13" s="12"/>
      <c r="D13" s="19"/>
      <c r="E13" s="19" t="str">
        <f t="shared" si="4"/>
        <v/>
      </c>
      <c r="F13" s="20" t="str">
        <f t="shared" si="3"/>
        <v/>
      </c>
      <c r="G13" s="21"/>
      <c r="H13" s="21" t="str">
        <f t="shared" si="5"/>
        <v/>
      </c>
      <c r="I13" s="20" t="str">
        <f t="shared" si="6"/>
        <v/>
      </c>
      <c r="J13" s="42"/>
      <c r="K13" s="42"/>
      <c r="L13" s="30"/>
    </row>
    <row r="14" spans="1:12" ht="15.6">
      <c r="A14" s="30"/>
      <c r="B14" s="30"/>
      <c r="C14" s="30"/>
      <c r="D14" s="30"/>
      <c r="E14" s="30" t="str">
        <f t="shared" si="0"/>
        <v/>
      </c>
      <c r="F14" s="30" t="str">
        <f t="shared" ref="F14:F17" si="7">IFERROR(E14/D14, "")</f>
        <v/>
      </c>
      <c r="G14" s="30"/>
      <c r="H14" s="30" t="str">
        <f t="shared" si="1"/>
        <v/>
      </c>
      <c r="I14" s="30" t="str">
        <f t="shared" si="2"/>
        <v/>
      </c>
      <c r="J14" s="30"/>
      <c r="K14" s="30"/>
      <c r="L14" s="30"/>
    </row>
    <row r="15" spans="1:12" ht="15.6">
      <c r="A15" s="30"/>
      <c r="B15" s="30"/>
      <c r="C15" s="30"/>
      <c r="D15" s="30"/>
      <c r="E15" s="30" t="str">
        <f t="shared" si="0"/>
        <v/>
      </c>
      <c r="F15" s="30" t="str">
        <f t="shared" si="7"/>
        <v/>
      </c>
      <c r="G15" s="30"/>
      <c r="H15" s="30" t="str">
        <f t="shared" si="1"/>
        <v/>
      </c>
      <c r="I15" s="30" t="str">
        <f t="shared" si="2"/>
        <v/>
      </c>
      <c r="J15" s="30"/>
      <c r="K15" s="30"/>
      <c r="L15" s="30"/>
    </row>
    <row r="16" spans="1:12" ht="15.6">
      <c r="A16" s="30"/>
      <c r="B16" s="30"/>
      <c r="C16" s="30"/>
      <c r="D16" s="30"/>
      <c r="E16" s="30" t="str">
        <f t="shared" si="0"/>
        <v/>
      </c>
      <c r="F16" s="30" t="str">
        <f t="shared" si="7"/>
        <v/>
      </c>
      <c r="G16" s="30"/>
      <c r="H16" s="30" t="str">
        <f t="shared" si="1"/>
        <v/>
      </c>
      <c r="I16" s="30" t="str">
        <f t="shared" si="2"/>
        <v/>
      </c>
      <c r="J16" s="30"/>
      <c r="K16" s="30"/>
      <c r="L16" s="30"/>
    </row>
    <row r="17" spans="1:12" ht="15.6">
      <c r="A17" s="30"/>
      <c r="B17" s="30"/>
      <c r="C17" s="30"/>
      <c r="D17" s="30"/>
      <c r="E17" s="30" t="str">
        <f t="shared" si="0"/>
        <v/>
      </c>
      <c r="F17" s="30" t="str">
        <f t="shared" si="7"/>
        <v/>
      </c>
      <c r="G17" s="30"/>
      <c r="H17" s="30" t="str">
        <f t="shared" si="1"/>
        <v/>
      </c>
      <c r="I17" s="30" t="str">
        <f t="shared" si="2"/>
        <v/>
      </c>
      <c r="J17" s="30"/>
      <c r="K17" s="30"/>
      <c r="L17" s="30"/>
    </row>
    <row r="18" spans="1:12" ht="12.75" customHeight="1">
      <c r="A18" s="30"/>
      <c r="B18" s="30"/>
      <c r="C18" s="30"/>
      <c r="D18" s="30"/>
      <c r="E18" s="30"/>
      <c r="F18" s="30"/>
      <c r="G18" s="30"/>
      <c r="H18" s="30"/>
      <c r="I18" s="30"/>
      <c r="J18" s="30"/>
      <c r="K18" s="30"/>
      <c r="L18" s="30"/>
    </row>
    <row r="19" spans="1:12" ht="15.6">
      <c r="A19" s="30"/>
      <c r="B19" s="30"/>
      <c r="C19" s="30"/>
      <c r="D19" s="30"/>
      <c r="E19" s="30"/>
      <c r="F19" s="30"/>
      <c r="G19" s="30"/>
      <c r="H19" s="30"/>
      <c r="I19" s="30"/>
      <c r="J19" s="30"/>
      <c r="K19" s="30"/>
      <c r="L19" s="30"/>
    </row>
    <row r="20" spans="1:12" ht="15.6">
      <c r="A20" s="30"/>
      <c r="B20" s="30"/>
      <c r="C20" s="30"/>
      <c r="D20" s="30"/>
      <c r="E20" s="30"/>
      <c r="F20" s="30"/>
      <c r="G20" s="30"/>
      <c r="H20" s="30"/>
      <c r="I20" s="30"/>
      <c r="J20" s="30"/>
      <c r="K20" s="30"/>
      <c r="L20" s="30"/>
    </row>
    <row r="21" spans="1:12" ht="15.6">
      <c r="A21" s="30"/>
      <c r="B21" s="30"/>
      <c r="C21" s="30"/>
      <c r="D21" s="30"/>
      <c r="E21" s="30"/>
      <c r="F21" s="30"/>
      <c r="G21" s="30"/>
      <c r="H21" s="30"/>
      <c r="I21" s="30"/>
      <c r="J21" s="30"/>
      <c r="K21" s="30"/>
      <c r="L21" s="30"/>
    </row>
    <row r="22" spans="1:12" ht="15.6">
      <c r="A22" s="30"/>
      <c r="B22" s="30"/>
      <c r="C22" s="30"/>
      <c r="D22" s="30"/>
      <c r="E22" s="30"/>
      <c r="F22" s="30"/>
      <c r="G22" s="30"/>
      <c r="H22" s="30"/>
      <c r="I22" s="30"/>
      <c r="J22" s="30"/>
      <c r="K22" s="30"/>
      <c r="L22" s="30"/>
    </row>
    <row r="23" spans="1:12" ht="15.6">
      <c r="A23" s="30"/>
      <c r="B23" s="30"/>
      <c r="C23" s="30"/>
      <c r="D23" s="30"/>
      <c r="E23" s="30"/>
      <c r="F23" s="30"/>
      <c r="G23" s="30"/>
      <c r="H23" s="30"/>
      <c r="I23" s="30"/>
      <c r="J23" s="30"/>
      <c r="K23" s="30"/>
      <c r="L23" s="30"/>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0" priority="3" stopIfTrue="1" operator="lessThanOrEqual">
      <formula>-0.1</formula>
    </cfRule>
    <cfRule type="expression" dxfId="9" priority="4">
      <formula>AND(ISNUMBER(F2), F2&gt;=0.1)</formula>
    </cfRule>
  </conditionalFormatting>
  <conditionalFormatting sqref="F4:F100 I4:I100">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42"/>
  <sheetViews>
    <sheetView zoomScale="80" zoomScaleNormal="80" workbookViewId="0">
      <pane xSplit="2" ySplit="3" topLeftCell="D4"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71" t="str" cm="1">
        <f t="array" ref="A1">portfolio</f>
        <v>Ecofin</v>
      </c>
      <c r="B1" s="71"/>
      <c r="C1" s="71"/>
      <c r="D1" s="72" t="s">
        <v>126</v>
      </c>
      <c r="E1" s="72"/>
      <c r="F1" s="72"/>
      <c r="G1" s="70" t="s">
        <v>127</v>
      </c>
      <c r="H1" s="70"/>
      <c r="I1" s="70"/>
      <c r="J1" s="5"/>
      <c r="K1" s="5"/>
    </row>
    <row r="2" spans="1:14" ht="19.5" customHeight="1">
      <c r="A2" s="73" t="s">
        <v>2</v>
      </c>
      <c r="B2" s="73"/>
      <c r="C2" s="6">
        <f>SUM(C4:C100)</f>
        <v>0</v>
      </c>
      <c r="D2" s="6">
        <f>SUM(D4:D100)</f>
        <v>0</v>
      </c>
      <c r="E2" s="6">
        <f>C2-D2</f>
        <v>0</v>
      </c>
      <c r="F2" s="7">
        <f>IFERROR(E2/D2, 0)</f>
        <v>0</v>
      </c>
      <c r="G2" s="6">
        <f>SUM(G4:G100)</f>
        <v>0</v>
      </c>
      <c r="H2" s="8">
        <f>C2-G2</f>
        <v>0</v>
      </c>
      <c r="I2" s="7">
        <f>IFERROR(H2/G2, 0)</f>
        <v>0</v>
      </c>
      <c r="J2" s="27"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4" ht="14.25" customHeight="1">
      <c r="A3" s="9" t="s">
        <v>3</v>
      </c>
      <c r="B3" s="9" t="s">
        <v>4</v>
      </c>
      <c r="C3" s="24" t="s">
        <v>5</v>
      </c>
      <c r="D3" s="35" t="s">
        <v>6</v>
      </c>
      <c r="E3" s="35" t="s">
        <v>7</v>
      </c>
      <c r="F3" s="36" t="s">
        <v>8</v>
      </c>
      <c r="G3" s="37" t="s">
        <v>9</v>
      </c>
      <c r="H3" s="38" t="s">
        <v>7</v>
      </c>
      <c r="I3" s="39" t="s">
        <v>8</v>
      </c>
      <c r="J3" s="26" t="s">
        <v>20</v>
      </c>
      <c r="K3" s="26" t="s">
        <v>21</v>
      </c>
    </row>
    <row r="4" spans="1:14" ht="24.75" customHeight="1">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50"/>
      <c r="K4" s="50"/>
    </row>
    <row r="5" spans="1:14" ht="15.6">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8"/>
      <c r="K5" s="48"/>
    </row>
    <row r="6" spans="1:14" ht="15.6">
      <c r="A6" s="32" t="str">
        <v>Golden NREL 2</v>
      </c>
      <c r="B6" s="29" t="str">
        <v>CO</v>
      </c>
      <c r="C6" s="25"/>
      <c r="D6" s="14"/>
      <c r="E6" s="14" t="str">
        <f t="shared" si="0"/>
        <v/>
      </c>
      <c r="F6" s="15" t="str">
        <f t="shared" ref="F6:F13" si="3">IFERROR(E6/D6, "")</f>
        <v/>
      </c>
      <c r="G6" s="16"/>
      <c r="H6" s="16" t="str">
        <f t="shared" si="1"/>
        <v/>
      </c>
      <c r="I6" s="17" t="str">
        <f t="shared" si="2"/>
        <v/>
      </c>
      <c r="J6" s="50"/>
      <c r="K6" s="50"/>
    </row>
    <row r="7" spans="1:14" ht="15.6">
      <c r="A7" s="30" t="str">
        <v>Golden NREL Wind 3</v>
      </c>
      <c r="B7" s="31" t="str">
        <v>CO</v>
      </c>
      <c r="C7" s="12"/>
      <c r="D7" s="19"/>
      <c r="E7" s="19" t="str">
        <f t="shared" ref="E7:E13" si="4">IF(AND(ISNUMBER(C7),ISNUMBER(D7)), C7-D7, "")</f>
        <v/>
      </c>
      <c r="F7" s="20" t="str">
        <f t="shared" si="3"/>
        <v/>
      </c>
      <c r="G7" s="21"/>
      <c r="H7" s="21" t="str">
        <f t="shared" ref="H7:H13" si="5">IF(AND(ISNUMBER(C7),ISNUMBER(G7)), C7-G7, "")</f>
        <v/>
      </c>
      <c r="I7" s="20" t="str">
        <f t="shared" ref="I7:I13" si="6">IFERROR(H7/G7, "")</f>
        <v/>
      </c>
      <c r="J7" s="48"/>
      <c r="K7" s="48"/>
    </row>
    <row r="8" spans="1:14" ht="15.6">
      <c r="A8" s="32" t="str">
        <v>Pratt Solar Farm</v>
      </c>
      <c r="B8" s="29" t="str">
        <v>KS</v>
      </c>
      <c r="C8" s="25"/>
      <c r="D8" s="14"/>
      <c r="E8" s="14" t="str">
        <f t="shared" si="4"/>
        <v/>
      </c>
      <c r="F8" s="15" t="str">
        <f t="shared" si="3"/>
        <v/>
      </c>
      <c r="G8" s="16"/>
      <c r="H8" s="16" t="str">
        <f t="shared" si="5"/>
        <v/>
      </c>
      <c r="I8" s="17" t="str">
        <f t="shared" si="6"/>
        <v/>
      </c>
      <c r="J8" s="50"/>
      <c r="K8" s="50"/>
    </row>
    <row r="9" spans="1:14" ht="15.6">
      <c r="A9" s="30" t="str">
        <v>Rochester - 5516 Valleyhigh NW</v>
      </c>
      <c r="B9" s="31" t="str">
        <v>MN</v>
      </c>
      <c r="C9" s="12"/>
      <c r="D9" s="19"/>
      <c r="E9" s="19" t="str">
        <f t="shared" si="4"/>
        <v/>
      </c>
      <c r="F9" s="20" t="str">
        <f t="shared" si="3"/>
        <v/>
      </c>
      <c r="G9" s="21"/>
      <c r="H9" s="21" t="str">
        <f t="shared" si="5"/>
        <v/>
      </c>
      <c r="I9" s="20" t="str">
        <f t="shared" si="6"/>
        <v/>
      </c>
      <c r="J9" s="48"/>
      <c r="K9" s="48"/>
      <c r="L9" s="22"/>
      <c r="M9" s="22"/>
      <c r="N9" s="22"/>
    </row>
    <row r="10" spans="1:14" ht="15.6">
      <c r="A10" s="32" t="str">
        <v>Warsaw - 2201 Richmond</v>
      </c>
      <c r="B10" s="29" t="str">
        <v>VA</v>
      </c>
      <c r="C10" s="25"/>
      <c r="D10" s="14"/>
      <c r="E10" s="14" t="str">
        <f t="shared" si="4"/>
        <v/>
      </c>
      <c r="F10" s="15" t="str">
        <f t="shared" si="3"/>
        <v/>
      </c>
      <c r="G10" s="16"/>
      <c r="H10" s="16" t="str">
        <f t="shared" si="5"/>
        <v/>
      </c>
      <c r="I10" s="17" t="str">
        <f t="shared" si="6"/>
        <v/>
      </c>
      <c r="J10" s="50"/>
      <c r="K10" s="50"/>
      <c r="L10" s="22"/>
      <c r="M10" s="22"/>
      <c r="N10" s="22"/>
    </row>
    <row r="11" spans="1:14" ht="15.6">
      <c r="A11" s="30" t="str">
        <v>Mount Jackson - Randolf</v>
      </c>
      <c r="B11" s="31" t="str">
        <v>VA</v>
      </c>
      <c r="C11" s="12"/>
      <c r="D11" s="19"/>
      <c r="E11" s="19" t="str">
        <f t="shared" si="4"/>
        <v/>
      </c>
      <c r="F11" s="20" t="str">
        <f t="shared" si="3"/>
        <v/>
      </c>
      <c r="G11" s="21"/>
      <c r="H11" s="21" t="str">
        <f t="shared" si="5"/>
        <v/>
      </c>
      <c r="I11" s="20" t="str">
        <f t="shared" si="6"/>
        <v/>
      </c>
      <c r="J11" s="48"/>
      <c r="K11" s="48"/>
      <c r="L11" s="22"/>
      <c r="M11" s="22"/>
      <c r="N11" s="22"/>
    </row>
    <row r="12" spans="1:14" ht="15.6">
      <c r="A12" s="32" t="str">
        <v>Callands Gretna - Monroe</v>
      </c>
      <c r="B12" s="29" t="str">
        <v>VA</v>
      </c>
      <c r="C12" s="25"/>
      <c r="D12" s="14"/>
      <c r="E12" s="14" t="str">
        <f t="shared" si="4"/>
        <v/>
      </c>
      <c r="F12" s="15" t="str">
        <f t="shared" si="3"/>
        <v/>
      </c>
      <c r="G12" s="16"/>
      <c r="H12" s="16" t="str">
        <f t="shared" si="5"/>
        <v/>
      </c>
      <c r="I12" s="17" t="str">
        <f t="shared" si="6"/>
        <v/>
      </c>
      <c r="J12" s="50"/>
      <c r="K12" s="50"/>
      <c r="L12" s="22"/>
      <c r="M12" s="22"/>
      <c r="N12" s="22"/>
    </row>
    <row r="13" spans="1:14" ht="15.6">
      <c r="A13" s="30" t="str">
        <v>Rockbridge Baths - Small Mouth Bass</v>
      </c>
      <c r="B13" s="31" t="str">
        <v>VA</v>
      </c>
      <c r="C13" s="12"/>
      <c r="D13" s="19"/>
      <c r="E13" s="19" t="str">
        <f t="shared" si="4"/>
        <v/>
      </c>
      <c r="F13" s="20" t="str">
        <f t="shared" si="3"/>
        <v/>
      </c>
      <c r="G13" s="21"/>
      <c r="H13" s="21" t="str">
        <f t="shared" si="5"/>
        <v/>
      </c>
      <c r="I13" s="20" t="str">
        <f t="shared" si="6"/>
        <v/>
      </c>
      <c r="J13" s="48"/>
      <c r="K13" s="48"/>
      <c r="L13" s="22"/>
      <c r="M13" s="22"/>
      <c r="N13" s="22"/>
    </row>
    <row r="14" spans="1:14">
      <c r="A14" s="22"/>
      <c r="B14" s="22"/>
      <c r="C14" s="22"/>
      <c r="D14" s="22"/>
      <c r="E14" s="22" t="str">
        <f t="shared" si="0"/>
        <v/>
      </c>
      <c r="F14" s="22" t="str">
        <f t="shared" ref="F14:F17" si="7">IFERROR(E14/D14, "")</f>
        <v/>
      </c>
      <c r="G14" s="22"/>
      <c r="H14" s="22" t="str">
        <f t="shared" si="1"/>
        <v/>
      </c>
      <c r="I14" s="22" t="str">
        <f t="shared" si="2"/>
        <v/>
      </c>
      <c r="J14" s="22"/>
      <c r="K14" s="22"/>
      <c r="L14" s="22"/>
      <c r="M14" s="22"/>
      <c r="N14" s="22"/>
    </row>
    <row r="15" spans="1:14">
      <c r="A15" s="22"/>
      <c r="B15" s="22"/>
      <c r="C15" s="22"/>
      <c r="D15" s="22"/>
      <c r="E15" s="22" t="str">
        <f t="shared" si="0"/>
        <v/>
      </c>
      <c r="F15" s="22" t="str">
        <f t="shared" si="7"/>
        <v/>
      </c>
      <c r="G15" s="22"/>
      <c r="H15" s="22" t="str">
        <f t="shared" si="1"/>
        <v/>
      </c>
      <c r="I15" s="22" t="str">
        <f t="shared" si="2"/>
        <v/>
      </c>
      <c r="J15" s="22"/>
      <c r="K15" s="22"/>
      <c r="L15" s="22"/>
      <c r="M15" s="22"/>
      <c r="N15" s="22"/>
    </row>
    <row r="16" spans="1:14">
      <c r="A16" s="22"/>
      <c r="B16" s="22"/>
      <c r="C16" s="22"/>
      <c r="D16" s="22"/>
      <c r="E16" s="22" t="str">
        <f t="shared" si="0"/>
        <v/>
      </c>
      <c r="F16" s="22" t="str">
        <f t="shared" si="7"/>
        <v/>
      </c>
      <c r="G16" s="22"/>
      <c r="H16" s="22" t="str">
        <f t="shared" si="1"/>
        <v/>
      </c>
      <c r="I16" s="22" t="str">
        <f t="shared" si="2"/>
        <v/>
      </c>
      <c r="J16" s="22"/>
      <c r="K16" s="22"/>
      <c r="L16" s="22"/>
      <c r="M16" s="22"/>
      <c r="N16" s="22"/>
    </row>
    <row r="17" spans="1:14">
      <c r="A17" s="22"/>
      <c r="B17" s="22"/>
      <c r="C17" s="22"/>
      <c r="D17" s="22"/>
      <c r="E17" s="22" t="str">
        <f t="shared" si="0"/>
        <v/>
      </c>
      <c r="F17" s="22" t="str">
        <f t="shared" si="7"/>
        <v/>
      </c>
      <c r="G17" s="22"/>
      <c r="H17" s="22" t="str">
        <f t="shared" si="1"/>
        <v/>
      </c>
      <c r="I17" s="22" t="str">
        <f t="shared" si="2"/>
        <v/>
      </c>
      <c r="J17" s="22"/>
      <c r="K17" s="22"/>
      <c r="L17" s="22"/>
      <c r="M17" s="22"/>
      <c r="N17" s="22"/>
    </row>
    <row r="18" spans="1:14" ht="12.75" customHeight="1">
      <c r="A18" s="22"/>
      <c r="B18" s="22"/>
      <c r="C18" s="22"/>
      <c r="D18" s="22"/>
      <c r="E18" s="22"/>
      <c r="F18" s="22"/>
      <c r="G18" s="22"/>
      <c r="H18" s="22"/>
      <c r="I18" s="22"/>
      <c r="J18" s="22"/>
      <c r="K18" s="22"/>
      <c r="L18" s="22"/>
      <c r="M18" s="22"/>
      <c r="N18" s="22"/>
    </row>
    <row r="19" spans="1:14">
      <c r="A19" s="22"/>
      <c r="B19" s="22"/>
      <c r="C19" s="22"/>
      <c r="D19" s="22"/>
      <c r="E19" s="22"/>
      <c r="F19" s="22"/>
      <c r="G19" s="22"/>
      <c r="H19" s="22"/>
      <c r="I19" s="22"/>
      <c r="J19" s="22"/>
      <c r="K19" s="22"/>
      <c r="L19" s="22"/>
      <c r="M19" s="22"/>
      <c r="N19" s="22"/>
    </row>
    <row r="20" spans="1:14" ht="14.45">
      <c r="A20" s="22"/>
      <c r="B20" s="33"/>
      <c r="C20" s="22"/>
      <c r="D20" s="22"/>
      <c r="E20" s="22"/>
      <c r="F20" s="22"/>
      <c r="G20" s="22"/>
      <c r="H20" s="22"/>
      <c r="I20" s="22"/>
      <c r="J20" s="22"/>
      <c r="K20" s="22"/>
    </row>
    <row r="21" spans="1:14" ht="14.45">
      <c r="A21" s="22"/>
      <c r="B21" s="33"/>
      <c r="C21" s="22"/>
      <c r="D21" s="22"/>
      <c r="E21" s="22"/>
      <c r="F21" s="22"/>
      <c r="G21" s="22"/>
      <c r="H21" s="22"/>
      <c r="I21" s="22"/>
      <c r="J21" s="22"/>
      <c r="K21" s="22"/>
    </row>
    <row r="22" spans="1:14" ht="14.45">
      <c r="A22" s="22"/>
      <c r="B22" s="33"/>
      <c r="C22" s="22"/>
      <c r="D22" s="22"/>
      <c r="E22" s="22"/>
      <c r="F22" s="22"/>
      <c r="G22" s="22"/>
      <c r="H22" s="22"/>
      <c r="I22" s="22"/>
      <c r="J22" s="22"/>
      <c r="K22" s="22"/>
    </row>
    <row r="23" spans="1:14" ht="14.45">
      <c r="A23" s="22"/>
      <c r="B23" s="33"/>
      <c r="C23" s="22"/>
      <c r="D23" s="22"/>
      <c r="E23" s="22"/>
      <c r="F23" s="22"/>
      <c r="G23" s="22"/>
      <c r="H23" s="22"/>
      <c r="I23" s="22"/>
      <c r="J23" s="22"/>
      <c r="K23" s="22"/>
    </row>
    <row r="24" spans="1:14" ht="14.45">
      <c r="A24" s="22"/>
      <c r="B24" s="33"/>
      <c r="C24" s="22"/>
      <c r="D24" s="22"/>
      <c r="E24" s="22"/>
      <c r="F24" s="22"/>
      <c r="G24" s="22"/>
      <c r="H24" s="22"/>
      <c r="I24" s="22"/>
      <c r="J24" s="22"/>
      <c r="K24" s="22"/>
    </row>
    <row r="25" spans="1:14" ht="14.45">
      <c r="A25" s="22"/>
      <c r="B25" s="33"/>
      <c r="C25" s="22"/>
      <c r="D25" s="22"/>
      <c r="E25" s="22"/>
      <c r="F25" s="22"/>
      <c r="G25" s="22"/>
      <c r="H25" s="22"/>
      <c r="I25" s="22"/>
      <c r="J25" s="22"/>
      <c r="K25" s="22"/>
    </row>
    <row r="26" spans="1:14" ht="14.45">
      <c r="A26" s="22"/>
      <c r="B26" s="33"/>
      <c r="C26" s="22"/>
      <c r="D26" s="22"/>
      <c r="E26" s="22"/>
      <c r="F26" s="22"/>
      <c r="G26" s="22"/>
      <c r="H26" s="22"/>
      <c r="I26" s="22"/>
      <c r="J26" s="22"/>
      <c r="K26" s="22"/>
    </row>
    <row r="27" spans="1:14" ht="14.45">
      <c r="A27" s="22"/>
      <c r="B27" s="33"/>
      <c r="C27" s="22"/>
      <c r="D27" s="22"/>
      <c r="E27" s="22"/>
      <c r="F27" s="22"/>
      <c r="G27" s="22"/>
      <c r="H27" s="22"/>
      <c r="I27" s="22"/>
      <c r="J27" s="22"/>
      <c r="K27" s="22"/>
    </row>
    <row r="28" spans="1:14" ht="14.45">
      <c r="A28" s="22"/>
      <c r="B28" s="33"/>
      <c r="C28" s="22"/>
      <c r="D28" s="22"/>
      <c r="E28" s="22"/>
      <c r="F28" s="22"/>
      <c r="G28" s="22"/>
      <c r="H28" s="22"/>
      <c r="I28" s="22"/>
      <c r="J28" s="22"/>
      <c r="K28" s="22"/>
    </row>
    <row r="29" spans="1:14" ht="14.45">
      <c r="A29" s="22"/>
      <c r="B29" s="33"/>
      <c r="C29" s="22"/>
      <c r="D29" s="22"/>
      <c r="E29" s="22"/>
      <c r="F29" s="22"/>
      <c r="G29" s="22"/>
      <c r="H29" s="22"/>
      <c r="I29" s="22"/>
      <c r="J29" s="22"/>
      <c r="K29" s="22"/>
    </row>
    <row r="30" spans="1:14" ht="14.45">
      <c r="A30" s="22"/>
      <c r="B30" s="33"/>
      <c r="C30" s="22"/>
      <c r="D30" s="22"/>
      <c r="E30" s="22"/>
      <c r="F30" s="22"/>
      <c r="G30" s="22"/>
      <c r="H30" s="22"/>
      <c r="I30" s="22"/>
      <c r="J30" s="22"/>
      <c r="K30" s="22"/>
    </row>
    <row r="31" spans="1:14" ht="14.45">
      <c r="A31" s="22"/>
      <c r="B31" s="33"/>
      <c r="C31" s="22"/>
      <c r="D31" s="22"/>
      <c r="E31" s="22"/>
      <c r="F31" s="22"/>
      <c r="G31" s="22"/>
      <c r="H31" s="22"/>
      <c r="I31" s="22"/>
      <c r="J31" s="22"/>
      <c r="K31" s="22"/>
    </row>
    <row r="32" spans="1:14"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6" priority="3" stopIfTrue="1" operator="lessThanOrEqual">
      <formula>-0.1</formula>
    </cfRule>
    <cfRule type="expression" dxfId="5" priority="4">
      <formula>AND(ISNUMBER(F2), F2&gt;=0.1)</formula>
    </cfRule>
  </conditionalFormatting>
  <conditionalFormatting sqref="F4:F13 I4:I13 F20:F100 I20:I100">
    <cfRule type="cellIs" dxfId="4" priority="1" stopIfTrue="1" operator="lessThanOrEqual">
      <formula>-0.1</formula>
    </cfRule>
    <cfRule type="expression" dxfId="3"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3"/>
  <sheetViews>
    <sheetView workbookViewId="0">
      <pane ySplit="3" topLeftCell="A4" activePane="bottomLeft" state="frozen"/>
      <selection pane="bottomLeft" activeCell="A19" sqref="A19"/>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128</v>
      </c>
      <c r="B1" s="43" t="s">
        <v>129</v>
      </c>
    </row>
    <row r="3" spans="1:7" ht="13.15">
      <c r="A3" t="s">
        <v>130</v>
      </c>
      <c r="B3" t="s">
        <v>3</v>
      </c>
      <c r="C3" t="s">
        <v>4</v>
      </c>
      <c r="D3" t="s">
        <v>131</v>
      </c>
      <c r="E3" s="2" t="s">
        <v>132</v>
      </c>
    </row>
    <row r="4" spans="1:7" ht="14.45">
      <c r="A4" s="3" t="s">
        <v>133</v>
      </c>
      <c r="B4" t="s">
        <v>134</v>
      </c>
      <c r="C4" s="4" t="s">
        <v>135</v>
      </c>
      <c r="G4" s="3"/>
    </row>
    <row r="5" spans="1:7" ht="14.45">
      <c r="A5" s="3" t="s">
        <v>136</v>
      </c>
      <c r="B5" t="s">
        <v>137</v>
      </c>
      <c r="C5" s="4" t="s">
        <v>135</v>
      </c>
      <c r="G5" s="3"/>
    </row>
    <row r="6" spans="1:7" ht="14.45">
      <c r="A6" s="43" t="s">
        <v>138</v>
      </c>
      <c r="B6" t="s">
        <v>139</v>
      </c>
      <c r="C6" t="s">
        <v>135</v>
      </c>
      <c r="G6" s="3"/>
    </row>
    <row r="7" spans="1:7" ht="12.75" customHeight="1">
      <c r="A7" s="43" t="s">
        <v>140</v>
      </c>
      <c r="B7" t="s">
        <v>141</v>
      </c>
      <c r="C7" t="s">
        <v>135</v>
      </c>
    </row>
    <row r="8" spans="1:7" ht="12.75" customHeight="1">
      <c r="A8" s="4" t="s">
        <v>142</v>
      </c>
      <c r="B8" s="4" t="s">
        <v>143</v>
      </c>
      <c r="C8" s="4" t="s">
        <v>144</v>
      </c>
    </row>
    <row r="9" spans="1:7" ht="12.75" customHeight="1">
      <c r="A9" s="43" t="s">
        <v>145</v>
      </c>
      <c r="B9" t="s">
        <v>146</v>
      </c>
      <c r="C9" t="s">
        <v>147</v>
      </c>
    </row>
    <row r="10" spans="1:7" ht="12.75" customHeight="1">
      <c r="A10" s="4" t="s">
        <v>148</v>
      </c>
      <c r="B10" s="4" t="s">
        <v>149</v>
      </c>
      <c r="C10" s="4" t="s">
        <v>150</v>
      </c>
    </row>
    <row r="11" spans="1:7" ht="12.75" customHeight="1">
      <c r="A11" s="4" t="s">
        <v>151</v>
      </c>
      <c r="B11" s="4" t="s">
        <v>152</v>
      </c>
      <c r="C11" s="4" t="s">
        <v>150</v>
      </c>
    </row>
    <row r="12" spans="1:7" ht="12.75" customHeight="1">
      <c r="A12" s="4" t="s">
        <v>153</v>
      </c>
      <c r="B12" s="4" t="s">
        <v>154</v>
      </c>
      <c r="C12" s="4" t="s">
        <v>150</v>
      </c>
    </row>
    <row r="13" spans="1:7" ht="12.75" customHeight="1">
      <c r="A13" s="4" t="s">
        <v>155</v>
      </c>
      <c r="B13" s="4" t="s">
        <v>156</v>
      </c>
      <c r="C13" s="4" t="s">
        <v>150</v>
      </c>
    </row>
  </sheetData>
  <phoneticPr fontId="38"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6.xml>��
</file>

<file path=customXml/item7.xml>��
</file>

<file path=customXml/item8.xml>��
</file>

<file path=customXml/item9.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0.xml>��
</file>

<file path=customXml/item11.xml>��
</file>

<file path=customXml/item12.xml>��
</file>

<file path=customXml/item13.xml>��
</file>

<file path=customXml/item14.xml>��
</file>

<file path=customXml/item15.xml><?xml version="1.0" encoding="utf-8"?>
<?mso-contentType ?>
<FormTemplates xmlns="http://schemas.microsoft.com/sharepoint/v3/contenttype/forms">
  <Display>DocumentLibraryForm</Display>
  <Edit>DocumentLibraryForm</Edit>
  <New>DocumentLibraryForm</New>
</FormTemplates>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E20E8303-6A67-485C-B6F4-303542CC295C}"/>
</file>

<file path=customXml/itemProps2.xml><?xml version="1.0" encoding="utf-8"?>
<ds:datastoreItem xmlns:ds="http://schemas.openxmlformats.org/officeDocument/2006/customXml" ds:itemID="{BF5C6359-7763-4C37-8EAF-2BC4698CB285}"/>
</file>

<file path=customXml/itemProps3.xml><?xml version="1.0" encoding="utf-8"?>
<ds:datastoreItem xmlns:ds="http://schemas.openxmlformats.org/officeDocument/2006/customXml" ds:itemID="{0389C43E-394D-44C0-87DC-4780FCFCFB40}"/>
</file>

<file path=customXml/itemProps4.xml><?xml version="1.0" encoding="utf-8"?>
<ds:datastoreItem xmlns:ds="http://schemas.openxmlformats.org/officeDocument/2006/customXml" ds:itemID="{14966E4F-347B-477B-B74C-9DAC05405806}"/>
</file>

<file path=customXml/itemProps5.xml><?xml version="1.0" encoding="utf-8"?>
<ds:datastoreItem xmlns:ds="http://schemas.openxmlformats.org/officeDocument/2006/customXml" ds:itemID="{8D732231-4216-4543-A665-18A2886B0EB7}"/>
</file>

<file path=customXml/itemProps6.xml><?xml version="1.0" encoding="utf-8"?>
<ds:datastoreItem xmlns:ds="http://schemas.openxmlformats.org/officeDocument/2006/customXml" ds:itemID="{D3A7101F-9A85-4235-8B03-415370C100B2}"/>
</file>

<file path=customXml/itemProps7.xml><?xml version="1.0" encoding="utf-8"?>
<ds:datastoreItem xmlns:ds="http://schemas.openxmlformats.org/officeDocument/2006/customXml" ds:itemID="{F6B2B1A1-1C4B-4AC9-9A7D-7A102DD1C942}"/>
</file>

<file path=customXml/itemProps8.xml><?xml version="1.0" encoding="utf-8"?>
<ds:datastoreItem xmlns:ds="http://schemas.openxmlformats.org/officeDocument/2006/customXml" ds:itemID="{66B09F59-6532-46F8-924A-9A02417E070D}"/>
</file>

<file path=customXml/itemProps9.xml><?xml version="1.0" encoding="utf-8"?>
<ds:datastoreItem xmlns:ds="http://schemas.openxmlformats.org/officeDocument/2006/customXml" ds:itemID="{374E1CB2-F578-4F19-BE69-833FB2C5F2FE}"/>
</file>

<file path=customXml/itemProps10.xml><?xml version="1.0" encoding="utf-8"?>
<ds:datastoreItem xmlns:ds="http://schemas.openxmlformats.org/officeDocument/2006/customXml" ds:itemID="{E3716282-BFD2-4ED2-BA47-BFA1123827F0}"/>
</file>

<file path=customXml/itemProps11.xml><?xml version="1.0" encoding="utf-8"?>
<ds:datastoreItem xmlns:ds="http://schemas.openxmlformats.org/officeDocument/2006/customXml" ds:itemID="{078388C9-06F9-42F4-B857-EF76B5CAF1FD}"/>
</file>

<file path=customXml/itemProps12.xml><?xml version="1.0" encoding="utf-8"?>
<ds:datastoreItem xmlns:ds="http://schemas.openxmlformats.org/officeDocument/2006/customXml" ds:itemID="{3AEAA9D8-2182-46BA-A58E-96C72DDA1C54}"/>
</file>

<file path=customXml/itemProps13.xml><?xml version="1.0" encoding="utf-8"?>
<ds:datastoreItem xmlns:ds="http://schemas.openxmlformats.org/officeDocument/2006/customXml" ds:itemID="{CB52044A-5C0B-44A2-99D0-C1C315EC302D}"/>
</file>

<file path=customXml/itemProps14.xml><?xml version="1.0" encoding="utf-8"?>
<ds:datastoreItem xmlns:ds="http://schemas.openxmlformats.org/officeDocument/2006/customXml" ds:itemID="{BE26B669-A686-459C-A5E9-FEC3409C4C81}"/>
</file>

<file path=customXml/itemProps15.xml><?xml version="1.0" encoding="utf-8"?>
<ds:datastoreItem xmlns:ds="http://schemas.openxmlformats.org/officeDocument/2006/customXml" ds:itemID="{7946C510-7D04-49D8-9B25-EEC04582A1CA}"/>
</file>

<file path=customXml/itemProps16.xml><?xml version="1.0" encoding="utf-8"?>
<ds:datastoreItem xmlns:ds="http://schemas.openxmlformats.org/officeDocument/2006/customXml" ds:itemID="{1954BBA4-0359-438C-B0EC-A756015F7C02}"/>
</file>

<file path=customXml/itemProps17.xml><?xml version="1.0" encoding="utf-8"?>
<ds:datastoreItem xmlns:ds="http://schemas.openxmlformats.org/officeDocument/2006/customXml" ds:itemID="{F12EFA50-0068-4A8C-85A0-F1B26389EBC3}"/>
</file>

<file path=customXml/itemProps18.xml><?xml version="1.0" encoding="utf-8"?>
<ds:datastoreItem xmlns:ds="http://schemas.openxmlformats.org/officeDocument/2006/customXml" ds:itemID="{89CF5C07-45EB-4100-9AFB-2C6AF77FA787}"/>
</file>

<file path=customXml/itemProps19.xml><?xml version="1.0" encoding="utf-8"?>
<ds:datastoreItem xmlns:ds="http://schemas.openxmlformats.org/officeDocument/2006/customXml" ds:itemID="{98A113BB-8B7A-453C-8BD4-8EFC67FC2D3F}"/>
</file>

<file path=customXml/itemProps20.xml><?xml version="1.0" encoding="utf-8"?>
<ds:datastoreItem xmlns:ds="http://schemas.openxmlformats.org/officeDocument/2006/customXml" ds:itemID="{2BC74AAC-D69B-4AF1-9649-B21EF3C1C46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Jayasri  Garapati</cp:lastModifiedBy>
  <cp:revision/>
  <dcterms:created xsi:type="dcterms:W3CDTF">2021-01-01T16:39:53Z</dcterms:created>
  <dcterms:modified xsi:type="dcterms:W3CDTF">2025-05-11T08:57:55Z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2024-09-18T22:54:06Z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de459e2a-2bc6-4866-836f-a6da970436d5</vt:lpwstr>
  </property>
  <property fmtid="{D5CDD505-2E9C-101B-9397-08002B2CF9AE}" pid="9" name="MSIP_Label_9d817c99-0b37-4a07-8277-96aa1f96b74b_ContentBits">
    <vt:lpwstr>0</vt:lpwstr>
  </property>
</Properties>
</file>