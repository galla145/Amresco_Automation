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7" documentId="13_ncr:1_{33EF0B0C-5118-4BBB-8CFA-F964A3A85BFA}" xr6:coauthVersionLast="47" xr6:coauthVersionMax="47" xr10:uidLastSave="{31C2DD3D-4011-45ED-9B90-B58CC4A16712}"/>
  <bookViews>
    <workbookView xWindow="-108" yWindow="-108" windowWidth="23256" windowHeight="13896" tabRatio="713" firstSheet="5" activeTab="5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8" l="1"/>
  <c r="O100" i="33"/>
  <c r="N100" i="33"/>
  <c r="M100" i="33"/>
  <c r="I100" i="33"/>
  <c r="J13" i="18"/>
  <c r="J10" i="18"/>
  <c r="J7" i="18"/>
  <c r="J13" i="36"/>
  <c r="J10" i="36"/>
  <c r="L100" i="33"/>
  <c r="F100" i="33"/>
  <c r="J7" i="36"/>
  <c r="J13" i="12"/>
  <c r="J10" i="12"/>
  <c r="J7" i="12"/>
  <c r="I99" i="33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N109" i="33" s="1"/>
  <c r="D109" i="33"/>
  <c r="N97" i="33"/>
  <c r="M97" i="33"/>
  <c r="L97" i="33"/>
  <c r="I97" i="33"/>
  <c r="F97" i="33"/>
  <c r="K50" i="32"/>
  <c r="J14" i="36" s="1"/>
  <c r="J50" i="32"/>
  <c r="J14" i="18" s="1"/>
  <c r="I50" i="32"/>
  <c r="J14" i="12" s="1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M109" i="33" l="1"/>
  <c r="O109" i="33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F50" i="32" l="1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<sst xmlns="http://schemas.openxmlformats.org/spreadsheetml/2006/main" count="553" uniqueCount="95">
  <si>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</si>
  <si>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</si>
  <si>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</si>
  <si>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</si>
  <si>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</si>
  <si>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</si>
  <si>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</si>
  <si>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</si>
  <si>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</si>
  <si>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</si>
  <si>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</si>
  <si>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</si>
  <si>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</si>
  <si>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</si>
  <si>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</si>
  <si>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</si>
  <si>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</si>
  <si>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</si>
  <si>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</si>
  <si>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</si>
  <si>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</si>
  <si>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</si>
  <si>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</si>
  <si>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</si>
  <si>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April'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</si>
  <si>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</si>
  <si>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</si>
  <si>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</si>
  <si>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</si>
  <si>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</si>
  <si>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</si>
  <si>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</si>
  <si>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</si>
  <si>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accurate values from 03/12.</t>
  </si>
  <si>
    <t>O&amp;M Activity</t>
  </si>
  <si>
    <t>Performance Notes</t>
  </si>
  <si>
    <t>Smithfield</t>
  </si>
  <si>
    <t>Westlake</t>
  </si>
  <si>
    <t>April 2025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</si>
  <si>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</si>
  <si>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</si>
  <si>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</si>
  <si>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</si>
  <si>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</si>
  <si>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</si>
  <si>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</si>
  <si>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</si>
  <si>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</si>
  <si>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</si>
  <si>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</si>
  <si>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</si>
  <si>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</si>
  <si>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</si>
  <si>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</si>
  <si>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</si>
  <si>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</si>
  <si>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</si>
  <si>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</si>
  <si>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</si>
  <si>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</si>
  <si>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</si>
  <si>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</si>
  <si>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</si>
  <si>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</si>
  <si>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</si>
  <si>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</si>
  <si>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</si>
  <si>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</si>
  <si>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</si>
  <si>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</si>
  <si>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</si>
  <si>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 xml:space="preserve">2025 Plant Health Data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</si>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</sst>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4" fontId="1" fillId="0" borderId="3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 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Merrimack!$F$32:$F$61</c:f>
              <c:numCache>
                <c:formatCode>mm/dd/yy;@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Merrimack!$G$32:$G$61</c:f>
              <c:numCache>
                <c:formatCode>0</c:formatCode>
                <c:ptCount val="30"/>
                <c:pt idx="0">
                  <c:v>16813</c:v>
                </c:pt>
                <c:pt idx="1">
                  <c:v>15047</c:v>
                </c:pt>
                <c:pt idx="2">
                  <c:v>3825</c:v>
                </c:pt>
                <c:pt idx="3">
                  <c:v>14212.839999999851</c:v>
                </c:pt>
                <c:pt idx="4">
                  <c:v>2439.160000000149</c:v>
                </c:pt>
                <c:pt idx="5">
                  <c:v>3477</c:v>
                </c:pt>
                <c:pt idx="6">
                  <c:v>2688.6190476194024</c:v>
                </c:pt>
                <c:pt idx="7">
                  <c:v>7042.3809523805976</c:v>
                </c:pt>
                <c:pt idx="8">
                  <c:v>17923.565217390656</c:v>
                </c:pt>
                <c:pt idx="9">
                  <c:v>14166.040416412055</c:v>
                </c:pt>
                <c:pt idx="10">
                  <c:v>4782.394366197288</c:v>
                </c:pt>
                <c:pt idx="11">
                  <c:v>1126</c:v>
                </c:pt>
                <c:pt idx="12">
                  <c:v>3897.8843537420034</c:v>
                </c:pt>
                <c:pt idx="13">
                  <c:v>17288.992189468816</c:v>
                </c:pt>
                <c:pt idx="14">
                  <c:v>10648.123456789181</c:v>
                </c:pt>
                <c:pt idx="15">
                  <c:v>10105</c:v>
                </c:pt>
                <c:pt idx="16">
                  <c:v>18108</c:v>
                </c:pt>
                <c:pt idx="17">
                  <c:v>15951</c:v>
                </c:pt>
                <c:pt idx="18">
                  <c:v>9850.7313432842493</c:v>
                </c:pt>
                <c:pt idx="19">
                  <c:v>18302.268656715751</c:v>
                </c:pt>
                <c:pt idx="20">
                  <c:v>14696</c:v>
                </c:pt>
                <c:pt idx="21">
                  <c:v>12670</c:v>
                </c:pt>
                <c:pt idx="22">
                  <c:v>18040</c:v>
                </c:pt>
                <c:pt idx="23">
                  <c:v>16029</c:v>
                </c:pt>
                <c:pt idx="24">
                  <c:v>7185</c:v>
                </c:pt>
                <c:pt idx="25">
                  <c:v>2807.7777777779847</c:v>
                </c:pt>
                <c:pt idx="26">
                  <c:v>8634.2222222220153</c:v>
                </c:pt>
                <c:pt idx="27">
                  <c:v>18167</c:v>
                </c:pt>
                <c:pt idx="28">
                  <c:v>17199</c:v>
                </c:pt>
                <c:pt idx="29">
                  <c:v>18317.816901408136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Merrimack!$H$32:$H$61</c:f>
              <c:numCache>
                <c:formatCode>0</c:formatCode>
                <c:ptCount val="30"/>
                <c:pt idx="0">
                  <c:v>7835.335</c:v>
                </c:pt>
                <c:pt idx="1">
                  <c:v>6503.6850000000004</c:v>
                </c:pt>
                <c:pt idx="2">
                  <c:v>1549.7159999999999</c:v>
                </c:pt>
                <c:pt idx="3">
                  <c:v>6542.7539999999999</c:v>
                </c:pt>
                <c:pt idx="4">
                  <c:v>983.60530000000006</c:v>
                </c:pt>
                <c:pt idx="5">
                  <c:v>1421.9090000000001</c:v>
                </c:pt>
                <c:pt idx="6">
                  <c:v>1058.816</c:v>
                </c:pt>
                <c:pt idx="7">
                  <c:v>3174.4749999999999</c:v>
                </c:pt>
                <c:pt idx="8">
                  <c:v>8322.0589999999993</c:v>
                </c:pt>
                <c:pt idx="9">
                  <c:v>6207.9309999999996</c:v>
                </c:pt>
                <c:pt idx="10">
                  <c:v>2004.538</c:v>
                </c:pt>
                <c:pt idx="11">
                  <c:v>824.02260000000001</c:v>
                </c:pt>
                <c:pt idx="12">
                  <c:v>1569.1089999999999</c:v>
                </c:pt>
                <c:pt idx="13">
                  <c:v>8161.2690000000002</c:v>
                </c:pt>
                <c:pt idx="14">
                  <c:v>4783.6080000000002</c:v>
                </c:pt>
                <c:pt idx="15">
                  <c:v>4466.2380000000003</c:v>
                </c:pt>
                <c:pt idx="16">
                  <c:v>8415.0360000000001</c:v>
                </c:pt>
                <c:pt idx="17">
                  <c:v>7217.0479999999998</c:v>
                </c:pt>
                <c:pt idx="18">
                  <c:v>4276.7150000000001</c:v>
                </c:pt>
                <c:pt idx="19">
                  <c:v>8460.2649999999994</c:v>
                </c:pt>
                <c:pt idx="20">
                  <c:v>6464.8879999999999</c:v>
                </c:pt>
                <c:pt idx="21">
                  <c:v>5887.6220000000003</c:v>
                </c:pt>
                <c:pt idx="22">
                  <c:v>8156.357</c:v>
                </c:pt>
                <c:pt idx="23">
                  <c:v>7070.95</c:v>
                </c:pt>
                <c:pt idx="24">
                  <c:v>2924.0459999999998</c:v>
                </c:pt>
                <c:pt idx="25">
                  <c:v>1110.74</c:v>
                </c:pt>
                <c:pt idx="26">
                  <c:v>3582.7559999999999</c:v>
                </c:pt>
                <c:pt idx="27">
                  <c:v>8447.7139999999999</c:v>
                </c:pt>
                <c:pt idx="28">
                  <c:v>7752.4</c:v>
                </c:pt>
                <c:pt idx="29">
                  <c:v>8272.0329999999994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Smithfield!$F$32:$F$61</c:f>
              <c:numCache>
                <c:formatCode>mm/dd/yy;@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Smithfield!$G$32:$G$61</c:f>
              <c:numCache>
                <c:formatCode>0</c:formatCode>
                <c:ptCount val="30"/>
                <c:pt idx="0">
                  <c:v>18486</c:v>
                </c:pt>
                <c:pt idx="1">
                  <c:v>19627.75</c:v>
                </c:pt>
                <c:pt idx="2">
                  <c:v>4369.75</c:v>
                </c:pt>
                <c:pt idx="3">
                  <c:v>13865.5</c:v>
                </c:pt>
                <c:pt idx="4">
                  <c:v>2948</c:v>
                </c:pt>
                <c:pt idx="5">
                  <c:v>4291</c:v>
                </c:pt>
                <c:pt idx="6">
                  <c:v>2312.5</c:v>
                </c:pt>
                <c:pt idx="7">
                  <c:v>11340.5</c:v>
                </c:pt>
                <c:pt idx="8">
                  <c:v>22440.75</c:v>
                </c:pt>
                <c:pt idx="9">
                  <c:v>19627.5</c:v>
                </c:pt>
                <c:pt idx="10">
                  <c:v>6826.5</c:v>
                </c:pt>
                <c:pt idx="11">
                  <c:v>3433.75</c:v>
                </c:pt>
                <c:pt idx="12">
                  <c:v>3767.25</c:v>
                </c:pt>
                <c:pt idx="13">
                  <c:v>21577</c:v>
                </c:pt>
                <c:pt idx="14">
                  <c:v>11034.75</c:v>
                </c:pt>
                <c:pt idx="15">
                  <c:v>14320</c:v>
                </c:pt>
                <c:pt idx="16">
                  <c:v>22610.75</c:v>
                </c:pt>
                <c:pt idx="17">
                  <c:v>21120.75</c:v>
                </c:pt>
                <c:pt idx="18">
                  <c:v>16059.5</c:v>
                </c:pt>
                <c:pt idx="19">
                  <c:v>21716.75</c:v>
                </c:pt>
                <c:pt idx="20">
                  <c:v>18929</c:v>
                </c:pt>
                <c:pt idx="21">
                  <c:v>17875.75</c:v>
                </c:pt>
                <c:pt idx="22">
                  <c:v>22138.5</c:v>
                </c:pt>
                <c:pt idx="23">
                  <c:v>20719.25</c:v>
                </c:pt>
                <c:pt idx="24">
                  <c:v>15674.25</c:v>
                </c:pt>
                <c:pt idx="25">
                  <c:v>3337.25</c:v>
                </c:pt>
                <c:pt idx="26">
                  <c:v>15214.25</c:v>
                </c:pt>
                <c:pt idx="27">
                  <c:v>22862.5</c:v>
                </c:pt>
                <c:pt idx="28">
                  <c:v>21865.5</c:v>
                </c:pt>
                <c:pt idx="29">
                  <c:v>19187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Smithfield!$F$32:$F$61</c:f>
              <c:numCache>
                <c:formatCode>mm/dd/yy;@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Smithfield!$H$32:$H$61</c:f>
              <c:numCache>
                <c:formatCode>0</c:formatCode>
                <c:ptCount val="30"/>
                <c:pt idx="0">
                  <c:v>5879.9769999999999</c:v>
                </c:pt>
                <c:pt idx="1">
                  <c:v>6059.8130000000001</c:v>
                </c:pt>
                <c:pt idx="2">
                  <c:v>1253.239</c:v>
                </c:pt>
                <c:pt idx="3">
                  <c:v>4238.6369999999997</c:v>
                </c:pt>
                <c:pt idx="4">
                  <c:v>822.99710000000005</c:v>
                </c:pt>
                <c:pt idx="5">
                  <c:v>1207.5519999999999</c:v>
                </c:pt>
                <c:pt idx="6">
                  <c:v>639.57500000000005</c:v>
                </c:pt>
                <c:pt idx="7">
                  <c:v>3588.2930000000001</c:v>
                </c:pt>
                <c:pt idx="8">
                  <c:v>7229.3549999999996</c:v>
                </c:pt>
                <c:pt idx="9">
                  <c:v>6174.8509999999997</c:v>
                </c:pt>
                <c:pt idx="10">
                  <c:v>2067.0680000000002</c:v>
                </c:pt>
                <c:pt idx="11">
                  <c:v>960.45039999999995</c:v>
                </c:pt>
                <c:pt idx="12">
                  <c:v>1048.4290000000001</c:v>
                </c:pt>
                <c:pt idx="13">
                  <c:v>7069.0630000000001</c:v>
                </c:pt>
                <c:pt idx="14">
                  <c:v>3345.2809999999999</c:v>
                </c:pt>
                <c:pt idx="15">
                  <c:v>4483.7539999999999</c:v>
                </c:pt>
                <c:pt idx="16">
                  <c:v>7417.8239999999996</c:v>
                </c:pt>
                <c:pt idx="17">
                  <c:v>6816.7529999999997</c:v>
                </c:pt>
                <c:pt idx="18">
                  <c:v>4912.3739999999998</c:v>
                </c:pt>
                <c:pt idx="19">
                  <c:v>6953.0479999999998</c:v>
                </c:pt>
                <c:pt idx="20">
                  <c:v>6056.2359999999999</c:v>
                </c:pt>
                <c:pt idx="21">
                  <c:v>5841.0910000000003</c:v>
                </c:pt>
                <c:pt idx="22">
                  <c:v>7071.683</c:v>
                </c:pt>
                <c:pt idx="23">
                  <c:v>6733.4790000000003</c:v>
                </c:pt>
                <c:pt idx="24">
                  <c:v>4862.3050000000003</c:v>
                </c:pt>
                <c:pt idx="25">
                  <c:v>938.18629999999996</c:v>
                </c:pt>
                <c:pt idx="26">
                  <c:v>4795.2299999999996</c:v>
                </c:pt>
                <c:pt idx="27">
                  <c:v>7606.1120000000001</c:v>
                </c:pt>
                <c:pt idx="28">
                  <c:v>6972.1390000000001</c:v>
                </c:pt>
                <c:pt idx="29">
                  <c:v>6382.7030000000004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Westlake!$F$32:$F$61</c:f>
              <c:numCache>
                <c:formatCode>mm/dd/yy;@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Westlake!$G$32:$G$61</c:f>
              <c:numCache>
                <c:formatCode>0</c:formatCode>
                <c:ptCount val="30"/>
                <c:pt idx="0">
                  <c:v>12592</c:v>
                </c:pt>
                <c:pt idx="1">
                  <c:v>11859</c:v>
                </c:pt>
                <c:pt idx="2">
                  <c:v>4348</c:v>
                </c:pt>
                <c:pt idx="3">
                  <c:v>2430</c:v>
                </c:pt>
                <c:pt idx="4">
                  <c:v>3571</c:v>
                </c:pt>
                <c:pt idx="5">
                  <c:v>4080</c:v>
                </c:pt>
                <c:pt idx="6">
                  <c:v>23841</c:v>
                </c:pt>
                <c:pt idx="7">
                  <c:v>23517</c:v>
                </c:pt>
                <c:pt idx="8">
                  <c:v>23526</c:v>
                </c:pt>
                <c:pt idx="9">
                  <c:v>22910</c:v>
                </c:pt>
                <c:pt idx="10">
                  <c:v>23629</c:v>
                </c:pt>
                <c:pt idx="11">
                  <c:v>23541</c:v>
                </c:pt>
                <c:pt idx="12">
                  <c:v>23750</c:v>
                </c:pt>
                <c:pt idx="13">
                  <c:v>20899</c:v>
                </c:pt>
                <c:pt idx="14">
                  <c:v>23478</c:v>
                </c:pt>
                <c:pt idx="15">
                  <c:v>21987</c:v>
                </c:pt>
                <c:pt idx="16">
                  <c:v>18801</c:v>
                </c:pt>
                <c:pt idx="17">
                  <c:v>7162</c:v>
                </c:pt>
                <c:pt idx="18">
                  <c:v>6220.9999999981374</c:v>
                </c:pt>
                <c:pt idx="19">
                  <c:v>18377</c:v>
                </c:pt>
                <c:pt idx="20">
                  <c:v>24690.000000001863</c:v>
                </c:pt>
                <c:pt idx="21">
                  <c:v>23594</c:v>
                </c:pt>
                <c:pt idx="22">
                  <c:v>19125</c:v>
                </c:pt>
                <c:pt idx="23">
                  <c:v>7730</c:v>
                </c:pt>
                <c:pt idx="24">
                  <c:v>16827</c:v>
                </c:pt>
                <c:pt idx="25">
                  <c:v>18567</c:v>
                </c:pt>
                <c:pt idx="26">
                  <c:v>10935</c:v>
                </c:pt>
                <c:pt idx="27">
                  <c:v>9144</c:v>
                </c:pt>
                <c:pt idx="28">
                  <c:v>13452</c:v>
                </c:pt>
                <c:pt idx="29">
                  <c:v>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Westlake!$H$32:$H$61</c:f>
              <c:numCache>
                <c:formatCode>0</c:formatCode>
                <c:ptCount val="30"/>
                <c:pt idx="0">
                  <c:v>4154.1279999999997</c:v>
                </c:pt>
                <c:pt idx="1">
                  <c:v>4278.7089999999998</c:v>
                </c:pt>
                <c:pt idx="2">
                  <c:v>1070.6679999999999</c:v>
                </c:pt>
                <c:pt idx="3">
                  <c:v>413.14780000000002</c:v>
                </c:pt>
                <c:pt idx="4">
                  <c:v>838.90700000000004</c:v>
                </c:pt>
                <c:pt idx="5">
                  <c:v>975.27059999999994</c:v>
                </c:pt>
                <c:pt idx="6">
                  <c:v>9372.1029999999992</c:v>
                </c:pt>
                <c:pt idx="7">
                  <c:v>9150.2559999999994</c:v>
                </c:pt>
                <c:pt idx="8">
                  <c:v>9097.643</c:v>
                </c:pt>
                <c:pt idx="9">
                  <c:v>8796.2160000000003</c:v>
                </c:pt>
                <c:pt idx="10">
                  <c:v>9072.0930000000008</c:v>
                </c:pt>
                <c:pt idx="11">
                  <c:v>8906.2999999999993</c:v>
                </c:pt>
                <c:pt idx="12">
                  <c:v>9231.5499999999993</c:v>
                </c:pt>
                <c:pt idx="13">
                  <c:v>7605.1930000000002</c:v>
                </c:pt>
                <c:pt idx="14">
                  <c:v>9150.9439999999995</c:v>
                </c:pt>
                <c:pt idx="15">
                  <c:v>8154.0010000000002</c:v>
                </c:pt>
                <c:pt idx="16">
                  <c:v>6854.4880000000003</c:v>
                </c:pt>
                <c:pt idx="17">
                  <c:v>1935.2760000000001</c:v>
                </c:pt>
                <c:pt idx="18">
                  <c:v>1665.673</c:v>
                </c:pt>
                <c:pt idx="19">
                  <c:v>7460.9970000000003</c:v>
                </c:pt>
                <c:pt idx="20">
                  <c:v>9729.9259999999995</c:v>
                </c:pt>
                <c:pt idx="21">
                  <c:v>9093.777</c:v>
                </c:pt>
                <c:pt idx="22">
                  <c:v>7451.4120000000003</c:v>
                </c:pt>
                <c:pt idx="23">
                  <c:v>2489.7530000000002</c:v>
                </c:pt>
                <c:pt idx="24">
                  <c:v>6174.9709999999995</c:v>
                </c:pt>
                <c:pt idx="25">
                  <c:v>7001.067</c:v>
                </c:pt>
                <c:pt idx="26">
                  <c:v>3344.6149999999998</c:v>
                </c:pt>
                <c:pt idx="27">
                  <c:v>2717.5819999999999</c:v>
                </c:pt>
                <c:pt idx="28">
                  <c:v>4765.0169999999998</c:v>
                </c:pt>
                <c:pt idx="29">
                  <c:v>131.2406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F27" sqref="F27"/>
    </sheetView>
  </sheetViews>
  <sheetFormatPr defaultRowHeight="14.45"/>
  <cols>
    <col min="23" max="23" width="12.5703125" customWidth="1"/>
  </cols>
  <sheetData>
    <row r="1" spans="1:31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2"/>
  <sheetViews>
    <sheetView zoomScale="90" zoomScaleNormal="90" workbookViewId="0">
      <selection activeCell="K43" sqref="K43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94" t="s">
        <v>22</v>
      </c>
      <c r="F1" s="194"/>
      <c r="G1" s="194"/>
      <c r="H1" s="194"/>
      <c r="I1" s="194"/>
      <c r="J1" s="194"/>
    </row>
    <row r="2" spans="3:13">
      <c r="E2" s="195" t="s">
        <v>23</v>
      </c>
      <c r="F2" s="195"/>
      <c r="G2" s="195"/>
      <c r="H2" s="195"/>
      <c r="I2" s="195"/>
      <c r="J2" s="195"/>
    </row>
    <row r="3" spans="3:13">
      <c r="E3" s="196" t="s">
        <v>24</v>
      </c>
      <c r="F3" s="197"/>
      <c r="G3" s="197"/>
      <c r="H3" s="197"/>
      <c r="I3" s="197"/>
      <c r="J3" s="197"/>
    </row>
    <row r="5" spans="3:13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</row>
    <row r="6" spans="3:13">
      <c r="C6" s="20"/>
      <c r="D6" s="21"/>
      <c r="E6" s="172" t="s">
        <v>2</v>
      </c>
      <c r="F6" s="172"/>
      <c r="G6" s="172"/>
      <c r="H6" s="172"/>
      <c r="I6" s="172"/>
      <c r="J6" s="22">
        <f>SUM(G32:G61)</f>
        <v>341440.81690140814</v>
      </c>
      <c r="K6" s="21" t="s">
        <v>26</v>
      </c>
      <c r="L6" s="23"/>
    </row>
    <row r="7" spans="3:13">
      <c r="C7" s="3"/>
      <c r="D7" s="2"/>
      <c r="E7" s="182" t="s">
        <v>4</v>
      </c>
      <c r="F7" s="182"/>
      <c r="G7" s="182"/>
      <c r="H7" s="182"/>
      <c r="I7" s="182"/>
      <c r="J7" s="8">
        <f>'Predicted Data'!D20</f>
        <v>391436.4</v>
      </c>
      <c r="K7" s="69"/>
      <c r="L7" s="4"/>
    </row>
    <row r="8" spans="3:13" ht="16.149999999999999">
      <c r="C8" s="3"/>
      <c r="D8" s="2"/>
      <c r="E8" s="182" t="s">
        <v>6</v>
      </c>
      <c r="F8" s="182"/>
      <c r="G8" s="182"/>
      <c r="H8" s="182"/>
      <c r="I8" s="182"/>
      <c r="J8" s="8">
        <f>SUM(H32:H61)</f>
        <v>153447.63989999998</v>
      </c>
      <c r="K8" s="2" t="s">
        <v>26</v>
      </c>
      <c r="L8" s="4"/>
    </row>
    <row r="9" spans="3:13" ht="16.149999999999999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</row>
    <row r="10" spans="3:13">
      <c r="C10" s="3"/>
      <c r="D10" s="2"/>
      <c r="E10" s="182" t="s">
        <v>10</v>
      </c>
      <c r="F10" s="182"/>
      <c r="G10" s="182"/>
      <c r="H10" s="182"/>
      <c r="I10" s="182"/>
      <c r="J10" s="85">
        <f>'Plant Health'!H100</f>
        <v>330691.26899999997</v>
      </c>
      <c r="K10" s="2" t="s">
        <v>26</v>
      </c>
      <c r="L10" s="4"/>
    </row>
    <row r="11" spans="3:13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1.0325062948710877</v>
      </c>
      <c r="K11" s="2"/>
      <c r="L11" s="4"/>
      <c r="M11" s="61"/>
    </row>
    <row r="12" spans="3:13">
      <c r="C12" s="3"/>
      <c r="D12" s="2"/>
      <c r="E12" s="182" t="s">
        <v>16</v>
      </c>
      <c r="F12" s="182"/>
      <c r="G12" s="182"/>
      <c r="H12" s="182"/>
      <c r="I12" s="182"/>
      <c r="J12" s="31">
        <f>J6/J7</f>
        <v>0.87227661224507513</v>
      </c>
      <c r="K12" s="2"/>
      <c r="L12" s="4"/>
    </row>
    <row r="13" spans="3:13">
      <c r="C13" s="3"/>
      <c r="D13" s="2"/>
      <c r="E13" s="182" t="s">
        <v>18</v>
      </c>
      <c r="F13" s="182"/>
      <c r="G13" s="182"/>
      <c r="H13" s="182"/>
      <c r="I13" s="182"/>
      <c r="J13" s="31">
        <f>Availability!J41</f>
        <v>1</v>
      </c>
      <c r="K13" s="2"/>
      <c r="L13" s="4"/>
    </row>
    <row r="14" spans="3:13">
      <c r="C14" s="5"/>
      <c r="D14" s="6"/>
      <c r="E14" s="193" t="s">
        <v>20</v>
      </c>
      <c r="F14" s="193"/>
      <c r="G14" s="193"/>
      <c r="H14" s="193"/>
      <c r="I14" s="193"/>
      <c r="J14" s="9">
        <f>Availability!J50</f>
        <v>0.995</v>
      </c>
      <c r="K14" s="6"/>
      <c r="L14" s="7"/>
    </row>
    <row r="16" spans="3:13">
      <c r="C16" s="183" t="s">
        <v>27</v>
      </c>
      <c r="D16" s="183"/>
      <c r="E16" s="183"/>
      <c r="F16" s="183"/>
      <c r="G16" s="183"/>
      <c r="H16" s="183"/>
      <c r="I16" s="183"/>
      <c r="J16" s="183"/>
      <c r="K16" s="183"/>
      <c r="L16" s="183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3" t="s">
        <v>28</v>
      </c>
      <c r="G30" s="183"/>
      <c r="H30" s="183"/>
      <c r="I30" s="183"/>
      <c r="J30" s="11"/>
      <c r="K30" s="11"/>
      <c r="L30" s="11"/>
    </row>
    <row r="31" spans="3:12" s="10" customFormat="1" ht="44.1" customHeight="1">
      <c r="E31" s="13"/>
      <c r="F31" s="157" t="s">
        <v>29</v>
      </c>
      <c r="G31" s="158" t="s">
        <v>30</v>
      </c>
      <c r="H31" s="158" t="s">
        <v>31</v>
      </c>
      <c r="I31" s="158" t="s">
        <v>32</v>
      </c>
      <c r="J31" s="12"/>
      <c r="K31" s="13"/>
    </row>
    <row r="32" spans="3:12" ht="16.5" customHeight="1">
      <c r="E32" s="2"/>
      <c r="F32" s="159">
        <v>45748</v>
      </c>
      <c r="G32" s="160">
        <v>16813</v>
      </c>
      <c r="H32" s="161">
        <v>7835.335</v>
      </c>
      <c r="I32" s="161">
        <v>47.013820000000003</v>
      </c>
      <c r="J32" s="2"/>
      <c r="K32" s="164" t="s">
        <v>33</v>
      </c>
    </row>
    <row r="33" spans="5:15">
      <c r="E33" s="2"/>
      <c r="F33" s="159">
        <v>45749</v>
      </c>
      <c r="G33" s="160">
        <v>15047</v>
      </c>
      <c r="H33" s="161">
        <v>6503.6850000000004</v>
      </c>
      <c r="I33" s="161">
        <v>37.24409</v>
      </c>
      <c r="J33" s="2"/>
      <c r="K33" s="14"/>
    </row>
    <row r="34" spans="5:15">
      <c r="E34" s="2"/>
      <c r="F34" s="159">
        <v>45750</v>
      </c>
      <c r="G34" s="160">
        <v>3825</v>
      </c>
      <c r="H34" s="161">
        <v>1549.7159999999999</v>
      </c>
      <c r="I34" s="161">
        <v>42.539790000000004</v>
      </c>
      <c r="J34" s="2"/>
      <c r="K34" s="14"/>
    </row>
    <row r="35" spans="5:15">
      <c r="E35" s="2"/>
      <c r="F35" s="159">
        <v>45751</v>
      </c>
      <c r="G35" s="160">
        <v>14212.839999999851</v>
      </c>
      <c r="H35" s="161">
        <v>6542.7539999999999</v>
      </c>
      <c r="I35" s="161">
        <v>55.531529999999997</v>
      </c>
      <c r="J35" s="2"/>
      <c r="K35" s="14"/>
    </row>
    <row r="36" spans="5:15">
      <c r="E36" s="2"/>
      <c r="F36" s="159">
        <v>45752</v>
      </c>
      <c r="G36" s="160">
        <v>2439.160000000149</v>
      </c>
      <c r="H36" s="161">
        <v>983.60530000000006</v>
      </c>
      <c r="I36" s="161">
        <v>40.403080000000003</v>
      </c>
      <c r="J36" s="2"/>
      <c r="K36" s="14"/>
    </row>
    <row r="37" spans="5:15">
      <c r="E37" s="2"/>
      <c r="F37" s="159">
        <v>45753</v>
      </c>
      <c r="G37" s="160">
        <v>3477</v>
      </c>
      <c r="H37" s="161">
        <v>1421.9090000000001</v>
      </c>
      <c r="I37" s="161">
        <v>44.99953</v>
      </c>
      <c r="J37" s="2"/>
      <c r="K37" s="14"/>
    </row>
    <row r="38" spans="5:15">
      <c r="E38" s="2"/>
      <c r="F38" s="159">
        <v>45754</v>
      </c>
      <c r="G38" s="160">
        <v>2688.6190476194024</v>
      </c>
      <c r="H38" s="161">
        <v>1058.816</v>
      </c>
      <c r="I38" s="161">
        <v>38.461590000000001</v>
      </c>
      <c r="J38" s="2"/>
      <c r="K38" s="14"/>
    </row>
    <row r="39" spans="5:15">
      <c r="E39" s="2"/>
      <c r="F39" s="159">
        <v>45755</v>
      </c>
      <c r="G39" s="160">
        <v>7042.3809523805976</v>
      </c>
      <c r="H39" s="161">
        <v>3174.4749999999999</v>
      </c>
      <c r="I39" s="161">
        <v>35.590919999999997</v>
      </c>
      <c r="J39" s="2"/>
      <c r="K39" s="14"/>
    </row>
    <row r="40" spans="5:15">
      <c r="E40" s="2"/>
      <c r="F40" s="159">
        <v>45756</v>
      </c>
      <c r="G40" s="160">
        <v>17923.565217390656</v>
      </c>
      <c r="H40" s="161">
        <v>8322.0589999999993</v>
      </c>
      <c r="I40" s="161">
        <v>34.876730000000002</v>
      </c>
      <c r="J40" s="2"/>
      <c r="K40" s="14"/>
    </row>
    <row r="41" spans="5:15">
      <c r="E41" s="2"/>
      <c r="F41" s="159">
        <v>45757</v>
      </c>
      <c r="G41" s="160">
        <v>14166.040416412055</v>
      </c>
      <c r="H41" s="161">
        <v>6207.9309999999996</v>
      </c>
      <c r="I41" s="161">
        <v>40.248809999999999</v>
      </c>
      <c r="J41" s="2"/>
      <c r="K41" s="14"/>
    </row>
    <row r="42" spans="5:15">
      <c r="E42" s="2"/>
      <c r="F42" s="159">
        <v>45758</v>
      </c>
      <c r="G42" s="160">
        <v>4782.394366197288</v>
      </c>
      <c r="H42" s="161">
        <v>2004.538</v>
      </c>
      <c r="I42" s="161">
        <v>40.599119999999999</v>
      </c>
      <c r="J42" s="2"/>
      <c r="K42" s="14"/>
    </row>
    <row r="43" spans="5:15">
      <c r="E43" s="2"/>
      <c r="F43" s="159">
        <v>45759</v>
      </c>
      <c r="G43" s="160">
        <v>1126</v>
      </c>
      <c r="H43" s="161">
        <v>824.02260000000001</v>
      </c>
      <c r="I43" s="161">
        <v>36.00694</v>
      </c>
      <c r="J43" s="2"/>
      <c r="K43" s="14"/>
    </row>
    <row r="44" spans="5:15">
      <c r="E44" s="2"/>
      <c r="F44" s="159">
        <v>45760</v>
      </c>
      <c r="G44" s="160">
        <v>3897.8843537420034</v>
      </c>
      <c r="H44" s="161">
        <v>1569.1089999999999</v>
      </c>
      <c r="I44" s="161">
        <v>41.899979999999999</v>
      </c>
      <c r="J44" s="2"/>
      <c r="K44" s="14"/>
    </row>
    <row r="45" spans="5:15">
      <c r="E45" s="2"/>
      <c r="F45" s="159">
        <v>45761</v>
      </c>
      <c r="G45" s="160">
        <v>17288.992189468816</v>
      </c>
      <c r="H45" s="161">
        <v>8161.2690000000002</v>
      </c>
      <c r="I45" s="161">
        <v>51.352469999999997</v>
      </c>
      <c r="J45" s="2"/>
      <c r="K45" s="14"/>
    </row>
    <row r="46" spans="5:15">
      <c r="E46" s="2"/>
      <c r="F46" s="159">
        <v>45762</v>
      </c>
      <c r="G46" s="160">
        <v>10648.123456789181</v>
      </c>
      <c r="H46" s="161">
        <v>4783.6080000000002</v>
      </c>
      <c r="I46" s="161">
        <v>54.850169999999999</v>
      </c>
      <c r="J46" s="2"/>
      <c r="K46" s="14"/>
    </row>
    <row r="47" spans="5:15">
      <c r="E47" s="2"/>
      <c r="F47" s="159">
        <v>45763</v>
      </c>
      <c r="G47" s="160">
        <v>10105</v>
      </c>
      <c r="H47" s="161">
        <v>4466.2380000000003</v>
      </c>
      <c r="I47" s="161">
        <v>44.914050000000003</v>
      </c>
      <c r="J47" s="2"/>
      <c r="K47" s="14"/>
    </row>
    <row r="48" spans="5:15">
      <c r="E48" s="2"/>
      <c r="F48" s="159">
        <v>45764</v>
      </c>
      <c r="G48" s="160">
        <v>18108</v>
      </c>
      <c r="H48" s="161">
        <v>8415.0360000000001</v>
      </c>
      <c r="I48" s="161">
        <v>48.41433</v>
      </c>
      <c r="J48" s="2"/>
      <c r="K48" s="14"/>
      <c r="M48" s="2"/>
      <c r="N48" s="2"/>
      <c r="O48" s="2"/>
    </row>
    <row r="49" spans="3:15">
      <c r="E49" s="2"/>
      <c r="F49" s="159">
        <v>45765</v>
      </c>
      <c r="G49" s="160">
        <v>15951</v>
      </c>
      <c r="H49" s="161">
        <v>7217.0479999999998</v>
      </c>
      <c r="I49" s="161">
        <v>51.517209999999999</v>
      </c>
      <c r="J49" s="2"/>
      <c r="K49" s="14"/>
      <c r="M49" s="2"/>
      <c r="N49" s="2"/>
      <c r="O49" s="2"/>
    </row>
    <row r="50" spans="3:15">
      <c r="E50" s="2"/>
      <c r="F50" s="159">
        <v>45766</v>
      </c>
      <c r="G50" s="160">
        <v>9850.7313432842493</v>
      </c>
      <c r="H50" s="161">
        <v>4276.7150000000001</v>
      </c>
      <c r="I50" s="161">
        <v>70.959620000000001</v>
      </c>
      <c r="J50" s="2"/>
      <c r="K50" s="14"/>
    </row>
    <row r="51" spans="3:15">
      <c r="E51" s="2"/>
      <c r="F51" s="159">
        <v>45767</v>
      </c>
      <c r="G51" s="160">
        <v>18302.268656715751</v>
      </c>
      <c r="H51" s="161">
        <v>8460.2649999999994</v>
      </c>
      <c r="I51" s="161">
        <v>58.970770000000002</v>
      </c>
      <c r="J51" s="2"/>
      <c r="K51" s="14"/>
    </row>
    <row r="52" spans="3:15">
      <c r="E52" s="2"/>
      <c r="F52" s="159">
        <v>45768</v>
      </c>
      <c r="G52" s="160">
        <v>14696</v>
      </c>
      <c r="H52" s="161">
        <v>6464.8879999999999</v>
      </c>
      <c r="I52" s="161">
        <v>50.641959999999997</v>
      </c>
      <c r="J52" s="2"/>
      <c r="K52" s="14"/>
    </row>
    <row r="53" spans="3:15">
      <c r="E53" s="2"/>
      <c r="F53" s="159">
        <v>45769</v>
      </c>
      <c r="G53" s="160">
        <v>12670</v>
      </c>
      <c r="H53" s="161">
        <v>5887.6220000000003</v>
      </c>
      <c r="I53" s="161">
        <v>58.240989999999996</v>
      </c>
      <c r="J53" s="2"/>
      <c r="K53" s="14"/>
    </row>
    <row r="54" spans="3:15">
      <c r="E54" s="2"/>
      <c r="F54" s="159">
        <v>45770</v>
      </c>
      <c r="G54" s="160">
        <v>18040</v>
      </c>
      <c r="H54" s="161">
        <v>8156.357</v>
      </c>
      <c r="I54" s="161">
        <v>57.800609999999999</v>
      </c>
      <c r="J54" s="2"/>
      <c r="K54" s="14"/>
    </row>
    <row r="55" spans="3:15">
      <c r="E55" s="2"/>
      <c r="F55" s="159">
        <v>45771</v>
      </c>
      <c r="G55" s="160">
        <v>16029</v>
      </c>
      <c r="H55" s="161">
        <v>7070.95</v>
      </c>
      <c r="I55" s="161">
        <v>58.103270000000002</v>
      </c>
      <c r="J55" s="2"/>
      <c r="K55" s="14"/>
    </row>
    <row r="56" spans="3:15">
      <c r="E56" s="2"/>
      <c r="F56" s="159">
        <v>45772</v>
      </c>
      <c r="G56" s="160">
        <v>7185</v>
      </c>
      <c r="H56" s="161">
        <v>2924.0459999999998</v>
      </c>
      <c r="I56" s="161">
        <v>58.904249999999998</v>
      </c>
      <c r="J56" s="2"/>
      <c r="K56" s="14"/>
    </row>
    <row r="57" spans="3:15">
      <c r="E57" s="2"/>
      <c r="F57" s="159">
        <v>45773</v>
      </c>
      <c r="G57" s="160">
        <v>2807.7777777779847</v>
      </c>
      <c r="H57" s="161">
        <v>1110.74</v>
      </c>
      <c r="I57" s="161">
        <v>59.635980000000004</v>
      </c>
      <c r="J57" s="2"/>
      <c r="K57" s="14"/>
    </row>
    <row r="58" spans="3:15">
      <c r="E58" s="2"/>
      <c r="F58" s="159">
        <v>45774</v>
      </c>
      <c r="G58" s="160">
        <v>8634.2222222220153</v>
      </c>
      <c r="H58" s="161">
        <v>3582.7559999999999</v>
      </c>
      <c r="I58" s="161">
        <v>48.511110000000002</v>
      </c>
      <c r="J58" s="2"/>
      <c r="K58" s="14"/>
    </row>
    <row r="59" spans="3:15">
      <c r="E59" s="2"/>
      <c r="F59" s="159">
        <v>45775</v>
      </c>
      <c r="G59" s="160">
        <v>18167</v>
      </c>
      <c r="H59" s="161">
        <v>8447.7139999999999</v>
      </c>
      <c r="I59" s="161">
        <v>60.940190000000001</v>
      </c>
      <c r="J59" s="2"/>
      <c r="K59" s="14"/>
    </row>
    <row r="60" spans="3:15">
      <c r="E60" s="2"/>
      <c r="F60" s="159">
        <v>45776</v>
      </c>
      <c r="G60" s="160">
        <v>17199</v>
      </c>
      <c r="H60" s="161">
        <v>7752.4</v>
      </c>
      <c r="I60" s="161">
        <v>64.647059999999996</v>
      </c>
      <c r="J60" s="2"/>
      <c r="K60" s="14"/>
    </row>
    <row r="61" spans="3:15">
      <c r="E61" s="2"/>
      <c r="F61" s="159">
        <v>45777</v>
      </c>
      <c r="G61" s="160">
        <v>18317.816901408136</v>
      </c>
      <c r="H61" s="161">
        <v>8272.0329999999994</v>
      </c>
      <c r="I61" s="161">
        <v>65.158240000000006</v>
      </c>
      <c r="J61" s="2"/>
      <c r="K61" s="14"/>
    </row>
    <row r="62" spans="3:15" s="2" customFormat="1">
      <c r="F62" s="156"/>
      <c r="G62" s="154">
        <f>SUM(G32:G61)</f>
        <v>341440.81690140814</v>
      </c>
      <c r="H62" s="154"/>
      <c r="I62" s="155"/>
      <c r="K62" s="14"/>
    </row>
    <row r="63" spans="3:15">
      <c r="F63" s="143"/>
      <c r="G63" s="137"/>
      <c r="H63" s="2"/>
      <c r="I63" s="2"/>
    </row>
    <row r="64" spans="3:15">
      <c r="C64" s="179" t="s">
        <v>34</v>
      </c>
      <c r="D64" s="180"/>
      <c r="E64" s="180"/>
      <c r="F64" s="180"/>
      <c r="G64" s="180"/>
      <c r="H64" s="180"/>
      <c r="I64" s="180"/>
      <c r="J64" s="180"/>
      <c r="K64" s="180"/>
      <c r="L64" s="181"/>
    </row>
    <row r="65" spans="3:12" ht="15" customHeight="1">
      <c r="C65" s="184"/>
      <c r="D65" s="185"/>
      <c r="E65" s="185"/>
      <c r="F65" s="185"/>
      <c r="G65" s="185"/>
      <c r="H65" s="185"/>
      <c r="I65" s="185"/>
      <c r="J65" s="185"/>
      <c r="K65" s="185"/>
      <c r="L65" s="186"/>
    </row>
    <row r="66" spans="3:12">
      <c r="C66" s="187"/>
      <c r="D66" s="188"/>
      <c r="E66" s="188"/>
      <c r="F66" s="188"/>
      <c r="G66" s="188"/>
      <c r="H66" s="188"/>
      <c r="I66" s="188"/>
      <c r="J66" s="188"/>
      <c r="K66" s="188"/>
      <c r="L66" s="189"/>
    </row>
    <row r="67" spans="3:12">
      <c r="C67" s="190"/>
      <c r="D67" s="191"/>
      <c r="E67" s="191"/>
      <c r="F67" s="191"/>
      <c r="G67" s="191"/>
      <c r="H67" s="191"/>
      <c r="I67" s="191"/>
      <c r="J67" s="191"/>
      <c r="K67" s="191"/>
      <c r="L67" s="192"/>
    </row>
    <row r="69" spans="3:12">
      <c r="C69" s="176" t="s">
        <v>35</v>
      </c>
      <c r="D69" s="177"/>
      <c r="E69" s="177"/>
      <c r="F69" s="177"/>
      <c r="G69" s="177"/>
      <c r="H69" s="177"/>
      <c r="I69" s="177"/>
      <c r="J69" s="177"/>
      <c r="K69" s="177"/>
      <c r="L69" s="178"/>
    </row>
    <row r="70" spans="3:12" ht="14.85" customHeight="1">
      <c r="C70" s="184"/>
      <c r="D70" s="185"/>
      <c r="E70" s="185"/>
      <c r="F70" s="185"/>
      <c r="G70" s="185"/>
      <c r="H70" s="185"/>
      <c r="I70" s="185"/>
      <c r="J70" s="185"/>
      <c r="K70" s="185"/>
      <c r="L70" s="186"/>
    </row>
    <row r="71" spans="3:12">
      <c r="C71" s="187"/>
      <c r="D71" s="188"/>
      <c r="E71" s="188"/>
      <c r="F71" s="188"/>
      <c r="G71" s="188"/>
      <c r="H71" s="188"/>
      <c r="I71" s="188"/>
      <c r="J71" s="188"/>
      <c r="K71" s="188"/>
      <c r="L71" s="189"/>
    </row>
    <row r="72" spans="3:12">
      <c r="C72" s="190"/>
      <c r="D72" s="191"/>
      <c r="E72" s="191"/>
      <c r="F72" s="191"/>
      <c r="G72" s="191"/>
      <c r="H72" s="191"/>
      <c r="I72" s="191"/>
      <c r="J72" s="191"/>
      <c r="K72" s="191"/>
      <c r="L72" s="192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9:L69"/>
    <mergeCell ref="C64:L64"/>
    <mergeCell ref="E13:I13"/>
    <mergeCell ref="F30:I30"/>
    <mergeCell ref="C70:L72"/>
    <mergeCell ref="C65:L67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3"/>
  <sheetViews>
    <sheetView zoomScale="85" zoomScaleNormal="85" workbookViewId="0">
      <selection activeCell="O9" sqref="O9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94" t="s">
        <v>36</v>
      </c>
      <c r="F1" s="194"/>
      <c r="G1" s="194"/>
      <c r="H1" s="194"/>
      <c r="I1" s="194"/>
      <c r="J1" s="194"/>
    </row>
    <row r="2" spans="3:18">
      <c r="E2" s="195" t="s">
        <v>23</v>
      </c>
      <c r="F2" s="195"/>
      <c r="G2" s="195"/>
      <c r="H2" s="195"/>
      <c r="I2" s="195"/>
      <c r="J2" s="195"/>
    </row>
    <row r="3" spans="3:18" ht="14.25" customHeight="1">
      <c r="E3" s="196" t="s">
        <v>24</v>
      </c>
      <c r="F3" s="197"/>
      <c r="G3" s="197"/>
      <c r="H3" s="197"/>
      <c r="I3" s="197"/>
      <c r="J3" s="197"/>
    </row>
    <row r="5" spans="3:18">
      <c r="C5" s="179" t="s">
        <v>25</v>
      </c>
      <c r="D5" s="180"/>
      <c r="E5" s="180"/>
      <c r="F5" s="180"/>
      <c r="G5" s="180"/>
      <c r="H5" s="180"/>
      <c r="I5" s="180"/>
      <c r="J5" s="180"/>
      <c r="K5" s="180"/>
      <c r="L5" s="181"/>
      <c r="R5" s="26"/>
    </row>
    <row r="6" spans="3:18">
      <c r="C6" s="20"/>
      <c r="D6" s="21"/>
      <c r="E6" s="172" t="s">
        <v>2</v>
      </c>
      <c r="F6" s="172"/>
      <c r="G6" s="172"/>
      <c r="H6" s="172"/>
      <c r="I6" s="172"/>
      <c r="J6" s="22">
        <f>SUM(G32:G61)</f>
        <v>439579.5</v>
      </c>
      <c r="K6" s="2"/>
      <c r="L6" s="23"/>
      <c r="R6" s="26"/>
    </row>
    <row r="7" spans="3:18">
      <c r="C7" s="3"/>
      <c r="D7" s="2"/>
      <c r="E7" s="182" t="s">
        <v>4</v>
      </c>
      <c r="F7" s="182"/>
      <c r="G7" s="182"/>
      <c r="H7" s="182"/>
      <c r="I7" s="182"/>
      <c r="J7" s="8">
        <f>'Predicted Data'!D8</f>
        <v>439674.5</v>
      </c>
      <c r="K7" s="69"/>
      <c r="L7" s="4"/>
      <c r="R7" s="26"/>
    </row>
    <row r="8" spans="3:18" ht="16.149999999999999">
      <c r="C8" s="3"/>
      <c r="D8" s="2"/>
      <c r="E8" s="182" t="s">
        <v>6</v>
      </c>
      <c r="F8" s="182"/>
      <c r="G8" s="182"/>
      <c r="H8" s="182"/>
      <c r="I8" s="182"/>
      <c r="J8" s="8">
        <f>SUM(H32:H61)</f>
        <v>139427.49780000001</v>
      </c>
      <c r="K8" s="2"/>
      <c r="L8" s="4"/>
      <c r="R8" s="26"/>
    </row>
    <row r="9" spans="3:18" ht="16.149999999999999">
      <c r="C9" s="3"/>
      <c r="D9" s="2"/>
      <c r="E9" s="182" t="s">
        <v>8</v>
      </c>
      <c r="F9" s="182"/>
      <c r="G9" s="182"/>
      <c r="H9" s="182"/>
      <c r="I9" s="182"/>
      <c r="J9" s="79"/>
      <c r="K9" s="69"/>
      <c r="L9" s="4"/>
      <c r="R9" s="44"/>
    </row>
    <row r="10" spans="3:18">
      <c r="C10" s="3"/>
      <c r="D10" s="2"/>
      <c r="E10" s="182" t="s">
        <v>10</v>
      </c>
      <c r="F10" s="182"/>
      <c r="G10" s="182"/>
      <c r="H10" s="182"/>
      <c r="I10" s="182"/>
      <c r="J10" s="84">
        <f>'Plant Health'!E100</f>
        <v>404058.087</v>
      </c>
      <c r="K10" s="2"/>
      <c r="L10" s="4"/>
      <c r="R10" s="26"/>
    </row>
    <row r="11" spans="3:18">
      <c r="C11" s="3"/>
      <c r="D11" s="2"/>
      <c r="E11" s="182" t="s">
        <v>12</v>
      </c>
      <c r="F11" s="182"/>
      <c r="G11" s="182"/>
      <c r="H11" s="182"/>
      <c r="I11" s="182"/>
      <c r="J11" s="31">
        <f>J6/J10</f>
        <v>1.0879116496930799</v>
      </c>
      <c r="K11" s="2"/>
      <c r="L11" s="4"/>
      <c r="R11" s="26"/>
    </row>
    <row r="12" spans="3:18">
      <c r="C12" s="3"/>
      <c r="D12" s="2"/>
      <c r="E12" s="182" t="s">
        <v>16</v>
      </c>
      <c r="F12" s="182"/>
      <c r="G12" s="182"/>
      <c r="H12" s="182"/>
      <c r="I12" s="182"/>
      <c r="J12" s="31">
        <f>J6/J7</f>
        <v>0.99978393106718721</v>
      </c>
      <c r="K12" s="2"/>
      <c r="L12" s="4"/>
      <c r="R12" s="26"/>
    </row>
    <row r="13" spans="3:18">
      <c r="C13" s="3"/>
      <c r="D13" s="2"/>
      <c r="E13" s="182" t="s">
        <v>18</v>
      </c>
      <c r="F13" s="182"/>
      <c r="G13" s="182"/>
      <c r="H13" s="182"/>
      <c r="I13" s="182"/>
      <c r="J13" s="31">
        <f>Availability!I41</f>
        <v>1</v>
      </c>
      <c r="K13" s="2"/>
      <c r="L13" s="4"/>
      <c r="R13" s="26"/>
    </row>
    <row r="14" spans="3:18">
      <c r="C14" s="5"/>
      <c r="D14" s="6"/>
      <c r="E14" s="193" t="s">
        <v>20</v>
      </c>
      <c r="F14" s="193"/>
      <c r="G14" s="193"/>
      <c r="H14" s="193"/>
      <c r="I14" s="193"/>
      <c r="J14" s="9">
        <f>Availability!I50</f>
        <v>0.998475</v>
      </c>
      <c r="K14" s="6"/>
      <c r="L14" s="7"/>
      <c r="R14" s="26"/>
    </row>
    <row r="15" spans="3:18">
      <c r="R15" s="26"/>
    </row>
    <row r="16" spans="3:18">
      <c r="C16" s="179" t="s">
        <v>27</v>
      </c>
      <c r="D16" s="180"/>
      <c r="E16" s="180"/>
      <c r="F16" s="180"/>
      <c r="G16" s="180"/>
      <c r="H16" s="180"/>
      <c r="I16" s="180"/>
      <c r="J16" s="180"/>
      <c r="K16" s="180"/>
      <c r="L16" s="181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2" t="s">
        <v>30</v>
      </c>
      <c r="H31" s="163" t="s">
        <v>31</v>
      </c>
      <c r="I31" s="162" t="s">
        <v>32</v>
      </c>
      <c r="J31" s="12"/>
      <c r="K31" s="13"/>
      <c r="R31" s="45"/>
      <c r="X31"/>
    </row>
    <row r="32" spans="5:24">
      <c r="E32" s="2"/>
      <c r="F32" s="153">
        <v>45748</v>
      </c>
      <c r="G32" s="161">
        <v>18486</v>
      </c>
      <c r="H32" s="161">
        <v>5879.9769999999999</v>
      </c>
      <c r="I32" s="161">
        <v>49.162939999999999</v>
      </c>
      <c r="J32" s="14"/>
      <c r="K32" s="14"/>
      <c r="R32" s="26"/>
    </row>
    <row r="33" spans="5:18">
      <c r="E33" s="2"/>
      <c r="F33" s="153">
        <v>45749</v>
      </c>
      <c r="G33" s="161">
        <v>19627.75</v>
      </c>
      <c r="H33" s="161">
        <v>6059.8130000000001</v>
      </c>
      <c r="I33" s="161">
        <v>39.312480000000001</v>
      </c>
      <c r="J33" s="14"/>
      <c r="K33" s="14"/>
      <c r="R33" s="26"/>
    </row>
    <row r="34" spans="5:18">
      <c r="E34" s="2"/>
      <c r="F34" s="153">
        <v>45750</v>
      </c>
      <c r="G34" s="161">
        <v>4369.75</v>
      </c>
      <c r="H34" s="161">
        <v>1253.239</v>
      </c>
      <c r="I34" s="161">
        <v>51.346469999999997</v>
      </c>
      <c r="J34" s="14"/>
      <c r="K34" s="14"/>
      <c r="R34" s="26"/>
    </row>
    <row r="35" spans="5:18">
      <c r="E35" s="2"/>
      <c r="F35" s="153">
        <v>45751</v>
      </c>
      <c r="G35" s="161">
        <v>13865.5</v>
      </c>
      <c r="H35" s="161">
        <v>4238.6369999999997</v>
      </c>
      <c r="I35" s="161">
        <v>62.327060000000003</v>
      </c>
      <c r="J35" s="14"/>
      <c r="K35" s="14"/>
      <c r="R35" s="26"/>
    </row>
    <row r="36" spans="5:18">
      <c r="E36" s="2"/>
      <c r="F36" s="153">
        <v>45752</v>
      </c>
      <c r="G36" s="161">
        <v>2948</v>
      </c>
      <c r="H36" s="161">
        <v>822.99710000000005</v>
      </c>
      <c r="I36" s="161">
        <v>42.705350000000003</v>
      </c>
      <c r="J36" s="14"/>
      <c r="K36" s="14"/>
      <c r="R36" s="26"/>
    </row>
    <row r="37" spans="5:18">
      <c r="E37" s="2"/>
      <c r="F37" s="153">
        <v>45753</v>
      </c>
      <c r="G37" s="161">
        <v>4291</v>
      </c>
      <c r="H37" s="161">
        <v>1207.5519999999999</v>
      </c>
      <c r="I37" s="161">
        <v>46.28969</v>
      </c>
      <c r="J37" s="14"/>
      <c r="K37" s="14"/>
      <c r="R37" s="26"/>
    </row>
    <row r="38" spans="5:18">
      <c r="E38" s="2"/>
      <c r="F38" s="153">
        <v>45754</v>
      </c>
      <c r="G38" s="161">
        <v>2312.5</v>
      </c>
      <c r="H38" s="161">
        <v>639.57500000000005</v>
      </c>
      <c r="I38" s="161">
        <v>39.389980000000001</v>
      </c>
      <c r="J38" s="14"/>
      <c r="K38" s="14"/>
    </row>
    <row r="39" spans="5:18">
      <c r="E39" s="2"/>
      <c r="F39" s="153">
        <v>45755</v>
      </c>
      <c r="G39" s="161">
        <v>11340.5</v>
      </c>
      <c r="H39" s="161">
        <v>3588.2930000000001</v>
      </c>
      <c r="I39" s="161">
        <v>37.553750000000001</v>
      </c>
      <c r="J39" s="14"/>
      <c r="K39" s="14"/>
    </row>
    <row r="40" spans="5:18">
      <c r="E40" s="2"/>
      <c r="F40" s="153">
        <v>45756</v>
      </c>
      <c r="G40" s="161">
        <v>22440.75</v>
      </c>
      <c r="H40" s="161">
        <v>7229.3549999999996</v>
      </c>
      <c r="I40" s="161">
        <v>35.588000000000001</v>
      </c>
      <c r="J40" s="14"/>
      <c r="K40" s="14"/>
    </row>
    <row r="41" spans="5:18">
      <c r="E41" s="2"/>
      <c r="F41" s="153">
        <v>45757</v>
      </c>
      <c r="G41" s="161">
        <v>19627.5</v>
      </c>
      <c r="H41" s="161">
        <v>6174.8509999999997</v>
      </c>
      <c r="I41" s="161">
        <v>41.243630000000003</v>
      </c>
      <c r="J41" s="14"/>
      <c r="K41" s="14"/>
    </row>
    <row r="42" spans="5:18">
      <c r="E42" s="2"/>
      <c r="F42" s="153">
        <v>45758</v>
      </c>
      <c r="G42" s="161">
        <v>6826.5</v>
      </c>
      <c r="H42" s="161">
        <v>2067.0680000000002</v>
      </c>
      <c r="I42" s="161">
        <v>40.51191</v>
      </c>
      <c r="J42" s="14"/>
      <c r="K42" s="14"/>
    </row>
    <row r="43" spans="5:18">
      <c r="E43" s="2"/>
      <c r="F43" s="153">
        <v>45759</v>
      </c>
      <c r="G43" s="161">
        <v>3433.75</v>
      </c>
      <c r="H43" s="161">
        <v>960.45039999999995</v>
      </c>
      <c r="I43" s="161">
        <v>35.385689999999997</v>
      </c>
      <c r="J43" s="14"/>
      <c r="K43" s="14"/>
    </row>
    <row r="44" spans="5:18">
      <c r="E44" s="2"/>
      <c r="F44" s="153">
        <v>45760</v>
      </c>
      <c r="G44" s="161">
        <v>3767.25</v>
      </c>
      <c r="H44" s="161">
        <v>1048.4290000000001</v>
      </c>
      <c r="I44" s="161">
        <v>40.120719999999999</v>
      </c>
      <c r="J44" s="14"/>
      <c r="K44" s="14"/>
    </row>
    <row r="45" spans="5:18">
      <c r="E45" s="2"/>
      <c r="F45" s="153">
        <v>45761</v>
      </c>
      <c r="G45" s="161">
        <v>21577</v>
      </c>
      <c r="H45" s="161">
        <v>7069.0630000000001</v>
      </c>
      <c r="I45" s="161">
        <v>54.574860000000001</v>
      </c>
      <c r="J45" s="14"/>
      <c r="K45" s="14"/>
    </row>
    <row r="46" spans="5:18">
      <c r="E46" s="2"/>
      <c r="F46" s="153">
        <v>45762</v>
      </c>
      <c r="G46" s="161">
        <v>11034.75</v>
      </c>
      <c r="H46" s="161">
        <v>3345.2809999999999</v>
      </c>
      <c r="I46" s="161">
        <v>54.138500000000001</v>
      </c>
      <c r="J46" s="14"/>
      <c r="K46" s="14"/>
    </row>
    <row r="47" spans="5:18">
      <c r="E47" s="2"/>
      <c r="F47" s="153">
        <v>45763</v>
      </c>
      <c r="G47" s="161">
        <v>14320</v>
      </c>
      <c r="H47" s="161">
        <v>4483.7539999999999</v>
      </c>
      <c r="I47" s="161">
        <v>45.381039999999999</v>
      </c>
      <c r="J47" s="14"/>
      <c r="K47" s="14"/>
    </row>
    <row r="48" spans="5:18">
      <c r="E48" s="2"/>
      <c r="F48" s="153">
        <v>45764</v>
      </c>
      <c r="G48" s="161">
        <v>22610.75</v>
      </c>
      <c r="H48" s="161">
        <v>7417.8239999999996</v>
      </c>
      <c r="I48" s="161">
        <v>47.594329999999999</v>
      </c>
      <c r="J48" s="14"/>
      <c r="K48" s="14"/>
    </row>
    <row r="49" spans="3:12">
      <c r="E49" s="2"/>
      <c r="F49" s="153">
        <v>45765</v>
      </c>
      <c r="G49" s="161">
        <v>21120.75</v>
      </c>
      <c r="H49" s="161">
        <v>6816.7529999999997</v>
      </c>
      <c r="I49" s="161">
        <v>53.264510000000001</v>
      </c>
      <c r="J49" s="14"/>
      <c r="K49" s="14"/>
    </row>
    <row r="50" spans="3:12">
      <c r="E50" s="2"/>
      <c r="F50" s="153">
        <v>45766</v>
      </c>
      <c r="G50" s="161">
        <v>16059.5</v>
      </c>
      <c r="H50" s="161">
        <v>4912.3739999999998</v>
      </c>
      <c r="I50" s="161">
        <v>70.720659999999995</v>
      </c>
      <c r="J50" s="14"/>
      <c r="K50" s="14"/>
    </row>
    <row r="51" spans="3:12">
      <c r="E51" s="2"/>
      <c r="F51" s="153">
        <v>45767</v>
      </c>
      <c r="G51" s="161">
        <v>21716.75</v>
      </c>
      <c r="H51" s="161">
        <v>6953.0479999999998</v>
      </c>
      <c r="I51" s="161">
        <v>59.606909999999999</v>
      </c>
      <c r="J51" s="14"/>
      <c r="K51" s="14"/>
    </row>
    <row r="52" spans="3:12">
      <c r="E52" s="2"/>
      <c r="F52" s="153">
        <v>45768</v>
      </c>
      <c r="G52" s="161">
        <v>18929</v>
      </c>
      <c r="H52" s="161">
        <v>6056.2359999999999</v>
      </c>
      <c r="I52" s="161">
        <v>50.245480000000001</v>
      </c>
      <c r="J52" s="14"/>
      <c r="K52" s="14"/>
    </row>
    <row r="53" spans="3:12">
      <c r="E53" s="2"/>
      <c r="F53" s="153">
        <v>45769</v>
      </c>
      <c r="G53" s="161">
        <v>17875.75</v>
      </c>
      <c r="H53" s="161">
        <v>5841.0910000000003</v>
      </c>
      <c r="I53" s="161">
        <v>63.731610000000003</v>
      </c>
      <c r="J53" s="14"/>
      <c r="K53" s="14"/>
    </row>
    <row r="54" spans="3:12">
      <c r="E54" s="2"/>
      <c r="F54" s="153">
        <v>45770</v>
      </c>
      <c r="G54" s="161">
        <v>22138.5</v>
      </c>
      <c r="H54" s="161">
        <v>7071.683</v>
      </c>
      <c r="I54" s="161">
        <v>61.66028</v>
      </c>
      <c r="J54" s="14"/>
      <c r="K54" s="14"/>
    </row>
    <row r="55" spans="3:12">
      <c r="E55" s="2"/>
      <c r="F55" s="153">
        <v>45771</v>
      </c>
      <c r="G55" s="161">
        <v>20719.25</v>
      </c>
      <c r="H55" s="161">
        <v>6733.4790000000003</v>
      </c>
      <c r="I55" s="161">
        <v>60.59516</v>
      </c>
      <c r="J55" s="14"/>
      <c r="K55" s="14"/>
    </row>
    <row r="56" spans="3:12">
      <c r="E56" s="2"/>
      <c r="F56" s="153">
        <v>45772</v>
      </c>
      <c r="G56" s="161">
        <v>15674.25</v>
      </c>
      <c r="H56" s="161">
        <v>4862.3050000000003</v>
      </c>
      <c r="I56" s="161">
        <v>69.460999999999999</v>
      </c>
      <c r="J56" s="14"/>
      <c r="K56" s="14"/>
    </row>
    <row r="57" spans="3:12">
      <c r="E57" s="2"/>
      <c r="F57" s="153">
        <v>45773</v>
      </c>
      <c r="G57" s="161">
        <v>3337.25</v>
      </c>
      <c r="H57" s="161">
        <v>938.18629999999996</v>
      </c>
      <c r="I57" s="161">
        <v>60.718629999999997</v>
      </c>
      <c r="J57" s="14"/>
      <c r="K57" s="14"/>
    </row>
    <row r="58" spans="3:12">
      <c r="E58" s="2"/>
      <c r="F58" s="153">
        <v>45774</v>
      </c>
      <c r="G58" s="161">
        <v>15214.25</v>
      </c>
      <c r="H58" s="161">
        <v>4795.2299999999996</v>
      </c>
      <c r="I58" s="161">
        <v>51.532519999999998</v>
      </c>
      <c r="J58" s="14"/>
      <c r="K58" s="14"/>
    </row>
    <row r="59" spans="3:12">
      <c r="E59" s="2"/>
      <c r="F59" s="153">
        <v>45775</v>
      </c>
      <c r="G59" s="161">
        <v>22862.5</v>
      </c>
      <c r="H59" s="161">
        <v>7606.1120000000001</v>
      </c>
      <c r="I59" s="161">
        <v>60.660789999999999</v>
      </c>
      <c r="J59" s="14"/>
      <c r="K59" s="14"/>
    </row>
    <row r="60" spans="3:12">
      <c r="E60" s="2"/>
      <c r="F60" s="153">
        <v>45776</v>
      </c>
      <c r="G60" s="161">
        <v>21865.5</v>
      </c>
      <c r="H60" s="161">
        <v>6972.1390000000001</v>
      </c>
      <c r="I60" s="161">
        <v>64.060209999999998</v>
      </c>
      <c r="J60" s="14"/>
      <c r="K60" s="14"/>
    </row>
    <row r="61" spans="3:12">
      <c r="E61" s="2"/>
      <c r="F61" s="153">
        <v>45777</v>
      </c>
      <c r="G61" s="161">
        <v>19187</v>
      </c>
      <c r="H61" s="161">
        <v>6382.7030000000004</v>
      </c>
      <c r="I61" s="161">
        <v>65.484139999999996</v>
      </c>
      <c r="J61" s="14"/>
      <c r="K61" s="14"/>
    </row>
    <row r="62" spans="3:12">
      <c r="F62" s="151"/>
      <c r="G62" s="2"/>
      <c r="H62" s="2"/>
      <c r="I62" s="2"/>
    </row>
    <row r="63" spans="3:12">
      <c r="F63" s="139"/>
      <c r="G63" s="2"/>
      <c r="H63" s="2"/>
      <c r="I63" s="2"/>
    </row>
    <row r="64" spans="3:12">
      <c r="C64" s="176" t="s">
        <v>34</v>
      </c>
      <c r="D64" s="177"/>
      <c r="E64" s="177"/>
      <c r="F64" s="177"/>
      <c r="G64" s="177"/>
      <c r="H64" s="177"/>
      <c r="I64" s="177"/>
      <c r="J64" s="177"/>
      <c r="K64" s="177"/>
      <c r="L64" s="178"/>
    </row>
    <row r="65" spans="3:12" ht="15" customHeight="1">
      <c r="C65" s="184"/>
      <c r="D65" s="185"/>
      <c r="E65" s="185"/>
      <c r="F65" s="185"/>
      <c r="G65" s="185"/>
      <c r="H65" s="185"/>
      <c r="I65" s="185"/>
      <c r="J65" s="185"/>
      <c r="K65" s="185"/>
      <c r="L65" s="186"/>
    </row>
    <row r="66" spans="3:12">
      <c r="C66" s="187"/>
      <c r="D66" s="188"/>
      <c r="E66" s="188"/>
      <c r="F66" s="188"/>
      <c r="G66" s="188"/>
      <c r="H66" s="188"/>
      <c r="I66" s="188"/>
      <c r="J66" s="188"/>
      <c r="K66" s="188"/>
      <c r="L66" s="189"/>
    </row>
    <row r="67" spans="3:12">
      <c r="C67" s="190"/>
      <c r="D67" s="191"/>
      <c r="E67" s="191"/>
      <c r="F67" s="191"/>
      <c r="G67" s="191"/>
      <c r="H67" s="191"/>
      <c r="I67" s="191"/>
      <c r="J67" s="191"/>
      <c r="K67" s="191"/>
      <c r="L67" s="192"/>
    </row>
    <row r="68" spans="3:12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>
      <c r="C69" s="176" t="s">
        <v>35</v>
      </c>
      <c r="D69" s="177"/>
      <c r="E69" s="177"/>
      <c r="F69" s="177"/>
      <c r="G69" s="177"/>
      <c r="H69" s="177"/>
      <c r="I69" s="177"/>
      <c r="J69" s="177"/>
      <c r="K69" s="177"/>
      <c r="L69" s="178"/>
    </row>
    <row r="70" spans="3:12" ht="14.85" customHeight="1">
      <c r="C70" s="184"/>
      <c r="D70" s="185"/>
      <c r="E70" s="185"/>
      <c r="F70" s="185"/>
      <c r="G70" s="185"/>
      <c r="H70" s="185"/>
      <c r="I70" s="185"/>
      <c r="J70" s="185"/>
      <c r="K70" s="185"/>
      <c r="L70" s="186"/>
    </row>
    <row r="71" spans="3:12">
      <c r="C71" s="187"/>
      <c r="D71" s="188"/>
      <c r="E71" s="188"/>
      <c r="F71" s="188"/>
      <c r="G71" s="188"/>
      <c r="H71" s="188"/>
      <c r="I71" s="188"/>
      <c r="J71" s="188"/>
      <c r="K71" s="188"/>
      <c r="L71" s="189"/>
    </row>
    <row r="72" spans="3:12">
      <c r="C72" s="190"/>
      <c r="D72" s="191"/>
      <c r="E72" s="191"/>
      <c r="F72" s="191"/>
      <c r="G72" s="191"/>
      <c r="H72" s="191"/>
      <c r="I72" s="191"/>
      <c r="J72" s="191"/>
      <c r="K72" s="191"/>
      <c r="L72" s="192"/>
    </row>
    <row r="73" spans="3:12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E1:J1"/>
    <mergeCell ref="E2:J2"/>
    <mergeCell ref="E3:J3"/>
    <mergeCell ref="E8:I8"/>
    <mergeCell ref="E9:I9"/>
    <mergeCell ref="E6:I6"/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2"/>
  <sheetViews>
    <sheetView topLeftCell="A33" zoomScale="80" zoomScaleNormal="80" workbookViewId="0">
      <selection activeCell="P21" sqref="P21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8" t="s">
        <v>37</v>
      </c>
      <c r="F1" s="218"/>
      <c r="G1" s="218"/>
      <c r="H1" s="218"/>
      <c r="I1" s="218"/>
      <c r="J1" s="218"/>
    </row>
    <row r="2" spans="3:13">
      <c r="E2" s="219" t="s">
        <v>23</v>
      </c>
      <c r="F2" s="219"/>
      <c r="G2" s="219"/>
      <c r="H2" s="219"/>
      <c r="I2" s="219"/>
      <c r="J2" s="219"/>
    </row>
    <row r="3" spans="3:13" ht="14.25" customHeight="1">
      <c r="E3" s="196" t="s">
        <v>38</v>
      </c>
      <c r="F3" s="197"/>
      <c r="G3" s="197"/>
      <c r="H3" s="197"/>
      <c r="I3" s="197"/>
      <c r="J3" s="197"/>
    </row>
    <row r="5" spans="3:13">
      <c r="C5" s="210" t="s">
        <v>25</v>
      </c>
      <c r="D5" s="211"/>
      <c r="E5" s="211"/>
      <c r="F5" s="211"/>
      <c r="G5" s="211"/>
      <c r="H5" s="211"/>
      <c r="I5" s="211"/>
      <c r="J5" s="211"/>
      <c r="K5" s="211"/>
      <c r="L5" s="212"/>
    </row>
    <row r="6" spans="3:13">
      <c r="C6" s="107"/>
      <c r="D6" s="108"/>
      <c r="E6" s="220" t="s">
        <v>2</v>
      </c>
      <c r="F6" s="220"/>
      <c r="G6" s="220"/>
      <c r="H6" s="220"/>
      <c r="I6" s="220"/>
      <c r="J6" s="109">
        <f>SUM(G32:G61)</f>
        <v>466366</v>
      </c>
      <c r="K6" s="108"/>
      <c r="L6" s="110"/>
    </row>
    <row r="7" spans="3:13">
      <c r="C7" s="111"/>
      <c r="E7" s="217" t="s">
        <v>4</v>
      </c>
      <c r="F7" s="217"/>
      <c r="G7" s="217"/>
      <c r="H7" s="217"/>
      <c r="I7" s="217"/>
      <c r="J7" s="112">
        <f>'Predicted Data'!D32</f>
        <v>426854</v>
      </c>
      <c r="K7" s="113"/>
      <c r="L7" s="114"/>
    </row>
    <row r="8" spans="3:13" ht="16.149999999999999">
      <c r="C8" s="111"/>
      <c r="E8" s="217" t="s">
        <v>6</v>
      </c>
      <c r="F8" s="217"/>
      <c r="G8" s="217"/>
      <c r="H8" s="217"/>
      <c r="I8" s="217"/>
      <c r="J8" s="112">
        <f>SUM(H32:H61)</f>
        <v>171082.92399999997</v>
      </c>
      <c r="L8" s="114"/>
    </row>
    <row r="9" spans="3:13" ht="16.149999999999999">
      <c r="C9" s="111"/>
      <c r="E9" s="217" t="s">
        <v>8</v>
      </c>
      <c r="F9" s="217"/>
      <c r="G9" s="217"/>
      <c r="H9" s="217"/>
      <c r="I9" s="217"/>
      <c r="J9" s="115"/>
      <c r="K9" s="113"/>
      <c r="L9" s="114"/>
    </row>
    <row r="10" spans="3:13">
      <c r="C10" s="111"/>
      <c r="E10" s="217" t="s">
        <v>10</v>
      </c>
      <c r="F10" s="217"/>
      <c r="G10" s="217"/>
      <c r="H10" s="217"/>
      <c r="I10" s="217"/>
      <c r="J10" s="116">
        <f>'Plant Health'!K100</f>
        <v>420008.97500000003</v>
      </c>
      <c r="L10" s="114"/>
    </row>
    <row r="11" spans="3:13">
      <c r="C11" s="111"/>
      <c r="E11" s="217" t="s">
        <v>12</v>
      </c>
      <c r="F11" s="217"/>
      <c r="G11" s="217"/>
      <c r="H11" s="217"/>
      <c r="I11" s="217"/>
      <c r="J11" s="117">
        <f>J6/J10</f>
        <v>1.110371510513555</v>
      </c>
      <c r="L11" s="114"/>
      <c r="M11" s="118"/>
    </row>
    <row r="12" spans="3:13">
      <c r="C12" s="111"/>
      <c r="E12" s="217" t="s">
        <v>16</v>
      </c>
      <c r="F12" s="217"/>
      <c r="G12" s="217"/>
      <c r="H12" s="217"/>
      <c r="I12" s="217"/>
      <c r="J12" s="117">
        <f>J6/J7</f>
        <v>1.0925656079127759</v>
      </c>
      <c r="L12" s="114"/>
    </row>
    <row r="13" spans="3:13">
      <c r="C13" s="111"/>
      <c r="E13" s="217" t="s">
        <v>18</v>
      </c>
      <c r="F13" s="217"/>
      <c r="G13" s="217"/>
      <c r="H13" s="217"/>
      <c r="I13" s="217"/>
      <c r="J13" s="117">
        <f>Availability!K41</f>
        <v>1</v>
      </c>
      <c r="L13" s="114"/>
    </row>
    <row r="14" spans="3:13">
      <c r="C14" s="119"/>
      <c r="D14" s="120"/>
      <c r="E14" s="209" t="s">
        <v>20</v>
      </c>
      <c r="F14" s="209"/>
      <c r="G14" s="209"/>
      <c r="H14" s="209"/>
      <c r="I14" s="209"/>
      <c r="J14" s="121">
        <f>Availability!K50</f>
        <v>0.99857499999999999</v>
      </c>
      <c r="K14" s="120"/>
      <c r="L14" s="122"/>
    </row>
    <row r="16" spans="3:13">
      <c r="C16" s="210" t="s">
        <v>27</v>
      </c>
      <c r="D16" s="211"/>
      <c r="E16" s="211"/>
      <c r="F16" s="211"/>
      <c r="G16" s="211"/>
      <c r="H16" s="211"/>
      <c r="I16" s="211"/>
      <c r="J16" s="211"/>
      <c r="K16" s="211"/>
      <c r="L16" s="212"/>
    </row>
    <row r="30" spans="5:12">
      <c r="E30" s="123"/>
      <c r="F30" s="213" t="s">
        <v>28</v>
      </c>
      <c r="G30" s="213"/>
      <c r="H30" s="213"/>
      <c r="I30" s="213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45748</v>
      </c>
      <c r="G32" s="161">
        <v>12592</v>
      </c>
      <c r="H32" s="161">
        <v>4154.1279999999997</v>
      </c>
      <c r="I32" s="161">
        <v>68.594309999999993</v>
      </c>
      <c r="K32" s="127"/>
    </row>
    <row r="33" spans="6:11">
      <c r="F33" s="140">
        <v>45749</v>
      </c>
      <c r="G33" s="161">
        <v>11859</v>
      </c>
      <c r="H33" s="161">
        <v>4278.7089999999998</v>
      </c>
      <c r="I33" s="161">
        <v>75.369349999999997</v>
      </c>
      <c r="K33" s="127"/>
    </row>
    <row r="34" spans="6:11">
      <c r="F34" s="140">
        <v>45750</v>
      </c>
      <c r="G34" s="161">
        <v>4348</v>
      </c>
      <c r="H34" s="161">
        <v>1070.6679999999999</v>
      </c>
      <c r="I34" s="161">
        <v>60.530540000000002</v>
      </c>
      <c r="K34" s="127"/>
    </row>
    <row r="35" spans="6:11">
      <c r="F35" s="140">
        <v>45751</v>
      </c>
      <c r="G35" s="161">
        <v>2430</v>
      </c>
      <c r="H35" s="161">
        <v>413.14780000000002</v>
      </c>
      <c r="I35" s="161">
        <v>56.205500000000001</v>
      </c>
      <c r="K35" s="127"/>
    </row>
    <row r="36" spans="6:11">
      <c r="F36" s="140">
        <v>45752</v>
      </c>
      <c r="G36" s="161">
        <v>3571</v>
      </c>
      <c r="H36" s="161">
        <v>838.90700000000004</v>
      </c>
      <c r="I36" s="161">
        <v>50.621769999999998</v>
      </c>
      <c r="K36" s="127"/>
    </row>
    <row r="37" spans="6:11">
      <c r="F37" s="140">
        <v>45753</v>
      </c>
      <c r="G37" s="161">
        <v>4080</v>
      </c>
      <c r="H37" s="161">
        <v>975.27059999999994</v>
      </c>
      <c r="I37" s="161">
        <v>42.884320000000002</v>
      </c>
      <c r="K37" s="127"/>
    </row>
    <row r="38" spans="6:11">
      <c r="F38" s="140">
        <v>45754</v>
      </c>
      <c r="G38" s="161">
        <v>23841</v>
      </c>
      <c r="H38" s="161">
        <v>9372.1029999999992</v>
      </c>
      <c r="I38" s="161">
        <v>50.680610000000001</v>
      </c>
      <c r="K38" s="127"/>
    </row>
    <row r="39" spans="6:11">
      <c r="F39" s="140">
        <v>45755</v>
      </c>
      <c r="G39" s="161">
        <v>23517</v>
      </c>
      <c r="H39" s="161">
        <v>9150.2559999999994</v>
      </c>
      <c r="I39" s="161">
        <v>59.871339999999996</v>
      </c>
      <c r="K39" s="127"/>
    </row>
    <row r="40" spans="6:11">
      <c r="F40" s="140">
        <v>45756</v>
      </c>
      <c r="G40" s="161">
        <v>23526</v>
      </c>
      <c r="H40" s="161">
        <v>9097.643</v>
      </c>
      <c r="I40" s="161">
        <v>70.208560000000006</v>
      </c>
      <c r="K40" s="127"/>
    </row>
    <row r="41" spans="6:11">
      <c r="F41" s="140">
        <v>45757</v>
      </c>
      <c r="G41" s="161">
        <v>22910</v>
      </c>
      <c r="H41" s="161">
        <v>8796.2160000000003</v>
      </c>
      <c r="I41" s="161">
        <v>70.178659999999994</v>
      </c>
      <c r="K41" s="127"/>
    </row>
    <row r="42" spans="6:11">
      <c r="F42" s="140">
        <v>45758</v>
      </c>
      <c r="G42" s="161">
        <v>23629</v>
      </c>
      <c r="H42" s="161">
        <v>9072.0930000000008</v>
      </c>
      <c r="I42" s="161">
        <v>66.365520000000004</v>
      </c>
      <c r="K42" s="127"/>
    </row>
    <row r="43" spans="6:11">
      <c r="F43" s="140">
        <v>45759</v>
      </c>
      <c r="G43" s="161">
        <v>23541</v>
      </c>
      <c r="H43" s="161">
        <v>8906.2999999999993</v>
      </c>
      <c r="I43" s="161">
        <v>71.736530000000002</v>
      </c>
      <c r="K43" s="127"/>
    </row>
    <row r="44" spans="6:11">
      <c r="F44" s="140">
        <v>45760</v>
      </c>
      <c r="G44" s="161">
        <v>23750</v>
      </c>
      <c r="H44" s="161">
        <v>9231.5499999999993</v>
      </c>
      <c r="I44" s="161">
        <v>79.428089999999997</v>
      </c>
      <c r="K44" s="127"/>
    </row>
    <row r="45" spans="6:11">
      <c r="F45" s="140">
        <v>45761</v>
      </c>
      <c r="G45" s="161">
        <v>20899</v>
      </c>
      <c r="H45" s="161">
        <v>7605.1930000000002</v>
      </c>
      <c r="I45" s="161">
        <v>76.075640000000007</v>
      </c>
      <c r="K45" s="127"/>
    </row>
    <row r="46" spans="6:11">
      <c r="F46" s="140">
        <v>45762</v>
      </c>
      <c r="G46" s="161">
        <v>23478</v>
      </c>
      <c r="H46" s="161">
        <v>9150.9439999999995</v>
      </c>
      <c r="I46" s="161">
        <v>66.35951</v>
      </c>
      <c r="K46" s="127"/>
    </row>
    <row r="47" spans="6:11">
      <c r="F47" s="140">
        <v>45763</v>
      </c>
      <c r="G47" s="161">
        <v>21987</v>
      </c>
      <c r="H47" s="161">
        <v>8154.0010000000002</v>
      </c>
      <c r="I47" s="161">
        <v>71.036100000000005</v>
      </c>
      <c r="K47" s="127"/>
    </row>
    <row r="48" spans="6:11">
      <c r="F48" s="140">
        <v>45764</v>
      </c>
      <c r="G48" s="161">
        <v>18801</v>
      </c>
      <c r="H48" s="161">
        <v>6854.4880000000003</v>
      </c>
      <c r="I48" s="161">
        <v>77.259619999999998</v>
      </c>
      <c r="K48" s="127"/>
    </row>
    <row r="49" spans="3:20">
      <c r="F49" s="140">
        <v>45765</v>
      </c>
      <c r="G49" s="161">
        <v>7162</v>
      </c>
      <c r="H49" s="161">
        <v>1935.2760000000001</v>
      </c>
      <c r="I49" s="161">
        <v>76.968760000000003</v>
      </c>
      <c r="K49" s="127"/>
    </row>
    <row r="50" spans="3:20">
      <c r="F50" s="140">
        <v>45766</v>
      </c>
      <c r="G50" s="161">
        <v>6220.9999999981374</v>
      </c>
      <c r="H50" s="161">
        <v>1665.673</v>
      </c>
      <c r="I50" s="161">
        <v>72.531189999999995</v>
      </c>
      <c r="K50" s="127"/>
    </row>
    <row r="51" spans="3:20">
      <c r="F51" s="140">
        <v>45767</v>
      </c>
      <c r="G51" s="161">
        <v>18377</v>
      </c>
      <c r="H51" s="161">
        <v>7460.9970000000003</v>
      </c>
      <c r="I51" s="161">
        <v>68.517780000000002</v>
      </c>
      <c r="K51" s="127"/>
    </row>
    <row r="52" spans="3:20">
      <c r="F52" s="140">
        <v>45768</v>
      </c>
      <c r="G52" s="161">
        <v>24690.000000001863</v>
      </c>
      <c r="H52" s="161">
        <v>9729.9259999999995</v>
      </c>
      <c r="I52" s="161">
        <v>66.392570000000006</v>
      </c>
      <c r="K52" s="127"/>
    </row>
    <row r="53" spans="3:20">
      <c r="F53" s="140">
        <v>45769</v>
      </c>
      <c r="G53" s="161">
        <v>23594</v>
      </c>
      <c r="H53" s="161">
        <v>9093.777</v>
      </c>
      <c r="I53" s="161">
        <v>74.953580000000002</v>
      </c>
      <c r="K53" s="127"/>
    </row>
    <row r="54" spans="3:20">
      <c r="F54" s="140">
        <v>45770</v>
      </c>
      <c r="G54" s="161">
        <v>19125</v>
      </c>
      <c r="H54" s="161">
        <v>7451.4120000000003</v>
      </c>
      <c r="I54" s="161">
        <v>75.137739999999994</v>
      </c>
      <c r="K54" s="127"/>
    </row>
    <row r="55" spans="3:20">
      <c r="F55" s="140">
        <v>45771</v>
      </c>
      <c r="G55" s="161">
        <v>7730</v>
      </c>
      <c r="H55" s="161">
        <v>2489.7530000000002</v>
      </c>
      <c r="I55" s="161">
        <v>68.245729999999995</v>
      </c>
      <c r="K55" s="127"/>
    </row>
    <row r="56" spans="3:20">
      <c r="F56" s="140">
        <v>45772</v>
      </c>
      <c r="G56" s="161">
        <v>16827</v>
      </c>
      <c r="H56" s="161">
        <v>6174.9709999999995</v>
      </c>
      <c r="I56" s="161">
        <v>73.130070000000003</v>
      </c>
      <c r="K56" s="127"/>
    </row>
    <row r="57" spans="3:20">
      <c r="F57" s="140">
        <v>45773</v>
      </c>
      <c r="G57" s="161">
        <v>18567</v>
      </c>
      <c r="H57" s="161">
        <v>7001.067</v>
      </c>
      <c r="I57" s="161">
        <v>76.810130000000001</v>
      </c>
      <c r="K57" s="127"/>
    </row>
    <row r="58" spans="3:20">
      <c r="F58" s="140">
        <v>45774</v>
      </c>
      <c r="G58" s="161">
        <v>10935</v>
      </c>
      <c r="H58" s="161">
        <v>3344.6149999999998</v>
      </c>
      <c r="I58" s="161">
        <v>76.188320000000004</v>
      </c>
      <c r="K58" s="127"/>
      <c r="R58" s="112"/>
      <c r="S58" s="112"/>
      <c r="T58" s="112"/>
    </row>
    <row r="59" spans="3:20">
      <c r="F59" s="140">
        <v>45775</v>
      </c>
      <c r="G59" s="161">
        <v>9144</v>
      </c>
      <c r="H59" s="161">
        <v>2717.5819999999999</v>
      </c>
      <c r="I59" s="161">
        <v>76.863870000000006</v>
      </c>
      <c r="K59" s="127"/>
    </row>
    <row r="60" spans="3:20">
      <c r="F60" s="140">
        <v>45776</v>
      </c>
      <c r="G60" s="161">
        <v>13452</v>
      </c>
      <c r="H60" s="161">
        <v>4765.0169999999998</v>
      </c>
      <c r="I60" s="161">
        <v>78.697109999999995</v>
      </c>
      <c r="K60" s="127"/>
      <c r="R60" s="112"/>
      <c r="S60" s="112"/>
      <c r="T60" s="112"/>
    </row>
    <row r="61" spans="3:20">
      <c r="F61" s="140">
        <v>45777</v>
      </c>
      <c r="G61" s="161">
        <v>1783</v>
      </c>
      <c r="H61" s="161">
        <v>131.2406</v>
      </c>
      <c r="I61" s="161">
        <v>65.426159999999996</v>
      </c>
      <c r="K61" s="127"/>
    </row>
    <row r="62" spans="3:20">
      <c r="F62" s="151"/>
      <c r="G62" s="150"/>
      <c r="H62" s="150"/>
      <c r="I62" s="150"/>
    </row>
    <row r="63" spans="3:20">
      <c r="F63" s="152"/>
      <c r="G63" s="128"/>
    </row>
    <row r="64" spans="3:20">
      <c r="C64" s="210" t="s">
        <v>34</v>
      </c>
      <c r="D64" s="211"/>
      <c r="E64" s="211"/>
      <c r="F64" s="211"/>
      <c r="G64" s="211"/>
      <c r="H64" s="211"/>
      <c r="I64" s="211"/>
      <c r="J64" s="211"/>
      <c r="K64" s="211"/>
      <c r="L64" s="212"/>
    </row>
    <row r="65" spans="3:12" ht="15" customHeight="1">
      <c r="C65" s="200"/>
      <c r="D65" s="201"/>
      <c r="E65" s="201"/>
      <c r="F65" s="201"/>
      <c r="G65" s="201"/>
      <c r="H65" s="201"/>
      <c r="I65" s="201"/>
      <c r="J65" s="201"/>
      <c r="K65" s="201"/>
      <c r="L65" s="202"/>
    </row>
    <row r="66" spans="3:12">
      <c r="C66" s="203"/>
      <c r="D66" s="204"/>
      <c r="E66" s="204"/>
      <c r="F66" s="204"/>
      <c r="G66" s="204"/>
      <c r="H66" s="204"/>
      <c r="I66" s="204"/>
      <c r="J66" s="204"/>
      <c r="K66" s="204"/>
      <c r="L66" s="205"/>
    </row>
    <row r="67" spans="3:12">
      <c r="C67" s="206"/>
      <c r="D67" s="207"/>
      <c r="E67" s="207"/>
      <c r="F67" s="207"/>
      <c r="G67" s="207"/>
      <c r="H67" s="207"/>
      <c r="I67" s="207"/>
      <c r="J67" s="207"/>
      <c r="K67" s="207"/>
      <c r="L67" s="208"/>
    </row>
    <row r="69" spans="3:12">
      <c r="C69" s="214" t="s">
        <v>35</v>
      </c>
      <c r="D69" s="215"/>
      <c r="E69" s="215"/>
      <c r="F69" s="215"/>
      <c r="G69" s="215"/>
      <c r="H69" s="215"/>
      <c r="I69" s="215"/>
      <c r="J69" s="215"/>
      <c r="K69" s="215"/>
      <c r="L69" s="216"/>
    </row>
    <row r="70" spans="3:12" ht="14.85" customHeight="1">
      <c r="C70" s="200"/>
      <c r="D70" s="201"/>
      <c r="E70" s="201"/>
      <c r="F70" s="201"/>
      <c r="G70" s="201"/>
      <c r="H70" s="201"/>
      <c r="I70" s="201"/>
      <c r="J70" s="201"/>
      <c r="K70" s="201"/>
      <c r="L70" s="202"/>
    </row>
    <row r="71" spans="3:12">
      <c r="C71" s="203"/>
      <c r="D71" s="204"/>
      <c r="E71" s="204"/>
      <c r="F71" s="204"/>
      <c r="G71" s="204"/>
      <c r="H71" s="204"/>
      <c r="I71" s="204"/>
      <c r="J71" s="204"/>
      <c r="K71" s="204"/>
      <c r="L71" s="205"/>
    </row>
    <row r="72" spans="3:12">
      <c r="C72" s="206"/>
      <c r="D72" s="207"/>
      <c r="E72" s="207"/>
      <c r="F72" s="207"/>
      <c r="G72" s="207"/>
      <c r="H72" s="207"/>
      <c r="I72" s="207"/>
      <c r="J72" s="207"/>
      <c r="K72" s="207"/>
      <c r="L72" s="208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0:L72"/>
    <mergeCell ref="E14:I14"/>
    <mergeCell ref="C16:L16"/>
    <mergeCell ref="F30:I30"/>
    <mergeCell ref="C64:L64"/>
    <mergeCell ref="C65:L67"/>
    <mergeCell ref="C69:L69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22" zoomScaleNormal="100" workbookViewId="0">
      <selection activeCell="Q48" sqref="Q48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4" t="s">
        <v>39</v>
      </c>
      <c r="D4" s="225"/>
      <c r="E4" s="226"/>
      <c r="G4" s="224" t="s">
        <v>40</v>
      </c>
      <c r="H4" s="225"/>
      <c r="I4" s="226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4" t="s">
        <v>54</v>
      </c>
      <c r="D20" s="225"/>
      <c r="E20" s="226"/>
      <c r="G20" s="221" t="s">
        <v>55</v>
      </c>
      <c r="H20" s="227"/>
      <c r="I20" s="222"/>
      <c r="K20" s="221" t="s">
        <v>55</v>
      </c>
      <c r="L20" s="222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37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6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6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2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23" t="s">
        <v>57</v>
      </c>
      <c r="D36" s="223"/>
      <c r="E36" s="223"/>
      <c r="F36" s="223"/>
      <c r="H36" s="223" t="s">
        <v>58</v>
      </c>
      <c r="I36" s="223"/>
      <c r="J36" s="223"/>
      <c r="K36" s="223"/>
    </row>
    <row r="37" spans="3:12">
      <c r="C37" s="1"/>
      <c r="D37" s="42" t="s">
        <v>36</v>
      </c>
      <c r="E37" s="42" t="s">
        <v>22</v>
      </c>
      <c r="F37" s="42" t="s">
        <v>37</v>
      </c>
      <c r="H37" s="1"/>
      <c r="I37" s="42" t="s">
        <v>36</v>
      </c>
      <c r="J37" s="42" t="s">
        <v>22</v>
      </c>
      <c r="K37" s="42" t="s">
        <v>37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  <c r="H38" s="43" t="s">
        <v>41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  <c r="H39" s="43" t="s">
        <v>42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  <c r="H40" s="43" t="s">
        <v>43</v>
      </c>
      <c r="I40" s="62">
        <v>1</v>
      </c>
      <c r="J40" s="62">
        <v>1</v>
      </c>
      <c r="K40" s="62">
        <v>1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  <c r="H41" s="43" t="s">
        <v>44</v>
      </c>
      <c r="I41" s="62">
        <v>1</v>
      </c>
      <c r="J41" s="62">
        <v>1</v>
      </c>
      <c r="K41" s="62">
        <v>1</v>
      </c>
    </row>
    <row r="42" spans="3:12">
      <c r="C42" s="43" t="s">
        <v>45</v>
      </c>
      <c r="D42" s="62">
        <v>1</v>
      </c>
      <c r="E42" s="62">
        <v>1</v>
      </c>
      <c r="F42" s="62">
        <v>1</v>
      </c>
      <c r="H42" s="43" t="s">
        <v>45</v>
      </c>
      <c r="I42" s="62"/>
      <c r="J42" s="62"/>
      <c r="K42" s="62"/>
    </row>
    <row r="43" spans="3:12">
      <c r="C43" s="43" t="s">
        <v>46</v>
      </c>
      <c r="D43" s="62">
        <v>1</v>
      </c>
      <c r="E43" s="62">
        <v>1</v>
      </c>
      <c r="F43" s="62">
        <v>1</v>
      </c>
      <c r="H43" s="43" t="s">
        <v>46</v>
      </c>
      <c r="I43" s="62"/>
      <c r="J43" s="62"/>
      <c r="K43" s="62"/>
    </row>
    <row r="44" spans="3:12">
      <c r="C44" s="43" t="s">
        <v>47</v>
      </c>
      <c r="D44" s="62">
        <v>1</v>
      </c>
      <c r="E44" s="149">
        <v>1</v>
      </c>
      <c r="F44" s="62">
        <v>1</v>
      </c>
      <c r="H44" s="43" t="s">
        <v>47</v>
      </c>
      <c r="I44" s="62"/>
      <c r="J44" s="149"/>
      <c r="K44" s="62"/>
    </row>
    <row r="45" spans="3:12">
      <c r="C45" s="43" t="s">
        <v>48</v>
      </c>
      <c r="D45" s="62">
        <v>0.98780000000000001</v>
      </c>
      <c r="E45" s="149">
        <v>1</v>
      </c>
      <c r="F45" s="62">
        <v>1</v>
      </c>
      <c r="H45" s="43" t="s">
        <v>48</v>
      </c>
      <c r="I45" s="62"/>
      <c r="J45" s="149"/>
      <c r="K45" s="62"/>
    </row>
    <row r="46" spans="3:12">
      <c r="C46" s="43" t="s">
        <v>49</v>
      </c>
      <c r="D46" s="62">
        <v>1</v>
      </c>
      <c r="E46" s="149">
        <v>1</v>
      </c>
      <c r="F46" s="62">
        <v>1</v>
      </c>
      <c r="H46" s="43" t="s">
        <v>49</v>
      </c>
      <c r="I46" s="62"/>
      <c r="J46" s="149"/>
      <c r="K46" s="62"/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  <c r="H47" s="43" t="s">
        <v>50</v>
      </c>
      <c r="I47" s="62"/>
      <c r="J47" s="62"/>
      <c r="K47" s="62"/>
    </row>
    <row r="48" spans="3:12">
      <c r="C48" s="43" t="s">
        <v>51</v>
      </c>
      <c r="D48" s="62">
        <v>1</v>
      </c>
      <c r="E48" s="46">
        <v>1</v>
      </c>
      <c r="F48" s="62">
        <v>0.99109999999999998</v>
      </c>
      <c r="H48" s="43" t="s">
        <v>51</v>
      </c>
      <c r="I48" s="62"/>
      <c r="J48" s="46"/>
      <c r="K48" s="62"/>
    </row>
    <row r="49" spans="3:11">
      <c r="C49" s="43" t="s">
        <v>52</v>
      </c>
      <c r="D49" s="46">
        <v>0.99750000000000005</v>
      </c>
      <c r="E49" s="46">
        <v>1</v>
      </c>
      <c r="F49" s="46">
        <v>1</v>
      </c>
      <c r="H49" s="43" t="s">
        <v>52</v>
      </c>
      <c r="I49" s="46"/>
      <c r="J49" s="46"/>
      <c r="K49" s="46"/>
    </row>
    <row r="50" spans="3:11">
      <c r="C50" s="56" t="s">
        <v>53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53</v>
      </c>
      <c r="I50" s="52">
        <f>AVERAGE(I38:I49)</f>
        <v>0.998475</v>
      </c>
      <c r="J50" s="52">
        <f>AVERAGE(J38:J49)</f>
        <v>0.995</v>
      </c>
      <c r="K50" s="52">
        <f>AVERAGE(K38:K49)</f>
        <v>0.99857499999999999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abSelected="1" topLeftCell="A87" zoomScaleNormal="100" workbookViewId="0">
      <selection activeCell="M115" sqref="M115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8" t="s">
        <v>59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6">
      <c r="C5" s="42"/>
      <c r="D5" s="236" t="s">
        <v>36</v>
      </c>
      <c r="E5" s="237"/>
      <c r="F5" s="238"/>
      <c r="G5" s="236" t="s">
        <v>22</v>
      </c>
      <c r="H5" s="237"/>
      <c r="I5" s="238"/>
      <c r="J5" s="231" t="s">
        <v>60</v>
      </c>
      <c r="K5" s="232"/>
      <c r="L5" s="233"/>
    </row>
    <row r="6" spans="3:12">
      <c r="C6" s="42"/>
      <c r="D6" s="42" t="s">
        <v>61</v>
      </c>
      <c r="E6" s="42" t="s">
        <v>62</v>
      </c>
      <c r="F6" s="42" t="s">
        <v>63</v>
      </c>
      <c r="G6" s="42" t="s">
        <v>61</v>
      </c>
      <c r="H6" s="42" t="s">
        <v>62</v>
      </c>
      <c r="I6" s="42" t="s">
        <v>63</v>
      </c>
      <c r="J6" s="49" t="s">
        <v>61</v>
      </c>
      <c r="K6" s="49" t="s">
        <v>62</v>
      </c>
      <c r="L6" s="49" t="s">
        <v>63</v>
      </c>
    </row>
    <row r="7" spans="3:12">
      <c r="C7" s="47" t="s">
        <v>41</v>
      </c>
      <c r="D7" s="86" t="s">
        <v>64</v>
      </c>
      <c r="E7" s="86" t="s">
        <v>64</v>
      </c>
      <c r="F7" s="86" t="s">
        <v>64</v>
      </c>
      <c r="G7" s="86" t="s">
        <v>64</v>
      </c>
      <c r="H7" s="86" t="s">
        <v>64</v>
      </c>
      <c r="I7" s="86" t="s">
        <v>64</v>
      </c>
      <c r="J7" s="86" t="s">
        <v>64</v>
      </c>
      <c r="K7" s="86" t="s">
        <v>64</v>
      </c>
      <c r="L7" s="86" t="s">
        <v>64</v>
      </c>
    </row>
    <row r="8" spans="3:12">
      <c r="C8" s="47" t="s">
        <v>42</v>
      </c>
      <c r="D8" s="86" t="s">
        <v>64</v>
      </c>
      <c r="E8" s="86" t="s">
        <v>64</v>
      </c>
      <c r="F8" s="86" t="s">
        <v>64</v>
      </c>
      <c r="G8" s="86" t="s">
        <v>64</v>
      </c>
      <c r="H8" s="86" t="s">
        <v>64</v>
      </c>
      <c r="I8" s="86" t="s">
        <v>64</v>
      </c>
      <c r="J8" s="86" t="s">
        <v>64</v>
      </c>
      <c r="K8" s="86" t="s">
        <v>64</v>
      </c>
      <c r="L8" s="86" t="s">
        <v>64</v>
      </c>
    </row>
    <row r="9" spans="3:12">
      <c r="C9" s="47" t="s">
        <v>43</v>
      </c>
      <c r="D9" s="86" t="s">
        <v>64</v>
      </c>
      <c r="E9" s="86" t="s">
        <v>64</v>
      </c>
      <c r="F9" s="86" t="s">
        <v>64</v>
      </c>
      <c r="G9" s="86" t="s">
        <v>64</v>
      </c>
      <c r="H9" s="86" t="s">
        <v>64</v>
      </c>
      <c r="I9" s="86" t="s">
        <v>64</v>
      </c>
      <c r="J9" s="86" t="s">
        <v>64</v>
      </c>
      <c r="K9" s="86" t="s">
        <v>64</v>
      </c>
      <c r="L9" s="86" t="s">
        <v>64</v>
      </c>
    </row>
    <row r="10" spans="3:12">
      <c r="C10" s="47" t="s">
        <v>44</v>
      </c>
      <c r="D10" s="86" t="s">
        <v>64</v>
      </c>
      <c r="E10" s="86" t="s">
        <v>64</v>
      </c>
      <c r="F10" s="86" t="s">
        <v>64</v>
      </c>
      <c r="G10" s="86" t="s">
        <v>64</v>
      </c>
      <c r="H10" s="86" t="s">
        <v>64</v>
      </c>
      <c r="I10" s="86" t="s">
        <v>64</v>
      </c>
      <c r="J10" s="86" t="s">
        <v>64</v>
      </c>
      <c r="K10" s="86" t="s">
        <v>64</v>
      </c>
      <c r="L10" s="86" t="s">
        <v>64</v>
      </c>
    </row>
    <row r="11" spans="3:12">
      <c r="C11" s="47" t="s">
        <v>45</v>
      </c>
      <c r="D11" s="86" t="s">
        <v>64</v>
      </c>
      <c r="E11" s="86" t="s">
        <v>64</v>
      </c>
      <c r="F11" s="86" t="s">
        <v>64</v>
      </c>
      <c r="G11" s="86" t="s">
        <v>64</v>
      </c>
      <c r="H11" s="86" t="s">
        <v>64</v>
      </c>
      <c r="I11" s="86" t="s">
        <v>64</v>
      </c>
      <c r="J11" s="86" t="s">
        <v>64</v>
      </c>
      <c r="K11" s="86" t="s">
        <v>64</v>
      </c>
      <c r="L11" s="86" t="s">
        <v>64</v>
      </c>
    </row>
    <row r="12" spans="3:12">
      <c r="C12" s="47" t="s">
        <v>46</v>
      </c>
      <c r="D12" s="86" t="s">
        <v>64</v>
      </c>
      <c r="E12" s="86" t="s">
        <v>64</v>
      </c>
      <c r="F12" s="86" t="s">
        <v>64</v>
      </c>
      <c r="G12" s="86" t="s">
        <v>64</v>
      </c>
      <c r="H12" s="86" t="s">
        <v>64</v>
      </c>
      <c r="I12" s="86" t="s">
        <v>64</v>
      </c>
      <c r="J12" s="86" t="s">
        <v>64</v>
      </c>
      <c r="K12" s="86" t="s">
        <v>64</v>
      </c>
      <c r="L12" s="86" t="s">
        <v>64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64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64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65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8" t="s">
        <v>66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6">
      <c r="C23" s="42"/>
      <c r="D23" s="236" t="s">
        <v>36</v>
      </c>
      <c r="E23" s="237"/>
      <c r="F23" s="238"/>
      <c r="G23" s="236" t="s">
        <v>22</v>
      </c>
      <c r="H23" s="237"/>
      <c r="I23" s="238"/>
      <c r="J23" s="231" t="s">
        <v>60</v>
      </c>
      <c r="K23" s="232"/>
      <c r="L23" s="233"/>
    </row>
    <row r="24" spans="3:12">
      <c r="C24" s="42"/>
      <c r="D24" s="42" t="s">
        <v>61</v>
      </c>
      <c r="E24" s="42" t="s">
        <v>62</v>
      </c>
      <c r="F24" s="42" t="s">
        <v>63</v>
      </c>
      <c r="G24" s="42" t="s">
        <v>61</v>
      </c>
      <c r="H24" s="42" t="s">
        <v>62</v>
      </c>
      <c r="I24" s="42" t="s">
        <v>63</v>
      </c>
      <c r="J24" s="49" t="s">
        <v>61</v>
      </c>
      <c r="K24" s="49" t="s">
        <v>62</v>
      </c>
      <c r="L24" s="49" t="s">
        <v>63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65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8" t="s">
        <v>67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6">
      <c r="C41" s="42"/>
      <c r="D41" s="236" t="s">
        <v>36</v>
      </c>
      <c r="E41" s="237"/>
      <c r="F41" s="238"/>
      <c r="G41" s="236" t="s">
        <v>22</v>
      </c>
      <c r="H41" s="237"/>
      <c r="I41" s="238"/>
      <c r="J41" s="231" t="s">
        <v>60</v>
      </c>
      <c r="K41" s="232"/>
      <c r="L41" s="233"/>
    </row>
    <row r="42" spans="3:43">
      <c r="C42" s="42"/>
      <c r="D42" s="42" t="s">
        <v>61</v>
      </c>
      <c r="E42" s="42" t="s">
        <v>62</v>
      </c>
      <c r="F42" s="42" t="s">
        <v>63</v>
      </c>
      <c r="G42" s="42" t="s">
        <v>61</v>
      </c>
      <c r="H42" s="42" t="s">
        <v>62</v>
      </c>
      <c r="I42" s="42" t="s">
        <v>63</v>
      </c>
      <c r="J42" s="49" t="s">
        <v>61</v>
      </c>
      <c r="K42" s="49" t="s">
        <v>62</v>
      </c>
      <c r="L42" s="49" t="s">
        <v>63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4"/>
      <c r="AO49" s="234"/>
      <c r="AP49" s="234"/>
      <c r="AQ49" s="234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5"/>
      <c r="AP50" s="235"/>
      <c r="AQ50" s="235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65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8" t="s">
        <v>68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31" t="s">
        <v>36</v>
      </c>
      <c r="E59" s="232"/>
      <c r="F59" s="233"/>
      <c r="G59" s="231" t="s">
        <v>22</v>
      </c>
      <c r="H59" s="232"/>
      <c r="I59" s="233"/>
      <c r="J59" s="231" t="s">
        <v>37</v>
      </c>
      <c r="K59" s="232"/>
      <c r="L59" s="233"/>
      <c r="M59" s="231" t="s">
        <v>60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61</v>
      </c>
      <c r="E60" s="42" t="s">
        <v>62</v>
      </c>
      <c r="F60" s="42" t="s">
        <v>63</v>
      </c>
      <c r="G60" s="42" t="s">
        <v>61</v>
      </c>
      <c r="H60" s="42" t="s">
        <v>62</v>
      </c>
      <c r="I60" s="42" t="s">
        <v>63</v>
      </c>
      <c r="J60" s="42" t="s">
        <v>61</v>
      </c>
      <c r="K60" s="42" t="s">
        <v>62</v>
      </c>
      <c r="L60" s="42" t="s">
        <v>63</v>
      </c>
      <c r="M60" s="49" t="s">
        <v>61</v>
      </c>
      <c r="N60" s="49" t="s">
        <v>62</v>
      </c>
      <c r="O60" s="49" t="s">
        <v>63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65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8" t="s">
        <v>69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6">
      <c r="C77" s="42"/>
      <c r="D77" s="231" t="s">
        <v>36</v>
      </c>
      <c r="E77" s="232"/>
      <c r="F77" s="233"/>
      <c r="G77" s="231" t="s">
        <v>22</v>
      </c>
      <c r="H77" s="232"/>
      <c r="I77" s="233"/>
      <c r="J77" s="231" t="s">
        <v>37</v>
      </c>
      <c r="K77" s="232"/>
      <c r="L77" s="233"/>
      <c r="M77" s="231" t="s">
        <v>60</v>
      </c>
      <c r="N77" s="232"/>
      <c r="O77" s="233"/>
    </row>
    <row r="78" spans="3:43">
      <c r="C78" s="42"/>
      <c r="D78" s="42" t="s">
        <v>61</v>
      </c>
      <c r="E78" s="42" t="s">
        <v>62</v>
      </c>
      <c r="F78" s="42" t="s">
        <v>63</v>
      </c>
      <c r="G78" s="42" t="s">
        <v>61</v>
      </c>
      <c r="H78" s="42" t="s">
        <v>62</v>
      </c>
      <c r="I78" s="42" t="s">
        <v>63</v>
      </c>
      <c r="J78" s="42" t="s">
        <v>61</v>
      </c>
      <c r="K78" s="42" t="s">
        <v>62</v>
      </c>
      <c r="L78" s="42" t="s">
        <v>63</v>
      </c>
      <c r="M78" s="49" t="s">
        <v>61</v>
      </c>
      <c r="N78" s="49" t="s">
        <v>62</v>
      </c>
      <c r="O78" s="49" t="s">
        <v>63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70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52</v>
      </c>
      <c r="D90" s="86">
        <f>Smithfield!J6</f>
        <v>439579.5</v>
      </c>
      <c r="E90" s="86">
        <v>200509</v>
      </c>
      <c r="F90" s="46">
        <f t="shared" si="29"/>
        <v>2.1923180505613216</v>
      </c>
      <c r="G90" s="86">
        <f>Merrimack!J6</f>
        <v>341440.81690140814</v>
      </c>
      <c r="H90" s="86">
        <v>186514</v>
      </c>
      <c r="I90" s="46">
        <f>G90/H90</f>
        <v>1.8306444390308938</v>
      </c>
      <c r="J90" s="86">
        <f>Westlake!J6</f>
        <v>466366</v>
      </c>
      <c r="K90" s="86">
        <v>250803</v>
      </c>
      <c r="L90" s="46">
        <f t="shared" si="31"/>
        <v>1.859491313899754</v>
      </c>
      <c r="M90" s="50">
        <f t="shared" si="35"/>
        <v>1247386.3169014081</v>
      </c>
      <c r="N90" s="50">
        <f t="shared" si="34"/>
        <v>637826</v>
      </c>
      <c r="O90" s="51">
        <f t="shared" si="32"/>
        <v>1.9556843353852118</v>
      </c>
    </row>
    <row r="91" spans="3:16">
      <c r="C91" s="49" t="s">
        <v>65</v>
      </c>
      <c r="D91" s="53">
        <f>SUM(D79:D90)</f>
        <v>4703755.2</v>
      </c>
      <c r="E91" s="53">
        <f>SUM(E79:E90)</f>
        <v>4199996.8692999994</v>
      </c>
      <c r="F91" s="55">
        <f>D91/E91</f>
        <v>1.1199425490962236</v>
      </c>
      <c r="G91" s="53">
        <f>SUM(G79:G90)</f>
        <v>3700973.1619014079</v>
      </c>
      <c r="H91" s="53">
        <f>SUM(H79:H90)</f>
        <v>3528167.0586000006</v>
      </c>
      <c r="I91" s="55">
        <f t="shared" ref="I91" si="36">G91/H91</f>
        <v>1.0489790025333943</v>
      </c>
      <c r="J91" s="53">
        <f>SUM(J79:J90)</f>
        <v>5605504.0000000009</v>
      </c>
      <c r="K91" s="53">
        <f>SUM(K79:K90)</f>
        <v>5141104.1964999996</v>
      </c>
      <c r="L91" s="55">
        <f>J91/K91</f>
        <v>1.0903307510896509</v>
      </c>
      <c r="M91" s="54">
        <f t="shared" si="35"/>
        <v>14010232.36190141</v>
      </c>
      <c r="N91" s="54">
        <f t="shared" si="34"/>
        <v>12869268.124399999</v>
      </c>
      <c r="O91" s="55">
        <f t="shared" ref="O91" si="37">M91/N91</f>
        <v>1.0886580516057596</v>
      </c>
    </row>
    <row r="94" spans="3:16">
      <c r="C94" s="228" t="s">
        <v>71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6">
      <c r="C95" s="42"/>
      <c r="D95" s="231" t="s">
        <v>36</v>
      </c>
      <c r="E95" s="232"/>
      <c r="F95" s="233"/>
      <c r="G95" s="231" t="s">
        <v>22</v>
      </c>
      <c r="H95" s="232"/>
      <c r="I95" s="233"/>
      <c r="J95" s="231" t="s">
        <v>37</v>
      </c>
      <c r="K95" s="232"/>
      <c r="L95" s="233"/>
      <c r="M95" s="231" t="s">
        <v>60</v>
      </c>
      <c r="N95" s="232"/>
      <c r="O95" s="233"/>
    </row>
    <row r="96" spans="3:16">
      <c r="C96" s="42"/>
      <c r="D96" s="42" t="s">
        <v>61</v>
      </c>
      <c r="E96" s="42" t="s">
        <v>62</v>
      </c>
      <c r="F96" s="42" t="s">
        <v>63</v>
      </c>
      <c r="G96" s="42" t="s">
        <v>61</v>
      </c>
      <c r="H96" s="42" t="s">
        <v>62</v>
      </c>
      <c r="I96" s="42" t="s">
        <v>63</v>
      </c>
      <c r="J96" s="42" t="s">
        <v>61</v>
      </c>
      <c r="K96" s="42" t="s">
        <v>62</v>
      </c>
      <c r="L96" s="42" t="s">
        <v>63</v>
      </c>
      <c r="M96" s="49" t="s">
        <v>61</v>
      </c>
      <c r="N96" s="49" t="s">
        <v>62</v>
      </c>
      <c r="O96" s="49" t="s">
        <v>63</v>
      </c>
    </row>
    <row r="97" spans="3:15">
      <c r="C97" s="47" t="s">
        <v>41</v>
      </c>
      <c r="D97" s="48">
        <v>194299.75</v>
      </c>
      <c r="E97" s="48">
        <v>261206.57600000006</v>
      </c>
      <c r="F97" s="46">
        <f t="shared" ref="F97:F100" si="38">D97/E97</f>
        <v>0.74385474123744866</v>
      </c>
      <c r="G97" s="48">
        <v>152720.45000000001</v>
      </c>
      <c r="H97" s="48">
        <v>225291.31930000006</v>
      </c>
      <c r="I97" s="46">
        <f t="shared" ref="I97:I100" si="39">G97/H97</f>
        <v>0.67787986893820795</v>
      </c>
      <c r="J97" s="48">
        <v>359558</v>
      </c>
      <c r="K97" s="48">
        <v>330650.56599999988</v>
      </c>
      <c r="L97" s="46">
        <f t="shared" ref="L97:L100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>
      <c r="C98" s="47" t="s">
        <v>42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0" si="42">SUM(D98,G98,J98)</f>
        <v>704570.5</v>
      </c>
      <c r="N98" s="50">
        <f t="shared" ref="N98:N100" si="43">SUM(E98,H98,K98)</f>
        <v>814511.79449999984</v>
      </c>
      <c r="O98" s="51">
        <f t="shared" si="41"/>
        <v>0.86502185082845984</v>
      </c>
    </row>
    <row r="99" spans="3:15">
      <c r="C99" s="93" t="s">
        <v>43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>
      <c r="C100" s="47" t="s">
        <v>44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>
      <c r="C101" s="47" t="s">
        <v>45</v>
      </c>
      <c r="D101" s="105"/>
      <c r="E101" s="48"/>
      <c r="F101" s="46"/>
      <c r="G101" s="105"/>
      <c r="H101" s="48"/>
      <c r="I101" s="46"/>
      <c r="J101" s="48"/>
      <c r="K101" s="48"/>
      <c r="L101" s="46"/>
      <c r="M101" s="50"/>
      <c r="N101" s="50"/>
      <c r="O101" s="51"/>
    </row>
    <row r="102" spans="3:15">
      <c r="C102" s="47" t="s">
        <v>46</v>
      </c>
      <c r="D102" s="48"/>
      <c r="E102" s="48"/>
      <c r="F102" s="46"/>
      <c r="G102" s="48"/>
      <c r="H102" s="48"/>
      <c r="I102" s="46"/>
      <c r="J102" s="48"/>
      <c r="K102" s="48"/>
      <c r="L102" s="46"/>
      <c r="M102" s="50"/>
      <c r="N102" s="50"/>
      <c r="O102" s="51"/>
    </row>
    <row r="103" spans="3:15">
      <c r="C103" s="47" t="s">
        <v>47</v>
      </c>
      <c r="D103" s="48"/>
      <c r="E103" s="48"/>
      <c r="F103" s="46"/>
      <c r="G103" s="48"/>
      <c r="H103" s="48"/>
      <c r="I103" s="46"/>
      <c r="J103" s="48"/>
      <c r="K103" s="48"/>
      <c r="L103" s="46"/>
      <c r="M103" s="50"/>
      <c r="N103" s="50"/>
      <c r="O103" s="51"/>
    </row>
    <row r="104" spans="3:15">
      <c r="C104" s="47" t="s">
        <v>48</v>
      </c>
      <c r="D104" s="86"/>
      <c r="E104" s="86"/>
      <c r="F104" s="46"/>
      <c r="G104" s="86"/>
      <c r="H104" s="86"/>
      <c r="I104" s="46"/>
      <c r="J104" s="86"/>
      <c r="K104" s="86"/>
      <c r="L104" s="46"/>
      <c r="M104" s="50"/>
      <c r="N104" s="50"/>
      <c r="O104" s="51"/>
    </row>
    <row r="105" spans="3:15">
      <c r="C105" s="47" t="s">
        <v>49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>
      <c r="C106" s="47" t="s">
        <v>50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>
      <c r="C107" s="47" t="s">
        <v>51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>
      <c r="C108" s="47" t="s">
        <v>52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65</v>
      </c>
      <c r="D109" s="53">
        <f>SUM(D97:D108)</f>
        <v>1270663.25</v>
      </c>
      <c r="E109" s="53">
        <f>SUM(E97:E108)</f>
        <v>1306258.6870000002</v>
      </c>
      <c r="F109" s="55">
        <f>D109/E109</f>
        <v>0.97275008591005052</v>
      </c>
      <c r="G109" s="53">
        <f>SUM(G97:G108)</f>
        <v>924420.26790140814</v>
      </c>
      <c r="H109" s="53">
        <f>SUM(H97:H108)</f>
        <v>1090002.8155999999</v>
      </c>
      <c r="I109" s="55">
        <f t="shared" ref="I109" si="44">G109/H109</f>
        <v>0.84808979818327757</v>
      </c>
      <c r="J109" s="53">
        <f>SUM(J97:J108)</f>
        <v>1710129</v>
      </c>
      <c r="K109" s="53">
        <f>SUM(K97:K108)</f>
        <v>1542023.6797999998</v>
      </c>
      <c r="L109" s="55">
        <f>J109/K109</f>
        <v>1.1090160432697138</v>
      </c>
      <c r="M109" s="54">
        <f t="shared" ref="M109" si="45">SUM(D109,G109,J109)</f>
        <v>3905212.517901408</v>
      </c>
      <c r="N109" s="54">
        <f t="shared" ref="N109" si="46">SUM(E109,H109,K109)</f>
        <v>3938285.1824000003</v>
      </c>
      <c r="O109" s="55">
        <f t="shared" si="41"/>
        <v>0.99160226774678673</v>
      </c>
    </row>
  </sheetData>
  <mergeCells count="29">
    <mergeCell ref="C94:O94"/>
    <mergeCell ref="D95:F95"/>
    <mergeCell ref="G95:I95"/>
    <mergeCell ref="J95:L95"/>
    <mergeCell ref="M95:O95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20" workbookViewId="0">
      <selection activeCell="D20" sqref="D20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72</v>
      </c>
      <c r="B4" s="71" t="s">
        <v>73</v>
      </c>
      <c r="C4" s="71" t="s">
        <v>74</v>
      </c>
      <c r="D4" s="72" t="s">
        <v>4</v>
      </c>
      <c r="E4" s="73" t="s">
        <v>75</v>
      </c>
      <c r="F4" s="60"/>
      <c r="G4" s="60"/>
      <c r="H4" s="60"/>
    </row>
    <row r="5" spans="1:8">
      <c r="A5" s="1" t="s">
        <v>36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37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37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37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37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37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37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37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37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37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37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37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37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76</v>
      </c>
      <c r="B1" s="17" t="s">
        <v>77</v>
      </c>
      <c r="C1" s="17" t="s">
        <v>78</v>
      </c>
      <c r="D1" s="32"/>
      <c r="H1" s="195" t="s">
        <v>79</v>
      </c>
      <c r="I1" s="195"/>
      <c r="J1" s="195"/>
      <c r="K1" s="195"/>
      <c r="L1" s="195"/>
      <c r="M1" s="195"/>
      <c r="N1" s="195"/>
      <c r="O1" s="195"/>
      <c r="Q1" s="32" t="s">
        <v>80</v>
      </c>
    </row>
    <row r="2" spans="1:17">
      <c r="A2" s="33" t="s">
        <v>81</v>
      </c>
      <c r="B2" s="34" t="s">
        <v>82</v>
      </c>
      <c r="C2" s="34" t="s">
        <v>83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84</v>
      </c>
      <c r="F5" s="19"/>
      <c r="G5" t="s">
        <v>85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76</v>
      </c>
      <c r="B1" s="17" t="s">
        <v>77</v>
      </c>
      <c r="C1" s="17" t="s">
        <v>78</v>
      </c>
      <c r="G1" t="s">
        <v>86</v>
      </c>
      <c r="P1" t="s">
        <v>87</v>
      </c>
    </row>
    <row r="2" spans="1:16">
      <c r="A2" s="16" t="s">
        <v>81</v>
      </c>
      <c r="B2" s="18" t="s">
        <v>82</v>
      </c>
      <c r="C2" s="18" t="s">
        <v>83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85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88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76</v>
      </c>
      <c r="B1" s="17" t="s">
        <v>77</v>
      </c>
      <c r="C1" s="17" t="s">
        <v>78</v>
      </c>
      <c r="G1" s="195" t="s">
        <v>89</v>
      </c>
      <c r="H1" s="195"/>
      <c r="I1" s="195"/>
      <c r="J1" s="195"/>
      <c r="K1" s="195"/>
      <c r="L1" s="195"/>
      <c r="M1" s="195"/>
      <c r="N1" s="195"/>
      <c r="P1" s="32" t="s">
        <v>90</v>
      </c>
    </row>
    <row r="2" spans="1:16">
      <c r="A2" s="16" t="s">
        <v>81</v>
      </c>
      <c r="B2" s="18" t="s">
        <v>82</v>
      </c>
      <c r="C2" s="18" t="s">
        <v>83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85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91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76</v>
      </c>
      <c r="B1" s="17" t="s">
        <v>77</v>
      </c>
      <c r="C1" s="17" t="s">
        <v>78</v>
      </c>
      <c r="G1" s="195" t="s">
        <v>92</v>
      </c>
      <c r="H1" s="195"/>
      <c r="I1" s="195"/>
      <c r="J1" s="195"/>
      <c r="K1" s="195"/>
      <c r="L1" s="195"/>
      <c r="M1" s="195"/>
      <c r="N1" s="195"/>
      <c r="P1" s="32" t="s">
        <v>93</v>
      </c>
    </row>
    <row r="2" spans="1:16">
      <c r="A2" s="16" t="s">
        <v>81</v>
      </c>
      <c r="B2" s="18" t="s">
        <v>82</v>
      </c>
      <c r="C2" s="18" t="s">
        <v>83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85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94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93932A-EADB-4BA4-B1E1-C6577ED66C1F}"/>
</file>

<file path=customXml/itemProps2.xml><?xml version="1.0" encoding="utf-8"?>
<ds:datastoreItem xmlns:ds="http://schemas.openxmlformats.org/officeDocument/2006/customXml" ds:itemID="{AE4FB608-2C95-4CB3-B789-2A06D4831A94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Jayasri  Garapati</cp:lastModifiedBy>
  <cp:revision/>
  <dcterms:created xsi:type="dcterms:W3CDTF">2013-05-02T09:51:31Z</dcterms:created>
  <dcterms:modified xsi:type="dcterms:W3CDTF">2025-05-14T10:11:58Z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