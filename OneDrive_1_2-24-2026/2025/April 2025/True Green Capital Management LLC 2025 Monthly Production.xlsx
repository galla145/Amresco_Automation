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B3DAB4AD-626D-4861-BFCD-EC6399E9B90B}" xr6:coauthVersionLast="47" xr6:coauthVersionMax="47" xr10:uidLastSave="{00000000-0000-0000-0000-000000000000}"/>
  <bookViews>
    <workbookView xWindow="-108" yWindow="-108" windowWidth="23256" windowHeight="1389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8" l="1"/>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H5" i="29"/>
  <c r="H6" i="29"/>
  <c r="H7" i="29"/>
  <c r="H8" i="29"/>
  <c r="H4" i="29"/>
  <c r="G5" i="29"/>
  <c r="G6" i="29"/>
  <c r="G7" i="29"/>
  <c r="G8" i="29"/>
  <c r="G4" i="29"/>
  <c r="D5" i="29"/>
  <c r="E5" i="29" s="1"/>
  <c r="F5" i="29" s="1"/>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19" a="1"/>
  <c r="A4" i="19"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H6" i="19"/>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H7" i="27"/>
  <c r="I7" i="27" s="1"/>
  <c r="H6" i="27"/>
  <c r="I6" i="27" s="1"/>
  <c r="E6" i="27"/>
  <c r="F6" i="27" s="1"/>
  <c r="H5" i="27"/>
  <c r="I5" i="27" s="1"/>
  <c r="E5" i="27"/>
  <c r="F5" i="27" s="1"/>
  <c r="H4" i="27"/>
  <c r="I4" i="27" s="1"/>
  <c r="E4" i="27"/>
  <c r="F4" i="27" s="1"/>
  <c r="G2" i="27"/>
  <c r="D2" i="27"/>
  <c r="C2" i="27"/>
  <c r="A1" i="27" a="1"/>
  <c r="A1" i="27" s="1"/>
  <c r="H10" i="26"/>
  <c r="E10" i="26"/>
  <c r="F10" i="26" s="1"/>
  <c r="H9" i="26"/>
  <c r="I9" i="26" s="1"/>
  <c r="E9" i="26"/>
  <c r="F9" i="26" s="1"/>
  <c r="H8" i="26"/>
  <c r="I8" i="26" s="1"/>
  <c r="E8" i="26"/>
  <c r="F8" i="26" s="1"/>
  <c r="H7" i="26"/>
  <c r="E7" i="26"/>
  <c r="F7" i="26" s="1"/>
  <c r="H6" i="26"/>
  <c r="I6" i="26" s="1"/>
  <c r="E6" i="26"/>
  <c r="F6" i="26" s="1"/>
  <c r="H5" i="26"/>
  <c r="I5" i="26" s="1"/>
  <c r="E5" i="26"/>
  <c r="F5" i="26" s="1"/>
  <c r="H4" i="26"/>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7" i="18" l="1"/>
  <c r="H6" i="18"/>
  <c r="I6" i="18" s="1"/>
  <c r="H5" i="18"/>
  <c r="H4" i="18"/>
  <c r="I4" i="18" s="1"/>
  <c r="I8" i="72"/>
  <c r="H8" i="1"/>
  <c r="I7" i="72"/>
  <c r="H7" i="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I7"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I5"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<sst xmlns="http://schemas.openxmlformats.org/spreadsheetml/2006/main" count="313" uniqueCount="111">
  <si>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</si>
  <si>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</si>
  <si>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</si>
  <si>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</si>
  <si>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</si>
  <si>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</si>
  <si>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</si>
  <si>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</si>
  <si>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</si>
  <si>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</si>
  <si>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</si>
  <si>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</si>
  <si>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</si>
  <si>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</si>
  <si>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</si>
  <si>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</si>
  <si>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</si>
  <si>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</si>
  <si>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</si>
  <si>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</si>
  <si>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</si>
  <si>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</si>
  <si>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</si>
  <si>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</si>
  <si>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</si>
  <si>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</si>
  <si>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 xml:space="preserve">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 Energy values are updated from 03/11 , and till 03/10 the data is in Ecofin client templete. </t>
  </si>
  <si>
    <t>1.SR098364
2.SR099220
3.SR099222
4.SR099295
5.SR099221
6.SR095849
7.SR099224</t>
  </si>
  <si>
    <t>SR099220</t>
  </si>
  <si>
    <t>SR099222</t>
  </si>
  <si>
    <t>SR099295</t>
  </si>
  <si>
    <t>SR099221</t>
  </si>
  <si>
    <t>SR095849</t>
  </si>
  <si>
    <t>SR099224</t>
  </si>
  <si>
    <t>1.Inverter 21 was derating approximately by 50KW due to external fan fault on high irradiance days. Additionally 5 trackers were stuck.
2.Energy values are updated from 03/11 , and till 03/10 the data is in Ecofin client templete.</t>
  </si>
  <si>
    <t>1.SR097728,SR098569, SR096181 &amp; SR098568.</t>
  </si>
  <si>
    <t>SR098569</t>
  </si>
  <si>
    <t>SR096181</t>
  </si>
  <si>
    <t>SR098568</t>
  </si>
  <si>
    <t>1.Inverter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8.Energy values are updated from 03/11 , and till 03/10 the data is in Ecofin client templete.</t>
  </si>
  <si>
    <t>1.SR098302
2.SR098925
3.SR099141
4.SR097757
5.SR098566</t>
  </si>
  <si>
    <t>SR098925</t>
  </si>
  <si>
    <t>SR099141</t>
  </si>
  <si>
    <t>SR097757</t>
  </si>
  <si>
    <t>SR098566</t>
  </si>
  <si>
    <t>1.Hukseflux SR15-D1-POA &amp; Huskseflux SR15-D1-BPOA  stopped communicating from 03/16/25. Huskseflux SR15-D1-BPOA has resumed communication on 03/29.
2.Energy values are updated from 03/11 , and till 03/10 the data is in Ecofin client templete.</t>
  </si>
  <si>
    <t>1.SR099420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</si>
  <si>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</si>
  <si>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</si>
  <si>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</si>
  <si>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</si>
  <si>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</si>
  <si>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</si>
  <si>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</si>
  <si>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</si>
  <si>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</si>
  <si>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</si>
  <si>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</si>
  <si>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</si>
  <si>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</si>
  <si>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</si>
  <si>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</si>
  <si>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</si>
  <si>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</si>
  <si>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</si>
  <si>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</si>
  <si>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</si>
  <si>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</si>
  <si>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</si>
  <si>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</si>
  <si>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</si>
  <si>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</si>
  <si>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</si>
  <si>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</si>
  <si>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</si>
  <si>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</si>
  <si>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</si>
  <si>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</si>
  <si>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</si>
  <si>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</si>
  <si>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</si>
  <si>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</si>
  <si>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</si>
  <si>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</si>
  <si>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</si>
  <si>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</si>
  <si>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</si>
  <si>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</si>
  <si>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</si>
  <si>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</si>
  <si>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</si>
  <si>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</si>
  <si>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</si>
  <si>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</si>
  <si>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</si>
  <si>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</si>
  <si>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</si>
  <si>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</si>
  <si>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</si>
  <si>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</si>
  <si>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Powertrack</t>
  </si>
  <si>
    <t>Fund IV - Hemings</t>
  </si>
  <si>
    <t>Warsaw - Hemings</t>
  </si>
  <si>
    <t>VA</t>
  </si>
  <si>
    <t>AEF</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</si>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</sst>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69">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49" fontId="36"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1" fillId="0" borderId="0" xfId="0" applyNumberFormat="1" applyFont="1" applyAlignment="1">
      <alignment horizontal="left" vertical="top" wrapText="1"/>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4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D18" sqref="D1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0</v>
      </c>
      <c r="E1" s="67"/>
      <c r="F1" s="67"/>
      <c r="G1" s="65" t="s">
        <v>1</v>
      </c>
      <c r="H1" s="65"/>
      <c r="I1" s="65"/>
    </row>
    <row r="2" spans="1:9" ht="19.5" customHeight="1">
      <c r="A2" s="68" t="s">
        <v>2</v>
      </c>
      <c r="B2" s="68"/>
      <c r="C2" s="5">
        <f>SUM(C4:C86)</f>
        <v>6453396.2055988982</v>
      </c>
      <c r="D2" s="5">
        <f>SUM(D4:D86)</f>
        <v>6086324.7000000002</v>
      </c>
      <c r="E2" s="5">
        <f>C2-D2</f>
        <v>367071.50559889805</v>
      </c>
      <c r="F2" s="6">
        <f>IFERROR(E2/D2, 0)</f>
        <v>6.0310864715925859E-2</v>
      </c>
      <c r="G2" s="5">
        <f>SUM(G4:G86)</f>
        <v>6877493</v>
      </c>
      <c r="H2" s="7">
        <f>C2-G2</f>
        <v>-424096.79440110177</v>
      </c>
      <c r="I2" s="6">
        <f>IFERROR(H2/G2, 0)</f>
        <v>-6.166444580911995E-2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SUM('1st Qtr'!C4, '2nd Qtr'!C4, '3rd Qtr'!C4, '4th Qtr'!C4)</f>
        <v>3003654</v>
      </c>
      <c r="D4" s="13">
        <f>SUM('1st Qtr'!D4, '2nd Qtr'!D4, '3rd Qtr'!D4, '4th Qtr'!D4)</f>
        <v>3195971.7</v>
      </c>
      <c r="E4" s="13">
        <f>IF(AND(ISNUMBER(C4),ISNUMBER(D4)), C4-D4, "")</f>
        <v>-192317.70000000019</v>
      </c>
      <c r="F4" s="14">
        <f>IFERROR(E4/D4, "")</f>
        <v>-6.0175032213207698E-2</v>
      </c>
      <c r="G4" s="15">
        <f>SUM('1st Qtr'!G4, '2nd Qtr'!G4, '3rd Qtr'!G4, '4th Qtr'!G4)</f>
        <v>3334636.8</v>
      </c>
      <c r="H4" s="15">
        <f>SUM('1st Qtr'!H4, '2nd Qtr'!H4, '3rd Qtr'!H4, '4th Qtr'!H4)</f>
        <v>-330982.80000000005</v>
      </c>
      <c r="I4" s="53">
        <f>IFERROR(H4/G4, "")</f>
        <v>-9.925602692323196E-2</v>
      </c>
    </row>
    <row r="5" spans="1:9" ht="15.6">
      <c r="A5" s="17" t="str">
        <v>Warsaw - Hemings</v>
      </c>
      <c r="B5" s="10" t="str">
        <v>VA</v>
      </c>
      <c r="C5" s="18">
        <f>SUM('1st Qtr'!C5, '2nd Qtr'!C5, '3rd Qtr'!C5, '4th Qtr'!C5)</f>
        <v>1679152.300000001</v>
      </c>
      <c r="D5" s="18">
        <f>SUM('1st Qtr'!D5, '2nd Qtr'!D5, '3rd Qtr'!D5, '4th Qtr'!D5)</f>
        <v>1775308.3</v>
      </c>
      <c r="E5" s="18">
        <f t="shared" ref="E5:E6" si="0">IF(AND(ISNUMBER(C5),ISNUMBER(D5)), C5-D5, "")</f>
        <v>-96155.999999999069</v>
      </c>
      <c r="F5" s="19">
        <f>IFERROR(E5/D5, "")</f>
        <v>-5.4162986789392617E-2</v>
      </c>
      <c r="G5" s="20">
        <f>SUM('1st Qtr'!G5, '2nd Qtr'!G5, '3rd Qtr'!G5, '4th Qtr'!G5)</f>
        <v>1673622.2</v>
      </c>
      <c r="H5" s="54">
        <f>SUM('1st Qtr'!H5, '2nd Qtr'!H5, '3rd Qtr'!H5, '4th Qtr'!H5)</f>
        <v>5530.1000000010245</v>
      </c>
      <c r="I5" s="19">
        <f>IFERROR(H5/G5, "")</f>
        <v>3.3042702229935913E-3</v>
      </c>
    </row>
    <row r="6" spans="1:9" ht="15.6">
      <c r="A6" s="12" t="str">
        <v>Mount Jackson - Randolf</v>
      </c>
      <c r="B6" s="9" t="str">
        <v>VA</v>
      </c>
      <c r="C6" s="24">
        <f>SUM('1st Qtr'!C6, '2nd Qtr'!C6, '3rd Qtr'!C6, '4th Qtr'!C6)</f>
        <v>979057.90559889795</v>
      </c>
      <c r="D6" s="13">
        <f>SUM('1st Qtr'!D6, '2nd Qtr'!D6, '3rd Qtr'!D6, '4th Qtr'!D6)</f>
        <v>1041198.4</v>
      </c>
      <c r="E6" s="13">
        <f t="shared" si="0"/>
        <v>-62140.494401102071</v>
      </c>
      <c r="F6" s="14">
        <f t="shared" ref="F6:F8" si="1">IFERROR(E6/D6, "")</f>
        <v>-5.9681703699412204E-2</v>
      </c>
      <c r="G6" s="15">
        <f>SUM('1st Qtr'!G6, '2nd Qtr'!G6, '3rd Qtr'!G6, '4th Qtr'!G6)</f>
        <v>1127513.1000000001</v>
      </c>
      <c r="H6" s="15">
        <f>SUM('1st Qtr'!H6, '2nd Qtr'!H6, '3rd Qtr'!H6, '4th Qtr'!H6)</f>
        <v>-148455.19440110197</v>
      </c>
      <c r="I6" s="16">
        <f t="shared" ref="I6:I8" si="2">IFERROR(H6/G6, "")</f>
        <v>-0.13166604840431739</v>
      </c>
    </row>
    <row r="7" spans="1:9" ht="15.6">
      <c r="A7" s="17" t="str">
        <v>Callands Gretna - Monroe</v>
      </c>
      <c r="B7" s="10" t="str">
        <v>VA</v>
      </c>
      <c r="C7" s="18">
        <f>SUM('1st Qtr'!C7, '2nd Qtr'!C7, '3rd Qtr'!C7, '4th Qtr'!C7)</f>
        <v>791532</v>
      </c>
      <c r="D7" s="18">
        <f>SUM('1st Qtr'!D7, '2nd Qtr'!D7, '3rd Qtr'!D7, '4th Qtr'!D7)</f>
        <v>73846.3</v>
      </c>
      <c r="E7" s="18">
        <f t="shared" ref="E7:E8" si="3">IF(AND(ISNUMBER(C7),ISNUMBER(D7)), C7-D7, "")</f>
        <v>717685.7</v>
      </c>
      <c r="F7" s="19">
        <f t="shared" si="1"/>
        <v>9.7186412860224536</v>
      </c>
      <c r="G7" s="20">
        <f>SUM('1st Qtr'!G7, '2nd Qtr'!G7, '3rd Qtr'!G7, '4th Qtr'!G7)</f>
        <v>741720.9</v>
      </c>
      <c r="H7" s="20">
        <f>SUM('1st Qtr'!H7, '2nd Qtr'!H7, '3rd Qtr'!H7, '4th Qtr'!H7)</f>
        <v>49811.099999999977</v>
      </c>
      <c r="I7" s="19">
        <f t="shared" si="2"/>
        <v>6.7156123010690377E-2</v>
      </c>
    </row>
    <row r="8" spans="1:9" ht="15.6">
      <c r="A8" s="12" t="str">
        <v>Rockbridge Baths - Small Mouth Bass</v>
      </c>
      <c r="B8" s="9" t="str">
        <v>VA</v>
      </c>
      <c r="C8" s="24">
        <f>SUM('1st Qtr'!C8, '2nd Qtr'!C8, '3rd Qtr'!C8, '4th Qtr'!C8)</f>
        <v>0</v>
      </c>
      <c r="D8" s="13">
        <f>SUM('1st Qtr'!D8, '2nd Qtr'!D8, '3rd Qtr'!D8, '4th Qtr'!D8)</f>
        <v>0</v>
      </c>
      <c r="E8" s="13">
        <f t="shared" si="3"/>
        <v>0</v>
      </c>
      <c r="F8" s="14" t="str">
        <f t="shared" si="1"/>
        <v/>
      </c>
      <c r="G8" s="15">
        <f>SUM('1st Qtr'!G8, '2nd Qtr'!G8, '3rd Qtr'!G8, '4th Qtr'!G8)</f>
        <v>0</v>
      </c>
      <c r="H8" s="15">
        <f>SUM('1st Qtr'!H8, '2nd Qtr'!H8, '3rd Qtr'!H8, '4th Qtr'!H8)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G8" sqref="G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10</v>
      </c>
      <c r="E1" s="67"/>
      <c r="F1" s="67"/>
      <c r="G1" s="65" t="s">
        <v>11</v>
      </c>
      <c r="H1" s="65"/>
      <c r="I1" s="65"/>
    </row>
    <row r="2" spans="1:9" ht="19.5" customHeight="1">
      <c r="A2" s="68" t="s">
        <v>2</v>
      </c>
      <c r="B2" s="68"/>
      <c r="C2" s="5">
        <f>SUM(C4:C86)</f>
        <v>2648764.2000000002</v>
      </c>
      <c r="D2" s="5">
        <f>SUM(D4:D86)</f>
        <v>2517326.9</v>
      </c>
      <c r="E2" s="5">
        <f>C2-D2</f>
        <v>131437.30000000028</v>
      </c>
      <c r="F2" s="6">
        <f>IFERROR(E2/D2, 0)</f>
        <v>5.2213043923695523E-2</v>
      </c>
      <c r="G2" s="5">
        <f>SUM(G4:G86)</f>
        <v>2572633.7000000002</v>
      </c>
      <c r="H2" s="7">
        <f>C2-G2</f>
        <v>76130.5</v>
      </c>
      <c r="I2" s="6">
        <f>IFERROR(H2/G2, 0)</f>
        <v>2.9592436731276588E-2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SUM(Jan!C4, Feb!C4, Mar!C4)</f>
        <v>1225301</v>
      </c>
      <c r="D4" s="13">
        <f>SUM(Jan!D4, Feb!D4, Mar!D4)</f>
        <v>1270191.7</v>
      </c>
      <c r="E4" s="13">
        <f>IF(AND(ISNUMBER(C4),ISNUMBER(D4)), C4-D4, "")</f>
        <v>-44890.699999999953</v>
      </c>
      <c r="F4" s="14">
        <f>IFERROR(E4/D4, "")</f>
        <v>-3.5341673229324327E-2</v>
      </c>
      <c r="G4" s="15">
        <f>SUM(Jan!G4, Feb!G4, Mar!G4)</f>
        <v>1235871.8</v>
      </c>
      <c r="H4" s="15">
        <f>SUM(Jan!H4, Feb!H4, Mar!H4)</f>
        <v>-10570.800000000047</v>
      </c>
      <c r="I4" s="16">
        <f>IFERROR(H4/G4, "")</f>
        <v>-8.5533143486242226E-3</v>
      </c>
    </row>
    <row r="5" spans="1:9" ht="15.6">
      <c r="A5" s="17" t="str">
        <v>Warsaw - Hemings</v>
      </c>
      <c r="B5" s="10" t="str">
        <v>VA</v>
      </c>
      <c r="C5" s="11">
        <f>SUM(Jan!C5, Feb!C5, Mar!C5)</f>
        <v>682045.5</v>
      </c>
      <c r="D5" s="18">
        <f>SUM(Jan!D5, Feb!D5, Mar!D5)</f>
        <v>732528.3</v>
      </c>
      <c r="E5" s="18">
        <f t="shared" ref="E5:E6" si="0">IF(AND(ISNUMBER(C5),ISNUMBER(D5)), C5-D5, "")</f>
        <v>-50482.800000000047</v>
      </c>
      <c r="F5" s="19">
        <f>IFERROR(E5/D5, "")</f>
        <v>-6.8915835743137907E-2</v>
      </c>
      <c r="G5" s="20">
        <f>SUM(Jan!G5, Feb!G5, Mar!G5)</f>
        <v>626767.19999999995</v>
      </c>
      <c r="H5" s="15">
        <f>SUM(Jan!H5, Feb!H5, Mar!H5)</f>
        <v>55278.300000000047</v>
      </c>
      <c r="I5" s="19">
        <f>IFERROR(H5/G5, "")</f>
        <v>8.819590431662673E-2</v>
      </c>
    </row>
    <row r="6" spans="1:9" ht="15.6">
      <c r="A6" s="12" t="str">
        <v>Mount Jackson - Randolf</v>
      </c>
      <c r="B6" s="9" t="str">
        <v>VA</v>
      </c>
      <c r="C6" s="24">
        <f>SUM(Jan!C6, Feb!C6, Mar!C6)</f>
        <v>415293.7</v>
      </c>
      <c r="D6" s="13">
        <f>SUM(Jan!D6, Feb!D6, Mar!D6)</f>
        <v>440760.6</v>
      </c>
      <c r="E6" s="13">
        <f t="shared" si="0"/>
        <v>-25466.899999999965</v>
      </c>
      <c r="F6" s="14">
        <f t="shared" ref="F6:F8" si="1">IFERROR(E6/D6, "")</f>
        <v>-5.7779438543281693E-2</v>
      </c>
      <c r="G6" s="15">
        <f>SUM(Jan!G6, Feb!G6, Mar!G6)</f>
        <v>428529</v>
      </c>
      <c r="H6" s="15">
        <f>SUM(Jan!H6, Feb!H6, Mar!H6)</f>
        <v>-13235.299999999988</v>
      </c>
      <c r="I6" s="16">
        <f t="shared" ref="I6:I8" si="2">IFERROR(H6/G6, "")</f>
        <v>-3.0885424323674682E-2</v>
      </c>
    </row>
    <row r="7" spans="1:9" ht="15.6">
      <c r="A7" s="17" t="str">
        <v>Callands Gretna - Monroe</v>
      </c>
      <c r="B7" s="10" t="str">
        <v>VA</v>
      </c>
      <c r="C7" s="11">
        <f>SUM(Jan!C7, Feb!C7, Mar!C7)</f>
        <v>326124</v>
      </c>
      <c r="D7" s="18">
        <f>SUM(Jan!D7, Feb!D7, Mar!D7)</f>
        <v>73846.3</v>
      </c>
      <c r="E7" s="18">
        <f t="shared" ref="E7:E8" si="3">IF(AND(ISNUMBER(C7),ISNUMBER(D7)), C7-D7, "")</f>
        <v>252277.7</v>
      </c>
      <c r="F7" s="19">
        <f t="shared" si="1"/>
        <v>3.4162537594977676</v>
      </c>
      <c r="G7" s="20">
        <f>SUM(Jan!G7, Feb!G7, Mar!G7)</f>
        <v>281465.7</v>
      </c>
      <c r="H7" s="15">
        <f>SUM(Jan!H7, Feb!H7, Mar!H7)</f>
        <v>44658.299999999988</v>
      </c>
      <c r="I7" s="19">
        <f t="shared" si="2"/>
        <v>0.15866338242990172</v>
      </c>
    </row>
    <row r="8" spans="1:9" ht="15.6">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44" priority="1" stopIfTrue="1" operator="lessThanOrEqual">
      <formula>-0.1</formula>
    </cfRule>
    <cfRule type="expression" dxfId="4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bottomRight" activeCell="G12" sqref="G12"/>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12</v>
      </c>
      <c r="E1" s="67"/>
      <c r="F1" s="67"/>
      <c r="G1" s="65" t="s">
        <v>13</v>
      </c>
      <c r="H1" s="65"/>
      <c r="I1" s="65"/>
    </row>
    <row r="2" spans="1:9" ht="19.5" customHeight="1">
      <c r="A2" s="68" t="s">
        <v>2</v>
      </c>
      <c r="B2" s="68"/>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SUM(Apr!C4, May!C4, Jun!C4)</f>
        <v>1778353</v>
      </c>
      <c r="D4" s="13">
        <f>SUM(Apr!D4,May!D4,Jun!D4)</f>
        <v>1925780</v>
      </c>
      <c r="E4" s="13">
        <f>IF(AND(ISNUMBER(C4),ISNUMBER(D4)), C4-D4, "")</f>
        <v>-147427</v>
      </c>
      <c r="F4" s="14">
        <f>IFERROR(E4/D4, "")</f>
        <v>-7.6554435086043052E-2</v>
      </c>
      <c r="G4" s="15">
        <f>SUM(Apr!G4,May!G4,Jun!G4)</f>
        <v>2098765</v>
      </c>
      <c r="H4" s="15">
        <f>SUM(Apr!H4,May!H4,Jun!G4)</f>
        <v>-320412</v>
      </c>
      <c r="I4" s="16">
        <f>IFERROR(H4/G4, "")</f>
        <v>-0.15266692554907291</v>
      </c>
    </row>
    <row r="5" spans="1:9" ht="15.6">
      <c r="A5" s="17" t="str">
        <v>Warsaw - Hemings</v>
      </c>
      <c r="B5" s="10" t="str">
        <v>VA</v>
      </c>
      <c r="C5" s="11">
        <f>SUM(Apr!C5, May!C5, Jun!C5)</f>
        <v>997106.80000000098</v>
      </c>
      <c r="D5" s="18">
        <f>SUM(Apr!D5,May!D5,Jun!D5)</f>
        <v>1042780</v>
      </c>
      <c r="E5" s="18">
        <f t="shared" ref="E5:E6" si="0">IF(AND(ISNUMBER(C5),ISNUMBER(D5)), C5-D5, "")</f>
        <v>-45673.199999999022</v>
      </c>
      <c r="F5" s="19">
        <f>IFERROR(E5/D5, "")</f>
        <v>-4.3799459138072289E-2</v>
      </c>
      <c r="G5" s="20">
        <f>SUM(Apr!G5,May!G5,Jun!G5)</f>
        <v>1046855</v>
      </c>
      <c r="H5" s="20">
        <f>SUM(Apr!H5,May!H5,Jun!G5)</f>
        <v>-49748.199999999022</v>
      </c>
      <c r="I5" s="19">
        <f>IFERROR(H5/G5, "")</f>
        <v>-4.7521576531610418E-2</v>
      </c>
    </row>
    <row r="6" spans="1:9" ht="15.6">
      <c r="A6" s="12" t="str">
        <v>Mount Jackson - Randolf</v>
      </c>
      <c r="B6" s="9" t="str">
        <v>VA</v>
      </c>
      <c r="C6" s="24">
        <f>SUM(Apr!C6, May!C6, Jun!C6)</f>
        <v>563764.205598898</v>
      </c>
      <c r="D6" s="13">
        <f>SUM(Apr!D6,May!D6,Jun!D6)</f>
        <v>600437.80000000005</v>
      </c>
      <c r="E6" s="13">
        <f t="shared" si="0"/>
        <v>-36673.594401102047</v>
      </c>
      <c r="F6" s="14">
        <f t="shared" ref="F6:F8" si="1">IFERROR(E6/D6, "")</f>
        <v>-6.1078090688331158E-2</v>
      </c>
      <c r="G6" s="15">
        <f>SUM(Apr!G6,May!G6,Jun!G6)</f>
        <v>698984.1</v>
      </c>
      <c r="H6" s="15">
        <f>SUM(Apr!H6,May!H6,Jun!G6)</f>
        <v>-135219.89440110198</v>
      </c>
      <c r="I6" s="16">
        <f t="shared" ref="I6:I8" si="2">IFERROR(H6/G6, "")</f>
        <v>-0.19345203188613586</v>
      </c>
    </row>
    <row r="7" spans="1:9" ht="15.6">
      <c r="A7" s="17" t="str">
        <v>Callands Gretna - Monroe</v>
      </c>
      <c r="B7" s="10" t="str">
        <v>VA</v>
      </c>
      <c r="C7" s="11">
        <f>SUM(Apr!C7, May!C7, Jun!C7)</f>
        <v>465408</v>
      </c>
      <c r="D7" s="18">
        <f>SUM(Apr!D7,May!D7,Jun!D7)</f>
        <v>0</v>
      </c>
      <c r="E7" s="18">
        <f t="shared" ref="E7:E8" si="3">IF(AND(ISNUMBER(C7),ISNUMBER(D7)), C7-D7, "")</f>
        <v>465408</v>
      </c>
      <c r="F7" s="19" t="str">
        <f t="shared" si="1"/>
        <v/>
      </c>
      <c r="G7" s="20">
        <f>SUM(Apr!G7,May!G7,Jun!G7)</f>
        <v>460255.2</v>
      </c>
      <c r="H7" s="20">
        <f>SUM(Apr!H7,May!H7,Jun!G7)</f>
        <v>5152.7999999999884</v>
      </c>
      <c r="I7" s="19">
        <f t="shared" si="2"/>
        <v>1.1195528046179572E-2</v>
      </c>
    </row>
    <row r="8" spans="1:9" ht="15.6">
      <c r="A8" s="12" t="str">
        <v>Rockbridge Baths - Small Mouth Bass</v>
      </c>
      <c r="B8" s="9" t="str">
        <v>VA</v>
      </c>
      <c r="C8" s="24">
        <f>SUM(Apr!C8, May!C8, Jun!C8)</f>
        <v>0</v>
      </c>
      <c r="D8" s="13">
        <f>SUM(Apr!D8,May!D8,Jun!D8)</f>
        <v>0</v>
      </c>
      <c r="E8" s="13">
        <f t="shared" si="3"/>
        <v>0</v>
      </c>
      <c r="F8" s="14" t="str">
        <f t="shared" si="1"/>
        <v/>
      </c>
      <c r="G8" s="15">
        <f>SUM(Apr!G8,May!G8,Jun!G8)</f>
        <v>0</v>
      </c>
      <c r="H8" s="15">
        <f>SUM(Apr!H8,May!H8,Jun!G8)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C4" activePane="bottomRight" state="frozen"/>
      <selection pane="bottomRight" activeCell="G24" sqref="G24"/>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14</v>
      </c>
      <c r="E1" s="67"/>
      <c r="F1" s="67"/>
      <c r="G1" s="65" t="s">
        <v>15</v>
      </c>
      <c r="H1" s="65"/>
      <c r="I1" s="65"/>
    </row>
    <row r="2" spans="1:9" ht="19.5" customHeight="1">
      <c r="A2" s="68" t="s">
        <v>2</v>
      </c>
      <c r="B2" s="68"/>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5.6">
      <c r="A5" s="17" t="str">
        <v>Warsaw - Hemings</v>
      </c>
      <c r="B5" s="10" t="str">
        <v>VA</v>
      </c>
      <c r="C5" s="11">
        <f>SUM(Jul!C5, Aug!C5, Sep!C5)</f>
        <v>0</v>
      </c>
      <c r="D5" s="18">
        <f>SUM(Jul!D5, Aug!D5, Sep!D5)</f>
        <v>0</v>
      </c>
      <c r="E5" s="18">
        <f t="shared" ref="E5:E6" si="0">IF(AND(ISNUMBER(C5),ISNUMBER(D5)), C5-D5, "")</f>
        <v>0</v>
      </c>
      <c r="F5" s="19" t="str">
        <f>IFERROR(E5/D5, "")</f>
        <v/>
      </c>
      <c r="G5" s="54">
        <f>SUM(Jul!G5,Aug!G5,Sep!G5)</f>
        <v>0</v>
      </c>
      <c r="H5" s="20">
        <f>SUM(Jul!H5, Aug!H5, Sep!H5)</f>
        <v>0</v>
      </c>
      <c r="I5" s="19" t="str">
        <f>IFERROR(H5/G5, "")</f>
        <v/>
      </c>
    </row>
    <row r="6" spans="1:9" ht="15.6">
      <c r="A6" s="12" t="str">
        <v>Mount Jackson - Randolf</v>
      </c>
      <c r="B6" s="9" t="str">
        <v>VA</v>
      </c>
      <c r="C6" s="24">
        <f>SUM(Jul!C6, Aug!C6, Sep!C6)</f>
        <v>0</v>
      </c>
      <c r="D6" s="13">
        <f>SUM(Jul!D6, Aug!D6, Sep!D6)</f>
        <v>0</v>
      </c>
      <c r="E6" s="13">
        <f t="shared" si="0"/>
        <v>0</v>
      </c>
      <c r="F6" s="14" t="str">
        <f t="shared" ref="F6:F8" si="1">IFERROR(E6/D6, "")</f>
        <v/>
      </c>
      <c r="G6" s="15">
        <f>SUM(Jul!G6,Aug!G6,Sep!G6)</f>
        <v>0</v>
      </c>
      <c r="H6" s="15">
        <f>SUM(Jul!H6, Aug!H6, Sep!H6)</f>
        <v>0</v>
      </c>
      <c r="I6" s="16" t="str">
        <f t="shared" ref="I6:I8" si="2">IFERROR(H6/G6, "")</f>
        <v/>
      </c>
    </row>
    <row r="7" spans="1:9" ht="15.6">
      <c r="A7" s="17" t="str">
        <v>Callands Gretna - Monroe</v>
      </c>
      <c r="B7" s="10" t="str">
        <v>VA</v>
      </c>
      <c r="C7" s="11">
        <f>SUM(Jul!C7, Aug!C7, Sep!C7)</f>
        <v>0</v>
      </c>
      <c r="D7" s="18">
        <f>SUM(Jul!D7, Aug!D7, Sep!D7)</f>
        <v>0</v>
      </c>
      <c r="E7" s="18">
        <f t="shared" ref="E7:E8" si="3">IF(AND(ISNUMBER(C7),ISNUMBER(D7)), C7-D7, "")</f>
        <v>0</v>
      </c>
      <c r="F7" s="19" t="str">
        <f t="shared" si="1"/>
        <v/>
      </c>
      <c r="G7" s="54">
        <f>SUM(Jul!G7,Aug!G7,Sep!G7)</f>
        <v>0</v>
      </c>
      <c r="H7" s="20">
        <f>SUM(Jul!H7, Aug!H7, Sep!H7)</f>
        <v>0</v>
      </c>
      <c r="I7" s="19" t="str">
        <f t="shared" si="2"/>
        <v/>
      </c>
    </row>
    <row r="8" spans="1:9" ht="15.6">
      <c r="A8" s="12" t="str">
        <v>Rockbridge Baths - Small Mouth Bass</v>
      </c>
      <c r="B8" s="9" t="str">
        <v>VA</v>
      </c>
      <c r="C8" s="24">
        <f>SUM(Jul!C8, Aug!C8, Sep!C8)</f>
        <v>0</v>
      </c>
      <c r="D8" s="13">
        <f>SUM(Jul!D8, Aug!D8, Sep!D8)</f>
        <v>0</v>
      </c>
      <c r="E8" s="13">
        <f t="shared" si="3"/>
        <v>0</v>
      </c>
      <c r="F8" s="14" t="str">
        <f t="shared" si="1"/>
        <v/>
      </c>
      <c r="G8" s="15">
        <f>SUM(Jul!G8,Aug!G8,Sep!G8)</f>
        <v>0</v>
      </c>
      <c r="H8" s="15">
        <f>SUM(Jul!H8, Aug!H8, Sep!H8)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0" priority="5" stopIfTrue="1" operator="lessThanOrEqual">
      <formula>-0.1</formula>
    </cfRule>
    <cfRule type="expression" dxfId="39"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16</v>
      </c>
      <c r="E1" s="67"/>
      <c r="F1" s="67"/>
      <c r="G1" s="65" t="s">
        <v>17</v>
      </c>
      <c r="H1" s="65"/>
      <c r="I1" s="65"/>
    </row>
    <row r="2" spans="1:9" ht="19.5" customHeight="1">
      <c r="A2" s="68" t="s">
        <v>2</v>
      </c>
      <c r="B2" s="68"/>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6">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6">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6">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workbookViewId="0">
      <pane xSplit="2" ySplit="3" topLeftCell="E4" activePane="bottomRight" state="frozen"/>
      <selection pane="bottomRight" activeCell="E19" sqref="E19"/>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66" t="str" cm="1">
        <f t="array" ref="A1">portfolio</f>
        <v>True Green Capital Management LLC</v>
      </c>
      <c r="B1" s="66"/>
      <c r="C1" s="66"/>
      <c r="D1" s="67" t="s">
        <v>18</v>
      </c>
      <c r="E1" s="67"/>
      <c r="F1" s="67"/>
      <c r="G1" s="65" t="s">
        <v>19</v>
      </c>
      <c r="H1" s="65"/>
      <c r="I1" s="65"/>
      <c r="J1" s="4"/>
      <c r="K1" s="4"/>
    </row>
    <row r="2" spans="1:13" ht="19.5" customHeight="1">
      <c r="A2" s="68" t="s">
        <v>2</v>
      </c>
      <c r="B2" s="68"/>
      <c r="C2" s="5">
        <f>SUM(C4:C77)</f>
        <v>0</v>
      </c>
      <c r="D2" s="5">
        <f>SUM(D4:D77)</f>
        <v>0</v>
      </c>
      <c r="E2" s="5">
        <f>C2-D2</f>
        <v>0</v>
      </c>
      <c r="F2" s="6">
        <f>IFERROR(E2/D2, 0)</f>
        <v>0</v>
      </c>
      <c r="G2" s="5">
        <f>SUM(G4:G77)</f>
        <v>0</v>
      </c>
      <c r="H2" s="7">
        <f>C2-G2</f>
        <v>0</v>
      </c>
      <c r="I2" s="6">
        <f>IFERROR(H2/G2, 0)</f>
        <v>0</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7" t="s">
        <v>3</v>
      </c>
      <c r="B3" s="8" t="s">
        <v>4</v>
      </c>
      <c r="C3" s="23" t="s">
        <v>5</v>
      </c>
      <c r="D3" s="34" t="s">
        <v>6</v>
      </c>
      <c r="E3" s="34" t="s">
        <v>7</v>
      </c>
      <c r="F3" s="35" t="s">
        <v>8</v>
      </c>
      <c r="G3" s="39" t="s">
        <v>9</v>
      </c>
      <c r="H3" s="37" t="s">
        <v>7</v>
      </c>
      <c r="I3" s="38" t="s">
        <v>8</v>
      </c>
      <c r="J3" s="55" t="s">
        <v>20</v>
      </c>
      <c r="K3" s="55" t="s">
        <v>21</v>
      </c>
    </row>
    <row r="4" spans="1:13" ht="15.6">
      <c r="A4" s="31" t="str" cm="1">
        <f t="array" ref="A4:A8">Sites[Site]</f>
        <v>Rochester - 5516 Valleyhigh NW</v>
      </c>
      <c r="B4" s="28"/>
      <c r="C4" s="24"/>
      <c r="D4" s="13"/>
      <c r="E4" s="13" t="str">
        <f t="shared" ref="E4:E8" si="0">IF(AND(ISNUMBER(C4),ISNUMBER(D4)), C4-D4, "")</f>
        <v/>
      </c>
      <c r="F4" s="14" t="str">
        <f t="shared" ref="F4:F8" si="1">IFERROR(E4/D4, "")</f>
        <v/>
      </c>
      <c r="G4" s="15"/>
      <c r="H4" s="15" t="str">
        <f t="shared" ref="H4:H8" si="2">IF(AND(ISNUMBER(C4),ISNUMBER(G4)), C4-G4, "")</f>
        <v/>
      </c>
      <c r="I4" s="16" t="str">
        <f t="shared" ref="I4:I8" si="3">IFERROR(H4/G4, "")</f>
        <v/>
      </c>
      <c r="J4" s="47"/>
      <c r="K4" s="56"/>
      <c r="L4" s="59"/>
      <c r="M4" s="59"/>
    </row>
    <row r="5" spans="1:13" ht="15.6">
      <c r="A5" s="29" t="str">
        <v>Warsaw - Hemings</v>
      </c>
      <c r="B5" s="30"/>
      <c r="C5" s="11"/>
      <c r="D5" s="18"/>
      <c r="E5" s="18" t="str">
        <f t="shared" si="0"/>
        <v/>
      </c>
      <c r="F5" s="19" t="str">
        <f t="shared" si="1"/>
        <v/>
      </c>
      <c r="G5" s="20"/>
      <c r="H5" s="20" t="str">
        <f t="shared" si="2"/>
        <v/>
      </c>
      <c r="I5" s="19" t="str">
        <f t="shared" si="3"/>
        <v/>
      </c>
      <c r="J5" s="46"/>
      <c r="K5" s="57"/>
      <c r="L5" s="58"/>
      <c r="M5" s="58"/>
    </row>
    <row r="6" spans="1:13" ht="15.6">
      <c r="A6" s="31" t="str">
        <v>Mount Jackson - Randolf</v>
      </c>
      <c r="B6" s="28"/>
      <c r="C6" s="24"/>
      <c r="D6" s="13"/>
      <c r="E6" s="13" t="str">
        <f t="shared" si="0"/>
        <v/>
      </c>
      <c r="F6" s="14" t="str">
        <f t="shared" si="1"/>
        <v/>
      </c>
      <c r="G6" s="15"/>
      <c r="H6" s="15" t="str">
        <f t="shared" si="2"/>
        <v/>
      </c>
      <c r="I6" s="16" t="str">
        <f t="shared" si="3"/>
        <v/>
      </c>
      <c r="J6" s="47"/>
      <c r="K6" s="56"/>
      <c r="L6" s="59"/>
      <c r="M6" s="59"/>
    </row>
    <row r="7" spans="1:13" ht="15.6">
      <c r="A7" s="29" t="str">
        <v>Callands Gretna - Monroe</v>
      </c>
      <c r="B7" s="30"/>
      <c r="C7" s="11"/>
      <c r="D7" s="18"/>
      <c r="E7" s="18" t="str">
        <f t="shared" si="0"/>
        <v/>
      </c>
      <c r="F7" s="19" t="str">
        <f t="shared" si="1"/>
        <v/>
      </c>
      <c r="G7" s="20"/>
      <c r="H7" s="20" t="str">
        <f t="shared" si="2"/>
        <v/>
      </c>
      <c r="I7" s="19" t="str">
        <f t="shared" si="3"/>
        <v/>
      </c>
      <c r="J7" s="46"/>
      <c r="K7" s="57"/>
      <c r="L7" s="58"/>
      <c r="M7" s="58"/>
    </row>
    <row r="8" spans="1:13" ht="15.6">
      <c r="A8" s="31" t="str">
        <v>Rockbridge Baths - Small Mouth Bass</v>
      </c>
      <c r="B8" s="28"/>
      <c r="C8" s="24"/>
      <c r="D8" s="13"/>
      <c r="E8" s="13" t="str">
        <f t="shared" si="0"/>
        <v/>
      </c>
      <c r="F8" s="14" t="str">
        <f t="shared" si="1"/>
        <v/>
      </c>
      <c r="G8" s="15"/>
      <c r="H8" s="15" t="str">
        <f t="shared" si="2"/>
        <v/>
      </c>
      <c r="I8" s="16" t="str">
        <f t="shared" si="3"/>
        <v/>
      </c>
      <c r="J8" s="47"/>
      <c r="K8" s="56"/>
      <c r="L8" s="59"/>
      <c r="M8" s="59"/>
    </row>
    <row r="9" spans="1:13" ht="14.45">
      <c r="A9" s="21"/>
      <c r="B9" s="32"/>
      <c r="C9" s="21"/>
      <c r="D9" s="21"/>
      <c r="E9" s="21"/>
      <c r="F9" s="21"/>
      <c r="G9" s="21"/>
      <c r="H9" s="21"/>
      <c r="I9" s="21"/>
      <c r="J9" s="21"/>
      <c r="K9" s="21"/>
      <c r="L9" s="59"/>
      <c r="M9" s="59"/>
    </row>
    <row r="10" spans="1:13" ht="14.45">
      <c r="A10" s="21"/>
      <c r="B10" s="32"/>
      <c r="C10" s="21"/>
      <c r="D10" s="21"/>
      <c r="E10" s="21"/>
      <c r="F10" s="22"/>
      <c r="G10" s="21"/>
      <c r="H10" s="21"/>
      <c r="I10" s="22"/>
      <c r="J10" s="21"/>
      <c r="K10" s="21"/>
    </row>
    <row r="11" spans="1:13" ht="14.45">
      <c r="A11" s="21"/>
      <c r="B11" s="32"/>
      <c r="C11" s="21"/>
      <c r="D11" s="21"/>
      <c r="E11" s="21"/>
      <c r="F11" s="22"/>
      <c r="G11" s="21"/>
      <c r="H11" s="21"/>
      <c r="I11" s="22"/>
      <c r="J11" s="21"/>
      <c r="K11" s="21"/>
    </row>
    <row r="12" spans="1:13" ht="14.45">
      <c r="A12" s="21"/>
      <c r="B12" s="32"/>
      <c r="C12" s="21"/>
      <c r="D12" s="21"/>
      <c r="E12" s="21"/>
      <c r="F12" s="22"/>
      <c r="G12" s="21"/>
      <c r="H12" s="21"/>
      <c r="I12" s="22"/>
      <c r="J12" s="21"/>
      <c r="K12" s="21"/>
    </row>
    <row r="13" spans="1:13" ht="14.45">
      <c r="A13" s="21"/>
      <c r="B13" s="32"/>
      <c r="C13" s="21"/>
      <c r="D13" s="21"/>
      <c r="E13" s="21"/>
      <c r="F13" s="22"/>
      <c r="G13" s="21"/>
      <c r="H13" s="21"/>
      <c r="I13" s="22"/>
      <c r="J13" s="21"/>
      <c r="K13" s="21"/>
    </row>
    <row r="14" spans="1:13" ht="14.45">
      <c r="A14" s="21"/>
      <c r="B14" s="32"/>
      <c r="C14" s="21"/>
      <c r="D14" s="21"/>
      <c r="E14" s="21"/>
      <c r="F14" s="22"/>
      <c r="G14" s="21"/>
      <c r="H14" s="21"/>
      <c r="I14" s="22"/>
      <c r="J14" s="21"/>
      <c r="K14" s="21"/>
    </row>
    <row r="15" spans="1:13" ht="14.45">
      <c r="A15" s="21"/>
      <c r="B15" s="32"/>
      <c r="C15" s="21"/>
      <c r="D15" s="21"/>
      <c r="E15" s="21"/>
      <c r="F15" s="22"/>
      <c r="G15" s="21"/>
      <c r="H15" s="21"/>
      <c r="I15" s="22"/>
      <c r="J15" s="21"/>
      <c r="K15" s="21"/>
    </row>
    <row r="16" spans="1:13"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36" priority="4" stopIfTrue="1" operator="lessThanOrEqual">
      <formula>-0.1</formula>
    </cfRule>
    <cfRule type="expression" dxfId="3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84" zoomScaleNormal="60" workbookViewId="0">
      <pane xSplit="2" ySplit="3" topLeftCell="C4" activePane="bottomRight" state="frozen"/>
      <selection pane="bottomRight" activeCell="K13" sqref="K13"/>
      <selection pane="bottomLeft" activeCell="D18" sqref="D18"/>
      <selection pane="topRight"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6" t="str" cm="1">
        <f t="array" ref="A1">portfolio</f>
        <v>True Green Capital Management LLC</v>
      </c>
      <c r="B1" s="66"/>
      <c r="C1" s="66"/>
      <c r="D1" s="67" t="s">
        <v>22</v>
      </c>
      <c r="E1" s="67"/>
      <c r="F1" s="67"/>
      <c r="G1" s="65" t="s">
        <v>23</v>
      </c>
      <c r="H1" s="65"/>
      <c r="I1" s="65"/>
      <c r="J1" s="4"/>
      <c r="K1" s="4"/>
    </row>
    <row r="2" spans="1:14" ht="19.5" customHeight="1">
      <c r="A2" s="68" t="s">
        <v>2</v>
      </c>
      <c r="B2" s="68"/>
      <c r="C2" s="5">
        <f>SUM(C4:C86)</f>
        <v>0</v>
      </c>
      <c r="D2" s="5">
        <f>SUM(D4:D86)</f>
        <v>0</v>
      </c>
      <c r="E2" s="5">
        <f>C2-D2</f>
        <v>0</v>
      </c>
      <c r="F2" s="6">
        <f>IFERROR(E2/D2, 0)</f>
        <v>0</v>
      </c>
      <c r="G2" s="5">
        <f>SUM(G4:G86)</f>
        <v>0</v>
      </c>
      <c r="H2" s="7">
        <f>C2-G2</f>
        <v>0</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31" t="str" cm="1">
        <f t="array" ref="A4:A8">Sites[Site]</f>
        <v>Rochester - 5516 Valleyhigh NW</v>
      </c>
      <c r="B4" s="28"/>
      <c r="C4" s="24"/>
      <c r="D4" s="13"/>
      <c r="E4" s="13" t="str">
        <f t="shared" ref="E4:E8" si="0">IF(AND(ISNUMBER(C4),ISNUMBER(D4)), C4-D4, "")</f>
        <v/>
      </c>
      <c r="F4" s="14" t="str">
        <f t="shared" ref="F4:F8" si="1">IFERROR(E4/D4, "")</f>
        <v/>
      </c>
      <c r="G4" s="15"/>
      <c r="H4" s="15" t="str">
        <f t="shared" ref="H4:H8" si="2">IF(AND(ISNUMBER(C4),ISNUMBER(G4)), C4-G4, "")</f>
        <v/>
      </c>
      <c r="I4" s="16" t="str">
        <f t="shared" ref="I4:I8" si="3">IFERROR(H4/G4, "")</f>
        <v/>
      </c>
      <c r="J4" s="43"/>
      <c r="K4" s="56"/>
      <c r="L4" s="62"/>
    </row>
    <row r="5" spans="1:14" ht="30" customHeight="1">
      <c r="A5" s="29" t="str">
        <v>Warsaw - Hemings</v>
      </c>
      <c r="B5" s="30"/>
      <c r="C5" s="11"/>
      <c r="D5" s="61"/>
      <c r="E5" s="18" t="str">
        <f t="shared" si="0"/>
        <v/>
      </c>
      <c r="F5" s="19" t="str">
        <f t="shared" si="1"/>
        <v/>
      </c>
      <c r="G5" s="61"/>
      <c r="H5" s="20" t="str">
        <f t="shared" si="2"/>
        <v/>
      </c>
      <c r="I5" s="19" t="str">
        <f t="shared" si="3"/>
        <v/>
      </c>
      <c r="J5" s="60"/>
      <c r="K5" s="57"/>
      <c r="L5" s="62"/>
      <c r="M5" s="62"/>
      <c r="N5" s="62"/>
    </row>
    <row r="6" spans="1:14" ht="15.6">
      <c r="A6" s="31" t="str">
        <v>Mount Jackson - Randolf</v>
      </c>
      <c r="B6" s="28"/>
      <c r="C6" s="24"/>
      <c r="D6" s="13"/>
      <c r="E6" s="13" t="str">
        <f t="shared" si="0"/>
        <v/>
      </c>
      <c r="F6" s="14" t="str">
        <f t="shared" si="1"/>
        <v/>
      </c>
      <c r="G6" s="15"/>
      <c r="H6" s="15" t="str">
        <f t="shared" si="2"/>
        <v/>
      </c>
      <c r="I6" s="16" t="str">
        <f t="shared" si="3"/>
        <v/>
      </c>
      <c r="J6" s="43"/>
      <c r="K6" s="56"/>
      <c r="L6" s="62"/>
    </row>
    <row r="7" spans="1:14" ht="143.25" customHeight="1">
      <c r="A7" s="29" t="str">
        <v>Callands Gretna - Monroe</v>
      </c>
      <c r="B7" s="30"/>
      <c r="C7" s="11"/>
      <c r="D7" s="61"/>
      <c r="E7" s="18" t="str">
        <f t="shared" si="0"/>
        <v/>
      </c>
      <c r="F7" s="19" t="str">
        <f t="shared" si="1"/>
        <v/>
      </c>
      <c r="G7" s="61"/>
      <c r="H7" s="20" t="str">
        <f t="shared" si="2"/>
        <v/>
      </c>
      <c r="I7" s="19" t="str">
        <f t="shared" si="3"/>
        <v/>
      </c>
      <c r="J7" s="60"/>
      <c r="K7" s="57"/>
      <c r="L7" s="62"/>
      <c r="M7" s="62"/>
      <c r="N7" s="62"/>
    </row>
    <row r="8" spans="1:14" ht="15.6">
      <c r="A8" s="31" t="str">
        <v>Rockbridge Baths - Small Mouth Bass</v>
      </c>
      <c r="B8" s="28"/>
      <c r="C8" s="24"/>
      <c r="D8" s="13"/>
      <c r="E8" s="13" t="str">
        <f t="shared" si="0"/>
        <v/>
      </c>
      <c r="F8" s="14" t="str">
        <f t="shared" si="1"/>
        <v/>
      </c>
      <c r="G8" s="15"/>
      <c r="H8" s="15" t="str">
        <f t="shared" si="2"/>
        <v/>
      </c>
      <c r="I8" s="16" t="str">
        <f t="shared" si="3"/>
        <v/>
      </c>
      <c r="J8" s="43"/>
      <c r="K8" s="56"/>
      <c r="L8" s="62"/>
    </row>
    <row r="9" spans="1:14" ht="14.45">
      <c r="A9" s="21"/>
      <c r="B9" s="32"/>
      <c r="C9" s="21"/>
      <c r="D9" s="21"/>
      <c r="E9" s="21"/>
      <c r="F9" s="21"/>
      <c r="G9" s="21"/>
      <c r="H9" s="21"/>
      <c r="I9" s="21"/>
      <c r="J9" s="21"/>
      <c r="K9" s="21"/>
    </row>
    <row r="10" spans="1:14" ht="14.45">
      <c r="A10" s="21"/>
      <c r="B10" s="32"/>
      <c r="C10" s="21"/>
      <c r="D10" s="21"/>
      <c r="E10" s="21"/>
      <c r="F10" s="21"/>
      <c r="G10" s="21"/>
      <c r="H10" s="21"/>
      <c r="I10" s="21"/>
      <c r="J10" s="21"/>
      <c r="K10" s="21"/>
    </row>
    <row r="11" spans="1:14" ht="14.45">
      <c r="A11" s="21"/>
      <c r="B11" s="32"/>
      <c r="C11" s="21"/>
      <c r="D11" s="21"/>
      <c r="E11" s="21"/>
      <c r="F11" s="21"/>
      <c r="G11" s="21"/>
      <c r="H11" s="21"/>
      <c r="I11" s="21"/>
      <c r="J11" s="21"/>
      <c r="K11" s="21"/>
    </row>
    <row r="12" spans="1:14" ht="14.45">
      <c r="A12" s="21"/>
      <c r="B12" s="32"/>
      <c r="C12" s="21"/>
      <c r="D12" s="21"/>
      <c r="E12" s="21"/>
      <c r="F12" s="21"/>
      <c r="G12" s="21"/>
      <c r="H12" s="21"/>
      <c r="I12" s="21"/>
      <c r="J12" s="21"/>
      <c r="K12" s="21"/>
    </row>
    <row r="13" spans="1:14" ht="14.45">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80" zoomScaleNormal="80" workbookViewId="0">
      <pane xSplit="2" ySplit="3" topLeftCell="C5" activePane="bottomRight" state="frozen"/>
      <selection pane="bottomRight" activeCell="J8" sqref="J8"/>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66" t="str" cm="1">
        <f t="array" ref="A1">portfolio</f>
        <v>True Green Capital Management LLC</v>
      </c>
      <c r="B1" s="66"/>
      <c r="C1" s="66"/>
      <c r="D1" s="67" t="s">
        <v>24</v>
      </c>
      <c r="E1" s="67"/>
      <c r="F1" s="67"/>
      <c r="G1" s="65" t="s">
        <v>25</v>
      </c>
      <c r="H1" s="65"/>
      <c r="I1" s="65"/>
      <c r="J1" s="4"/>
      <c r="K1" s="4"/>
    </row>
    <row r="2" spans="1:17" ht="19.5" customHeight="1">
      <c r="A2" s="68" t="s">
        <v>2</v>
      </c>
      <c r="B2" s="68"/>
      <c r="C2" s="5">
        <f>SUM(C4:C87)</f>
        <v>2648764.2000000002</v>
      </c>
      <c r="D2" s="5">
        <f>SUM(D4:D87)</f>
        <v>2517326.9</v>
      </c>
      <c r="E2" s="5">
        <f>C2-D2</f>
        <v>131437.30000000028</v>
      </c>
      <c r="F2" s="6">
        <f>IFERROR(E2/D2, 0)</f>
        <v>5.2213043923695523E-2</v>
      </c>
      <c r="G2" s="5">
        <f>SUM(G4:G87)</f>
        <v>2572633.7000000002</v>
      </c>
      <c r="H2" s="7">
        <f>C2-G2</f>
        <v>76130.5</v>
      </c>
      <c r="I2" s="6">
        <f>IFERROR(H2/G2, 0)</f>
        <v>2.9592436731276588E-2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253.5" customHeight="1">
      <c r="A4" s="48" t="str" cm="1">
        <f t="array" ref="A4:A8">Sites[Site]</f>
        <v>Rochester - 5516 Valleyhigh NW</v>
      </c>
      <c r="B4" s="28"/>
      <c r="C4" s="44">
        <v>1225301</v>
      </c>
      <c r="D4" s="13">
        <v>1270191.7</v>
      </c>
      <c r="E4" s="13">
        <f t="shared" ref="E4:E8" si="0">IF(AND(ISNUMBER(C4),ISNUMBER(D4)), C4-D4, "")</f>
        <v>-44890.699999999953</v>
      </c>
      <c r="F4" s="14">
        <f t="shared" ref="F4:F8" si="1">IFERROR(E4/D4, "")</f>
        <v>-3.5341673229324327E-2</v>
      </c>
      <c r="G4" s="45">
        <v>1235871.8</v>
      </c>
      <c r="H4" s="15">
        <f t="shared" ref="H4:H8" si="2">IF(AND(ISNUMBER(C4),ISNUMBER(G4)), C4-G4, "")</f>
        <v>-10570.800000000047</v>
      </c>
      <c r="I4" s="16">
        <f t="shared" ref="I4:I8" si="3">IFERROR(H4/G4, "")</f>
        <v>-8.5533143486242226E-3</v>
      </c>
      <c r="J4" s="40" t="s">
        <v>26</v>
      </c>
      <c r="K4" s="63" t="s">
        <v>27</v>
      </c>
      <c r="L4" s="62" t="s">
        <v>28</v>
      </c>
      <c r="M4" s="62" t="s">
        <v>29</v>
      </c>
      <c r="N4" s="62" t="s">
        <v>30</v>
      </c>
      <c r="O4" s="62" t="s">
        <v>31</v>
      </c>
      <c r="P4" s="62" t="s">
        <v>32</v>
      </c>
      <c r="Q4" s="62" t="s">
        <v>33</v>
      </c>
    </row>
    <row r="5" spans="1:17" ht="76.5" customHeight="1">
      <c r="A5" s="29" t="str">
        <v>Warsaw - Hemings</v>
      </c>
      <c r="B5" s="30"/>
      <c r="C5" s="11">
        <v>682045.5</v>
      </c>
      <c r="D5" s="18">
        <v>732528.3</v>
      </c>
      <c r="E5" s="18">
        <f t="shared" si="0"/>
        <v>-50482.800000000047</v>
      </c>
      <c r="F5" s="19">
        <f t="shared" si="1"/>
        <v>-6.8915835743137907E-2</v>
      </c>
      <c r="G5" s="20">
        <v>626767.19999999995</v>
      </c>
      <c r="H5" s="20">
        <f t="shared" si="2"/>
        <v>55278.300000000047</v>
      </c>
      <c r="I5" s="19">
        <f t="shared" si="3"/>
        <v>8.819590431662673E-2</v>
      </c>
      <c r="J5" s="46" t="s">
        <v>34</v>
      </c>
      <c r="K5" s="57" t="s">
        <v>35</v>
      </c>
      <c r="L5" s="58" t="s">
        <v>36</v>
      </c>
      <c r="M5" s="58" t="s">
        <v>37</v>
      </c>
      <c r="N5" s="58" t="s">
        <v>38</v>
      </c>
      <c r="O5" s="59"/>
    </row>
    <row r="6" spans="1:17" ht="286.5" customHeight="1">
      <c r="A6" s="48" t="str">
        <v>Mount Jackson - Randolf</v>
      </c>
      <c r="B6" s="28"/>
      <c r="C6" s="44">
        <v>415293.7</v>
      </c>
      <c r="D6" s="13">
        <v>440760.6</v>
      </c>
      <c r="E6" s="13">
        <f t="shared" si="0"/>
        <v>-25466.899999999965</v>
      </c>
      <c r="F6" s="14">
        <f t="shared" si="1"/>
        <v>-5.7779438543281693E-2</v>
      </c>
      <c r="G6" s="45">
        <v>428529</v>
      </c>
      <c r="H6" s="15">
        <f t="shared" si="2"/>
        <v>-13235.299999999988</v>
      </c>
      <c r="I6" s="16">
        <f t="shared" si="3"/>
        <v>-3.0885424323674682E-2</v>
      </c>
      <c r="J6" s="40" t="s">
        <v>39</v>
      </c>
      <c r="K6" s="63" t="s">
        <v>40</v>
      </c>
      <c r="L6" s="58" t="s">
        <v>41</v>
      </c>
      <c r="M6" s="58" t="s">
        <v>42</v>
      </c>
      <c r="N6" s="58" t="s">
        <v>43</v>
      </c>
      <c r="O6" s="58" t="s">
        <v>44</v>
      </c>
    </row>
    <row r="7" spans="1:17" ht="53.25" customHeight="1">
      <c r="A7" s="29" t="str">
        <v>Callands Gretna - Monroe</v>
      </c>
      <c r="B7" s="30"/>
      <c r="C7" s="11">
        <v>326124</v>
      </c>
      <c r="D7" s="18">
        <v>73846.3</v>
      </c>
      <c r="E7" s="18">
        <f t="shared" si="0"/>
        <v>252277.7</v>
      </c>
      <c r="F7" s="19">
        <f t="shared" si="1"/>
        <v>3.4162537594977676</v>
      </c>
      <c r="G7" s="20">
        <v>281465.7</v>
      </c>
      <c r="H7" s="20">
        <f t="shared" si="2"/>
        <v>44658.299999999988</v>
      </c>
      <c r="I7" s="19">
        <f t="shared" si="3"/>
        <v>0.15866338242990172</v>
      </c>
      <c r="J7" s="46" t="s">
        <v>45</v>
      </c>
      <c r="K7" s="57" t="s">
        <v>46</v>
      </c>
      <c r="L7" s="59"/>
      <c r="M7" s="59"/>
      <c r="N7" s="59"/>
      <c r="O7" s="59"/>
    </row>
    <row r="8" spans="1:17" ht="38.25" customHeight="1">
      <c r="A8" s="31" t="str">
        <v>Rockbridge Baths - Small Mouth Bass</v>
      </c>
      <c r="B8" s="28"/>
      <c r="C8" s="44">
        <v>0</v>
      </c>
      <c r="D8" s="13">
        <v>0</v>
      </c>
      <c r="E8" s="13">
        <f t="shared" si="0"/>
        <v>0</v>
      </c>
      <c r="F8" s="14" t="str">
        <f t="shared" si="1"/>
        <v/>
      </c>
      <c r="G8" s="45">
        <v>0</v>
      </c>
      <c r="H8" s="15">
        <f t="shared" si="2"/>
        <v>0</v>
      </c>
      <c r="I8" s="16" t="str">
        <f t="shared" si="3"/>
        <v/>
      </c>
      <c r="J8" s="40" t="s">
        <v>47</v>
      </c>
      <c r="K8" s="63" t="s">
        <v>48</v>
      </c>
      <c r="L8" s="58" t="s">
        <v>49</v>
      </c>
      <c r="M8" s="59"/>
      <c r="N8" s="59"/>
      <c r="O8" s="59"/>
    </row>
    <row r="9" spans="1:17" ht="14.45">
      <c r="A9" s="21"/>
      <c r="B9" s="32"/>
      <c r="C9" s="21"/>
      <c r="D9" s="21"/>
      <c r="E9" s="21"/>
      <c r="F9" s="21"/>
      <c r="G9" s="21"/>
      <c r="H9" s="21"/>
      <c r="I9" s="21"/>
      <c r="J9" s="21"/>
      <c r="K9" s="21"/>
    </row>
    <row r="10" spans="1:17" ht="14.45">
      <c r="A10" s="21"/>
      <c r="B10" s="32"/>
      <c r="C10" s="21"/>
      <c r="D10" s="21"/>
      <c r="E10" s="21"/>
      <c r="F10" s="21"/>
      <c r="G10" s="21"/>
      <c r="H10" s="21"/>
      <c r="I10" s="21"/>
      <c r="J10" s="21"/>
      <c r="K10" s="21"/>
    </row>
    <row r="11" spans="1:17" ht="14.45">
      <c r="A11" s="21"/>
      <c r="B11" s="32"/>
      <c r="C11" s="21"/>
      <c r="D11" s="21"/>
      <c r="E11" s="21"/>
      <c r="F11" s="21"/>
      <c r="G11" s="21"/>
      <c r="H11" s="21"/>
      <c r="I11" s="21"/>
      <c r="J11" s="21"/>
      <c r="K11" s="21"/>
    </row>
    <row r="12" spans="1:17" ht="14.45">
      <c r="A12" s="21"/>
      <c r="B12" s="32"/>
      <c r="C12" s="21"/>
      <c r="D12" s="21"/>
      <c r="E12" s="21"/>
      <c r="F12" s="21"/>
      <c r="G12" s="21"/>
      <c r="H12" s="21"/>
      <c r="I12" s="21"/>
      <c r="J12" s="21"/>
      <c r="K12" s="21"/>
    </row>
    <row r="13" spans="1:17" ht="14.45">
      <c r="A13" s="21"/>
      <c r="B13" s="32"/>
      <c r="C13" s="21"/>
      <c r="D13" s="21"/>
      <c r="E13" s="21"/>
      <c r="F13" s="21"/>
      <c r="G13" s="21"/>
      <c r="H13" s="21"/>
      <c r="I13" s="21"/>
      <c r="J13" s="21"/>
      <c r="K13" s="21"/>
    </row>
    <row r="14" spans="1:17" ht="14.45">
      <c r="A14" s="21"/>
      <c r="B14" s="32"/>
      <c r="C14" s="21"/>
      <c r="D14" s="21"/>
      <c r="E14" s="21"/>
      <c r="F14" s="21"/>
      <c r="G14" s="21"/>
      <c r="H14" s="21"/>
      <c r="I14" s="21"/>
      <c r="J14" s="21"/>
      <c r="K14" s="21"/>
    </row>
    <row r="15" spans="1:17" ht="14.45">
      <c r="A15" s="21"/>
      <c r="B15" s="32"/>
      <c r="C15" s="21"/>
      <c r="D15" s="21"/>
      <c r="E15" s="21"/>
      <c r="F15" s="21"/>
      <c r="G15" s="21"/>
      <c r="H15" s="21"/>
      <c r="I15" s="21"/>
      <c r="J15" s="21"/>
      <c r="K15" s="2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tabSelected="1" zoomScale="60" zoomScaleNormal="60" workbookViewId="0">
      <pane xSplit="2" ySplit="3" topLeftCell="C5" activePane="bottomRight" state="frozen"/>
      <selection pane="bottomRight" activeCell="J14" sqref="J1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9"/>
  </cols>
  <sheetData>
    <row r="1" spans="1:18" ht="19.5" customHeight="1">
      <c r="A1" s="66" t="str" cm="1">
        <f t="array" ref="A1">portfolio</f>
        <v>True Green Capital Management LLC</v>
      </c>
      <c r="B1" s="66"/>
      <c r="C1" s="66"/>
      <c r="D1" s="67" t="s">
        <v>50</v>
      </c>
      <c r="E1" s="67"/>
      <c r="F1" s="67"/>
      <c r="G1" s="65" t="s">
        <v>51</v>
      </c>
      <c r="H1" s="65"/>
      <c r="I1" s="65"/>
      <c r="J1" s="4"/>
      <c r="K1" s="4"/>
    </row>
    <row r="2" spans="1:18" ht="19.5" customHeight="1">
      <c r="A2" s="68" t="s">
        <v>2</v>
      </c>
      <c r="B2" s="68"/>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7" t="s">
        <v>52</v>
      </c>
      <c r="K4" s="64" t="s">
        <v>53</v>
      </c>
      <c r="L4" s="58" t="s">
        <v>31</v>
      </c>
      <c r="M4" s="58" t="s">
        <v>29</v>
      </c>
      <c r="N4" s="58" t="s">
        <v>30</v>
      </c>
      <c r="O4" s="58" t="s">
        <v>54</v>
      </c>
      <c r="P4" s="58" t="s">
        <v>55</v>
      </c>
      <c r="Q4" s="58" t="s">
        <v>56</v>
      </c>
      <c r="R4" s="58" t="s">
        <v>33</v>
      </c>
    </row>
    <row r="5" spans="1:18" ht="72">
      <c r="A5" s="29" t="str">
        <v>Warsaw - Hemings</v>
      </c>
      <c r="B5" s="30"/>
      <c r="C5" s="11">
        <v>997106.80000000098</v>
      </c>
      <c r="D5" s="18">
        <v>1042780</v>
      </c>
      <c r="E5" s="18">
        <f t="shared" si="0"/>
        <v>-45673.199999999022</v>
      </c>
      <c r="F5" s="19">
        <f t="shared" si="1"/>
        <v>-4.3799459138072289E-2</v>
      </c>
      <c r="G5" s="20">
        <v>1046855</v>
      </c>
      <c r="H5" s="20">
        <f t="shared" si="2"/>
        <v>-49748.199999999022</v>
      </c>
      <c r="I5" s="19">
        <f t="shared" si="3"/>
        <v>-4.7521576531610418E-2</v>
      </c>
      <c r="J5" s="46" t="s">
        <v>57</v>
      </c>
      <c r="K5" s="57" t="s">
        <v>58</v>
      </c>
      <c r="L5" s="58" t="s">
        <v>59</v>
      </c>
      <c r="M5" s="58" t="s">
        <v>38</v>
      </c>
      <c r="N5" s="58" t="s">
        <v>60</v>
      </c>
    </row>
    <row r="6" spans="1:18" ht="230.45">
      <c r="A6" s="31" t="str">
        <v>Mount Jackson - Randolf</v>
      </c>
      <c r="B6" s="28"/>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7" t="s">
        <v>61</v>
      </c>
      <c r="K6" s="64" t="s">
        <v>62</v>
      </c>
      <c r="L6" s="58" t="s">
        <v>63</v>
      </c>
      <c r="M6" s="58" t="s">
        <v>64</v>
      </c>
      <c r="N6" s="58" t="s">
        <v>65</v>
      </c>
      <c r="O6" s="58" t="s">
        <v>65</v>
      </c>
      <c r="P6" s="58" t="s">
        <v>66</v>
      </c>
      <c r="Q6" s="58" t="s">
        <v>44</v>
      </c>
    </row>
    <row r="7" spans="1:18" ht="100.9">
      <c r="A7" s="29" t="str">
        <v>Callands Gretna - Monroe</v>
      </c>
      <c r="B7" s="30"/>
      <c r="C7" s="11">
        <v>465408</v>
      </c>
      <c r="D7" s="18">
        <v>0</v>
      </c>
      <c r="E7" s="18">
        <f t="shared" si="0"/>
        <v>465408</v>
      </c>
      <c r="F7" s="19" t="str">
        <f t="shared" si="1"/>
        <v/>
      </c>
      <c r="G7" s="20">
        <v>460255.2</v>
      </c>
      <c r="H7" s="20">
        <f t="shared" si="2"/>
        <v>5152.7999999999884</v>
      </c>
      <c r="I7" s="19">
        <f t="shared" si="3"/>
        <v>1.1195528046179572E-2</v>
      </c>
      <c r="J7" s="46" t="s">
        <v>67</v>
      </c>
      <c r="K7" s="57" t="s">
        <v>68</v>
      </c>
      <c r="L7" s="58" t="s">
        <v>69</v>
      </c>
      <c r="M7" s="58" t="s">
        <v>70</v>
      </c>
    </row>
    <row r="8" spans="1:18" ht="144">
      <c r="A8" s="31" t="str">
        <v>Rockbridge Baths - Small Mouth Bass</v>
      </c>
      <c r="B8" s="28"/>
      <c r="C8" s="24">
        <v>0</v>
      </c>
      <c r="D8" s="13">
        <v>0</v>
      </c>
      <c r="E8" s="13"/>
      <c r="F8" s="14"/>
      <c r="G8" s="15">
        <v>0</v>
      </c>
      <c r="H8" s="15"/>
      <c r="I8" s="16"/>
      <c r="J8" s="47" t="s">
        <v>71</v>
      </c>
      <c r="K8" s="56" t="s">
        <v>72</v>
      </c>
      <c r="L8" s="58" t="s">
        <v>49</v>
      </c>
      <c r="M8" s="58" t="s">
        <v>73</v>
      </c>
      <c r="N8" s="58" t="s">
        <v>74</v>
      </c>
      <c r="O8" s="58" t="s">
        <v>75</v>
      </c>
    </row>
    <row r="9" spans="1:18" ht="14.45">
      <c r="A9" s="21"/>
      <c r="B9" s="32"/>
      <c r="C9" s="21"/>
      <c r="D9" s="21"/>
      <c r="E9" s="21"/>
      <c r="F9" s="21"/>
      <c r="G9" s="21"/>
      <c r="H9" s="21"/>
      <c r="I9" s="21"/>
      <c r="J9" s="21"/>
      <c r="K9" s="21"/>
    </row>
    <row r="10" spans="1:18" ht="14.45">
      <c r="A10" s="21"/>
      <c r="B10" s="32"/>
      <c r="C10" s="21"/>
      <c r="D10" s="21"/>
      <c r="E10" s="21"/>
      <c r="F10" s="21"/>
      <c r="G10" s="21"/>
      <c r="H10" s="21"/>
      <c r="I10" s="21"/>
      <c r="J10" s="21"/>
      <c r="K10" s="21"/>
    </row>
    <row r="11" spans="1:18" ht="14.45">
      <c r="A11" s="21"/>
      <c r="B11" s="32"/>
      <c r="C11" s="21"/>
      <c r="D11" s="21"/>
      <c r="E11" s="21"/>
      <c r="F11" s="21"/>
      <c r="G11" s="21"/>
      <c r="H11" s="21"/>
      <c r="I11" s="21"/>
      <c r="J11" s="21"/>
      <c r="K11" s="21"/>
    </row>
    <row r="12" spans="1:18" ht="14.45">
      <c r="A12" s="21"/>
      <c r="B12" s="32"/>
      <c r="C12" s="21"/>
      <c r="D12" s="21"/>
      <c r="E12" s="21"/>
      <c r="F12" s="21"/>
      <c r="G12" s="21"/>
      <c r="H12" s="21"/>
      <c r="I12" s="21"/>
      <c r="J12" s="21"/>
      <c r="K12" s="21"/>
    </row>
    <row r="13" spans="1:18" ht="14.45">
      <c r="A13" s="21"/>
      <c r="B13" s="32"/>
      <c r="C13" s="21"/>
      <c r="D13" s="21"/>
      <c r="E13" s="21"/>
      <c r="F13" s="21"/>
      <c r="G13" s="21"/>
      <c r="H13" s="21"/>
      <c r="I13" s="21"/>
      <c r="J13" s="21"/>
      <c r="K13" s="21"/>
    </row>
    <row r="14" spans="1:18" ht="14.45">
      <c r="A14" s="21"/>
      <c r="B14" s="32"/>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True Green Capital Management LLC</v>
      </c>
      <c r="B1" s="66"/>
      <c r="C1" s="66"/>
      <c r="D1" s="67" t="s">
        <v>76</v>
      </c>
      <c r="E1" s="67"/>
      <c r="F1" s="67"/>
      <c r="G1" s="65" t="s">
        <v>77</v>
      </c>
      <c r="H1" s="65"/>
      <c r="I1" s="65"/>
      <c r="J1" s="4"/>
      <c r="K1" s="4"/>
    </row>
    <row r="2" spans="1:11" ht="19.5" customHeight="1">
      <c r="A2" s="68" t="s">
        <v>2</v>
      </c>
      <c r="B2" s="68"/>
      <c r="C2" s="5">
        <f>SUM(C4:C85)</f>
        <v>0</v>
      </c>
      <c r="D2" s="5">
        <f>SUM(D4:D85)</f>
        <v>0</v>
      </c>
      <c r="E2" s="5">
        <f>C2-D2</f>
        <v>0</v>
      </c>
      <c r="F2" s="6">
        <f>IFERROR(E2/D2, 0)</f>
        <v>0</v>
      </c>
      <c r="G2" s="5">
        <f>SUM(G4:G85)</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78.5" customHeight="1">
      <c r="A4" s="29" t="str" cm="1">
        <f t="array" ref="A4:A8">Sites[Site]</f>
        <v>Rochester - 5516 Valleyhigh NW</v>
      </c>
      <c r="B4" s="30"/>
      <c r="C4" s="11"/>
      <c r="D4" s="18"/>
      <c r="E4" s="18" t="str">
        <f t="shared" ref="E4:E5" si="0">IF(AND(ISNUMBER(C4),ISNUMBER(D4)), C4-D4, "")</f>
        <v/>
      </c>
      <c r="F4" s="19" t="str">
        <f t="shared" ref="F4:F5" si="1">IFERROR(E4/D4, "")</f>
        <v/>
      </c>
      <c r="G4" s="20"/>
      <c r="H4" s="20" t="str">
        <f t="shared" ref="H4:H5" si="2">IF(AND(ISNUMBER(C4),ISNUMBER(G4)), C4-G4, "")</f>
        <v/>
      </c>
      <c r="I4" s="19" t="str">
        <f t="shared" ref="I4:I5" si="3">IFERROR(H4/G4, "")</f>
        <v/>
      </c>
      <c r="J4" s="46"/>
      <c r="K4" s="46"/>
    </row>
    <row r="5" spans="1:11" ht="15.6">
      <c r="A5" s="31" t="str">
        <v>Warsaw - Hemings</v>
      </c>
      <c r="B5" s="28"/>
      <c r="C5" s="24"/>
      <c r="D5" s="13"/>
      <c r="E5" s="13" t="str">
        <f t="shared" si="0"/>
        <v/>
      </c>
      <c r="F5" s="14" t="str">
        <f t="shared" si="1"/>
        <v/>
      </c>
      <c r="G5" s="15"/>
      <c r="H5" s="15" t="str">
        <f t="shared" si="2"/>
        <v/>
      </c>
      <c r="I5" s="16" t="str">
        <f t="shared" si="3"/>
        <v/>
      </c>
      <c r="J5" s="47"/>
      <c r="K5" s="47"/>
    </row>
    <row r="6" spans="1:11" ht="15.6">
      <c r="A6" s="29" t="str">
        <v>Mount Jackson - Randolf</v>
      </c>
      <c r="B6" s="30"/>
      <c r="C6" s="11"/>
      <c r="D6" s="18"/>
      <c r="E6" s="18"/>
      <c r="F6" s="19"/>
      <c r="G6" s="20"/>
      <c r="H6" s="20"/>
      <c r="I6" s="19"/>
      <c r="J6" s="46"/>
      <c r="K6" s="46"/>
    </row>
    <row r="7" spans="1:11" ht="15.6">
      <c r="A7" s="31" t="str">
        <v>Callands Gretna - Monroe</v>
      </c>
      <c r="B7" s="28"/>
      <c r="C7" s="24"/>
      <c r="D7" s="13"/>
      <c r="E7" s="13"/>
      <c r="F7" s="14"/>
      <c r="G7" s="15"/>
      <c r="H7" s="15"/>
      <c r="I7" s="16"/>
      <c r="J7" s="47"/>
      <c r="K7" s="47"/>
    </row>
    <row r="8" spans="1:11" ht="15.6">
      <c r="A8" s="29" t="str">
        <v>Rockbridge Baths - Small Mouth Bass</v>
      </c>
      <c r="B8" s="30"/>
      <c r="C8" s="11"/>
      <c r="D8" s="18"/>
      <c r="E8" s="18"/>
      <c r="F8" s="19"/>
      <c r="G8" s="20"/>
      <c r="H8" s="20"/>
      <c r="I8" s="19"/>
      <c r="J8" s="41"/>
      <c r="K8" s="4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1"/>
      <c r="G13" s="21"/>
      <c r="H13" s="21"/>
      <c r="I13" s="21"/>
      <c r="J13" s="21"/>
      <c r="K13" s="21"/>
    </row>
    <row r="14" spans="1:11" ht="14.45">
      <c r="A14" s="21"/>
      <c r="B14" s="32"/>
      <c r="C14" s="21"/>
      <c r="D14" s="21"/>
      <c r="E14" s="21"/>
      <c r="F14" s="21"/>
      <c r="G14" s="21"/>
      <c r="H14" s="21"/>
      <c r="I14" s="21"/>
      <c r="J14" s="21"/>
      <c r="K14" s="21"/>
    </row>
    <row r="15" spans="1:11" ht="14.45">
      <c r="A15" s="21"/>
      <c r="B15" s="32"/>
      <c r="C15" s="21"/>
      <c r="D15" s="21"/>
      <c r="E15" s="21"/>
      <c r="F15" s="21"/>
      <c r="G15" s="21"/>
      <c r="H15" s="21"/>
      <c r="I15" s="21"/>
      <c r="J15" s="21"/>
      <c r="K15" s="21"/>
    </row>
    <row r="16" spans="1:11"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28" priority="3" stopIfTrue="1" operator="lessThanOrEqual">
      <formula>-0.1</formula>
    </cfRule>
    <cfRule type="expression" dxfId="2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66" t="str" cm="1">
        <f t="array" ref="A1">portfolio</f>
        <v>True Green Capital Management LLC</v>
      </c>
      <c r="B1" s="66"/>
      <c r="C1" s="66"/>
      <c r="D1" s="67" t="s">
        <v>78</v>
      </c>
      <c r="E1" s="67"/>
      <c r="F1" s="67"/>
      <c r="G1" s="65" t="s">
        <v>79</v>
      </c>
      <c r="H1" s="65"/>
      <c r="I1" s="65"/>
      <c r="J1" s="4"/>
      <c r="K1" s="4"/>
    </row>
    <row r="2" spans="1:14" ht="19.5" customHeight="1">
      <c r="A2" s="68" t="s">
        <v>2</v>
      </c>
      <c r="B2" s="68"/>
      <c r="C2" s="5">
        <f>SUM(C4:C95)</f>
        <v>0</v>
      </c>
      <c r="D2" s="5">
        <f>SUM(D4:D95)</f>
        <v>0</v>
      </c>
      <c r="E2" s="5">
        <f>C2-D2</f>
        <v>0</v>
      </c>
      <c r="F2" s="6">
        <f>IFERROR(E2/D2, 0)</f>
        <v>0</v>
      </c>
      <c r="G2" s="5">
        <f>SUM(G4:G95)</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91.25" customHeight="1">
      <c r="A4" s="29" t="str" cm="1">
        <f t="array" ref="A4:A8">Sites[Site]</f>
        <v>Rochester - 5516 Valleyhigh NW</v>
      </c>
      <c r="B4" s="30"/>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6"/>
      <c r="K4" s="46"/>
      <c r="L4" s="21"/>
      <c r="M4" s="21"/>
      <c r="N4" s="21"/>
    </row>
    <row r="5" spans="1:14" ht="67.5" customHeight="1">
      <c r="A5" s="48" t="str">
        <v>Warsaw - Hemings</v>
      </c>
      <c r="B5" s="28"/>
      <c r="C5" s="24"/>
      <c r="D5" s="13"/>
      <c r="E5" s="13" t="str">
        <f t="shared" si="0"/>
        <v/>
      </c>
      <c r="F5" s="14" t="str">
        <f t="shared" si="1"/>
        <v/>
      </c>
      <c r="G5" s="15"/>
      <c r="H5" s="15" t="str">
        <f t="shared" si="2"/>
        <v/>
      </c>
      <c r="I5" s="16" t="str">
        <f t="shared" si="3"/>
        <v/>
      </c>
      <c r="J5" s="47"/>
      <c r="K5" s="47"/>
      <c r="L5" s="21"/>
      <c r="M5" s="21"/>
      <c r="N5" s="21"/>
    </row>
    <row r="6" spans="1:14" ht="165.75" customHeight="1">
      <c r="A6" s="29" t="str">
        <v>Mount Jackson - Randolf</v>
      </c>
      <c r="B6" s="30"/>
      <c r="C6" s="11"/>
      <c r="D6" s="18"/>
      <c r="E6" s="18" t="str">
        <f t="shared" si="0"/>
        <v/>
      </c>
      <c r="F6" s="19" t="str">
        <f t="shared" si="1"/>
        <v/>
      </c>
      <c r="G6" s="20"/>
      <c r="H6" s="20" t="str">
        <f t="shared" si="2"/>
        <v/>
      </c>
      <c r="I6" s="19" t="str">
        <f t="shared" si="3"/>
        <v/>
      </c>
      <c r="J6" s="46"/>
      <c r="K6" s="46"/>
      <c r="L6" s="21"/>
      <c r="M6" s="21"/>
      <c r="N6" s="21"/>
    </row>
    <row r="7" spans="1:14" ht="81" customHeight="1">
      <c r="A7" s="48" t="str">
        <v>Callands Gretna - Monroe</v>
      </c>
      <c r="B7" s="28"/>
      <c r="C7" s="24"/>
      <c r="D7" s="13"/>
      <c r="E7" s="13" t="str">
        <f t="shared" si="0"/>
        <v/>
      </c>
      <c r="F7" s="14" t="str">
        <f t="shared" si="1"/>
        <v/>
      </c>
      <c r="G7" s="15"/>
      <c r="H7" s="15" t="str">
        <f t="shared" si="2"/>
        <v/>
      </c>
      <c r="I7" s="16" t="str">
        <f t="shared" si="3"/>
        <v/>
      </c>
      <c r="J7" s="47"/>
      <c r="K7" s="47"/>
      <c r="L7" s="21"/>
      <c r="M7" s="21"/>
      <c r="N7" s="21"/>
    </row>
    <row r="8" spans="1:14" ht="51" customHeight="1">
      <c r="A8" s="29" t="str">
        <v>Rockbridge Baths - Small Mouth Bass</v>
      </c>
      <c r="B8" s="30"/>
      <c r="C8" s="11"/>
      <c r="D8" s="18"/>
      <c r="E8" s="18" t="str">
        <f t="shared" si="0"/>
        <v/>
      </c>
      <c r="F8" s="19" t="str">
        <f t="shared" si="1"/>
        <v/>
      </c>
      <c r="G8" s="20"/>
      <c r="H8" s="20" t="str">
        <f t="shared" si="2"/>
        <v/>
      </c>
      <c r="I8" s="19" t="str">
        <f t="shared" si="3"/>
        <v/>
      </c>
      <c r="J8" s="46"/>
      <c r="K8" s="46"/>
      <c r="L8" s="21"/>
      <c r="M8" s="21"/>
      <c r="N8" s="21"/>
    </row>
    <row r="9" spans="1:14">
      <c r="A9" s="21"/>
      <c r="B9" s="21"/>
      <c r="C9" s="21"/>
      <c r="D9" s="21"/>
      <c r="E9" s="21" t="str">
        <f t="shared" si="0"/>
        <v/>
      </c>
      <c r="F9" s="21" t="str">
        <f t="shared" si="1"/>
        <v/>
      </c>
      <c r="G9" s="21"/>
      <c r="H9" s="21" t="str">
        <f t="shared" si="2"/>
        <v/>
      </c>
      <c r="I9" s="21" t="str">
        <f t="shared" si="3"/>
        <v/>
      </c>
      <c r="J9" s="21"/>
      <c r="K9" s="21"/>
      <c r="L9" s="21"/>
      <c r="M9" s="21"/>
      <c r="N9" s="21"/>
    </row>
    <row r="10" spans="1:14">
      <c r="A10" s="21"/>
      <c r="B10" s="21"/>
      <c r="C10" s="21"/>
      <c r="D10" s="21"/>
      <c r="E10" s="21" t="str">
        <f t="shared" si="0"/>
        <v/>
      </c>
      <c r="F10" s="21" t="str">
        <f t="shared" si="1"/>
        <v/>
      </c>
      <c r="G10" s="21"/>
      <c r="H10" s="21" t="str">
        <f t="shared" si="2"/>
        <v/>
      </c>
      <c r="I10" s="21" t="str">
        <f t="shared" si="3"/>
        <v/>
      </c>
      <c r="J10" s="21"/>
      <c r="K10" s="21"/>
      <c r="L10" s="21"/>
      <c r="M10" s="21"/>
      <c r="N10" s="21"/>
    </row>
    <row r="11" spans="1:14">
      <c r="A11" s="21"/>
      <c r="B11" s="21"/>
      <c r="C11" s="21"/>
      <c r="D11" s="21"/>
      <c r="E11" s="21" t="str">
        <f t="shared" si="0"/>
        <v/>
      </c>
      <c r="F11" s="21" t="str">
        <f t="shared" si="1"/>
        <v/>
      </c>
      <c r="G11" s="21"/>
      <c r="H11" s="21" t="str">
        <f t="shared" si="2"/>
        <v/>
      </c>
      <c r="I11" s="21" t="str">
        <f t="shared" si="3"/>
        <v/>
      </c>
      <c r="J11" s="21"/>
      <c r="K11" s="21"/>
      <c r="L11" s="21"/>
      <c r="M11" s="21"/>
      <c r="N11" s="21"/>
    </row>
    <row r="12" spans="1:14">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26" priority="3" stopIfTrue="1" operator="lessThanOrEqual">
      <formula>-0.1</formula>
    </cfRule>
    <cfRule type="expression" dxfId="25" priority="4">
      <formula>AND(ISNUMBER(F2), F2&gt;=0.1)</formula>
    </cfRule>
  </conditionalFormatting>
  <conditionalFormatting sqref="F13:F95 I13:I95">
    <cfRule type="cellIs" dxfId="24" priority="1" stopIfTrue="1" operator="lessThanOrEqual">
      <formula>-0.1</formula>
    </cfRule>
    <cfRule type="expression" dxfId="23" priority="2">
      <formula>AND(ISNUMBER(F13), F13&gt;=0.1)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6" t="str" cm="1">
        <f t="array" ref="A1">portfolio</f>
        <v>True Green Capital Management LLC</v>
      </c>
      <c r="B1" s="66"/>
      <c r="C1" s="66"/>
      <c r="D1" s="67" t="s">
        <v>80</v>
      </c>
      <c r="E1" s="67"/>
      <c r="F1" s="67"/>
      <c r="G1" s="65" t="s">
        <v>81</v>
      </c>
      <c r="H1" s="65"/>
      <c r="I1" s="65"/>
      <c r="J1" s="4"/>
      <c r="K1" s="4"/>
    </row>
    <row r="2" spans="1:15" ht="19.5" customHeight="1">
      <c r="A2" s="68" t="s">
        <v>2</v>
      </c>
      <c r="B2" s="68"/>
      <c r="C2" s="5">
        <f>SUM(C4:C95)</f>
        <v>0</v>
      </c>
      <c r="D2" s="5">
        <f>SUM(D4:D95)</f>
        <v>0</v>
      </c>
      <c r="E2" s="5">
        <f>C2-D2</f>
        <v>0</v>
      </c>
      <c r="F2" s="6">
        <f>IFERROR(E2/D2, 0)</f>
        <v>0</v>
      </c>
      <c r="G2" s="5">
        <f>SUM(G4:G95)</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111.75" customHeight="1">
      <c r="A4" s="29" t="str" cm="1">
        <f t="array" ref="A4:A8">Sites[Site]</f>
        <v>Rochester - 5516 Valleyhigh NW</v>
      </c>
      <c r="B4" s="30"/>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6"/>
      <c r="K4" s="46"/>
      <c r="L4" s="21"/>
      <c r="M4" s="21"/>
      <c r="N4" s="21"/>
      <c r="O4" s="21"/>
    </row>
    <row r="5" spans="1:15" ht="15.6">
      <c r="A5" s="31" t="str">
        <v>Warsaw - Hemings</v>
      </c>
      <c r="B5" s="28"/>
      <c r="C5" s="24"/>
      <c r="D5" s="13"/>
      <c r="E5" s="13" t="str">
        <f t="shared" si="0"/>
        <v/>
      </c>
      <c r="F5" s="14" t="str">
        <f t="shared" si="1"/>
        <v/>
      </c>
      <c r="G5" s="15"/>
      <c r="H5" s="15" t="str">
        <f t="shared" si="2"/>
        <v/>
      </c>
      <c r="I5" s="16" t="str">
        <f t="shared" si="3"/>
        <v/>
      </c>
      <c r="J5" s="40"/>
      <c r="K5" s="40"/>
      <c r="L5" s="21"/>
      <c r="M5" s="21"/>
      <c r="N5" s="21"/>
      <c r="O5" s="21"/>
    </row>
    <row r="6" spans="1:15" ht="15.6">
      <c r="A6" s="29" t="str">
        <v>Mount Jackson - Randolf</v>
      </c>
      <c r="B6" s="30"/>
      <c r="C6" s="11"/>
      <c r="D6" s="18"/>
      <c r="E6" s="18" t="str">
        <f t="shared" si="0"/>
        <v/>
      </c>
      <c r="F6" s="19" t="str">
        <f t="shared" si="1"/>
        <v/>
      </c>
      <c r="G6" s="20"/>
      <c r="H6" s="20" t="str">
        <f t="shared" si="2"/>
        <v/>
      </c>
      <c r="I6" s="19" t="str">
        <f t="shared" si="3"/>
        <v/>
      </c>
      <c r="J6" s="41"/>
      <c r="K6" s="46"/>
      <c r="L6" s="21"/>
      <c r="M6" s="21"/>
      <c r="N6" s="21"/>
      <c r="O6" s="21"/>
    </row>
    <row r="7" spans="1:15" ht="15.6">
      <c r="A7" s="31" t="str">
        <v>Callands Gretna - Monroe</v>
      </c>
      <c r="B7" s="28"/>
      <c r="C7" s="24"/>
      <c r="D7" s="13"/>
      <c r="E7" s="13" t="str">
        <f t="shared" si="0"/>
        <v/>
      </c>
      <c r="F7" s="14" t="str">
        <f t="shared" si="1"/>
        <v/>
      </c>
      <c r="G7" s="15"/>
      <c r="H7" s="15" t="str">
        <f t="shared" si="2"/>
        <v/>
      </c>
      <c r="I7" s="16" t="str">
        <f t="shared" si="3"/>
        <v/>
      </c>
      <c r="J7" s="40"/>
      <c r="K7" s="40"/>
      <c r="L7" s="21"/>
      <c r="M7" s="21"/>
      <c r="N7" s="21"/>
      <c r="O7" s="21"/>
    </row>
    <row r="8" spans="1:15" ht="15.6">
      <c r="A8" s="29" t="str">
        <v>Rockbridge Baths - Small Mouth Bass</v>
      </c>
      <c r="B8" s="30"/>
      <c r="C8" s="11"/>
      <c r="D8" s="18"/>
      <c r="E8" s="18" t="str">
        <f t="shared" si="0"/>
        <v/>
      </c>
      <c r="F8" s="19" t="str">
        <f t="shared" si="1"/>
        <v/>
      </c>
      <c r="G8" s="20"/>
      <c r="H8" s="20" t="str">
        <f t="shared" si="2"/>
        <v/>
      </c>
      <c r="I8" s="19" t="str">
        <f t="shared" si="3"/>
        <v/>
      </c>
      <c r="J8" s="41"/>
      <c r="K8" s="41"/>
      <c r="L8" s="21"/>
      <c r="M8" s="21"/>
      <c r="N8" s="21"/>
      <c r="O8" s="21"/>
    </row>
    <row r="9" spans="1:15">
      <c r="A9" s="21"/>
      <c r="B9" s="21"/>
      <c r="C9" s="21"/>
      <c r="D9" s="21"/>
      <c r="E9" s="21" t="str">
        <f t="shared" si="0"/>
        <v/>
      </c>
      <c r="F9" s="21" t="str">
        <f t="shared" si="1"/>
        <v/>
      </c>
      <c r="G9" s="21"/>
      <c r="H9" s="21" t="str">
        <f t="shared" si="2"/>
        <v/>
      </c>
      <c r="I9" s="21" t="str">
        <f t="shared" si="3"/>
        <v/>
      </c>
      <c r="J9" s="21"/>
      <c r="K9" s="21"/>
      <c r="L9" s="21"/>
      <c r="M9" s="21"/>
      <c r="N9" s="21"/>
      <c r="O9" s="21"/>
    </row>
    <row r="10" spans="1: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c r="A14" s="21"/>
      <c r="B14" s="21"/>
      <c r="C14" s="21"/>
      <c r="D14" s="21"/>
      <c r="E14" s="21"/>
      <c r="F14" s="21"/>
      <c r="G14" s="21"/>
      <c r="H14" s="21"/>
      <c r="I14" s="21"/>
      <c r="J14" s="21"/>
      <c r="K14" s="21"/>
      <c r="L14" s="21"/>
      <c r="M14" s="21"/>
      <c r="N14" s="21"/>
      <c r="O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2" priority="1" stopIfTrue="1" operator="lessThanOrEqual">
      <formula>-0.1</formula>
    </cfRule>
    <cfRule type="expression" dxfId="21" priority="2">
      <formula>AND(ISNUMBER(A9), A9&gt;=0.1)</formula>
    </cfRule>
  </conditionalFormatting>
  <conditionalFormatting sqref="F2 I2 F4:F8 I4:I8">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7"/>
  <sheetViews>
    <sheetView zoomScale="80" zoomScaleNormal="80" workbookViewId="0">
      <pane xSplit="2" ySplit="3" topLeftCell="F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True Green Capital Management LLC</v>
      </c>
      <c r="B1" s="66"/>
      <c r="C1" s="66"/>
      <c r="D1" s="67" t="s">
        <v>82</v>
      </c>
      <c r="E1" s="67"/>
      <c r="F1" s="67"/>
      <c r="G1" s="65" t="s">
        <v>83</v>
      </c>
      <c r="H1" s="65"/>
      <c r="I1" s="65"/>
      <c r="J1" s="4"/>
      <c r="K1" s="4"/>
    </row>
    <row r="2" spans="1:12" ht="19.5" customHeight="1">
      <c r="A2" s="68" t="s">
        <v>2</v>
      </c>
      <c r="B2" s="68"/>
      <c r="C2" s="5">
        <f>SUM(C4:C95)</f>
        <v>0</v>
      </c>
      <c r="D2" s="5">
        <f>SUM(D4:D95)</f>
        <v>0</v>
      </c>
      <c r="E2" s="5">
        <f>C2-D2</f>
        <v>0</v>
      </c>
      <c r="F2" s="6">
        <f>IFERROR(E2/D2, 0)</f>
        <v>0</v>
      </c>
      <c r="G2" s="5">
        <f>SUM(G4:G95)</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5.6">
      <c r="A4" s="29" t="str" cm="1">
        <f t="array" ref="A4:A8">Sites[Site]</f>
        <v>Rochester - 5516 Valleyhigh NW</v>
      </c>
      <c r="B4" s="30"/>
      <c r="C4" s="49"/>
      <c r="D4" s="18"/>
      <c r="E4" s="18" t="str">
        <f t="shared" ref="E4:E12" si="0">IF(AND(ISNUMBER(C4),ISNUMBER(D4)), C4-D4, "")</f>
        <v/>
      </c>
      <c r="F4" s="19" t="str">
        <f t="shared" ref="F4:F12" si="1">IFERROR(E4/D4, "")</f>
        <v/>
      </c>
      <c r="G4" s="20"/>
      <c r="H4" s="20" t="str">
        <f t="shared" ref="H4:H12" si="2">IF(AND(ISNUMBER(C4),ISNUMBER(G4)), C4-G4, "")</f>
        <v/>
      </c>
      <c r="I4" s="50" t="str">
        <f t="shared" ref="I4:I8" si="3">IFERROR(H4/G4, "")</f>
        <v/>
      </c>
      <c r="J4" s="46"/>
      <c r="K4" s="46"/>
      <c r="L4" s="21"/>
    </row>
    <row r="5" spans="1:12" ht="15.6">
      <c r="A5" s="31" t="str">
        <v>Warsaw - Hemings</v>
      </c>
      <c r="B5" s="28"/>
      <c r="C5" s="24"/>
      <c r="D5" s="13"/>
      <c r="E5" s="13" t="str">
        <f t="shared" si="0"/>
        <v/>
      </c>
      <c r="F5" s="14" t="str">
        <f t="shared" si="1"/>
        <v/>
      </c>
      <c r="G5" s="15"/>
      <c r="H5" s="15" t="str">
        <f t="shared" si="2"/>
        <v/>
      </c>
      <c r="I5" s="16" t="str">
        <f t="shared" si="3"/>
        <v/>
      </c>
      <c r="J5" s="40"/>
      <c r="K5" s="40"/>
      <c r="L5" s="21"/>
    </row>
    <row r="6" spans="1:12" ht="15.6">
      <c r="A6" s="29" t="str">
        <v>Mount Jackson - Randolf</v>
      </c>
      <c r="B6" s="30"/>
      <c r="C6" s="11"/>
      <c r="D6" s="18"/>
      <c r="E6" s="18" t="str">
        <f t="shared" si="0"/>
        <v/>
      </c>
      <c r="F6" s="19" t="str">
        <f t="shared" si="1"/>
        <v/>
      </c>
      <c r="G6" s="20"/>
      <c r="H6" s="20" t="str">
        <f t="shared" si="2"/>
        <v/>
      </c>
      <c r="I6" s="50" t="str">
        <f t="shared" si="3"/>
        <v/>
      </c>
      <c r="J6" s="41"/>
      <c r="K6" s="41"/>
      <c r="L6" s="21"/>
    </row>
    <row r="7" spans="1:12" ht="15.6">
      <c r="A7" s="31" t="str">
        <v>Callands Gretna - Monroe</v>
      </c>
      <c r="B7" s="28"/>
      <c r="C7" s="24"/>
      <c r="D7" s="13"/>
      <c r="E7" s="13" t="str">
        <f>IF(AND(ISNUMBER(C7),ISNUMBER(D7)), C7-D7, "")</f>
        <v/>
      </c>
      <c r="F7" s="14" t="str">
        <f t="shared" si="1"/>
        <v/>
      </c>
      <c r="G7" s="15"/>
      <c r="H7" s="15" t="str">
        <f t="shared" si="2"/>
        <v/>
      </c>
      <c r="I7" s="16" t="str">
        <f t="shared" si="3"/>
        <v/>
      </c>
      <c r="J7" s="40"/>
      <c r="K7" s="40"/>
      <c r="L7" s="21"/>
    </row>
    <row r="8" spans="1:12" ht="15.6">
      <c r="A8" s="29" t="str">
        <v>Rockbridge Baths - Small Mouth Bass</v>
      </c>
      <c r="B8" s="30"/>
      <c r="C8" s="11"/>
      <c r="D8" s="18"/>
      <c r="E8" s="18" t="str">
        <f t="shared" si="0"/>
        <v/>
      </c>
      <c r="F8" s="19" t="str">
        <f t="shared" si="1"/>
        <v/>
      </c>
      <c r="G8" s="20"/>
      <c r="H8" s="20" t="str">
        <f t="shared" si="2"/>
        <v/>
      </c>
      <c r="I8" s="50" t="str">
        <f t="shared" si="3"/>
        <v/>
      </c>
      <c r="J8" s="41"/>
      <c r="K8" s="41"/>
      <c r="L8" s="21"/>
    </row>
    <row r="9" spans="1:12">
      <c r="A9" s="21"/>
      <c r="B9" s="21"/>
      <c r="C9" s="21"/>
      <c r="D9" s="21"/>
      <c r="E9" s="21" t="str">
        <f t="shared" si="0"/>
        <v/>
      </c>
      <c r="F9" s="21" t="str">
        <f t="shared" si="1"/>
        <v/>
      </c>
      <c r="G9" s="21"/>
      <c r="H9" s="21" t="str">
        <f t="shared" si="2"/>
        <v/>
      </c>
      <c r="I9" s="21" t="str">
        <f t="shared" ref="I9:I12" si="4">IFERROR(H9/G9, "")</f>
        <v/>
      </c>
      <c r="J9" s="21"/>
      <c r="K9" s="21"/>
      <c r="L9" s="21"/>
    </row>
    <row r="10" spans="1:12">
      <c r="A10" s="21"/>
      <c r="B10" s="21"/>
      <c r="C10" s="21"/>
      <c r="D10" s="21"/>
      <c r="E10" s="21" t="str">
        <f t="shared" si="0"/>
        <v/>
      </c>
      <c r="F10" s="21" t="str">
        <f t="shared" si="1"/>
        <v/>
      </c>
      <c r="G10" s="21"/>
      <c r="H10" s="21" t="str">
        <f t="shared" si="2"/>
        <v/>
      </c>
      <c r="I10" s="21" t="str">
        <f t="shared" si="4"/>
        <v/>
      </c>
      <c r="J10" s="21"/>
      <c r="K10" s="21"/>
      <c r="L10" s="21"/>
    </row>
    <row r="11" spans="1:12">
      <c r="A11" s="21"/>
      <c r="B11" s="21"/>
      <c r="C11" s="21"/>
      <c r="D11" s="21"/>
      <c r="E11" s="21" t="str">
        <f t="shared" si="0"/>
        <v/>
      </c>
      <c r="F11" s="21" t="str">
        <f t="shared" si="1"/>
        <v/>
      </c>
      <c r="G11" s="21"/>
      <c r="H11" s="21" t="str">
        <f t="shared" si="2"/>
        <v/>
      </c>
      <c r="I11" s="21" t="str">
        <f t="shared" si="4"/>
        <v/>
      </c>
      <c r="J11" s="21"/>
      <c r="K11" s="21"/>
      <c r="L11" s="21"/>
    </row>
    <row r="12" spans="1:12">
      <c r="A12" s="21"/>
      <c r="B12" s="21"/>
      <c r="C12" s="21"/>
      <c r="D12" s="21"/>
      <c r="E12" s="21" t="str">
        <f t="shared" si="0"/>
        <v/>
      </c>
      <c r="F12" s="21" t="str">
        <f t="shared" si="1"/>
        <v/>
      </c>
      <c r="G12" s="21"/>
      <c r="H12" s="21" t="str">
        <f t="shared" si="2"/>
        <v/>
      </c>
      <c r="I12" s="21" t="str">
        <f t="shared" si="4"/>
        <v/>
      </c>
      <c r="J12" s="21"/>
      <c r="K12" s="21"/>
      <c r="L12" s="21"/>
    </row>
    <row r="13" spans="1:12" ht="12.75" customHeight="1">
      <c r="A13" s="21"/>
      <c r="B13" s="21"/>
      <c r="C13" s="21"/>
      <c r="D13" s="21"/>
      <c r="E13" s="21"/>
      <c r="F13" s="21"/>
      <c r="G13" s="21"/>
      <c r="H13" s="21"/>
      <c r="I13" s="21"/>
      <c r="J13" s="21"/>
      <c r="K13" s="21"/>
      <c r="L13" s="21"/>
    </row>
    <row r="14" spans="1:12">
      <c r="A14" s="21"/>
      <c r="B14" s="21"/>
      <c r="C14" s="21"/>
      <c r="D14" s="21"/>
      <c r="E14" s="21"/>
      <c r="F14" s="21"/>
      <c r="G14" s="21"/>
      <c r="H14" s="21"/>
      <c r="I14" s="21"/>
      <c r="J14" s="21"/>
      <c r="K14" s="21"/>
      <c r="L14" s="21"/>
    </row>
    <row r="15" spans="1:12">
      <c r="A15" s="21"/>
      <c r="B15" s="21"/>
      <c r="C15" s="21"/>
      <c r="D15" s="21"/>
      <c r="E15" s="21"/>
      <c r="F15" s="21"/>
      <c r="G15" s="21"/>
      <c r="H15" s="21"/>
      <c r="I15" s="21"/>
      <c r="J15" s="21"/>
      <c r="K15" s="21"/>
      <c r="L15" s="21"/>
    </row>
    <row r="16" spans="1:12"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6" t="str" cm="1">
        <f t="array" ref="A1">portfolio</f>
        <v>True Green Capital Management LLC</v>
      </c>
      <c r="B1" s="66"/>
      <c r="C1" s="66"/>
      <c r="D1" s="67" t="s">
        <v>84</v>
      </c>
      <c r="E1" s="67"/>
      <c r="F1" s="67"/>
      <c r="G1" s="65" t="s">
        <v>85</v>
      </c>
      <c r="H1" s="65"/>
      <c r="I1" s="65"/>
      <c r="J1" s="4"/>
      <c r="K1" s="4"/>
    </row>
    <row r="2" spans="1:13" ht="19.5" customHeight="1">
      <c r="A2" s="68" t="s">
        <v>2</v>
      </c>
      <c r="B2" s="68"/>
      <c r="C2" s="5">
        <f>SUM(C4:C95)</f>
        <v>0</v>
      </c>
      <c r="D2" s="5">
        <f>SUM(D4:D95)</f>
        <v>0</v>
      </c>
      <c r="E2" s="5">
        <f>C2-D2</f>
        <v>0</v>
      </c>
      <c r="F2" s="6">
        <f>IFERROR(E2/D2, 0)</f>
        <v>0</v>
      </c>
      <c r="G2" s="5">
        <f>SUM(G4:G95)</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4" t="s">
        <v>6</v>
      </c>
      <c r="E3" s="34" t="s">
        <v>7</v>
      </c>
      <c r="F3" s="35" t="s">
        <v>8</v>
      </c>
      <c r="G3" s="36" t="s">
        <v>9</v>
      </c>
      <c r="H3" s="37" t="s">
        <v>7</v>
      </c>
      <c r="I3" s="38" t="s">
        <v>8</v>
      </c>
      <c r="J3" s="25" t="s">
        <v>20</v>
      </c>
      <c r="K3" s="25" t="s">
        <v>21</v>
      </c>
    </row>
    <row r="4" spans="1:13" ht="96.75" customHeight="1">
      <c r="A4" s="29" t="str" cm="1">
        <f t="array" ref="A4:A8">Sites[Site]</f>
        <v>Rochester - 5516 Valleyhigh NW</v>
      </c>
      <c r="B4" s="30"/>
      <c r="C4" s="11"/>
      <c r="D4" s="18"/>
      <c r="E4" s="18" t="str">
        <f t="shared" ref="E4:E12" si="0">IF(AND(ISNUMBER(C4),ISNUMBER(D4)), C4-D4, "")</f>
        <v/>
      </c>
      <c r="F4" s="19" t="str">
        <f t="shared" ref="F4:F12" si="1">IFERROR(E4/D4, "")</f>
        <v/>
      </c>
      <c r="G4" s="51"/>
      <c r="H4" s="20" t="str">
        <f t="shared" ref="H4:H12" si="2">IF(AND(ISNUMBER(C4),ISNUMBER(G4)), C4-G4, "")</f>
        <v/>
      </c>
      <c r="I4" s="19" t="str">
        <f t="shared" ref="I4:I12" si="3">IFERROR(H4/G4, "")</f>
        <v/>
      </c>
      <c r="J4" s="52"/>
      <c r="K4" s="52"/>
      <c r="L4" s="21"/>
      <c r="M4" s="21"/>
    </row>
    <row r="5" spans="1:13" ht="15.6">
      <c r="A5" s="31" t="str">
        <v>Warsaw - Hemings</v>
      </c>
      <c r="B5" s="28"/>
      <c r="C5" s="24"/>
      <c r="D5" s="13"/>
      <c r="E5" s="13" t="str">
        <f t="shared" si="0"/>
        <v/>
      </c>
      <c r="F5" s="14" t="str">
        <f t="shared" si="1"/>
        <v/>
      </c>
      <c r="G5" s="15"/>
      <c r="H5" s="15" t="str">
        <f t="shared" si="2"/>
        <v/>
      </c>
      <c r="I5" s="16" t="str">
        <f t="shared" si="3"/>
        <v/>
      </c>
      <c r="J5" s="40"/>
      <c r="K5" s="40"/>
      <c r="L5" s="21"/>
      <c r="M5" s="21"/>
    </row>
    <row r="6" spans="1:13" ht="15.6">
      <c r="A6" s="29" t="str">
        <v>Mount Jackson - Randolf</v>
      </c>
      <c r="B6" s="30"/>
      <c r="C6" s="11"/>
      <c r="D6" s="18"/>
      <c r="E6" s="18" t="str">
        <f t="shared" si="0"/>
        <v/>
      </c>
      <c r="F6" s="19" t="str">
        <f t="shared" si="1"/>
        <v/>
      </c>
      <c r="G6" s="20"/>
      <c r="H6" s="20" t="str">
        <f t="shared" si="2"/>
        <v/>
      </c>
      <c r="I6" s="19" t="str">
        <f t="shared" si="3"/>
        <v/>
      </c>
      <c r="J6" s="41"/>
      <c r="K6" s="41"/>
      <c r="L6" s="21"/>
      <c r="M6" s="21"/>
    </row>
    <row r="7" spans="1:13" ht="15.6">
      <c r="A7" s="31" t="str">
        <v>Callands Gretna - Monroe</v>
      </c>
      <c r="B7" s="28"/>
      <c r="C7" s="24"/>
      <c r="D7" s="13"/>
      <c r="E7" s="13" t="str">
        <f t="shared" si="0"/>
        <v/>
      </c>
      <c r="F7" s="14" t="str">
        <f t="shared" si="1"/>
        <v/>
      </c>
      <c r="G7" s="15"/>
      <c r="H7" s="15" t="str">
        <f t="shared" si="2"/>
        <v/>
      </c>
      <c r="I7" s="16" t="str">
        <f t="shared" si="3"/>
        <v/>
      </c>
      <c r="J7" s="40"/>
      <c r="K7" s="40"/>
      <c r="L7" s="21"/>
      <c r="M7" s="21"/>
    </row>
    <row r="8" spans="1:13" ht="15.6">
      <c r="A8" s="29" t="str">
        <v>Rockbridge Baths - Small Mouth Bass</v>
      </c>
      <c r="B8" s="30"/>
      <c r="C8" s="11"/>
      <c r="D8" s="18"/>
      <c r="E8" s="18" t="str">
        <f t="shared" si="0"/>
        <v/>
      </c>
      <c r="F8" s="19" t="str">
        <f t="shared" si="1"/>
        <v/>
      </c>
      <c r="G8" s="20"/>
      <c r="H8" s="20" t="str">
        <f t="shared" si="2"/>
        <v/>
      </c>
      <c r="I8" s="19" t="str">
        <f t="shared" si="3"/>
        <v/>
      </c>
      <c r="J8" s="41"/>
      <c r="K8" s="52"/>
      <c r="L8" s="21"/>
      <c r="M8" s="21"/>
    </row>
    <row r="9" spans="1:13">
      <c r="A9" s="21"/>
      <c r="B9" s="21"/>
      <c r="C9" s="21"/>
      <c r="D9" s="21"/>
      <c r="E9" s="21" t="str">
        <f t="shared" si="0"/>
        <v/>
      </c>
      <c r="F9" s="21" t="str">
        <f t="shared" si="1"/>
        <v/>
      </c>
      <c r="G9" s="21"/>
      <c r="H9" s="21" t="str">
        <f t="shared" si="2"/>
        <v/>
      </c>
      <c r="I9" s="21" t="str">
        <f t="shared" si="3"/>
        <v/>
      </c>
      <c r="J9" s="21"/>
      <c r="K9" s="21"/>
      <c r="L9" s="21"/>
      <c r="M9" s="21"/>
    </row>
    <row r="10" spans="1:13">
      <c r="A10" s="21"/>
      <c r="B10" s="21"/>
      <c r="C10" s="21"/>
      <c r="D10" s="21"/>
      <c r="E10" s="21" t="str">
        <f t="shared" si="0"/>
        <v/>
      </c>
      <c r="F10" s="21" t="str">
        <f t="shared" si="1"/>
        <v/>
      </c>
      <c r="G10" s="21"/>
      <c r="H10" s="21" t="str">
        <f t="shared" si="2"/>
        <v/>
      </c>
      <c r="I10" s="21" t="str">
        <f t="shared" si="3"/>
        <v/>
      </c>
      <c r="J10" s="21"/>
      <c r="K10" s="21"/>
      <c r="L10" s="21"/>
      <c r="M10" s="21"/>
    </row>
    <row r="11" spans="1:13">
      <c r="A11" s="21"/>
      <c r="B11" s="21"/>
      <c r="C11" s="21"/>
      <c r="D11" s="21"/>
      <c r="E11" s="21" t="str">
        <f t="shared" si="0"/>
        <v/>
      </c>
      <c r="F11" s="21" t="str">
        <f t="shared" si="1"/>
        <v/>
      </c>
      <c r="G11" s="21"/>
      <c r="H11" s="21" t="str">
        <f t="shared" si="2"/>
        <v/>
      </c>
      <c r="I11" s="21" t="str">
        <f t="shared" si="3"/>
        <v/>
      </c>
      <c r="J11" s="21"/>
      <c r="K11" s="21"/>
      <c r="L11" s="21"/>
      <c r="M11" s="21"/>
    </row>
    <row r="12" spans="1:13">
      <c r="A12" s="21"/>
      <c r="B12" s="21"/>
      <c r="C12" s="21"/>
      <c r="D12" s="21"/>
      <c r="E12" s="21" t="str">
        <f t="shared" si="0"/>
        <v/>
      </c>
      <c r="F12" s="21" t="str">
        <f t="shared" si="1"/>
        <v/>
      </c>
      <c r="G12" s="21"/>
      <c r="H12" s="21" t="str">
        <f t="shared" si="2"/>
        <v/>
      </c>
      <c r="I12" s="21" t="str">
        <f t="shared" si="3"/>
        <v/>
      </c>
      <c r="J12" s="21"/>
      <c r="K12" s="21"/>
      <c r="L12" s="21"/>
      <c r="M12" s="21"/>
    </row>
    <row r="13" spans="1:13" ht="12.75" customHeight="1">
      <c r="A13" s="21"/>
      <c r="B13" s="32"/>
      <c r="C13" s="21"/>
      <c r="D13" s="21"/>
      <c r="E13" s="21"/>
      <c r="F13" s="21"/>
      <c r="G13" s="21"/>
      <c r="H13" s="21"/>
      <c r="I13" s="21"/>
      <c r="J13" s="21"/>
      <c r="K13" s="21"/>
    </row>
    <row r="14" spans="1:13" ht="14.45">
      <c r="A14" s="21"/>
      <c r="B14" s="32"/>
      <c r="C14" s="21"/>
      <c r="D14" s="21"/>
      <c r="E14" s="21"/>
      <c r="F14" s="21"/>
      <c r="G14" s="21"/>
      <c r="H14" s="21"/>
      <c r="I14" s="21"/>
      <c r="J14" s="21"/>
      <c r="K14" s="21"/>
    </row>
    <row r="15" spans="1:13" ht="14.45">
      <c r="A15" s="21"/>
      <c r="B15" s="32"/>
      <c r="C15" s="21"/>
      <c r="D15" s="21"/>
      <c r="E15" s="21"/>
      <c r="F15" s="21"/>
      <c r="G15" s="21"/>
      <c r="H15" s="21"/>
      <c r="I15" s="21"/>
      <c r="J15" s="21"/>
      <c r="K15" s="21"/>
    </row>
    <row r="16" spans="1:13"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66" t="str" cm="1">
        <f t="array" ref="A1">portfolio</f>
        <v>True Green Capital Management LLC</v>
      </c>
      <c r="B1" s="66"/>
      <c r="C1" s="66"/>
      <c r="D1" s="67" t="s">
        <v>86</v>
      </c>
      <c r="E1" s="67"/>
      <c r="F1" s="67"/>
      <c r="G1" s="65" t="s">
        <v>87</v>
      </c>
      <c r="H1" s="65"/>
      <c r="I1" s="65"/>
      <c r="J1" s="4"/>
      <c r="K1" s="4"/>
    </row>
    <row r="2" spans="1:12" ht="19.5" customHeight="1">
      <c r="A2" s="68" t="s">
        <v>2</v>
      </c>
      <c r="B2" s="68"/>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00.5" customHeight="1">
      <c r="A4" s="29" t="str" cm="1">
        <f t="array" ref="A4:A8">Sites[Site]</f>
        <v>Rochester - 5516 Valleyhigh NW</v>
      </c>
      <c r="B4" s="30"/>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6"/>
      <c r="K4" s="46"/>
      <c r="L4" s="21"/>
    </row>
    <row r="5" spans="1:12" ht="15.6">
      <c r="A5" s="31" t="str">
        <v>Warsaw - Hemings</v>
      </c>
      <c r="B5" s="28"/>
      <c r="C5" s="24"/>
      <c r="D5" s="13"/>
      <c r="E5" s="13" t="str">
        <f t="shared" si="0"/>
        <v/>
      </c>
      <c r="F5" s="14" t="str">
        <f t="shared" si="1"/>
        <v/>
      </c>
      <c r="G5" s="15"/>
      <c r="H5" s="15" t="str">
        <f t="shared" si="2"/>
        <v/>
      </c>
      <c r="I5" s="16" t="str">
        <f t="shared" si="3"/>
        <v/>
      </c>
      <c r="J5" s="47"/>
      <c r="K5" s="47"/>
      <c r="L5" s="21"/>
    </row>
    <row r="6" spans="1:12" ht="15.6">
      <c r="A6" s="29" t="str">
        <v>Mount Jackson - Randolf</v>
      </c>
      <c r="B6" s="30"/>
      <c r="C6" s="11"/>
      <c r="D6" s="18"/>
      <c r="E6" s="18" t="str">
        <f t="shared" si="0"/>
        <v/>
      </c>
      <c r="F6" s="19" t="str">
        <f t="shared" si="1"/>
        <v/>
      </c>
      <c r="G6" s="20"/>
      <c r="H6" s="20" t="str">
        <f t="shared" si="2"/>
        <v/>
      </c>
      <c r="I6" s="19" t="str">
        <f t="shared" si="3"/>
        <v/>
      </c>
      <c r="J6" s="46"/>
      <c r="K6" s="46"/>
      <c r="L6" s="21"/>
    </row>
    <row r="7" spans="1:12" ht="15.6">
      <c r="A7" s="31" t="str">
        <v>Callands Gretna - Monroe</v>
      </c>
      <c r="B7" s="28"/>
      <c r="C7" s="24"/>
      <c r="D7" s="13"/>
      <c r="E7" s="13" t="str">
        <f t="shared" si="0"/>
        <v/>
      </c>
      <c r="F7" s="14" t="str">
        <f t="shared" si="1"/>
        <v/>
      </c>
      <c r="G7" s="15"/>
      <c r="H7" s="15" t="str">
        <f t="shared" si="2"/>
        <v/>
      </c>
      <c r="I7" s="16" t="str">
        <f t="shared" si="3"/>
        <v/>
      </c>
      <c r="J7" s="47"/>
      <c r="K7" s="47"/>
      <c r="L7" s="21"/>
    </row>
    <row r="8" spans="1:12" ht="15.6">
      <c r="A8" s="29" t="str">
        <v>Rockbridge Baths - Small Mouth Bass</v>
      </c>
      <c r="B8" s="30"/>
      <c r="C8" s="11"/>
      <c r="D8" s="18"/>
      <c r="E8" s="18" t="str">
        <f t="shared" si="0"/>
        <v/>
      </c>
      <c r="F8" s="19" t="str">
        <f t="shared" si="1"/>
        <v/>
      </c>
      <c r="G8" s="20"/>
      <c r="H8" s="20" t="str">
        <f t="shared" si="2"/>
        <v/>
      </c>
      <c r="I8" s="19" t="str">
        <f t="shared" si="3"/>
        <v/>
      </c>
      <c r="J8" s="46"/>
      <c r="K8" s="46"/>
      <c r="L8" s="21"/>
    </row>
    <row r="9" spans="1:12">
      <c r="A9" s="21"/>
      <c r="B9" s="21"/>
      <c r="C9" s="21"/>
      <c r="D9" s="21"/>
      <c r="E9" s="21" t="str">
        <f t="shared" si="0"/>
        <v/>
      </c>
      <c r="F9" s="21" t="str">
        <f t="shared" si="1"/>
        <v/>
      </c>
      <c r="G9" s="21"/>
      <c r="H9" s="21" t="str">
        <f t="shared" si="2"/>
        <v/>
      </c>
      <c r="I9" s="21" t="str">
        <f t="shared" si="3"/>
        <v/>
      </c>
      <c r="J9" s="21"/>
      <c r="K9" s="21"/>
      <c r="L9" s="21"/>
    </row>
    <row r="10" spans="1:12">
      <c r="A10" s="21"/>
      <c r="B10" s="21"/>
      <c r="C10" s="21"/>
      <c r="D10" s="21"/>
      <c r="E10" s="21" t="str">
        <f t="shared" si="0"/>
        <v/>
      </c>
      <c r="F10" s="21" t="str">
        <f t="shared" si="1"/>
        <v/>
      </c>
      <c r="G10" s="21"/>
      <c r="H10" s="21" t="str">
        <f t="shared" si="2"/>
        <v/>
      </c>
      <c r="I10" s="21" t="str">
        <f t="shared" si="3"/>
        <v/>
      </c>
      <c r="J10" s="21"/>
      <c r="K10" s="21"/>
      <c r="L10" s="21"/>
    </row>
    <row r="11" spans="1:12">
      <c r="A11" s="21"/>
      <c r="B11" s="21"/>
      <c r="C11" s="21"/>
      <c r="D11" s="21"/>
      <c r="E11" s="21" t="str">
        <f t="shared" si="0"/>
        <v/>
      </c>
      <c r="F11" s="21" t="str">
        <f t="shared" si="1"/>
        <v/>
      </c>
      <c r="G11" s="21"/>
      <c r="H11" s="21" t="str">
        <f t="shared" si="2"/>
        <v/>
      </c>
      <c r="I11" s="21" t="str">
        <f t="shared" si="3"/>
        <v/>
      </c>
      <c r="J11" s="21"/>
      <c r="K11" s="21"/>
      <c r="L11" s="21"/>
    </row>
    <row r="12" spans="1:12">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c r="A13" s="21"/>
      <c r="B13" s="21"/>
      <c r="C13" s="21"/>
      <c r="D13" s="21"/>
      <c r="E13" s="21"/>
      <c r="F13" s="21"/>
      <c r="G13" s="21"/>
      <c r="H13" s="21"/>
      <c r="I13" s="21"/>
      <c r="J13" s="21"/>
      <c r="K13" s="21"/>
      <c r="L13" s="21"/>
    </row>
    <row r="14" spans="1:12">
      <c r="A14" s="21"/>
      <c r="B14" s="21"/>
      <c r="C14" s="21"/>
      <c r="D14" s="21"/>
      <c r="E14" s="21"/>
      <c r="F14" s="21"/>
      <c r="G14" s="21"/>
      <c r="H14" s="21"/>
      <c r="I14" s="21"/>
      <c r="J14" s="21"/>
      <c r="K14" s="21"/>
      <c r="L14" s="21"/>
    </row>
    <row r="15" spans="1:12" ht="14.45">
      <c r="A15" s="21"/>
      <c r="B15" s="32"/>
      <c r="C15" s="21"/>
      <c r="D15" s="21"/>
      <c r="E15" s="21"/>
      <c r="F15" s="21"/>
      <c r="G15" s="21"/>
      <c r="H15" s="21"/>
      <c r="I15" s="21"/>
      <c r="J15" s="21"/>
      <c r="K15" s="21"/>
    </row>
    <row r="16" spans="1:12"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True Green Capital Management LLC</v>
      </c>
      <c r="B1" s="66"/>
      <c r="C1" s="66"/>
      <c r="D1" s="67" t="s">
        <v>88</v>
      </c>
      <c r="E1" s="67"/>
      <c r="F1" s="67"/>
      <c r="G1" s="65" t="s">
        <v>89</v>
      </c>
      <c r="H1" s="65"/>
      <c r="I1" s="65"/>
      <c r="J1" s="4"/>
      <c r="K1" s="4"/>
    </row>
    <row r="2" spans="1:12" ht="19.5" customHeight="1">
      <c r="A2" s="68" t="s">
        <v>2</v>
      </c>
      <c r="B2" s="68"/>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22.5" customHeight="1">
      <c r="A4" s="29" t="str" cm="1">
        <f t="array" ref="A4:A8">Sites[Site]</f>
        <v>Rochester - 5516 Valleyhigh NW</v>
      </c>
      <c r="B4" s="30"/>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6"/>
      <c r="K4" s="46"/>
      <c r="L4" s="29"/>
    </row>
    <row r="5" spans="1:12" ht="15.6">
      <c r="A5" s="31" t="str">
        <v>Warsaw - Hemings</v>
      </c>
      <c r="B5" s="28"/>
      <c r="C5" s="24"/>
      <c r="D5" s="13"/>
      <c r="E5" s="13" t="str">
        <f t="shared" si="0"/>
        <v/>
      </c>
      <c r="F5" s="14" t="str">
        <f t="shared" si="1"/>
        <v/>
      </c>
      <c r="G5" s="15"/>
      <c r="H5" s="15" t="str">
        <f t="shared" si="2"/>
        <v/>
      </c>
      <c r="I5" s="16" t="str">
        <f t="shared" si="3"/>
        <v/>
      </c>
      <c r="J5" s="47"/>
      <c r="K5" s="47"/>
      <c r="L5" s="29"/>
    </row>
    <row r="6" spans="1:12" ht="15.6">
      <c r="A6" s="29" t="str">
        <v>Mount Jackson - Randolf</v>
      </c>
      <c r="B6" s="30"/>
      <c r="C6" s="11"/>
      <c r="D6" s="18"/>
      <c r="E6" s="18" t="str">
        <f t="shared" si="0"/>
        <v/>
      </c>
      <c r="F6" s="19" t="str">
        <f t="shared" si="1"/>
        <v/>
      </c>
      <c r="G6" s="20"/>
      <c r="H6" s="20" t="str">
        <f t="shared" si="2"/>
        <v/>
      </c>
      <c r="I6" s="19" t="str">
        <f t="shared" si="3"/>
        <v/>
      </c>
      <c r="J6" s="46"/>
      <c r="K6" s="46"/>
      <c r="L6" s="29"/>
    </row>
    <row r="7" spans="1:12" ht="15.6">
      <c r="A7" s="31" t="str">
        <v>Callands Gretna - Monroe</v>
      </c>
      <c r="B7" s="28"/>
      <c r="C7" s="24"/>
      <c r="D7" s="13"/>
      <c r="E7" s="13" t="str">
        <f t="shared" si="0"/>
        <v/>
      </c>
      <c r="F7" s="14" t="str">
        <f t="shared" si="1"/>
        <v/>
      </c>
      <c r="G7" s="15"/>
      <c r="H7" s="15" t="str">
        <f t="shared" si="2"/>
        <v/>
      </c>
      <c r="I7" s="16" t="str">
        <f t="shared" si="3"/>
        <v/>
      </c>
      <c r="J7" s="47"/>
      <c r="K7" s="47"/>
      <c r="L7" s="29"/>
    </row>
    <row r="8" spans="1:12" ht="15.6">
      <c r="A8" s="29" t="str">
        <v>Rockbridge Baths - Small Mouth Bass</v>
      </c>
      <c r="B8" s="30"/>
      <c r="C8" s="11"/>
      <c r="D8" s="18"/>
      <c r="E8" s="18" t="str">
        <f t="shared" si="0"/>
        <v/>
      </c>
      <c r="F8" s="19" t="str">
        <f t="shared" si="1"/>
        <v/>
      </c>
      <c r="G8" s="20"/>
      <c r="H8" s="20" t="str">
        <f t="shared" si="2"/>
        <v/>
      </c>
      <c r="I8" s="19" t="str">
        <f t="shared" si="3"/>
        <v/>
      </c>
      <c r="J8" s="41"/>
      <c r="K8" s="41"/>
      <c r="L8" s="29"/>
    </row>
    <row r="9" spans="1:12" ht="15.6">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6">
      <c r="A10" s="29"/>
      <c r="B10" s="29"/>
      <c r="C10" s="29"/>
      <c r="D10" s="29"/>
      <c r="E10" s="29" t="str">
        <f t="shared" si="4"/>
        <v/>
      </c>
      <c r="F10" s="29" t="str">
        <f t="shared" si="5"/>
        <v/>
      </c>
      <c r="G10" s="29"/>
      <c r="H10" s="29" t="str">
        <f t="shared" si="6"/>
        <v/>
      </c>
      <c r="I10" s="29" t="str">
        <f t="shared" si="7"/>
        <v/>
      </c>
      <c r="J10" s="29"/>
      <c r="K10" s="29"/>
      <c r="L10" s="29"/>
    </row>
    <row r="11" spans="1:12" ht="15.6">
      <c r="A11" s="29"/>
      <c r="B11" s="29"/>
      <c r="C11" s="29"/>
      <c r="D11" s="29"/>
      <c r="E11" s="29" t="str">
        <f t="shared" si="4"/>
        <v/>
      </c>
      <c r="F11" s="29" t="str">
        <f t="shared" si="5"/>
        <v/>
      </c>
      <c r="G11" s="29"/>
      <c r="H11" s="29" t="str">
        <f t="shared" si="6"/>
        <v/>
      </c>
      <c r="I11" s="29" t="str">
        <f t="shared" si="7"/>
        <v/>
      </c>
      <c r="J11" s="29"/>
      <c r="K11" s="29"/>
      <c r="L11" s="29"/>
    </row>
    <row r="12" spans="1:12" ht="15.6">
      <c r="A12" s="29"/>
      <c r="B12" s="29"/>
      <c r="C12" s="29"/>
      <c r="D12" s="29"/>
      <c r="E12" s="29" t="str">
        <f t="shared" si="4"/>
        <v/>
      </c>
      <c r="F12" s="29" t="str">
        <f t="shared" si="5"/>
        <v/>
      </c>
      <c r="G12" s="29"/>
      <c r="H12" s="29" t="str">
        <f t="shared" si="6"/>
        <v/>
      </c>
      <c r="I12" s="29" t="str">
        <f t="shared" si="7"/>
        <v/>
      </c>
      <c r="J12" s="29"/>
      <c r="K12" s="29"/>
      <c r="L12" s="29"/>
    </row>
    <row r="13" spans="1:12" ht="12.75" customHeight="1">
      <c r="A13" s="29"/>
      <c r="B13" s="29"/>
      <c r="C13" s="29"/>
      <c r="D13" s="29"/>
      <c r="E13" s="29"/>
      <c r="F13" s="29"/>
      <c r="G13" s="29"/>
      <c r="H13" s="29"/>
      <c r="I13" s="29"/>
      <c r="J13" s="29"/>
      <c r="K13" s="29"/>
      <c r="L13" s="29"/>
    </row>
    <row r="14" spans="1:12" ht="15.6">
      <c r="A14" s="29"/>
      <c r="B14" s="29"/>
      <c r="C14" s="29"/>
      <c r="D14" s="29"/>
      <c r="E14" s="29"/>
      <c r="F14" s="29"/>
      <c r="G14" s="29"/>
      <c r="H14" s="29"/>
      <c r="I14" s="29"/>
      <c r="J14" s="29"/>
      <c r="K14" s="29"/>
      <c r="L14" s="29"/>
    </row>
    <row r="15" spans="1:12" ht="15.6">
      <c r="A15" s="29"/>
      <c r="B15" s="29"/>
      <c r="C15" s="29"/>
      <c r="D15" s="29"/>
      <c r="E15" s="29"/>
      <c r="F15" s="29"/>
      <c r="G15" s="29"/>
      <c r="H15" s="29"/>
      <c r="I15" s="29"/>
      <c r="J15" s="29"/>
      <c r="K15" s="29"/>
      <c r="L15" s="29"/>
    </row>
    <row r="16" spans="1:12" ht="15.6">
      <c r="A16" s="29"/>
      <c r="B16" s="29"/>
      <c r="C16" s="29"/>
      <c r="D16" s="29"/>
      <c r="E16" s="29"/>
      <c r="F16" s="29"/>
      <c r="G16" s="29"/>
      <c r="H16" s="29"/>
      <c r="I16" s="29"/>
      <c r="J16" s="29"/>
      <c r="K16" s="29"/>
      <c r="L16" s="29"/>
    </row>
    <row r="17" spans="1:12" ht="15.6">
      <c r="A17" s="29"/>
      <c r="B17" s="29"/>
      <c r="C17" s="29"/>
      <c r="D17" s="29"/>
      <c r="E17" s="29"/>
      <c r="F17" s="29"/>
      <c r="G17" s="29"/>
      <c r="H17" s="29"/>
      <c r="I17" s="29"/>
      <c r="J17" s="29"/>
      <c r="K17" s="29"/>
      <c r="L17" s="29"/>
    </row>
    <row r="18" spans="1:12" ht="15.6">
      <c r="A18" s="29"/>
      <c r="B18" s="29"/>
      <c r="C18" s="29"/>
      <c r="D18" s="29"/>
      <c r="E18" s="29"/>
      <c r="F18" s="29"/>
      <c r="G18" s="29"/>
      <c r="H18" s="29"/>
      <c r="I18" s="29"/>
      <c r="J18" s="29"/>
      <c r="K18" s="29"/>
      <c r="L18" s="29"/>
    </row>
    <row r="19" spans="1:12" ht="14.45">
      <c r="A19" s="21"/>
      <c r="B19" s="32"/>
      <c r="C19" s="21"/>
      <c r="D19" s="21"/>
      <c r="E19" s="21"/>
      <c r="F19" s="21"/>
      <c r="G19" s="21"/>
      <c r="H19" s="21"/>
      <c r="I19" s="21"/>
      <c r="J19" s="21"/>
      <c r="K19" s="21"/>
    </row>
    <row r="20" spans="1:12" ht="14.45">
      <c r="A20" s="21"/>
      <c r="B20" s="32"/>
      <c r="C20" s="21"/>
      <c r="D20" s="21"/>
      <c r="E20" s="21"/>
      <c r="F20" s="21"/>
      <c r="G20" s="21"/>
      <c r="H20" s="21"/>
      <c r="I20" s="21"/>
      <c r="J20" s="21"/>
      <c r="K20" s="21"/>
    </row>
    <row r="21" spans="1:12" ht="14.45">
      <c r="A21" s="21"/>
      <c r="B21" s="32"/>
      <c r="C21" s="21"/>
      <c r="D21" s="21"/>
      <c r="E21" s="21"/>
      <c r="F21" s="21"/>
      <c r="G21" s="21"/>
      <c r="H21" s="21"/>
      <c r="I21" s="21"/>
      <c r="J21" s="21"/>
      <c r="K21" s="21"/>
    </row>
    <row r="22" spans="1:12" ht="14.45">
      <c r="A22" s="21"/>
      <c r="B22" s="32"/>
      <c r="C22" s="21"/>
      <c r="D22" s="21"/>
      <c r="E22" s="21"/>
      <c r="F22" s="21"/>
      <c r="G22" s="21"/>
      <c r="H22" s="21"/>
      <c r="I22" s="21"/>
      <c r="J22" s="21"/>
      <c r="K22" s="21"/>
    </row>
    <row r="23" spans="1:12" ht="14.45">
      <c r="A23" s="21"/>
      <c r="B23" s="32"/>
      <c r="C23" s="21"/>
      <c r="D23" s="21"/>
      <c r="E23" s="21"/>
      <c r="F23" s="21"/>
      <c r="G23" s="21"/>
      <c r="H23" s="21"/>
      <c r="I23" s="21"/>
      <c r="J23" s="21"/>
      <c r="K23" s="21"/>
    </row>
    <row r="24" spans="1:12" ht="14.45">
      <c r="A24" s="21"/>
      <c r="B24" s="32"/>
      <c r="C24" s="21"/>
      <c r="D24" s="21"/>
      <c r="E24" s="21"/>
      <c r="F24" s="21"/>
      <c r="G24" s="21"/>
      <c r="H24" s="21"/>
      <c r="I24" s="21"/>
      <c r="J24" s="21"/>
      <c r="K24" s="21"/>
    </row>
    <row r="25" spans="1:12" ht="14.45">
      <c r="A25" s="21"/>
      <c r="B25" s="32"/>
      <c r="C25" s="21"/>
      <c r="D25" s="21"/>
      <c r="E25" s="21"/>
      <c r="F25" s="21"/>
      <c r="G25" s="21"/>
      <c r="H25" s="21"/>
      <c r="I25" s="21"/>
      <c r="J25" s="21"/>
      <c r="K25" s="21"/>
    </row>
    <row r="26" spans="1:12" ht="14.45">
      <c r="A26" s="21"/>
      <c r="B26" s="32"/>
      <c r="C26" s="21"/>
      <c r="D26" s="21"/>
      <c r="E26" s="21"/>
      <c r="F26" s="21"/>
      <c r="G26" s="21"/>
      <c r="H26" s="21"/>
      <c r="I26" s="21"/>
      <c r="J26" s="21"/>
      <c r="K26" s="21"/>
    </row>
    <row r="27" spans="1:12" ht="14.45">
      <c r="A27" s="21"/>
      <c r="B27" s="32"/>
      <c r="C27" s="21"/>
      <c r="D27" s="21"/>
      <c r="E27" s="21"/>
      <c r="F27" s="21"/>
      <c r="G27" s="21"/>
      <c r="H27" s="21"/>
      <c r="I27" s="21"/>
      <c r="J27" s="21"/>
      <c r="K27" s="21"/>
    </row>
    <row r="28" spans="1:12" ht="14.45">
      <c r="A28" s="21"/>
      <c r="B28" s="32"/>
      <c r="C28" s="21"/>
      <c r="D28" s="21"/>
      <c r="E28" s="21"/>
      <c r="F28" s="22"/>
      <c r="G28" s="21"/>
      <c r="H28" s="21"/>
      <c r="I28" s="22"/>
      <c r="J28" s="21"/>
      <c r="K28" s="21"/>
    </row>
    <row r="29" spans="1:12" ht="14.45">
      <c r="A29" s="21"/>
      <c r="B29" s="32"/>
      <c r="C29" s="21"/>
      <c r="D29" s="21"/>
      <c r="E29" s="21"/>
      <c r="F29" s="22"/>
      <c r="G29" s="21"/>
      <c r="H29" s="21"/>
      <c r="I29" s="22"/>
      <c r="J29" s="21"/>
      <c r="K29" s="21"/>
    </row>
    <row r="30" spans="1:12" ht="14.45">
      <c r="A30" s="21"/>
      <c r="B30" s="32"/>
      <c r="C30" s="21"/>
      <c r="D30" s="21"/>
      <c r="E30" s="21"/>
      <c r="F30" s="22"/>
      <c r="G30" s="21"/>
      <c r="H30" s="21"/>
      <c r="I30" s="22"/>
      <c r="J30" s="21"/>
      <c r="K30" s="21"/>
    </row>
    <row r="31" spans="1:12" ht="14.45">
      <c r="A31" s="21"/>
      <c r="B31" s="32"/>
      <c r="C31" s="21"/>
      <c r="D31" s="21"/>
      <c r="E31" s="21"/>
      <c r="F31" s="22"/>
      <c r="G31" s="21"/>
      <c r="H31" s="21"/>
      <c r="I31" s="22"/>
      <c r="J31" s="21"/>
      <c r="K31" s="21"/>
    </row>
    <row r="32" spans="1:12"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6" t="str" cm="1">
        <f t="array" ref="A1">portfolio</f>
        <v>True Green Capital Management LLC</v>
      </c>
      <c r="B1" s="66"/>
      <c r="C1" s="66"/>
      <c r="D1" s="67" t="s">
        <v>90</v>
      </c>
      <c r="E1" s="67"/>
      <c r="F1" s="67"/>
      <c r="G1" s="65" t="s">
        <v>91</v>
      </c>
      <c r="H1" s="65"/>
      <c r="I1" s="65"/>
      <c r="J1" s="4"/>
      <c r="K1" s="4"/>
    </row>
    <row r="2" spans="1:14" ht="19.5" customHeight="1">
      <c r="A2" s="68" t="s">
        <v>2</v>
      </c>
      <c r="B2" s="68"/>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29" t="str" cm="1">
        <f t="array" ref="A4:A8">Sites[Site]</f>
        <v>Rochester - 5516 Valleyhigh NW</v>
      </c>
      <c r="B4" s="30"/>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6"/>
      <c r="K4" s="46"/>
      <c r="L4" s="21"/>
      <c r="M4" s="21"/>
      <c r="N4" s="21"/>
    </row>
    <row r="5" spans="1:14" ht="15.6">
      <c r="A5" s="31" t="str">
        <v>Warsaw - Hemings</v>
      </c>
      <c r="B5" s="28"/>
      <c r="C5" s="24"/>
      <c r="D5" s="13"/>
      <c r="E5" s="13" t="str">
        <f t="shared" si="0"/>
        <v/>
      </c>
      <c r="F5" s="14" t="str">
        <f t="shared" si="1"/>
        <v/>
      </c>
      <c r="G5" s="15"/>
      <c r="H5" s="15" t="str">
        <f t="shared" si="2"/>
        <v/>
      </c>
      <c r="I5" s="16" t="str">
        <f t="shared" si="3"/>
        <v/>
      </c>
      <c r="J5" s="47"/>
      <c r="K5" s="47"/>
      <c r="L5" s="21"/>
      <c r="M5" s="21"/>
      <c r="N5" s="21"/>
    </row>
    <row r="6" spans="1:14" ht="15.6">
      <c r="A6" s="29" t="str">
        <v>Mount Jackson - Randolf</v>
      </c>
      <c r="B6" s="30"/>
      <c r="C6" s="11"/>
      <c r="D6" s="18"/>
      <c r="E6" s="18" t="str">
        <f t="shared" si="0"/>
        <v/>
      </c>
      <c r="F6" s="19" t="str">
        <f t="shared" si="1"/>
        <v/>
      </c>
      <c r="G6" s="20"/>
      <c r="H6" s="20" t="str">
        <f t="shared" si="2"/>
        <v/>
      </c>
      <c r="I6" s="19" t="str">
        <f t="shared" si="3"/>
        <v/>
      </c>
      <c r="J6" s="46"/>
      <c r="K6" s="46"/>
      <c r="L6" s="21"/>
      <c r="M6" s="21"/>
      <c r="N6" s="21"/>
    </row>
    <row r="7" spans="1:14" ht="15.6">
      <c r="A7" s="31" t="str">
        <v>Callands Gretna - Monroe</v>
      </c>
      <c r="B7" s="28"/>
      <c r="C7" s="24"/>
      <c r="D7" s="13"/>
      <c r="E7" s="13" t="str">
        <f t="shared" si="0"/>
        <v/>
      </c>
      <c r="F7" s="14" t="str">
        <f t="shared" si="1"/>
        <v/>
      </c>
      <c r="G7" s="15"/>
      <c r="H7" s="15" t="str">
        <f t="shared" si="2"/>
        <v/>
      </c>
      <c r="I7" s="16" t="str">
        <f t="shared" si="3"/>
        <v/>
      </c>
      <c r="J7" s="47"/>
      <c r="K7" s="47"/>
      <c r="L7" s="21"/>
      <c r="M7" s="21"/>
      <c r="N7" s="21"/>
    </row>
    <row r="8" spans="1:14" ht="15.6">
      <c r="A8" s="29" t="str">
        <v>Rockbridge Baths - Small Mouth Bass</v>
      </c>
      <c r="B8" s="30"/>
      <c r="C8" s="11"/>
      <c r="D8" s="18"/>
      <c r="E8" s="18" t="str">
        <f t="shared" si="0"/>
        <v/>
      </c>
      <c r="F8" s="19" t="str">
        <f t="shared" si="1"/>
        <v/>
      </c>
      <c r="G8" s="20"/>
      <c r="H8" s="20" t="str">
        <f t="shared" si="2"/>
        <v/>
      </c>
      <c r="I8" s="19" t="str">
        <f t="shared" si="3"/>
        <v/>
      </c>
      <c r="J8" s="46"/>
      <c r="K8" s="46"/>
      <c r="L8" s="21"/>
      <c r="M8" s="21"/>
      <c r="N8" s="21"/>
    </row>
    <row r="9" spans="1:14">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c r="A10" s="21"/>
      <c r="B10" s="21"/>
      <c r="C10" s="21"/>
      <c r="D10" s="21"/>
      <c r="E10" s="21" t="str">
        <f t="shared" si="4"/>
        <v/>
      </c>
      <c r="F10" s="21" t="str">
        <f t="shared" si="5"/>
        <v/>
      </c>
      <c r="G10" s="21"/>
      <c r="H10" s="21" t="str">
        <f t="shared" si="6"/>
        <v/>
      </c>
      <c r="I10" s="21" t="str">
        <f t="shared" si="7"/>
        <v/>
      </c>
      <c r="J10" s="21"/>
      <c r="K10" s="21"/>
      <c r="L10" s="21"/>
      <c r="M10" s="21"/>
      <c r="N10" s="21"/>
    </row>
    <row r="11" spans="1:14">
      <c r="A11" s="21"/>
      <c r="B11" s="21"/>
      <c r="C11" s="21"/>
      <c r="D11" s="21"/>
      <c r="E11" s="21" t="str">
        <f t="shared" si="4"/>
        <v/>
      </c>
      <c r="F11" s="21" t="str">
        <f t="shared" si="5"/>
        <v/>
      </c>
      <c r="G11" s="21"/>
      <c r="H11" s="21" t="str">
        <f t="shared" si="6"/>
        <v/>
      </c>
      <c r="I11" s="21" t="str">
        <f t="shared" si="7"/>
        <v/>
      </c>
      <c r="J11" s="21"/>
      <c r="K11" s="21"/>
      <c r="L11" s="21"/>
      <c r="M11" s="21"/>
      <c r="N11" s="21"/>
    </row>
    <row r="12" spans="1:14">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c r="A14" s="21"/>
      <c r="B14" s="21"/>
      <c r="C14" s="21"/>
      <c r="D14" s="21"/>
      <c r="E14" s="21"/>
      <c r="F14" s="21"/>
      <c r="G14" s="21"/>
      <c r="H14" s="21"/>
      <c r="I14" s="21"/>
      <c r="J14" s="21"/>
      <c r="K14" s="21"/>
      <c r="L14" s="21"/>
      <c r="M14" s="21"/>
      <c r="N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4" sqref="B14"/>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92</v>
      </c>
      <c r="B1" s="42" t="s">
        <v>93</v>
      </c>
    </row>
    <row r="3" spans="1:5" ht="13.15">
      <c r="A3" t="s">
        <v>94</v>
      </c>
      <c r="B3" t="s">
        <v>3</v>
      </c>
      <c r="C3" t="s">
        <v>4</v>
      </c>
      <c r="D3" t="s">
        <v>95</v>
      </c>
      <c r="E3" s="2" t="s">
        <v>96</v>
      </c>
    </row>
    <row r="4" spans="1:5" ht="12.75" customHeight="1">
      <c r="A4" s="42" t="s">
        <v>97</v>
      </c>
      <c r="B4" s="42" t="s">
        <v>98</v>
      </c>
      <c r="C4" t="s">
        <v>99</v>
      </c>
      <c r="E4" s="42" t="s">
        <v>100</v>
      </c>
    </row>
    <row r="5" spans="1:5" ht="12.75" customHeight="1">
      <c r="A5" s="3" t="s">
        <v>101</v>
      </c>
      <c r="B5" s="3" t="s">
        <v>102</v>
      </c>
      <c r="C5" s="3" t="s">
        <v>103</v>
      </c>
      <c r="D5" t="s">
        <v>104</v>
      </c>
      <c r="E5" s="42" t="s">
        <v>100</v>
      </c>
    </row>
    <row r="6" spans="1:5" ht="12.75" customHeight="1">
      <c r="A6" s="3" t="s">
        <v>105</v>
      </c>
      <c r="B6" s="3" t="s">
        <v>106</v>
      </c>
      <c r="C6" s="3" t="s">
        <v>103</v>
      </c>
      <c r="D6" t="s">
        <v>104</v>
      </c>
      <c r="E6" s="42" t="s">
        <v>100</v>
      </c>
    </row>
    <row r="7" spans="1:5" ht="12.75" customHeight="1">
      <c r="A7" s="3" t="s">
        <v>107</v>
      </c>
      <c r="B7" s="3" t="s">
        <v>108</v>
      </c>
      <c r="C7" s="3" t="s">
        <v>103</v>
      </c>
      <c r="E7" s="42" t="s">
        <v>100</v>
      </c>
    </row>
    <row r="8" spans="1:5" ht="12.75" customHeight="1">
      <c r="A8" s="3" t="s">
        <v>109</v>
      </c>
      <c r="B8" s="3" t="s">
        <v>110</v>
      </c>
      <c r="C8" s="3" t="s">
        <v>103</v>
      </c>
      <c r="E8" s="42" t="s">
        <v>100</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98A87B2-FAAB-45E3-AF4D-4AEAB834F22C}"/>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2025-06-07T03:41:49Z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