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50" documentId="13_ncr:1_{E9ACA60C-9FFD-4C7C-AD3F-3896223228A5}" xr6:coauthVersionLast="47" xr6:coauthVersionMax="47" xr10:uidLastSave="{D3BAD904-D926-41DC-9C53-AF896F77E8C7}"/>
  <bookViews>
    <workbookView xWindow="-98" yWindow="-98" windowWidth="21795" windowHeight="12975" xr2:uid="{00000000-000D-0000-FFFF-FFFF00000000}"/>
  </bookViews>
  <sheets>
    <sheet name="Service Request" sheetId="3" r:id="rId1"/>
    <sheet name="Sites" sheetId="1" r:id="rId2"/>
  </sheets>
  <definedNames>
    <definedName name="__bookmark_1">Sites!$A$3:$B$7</definedName>
    <definedName name="__bookmark_2">Sites!$A$9:$T$22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3" l="1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<sst xmlns="http://schemas.openxmlformats.org/spreadsheetml/2006/main" count="586" uniqueCount="184">
  <si>
    <t>Owner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</si>
  <si>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</si>
  <si>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</si>
  <si>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</si>
  <si>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</si>
  <si>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</si>
  <si>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</si>
  <si>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</si>
  <si>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</si>
  <si>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</si>
  <si>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</si>
  <si>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</si>
  <si>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</si>
  <si>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</si>
  <si>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- 83 Pawnee CT - Inverter 26</t>
  </si>
  <si>
    <t>5</t>
  </si>
  <si>
    <t>04/28/25 - Inverter 26 stopped communicating 4/22.  Production not confirmed.</t>
  </si>
  <si>
    <t>Amanda Harper</t>
  </si>
  <si>
    <t/>
  </si>
  <si>
    <t>PV-Monitoring-ROC</t>
  </si>
  <si>
    <t>Ameresco - Inverter Troubleshooting</t>
  </si>
  <si>
    <t>Westlawn - 197 Liberty St Bldg 13 - Inverter 17</t>
  </si>
  <si>
    <t>7</t>
  </si>
  <si>
    <t>04/28/25 - Inverter 17 stopped communicating 4/23.  Production not confirmed.</t>
  </si>
  <si>
    <t>Satellite - 2 Gemini Dr - Inverter 24</t>
  </si>
  <si>
    <t>04/09/25-Issue still exists
03/19/25 Inverter 24 stopped communicating on 3/16.  Production not confirmed.  Reporting AC voltage surge.</t>
  </si>
  <si>
    <t>Ameresco Production Not Confirmed - Site Outage</t>
  </si>
  <si>
    <t>Brickenwood - 185 Harvard - Inverter 28</t>
  </si>
  <si>
    <t>6</t>
  </si>
  <si>
    <t>04/09/25-  Issue still exists
03/11/25 - Inverter 28 stopped communicating 2/28.  Production not confirmed.</t>
  </si>
  <si>
    <t>Brickenwood - 235 Harvard - Inverter 56</t>
  </si>
  <si>
    <t>04/09/25-  Issue still exists.
03/05/25 - Issue still exists.
02/25/25 - Inverter 56 stopped communicating 2/19.  Production not confirmed.</t>
  </si>
  <si>
    <t>Dottin Place 1 - Amanda Ave Bldg 12 (92) - Inverter 6</t>
  </si>
  <si>
    <t>04/09/25 -Issue still exists.
03/05/25 -Issue still exists.
02/18/25 Inverter 6 stopped communicating 2/10/25, production not confirmed.</t>
  </si>
  <si>
    <t>Westlawn - 197 Liberty St Bldg 21 - Inverter 11</t>
  </si>
  <si>
    <t>04/09/25- Issue still exists.
03/05/25 - Issue still exists.
02/08/25 - Issue still exists.
01/02/25 Inverter 11 stopped communicating 12/24.  Production not confirmed.</t>
  </si>
  <si>
    <t>1006999</t>
  </si>
  <si>
    <t>Westlawn - 197 Liberty St Bldg 23 - Inverter 10</t>
  </si>
  <si>
    <t>04/09/25 - Issue still exists.
03/05/25 - Issue still exists.
02/08/25 - Issue still exists
01/02/25 Inverter 10 stopped communicating 12/24.  Production not confirmed.</t>
  </si>
  <si>
    <t>Westlawn - 197 Liberty St Bldg 29 - Inverter 5</t>
  </si>
  <si>
    <t>7 - approximately</t>
  </si>
  <si>
    <t>04/09/25 - Issue still exists.
03/05/25 - Issue still exists.
02/08/25 - Issue still exists
01/08/25 - Issue still exists.
11/18/24 Inverter 5 stopped communicating on 10/31.  Possibly offline.</t>
  </si>
  <si>
    <t>Ameresco UM - Communications Failure / Production Not Confirmed</t>
  </si>
  <si>
    <t>Adams St - 14 Adams St - Inverter 2</t>
  </si>
  <si>
    <t>14.4</t>
  </si>
  <si>
    <t>04/09/25 - Issue still exists.
03/05/25 - Issue still exists.
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</si>
  <si>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</si>
  <si>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</si>
  <si>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</si>
  <si>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</si>
  <si>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04/09/25 - Issue still exists.
03/05/25 - Issue still exists.
02/08/25 - Issue still exists
01/08/25 - Issue still exists.
10/29/24 Inv 45 stopped communicating 10/22.  Production not confirmed.</t>
  </si>
  <si>
    <t>Presidential - 28 Monroe Dr Bldg 16 - Inverter 17</t>
  </si>
  <si>
    <t>9</t>
  </si>
  <si>
    <t>04/09/25 - Issue still exists.
03/05/25 - Issue still exists.
02/08/25 - Issue still exists
01/08/25 - Issue still exists.
10/16/24 Inverter 17 tripped offline at 4pm on 10/8.</t>
  </si>
  <si>
    <t>Brickenwood - 150 Hathaway - Inverter 5</t>
  </si>
  <si>
    <t>04/09/25 - Issue still exists.
03/05/25 - Issue still exists.
02/08/25 - Issue still exists.
01/08/25 - issue still exists.
10/15/24 Inverter 5 stopped communicating 10/7.  Production not confirmed</t>
  </si>
  <si>
    <t>Westlawn - 197 Liberty St Bldg 22 - Inverter 12</t>
  </si>
  <si>
    <t>04/09/25 - Issue still exists.
03/05/25 - Issue still exists.
02/08/25 - Issue still exists.
01/08/25 - Issue still exists.
7/16/24 Inverter 12 stopped communicating on 7/6/24.  Production is not confirmed.</t>
  </si>
  <si>
    <t>Shawmut Village - 131 Dakota CT - Inverter 38</t>
  </si>
  <si>
    <t>04/09/25 - Issue still exists.
03/05/25 - Issue still exists.
02/08/25 - Issue still exists.
01/08/25 - Issue still exists.
7/15/24 Inverter 38 stopped communicating on 7/6/24, production not confirmed.</t>
  </si>
  <si>
    <t>Shawmut Village - 155 Gay Head CT - Inverter 33</t>
  </si>
  <si>
    <t>04/09/25 - Issue still exists.
03/05/25 - Issue still exists.
02/08/25 - Issue still exists.
01/08/25 - Issue still exists.
7/15/24 Inverter 33 stopped communicating on 7/6/24, production not confirmed.</t>
  </si>
  <si>
    <t>Westlawn - 197 Liberty St Bldg 7 - Inverter 4</t>
  </si>
  <si>
    <t>04/09/25 - Issue still exists.
03/05/25 - Issue still exists.
02/08/25 - Issue still exists.
01/08/25 - issue still exists.
7/2/24: Inverter 4 stopped communicating on 5/2, cannot confirm production.</t>
  </si>
  <si>
    <t>Shawmut Village - 138 Dakota CT (Now 149 Dakota CT) - Inverter 52</t>
  </si>
  <si>
    <t>04/09/25 - Issue still exists.
03/05/25 - Issue still exists.
02/08/25 - Still an issue.
01/08/25 - Still an issue.
6/28/24 Inverter 52 is not communicating since 4/21, possibly offline</t>
  </si>
  <si>
    <t>Satellite - 83 Libra Dr - Inverter 8</t>
  </si>
  <si>
    <t>04/09/25 - Issue still exists.
03/19/24 - Inv 8 has stopped communicating 3/15.  Possibly offline.
06/27/24 - Inv 8 is not communicating, possibly offline.  Last data 5/12.</t>
  </si>
  <si>
    <t>Brickenwood - 58 Yale - Inverter 49</t>
  </si>
  <si>
    <t>04/09/25 -  Issue still exists.
03/05/25 - Issue still exists.
02/08/25 - Issue still exists.
01/08/25 - Issue still exists.
6/3/24 - inverter 49 stopped communicating on 5/25/24; possibly offline.</t>
  </si>
  <si>
    <t>Pending Return Visit</t>
  </si>
  <si>
    <t>PV Monitoring - Minor</t>
  </si>
  <si>
    <t>23.4</t>
  </si>
  <si>
    <t>04/09/25 - Issue still exists.
03/05/25 - Issue still exists.
02/09/25 - Issue still exists.
01/08/25 - Issue still exists.
5/17/24 - Presidential inverters 18, 27 have stopped communicating, possibly offline.</t>
  </si>
  <si>
    <t>21.8</t>
  </si>
  <si>
    <t>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</si>
  <si>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</si>
  <si>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Shawmut Village - 105 Navaho CT - Inverter 46</t>
  </si>
  <si>
    <t>04/09/25 - Issue still exists.
03/05/25 - Issue still exists.
02/08/25 - Issue still exists.
01/08/25 - Issue still exists.
4/19 - Inverter 46 is not communicating, possibly offline.</t>
  </si>
  <si>
    <t>Brickenwood - 88 Malden - Inverter 27</t>
  </si>
  <si>
    <t>7 - inverter comms ?</t>
  </si>
  <si>
    <t>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</si>
  <si>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</si>
  <si>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04/09/25 - Issue still exists.
03/05/25 - Issue still exists.
02/08/25 - Still an issue. 
01/08/25 - Inverter 1 is still in offline.
3/4 - Inverter 1 is offline.</t>
  </si>
  <si>
    <t>Brickenwood - 240 Harvard - Inverter 46</t>
  </si>
  <si>
    <t>04/09/25 - Issue still exists.
03/05/25 - Issue still exists.
02/08/25 - Issue still exists.
01/08/25 - Issue still exists.
3/4 - Inverter 46 at Brickenwood is offline.</t>
  </si>
  <si>
    <t>Dottin Place 1 - Amanda Ave Bldg 7 (82) - Inverter 9</t>
  </si>
  <si>
    <t>-</t>
  </si>
  <si>
    <t>04/09/25 - Issue still exists.
03/05/25 - Issue still exists.
02/08/25 - Issue still exists. 
01/08/25 - Issue still exists. 
12/1 - inverter 9 stopped communicating, possibly offline. 
3/1 - Inverter 9 stopped communicating, possibly offline.</t>
  </si>
  <si>
    <t>Shawmut Village - 135 Dakota CT - Inverter 12</t>
  </si>
  <si>
    <t>04/09/25 - Issue still exists.
03/05/25 - Issue still exists.
02/08/25 - Issue still exists.
01/08/25 - Issue still exists.
12/02/24 - 
03/01/24 - Inverter 12 lost communications; production cannot be confirmed.</t>
  </si>
  <si>
    <t>Westlawn - 197 Liberty St Bldg 33 - Inverter 26</t>
  </si>
  <si>
    <t>3 - Inverter comms ?</t>
  </si>
  <si>
    <t>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</si>
  <si>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</si>
  <si>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10</t>
  </si>
  <si>
    <t>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</si>
  <si>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</si>
  <si>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04/09/25 - Issue still exists.
03/05/25 - Issue still exists.
02/08/25 - Issue still exists.
12/02/24 - Inverter 3 is offline (re-occurring issue).
12/31/23 - Inverter 3 is offline and reporting "Isolation Fault".</t>
  </si>
  <si>
    <t>Shawmut Village - 21 Mohawk CT - Inverter 8</t>
  </si>
  <si>
    <t>04/09/25 - Issue still exists.
03/05/25 - Issue still exists.
02/08/25 - Issue still exists.
01/08/25 - Issue still exists.
12/02/24 - Inverter 8 last communicated 7/6/24
11/07/23 - Inverter 8 stopped communicating, possibly offline.</t>
  </si>
  <si>
    <t>Shawmut Village - 111 Mashpee CT - Inverter 49</t>
  </si>
  <si>
    <t>04/09/25 -  Issue still exists.
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</si>
  <si>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</si>
  <si>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</si>
  <si>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04/09/25 - Issue still exists
03/05/25 - Issue still exists.
02/08/25 - Issue still exists.
01/08/25 - Issue still exists.
10/5/23 - Inverter 11 stopped communicating, possibly offline.</t>
  </si>
  <si>
    <t>Shawmut Village - 161 Gay Head CT - Inverter 54</t>
  </si>
  <si>
    <t>6 - ?</t>
  </si>
  <si>
    <t>04/09/25 - Issue still exists
03/05/25 - Issue still exists.
02/08/25 - Issue still exists.
01/08/25 - Issue still exists.
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</si>
  <si>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</si>
  <si>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</si>
  <si>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</si>
  <si>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</si>
  <si>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7.6</t>
  </si>
  <si>
    <t>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</si>
  <si>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</si>
  <si>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</si>
  <si>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</si>
  <si>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04/09/25 - Issue still exists
03/05/25 - Issue still exists.
02/08/25 - Issue still exists.
01/08/25 - Issue still exists.
10/17/23 - Inverter 35 is still offline 
07/11/23 - Inverter 35 tripped offline.</t>
  </si>
  <si>
    <t>Dottin Place 1 - Amanda Ave Bldg 5 (61) - Inverter 4</t>
  </si>
  <si>
    <t>04/09/25  -Issue still exists
03/05/25 - Issue still exists.
02/08/2025 - Issue still exists.
01/08/2025 - Issue still exists.
07/07/2023 - Inverter 4 tripped offline.</t>
  </si>
  <si>
    <t>04/09/25  -Issue still exists
03/05/25 - Issue still exists.
02/08/25 - Issue still exists.
01/08/25 - Issue still exists.
05/22/23 - Inverter 46 tripped offline.</t>
  </si>
  <si>
    <t>Shawmut Village - 63 Apache CT - Inverter 42</t>
  </si>
  <si>
    <t>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</si>
  <si>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- 157 Gay Head CT - Inverter 51</t>
  </si>
  <si>
    <t>04/09/25 -Issue still exists
03/05/25 - Issue still exists.
02/08/2025 - Issue still exists.
01/08/2025 - Issue still exists.
4/25 - Shawmut Village inverter 51 no comms today.</t>
  </si>
  <si>
    <t>Shawmut Village - 67 Apache CT - Inverter 48</t>
  </si>
  <si>
    <t>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</si>
  <si>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</si>
  <si>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</si>
  <si>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04/09/25 - Issue still exists.
03/05/25 - Issue still exists.
02/08/25 - Issue still exists
01/08/25 - Issue still exists
10/17/23 - Issue still exists
04/03/23 - Issue still exists.
01/03/23 - Inverter 21 lost communications on 8/23/22.
</t>
  </si>
  <si>
    <t>Total</t>
  </si>
  <si>
    <t>Monthly Site Performance Summary</t>
  </si>
  <si>
    <t>Account:</t>
  </si>
  <si>
    <t>Ameresco</t>
  </si>
  <si>
    <t>Report's period:</t>
  </si>
  <si>
    <r>
      <t>04/01/2025</t>
    </r>
    <r>
      <rPr>
        <sz val="10"/>
        <color rgb="FF303030"/>
        <rFont val="Calibri"/>
      </rPr>
      <t xml:space="preserve"> - 04/30/2025</t>
    </r>
  </si>
  <si>
    <t>Sites:</t>
  </si>
  <si>
    <t>Manually selected sites</t>
  </si>
  <si>
    <t># of sites:</t>
  </si>
  <si>
    <t>Generated on:</t>
  </si>
  <si>
    <t>05/06/2025 02:42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</si>
  <si>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</si>
  <si>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</si>
  <si>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</si>
  <si>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</si>
  <si>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</si>
  <si>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</si>
  <si>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</si>
  <si>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</si>
  <si>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</si>
  <si>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</si>
  <si>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</si>
  <si>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</si>
  <si>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</si>
  <si>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</si>
  <si>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</si>
  <si>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</si>
  <si>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</si>
  <si>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</si>
  <si>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</si>
  <si>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</si>
  <si>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</si>
  <si>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</si>
  <si>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NBHA Ben Rose</t>
  </si>
  <si>
    <t>03/03/2022</t>
  </si>
  <si>
    <t>2</t>
  </si>
  <si>
    <t>NBHA Brickenwood</t>
  </si>
  <si>
    <t>03/01/2022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</si>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</sst>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0.###"/>
    <numFmt numFmtId="165" formatCode="yyyy\-mm\-dd\ hh:mm"/>
  </numFmts>
  <fonts count="12" x14ac:knownFonts="1">
    <font>
      <sz val="11"/>
      <color indexed="8"/>
      <name val="Aptos Narrow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0065A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2">
    <xf numFmtId="0" fontId="0" fillId="0" borderId="0" xfId="0"/>
    <xf numFmtId="165" fontId="0" fillId="0" borderId="0" xfId="0" applyNumberFormat="1" applyAlignment="1">
      <alignment horizontal="right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vertical="top"/>
    </xf>
    <xf numFmtId="164" fontId="5" fillId="4" borderId="1" xfId="0" applyNumberFormat="1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629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3642EC55-7F2D-4970-89DA-579FF3B76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3E7D-BD7F-4D21-BD3C-C0BD3AF99E61}">
  <sheetPr codeName="Sheet1"/>
  <dimension ref="A1:L48"/>
  <sheetViews>
    <sheetView tabSelected="1" topLeftCell="A13" zoomScale="50" zoomScaleNormal="50" workbookViewId="0">
      <selection activeCell="D53" sqref="D53"/>
    </sheetView>
  </sheetViews>
  <sheetFormatPr defaultRowHeight="14.25" x14ac:dyDescent="0.45"/>
  <cols>
    <col min="1" max="1" width="25.73046875" customWidth="1"/>
    <col min="2" max="3" width="33.73046875" customWidth="1"/>
    <col min="4" max="5" width="17.73046875" customWidth="1"/>
    <col min="6" max="6" width="70.73046875" customWidth="1"/>
    <col min="7" max="9" width="17.73046875" customWidth="1"/>
    <col min="10" max="10" width="33.73046875" customWidth="1"/>
    <col min="11" max="13" width="17.73046875" customWidth="1"/>
  </cols>
  <sheetData>
    <row r="1" spans="1:12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s="1">
        <v>45775.561111111114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3" t="str">
        <f>HYPERLINK("https://us.assetplanner.com/service_request?ID=100557","SR100557")</f>
        <v>SR100557</v>
      </c>
      <c r="L2" t="s">
        <v>18</v>
      </c>
    </row>
    <row r="3" spans="1:12" x14ac:dyDescent="0.45">
      <c r="A3" t="s">
        <v>12</v>
      </c>
      <c r="B3" t="s">
        <v>13</v>
      </c>
      <c r="C3" t="s">
        <v>21</v>
      </c>
      <c r="D3" t="s">
        <v>22</v>
      </c>
      <c r="E3" s="1">
        <v>45775.552083333336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s="3" t="str">
        <f>HYPERLINK("https://us.assetplanner.com/service_request?ID=100543","SR100543")</f>
        <v>SR100543</v>
      </c>
      <c r="L3" t="s">
        <v>18</v>
      </c>
    </row>
    <row r="4" spans="1:12" x14ac:dyDescent="0.45">
      <c r="A4" t="s">
        <v>12</v>
      </c>
      <c r="B4" t="s">
        <v>13</v>
      </c>
      <c r="C4" t="s">
        <v>24</v>
      </c>
      <c r="D4" t="s">
        <v>15</v>
      </c>
      <c r="E4" s="1">
        <v>45735.623611111114</v>
      </c>
      <c r="F4" t="s">
        <v>25</v>
      </c>
      <c r="G4" t="s">
        <v>17</v>
      </c>
      <c r="H4" t="s">
        <v>18</v>
      </c>
      <c r="I4" t="s">
        <v>19</v>
      </c>
      <c r="J4" t="s">
        <v>26</v>
      </c>
      <c r="K4" s="3" t="str">
        <f>HYPERLINK("https://us.assetplanner.com/service_request?ID=98772","SR098772")</f>
        <v>SR098772</v>
      </c>
      <c r="L4" t="s">
        <v>18</v>
      </c>
    </row>
    <row r="5" spans="1:12" x14ac:dyDescent="0.45">
      <c r="A5" t="s">
        <v>12</v>
      </c>
      <c r="B5" t="s">
        <v>13</v>
      </c>
      <c r="C5" t="s">
        <v>27</v>
      </c>
      <c r="D5" t="s">
        <v>28</v>
      </c>
      <c r="E5" s="1">
        <v>45727.492361111108</v>
      </c>
      <c r="F5" t="s">
        <v>29</v>
      </c>
      <c r="G5" t="s">
        <v>17</v>
      </c>
      <c r="H5" t="s">
        <v>18</v>
      </c>
      <c r="I5" t="s">
        <v>19</v>
      </c>
      <c r="J5" t="s">
        <v>20</v>
      </c>
      <c r="K5" s="3" t="str">
        <f>HYPERLINK("https://us.assetplanner.com/service_request?ID=98386","SR098386")</f>
        <v>SR098386</v>
      </c>
      <c r="L5" t="s">
        <v>18</v>
      </c>
    </row>
    <row r="6" spans="1:12" x14ac:dyDescent="0.45">
      <c r="A6" t="s">
        <v>12</v>
      </c>
      <c r="B6" t="s">
        <v>13</v>
      </c>
      <c r="C6" t="s">
        <v>30</v>
      </c>
      <c r="D6" t="s">
        <v>22</v>
      </c>
      <c r="E6" s="1">
        <v>45713.54583333333</v>
      </c>
      <c r="F6" t="s">
        <v>31</v>
      </c>
      <c r="G6" t="s">
        <v>17</v>
      </c>
      <c r="H6" t="s">
        <v>18</v>
      </c>
      <c r="I6" t="s">
        <v>19</v>
      </c>
      <c r="J6" t="s">
        <v>20</v>
      </c>
      <c r="K6" s="3" t="str">
        <f>HYPERLINK("https://us.assetplanner.com/service_request?ID=97766","SR097766")</f>
        <v>SR097766</v>
      </c>
      <c r="L6" t="s">
        <v>18</v>
      </c>
    </row>
    <row r="7" spans="1:12" x14ac:dyDescent="0.45">
      <c r="A7" t="s">
        <v>12</v>
      </c>
      <c r="B7" t="s">
        <v>13</v>
      </c>
      <c r="C7" t="s">
        <v>32</v>
      </c>
      <c r="D7" t="s">
        <v>15</v>
      </c>
      <c r="E7" s="1">
        <v>45706.615277777775</v>
      </c>
      <c r="F7" t="s">
        <v>33</v>
      </c>
      <c r="G7" t="s">
        <v>17</v>
      </c>
      <c r="H7" t="s">
        <v>18</v>
      </c>
      <c r="I7" t="s">
        <v>19</v>
      </c>
      <c r="J7" t="s">
        <v>20</v>
      </c>
      <c r="K7" s="3" t="str">
        <f>HYPERLINK("https://us.assetplanner.com/service_request?ID=97346","SR097346")</f>
        <v>SR097346</v>
      </c>
      <c r="L7" t="s">
        <v>18</v>
      </c>
    </row>
    <row r="8" spans="1:12" x14ac:dyDescent="0.45">
      <c r="A8" t="s">
        <v>12</v>
      </c>
      <c r="B8" t="s">
        <v>13</v>
      </c>
      <c r="C8" t="s">
        <v>34</v>
      </c>
      <c r="D8" t="s">
        <v>22</v>
      </c>
      <c r="E8" s="1">
        <v>45659.621527777781</v>
      </c>
      <c r="F8" t="s">
        <v>35</v>
      </c>
      <c r="G8" t="s">
        <v>17</v>
      </c>
      <c r="H8" t="s">
        <v>18</v>
      </c>
      <c r="I8" t="s">
        <v>19</v>
      </c>
      <c r="J8" t="s">
        <v>26</v>
      </c>
      <c r="K8" s="3" t="str">
        <f>HYPERLINK("https://us.assetplanner.com/service_request?ID=95246","SR095246")</f>
        <v>SR095246</v>
      </c>
      <c r="L8" t="s">
        <v>36</v>
      </c>
    </row>
    <row r="9" spans="1:12" x14ac:dyDescent="0.45">
      <c r="A9" t="s">
        <v>12</v>
      </c>
      <c r="B9" t="s">
        <v>13</v>
      </c>
      <c r="C9" t="s">
        <v>37</v>
      </c>
      <c r="D9" t="s">
        <v>22</v>
      </c>
      <c r="E9" s="1">
        <v>45659.620138888888</v>
      </c>
      <c r="F9" t="s">
        <v>38</v>
      </c>
      <c r="G9" t="s">
        <v>17</v>
      </c>
      <c r="H9" t="s">
        <v>18</v>
      </c>
      <c r="I9" t="s">
        <v>19</v>
      </c>
      <c r="J9" t="s">
        <v>26</v>
      </c>
      <c r="K9" s="3" t="str">
        <f>HYPERLINK("https://us.assetplanner.com/service_request?ID=95244","SR095244")</f>
        <v>SR095244</v>
      </c>
      <c r="L9" t="s">
        <v>36</v>
      </c>
    </row>
    <row r="10" spans="1:12" x14ac:dyDescent="0.45">
      <c r="A10" t="s">
        <v>12</v>
      </c>
      <c r="B10" t="s">
        <v>13</v>
      </c>
      <c r="C10" t="s">
        <v>39</v>
      </c>
      <c r="D10" t="s">
        <v>40</v>
      </c>
      <c r="E10" s="1">
        <v>45614.522916666669</v>
      </c>
      <c r="F10" t="s">
        <v>41</v>
      </c>
      <c r="G10" t="s">
        <v>17</v>
      </c>
      <c r="H10" t="s">
        <v>18</v>
      </c>
      <c r="I10" t="s">
        <v>19</v>
      </c>
      <c r="J10" t="s">
        <v>42</v>
      </c>
      <c r="K10" s="3" t="str">
        <f>HYPERLINK("https://us.assetplanner.com/service_request?ID=93379","SR093379")</f>
        <v>SR093379</v>
      </c>
      <c r="L10" t="s">
        <v>18</v>
      </c>
    </row>
    <row r="11" spans="1:12" x14ac:dyDescent="0.45">
      <c r="A11" t="s">
        <v>12</v>
      </c>
      <c r="B11" t="s">
        <v>13</v>
      </c>
      <c r="C11" t="s">
        <v>43</v>
      </c>
      <c r="D11" t="s">
        <v>44</v>
      </c>
      <c r="E11" s="1">
        <v>45613.522222222222</v>
      </c>
      <c r="F11" t="s">
        <v>45</v>
      </c>
      <c r="G11" t="s">
        <v>17</v>
      </c>
      <c r="H11" t="s">
        <v>18</v>
      </c>
      <c r="I11" t="s">
        <v>19</v>
      </c>
      <c r="J11" t="s">
        <v>46</v>
      </c>
      <c r="K11" s="3" t="str">
        <f>HYPERLINK("https://us.assetplanner.com/service_request?ID=93350","SR093350")</f>
        <v>SR093350</v>
      </c>
      <c r="L11" t="s">
        <v>18</v>
      </c>
    </row>
    <row r="12" spans="1:12" x14ac:dyDescent="0.45">
      <c r="A12" t="s">
        <v>12</v>
      </c>
      <c r="B12" t="s">
        <v>13</v>
      </c>
      <c r="C12" t="s">
        <v>47</v>
      </c>
      <c r="D12" t="s">
        <v>44</v>
      </c>
      <c r="E12" s="1">
        <v>45613.521527777775</v>
      </c>
      <c r="F12" t="s">
        <v>48</v>
      </c>
      <c r="G12" t="s">
        <v>17</v>
      </c>
      <c r="H12" t="s">
        <v>18</v>
      </c>
      <c r="I12" t="s">
        <v>19</v>
      </c>
      <c r="J12" t="s">
        <v>46</v>
      </c>
      <c r="K12" s="3" t="str">
        <f>HYPERLINK("https://us.assetplanner.com/service_request?ID=93349","SR093349")</f>
        <v>SR093349</v>
      </c>
      <c r="L12" t="s">
        <v>18</v>
      </c>
    </row>
    <row r="13" spans="1:12" x14ac:dyDescent="0.45">
      <c r="A13" t="s">
        <v>12</v>
      </c>
      <c r="B13" t="s">
        <v>13</v>
      </c>
      <c r="C13" t="s">
        <v>49</v>
      </c>
      <c r="D13" t="s">
        <v>22</v>
      </c>
      <c r="E13" s="1">
        <v>45594.56527777778</v>
      </c>
      <c r="F13" t="s">
        <v>50</v>
      </c>
      <c r="G13" t="s">
        <v>17</v>
      </c>
      <c r="H13" t="s">
        <v>18</v>
      </c>
      <c r="I13" t="s">
        <v>19</v>
      </c>
      <c r="J13" t="s">
        <v>42</v>
      </c>
      <c r="K13" s="3" t="str">
        <f>HYPERLINK("https://us.assetplanner.com/service_request?ID=92738","SR092738")</f>
        <v>SR092738</v>
      </c>
      <c r="L13" t="s">
        <v>18</v>
      </c>
    </row>
    <row r="14" spans="1:12" x14ac:dyDescent="0.45">
      <c r="A14" t="s">
        <v>12</v>
      </c>
      <c r="B14" t="s">
        <v>13</v>
      </c>
      <c r="C14" t="s">
        <v>51</v>
      </c>
      <c r="D14" t="s">
        <v>52</v>
      </c>
      <c r="E14" s="1">
        <v>45581.544444444444</v>
      </c>
      <c r="F14" t="s">
        <v>53</v>
      </c>
      <c r="G14" t="s">
        <v>17</v>
      </c>
      <c r="H14" t="s">
        <v>18</v>
      </c>
      <c r="I14" t="s">
        <v>19</v>
      </c>
      <c r="J14" t="s">
        <v>46</v>
      </c>
      <c r="K14" s="3" t="str">
        <f>HYPERLINK("https://us.assetplanner.com/service_request?ID=92211","SR092211")</f>
        <v>SR092211</v>
      </c>
      <c r="L14" t="s">
        <v>18</v>
      </c>
    </row>
    <row r="15" spans="1:12" x14ac:dyDescent="0.45">
      <c r="A15" t="s">
        <v>12</v>
      </c>
      <c r="B15" t="s">
        <v>13</v>
      </c>
      <c r="C15" t="s">
        <v>54</v>
      </c>
      <c r="D15" t="s">
        <v>22</v>
      </c>
      <c r="E15" s="1">
        <v>45580.54791666667</v>
      </c>
      <c r="F15" t="s">
        <v>55</v>
      </c>
      <c r="G15" t="s">
        <v>17</v>
      </c>
      <c r="H15" t="s">
        <v>18</v>
      </c>
      <c r="I15" t="s">
        <v>19</v>
      </c>
      <c r="J15" t="s">
        <v>42</v>
      </c>
      <c r="K15" s="3" t="str">
        <f>HYPERLINK("https://us.assetplanner.com/service_request?ID=92164","SR092164")</f>
        <v>SR092164</v>
      </c>
      <c r="L15" t="s">
        <v>18</v>
      </c>
    </row>
    <row r="16" spans="1:12" x14ac:dyDescent="0.45">
      <c r="A16" t="s">
        <v>12</v>
      </c>
      <c r="B16" t="s">
        <v>13</v>
      </c>
      <c r="C16" t="s">
        <v>56</v>
      </c>
      <c r="D16" t="s">
        <v>22</v>
      </c>
      <c r="E16" s="1">
        <v>45489.556944444441</v>
      </c>
      <c r="F16" t="s">
        <v>57</v>
      </c>
      <c r="G16" t="s">
        <v>17</v>
      </c>
      <c r="H16" t="s">
        <v>18</v>
      </c>
      <c r="I16" t="s">
        <v>19</v>
      </c>
      <c r="J16" t="s">
        <v>42</v>
      </c>
      <c r="K16" s="3" t="str">
        <f>HYPERLINK("https://us.assetplanner.com/service_request?ID=87778","SR087778")</f>
        <v>SR087778</v>
      </c>
      <c r="L16" t="s">
        <v>18</v>
      </c>
    </row>
    <row r="17" spans="1:12" x14ac:dyDescent="0.45">
      <c r="A17" t="s">
        <v>12</v>
      </c>
      <c r="B17" t="s">
        <v>13</v>
      </c>
      <c r="C17" t="s">
        <v>58</v>
      </c>
      <c r="D17" t="s">
        <v>22</v>
      </c>
      <c r="E17" s="1">
        <v>45488.645138888889</v>
      </c>
      <c r="F17" t="s">
        <v>59</v>
      </c>
      <c r="G17" t="s">
        <v>17</v>
      </c>
      <c r="H17" t="s">
        <v>18</v>
      </c>
      <c r="I17" t="s">
        <v>19</v>
      </c>
      <c r="J17" t="s">
        <v>42</v>
      </c>
      <c r="K17" s="3" t="str">
        <f>HYPERLINK("https://us.assetplanner.com/service_request?ID=87728","SR087728")</f>
        <v>SR087728</v>
      </c>
      <c r="L17" t="s">
        <v>18</v>
      </c>
    </row>
    <row r="18" spans="1:12" x14ac:dyDescent="0.45">
      <c r="A18" t="s">
        <v>12</v>
      </c>
      <c r="B18" t="s">
        <v>13</v>
      </c>
      <c r="C18" t="s">
        <v>60</v>
      </c>
      <c r="D18" t="s">
        <v>22</v>
      </c>
      <c r="E18" s="1">
        <v>45488.643750000003</v>
      </c>
      <c r="F18" t="s">
        <v>61</v>
      </c>
      <c r="G18" t="s">
        <v>17</v>
      </c>
      <c r="H18" t="s">
        <v>18</v>
      </c>
      <c r="I18" t="s">
        <v>19</v>
      </c>
      <c r="J18" t="s">
        <v>42</v>
      </c>
      <c r="K18" s="3" t="str">
        <f>HYPERLINK("https://us.assetplanner.com/service_request?ID=87727","SR087727")</f>
        <v>SR087727</v>
      </c>
      <c r="L18" t="s">
        <v>18</v>
      </c>
    </row>
    <row r="19" spans="1:12" x14ac:dyDescent="0.45">
      <c r="A19" t="s">
        <v>12</v>
      </c>
      <c r="B19" t="s">
        <v>13</v>
      </c>
      <c r="C19" t="s">
        <v>62</v>
      </c>
      <c r="D19" t="s">
        <v>22</v>
      </c>
      <c r="E19" s="1">
        <v>45475.541666666664</v>
      </c>
      <c r="F19" t="s">
        <v>63</v>
      </c>
      <c r="G19" t="s">
        <v>17</v>
      </c>
      <c r="H19" t="s">
        <v>18</v>
      </c>
      <c r="I19" t="s">
        <v>19</v>
      </c>
      <c r="J19" t="s">
        <v>42</v>
      </c>
      <c r="K19" s="3" t="str">
        <f>HYPERLINK("https://us.assetplanner.com/service_request?ID=87282","SR087282")</f>
        <v>SR087282</v>
      </c>
      <c r="L19" t="s">
        <v>18</v>
      </c>
    </row>
    <row r="20" spans="1:12" x14ac:dyDescent="0.45">
      <c r="A20" t="s">
        <v>12</v>
      </c>
      <c r="B20" t="s">
        <v>13</v>
      </c>
      <c r="C20" t="s">
        <v>64</v>
      </c>
      <c r="D20" t="s">
        <v>15</v>
      </c>
      <c r="E20" s="1">
        <v>45471.618750000001</v>
      </c>
      <c r="F20" t="s">
        <v>65</v>
      </c>
      <c r="G20" t="s">
        <v>17</v>
      </c>
      <c r="H20" t="s">
        <v>18</v>
      </c>
      <c r="I20" t="s">
        <v>19</v>
      </c>
      <c r="J20" t="s">
        <v>42</v>
      </c>
      <c r="K20" s="3" t="str">
        <f>HYPERLINK("https://us.assetplanner.com/service_request?ID=87105","SR087105")</f>
        <v>SR087105</v>
      </c>
      <c r="L20" t="s">
        <v>18</v>
      </c>
    </row>
    <row r="21" spans="1:12" x14ac:dyDescent="0.45">
      <c r="A21" t="s">
        <v>12</v>
      </c>
      <c r="B21" t="s">
        <v>13</v>
      </c>
      <c r="C21" t="s">
        <v>66</v>
      </c>
      <c r="D21" t="s">
        <v>28</v>
      </c>
      <c r="E21" s="1">
        <v>45470.609027777777</v>
      </c>
      <c r="F21" t="s">
        <v>67</v>
      </c>
      <c r="G21" t="s">
        <v>17</v>
      </c>
      <c r="H21" t="s">
        <v>18</v>
      </c>
      <c r="I21" t="s">
        <v>19</v>
      </c>
      <c r="J21" t="s">
        <v>42</v>
      </c>
      <c r="K21" s="3" t="str">
        <f>HYPERLINK("https://us.assetplanner.com/service_request?ID=87049","SR087049")</f>
        <v>SR087049</v>
      </c>
      <c r="L21" t="s">
        <v>18</v>
      </c>
    </row>
    <row r="22" spans="1:12" x14ac:dyDescent="0.45">
      <c r="A22" t="s">
        <v>12</v>
      </c>
      <c r="B22" t="s">
        <v>13</v>
      </c>
      <c r="C22" t="s">
        <v>68</v>
      </c>
      <c r="D22" t="s">
        <v>15</v>
      </c>
      <c r="E22" s="1">
        <v>45446.525694444441</v>
      </c>
      <c r="F22" t="s">
        <v>69</v>
      </c>
      <c r="G22" t="s">
        <v>17</v>
      </c>
      <c r="H22" t="s">
        <v>70</v>
      </c>
      <c r="I22" t="s">
        <v>71</v>
      </c>
      <c r="J22" t="s">
        <v>46</v>
      </c>
      <c r="K22" s="3" t="str">
        <f>HYPERLINK("https://us.assetplanner.com/service_request?ID=85484","SR085484")</f>
        <v>SR085484</v>
      </c>
      <c r="L22" t="s">
        <v>36</v>
      </c>
    </row>
    <row r="23" spans="1:12" x14ac:dyDescent="0.45">
      <c r="A23" t="s">
        <v>12</v>
      </c>
      <c r="B23" t="s">
        <v>13</v>
      </c>
      <c r="C23" t="s">
        <v>18</v>
      </c>
      <c r="D23" t="s">
        <v>72</v>
      </c>
      <c r="E23" s="1">
        <v>45429.52847222222</v>
      </c>
      <c r="F23" t="s">
        <v>73</v>
      </c>
      <c r="G23" t="s">
        <v>17</v>
      </c>
      <c r="H23" t="s">
        <v>18</v>
      </c>
      <c r="I23" t="s">
        <v>19</v>
      </c>
      <c r="J23" t="s">
        <v>46</v>
      </c>
      <c r="K23" s="3" t="str">
        <f>HYPERLINK("https://us.assetplanner.com/service_request?ID=84807","SR084807")</f>
        <v>SR084807</v>
      </c>
      <c r="L23" t="s">
        <v>36</v>
      </c>
    </row>
    <row r="24" spans="1:12" x14ac:dyDescent="0.45">
      <c r="A24" t="s">
        <v>12</v>
      </c>
      <c r="B24" t="s">
        <v>13</v>
      </c>
      <c r="C24" t="s">
        <v>18</v>
      </c>
      <c r="D24" t="s">
        <v>74</v>
      </c>
      <c r="E24" s="1">
        <v>45423.568749999999</v>
      </c>
      <c r="F24" t="s">
        <v>75</v>
      </c>
      <c r="G24" t="s">
        <v>17</v>
      </c>
      <c r="H24" t="s">
        <v>18</v>
      </c>
      <c r="I24" t="s">
        <v>19</v>
      </c>
      <c r="J24" t="s">
        <v>76</v>
      </c>
      <c r="K24" s="3" t="str">
        <f>HYPERLINK("https://us.assetplanner.com/service_request?ID=84580","SR084580")</f>
        <v>SR084580</v>
      </c>
      <c r="L24" t="s">
        <v>36</v>
      </c>
    </row>
    <row r="25" spans="1:12" x14ac:dyDescent="0.45">
      <c r="A25" t="s">
        <v>12</v>
      </c>
      <c r="B25" t="s">
        <v>13</v>
      </c>
      <c r="C25" t="s">
        <v>77</v>
      </c>
      <c r="D25" t="s">
        <v>15</v>
      </c>
      <c r="E25" s="1">
        <v>45401.535416666666</v>
      </c>
      <c r="F25" t="s">
        <v>78</v>
      </c>
      <c r="G25" t="s">
        <v>17</v>
      </c>
      <c r="H25" t="s">
        <v>18</v>
      </c>
      <c r="I25" t="s">
        <v>19</v>
      </c>
      <c r="J25" t="s">
        <v>46</v>
      </c>
      <c r="K25" s="3" t="str">
        <f>HYPERLINK("https://us.assetplanner.com/service_request?ID=83627","SR083627")</f>
        <v>SR083627</v>
      </c>
      <c r="L25" t="s">
        <v>36</v>
      </c>
    </row>
    <row r="26" spans="1:12" x14ac:dyDescent="0.45">
      <c r="A26" t="s">
        <v>12</v>
      </c>
      <c r="B26" t="s">
        <v>13</v>
      </c>
      <c r="C26" t="s">
        <v>79</v>
      </c>
      <c r="D26" t="s">
        <v>80</v>
      </c>
      <c r="E26" s="1">
        <v>45372.53125</v>
      </c>
      <c r="F26" t="s">
        <v>81</v>
      </c>
      <c r="G26" t="s">
        <v>17</v>
      </c>
      <c r="H26" t="s">
        <v>18</v>
      </c>
      <c r="I26" t="s">
        <v>19</v>
      </c>
      <c r="J26" t="s">
        <v>46</v>
      </c>
      <c r="K26" s="3" t="str">
        <f>HYPERLINK("https://us.assetplanner.com/service_request?ID=82331","SR082331")</f>
        <v>SR082331</v>
      </c>
      <c r="L26" t="s">
        <v>36</v>
      </c>
    </row>
    <row r="27" spans="1:12" x14ac:dyDescent="0.45">
      <c r="A27" t="s">
        <v>12</v>
      </c>
      <c r="B27" t="s">
        <v>13</v>
      </c>
      <c r="C27" t="s">
        <v>82</v>
      </c>
      <c r="D27" t="s">
        <v>44</v>
      </c>
      <c r="E27" s="1">
        <v>45355.539583333331</v>
      </c>
      <c r="F27" t="s">
        <v>83</v>
      </c>
      <c r="G27" t="s">
        <v>17</v>
      </c>
      <c r="H27" t="s">
        <v>18</v>
      </c>
      <c r="I27" t="s">
        <v>19</v>
      </c>
      <c r="J27" t="s">
        <v>46</v>
      </c>
      <c r="K27" s="3" t="str">
        <f>HYPERLINK("https://us.assetplanner.com/service_request?ID=81556","SR081556")</f>
        <v>SR081556</v>
      </c>
      <c r="L27" t="s">
        <v>36</v>
      </c>
    </row>
    <row r="28" spans="1:12" x14ac:dyDescent="0.45">
      <c r="A28" t="s">
        <v>12</v>
      </c>
      <c r="B28" t="s">
        <v>13</v>
      </c>
      <c r="C28" t="s">
        <v>84</v>
      </c>
      <c r="D28" t="s">
        <v>28</v>
      </c>
      <c r="E28" s="1">
        <v>45355.538194444445</v>
      </c>
      <c r="F28" t="s">
        <v>85</v>
      </c>
      <c r="G28" t="s">
        <v>17</v>
      </c>
      <c r="H28" t="s">
        <v>18</v>
      </c>
      <c r="I28" t="s">
        <v>19</v>
      </c>
      <c r="J28" t="s">
        <v>46</v>
      </c>
      <c r="K28" s="3" t="str">
        <f>HYPERLINK("https://us.assetplanner.com/service_request?ID=81555","SR081555")</f>
        <v>SR081555</v>
      </c>
      <c r="L28" t="s">
        <v>36</v>
      </c>
    </row>
    <row r="29" spans="1:12" x14ac:dyDescent="0.45">
      <c r="A29" t="s">
        <v>12</v>
      </c>
      <c r="B29" t="s">
        <v>13</v>
      </c>
      <c r="C29" t="s">
        <v>86</v>
      </c>
      <c r="D29" t="s">
        <v>87</v>
      </c>
      <c r="E29" s="1">
        <v>45352.625694444447</v>
      </c>
      <c r="F29" t="s">
        <v>88</v>
      </c>
      <c r="G29" t="s">
        <v>17</v>
      </c>
      <c r="H29" t="s">
        <v>18</v>
      </c>
      <c r="I29" t="s">
        <v>19</v>
      </c>
      <c r="J29" t="s">
        <v>42</v>
      </c>
      <c r="K29" s="3" t="str">
        <f>HYPERLINK("https://us.assetplanner.com/service_request?ID=81508","SR081508")</f>
        <v>SR081508</v>
      </c>
      <c r="L29" t="s">
        <v>36</v>
      </c>
    </row>
    <row r="30" spans="1:12" x14ac:dyDescent="0.45">
      <c r="A30" t="s">
        <v>12</v>
      </c>
      <c r="B30" t="s">
        <v>13</v>
      </c>
      <c r="C30" t="s">
        <v>89</v>
      </c>
      <c r="D30" t="s">
        <v>80</v>
      </c>
      <c r="E30" s="1">
        <v>45352.62222222222</v>
      </c>
      <c r="F30" t="s">
        <v>90</v>
      </c>
      <c r="G30" t="s">
        <v>17</v>
      </c>
      <c r="H30" t="s">
        <v>18</v>
      </c>
      <c r="I30" t="s">
        <v>19</v>
      </c>
      <c r="J30" t="s">
        <v>42</v>
      </c>
      <c r="K30" s="3" t="str">
        <f>HYPERLINK("https://us.assetplanner.com/service_request?ID=81505","SR081505")</f>
        <v>SR081505</v>
      </c>
      <c r="L30" t="s">
        <v>36</v>
      </c>
    </row>
    <row r="31" spans="1:12" x14ac:dyDescent="0.45">
      <c r="A31" t="s">
        <v>12</v>
      </c>
      <c r="B31" t="s">
        <v>13</v>
      </c>
      <c r="C31" t="s">
        <v>91</v>
      </c>
      <c r="D31" t="s">
        <v>92</v>
      </c>
      <c r="E31" s="1">
        <v>45352.620833333334</v>
      </c>
      <c r="F31" t="s">
        <v>93</v>
      </c>
      <c r="G31" t="s">
        <v>17</v>
      </c>
      <c r="H31" t="s">
        <v>18</v>
      </c>
      <c r="I31" t="s">
        <v>19</v>
      </c>
      <c r="J31" t="s">
        <v>42</v>
      </c>
      <c r="K31" s="3" t="str">
        <f>HYPERLINK("https://us.assetplanner.com/service_request?ID=81504","SR081504")</f>
        <v>SR081504</v>
      </c>
      <c r="L31" t="s">
        <v>36</v>
      </c>
    </row>
    <row r="32" spans="1:12" x14ac:dyDescent="0.45">
      <c r="A32" t="s">
        <v>12</v>
      </c>
      <c r="B32" t="s">
        <v>13</v>
      </c>
      <c r="C32" t="s">
        <v>94</v>
      </c>
      <c r="D32" t="s">
        <v>95</v>
      </c>
      <c r="E32" s="1">
        <v>45342.586111111108</v>
      </c>
      <c r="F32" t="s">
        <v>96</v>
      </c>
      <c r="G32" t="s">
        <v>17</v>
      </c>
      <c r="H32" t="s">
        <v>18</v>
      </c>
      <c r="I32" t="s">
        <v>19</v>
      </c>
      <c r="J32" t="s">
        <v>42</v>
      </c>
      <c r="K32" s="3" t="str">
        <f>HYPERLINK("https://us.assetplanner.com/service_request?ID=81129","SR081129")</f>
        <v>SR081129</v>
      </c>
      <c r="L32" t="s">
        <v>36</v>
      </c>
    </row>
    <row r="33" spans="1:12" x14ac:dyDescent="0.45">
      <c r="A33" t="s">
        <v>12</v>
      </c>
      <c r="B33" t="s">
        <v>13</v>
      </c>
      <c r="C33" t="s">
        <v>97</v>
      </c>
      <c r="D33" t="s">
        <v>44</v>
      </c>
      <c r="E33" s="1">
        <v>45291.197222222225</v>
      </c>
      <c r="F33" t="s">
        <v>98</v>
      </c>
      <c r="G33" t="s">
        <v>17</v>
      </c>
      <c r="H33" t="s">
        <v>18</v>
      </c>
      <c r="I33" t="s">
        <v>19</v>
      </c>
      <c r="J33" t="s">
        <v>46</v>
      </c>
      <c r="K33" s="3" t="str">
        <f>HYPERLINK("https://us.assetplanner.com/service_request?ID=79845","SR079845")</f>
        <v>SR079845</v>
      </c>
      <c r="L33" t="s">
        <v>36</v>
      </c>
    </row>
    <row r="34" spans="1:12" x14ac:dyDescent="0.45">
      <c r="A34" t="s">
        <v>12</v>
      </c>
      <c r="B34" t="s">
        <v>13</v>
      </c>
      <c r="C34" t="s">
        <v>99</v>
      </c>
      <c r="D34" t="s">
        <v>80</v>
      </c>
      <c r="E34" s="1">
        <v>45237.53402777778</v>
      </c>
      <c r="F34" t="s">
        <v>100</v>
      </c>
      <c r="G34" t="s">
        <v>17</v>
      </c>
      <c r="H34" t="s">
        <v>18</v>
      </c>
      <c r="I34" t="s">
        <v>19</v>
      </c>
      <c r="J34" t="s">
        <v>46</v>
      </c>
      <c r="K34" s="3" t="str">
        <f>HYPERLINK("https://us.assetplanner.com/service_request?ID=78119","SR078119")</f>
        <v>SR078119</v>
      </c>
      <c r="L34" t="s">
        <v>36</v>
      </c>
    </row>
    <row r="35" spans="1:12" x14ac:dyDescent="0.45">
      <c r="A35" t="s">
        <v>12</v>
      </c>
      <c r="B35" t="s">
        <v>13</v>
      </c>
      <c r="C35" t="s">
        <v>101</v>
      </c>
      <c r="D35" t="s">
        <v>28</v>
      </c>
      <c r="E35" s="1">
        <v>45216.152083333334</v>
      </c>
      <c r="F35" t="s">
        <v>102</v>
      </c>
      <c r="G35" t="s">
        <v>17</v>
      </c>
      <c r="H35" t="s">
        <v>18</v>
      </c>
      <c r="I35" t="s">
        <v>19</v>
      </c>
      <c r="J35" t="s">
        <v>46</v>
      </c>
      <c r="K35" s="3" t="str">
        <f>HYPERLINK("https://us.assetplanner.com/service_request?ID=77517","SR077517")</f>
        <v>SR077517</v>
      </c>
      <c r="L35" t="s">
        <v>36</v>
      </c>
    </row>
    <row r="36" spans="1:12" x14ac:dyDescent="0.45">
      <c r="A36" t="s">
        <v>12</v>
      </c>
      <c r="B36" t="s">
        <v>13</v>
      </c>
      <c r="C36" t="s">
        <v>103</v>
      </c>
      <c r="D36" t="s">
        <v>104</v>
      </c>
      <c r="E36" s="1">
        <v>45204.594444444447</v>
      </c>
      <c r="F36" t="s">
        <v>105</v>
      </c>
      <c r="G36" t="s">
        <v>17</v>
      </c>
      <c r="H36" t="s">
        <v>18</v>
      </c>
      <c r="I36" t="s">
        <v>19</v>
      </c>
      <c r="J36" t="s">
        <v>76</v>
      </c>
      <c r="K36" s="3" t="str">
        <f>HYPERLINK("https://us.assetplanner.com/service_request?ID=77287","SR077287")</f>
        <v>SR077287</v>
      </c>
      <c r="L36" t="s">
        <v>36</v>
      </c>
    </row>
    <row r="37" spans="1:12" x14ac:dyDescent="0.45">
      <c r="A37" t="s">
        <v>12</v>
      </c>
      <c r="B37" t="s">
        <v>13</v>
      </c>
      <c r="C37" t="s">
        <v>106</v>
      </c>
      <c r="D37" t="s">
        <v>107</v>
      </c>
      <c r="E37" s="1">
        <v>45177.527777777781</v>
      </c>
      <c r="F37" t="s">
        <v>108</v>
      </c>
      <c r="G37" t="s">
        <v>17</v>
      </c>
      <c r="H37" t="s">
        <v>18</v>
      </c>
      <c r="I37" t="s">
        <v>19</v>
      </c>
      <c r="J37" t="s">
        <v>46</v>
      </c>
      <c r="K37" s="3" t="str">
        <f>HYPERLINK("https://us.assetplanner.com/service_request?ID=75876","SR075876")</f>
        <v>SR075876</v>
      </c>
      <c r="L37" t="s">
        <v>109</v>
      </c>
    </row>
    <row r="38" spans="1:12" x14ac:dyDescent="0.45">
      <c r="A38" t="s">
        <v>12</v>
      </c>
      <c r="B38" t="s">
        <v>13</v>
      </c>
      <c r="C38" t="s">
        <v>110</v>
      </c>
      <c r="D38" t="s">
        <v>44</v>
      </c>
      <c r="E38" s="1">
        <v>45169.620138888888</v>
      </c>
      <c r="F38" t="s">
        <v>111</v>
      </c>
      <c r="G38" t="s">
        <v>17</v>
      </c>
      <c r="H38" t="s">
        <v>18</v>
      </c>
      <c r="I38" t="s">
        <v>19</v>
      </c>
      <c r="J38" t="s">
        <v>46</v>
      </c>
      <c r="K38" s="3" t="str">
        <f>HYPERLINK("https://us.assetplanner.com/service_request?ID=75642","SR075642")</f>
        <v>SR075642</v>
      </c>
      <c r="L38" t="s">
        <v>36</v>
      </c>
    </row>
    <row r="39" spans="1:12" x14ac:dyDescent="0.45">
      <c r="A39" t="s">
        <v>12</v>
      </c>
      <c r="B39" t="s">
        <v>13</v>
      </c>
      <c r="C39" t="s">
        <v>112</v>
      </c>
      <c r="D39" t="s">
        <v>113</v>
      </c>
      <c r="E39" s="1">
        <v>45147.531944444447</v>
      </c>
      <c r="F39" t="s">
        <v>114</v>
      </c>
      <c r="G39" t="s">
        <v>17</v>
      </c>
      <c r="H39" t="s">
        <v>18</v>
      </c>
      <c r="I39" t="s">
        <v>19</v>
      </c>
      <c r="J39" t="s">
        <v>46</v>
      </c>
      <c r="K39" s="3" t="str">
        <f>HYPERLINK("https://us.assetplanner.com/service_request?ID=74887","SR074887")</f>
        <v>SR074887</v>
      </c>
      <c r="L39" t="s">
        <v>36</v>
      </c>
    </row>
    <row r="40" spans="1:12" x14ac:dyDescent="0.45">
      <c r="A40" t="s">
        <v>12</v>
      </c>
      <c r="B40" t="s">
        <v>13</v>
      </c>
      <c r="C40" t="s">
        <v>115</v>
      </c>
      <c r="D40" t="s">
        <v>28</v>
      </c>
      <c r="E40" s="1">
        <v>45120.525694444441</v>
      </c>
      <c r="F40" t="s">
        <v>116</v>
      </c>
      <c r="G40" t="s">
        <v>17</v>
      </c>
      <c r="H40" t="s">
        <v>18</v>
      </c>
      <c r="I40" t="s">
        <v>19</v>
      </c>
      <c r="J40" t="s">
        <v>76</v>
      </c>
      <c r="K40" s="3" t="str">
        <f>HYPERLINK("https://us.assetplanner.com/service_request?ID=73825","SR073825")</f>
        <v>SR073825</v>
      </c>
      <c r="L40" t="s">
        <v>36</v>
      </c>
    </row>
    <row r="41" spans="1:12" x14ac:dyDescent="0.45">
      <c r="A41" t="s">
        <v>12</v>
      </c>
      <c r="B41" t="s">
        <v>13</v>
      </c>
      <c r="C41" t="s">
        <v>117</v>
      </c>
      <c r="D41" t="s">
        <v>95</v>
      </c>
      <c r="E41" s="1">
        <v>45118.582638888889</v>
      </c>
      <c r="F41" t="s">
        <v>118</v>
      </c>
      <c r="G41" t="s">
        <v>17</v>
      </c>
      <c r="H41" t="s">
        <v>18</v>
      </c>
      <c r="I41" t="s">
        <v>19</v>
      </c>
      <c r="J41" t="s">
        <v>46</v>
      </c>
      <c r="K41" s="3" t="str">
        <f>HYPERLINK("https://us.assetplanner.com/service_request?ID=73743","SR073743")</f>
        <v>SR073743</v>
      </c>
      <c r="L41" t="s">
        <v>36</v>
      </c>
    </row>
    <row r="42" spans="1:12" x14ac:dyDescent="0.45">
      <c r="A42" t="s">
        <v>12</v>
      </c>
      <c r="B42" t="s">
        <v>13</v>
      </c>
      <c r="C42" t="s">
        <v>119</v>
      </c>
      <c r="D42" t="s">
        <v>28</v>
      </c>
      <c r="E42" s="1">
        <v>45114.202777777777</v>
      </c>
      <c r="F42" t="s">
        <v>120</v>
      </c>
      <c r="G42" t="s">
        <v>17</v>
      </c>
      <c r="H42" t="s">
        <v>18</v>
      </c>
      <c r="I42" t="s">
        <v>19</v>
      </c>
      <c r="J42" t="s">
        <v>46</v>
      </c>
      <c r="K42" s="3" t="str">
        <f>HYPERLINK("https://us.assetplanner.com/service_request?ID=73621","SR073621")</f>
        <v>SR073621</v>
      </c>
      <c r="L42" t="s">
        <v>36</v>
      </c>
    </row>
    <row r="43" spans="1:12" x14ac:dyDescent="0.45">
      <c r="A43" t="s">
        <v>12</v>
      </c>
      <c r="B43" t="s">
        <v>13</v>
      </c>
      <c r="C43" t="s">
        <v>84</v>
      </c>
      <c r="D43" t="s">
        <v>113</v>
      </c>
      <c r="E43" s="1">
        <v>45068.599305555559</v>
      </c>
      <c r="F43" t="s">
        <v>121</v>
      </c>
      <c r="G43" t="s">
        <v>17</v>
      </c>
      <c r="H43" t="s">
        <v>18</v>
      </c>
      <c r="I43" t="s">
        <v>19</v>
      </c>
      <c r="J43" t="s">
        <v>46</v>
      </c>
      <c r="K43" s="3" t="str">
        <f>HYPERLINK("https://us.assetplanner.com/service_request?ID=71782","SR071782")</f>
        <v>SR071782</v>
      </c>
      <c r="L43" t="s">
        <v>36</v>
      </c>
    </row>
    <row r="44" spans="1:12" x14ac:dyDescent="0.45">
      <c r="A44" t="s">
        <v>12</v>
      </c>
      <c r="B44" t="s">
        <v>13</v>
      </c>
      <c r="C44" t="s">
        <v>122</v>
      </c>
      <c r="D44" t="s">
        <v>15</v>
      </c>
      <c r="E44" s="1">
        <v>45055.59097222222</v>
      </c>
      <c r="F44" t="s">
        <v>123</v>
      </c>
      <c r="G44" t="s">
        <v>17</v>
      </c>
      <c r="H44" t="s">
        <v>18</v>
      </c>
      <c r="I44" t="s">
        <v>19</v>
      </c>
      <c r="J44" t="s">
        <v>46</v>
      </c>
      <c r="K44" s="3" t="str">
        <f>HYPERLINK("https://us.assetplanner.com/service_request?ID=71467","SR071467")</f>
        <v>SR071467</v>
      </c>
      <c r="L44" t="s">
        <v>36</v>
      </c>
    </row>
    <row r="45" spans="1:12" x14ac:dyDescent="0.45">
      <c r="A45" t="s">
        <v>12</v>
      </c>
      <c r="B45" t="s">
        <v>13</v>
      </c>
      <c r="C45" t="s">
        <v>124</v>
      </c>
      <c r="D45" t="s">
        <v>22</v>
      </c>
      <c r="E45" s="1">
        <v>45041.59652777778</v>
      </c>
      <c r="F45" t="s">
        <v>125</v>
      </c>
      <c r="G45" t="s">
        <v>17</v>
      </c>
      <c r="H45" t="s">
        <v>18</v>
      </c>
      <c r="I45" t="s">
        <v>19</v>
      </c>
      <c r="J45" t="s">
        <v>46</v>
      </c>
      <c r="K45" s="3" t="str">
        <f>HYPERLINK("https://us.assetplanner.com/service_request?ID=71089","SR071089")</f>
        <v>SR071089</v>
      </c>
      <c r="L45" t="s">
        <v>18</v>
      </c>
    </row>
    <row r="46" spans="1:12" x14ac:dyDescent="0.45">
      <c r="A46" t="s">
        <v>12</v>
      </c>
      <c r="B46" t="s">
        <v>13</v>
      </c>
      <c r="C46" t="s">
        <v>126</v>
      </c>
      <c r="D46" t="s">
        <v>113</v>
      </c>
      <c r="E46" s="1">
        <v>45037.523611111108</v>
      </c>
      <c r="F46" t="s">
        <v>127</v>
      </c>
      <c r="G46" t="s">
        <v>17</v>
      </c>
      <c r="H46" t="s">
        <v>18</v>
      </c>
      <c r="I46" t="s">
        <v>19</v>
      </c>
      <c r="J46" t="s">
        <v>46</v>
      </c>
      <c r="K46" s="3" t="str">
        <f>HYPERLINK("https://us.assetplanner.com/service_request?ID=70992","SR070992")</f>
        <v>SR070992</v>
      </c>
      <c r="L46" t="s">
        <v>36</v>
      </c>
    </row>
    <row r="47" spans="1:12" x14ac:dyDescent="0.45">
      <c r="A47" t="s">
        <v>12</v>
      </c>
      <c r="B47" t="s">
        <v>13</v>
      </c>
      <c r="C47" t="s">
        <v>128</v>
      </c>
      <c r="D47" t="s">
        <v>129</v>
      </c>
      <c r="E47" s="1">
        <v>44929.522916666669</v>
      </c>
      <c r="F47" t="s">
        <v>130</v>
      </c>
      <c r="G47" t="s">
        <v>17</v>
      </c>
      <c r="H47" t="s">
        <v>18</v>
      </c>
      <c r="I47" t="s">
        <v>19</v>
      </c>
      <c r="J47" t="s">
        <v>46</v>
      </c>
      <c r="K47" s="3" t="str">
        <f>HYPERLINK("https://us.assetplanner.com/service_request?ID=68143","SR068143")</f>
        <v>SR068143</v>
      </c>
      <c r="L47" t="s">
        <v>36</v>
      </c>
    </row>
    <row r="48" spans="1:12" x14ac:dyDescent="0.45">
      <c r="A48" t="s">
        <v>131</v>
      </c>
      <c r="B48" t="s">
        <v>18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L4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G22"/>
  <sheetViews>
    <sheetView showGridLines="0" workbookViewId="0">
      <selection activeCell="B24" sqref="B24"/>
    </sheetView>
  </sheetViews>
  <sheetFormatPr defaultRowHeight="14.25" x14ac:dyDescent="0.45"/>
  <cols>
    <col min="1" max="1" width="54" customWidth="1"/>
    <col min="2" max="2" width="32" customWidth="1"/>
    <col min="3" max="3" width="15.59765625" customWidth="1"/>
    <col min="4" max="5" width="13.73046875" customWidth="1"/>
    <col min="6" max="6" width="16.3984375" customWidth="1"/>
    <col min="7" max="7" width="19.1328125" customWidth="1"/>
    <col min="8" max="9" width="17.73046875" customWidth="1"/>
    <col min="10" max="10" width="10.265625" customWidth="1"/>
    <col min="11" max="11" width="13" customWidth="1"/>
    <col min="12" max="13" width="10.265625" customWidth="1"/>
    <col min="14" max="14" width="13" customWidth="1"/>
    <col min="15" max="16" width="10.265625" customWidth="1"/>
    <col min="17" max="17" width="13" customWidth="1"/>
    <col min="18" max="19" width="10.265625" customWidth="1"/>
    <col min="20" max="20" width="13" customWidth="1"/>
    <col min="21" max="25" width="2.86328125" customWidth="1"/>
    <col min="29" max="32" width="2.86328125" customWidth="1"/>
    <col min="33" max="33" width="32.86328125" customWidth="1"/>
  </cols>
  <sheetData>
    <row r="1" spans="1:33" ht="21" customHeight="1" x14ac:dyDescent="0.4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21" x14ac:dyDescent="0.65">
      <c r="A2" s="5" t="s">
        <v>132</v>
      </c>
    </row>
    <row r="3" spans="1:33" x14ac:dyDescent="0.45">
      <c r="A3" s="6" t="s">
        <v>133</v>
      </c>
      <c r="B3" s="7" t="s">
        <v>134</v>
      </c>
    </row>
    <row r="4" spans="1:33" x14ac:dyDescent="0.45">
      <c r="A4" s="6" t="s">
        <v>135</v>
      </c>
      <c r="B4" s="8" t="s">
        <v>136</v>
      </c>
    </row>
    <row r="5" spans="1:33" x14ac:dyDescent="0.45">
      <c r="A5" s="6" t="s">
        <v>137</v>
      </c>
      <c r="B5" s="7" t="s">
        <v>138</v>
      </c>
    </row>
    <row r="6" spans="1:33" x14ac:dyDescent="0.45">
      <c r="A6" s="6" t="s">
        <v>139</v>
      </c>
      <c r="B6" s="9">
        <v>11</v>
      </c>
    </row>
    <row r="7" spans="1:33" x14ac:dyDescent="0.45">
      <c r="A7" s="6" t="s">
        <v>140</v>
      </c>
      <c r="B7" s="7" t="s">
        <v>141</v>
      </c>
    </row>
    <row r="8" spans="1:33" x14ac:dyDescent="0.45">
      <c r="A8" s="10"/>
    </row>
    <row r="9" spans="1:33" ht="16.5" customHeight="1" x14ac:dyDescent="0.45">
      <c r="A9" s="19" t="s">
        <v>142</v>
      </c>
      <c r="B9" s="20"/>
      <c r="C9" s="20"/>
      <c r="D9" s="20"/>
      <c r="E9" s="20"/>
      <c r="F9" s="20"/>
      <c r="G9" s="21"/>
      <c r="H9" s="11" t="s">
        <v>143</v>
      </c>
      <c r="I9" s="19" t="s">
        <v>144</v>
      </c>
      <c r="J9" s="20"/>
      <c r="K9" s="21"/>
      <c r="L9" s="19" t="s">
        <v>145</v>
      </c>
      <c r="M9" s="20"/>
      <c r="N9" s="21"/>
      <c r="O9" s="19" t="s">
        <v>146</v>
      </c>
      <c r="P9" s="20"/>
      <c r="Q9" s="21"/>
      <c r="R9" s="19" t="s">
        <v>147</v>
      </c>
      <c r="S9" s="20"/>
      <c r="T9" s="21"/>
    </row>
    <row r="10" spans="1:33" x14ac:dyDescent="0.45">
      <c r="A10" s="12" t="s">
        <v>148</v>
      </c>
      <c r="B10" s="12" t="s">
        <v>149</v>
      </c>
      <c r="C10" s="12" t="s">
        <v>150</v>
      </c>
      <c r="D10" s="12" t="s">
        <v>151</v>
      </c>
      <c r="E10" s="12" t="s">
        <v>152</v>
      </c>
      <c r="F10" s="12" t="s">
        <v>153</v>
      </c>
      <c r="G10" s="12" t="s">
        <v>154</v>
      </c>
      <c r="H10" s="12" t="s">
        <v>155</v>
      </c>
      <c r="I10" s="12" t="s">
        <v>156</v>
      </c>
      <c r="J10" s="12" t="s">
        <v>157</v>
      </c>
      <c r="K10" s="12" t="s">
        <v>158</v>
      </c>
      <c r="L10" s="12" t="s">
        <v>156</v>
      </c>
      <c r="M10" s="12" t="s">
        <v>157</v>
      </c>
      <c r="N10" s="12" t="s">
        <v>158</v>
      </c>
      <c r="O10" s="12" t="s">
        <v>156</v>
      </c>
      <c r="P10" s="12" t="s">
        <v>157</v>
      </c>
      <c r="Q10" s="12" t="s">
        <v>158</v>
      </c>
      <c r="R10" s="12" t="s">
        <v>156</v>
      </c>
      <c r="S10" s="12" t="s">
        <v>157</v>
      </c>
      <c r="T10" s="12" t="s">
        <v>158</v>
      </c>
    </row>
    <row r="11" spans="1:33" x14ac:dyDescent="0.45">
      <c r="A11" s="13">
        <v>1</v>
      </c>
      <c r="B11" s="14" t="s">
        <v>159</v>
      </c>
      <c r="C11" s="13" t="s">
        <v>160</v>
      </c>
      <c r="D11" s="13" t="s">
        <v>161</v>
      </c>
      <c r="E11" s="13" t="s">
        <v>162</v>
      </c>
      <c r="F11" s="13" t="s">
        <v>163</v>
      </c>
      <c r="G11" s="13">
        <v>69.254999999999995</v>
      </c>
      <c r="H11" s="15" t="s">
        <v>15</v>
      </c>
      <c r="I11" s="13">
        <v>0</v>
      </c>
      <c r="J11" s="13">
        <v>0</v>
      </c>
      <c r="K11" s="15"/>
      <c r="L11" s="13">
        <v>0</v>
      </c>
      <c r="M11" s="13">
        <v>0</v>
      </c>
      <c r="N11" s="15"/>
      <c r="O11" s="13">
        <v>5418.3</v>
      </c>
      <c r="P11" s="13">
        <v>78.2</v>
      </c>
      <c r="Q11" s="15"/>
      <c r="R11" s="13">
        <v>40138.800000000003</v>
      </c>
      <c r="S11" s="13">
        <v>579.6</v>
      </c>
      <c r="T11" s="15"/>
    </row>
    <row r="12" spans="1:33" x14ac:dyDescent="0.45">
      <c r="A12" s="13">
        <v>2</v>
      </c>
      <c r="B12" s="14" t="s">
        <v>164</v>
      </c>
      <c r="C12" s="13" t="s">
        <v>160</v>
      </c>
      <c r="D12" s="13" t="s">
        <v>161</v>
      </c>
      <c r="E12" s="13" t="s">
        <v>162</v>
      </c>
      <c r="F12" s="13" t="s">
        <v>165</v>
      </c>
      <c r="G12" s="13">
        <v>152.42500000000001</v>
      </c>
      <c r="H12" s="15" t="s">
        <v>166</v>
      </c>
      <c r="I12" s="13">
        <v>17641</v>
      </c>
      <c r="J12" s="13">
        <v>115.7</v>
      </c>
      <c r="K12" s="15"/>
      <c r="L12" s="13">
        <v>16071.2</v>
      </c>
      <c r="M12" s="13">
        <v>105.4</v>
      </c>
      <c r="N12" s="15"/>
      <c r="O12" s="13">
        <v>15742.3</v>
      </c>
      <c r="P12" s="13">
        <v>103.3</v>
      </c>
      <c r="Q12" s="15"/>
      <c r="R12" s="13">
        <v>179405.2</v>
      </c>
      <c r="S12" s="13">
        <v>1177</v>
      </c>
      <c r="T12" s="15"/>
    </row>
    <row r="13" spans="1:33" x14ac:dyDescent="0.45">
      <c r="A13" s="13">
        <v>3</v>
      </c>
      <c r="B13" s="14" t="s">
        <v>167</v>
      </c>
      <c r="C13" s="13" t="s">
        <v>160</v>
      </c>
      <c r="D13" s="13" t="s">
        <v>161</v>
      </c>
      <c r="E13" s="13" t="s">
        <v>162</v>
      </c>
      <c r="F13" s="13" t="s">
        <v>168</v>
      </c>
      <c r="G13" s="13">
        <v>572.32500000000005</v>
      </c>
      <c r="H13" s="15" t="s">
        <v>28</v>
      </c>
      <c r="I13" s="13">
        <v>60043</v>
      </c>
      <c r="J13" s="13">
        <v>104.9</v>
      </c>
      <c r="K13" s="15"/>
      <c r="L13" s="13">
        <v>54751.4</v>
      </c>
      <c r="M13" s="13">
        <v>95.7</v>
      </c>
      <c r="N13" s="15"/>
      <c r="O13" s="13">
        <v>60102.5</v>
      </c>
      <c r="P13" s="13">
        <v>105</v>
      </c>
      <c r="Q13" s="15"/>
      <c r="R13" s="13">
        <v>652183.69999999995</v>
      </c>
      <c r="S13" s="13">
        <v>1139.5</v>
      </c>
      <c r="T13" s="15"/>
    </row>
    <row r="14" spans="1:33" x14ac:dyDescent="0.45">
      <c r="A14" s="13">
        <v>4</v>
      </c>
      <c r="B14" s="14" t="s">
        <v>169</v>
      </c>
      <c r="C14" s="13" t="s">
        <v>160</v>
      </c>
      <c r="D14" s="13" t="s">
        <v>161</v>
      </c>
      <c r="E14" s="13" t="s">
        <v>162</v>
      </c>
      <c r="F14" s="13" t="s">
        <v>170</v>
      </c>
      <c r="G14" s="13">
        <v>49.4</v>
      </c>
      <c r="H14" s="15" t="s">
        <v>171</v>
      </c>
      <c r="I14" s="13">
        <v>5879.1</v>
      </c>
      <c r="J14" s="13">
        <v>119</v>
      </c>
      <c r="K14" s="15"/>
      <c r="L14" s="13">
        <v>5360.2</v>
      </c>
      <c r="M14" s="13">
        <v>108.5</v>
      </c>
      <c r="N14" s="15"/>
      <c r="O14" s="13">
        <v>5734.4</v>
      </c>
      <c r="P14" s="13">
        <v>116.1</v>
      </c>
      <c r="Q14" s="15"/>
      <c r="R14" s="13">
        <v>60909.599999999999</v>
      </c>
      <c r="S14" s="13">
        <v>1233</v>
      </c>
      <c r="T14" s="15"/>
    </row>
    <row r="15" spans="1:33" x14ac:dyDescent="0.45">
      <c r="A15" s="13">
        <v>5</v>
      </c>
      <c r="B15" s="14" t="s">
        <v>172</v>
      </c>
      <c r="C15" s="13" t="s">
        <v>160</v>
      </c>
      <c r="D15" s="13" t="s">
        <v>161</v>
      </c>
      <c r="E15" s="13" t="s">
        <v>162</v>
      </c>
      <c r="F15" s="13" t="s">
        <v>173</v>
      </c>
      <c r="G15" s="13">
        <v>64.349999999999994</v>
      </c>
      <c r="H15" s="15" t="s">
        <v>171</v>
      </c>
      <c r="I15" s="13">
        <v>7548</v>
      </c>
      <c r="J15" s="13">
        <v>117.3</v>
      </c>
      <c r="K15" s="15"/>
      <c r="L15" s="13">
        <v>6655.3</v>
      </c>
      <c r="M15" s="13">
        <v>103.4</v>
      </c>
      <c r="N15" s="15"/>
      <c r="O15" s="13">
        <v>5548.6</v>
      </c>
      <c r="P15" s="13">
        <v>86.2</v>
      </c>
      <c r="Q15" s="15"/>
      <c r="R15" s="13">
        <v>67057</v>
      </c>
      <c r="S15" s="13">
        <v>1042.0999999999999</v>
      </c>
      <c r="T15" s="15"/>
    </row>
    <row r="16" spans="1:33" x14ac:dyDescent="0.45">
      <c r="A16" s="13">
        <v>6</v>
      </c>
      <c r="B16" s="14" t="s">
        <v>174</v>
      </c>
      <c r="C16" s="13" t="s">
        <v>160</v>
      </c>
      <c r="D16" s="13" t="s">
        <v>161</v>
      </c>
      <c r="E16" s="13" t="s">
        <v>162</v>
      </c>
      <c r="F16" s="13" t="s">
        <v>170</v>
      </c>
      <c r="G16" s="13">
        <v>88.4</v>
      </c>
      <c r="H16" s="15" t="s">
        <v>171</v>
      </c>
      <c r="I16" s="13">
        <v>7116.8</v>
      </c>
      <c r="J16" s="13">
        <v>80.5</v>
      </c>
      <c r="K16" s="15"/>
      <c r="L16" s="13">
        <v>6377.6</v>
      </c>
      <c r="M16" s="13">
        <v>72.099999999999994</v>
      </c>
      <c r="N16" s="15"/>
      <c r="O16" s="13">
        <v>9177.7999999999993</v>
      </c>
      <c r="P16" s="13">
        <v>103.8</v>
      </c>
      <c r="Q16" s="15"/>
      <c r="R16" s="13">
        <v>92442.3</v>
      </c>
      <c r="S16" s="13">
        <v>1045.7</v>
      </c>
      <c r="T16" s="15"/>
    </row>
    <row r="17" spans="1:20" x14ac:dyDescent="0.45">
      <c r="A17" s="13">
        <v>7</v>
      </c>
      <c r="B17" s="14" t="s">
        <v>175</v>
      </c>
      <c r="C17" s="13" t="s">
        <v>160</v>
      </c>
      <c r="D17" s="13" t="s">
        <v>161</v>
      </c>
      <c r="E17" s="13" t="s">
        <v>162</v>
      </c>
      <c r="F17" s="13" t="s">
        <v>176</v>
      </c>
      <c r="G17" s="13">
        <v>117</v>
      </c>
      <c r="H17" s="15" t="s">
        <v>171</v>
      </c>
      <c r="I17" s="13">
        <v>13627.3</v>
      </c>
      <c r="J17" s="13">
        <v>116.5</v>
      </c>
      <c r="K17" s="15"/>
      <c r="L17" s="13">
        <v>12324.7</v>
      </c>
      <c r="M17" s="13">
        <v>105.3</v>
      </c>
      <c r="N17" s="15"/>
      <c r="O17" s="13">
        <v>13057.2</v>
      </c>
      <c r="P17" s="13">
        <v>111.6</v>
      </c>
      <c r="Q17" s="15"/>
      <c r="R17" s="13">
        <v>142072.70000000001</v>
      </c>
      <c r="S17" s="13">
        <v>1214.3</v>
      </c>
      <c r="T17" s="15"/>
    </row>
    <row r="18" spans="1:20" x14ac:dyDescent="0.45">
      <c r="A18" s="13">
        <v>8</v>
      </c>
      <c r="B18" s="14" t="s">
        <v>177</v>
      </c>
      <c r="C18" s="13" t="s">
        <v>160</v>
      </c>
      <c r="D18" s="13" t="s">
        <v>161</v>
      </c>
      <c r="E18" s="13" t="s">
        <v>162</v>
      </c>
      <c r="F18" s="13" t="s">
        <v>178</v>
      </c>
      <c r="G18" s="13">
        <v>468.65</v>
      </c>
      <c r="H18" s="15" t="s">
        <v>166</v>
      </c>
      <c r="I18" s="13">
        <v>41626.800000000003</v>
      </c>
      <c r="J18" s="13">
        <v>88.8</v>
      </c>
      <c r="K18" s="15"/>
      <c r="L18" s="13">
        <v>39136.400000000001</v>
      </c>
      <c r="M18" s="13">
        <v>83.5</v>
      </c>
      <c r="N18" s="15"/>
      <c r="O18" s="13">
        <v>40129</v>
      </c>
      <c r="P18" s="13">
        <v>85.6</v>
      </c>
      <c r="Q18" s="15"/>
      <c r="R18" s="13">
        <v>456363.3</v>
      </c>
      <c r="S18" s="13">
        <v>973.8</v>
      </c>
      <c r="T18" s="15"/>
    </row>
    <row r="19" spans="1:20" x14ac:dyDescent="0.45">
      <c r="A19" s="13">
        <v>9</v>
      </c>
      <c r="B19" s="14" t="s">
        <v>179</v>
      </c>
      <c r="C19" s="13" t="s">
        <v>160</v>
      </c>
      <c r="D19" s="13" t="s">
        <v>161</v>
      </c>
      <c r="E19" s="13" t="s">
        <v>162</v>
      </c>
      <c r="F19" s="13" t="s">
        <v>180</v>
      </c>
      <c r="G19" s="13">
        <v>169</v>
      </c>
      <c r="H19" s="15" t="s">
        <v>166</v>
      </c>
      <c r="I19" s="13">
        <v>17724.400000000001</v>
      </c>
      <c r="J19" s="13">
        <v>104.9</v>
      </c>
      <c r="K19" s="15"/>
      <c r="L19" s="13">
        <v>17348</v>
      </c>
      <c r="M19" s="13">
        <v>102.7</v>
      </c>
      <c r="N19" s="15"/>
      <c r="O19" s="13">
        <v>15831.6</v>
      </c>
      <c r="P19" s="13">
        <v>93.7</v>
      </c>
      <c r="Q19" s="15"/>
      <c r="R19" s="13">
        <v>164338.20000000001</v>
      </c>
      <c r="S19" s="13">
        <v>972.4</v>
      </c>
      <c r="T19" s="15"/>
    </row>
    <row r="20" spans="1:20" x14ac:dyDescent="0.45">
      <c r="A20" s="13">
        <v>10</v>
      </c>
      <c r="B20" s="14" t="s">
        <v>181</v>
      </c>
      <c r="C20" s="13" t="s">
        <v>160</v>
      </c>
      <c r="D20" s="13" t="s">
        <v>161</v>
      </c>
      <c r="E20" s="13" t="s">
        <v>162</v>
      </c>
      <c r="F20" s="13" t="s">
        <v>182</v>
      </c>
      <c r="G20" s="13">
        <v>443.625</v>
      </c>
      <c r="H20" s="15" t="s">
        <v>15</v>
      </c>
      <c r="I20" s="13">
        <v>35199.699999999997</v>
      </c>
      <c r="J20" s="13">
        <v>79.3</v>
      </c>
      <c r="K20" s="15"/>
      <c r="L20" s="13">
        <v>33206.5</v>
      </c>
      <c r="M20" s="13">
        <v>74.900000000000006</v>
      </c>
      <c r="N20" s="15"/>
      <c r="O20" s="13">
        <v>41489.199999999997</v>
      </c>
      <c r="P20" s="13">
        <v>93.5</v>
      </c>
      <c r="Q20" s="15"/>
      <c r="R20" s="13">
        <v>380651.5</v>
      </c>
      <c r="S20" s="13">
        <v>858</v>
      </c>
      <c r="T20" s="15"/>
    </row>
    <row r="21" spans="1:20" x14ac:dyDescent="0.45">
      <c r="A21" s="13">
        <v>11</v>
      </c>
      <c r="B21" s="14" t="s">
        <v>183</v>
      </c>
      <c r="C21" s="13" t="s">
        <v>160</v>
      </c>
      <c r="D21" s="13" t="s">
        <v>161</v>
      </c>
      <c r="E21" s="13" t="s">
        <v>162</v>
      </c>
      <c r="F21" s="13" t="s">
        <v>165</v>
      </c>
      <c r="G21" s="13">
        <v>267.8</v>
      </c>
      <c r="H21" s="15" t="s">
        <v>166</v>
      </c>
      <c r="I21" s="13">
        <v>23067.3</v>
      </c>
      <c r="J21" s="13">
        <v>86.1</v>
      </c>
      <c r="K21" s="15"/>
      <c r="L21" s="13">
        <v>20391.5</v>
      </c>
      <c r="M21" s="13">
        <v>76.099999999999994</v>
      </c>
      <c r="N21" s="15"/>
      <c r="O21" s="13">
        <v>27096.5</v>
      </c>
      <c r="P21" s="13">
        <v>101.2</v>
      </c>
      <c r="Q21" s="15"/>
      <c r="R21" s="13">
        <v>261567.5</v>
      </c>
      <c r="S21" s="13">
        <v>976.7</v>
      </c>
      <c r="T21" s="15"/>
    </row>
    <row r="22" spans="1:20" x14ac:dyDescent="0.45">
      <c r="A22" s="16" t="s">
        <v>131</v>
      </c>
      <c r="B22" s="17"/>
      <c r="C22" s="17"/>
      <c r="D22" s="17"/>
      <c r="E22" s="17"/>
      <c r="F22" s="17"/>
      <c r="G22" s="18">
        <v>2462.23</v>
      </c>
      <c r="H22" s="17"/>
      <c r="I22" s="16">
        <v>229473.4</v>
      </c>
      <c r="J22" s="17"/>
      <c r="K22" s="17"/>
      <c r="L22" s="16">
        <v>211622.8</v>
      </c>
      <c r="M22" s="17"/>
      <c r="N22" s="17"/>
      <c r="O22" s="16">
        <v>239327.4</v>
      </c>
      <c r="P22" s="17"/>
      <c r="Q22" s="17"/>
      <c r="R22" s="16">
        <v>2497129.7999999998</v>
      </c>
      <c r="S22" s="17"/>
      <c r="T22" s="17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47E74334-536D-489E-A8A5-C4ADA8B9D8C6}"/>
    <hyperlink ref="B12" r:id="rId2" location="/dashboard" xr:uid="{785B4E0A-CD60-4C9D-9494-7F06658DCD42}"/>
    <hyperlink ref="B13" r:id="rId3" location="/dashboard" xr:uid="{3CD5B3FD-4971-47FC-9F72-771164267B23}"/>
    <hyperlink ref="B14" r:id="rId4" location="/dashboard" xr:uid="{F49DAB83-1AF5-4B2C-A2D5-E6F3081D0947}"/>
    <hyperlink ref="B15" r:id="rId5" location="/dashboard" xr:uid="{3B6354F8-584C-49B9-A3F9-3140DB145930}"/>
    <hyperlink ref="B16" r:id="rId6" location="/dashboard" xr:uid="{188D58E5-1452-40A9-8769-49E17731E9A2}"/>
    <hyperlink ref="B17" r:id="rId7" location="/dashboard" xr:uid="{B8CCD3D1-38C5-4D6D-9D09-A1DCEDC8C590}"/>
    <hyperlink ref="B18" r:id="rId8" location="/dashboard" xr:uid="{8370FE61-A9BD-44EF-B8CB-82B365B1B66E}"/>
    <hyperlink ref="B19" r:id="rId9" location="/dashboard" xr:uid="{E8DB7C21-172C-4985-BE63-396FF4EC4B46}"/>
    <hyperlink ref="B20" r:id="rId10" location="/dashboard" xr:uid="{DD22DBA3-DBAA-463E-960D-EFAA5DB8320A}"/>
    <hyperlink ref="B21" r:id="rId11" location="/dashboard" xr:uid="{EE5C7572-B1E3-448C-97E9-5C081E1CB0D3}"/>
  </hyperlinks>
  <pageMargins left="0.25" right="0.25" top="0.75" bottom="0.75" header="0.5" footer="0.5"/>
  <pageSetup paperSize="9" orientation="landscape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E40C7-B212-41F9-AF73-1FCA2CB84FD4}">
  <ds:schemaRefs>
    <ds:schemaRef ds:uri="http://schemas.microsoft.com/office/2006/documentManagement/types"/>
    <ds:schemaRef ds:uri="http://purl.org/dc/elements/1.1/"/>
    <ds:schemaRef ds:uri="http://schemas.microsoft.com/sharepoint/v3"/>
    <ds:schemaRef ds:uri="http://schemas.openxmlformats.org/package/2006/metadata/core-properties"/>
    <ds:schemaRef ds:uri="7f39bfab-6331-41a1-b6d4-5b974a316951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ddcd8467-55ca-498e-a9f8-86795db5db7a"/>
  </ds:schemaRefs>
</ds:datastoreItem>
</file>

<file path=customXml/itemProps2.xml><?xml version="1.0" encoding="utf-8"?>
<ds:datastoreItem xmlns:ds="http://schemas.openxmlformats.org/officeDocument/2006/customXml" ds:itemID="{265F9711-7FB2-4EF8-9931-73AD36C392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A6E302-EA34-454E-BF6C-4E17F8769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Service Request</vt:lpstr>
      <vt:lpstr>Sites</vt:lpstr>
      <vt:lpstr>__bookmark_1</vt:lpstr>
      <vt:lpstr>__bookmark_2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Jayasri  Garapati [AGS]</cp:lastModifiedBy>
  <cp:revision/>
  <dcterms:created xsi:type="dcterms:W3CDTF">2025-04-07T04:43:04Z</dcterms:created>
  <dcterms:modified xsi:type="dcterms:W3CDTF">2025-05-11T02:14:32Z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