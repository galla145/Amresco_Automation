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DF20FD87-5635-4998-B506-D2A8C8E4A2F6}" xr6:coauthVersionLast="47" xr6:coauthVersionMax="47" xr10:uidLastSave="{00000000-0000-0000-0000-000000000000}"/>
  <bookViews>
    <workbookView xWindow="-108" yWindow="-108" windowWidth="23256" windowHeight="12456"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9" i="34" l="1"/>
  <c r="H69" i="34"/>
  <c r="G69" i="34"/>
  <c r="E69" i="34"/>
  <c r="D69" i="34"/>
  <c r="C69" i="34"/>
  <c r="I69" i="1"/>
  <c r="H69" i="1"/>
  <c r="F69" i="1"/>
  <c r="G69" i="1"/>
  <c r="E69" i="1"/>
  <c r="D69" i="1"/>
  <c r="C69" i="1"/>
  <c r="C69" i="18"/>
  <c r="D69" i="18"/>
  <c r="E69" i="18"/>
  <c r="I69" i="18"/>
  <c r="H69" i="18"/>
  <c r="G69" i="18"/>
  <c r="F69" i="18"/>
  <c r="H22" i="21"/>
  <c r="I69" i="72"/>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D16" i="18"/>
  <c r="E16" i="18"/>
  <c r="F16" i="18"/>
  <c r="G16" i="18"/>
  <c r="C17" i="18"/>
  <c r="D17" i="18"/>
  <c r="E17" i="18"/>
  <c r="F17" i="18"/>
  <c r="G17" i="18"/>
  <c r="C18" i="18"/>
  <c r="D18" i="18"/>
  <c r="E18" i="18" s="1"/>
  <c r="F18" i="18" s="1"/>
  <c r="G18" i="18"/>
  <c r="C19" i="18"/>
  <c r="D19" i="18"/>
  <c r="G19" i="18"/>
  <c r="H19" i="18"/>
  <c r="H19" i="34" s="1"/>
  <c r="I19" i="18"/>
  <c r="C20" i="18"/>
  <c r="D20" i="18"/>
  <c r="E20" i="18"/>
  <c r="F20" i="18"/>
  <c r="G20" i="18"/>
  <c r="H20" i="18"/>
  <c r="I20" i="18" s="1"/>
  <c r="C21" i="18"/>
  <c r="D21" i="18"/>
  <c r="E21" i="18" s="1"/>
  <c r="F21" i="18" s="1"/>
  <c r="G21" i="18"/>
  <c r="C22" i="18"/>
  <c r="D22" i="18"/>
  <c r="E22" i="18"/>
  <c r="F22" i="18"/>
  <c r="G22" i="18"/>
  <c r="H22" i="18"/>
  <c r="H22" i="34" s="1"/>
  <c r="I22" i="34" s="1"/>
  <c r="I22" i="18"/>
  <c r="C23" i="18"/>
  <c r="C23" i="34" s="1"/>
  <c r="D23" i="18"/>
  <c r="E23" i="18"/>
  <c r="F23" i="18"/>
  <c r="G23" i="18"/>
  <c r="C24" i="18"/>
  <c r="D24" i="18"/>
  <c r="G24" i="18"/>
  <c r="C25" i="18"/>
  <c r="D25" i="18"/>
  <c r="G25" i="18"/>
  <c r="C26" i="18"/>
  <c r="D26" i="18"/>
  <c r="E26" i="18" s="1"/>
  <c r="F26" i="18" s="1"/>
  <c r="G26" i="18"/>
  <c r="G26" i="34" s="1"/>
  <c r="C27" i="18"/>
  <c r="D27" i="18"/>
  <c r="E27" i="18" s="1"/>
  <c r="F27" i="18" s="1"/>
  <c r="G27" i="18"/>
  <c r="C28" i="18"/>
  <c r="D28" i="18"/>
  <c r="E28" i="18"/>
  <c r="F28" i="18"/>
  <c r="G28" i="18"/>
  <c r="G28" i="34" s="1"/>
  <c r="H28" i="18"/>
  <c r="H28" i="34" s="1"/>
  <c r="I28" i="18"/>
  <c r="C29" i="18"/>
  <c r="D29" i="18"/>
  <c r="G29" i="18"/>
  <c r="G29" i="34" s="1"/>
  <c r="C30" i="18"/>
  <c r="D30" i="18"/>
  <c r="G30" i="18"/>
  <c r="C31" i="18"/>
  <c r="D31" i="18"/>
  <c r="E31" i="18"/>
  <c r="F31" i="18"/>
  <c r="G31" i="18"/>
  <c r="G31" i="34" s="1"/>
  <c r="C32" i="18"/>
  <c r="C32" i="34" s="1"/>
  <c r="D32" i="18"/>
  <c r="E32" i="18"/>
  <c r="F32" i="18"/>
  <c r="G32" i="18"/>
  <c r="G32" i="34" s="1"/>
  <c r="C33" i="18"/>
  <c r="D33" i="18"/>
  <c r="G33" i="18"/>
  <c r="C34" i="18"/>
  <c r="D34" i="18"/>
  <c r="E34" i="18"/>
  <c r="F34" i="18" s="1"/>
  <c r="G34" i="18"/>
  <c r="C35" i="18"/>
  <c r="D35" i="18"/>
  <c r="E35" i="18"/>
  <c r="F35" i="18"/>
  <c r="G35" i="18"/>
  <c r="G35" i="34" s="1"/>
  <c r="I35" i="34" s="1"/>
  <c r="H35" i="18"/>
  <c r="I35" i="18"/>
  <c r="C36" i="18"/>
  <c r="D36" i="18"/>
  <c r="G36" i="18"/>
  <c r="C37" i="18"/>
  <c r="D37" i="18"/>
  <c r="E37" i="18"/>
  <c r="F37" i="18" s="1"/>
  <c r="G37" i="18"/>
  <c r="C38" i="18"/>
  <c r="D38" i="18"/>
  <c r="E38" i="18" s="1"/>
  <c r="F38" i="18" s="1"/>
  <c r="G38" i="18"/>
  <c r="C39" i="18"/>
  <c r="D39" i="18"/>
  <c r="G39" i="18"/>
  <c r="C40" i="18"/>
  <c r="D40" i="18"/>
  <c r="G40" i="18"/>
  <c r="C41" i="18"/>
  <c r="D41" i="18"/>
  <c r="E41" i="18"/>
  <c r="F41" i="18"/>
  <c r="G41" i="18"/>
  <c r="C42" i="18"/>
  <c r="D42" i="18"/>
  <c r="G42" i="18"/>
  <c r="C43" i="18"/>
  <c r="D43" i="18"/>
  <c r="G43" i="18"/>
  <c r="C44" i="18"/>
  <c r="C44" i="34" s="1"/>
  <c r="D44" i="18"/>
  <c r="E44" i="18"/>
  <c r="F44" i="18"/>
  <c r="G44" i="18"/>
  <c r="G44" i="34" s="1"/>
  <c r="H44" i="18"/>
  <c r="H44" i="34" s="1"/>
  <c r="I44" i="34" s="1"/>
  <c r="I44" i="18"/>
  <c r="C45" i="18"/>
  <c r="D45" i="18"/>
  <c r="G45" i="18"/>
  <c r="C46" i="18"/>
  <c r="D46" i="18"/>
  <c r="G46" i="18"/>
  <c r="C47" i="18"/>
  <c r="D47" i="18"/>
  <c r="G47" i="18"/>
  <c r="C48" i="18"/>
  <c r="D48" i="18"/>
  <c r="E48" i="18"/>
  <c r="F48" i="18"/>
  <c r="G48" i="18"/>
  <c r="C49" i="18"/>
  <c r="D49" i="18"/>
  <c r="E49" i="18"/>
  <c r="F49" i="18"/>
  <c r="G49" i="18"/>
  <c r="C50" i="18"/>
  <c r="D50" i="18"/>
  <c r="E50" i="18" s="1"/>
  <c r="F50" i="18" s="1"/>
  <c r="G50" i="18"/>
  <c r="C51" i="18"/>
  <c r="D51" i="18"/>
  <c r="E51" i="18" s="1"/>
  <c r="F51" i="18" s="1"/>
  <c r="G51" i="18"/>
  <c r="G51" i="34" s="1"/>
  <c r="H51" i="18"/>
  <c r="H51" i="34" s="1"/>
  <c r="I51" i="18"/>
  <c r="C52" i="18"/>
  <c r="D52" i="18"/>
  <c r="E52" i="18"/>
  <c r="F52" i="18"/>
  <c r="G52" i="18"/>
  <c r="C53" i="18"/>
  <c r="D53" i="18"/>
  <c r="E53" i="18"/>
  <c r="F53" i="18"/>
  <c r="G53" i="18"/>
  <c r="G53" i="34" s="1"/>
  <c r="C54" i="18"/>
  <c r="D54" i="18"/>
  <c r="E54" i="18" s="1"/>
  <c r="F54" i="18" s="1"/>
  <c r="G54" i="18"/>
  <c r="C55" i="18"/>
  <c r="C55" i="34" s="1"/>
  <c r="D55" i="18"/>
  <c r="E55" i="18"/>
  <c r="F55" i="18"/>
  <c r="G55" i="18"/>
  <c r="G55" i="34" s="1"/>
  <c r="H55" i="18"/>
  <c r="H55" i="34" s="1"/>
  <c r="I55" i="34" s="1"/>
  <c r="I55" i="18"/>
  <c r="C56" i="18"/>
  <c r="D56" i="18"/>
  <c r="E56" i="18"/>
  <c r="F56" i="18" s="1"/>
  <c r="G56" i="18"/>
  <c r="C57" i="18"/>
  <c r="D57" i="18"/>
  <c r="G57" i="18"/>
  <c r="C58" i="18"/>
  <c r="C58" i="34" s="1"/>
  <c r="D58" i="18"/>
  <c r="E58" i="18"/>
  <c r="F58" i="18"/>
  <c r="G58" i="18"/>
  <c r="G58" i="34" s="1"/>
  <c r="H58" i="18"/>
  <c r="H58" i="34" s="1"/>
  <c r="I58" i="18"/>
  <c r="C59" i="18"/>
  <c r="D59" i="18"/>
  <c r="E59" i="18"/>
  <c r="F59" i="18"/>
  <c r="G59" i="18"/>
  <c r="C60" i="18"/>
  <c r="D60" i="18"/>
  <c r="E60" i="18"/>
  <c r="F60" i="18"/>
  <c r="G60" i="18"/>
  <c r="G60" i="34" s="1"/>
  <c r="H60" i="18"/>
  <c r="H60" i="34" s="1"/>
  <c r="I60" i="18"/>
  <c r="C61" i="18"/>
  <c r="D61" i="18"/>
  <c r="E61" i="18"/>
  <c r="F61" i="18"/>
  <c r="G61" i="18"/>
  <c r="C62" i="18"/>
  <c r="D62" i="18"/>
  <c r="G62" i="18"/>
  <c r="C63" i="18"/>
  <c r="D63" i="18"/>
  <c r="G63" i="18"/>
  <c r="C64" i="18"/>
  <c r="D64" i="18"/>
  <c r="E64" i="18"/>
  <c r="F64" i="18"/>
  <c r="G64" i="18"/>
  <c r="C65" i="18"/>
  <c r="D65" i="18"/>
  <c r="E65" i="18"/>
  <c r="F65" i="18"/>
  <c r="G65" i="18"/>
  <c r="C66" i="18"/>
  <c r="D66" i="18"/>
  <c r="E66" i="18" s="1"/>
  <c r="F66" i="18" s="1"/>
  <c r="G66" i="18"/>
  <c r="C67" i="18"/>
  <c r="D67" i="18"/>
  <c r="E67" i="18"/>
  <c r="F67" i="18"/>
  <c r="G67" i="18"/>
  <c r="C68" i="18"/>
  <c r="D68" i="18"/>
  <c r="E68" i="18"/>
  <c r="F68" i="18"/>
  <c r="G68" i="18"/>
  <c r="G68" i="34" s="1"/>
  <c r="H68" i="18"/>
  <c r="H68" i="34" s="1"/>
  <c r="I68" i="18"/>
  <c r="I19" i="21"/>
  <c r="I20" i="21"/>
  <c r="I21" i="21"/>
  <c r="I22" i="21"/>
  <c r="I28" i="21"/>
  <c r="I34" i="21"/>
  <c r="I35" i="21"/>
  <c r="I36" i="21"/>
  <c r="I42" i="21"/>
  <c r="I44" i="21"/>
  <c r="I47" i="21"/>
  <c r="I55" i="21"/>
  <c r="I68" i="21"/>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C67" i="29"/>
  <c r="C68" i="29"/>
  <c r="G61" i="29"/>
  <c r="G62" i="29"/>
  <c r="G63" i="29"/>
  <c r="G64" i="29"/>
  <c r="G65" i="29"/>
  <c r="G66" i="29"/>
  <c r="G67" i="29"/>
  <c r="G68" i="29"/>
  <c r="G55" i="29"/>
  <c r="G56" i="29"/>
  <c r="G57" i="29"/>
  <c r="G46" i="29"/>
  <c r="G47" i="29"/>
  <c r="G40" i="29"/>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A3" i="27" a="1"/>
  <c r="A3" i="27"/>
  <c r="H18" i="28"/>
  <c r="H27" i="28"/>
  <c r="H40" i="28"/>
  <c r="H41" i="28"/>
  <c r="H40" i="29"/>
  <c r="H43" i="28"/>
  <c r="H45" i="28"/>
  <c r="H46" i="28"/>
  <c r="H47" i="28"/>
  <c r="H49" i="28"/>
  <c r="H51" i="28"/>
  <c r="H52" i="28"/>
  <c r="H53" i="28"/>
  <c r="H54" i="28"/>
  <c r="H55" i="28"/>
  <c r="H56" i="28"/>
  <c r="H55" i="29"/>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I4" i="27"/>
  <c r="I5" i="27"/>
  <c r="H4" i="27"/>
  <c r="H5" i="27"/>
  <c r="H6" i="27"/>
  <c r="I6" i="27"/>
  <c r="H7" i="27"/>
  <c r="I7" i="27"/>
  <c r="H8" i="27"/>
  <c r="I8" i="27"/>
  <c r="H9" i="27"/>
  <c r="I9" i="27"/>
  <c r="H10" i="27"/>
  <c r="I10"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4" i="27"/>
  <c r="F4" i="27"/>
  <c r="E5" i="27"/>
  <c r="F5" i="27"/>
  <c r="E6" i="27"/>
  <c r="F6" i="27"/>
  <c r="E7" i="27"/>
  <c r="F7" i="27"/>
  <c r="E8" i="27"/>
  <c r="F8" i="27"/>
  <c r="E9" i="27"/>
  <c r="F9" i="27"/>
  <c r="E10" i="27"/>
  <c r="F10" i="27"/>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G63" i="34"/>
  <c r="C64" i="1"/>
  <c r="D64" i="1"/>
  <c r="G64" i="1"/>
  <c r="G64" i="34"/>
  <c r="C65" i="1"/>
  <c r="D65" i="1"/>
  <c r="G65" i="1"/>
  <c r="C66" i="1"/>
  <c r="D66" i="1"/>
  <c r="G66" i="1"/>
  <c r="G66" i="34"/>
  <c r="C67" i="1"/>
  <c r="D67" i="1"/>
  <c r="G67" i="1"/>
  <c r="C68" i="1"/>
  <c r="D68" i="1"/>
  <c r="G68" i="1"/>
  <c r="C26" i="29"/>
  <c r="D26" i="29"/>
  <c r="C27" i="29"/>
  <c r="D27" i="29"/>
  <c r="C28" i="29"/>
  <c r="D28" i="29"/>
  <c r="G28" i="29"/>
  <c r="C29" i="29"/>
  <c r="D29" i="29"/>
  <c r="G29" i="29"/>
  <c r="C30" i="29"/>
  <c r="D30" i="29"/>
  <c r="G30" i="29"/>
  <c r="H30" i="29"/>
  <c r="C31" i="29"/>
  <c r="D31" i="29"/>
  <c r="G31" i="29"/>
  <c r="C32" i="29"/>
  <c r="D32" i="29"/>
  <c r="G32" i="29"/>
  <c r="C33" i="29"/>
  <c r="D33" i="29"/>
  <c r="G33" i="29"/>
  <c r="C34" i="29"/>
  <c r="D34" i="29"/>
  <c r="G34" i="29"/>
  <c r="H34" i="29"/>
  <c r="C35" i="29"/>
  <c r="D35" i="29"/>
  <c r="G35" i="29"/>
  <c r="C36" i="29"/>
  <c r="D36" i="29"/>
  <c r="G36" i="29"/>
  <c r="C37" i="29"/>
  <c r="D37" i="29"/>
  <c r="G37" i="29"/>
  <c r="C38" i="29"/>
  <c r="D38" i="29"/>
  <c r="G38" i="29"/>
  <c r="H38" i="29"/>
  <c r="C39" i="29"/>
  <c r="D39" i="29"/>
  <c r="G39" i="29"/>
  <c r="H39" i="29"/>
  <c r="I39" i="29"/>
  <c r="C40" i="29"/>
  <c r="D40" i="29"/>
  <c r="C41" i="29"/>
  <c r="D41" i="29"/>
  <c r="G41" i="29"/>
  <c r="C42" i="29"/>
  <c r="D42" i="29"/>
  <c r="G42" i="29"/>
  <c r="H42" i="29"/>
  <c r="C43" i="29"/>
  <c r="D43" i="29"/>
  <c r="G43" i="29"/>
  <c r="C44" i="29"/>
  <c r="D44" i="29"/>
  <c r="G44" i="29"/>
  <c r="C45" i="29"/>
  <c r="D45" i="29"/>
  <c r="G45" i="29"/>
  <c r="C46" i="29"/>
  <c r="D46" i="29"/>
  <c r="C47" i="29"/>
  <c r="D47" i="29"/>
  <c r="C48" i="29"/>
  <c r="D48" i="29"/>
  <c r="G48" i="29"/>
  <c r="C49" i="29"/>
  <c r="D49" i="29"/>
  <c r="G49" i="29"/>
  <c r="C50" i="29"/>
  <c r="D50" i="29"/>
  <c r="G50" i="29"/>
  <c r="H50" i="29"/>
  <c r="C51" i="29"/>
  <c r="D51" i="29"/>
  <c r="G51" i="29"/>
  <c r="C52" i="29"/>
  <c r="D52" i="29"/>
  <c r="G52" i="29"/>
  <c r="C53" i="29"/>
  <c r="D53" i="29"/>
  <c r="G53" i="29"/>
  <c r="C54" i="29"/>
  <c r="D54" i="29"/>
  <c r="G54" i="29"/>
  <c r="C55" i="29"/>
  <c r="D55" i="29"/>
  <c r="C56" i="29"/>
  <c r="D56" i="29"/>
  <c r="C57" i="29"/>
  <c r="D57" i="29"/>
  <c r="C58" i="29"/>
  <c r="D58" i="29"/>
  <c r="G58" i="29"/>
  <c r="C59" i="29"/>
  <c r="D59" i="29"/>
  <c r="G59" i="29"/>
  <c r="C60" i="29"/>
  <c r="D60" i="29"/>
  <c r="G60" i="29"/>
  <c r="C61" i="29"/>
  <c r="D61" i="29"/>
  <c r="C62" i="29"/>
  <c r="D62" i="29"/>
  <c r="C63" i="29"/>
  <c r="D63" i="29"/>
  <c r="C64" i="29"/>
  <c r="D64" i="29"/>
  <c r="C65" i="29"/>
  <c r="D65" i="29"/>
  <c r="C66" i="29"/>
  <c r="D66" i="29"/>
  <c r="H66" i="29"/>
  <c r="E26" i="26"/>
  <c r="F26" i="26"/>
  <c r="H26" i="26"/>
  <c r="E27" i="26"/>
  <c r="F27" i="26"/>
  <c r="H27" i="26"/>
  <c r="E28" i="26"/>
  <c r="F28" i="26"/>
  <c r="H28" i="26"/>
  <c r="E29" i="26"/>
  <c r="F29" i="26"/>
  <c r="H29" i="26"/>
  <c r="E30" i="26"/>
  <c r="F30" i="26"/>
  <c r="H30" i="26"/>
  <c r="E31" i="26"/>
  <c r="F31" i="26"/>
  <c r="H31" i="26"/>
  <c r="E32" i="26"/>
  <c r="F32" i="26"/>
  <c r="H32" i="26"/>
  <c r="E33" i="26"/>
  <c r="F33" i="26"/>
  <c r="H33" i="26"/>
  <c r="E34" i="26"/>
  <c r="F34" i="26"/>
  <c r="H34" i="26"/>
  <c r="E35" i="26"/>
  <c r="F35" i="26"/>
  <c r="H35" i="26"/>
  <c r="E36" i="26"/>
  <c r="F36" i="26"/>
  <c r="H36" i="26"/>
  <c r="E37" i="26"/>
  <c r="F37" i="26"/>
  <c r="H37" i="26"/>
  <c r="E38" i="26"/>
  <c r="F38" i="26"/>
  <c r="H38" i="26"/>
  <c r="E39" i="26"/>
  <c r="F39" i="26"/>
  <c r="H39" i="26"/>
  <c r="E40" i="26"/>
  <c r="F40" i="26"/>
  <c r="H40" i="26"/>
  <c r="E41" i="26"/>
  <c r="F41" i="26"/>
  <c r="H41" i="26"/>
  <c r="E42" i="26"/>
  <c r="F42" i="26"/>
  <c r="H42" i="26"/>
  <c r="E43" i="26"/>
  <c r="F43" i="26"/>
  <c r="H43" i="26"/>
  <c r="H43" i="29"/>
  <c r="E44" i="26"/>
  <c r="F44" i="26"/>
  <c r="H44" i="26"/>
  <c r="E45" i="26"/>
  <c r="F45" i="26"/>
  <c r="H45" i="26"/>
  <c r="E46" i="26"/>
  <c r="F46" i="26"/>
  <c r="H46" i="26"/>
  <c r="H46" i="29"/>
  <c r="E47" i="26"/>
  <c r="F47" i="26"/>
  <c r="H47" i="26"/>
  <c r="E48" i="26"/>
  <c r="F48" i="26"/>
  <c r="H48" i="26"/>
  <c r="H48" i="29"/>
  <c r="E49" i="26"/>
  <c r="F49" i="26"/>
  <c r="H49" i="26"/>
  <c r="E50" i="26"/>
  <c r="F50" i="26"/>
  <c r="H50" i="26"/>
  <c r="E51" i="26"/>
  <c r="F51" i="26"/>
  <c r="H51" i="26"/>
  <c r="E52" i="26"/>
  <c r="F52" i="26"/>
  <c r="H52" i="26"/>
  <c r="E53" i="26"/>
  <c r="F53" i="26"/>
  <c r="H53" i="26"/>
  <c r="E54" i="26"/>
  <c r="F54" i="26"/>
  <c r="H54" i="26"/>
  <c r="E55" i="26"/>
  <c r="F55" i="26"/>
  <c r="H55" i="26"/>
  <c r="E56" i="26"/>
  <c r="F56" i="26"/>
  <c r="H56" i="26"/>
  <c r="E57" i="26"/>
  <c r="F57" i="26"/>
  <c r="H57" i="26"/>
  <c r="E58" i="26"/>
  <c r="F58" i="26"/>
  <c r="H58" i="26"/>
  <c r="H58" i="29"/>
  <c r="E59" i="26"/>
  <c r="F59" i="26"/>
  <c r="H59" i="26"/>
  <c r="E60" i="26"/>
  <c r="F60" i="26"/>
  <c r="H60" i="26"/>
  <c r="H60" i="29"/>
  <c r="E61" i="26"/>
  <c r="F61" i="26"/>
  <c r="H61" i="26"/>
  <c r="E62" i="26"/>
  <c r="F62" i="26"/>
  <c r="H62" i="26"/>
  <c r="E63" i="26"/>
  <c r="F63" i="26"/>
  <c r="H63" i="26"/>
  <c r="E64" i="26"/>
  <c r="F64" i="26"/>
  <c r="H64" i="26"/>
  <c r="E65" i="26"/>
  <c r="F65" i="26"/>
  <c r="H65" i="26"/>
  <c r="E66" i="26"/>
  <c r="F66" i="26"/>
  <c r="H66" i="26"/>
  <c r="E67" i="26"/>
  <c r="F67" i="26"/>
  <c r="H67" i="26"/>
  <c r="E68" i="26"/>
  <c r="F68" i="26"/>
  <c r="H68" i="26"/>
  <c r="E26" i="19"/>
  <c r="H26" i="19"/>
  <c r="E27" i="19"/>
  <c r="H27" i="19"/>
  <c r="E28" i="19"/>
  <c r="H28" i="19"/>
  <c r="E29" i="19"/>
  <c r="H29" i="19"/>
  <c r="E30" i="19"/>
  <c r="H30" i="19"/>
  <c r="E31" i="19"/>
  <c r="H31" i="19"/>
  <c r="E32" i="19"/>
  <c r="H32" i="19"/>
  <c r="E33" i="19"/>
  <c r="H33" i="19"/>
  <c r="E34" i="19"/>
  <c r="H34" i="19"/>
  <c r="E35" i="19"/>
  <c r="H35" i="19"/>
  <c r="E36" i="19"/>
  <c r="H36" i="19"/>
  <c r="E37" i="19"/>
  <c r="H37" i="19"/>
  <c r="E38" i="19"/>
  <c r="H38" i="19"/>
  <c r="E39" i="19"/>
  <c r="H39" i="19"/>
  <c r="E40" i="19"/>
  <c r="H40" i="19"/>
  <c r="E41" i="19"/>
  <c r="H41" i="19"/>
  <c r="E42" i="19"/>
  <c r="H42" i="19"/>
  <c r="E43" i="19"/>
  <c r="H43" i="19"/>
  <c r="E44" i="19"/>
  <c r="H44" i="19"/>
  <c r="E45" i="19"/>
  <c r="H45" i="19"/>
  <c r="E46" i="19"/>
  <c r="H46" i="19"/>
  <c r="E47" i="19"/>
  <c r="H47" i="19"/>
  <c r="E48" i="19"/>
  <c r="H48" i="19"/>
  <c r="E49" i="19"/>
  <c r="H49" i="19"/>
  <c r="E50" i="19"/>
  <c r="H50" i="19"/>
  <c r="E51" i="19"/>
  <c r="H51" i="19"/>
  <c r="E52" i="19"/>
  <c r="H52" i="19"/>
  <c r="E53" i="19"/>
  <c r="H53" i="19"/>
  <c r="E54" i="19"/>
  <c r="H54" i="19"/>
  <c r="E55" i="19"/>
  <c r="H55" i="19"/>
  <c r="E56" i="19"/>
  <c r="H56" i="19"/>
  <c r="E57" i="19"/>
  <c r="H57" i="19"/>
  <c r="E58" i="19"/>
  <c r="H58" i="19"/>
  <c r="E59" i="19"/>
  <c r="H59" i="19"/>
  <c r="E60" i="19"/>
  <c r="H60" i="19"/>
  <c r="E61" i="19"/>
  <c r="H61" i="19"/>
  <c r="E62" i="19"/>
  <c r="H62" i="19"/>
  <c r="E63" i="19"/>
  <c r="H63" i="19"/>
  <c r="E64" i="19"/>
  <c r="H64" i="19"/>
  <c r="E65" i="19"/>
  <c r="H65" i="19"/>
  <c r="E66" i="19"/>
  <c r="H66" i="19"/>
  <c r="E67" i="19"/>
  <c r="H67" i="19"/>
  <c r="E68" i="19"/>
  <c r="H68" i="19"/>
  <c r="E26" i="20"/>
  <c r="H26" i="20"/>
  <c r="E27" i="20"/>
  <c r="H27" i="20"/>
  <c r="E28" i="20"/>
  <c r="H28" i="20"/>
  <c r="E29" i="20"/>
  <c r="H29" i="20"/>
  <c r="E30" i="20"/>
  <c r="H30" i="20"/>
  <c r="E31" i="20"/>
  <c r="H31" i="20"/>
  <c r="E32" i="20"/>
  <c r="H32" i="20"/>
  <c r="E33" i="20"/>
  <c r="H33" i="20"/>
  <c r="E34" i="20"/>
  <c r="H34" i="20"/>
  <c r="E35" i="20"/>
  <c r="H35" i="20"/>
  <c r="E36" i="20"/>
  <c r="H36" i="20"/>
  <c r="E37" i="20"/>
  <c r="H37" i="20"/>
  <c r="E38" i="20"/>
  <c r="H38" i="20"/>
  <c r="E39" i="20"/>
  <c r="H39" i="20"/>
  <c r="E40" i="20"/>
  <c r="H40" i="20"/>
  <c r="E41" i="20"/>
  <c r="H41" i="20"/>
  <c r="E42" i="20"/>
  <c r="H42" i="20"/>
  <c r="E43" i="20"/>
  <c r="H43" i="20"/>
  <c r="E44" i="20"/>
  <c r="H44" i="20"/>
  <c r="E45" i="20"/>
  <c r="H45" i="20"/>
  <c r="E46" i="20"/>
  <c r="H46" i="20"/>
  <c r="E47" i="20"/>
  <c r="H47" i="20"/>
  <c r="E48" i="20"/>
  <c r="H48" i="20"/>
  <c r="E49" i="20"/>
  <c r="H49" i="20"/>
  <c r="E50" i="20"/>
  <c r="H50" i="20"/>
  <c r="E51" i="20"/>
  <c r="H51" i="20"/>
  <c r="E52" i="20"/>
  <c r="H52" i="20"/>
  <c r="E53" i="20"/>
  <c r="H53" i="20"/>
  <c r="E54" i="20"/>
  <c r="H54" i="20"/>
  <c r="E55" i="20"/>
  <c r="H55" i="20"/>
  <c r="E56" i="20"/>
  <c r="H56" i="20"/>
  <c r="E57" i="20"/>
  <c r="H57" i="20"/>
  <c r="E58" i="20"/>
  <c r="H58" i="20"/>
  <c r="E59" i="20"/>
  <c r="H59" i="20"/>
  <c r="E60" i="20"/>
  <c r="H60" i="20"/>
  <c r="E61" i="20"/>
  <c r="H61" i="20"/>
  <c r="E62" i="20"/>
  <c r="H62" i="20"/>
  <c r="E63" i="20"/>
  <c r="H63" i="20"/>
  <c r="E64" i="20"/>
  <c r="H64" i="20"/>
  <c r="E65" i="20"/>
  <c r="H65" i="20"/>
  <c r="E66" i="20"/>
  <c r="H66" i="20"/>
  <c r="E67" i="20"/>
  <c r="H67" i="20"/>
  <c r="E68" i="20"/>
  <c r="H68" i="20"/>
  <c r="E26" i="21"/>
  <c r="F26" i="21"/>
  <c r="H26" i="21"/>
  <c r="H26" i="18" s="1"/>
  <c r="E27" i="21"/>
  <c r="F27" i="21" s="1"/>
  <c r="H27" i="21"/>
  <c r="I27" i="21" s="1"/>
  <c r="E28" i="21"/>
  <c r="F28" i="21"/>
  <c r="H28" i="21"/>
  <c r="E29" i="21"/>
  <c r="F29" i="21"/>
  <c r="H29" i="21"/>
  <c r="I29" i="21" s="1"/>
  <c r="E30" i="21"/>
  <c r="F30" i="21"/>
  <c r="H30" i="21"/>
  <c r="H30" i="18" s="1"/>
  <c r="E31" i="21"/>
  <c r="F31" i="21"/>
  <c r="H31" i="21"/>
  <c r="H31" i="18" s="1"/>
  <c r="E32" i="21"/>
  <c r="F32" i="21"/>
  <c r="H32" i="21"/>
  <c r="H32" i="18" s="1"/>
  <c r="E33" i="21"/>
  <c r="F33" i="21"/>
  <c r="H33" i="21"/>
  <c r="I33" i="21" s="1"/>
  <c r="E34" i="21"/>
  <c r="F34" i="21"/>
  <c r="H34" i="21"/>
  <c r="H34" i="18" s="1"/>
  <c r="E35" i="21"/>
  <c r="F35" i="21"/>
  <c r="H35" i="21"/>
  <c r="E36" i="21"/>
  <c r="F36" i="21"/>
  <c r="H36" i="21"/>
  <c r="H36" i="18" s="1"/>
  <c r="E37" i="21"/>
  <c r="F37" i="21"/>
  <c r="H37" i="21"/>
  <c r="I37" i="21" s="1"/>
  <c r="E38" i="21"/>
  <c r="F38" i="21"/>
  <c r="H38" i="21"/>
  <c r="H38" i="18" s="1"/>
  <c r="E39" i="21"/>
  <c r="F39" i="21"/>
  <c r="H39" i="21"/>
  <c r="I39" i="21" s="1"/>
  <c r="E40" i="21"/>
  <c r="F40" i="21"/>
  <c r="H40" i="21"/>
  <c r="I40" i="21" s="1"/>
  <c r="E41" i="21"/>
  <c r="F41" i="21"/>
  <c r="H41" i="21"/>
  <c r="E42" i="21"/>
  <c r="F42" i="21" s="1"/>
  <c r="H42" i="21"/>
  <c r="H42" i="18" s="1"/>
  <c r="E43" i="21"/>
  <c r="F43" i="21" s="1"/>
  <c r="H43" i="21"/>
  <c r="I43" i="21" s="1"/>
  <c r="E44" i="21"/>
  <c r="F44" i="21" s="1"/>
  <c r="H44" i="21"/>
  <c r="E45" i="21"/>
  <c r="F45" i="21" s="1"/>
  <c r="H45" i="21"/>
  <c r="H45" i="18" s="1"/>
  <c r="E46" i="21"/>
  <c r="F46" i="21" s="1"/>
  <c r="H46" i="21"/>
  <c r="I46" i="21" s="1"/>
  <c r="E47" i="21"/>
  <c r="F47" i="21" s="1"/>
  <c r="H47" i="21"/>
  <c r="H47" i="18" s="1"/>
  <c r="E48" i="21"/>
  <c r="F48" i="21"/>
  <c r="H48" i="21"/>
  <c r="E49" i="21"/>
  <c r="F49" i="21"/>
  <c r="H49" i="21"/>
  <c r="E50" i="21"/>
  <c r="F50" i="21"/>
  <c r="H50" i="21"/>
  <c r="E51" i="21"/>
  <c r="F51" i="21" s="1"/>
  <c r="H51" i="21"/>
  <c r="I51" i="21" s="1"/>
  <c r="E52" i="21"/>
  <c r="F52" i="21"/>
  <c r="H52" i="21"/>
  <c r="E53" i="21"/>
  <c r="F53" i="21"/>
  <c r="H53" i="21"/>
  <c r="H53" i="18" s="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H61" i="18" s="1"/>
  <c r="E62" i="21"/>
  <c r="F62" i="21" s="1"/>
  <c r="H62" i="21"/>
  <c r="H62" i="18" s="1"/>
  <c r="E63" i="21"/>
  <c r="F63" i="21"/>
  <c r="H63" i="21"/>
  <c r="I63" i="21" s="1"/>
  <c r="E64" i="21"/>
  <c r="F64" i="21"/>
  <c r="H64" i="21"/>
  <c r="H64" i="18" s="1"/>
  <c r="E65" i="21"/>
  <c r="F65" i="21"/>
  <c r="H65" i="21"/>
  <c r="E66" i="21"/>
  <c r="F66" i="21"/>
  <c r="H66" i="21"/>
  <c r="E67" i="21"/>
  <c r="F67" i="2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E31"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21" i="29"/>
  <c r="G22" i="29"/>
  <c r="G23" i="29"/>
  <c r="G24" i="29"/>
  <c r="G25" i="29"/>
  <c r="G4" i="29"/>
  <c r="D4" i="29"/>
  <c r="H25" i="26"/>
  <c r="E25" i="26"/>
  <c r="F25" i="26"/>
  <c r="H24" i="26"/>
  <c r="H24" i="29"/>
  <c r="E24" i="26"/>
  <c r="F24" i="26"/>
  <c r="H23" i="26"/>
  <c r="E23" i="26"/>
  <c r="F23" i="26"/>
  <c r="H22" i="26"/>
  <c r="E22" i="26"/>
  <c r="F22" i="26"/>
  <c r="H21" i="26"/>
  <c r="E21" i="26"/>
  <c r="F21" i="26"/>
  <c r="H20" i="26"/>
  <c r="E20" i="26"/>
  <c r="F20" i="26"/>
  <c r="H19" i="26"/>
  <c r="E19" i="26"/>
  <c r="F19" i="26"/>
  <c r="H18" i="26"/>
  <c r="H18" i="29"/>
  <c r="E18" i="26"/>
  <c r="F18" i="26"/>
  <c r="G25" i="1"/>
  <c r="H18" i="19"/>
  <c r="H19" i="19"/>
  <c r="H20" i="19"/>
  <c r="H21" i="19"/>
  <c r="H22" i="19"/>
  <c r="H23" i="19"/>
  <c r="H24" i="19"/>
  <c r="H25" i="19"/>
  <c r="E18" i="19"/>
  <c r="E19" i="19"/>
  <c r="E20" i="19"/>
  <c r="E21" i="19"/>
  <c r="E22" i="19"/>
  <c r="E23" i="19"/>
  <c r="E24" i="19"/>
  <c r="E25" i="19"/>
  <c r="E18" i="20"/>
  <c r="E19" i="20"/>
  <c r="E20" i="20"/>
  <c r="E21" i="20"/>
  <c r="E22" i="20"/>
  <c r="E23" i="20"/>
  <c r="E24" i="20"/>
  <c r="E25" i="20"/>
  <c r="H18" i="20"/>
  <c r="H19" i="20"/>
  <c r="H20" i="20"/>
  <c r="H21" i="20"/>
  <c r="H22" i="20"/>
  <c r="H23" i="20"/>
  <c r="H24" i="20"/>
  <c r="H25" i="20"/>
  <c r="G4" i="18"/>
  <c r="G4" i="34" s="1"/>
  <c r="G6" i="18"/>
  <c r="G7" i="18"/>
  <c r="G8" i="18"/>
  <c r="G9" i="18"/>
  <c r="G9" i="34" s="1"/>
  <c r="I9" i="34" s="1"/>
  <c r="G10" i="18"/>
  <c r="G11" i="18"/>
  <c r="G12" i="18"/>
  <c r="G12" i="34" s="1"/>
  <c r="G13" i="18"/>
  <c r="G14" i="18"/>
  <c r="G14" i="34" s="1"/>
  <c r="G15" i="18"/>
  <c r="G15" i="34" s="1"/>
  <c r="G5" i="18"/>
  <c r="G4" i="1"/>
  <c r="H18" i="21"/>
  <c r="I18" i="21" s="1"/>
  <c r="H19" i="21"/>
  <c r="H20" i="21"/>
  <c r="H21" i="21"/>
  <c r="H21" i="18" s="1"/>
  <c r="H23" i="21"/>
  <c r="H23" i="18" s="1"/>
  <c r="H24" i="21"/>
  <c r="H24" i="18" s="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C19" i="29"/>
  <c r="D19" i="29"/>
  <c r="H19" i="29"/>
  <c r="C20" i="29"/>
  <c r="D20" i="29"/>
  <c r="C21" i="29"/>
  <c r="D21" i="29"/>
  <c r="H21" i="29"/>
  <c r="C22" i="29"/>
  <c r="D22" i="29"/>
  <c r="H22" i="29"/>
  <c r="C23" i="29"/>
  <c r="D23" i="29"/>
  <c r="C24" i="29"/>
  <c r="C24" i="1"/>
  <c r="D24" i="29"/>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G17" i="34"/>
  <c r="H16" i="33"/>
  <c r="E16" i="33"/>
  <c r="F16" i="33"/>
  <c r="H17" i="32"/>
  <c r="E17" i="32"/>
  <c r="F17" i="32"/>
  <c r="H16" i="32"/>
  <c r="E16" i="32"/>
  <c r="F16" i="32"/>
  <c r="E17" i="31"/>
  <c r="F17" i="31"/>
  <c r="H16" i="31"/>
  <c r="E16" i="31"/>
  <c r="F16" i="31"/>
  <c r="H17" i="28"/>
  <c r="E17" i="28"/>
  <c r="F17" i="28"/>
  <c r="H16" i="28"/>
  <c r="E16" i="28"/>
  <c r="F16" i="28"/>
  <c r="H17" i="27"/>
  <c r="E17" i="27"/>
  <c r="F17" i="27"/>
  <c r="H16" i="27"/>
  <c r="E16" i="27"/>
  <c r="F16" i="27"/>
  <c r="H17" i="26"/>
  <c r="E17" i="26"/>
  <c r="F17" i="26"/>
  <c r="H16" i="26"/>
  <c r="E16" i="26"/>
  <c r="F16" i="26"/>
  <c r="H17" i="19"/>
  <c r="E17" i="19"/>
  <c r="F17" i="19"/>
  <c r="H16" i="19"/>
  <c r="E16" i="19"/>
  <c r="F16" i="19"/>
  <c r="H17" i="20"/>
  <c r="E17" i="20"/>
  <c r="F17" i="20"/>
  <c r="H16" i="20"/>
  <c r="E16" i="20"/>
  <c r="F16" i="20"/>
  <c r="H17" i="21"/>
  <c r="H17" i="18" s="1"/>
  <c r="E17" i="21"/>
  <c r="F17" i="21"/>
  <c r="H16" i="21"/>
  <c r="H16" i="18" s="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c r="A4" i="19" a="1"/>
  <c r="A4" i="19"/>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C15" i="18"/>
  <c r="E15" i="18" s="1"/>
  <c r="F15" i="18" s="1"/>
  <c r="D14" i="18"/>
  <c r="C14" i="18"/>
  <c r="C14" i="34" s="1"/>
  <c r="D13" i="18"/>
  <c r="C13" i="18"/>
  <c r="D12" i="18"/>
  <c r="C12" i="18"/>
  <c r="E12" i="18"/>
  <c r="F12" i="18" s="1"/>
  <c r="D11" i="18"/>
  <c r="C11" i="18"/>
  <c r="E11" i="18"/>
  <c r="F11" i="18"/>
  <c r="D10" i="18"/>
  <c r="C10" i="18"/>
  <c r="E10" i="18" s="1"/>
  <c r="F10" i="18" s="1"/>
  <c r="D9" i="18"/>
  <c r="C9" i="18"/>
  <c r="E9" i="18" s="1"/>
  <c r="F9" i="18" s="1"/>
  <c r="D8" i="18"/>
  <c r="C8" i="18"/>
  <c r="D7" i="18"/>
  <c r="C7" i="18"/>
  <c r="E7" i="18" s="1"/>
  <c r="F7" i="18" s="1"/>
  <c r="D6" i="18"/>
  <c r="C6" i="18"/>
  <c r="E6" i="18"/>
  <c r="F6" i="18"/>
  <c r="D5" i="18"/>
  <c r="C5" i="18"/>
  <c r="C5" i="34" s="1"/>
  <c r="D4" i="18"/>
  <c r="C4" i="18"/>
  <c r="E4" i="18" s="1"/>
  <c r="F4" i="18" s="1"/>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H4" i="29"/>
  <c r="E4" i="28"/>
  <c r="F4" i="28"/>
  <c r="B4" i="28" a="1"/>
  <c r="B4" i="28"/>
  <c r="A4" i="28" a="1"/>
  <c r="A4" i="28"/>
  <c r="G2" i="28"/>
  <c r="D2" i="28"/>
  <c r="C2" i="28"/>
  <c r="J2" i="28"/>
  <c r="A1" i="28" a="1"/>
  <c r="A1" i="28"/>
  <c r="H15" i="27"/>
  <c r="I15" i="27"/>
  <c r="E15" i="27"/>
  <c r="F15" i="27"/>
  <c r="H14" i="27"/>
  <c r="I14" i="27"/>
  <c r="E14" i="27"/>
  <c r="F14" i="27"/>
  <c r="H13" i="27"/>
  <c r="I13" i="27"/>
  <c r="E13" i="27"/>
  <c r="F13" i="27"/>
  <c r="H12" i="27"/>
  <c r="I12" i="27"/>
  <c r="E12" i="27"/>
  <c r="F12" i="27"/>
  <c r="H11" i="27"/>
  <c r="I11" i="27"/>
  <c r="E11" i="27"/>
  <c r="F11" i="27"/>
  <c r="G2" i="27"/>
  <c r="D2" i="27"/>
  <c r="C2" i="27"/>
  <c r="A1" i="27" a="1"/>
  <c r="A1" i="27"/>
  <c r="H15" i="26"/>
  <c r="E15" i="26"/>
  <c r="F15" i="26"/>
  <c r="H14" i="26"/>
  <c r="I14" i="26"/>
  <c r="E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J2" i="26"/>
  <c r="A1" i="26" a="1"/>
  <c r="A1" i="26"/>
  <c r="H15" i="19"/>
  <c r="I15" i="19"/>
  <c r="E15" i="19"/>
  <c r="F15" i="19"/>
  <c r="H14" i="19"/>
  <c r="I14" i="19"/>
  <c r="E14" i="19"/>
  <c r="F14" i="19"/>
  <c r="H13" i="19"/>
  <c r="I13" i="19"/>
  <c r="E13" i="19"/>
  <c r="F13" i="19"/>
  <c r="H12" i="19"/>
  <c r="I12" i="19"/>
  <c r="E12" i="19"/>
  <c r="F12" i="19"/>
  <c r="H11" i="19"/>
  <c r="I11" i="19"/>
  <c r="E11" i="19"/>
  <c r="F11" i="19"/>
  <c r="H10" i="19"/>
  <c r="I10" i="19"/>
  <c r="E10" i="19"/>
  <c r="F10" i="19"/>
  <c r="H9" i="19"/>
  <c r="I9" i="19"/>
  <c r="E9" i="19"/>
  <c r="F9" i="19"/>
  <c r="H8" i="19"/>
  <c r="I8" i="19"/>
  <c r="E8" i="19"/>
  <c r="F8" i="19"/>
  <c r="H7" i="19"/>
  <c r="I7" i="19"/>
  <c r="E7" i="19"/>
  <c r="F7" i="19"/>
  <c r="H6" i="19"/>
  <c r="I6" i="19"/>
  <c r="E6" i="19"/>
  <c r="F6" i="19"/>
  <c r="H5" i="19"/>
  <c r="I5" i="19"/>
  <c r="E5" i="19"/>
  <c r="F5" i="19"/>
  <c r="H4" i="19"/>
  <c r="I4" i="19"/>
  <c r="E4" i="19"/>
  <c r="F4" i="19"/>
  <c r="G2" i="19"/>
  <c r="D2" i="19"/>
  <c r="C2" i="19"/>
  <c r="H2" i="19"/>
  <c r="I2" i="19"/>
  <c r="A1" i="19" a="1"/>
  <c r="A1" i="19"/>
  <c r="H15" i="20"/>
  <c r="I15" i="20"/>
  <c r="E15" i="20"/>
  <c r="F15" i="20"/>
  <c r="H14" i="20"/>
  <c r="I14" i="20"/>
  <c r="E14" i="20"/>
  <c r="F14" i="20"/>
  <c r="H13" i="20"/>
  <c r="I13" i="20"/>
  <c r="E13" i="20"/>
  <c r="F13" i="20"/>
  <c r="H12" i="20"/>
  <c r="I12" i="20"/>
  <c r="E12" i="20"/>
  <c r="F12" i="20"/>
  <c r="H11" i="20"/>
  <c r="I11" i="20"/>
  <c r="E11" i="20"/>
  <c r="F11" i="20"/>
  <c r="H10" i="20"/>
  <c r="I10" i="20"/>
  <c r="E10" i="20"/>
  <c r="F10" i="20"/>
  <c r="H9" i="20"/>
  <c r="I9" i="20"/>
  <c r="E9" i="20"/>
  <c r="F9" i="20"/>
  <c r="H8" i="20"/>
  <c r="I8" i="20"/>
  <c r="E8" i="20"/>
  <c r="F8" i="20"/>
  <c r="H7" i="20"/>
  <c r="I7" i="20"/>
  <c r="E7" i="20"/>
  <c r="F7" i="20"/>
  <c r="H6" i="20"/>
  <c r="I6" i="20"/>
  <c r="E6" i="20"/>
  <c r="F6" i="20"/>
  <c r="H5" i="20"/>
  <c r="I5" i="20"/>
  <c r="E5" i="20"/>
  <c r="F5" i="20"/>
  <c r="H4" i="20"/>
  <c r="I4" i="20"/>
  <c r="E4" i="20"/>
  <c r="F4" i="20"/>
  <c r="G2" i="20"/>
  <c r="D2" i="20"/>
  <c r="C2" i="20"/>
  <c r="H2" i="20"/>
  <c r="I2" i="20"/>
  <c r="A1" i="20" a="1"/>
  <c r="A1" i="20"/>
  <c r="H15" i="21"/>
  <c r="I15" i="21" s="1"/>
  <c r="E15" i="21"/>
  <c r="F15" i="21"/>
  <c r="H14" i="21"/>
  <c r="H14" i="18" s="1"/>
  <c r="I14" i="21"/>
  <c r="E14" i="21"/>
  <c r="F14" i="21"/>
  <c r="H13" i="21"/>
  <c r="H13" i="18" s="1"/>
  <c r="E13" i="21"/>
  <c r="F13" i="21"/>
  <c r="H12" i="21"/>
  <c r="H12" i="18" s="1"/>
  <c r="I12" i="21"/>
  <c r="E12" i="21"/>
  <c r="F12" i="21"/>
  <c r="H11" i="21"/>
  <c r="H11" i="18" s="1"/>
  <c r="I11" i="21"/>
  <c r="E11" i="21"/>
  <c r="F11" i="21"/>
  <c r="H10" i="21"/>
  <c r="H10" i="18" s="1"/>
  <c r="E10" i="21"/>
  <c r="F10" i="21" s="1"/>
  <c r="H9" i="21"/>
  <c r="I9" i="21"/>
  <c r="E9" i="21"/>
  <c r="F9" i="21"/>
  <c r="H8" i="21"/>
  <c r="I8" i="21"/>
  <c r="E8" i="21"/>
  <c r="F8" i="21"/>
  <c r="H7" i="21"/>
  <c r="I7" i="21" s="1"/>
  <c r="H7" i="18"/>
  <c r="I7" i="18" s="1"/>
  <c r="E7" i="21"/>
  <c r="F7" i="21"/>
  <c r="H6" i="21"/>
  <c r="I6" i="21"/>
  <c r="E6" i="21"/>
  <c r="F6" i="21"/>
  <c r="H5" i="21"/>
  <c r="I5" i="21" s="1"/>
  <c r="H5" i="18"/>
  <c r="H5" i="34" s="1"/>
  <c r="I5" i="34" s="1"/>
  <c r="I5" i="18"/>
  <c r="E5" i="21"/>
  <c r="F5" i="21"/>
  <c r="H4" i="21"/>
  <c r="H4" i="18" s="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E10" i="4"/>
  <c r="F10" i="4"/>
  <c r="H9" i="4"/>
  <c r="I9" i="4"/>
  <c r="E9" i="4"/>
  <c r="F9" i="4"/>
  <c r="H8" i="4"/>
  <c r="I8" i="4"/>
  <c r="E8" i="4"/>
  <c r="F8" i="4"/>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E13" i="18"/>
  <c r="F13" i="18"/>
  <c r="E8" i="18"/>
  <c r="F8" i="18"/>
  <c r="H2" i="32"/>
  <c r="I2" i="32"/>
  <c r="J2" i="32"/>
  <c r="J2" i="31"/>
  <c r="I6" i="26"/>
  <c r="I9" i="26"/>
  <c r="I12" i="26"/>
  <c r="I15" i="26"/>
  <c r="H5" i="29"/>
  <c r="I7" i="26"/>
  <c r="H9" i="18"/>
  <c r="I9" i="18" s="1"/>
  <c r="E2" i="32"/>
  <c r="F2" i="32"/>
  <c r="E2" i="26"/>
  <c r="F2" i="26"/>
  <c r="E2" i="19"/>
  <c r="F2" i="19"/>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G40" i="34"/>
  <c r="G47" i="34"/>
  <c r="D2" i="18"/>
  <c r="H2" i="3"/>
  <c r="I2" i="3"/>
  <c r="H44" i="1"/>
  <c r="I44" i="1"/>
  <c r="H26" i="1"/>
  <c r="I26" i="1"/>
  <c r="H9" i="1"/>
  <c r="I9" i="1"/>
  <c r="H2" i="26"/>
  <c r="I2" i="26"/>
  <c r="H17" i="1"/>
  <c r="I17" i="1"/>
  <c r="H17" i="29"/>
  <c r="I17" i="29"/>
  <c r="I11" i="4"/>
  <c r="H59" i="1"/>
  <c r="I59" i="1"/>
  <c r="E61" i="1"/>
  <c r="F61" i="1"/>
  <c r="H11" i="30"/>
  <c r="H51" i="1"/>
  <c r="I51" i="1"/>
  <c r="H47" i="1"/>
  <c r="I47" i="1"/>
  <c r="H29" i="1"/>
  <c r="I29" i="1"/>
  <c r="H12" i="1"/>
  <c r="I12" i="1"/>
  <c r="H8" i="18"/>
  <c r="H8" i="34" s="1"/>
  <c r="I8" i="18"/>
  <c r="H8" i="29"/>
  <c r="I8" i="29"/>
  <c r="E2" i="33"/>
  <c r="F2" i="33"/>
  <c r="H35" i="1"/>
  <c r="I35" i="1"/>
  <c r="H12" i="30"/>
  <c r="H32" i="1"/>
  <c r="I32" i="1"/>
  <c r="E66" i="1"/>
  <c r="F66" i="1"/>
  <c r="H54" i="1"/>
  <c r="I54" i="1"/>
  <c r="H65" i="1"/>
  <c r="I65" i="1"/>
  <c r="H53" i="1"/>
  <c r="I53" i="1"/>
  <c r="H65" i="29"/>
  <c r="H56" i="29"/>
  <c r="I56" i="29"/>
  <c r="D47" i="34"/>
  <c r="H62" i="1"/>
  <c r="I62" i="1"/>
  <c r="E2" i="20"/>
  <c r="F2" i="20"/>
  <c r="H2" i="72"/>
  <c r="I2" i="72"/>
  <c r="E10" i="1"/>
  <c r="F10" i="1"/>
  <c r="J2" i="19"/>
  <c r="I4" i="28"/>
  <c r="H61" i="1"/>
  <c r="I61" i="1"/>
  <c r="H42" i="1"/>
  <c r="I42" i="1"/>
  <c r="H64" i="1"/>
  <c r="I64" i="1"/>
  <c r="H38" i="1"/>
  <c r="I38" i="1"/>
  <c r="J2" i="20"/>
  <c r="H50" i="1"/>
  <c r="I50" i="1"/>
  <c r="H54" i="29"/>
  <c r="H63" i="1"/>
  <c r="I63" i="1"/>
  <c r="H58" i="1"/>
  <c r="I58" i="1"/>
  <c r="E2" i="3"/>
  <c r="F2" i="3"/>
  <c r="J2" i="4"/>
  <c r="E2" i="4"/>
  <c r="F2" i="4"/>
  <c r="H5" i="1"/>
  <c r="I5" i="1"/>
  <c r="H6" i="18"/>
  <c r="H6" i="34" s="1"/>
  <c r="I6" i="34" s="1"/>
  <c r="I6" i="18"/>
  <c r="H15" i="29"/>
  <c r="I15" i="29"/>
  <c r="H68" i="1"/>
  <c r="I68" i="1"/>
  <c r="H56" i="1"/>
  <c r="I56" i="1"/>
  <c r="I41" i="1"/>
  <c r="H66" i="1"/>
  <c r="I66" i="1"/>
  <c r="H10" i="30"/>
  <c r="H15" i="30"/>
  <c r="H60" i="1"/>
  <c r="I60" i="1"/>
  <c r="H68" i="29"/>
  <c r="I68" i="29"/>
  <c r="H32" i="29"/>
  <c r="H40" i="1"/>
  <c r="I40" i="1"/>
  <c r="E68" i="1"/>
  <c r="F68" i="1"/>
  <c r="G56" i="34"/>
  <c r="H49" i="1"/>
  <c r="I49" i="1"/>
  <c r="H46" i="1"/>
  <c r="I46" i="1"/>
  <c r="H59" i="29"/>
  <c r="I59" i="29"/>
  <c r="H26" i="29"/>
  <c r="I26" i="29"/>
  <c r="H67" i="29"/>
  <c r="I67" i="29"/>
  <c r="H62" i="29"/>
  <c r="E32" i="1"/>
  <c r="F32" i="1"/>
  <c r="H48" i="1"/>
  <c r="I48" i="1"/>
  <c r="H39" i="1"/>
  <c r="I39" i="1"/>
  <c r="H36" i="1"/>
  <c r="I36" i="1"/>
  <c r="H27" i="1"/>
  <c r="I27" i="1"/>
  <c r="G67" i="34"/>
  <c r="G65" i="34"/>
  <c r="H33" i="29"/>
  <c r="G62" i="34"/>
  <c r="G61" i="34"/>
  <c r="H51" i="29"/>
  <c r="H27" i="29"/>
  <c r="H64" i="29"/>
  <c r="H25" i="29"/>
  <c r="D68" i="34"/>
  <c r="G8" i="34"/>
  <c r="I11" i="33"/>
  <c r="C47" i="34"/>
  <c r="E47" i="34" s="1"/>
  <c r="F47" i="34" s="1"/>
  <c r="D44" i="34"/>
  <c r="I10" i="33"/>
  <c r="E11" i="30"/>
  <c r="F11" i="30"/>
  <c r="D22" i="34"/>
  <c r="E8" i="30"/>
  <c r="F8" i="30"/>
  <c r="H16" i="30"/>
  <c r="G34" i="34"/>
  <c r="G50" i="34"/>
  <c r="H2" i="33"/>
  <c r="I2" i="33"/>
  <c r="G13" i="34"/>
  <c r="D35" i="34"/>
  <c r="I11" i="30"/>
  <c r="C54" i="34"/>
  <c r="I10" i="30"/>
  <c r="H8" i="30"/>
  <c r="H5" i="30"/>
  <c r="H4" i="30"/>
  <c r="I7" i="33"/>
  <c r="H13" i="30"/>
  <c r="I13" i="30"/>
  <c r="H9" i="30"/>
  <c r="I9" i="30"/>
  <c r="J2" i="33"/>
  <c r="E7" i="30"/>
  <c r="F7" i="30"/>
  <c r="C39" i="34"/>
  <c r="D34" i="34"/>
  <c r="G19" i="34"/>
  <c r="G52" i="34"/>
  <c r="D38" i="34"/>
  <c r="C38" i="34"/>
  <c r="E38" i="34" s="1"/>
  <c r="F38" i="34" s="1"/>
  <c r="C30" i="34"/>
  <c r="G42" i="34"/>
  <c r="D30" i="34"/>
  <c r="D66" i="34"/>
  <c r="G43" i="34"/>
  <c r="D6" i="34"/>
  <c r="C17" i="34"/>
  <c r="G39" i="34"/>
  <c r="E14" i="30"/>
  <c r="F14" i="30"/>
  <c r="G33" i="34"/>
  <c r="I12" i="30"/>
  <c r="H14" i="30"/>
  <c r="G10" i="34"/>
  <c r="I12" i="33"/>
  <c r="E5" i="30"/>
  <c r="F5" i="30"/>
  <c r="D62" i="34"/>
  <c r="C42" i="34"/>
  <c r="D8" i="34"/>
  <c r="C57" i="34"/>
  <c r="H6" i="30"/>
  <c r="C51" i="34"/>
  <c r="E16" i="30"/>
  <c r="F16" i="30"/>
  <c r="G5" i="34"/>
  <c r="C67" i="34"/>
  <c r="C61" i="34"/>
  <c r="D26" i="34"/>
  <c r="E9" i="30"/>
  <c r="F9" i="30"/>
  <c r="G11" i="34"/>
  <c r="C11" i="34"/>
  <c r="G21" i="34"/>
  <c r="G20" i="34"/>
  <c r="C26" i="34"/>
  <c r="E15" i="30"/>
  <c r="F15" i="30"/>
  <c r="D13" i="34"/>
  <c r="C24" i="34"/>
  <c r="D51" i="34"/>
  <c r="D46" i="34"/>
  <c r="G41" i="34"/>
  <c r="C37" i="34"/>
  <c r="C27" i="34"/>
  <c r="C6" i="34"/>
  <c r="E6" i="34" s="1"/>
  <c r="F6" i="34" s="1"/>
  <c r="D23" i="34"/>
  <c r="E10" i="30"/>
  <c r="F10" i="30"/>
  <c r="G16" i="34"/>
  <c r="C66" i="34"/>
  <c r="G45" i="34"/>
  <c r="D7" i="34"/>
  <c r="D15" i="34"/>
  <c r="C22" i="34"/>
  <c r="C50" i="34"/>
  <c r="D16" i="34"/>
  <c r="G59" i="34"/>
  <c r="G49" i="34"/>
  <c r="G7" i="34"/>
  <c r="E13" i="30"/>
  <c r="F13" i="30"/>
  <c r="C64" i="34"/>
  <c r="C59" i="34"/>
  <c r="C49" i="34"/>
  <c r="G2" i="30"/>
  <c r="I15" i="30"/>
  <c r="G25" i="34"/>
  <c r="D53" i="34"/>
  <c r="G48" i="34"/>
  <c r="I7" i="30"/>
  <c r="E6" i="30"/>
  <c r="F6" i="30"/>
  <c r="G24" i="34"/>
  <c r="D63" i="34"/>
  <c r="C2" i="30"/>
  <c r="D17" i="34"/>
  <c r="C65" i="34"/>
  <c r="G38" i="34"/>
  <c r="C31" i="34"/>
  <c r="G54" i="34"/>
  <c r="D2" i="30"/>
  <c r="E12" i="30"/>
  <c r="F12" i="30"/>
  <c r="D54" i="34"/>
  <c r="G30" i="34"/>
  <c r="D10" i="34"/>
  <c r="D14" i="34"/>
  <c r="C16" i="34"/>
  <c r="E16" i="34" s="1"/>
  <c r="F16" i="34" s="1"/>
  <c r="G22" i="34"/>
  <c r="G6" i="34"/>
  <c r="D61" i="34"/>
  <c r="D27" i="34"/>
  <c r="D39" i="34"/>
  <c r="C8" i="34"/>
  <c r="D21" i="34"/>
  <c r="C63" i="34"/>
  <c r="C12" i="34"/>
  <c r="D12" i="34"/>
  <c r="E4" i="30"/>
  <c r="F4" i="30"/>
  <c r="D60" i="34"/>
  <c r="D41" i="34"/>
  <c r="D29" i="34"/>
  <c r="C56" i="34"/>
  <c r="C13" i="34"/>
  <c r="D65" i="34"/>
  <c r="C60" i="34"/>
  <c r="D55" i="34"/>
  <c r="C48" i="34"/>
  <c r="D43" i="34"/>
  <c r="C41" i="34"/>
  <c r="D36" i="34"/>
  <c r="C29" i="34"/>
  <c r="D32" i="34"/>
  <c r="D9" i="34"/>
  <c r="D52" i="34"/>
  <c r="D45" i="34"/>
  <c r="D56" i="34"/>
  <c r="D25" i="34"/>
  <c r="D57" i="34"/>
  <c r="C52" i="34"/>
  <c r="D40" i="34"/>
  <c r="D33" i="34"/>
  <c r="D28" i="34"/>
  <c r="D64" i="34"/>
  <c r="C28" i="34"/>
  <c r="E28" i="34" s="1"/>
  <c r="F28" i="34" s="1"/>
  <c r="D20" i="34"/>
  <c r="D19" i="34"/>
  <c r="D18" i="34"/>
  <c r="D4" i="34"/>
  <c r="H52" i="29"/>
  <c r="H36" i="29"/>
  <c r="H35" i="29"/>
  <c r="H61" i="29"/>
  <c r="H9" i="29"/>
  <c r="I9" i="29"/>
  <c r="H44" i="29"/>
  <c r="H28" i="29"/>
  <c r="I28" i="29"/>
  <c r="H53" i="29"/>
  <c r="I53" i="29"/>
  <c r="E7" i="29"/>
  <c r="F7" i="29"/>
  <c r="H20" i="29"/>
  <c r="I20" i="29"/>
  <c r="H10" i="29"/>
  <c r="I10" i="29"/>
  <c r="H45" i="29"/>
  <c r="I45" i="29"/>
  <c r="H37" i="29"/>
  <c r="I15" i="28"/>
  <c r="H29" i="29"/>
  <c r="I29" i="29"/>
  <c r="H23" i="29"/>
  <c r="I23" i="29"/>
  <c r="H63" i="29"/>
  <c r="E50" i="29"/>
  <c r="F50" i="29"/>
  <c r="H47" i="29"/>
  <c r="H31" i="29"/>
  <c r="I31" i="29"/>
  <c r="I8" i="28"/>
  <c r="E24" i="29"/>
  <c r="F24" i="29"/>
  <c r="H6" i="29"/>
  <c r="C7" i="34"/>
  <c r="E58" i="29"/>
  <c r="F58" i="29"/>
  <c r="I35" i="29"/>
  <c r="E52" i="29"/>
  <c r="F52" i="29"/>
  <c r="I43" i="29"/>
  <c r="E43" i="29"/>
  <c r="F43" i="29"/>
  <c r="E66" i="29"/>
  <c r="F66" i="29"/>
  <c r="D50" i="34"/>
  <c r="H41" i="29"/>
  <c r="I41" i="29"/>
  <c r="H57" i="29"/>
  <c r="I57" i="29"/>
  <c r="H49" i="29"/>
  <c r="I49" i="29"/>
  <c r="E8" i="29"/>
  <c r="F8" i="29"/>
  <c r="E14" i="29"/>
  <c r="F14" i="29"/>
  <c r="E21" i="29"/>
  <c r="F21" i="29"/>
  <c r="E20" i="29"/>
  <c r="F20" i="29"/>
  <c r="E4" i="29"/>
  <c r="F4" i="29"/>
  <c r="I25" i="29"/>
  <c r="I24" i="29"/>
  <c r="I19" i="29"/>
  <c r="H16" i="29"/>
  <c r="I16" i="29"/>
  <c r="E13" i="29"/>
  <c r="F13" i="29"/>
  <c r="H12" i="29"/>
  <c r="I12" i="29"/>
  <c r="H7" i="29"/>
  <c r="I7" i="29"/>
  <c r="E5" i="29"/>
  <c r="F5" i="29"/>
  <c r="C4" i="34"/>
  <c r="H2" i="28"/>
  <c r="I2" i="28"/>
  <c r="E2" i="28"/>
  <c r="F2" i="28"/>
  <c r="E48" i="29"/>
  <c r="F48" i="29"/>
  <c r="I65" i="29"/>
  <c r="I5" i="29"/>
  <c r="I6" i="29"/>
  <c r="C20" i="34"/>
  <c r="E20" i="34" s="1"/>
  <c r="F20" i="34" s="1"/>
  <c r="E55" i="29"/>
  <c r="F55" i="29"/>
  <c r="E49" i="29"/>
  <c r="F49" i="29"/>
  <c r="I40" i="29"/>
  <c r="I34" i="29"/>
  <c r="E9" i="29"/>
  <c r="F9" i="29"/>
  <c r="E67" i="29"/>
  <c r="F67" i="29"/>
  <c r="E59" i="29"/>
  <c r="F59" i="29"/>
  <c r="I38" i="29"/>
  <c r="I52" i="29"/>
  <c r="E40" i="29"/>
  <c r="F40" i="29"/>
  <c r="I27" i="29"/>
  <c r="C21" i="34"/>
  <c r="I66" i="29"/>
  <c r="I60" i="29"/>
  <c r="I54" i="29"/>
  <c r="I50" i="29"/>
  <c r="E42" i="29"/>
  <c r="F42" i="29"/>
  <c r="E56" i="29"/>
  <c r="F56" i="29"/>
  <c r="E46" i="29"/>
  <c r="F46" i="29"/>
  <c r="E31" i="29"/>
  <c r="F31" i="29"/>
  <c r="I55" i="29"/>
  <c r="I47" i="29"/>
  <c r="E37" i="29"/>
  <c r="F37" i="29"/>
  <c r="I51" i="29"/>
  <c r="I32" i="29"/>
  <c r="I33" i="29"/>
  <c r="I21" i="29"/>
  <c r="I46" i="29"/>
  <c r="I18" i="29"/>
  <c r="I37" i="29"/>
  <c r="I36" i="29"/>
  <c r="I4" i="29"/>
  <c r="E17" i="29"/>
  <c r="F17" i="29"/>
  <c r="D24" i="34"/>
  <c r="E30" i="29"/>
  <c r="F30" i="29"/>
  <c r="E10" i="29"/>
  <c r="F10" i="29"/>
  <c r="E35" i="29"/>
  <c r="F35" i="29"/>
  <c r="E15" i="29"/>
  <c r="F15" i="29"/>
  <c r="E68" i="29"/>
  <c r="F68" i="29"/>
  <c r="D5" i="34"/>
  <c r="E6" i="29"/>
  <c r="F6" i="29"/>
  <c r="D2" i="29"/>
  <c r="E11" i="29"/>
  <c r="F11" i="29"/>
  <c r="E22" i="29"/>
  <c r="F22" i="29"/>
  <c r="E63" i="29"/>
  <c r="F63" i="29"/>
  <c r="E41" i="29"/>
  <c r="F41" i="29"/>
  <c r="E32" i="29"/>
  <c r="F32" i="29"/>
  <c r="D58" i="34"/>
  <c r="D42" i="34"/>
  <c r="D11" i="34"/>
  <c r="E54" i="29"/>
  <c r="F54" i="29"/>
  <c r="E38" i="29"/>
  <c r="F38" i="29"/>
  <c r="D67" i="34"/>
  <c r="D49" i="34"/>
  <c r="E12" i="29"/>
  <c r="F12" i="29"/>
  <c r="E23" i="29"/>
  <c r="F23" i="29"/>
  <c r="E18" i="29"/>
  <c r="F18" i="29"/>
  <c r="E64" i="29"/>
  <c r="F64" i="29"/>
  <c r="E47" i="29"/>
  <c r="F47" i="29"/>
  <c r="D59" i="34"/>
  <c r="D31" i="34"/>
  <c r="E33" i="29"/>
  <c r="F33" i="29"/>
  <c r="D48" i="34"/>
  <c r="E65" i="29"/>
  <c r="F65" i="29"/>
  <c r="E36" i="29"/>
  <c r="F36" i="29"/>
  <c r="E28" i="29"/>
  <c r="F28" i="29"/>
  <c r="D37" i="34"/>
  <c r="E25" i="29"/>
  <c r="F25" i="29"/>
  <c r="E19" i="29"/>
  <c r="F19" i="29"/>
  <c r="E53" i="29"/>
  <c r="F53" i="29"/>
  <c r="E34" i="29"/>
  <c r="F34" i="29"/>
  <c r="C43" i="34"/>
  <c r="E43" i="34" s="1"/>
  <c r="F43" i="34" s="1"/>
  <c r="I63" i="29"/>
  <c r="E62" i="29"/>
  <c r="F62" i="29"/>
  <c r="C68" i="34"/>
  <c r="E68" i="34" s="1"/>
  <c r="F68" i="34" s="1"/>
  <c r="C53" i="34"/>
  <c r="E53" i="34" s="1"/>
  <c r="F53" i="34" s="1"/>
  <c r="G46" i="34"/>
  <c r="C46" i="34"/>
  <c r="E45" i="29"/>
  <c r="F45" i="29"/>
  <c r="I44" i="29"/>
  <c r="E44" i="29"/>
  <c r="F44" i="29"/>
  <c r="E39" i="29"/>
  <c r="F39" i="29"/>
  <c r="I42" i="29"/>
  <c r="E26" i="29"/>
  <c r="F26" i="29"/>
  <c r="C25" i="34"/>
  <c r="G23" i="34"/>
  <c r="E60" i="29"/>
  <c r="F60" i="29"/>
  <c r="I58" i="29"/>
  <c r="G57" i="34"/>
  <c r="E57" i="29"/>
  <c r="F57" i="29"/>
  <c r="I22" i="29"/>
  <c r="C19" i="34"/>
  <c r="E19" i="34" s="1"/>
  <c r="F19" i="34" s="1"/>
  <c r="G18" i="34"/>
  <c r="C18" i="34"/>
  <c r="E18" i="34" s="1"/>
  <c r="F18" i="34" s="1"/>
  <c r="E16" i="29"/>
  <c r="F16" i="29"/>
  <c r="H14" i="29"/>
  <c r="I14" i="29"/>
  <c r="H13" i="29"/>
  <c r="I13" i="29"/>
  <c r="H11" i="29"/>
  <c r="I11" i="29"/>
  <c r="G37" i="34"/>
  <c r="G36" i="34"/>
  <c r="C2" i="29"/>
  <c r="C35" i="34"/>
  <c r="C34" i="34"/>
  <c r="E34" i="34" s="1"/>
  <c r="F34" i="34" s="1"/>
  <c r="C33" i="34"/>
  <c r="E33" i="34" s="1"/>
  <c r="F33" i="34" s="1"/>
  <c r="G2" i="29"/>
  <c r="I30" i="29"/>
  <c r="E29" i="29"/>
  <c r="F29" i="29"/>
  <c r="I61" i="29"/>
  <c r="E61" i="29"/>
  <c r="F61" i="29"/>
  <c r="E51" i="29"/>
  <c r="F51" i="29"/>
  <c r="E27" i="29"/>
  <c r="F27" i="29"/>
  <c r="H2" i="27"/>
  <c r="I2" i="27"/>
  <c r="I48" i="29"/>
  <c r="J2" i="27"/>
  <c r="E2" i="27"/>
  <c r="F2" i="27"/>
  <c r="E2" i="1"/>
  <c r="F2" i="1"/>
  <c r="H2" i="1"/>
  <c r="I2" i="1"/>
  <c r="E51" i="34"/>
  <c r="F51" i="34"/>
  <c r="I64" i="29"/>
  <c r="E22" i="34"/>
  <c r="F22" i="34"/>
  <c r="I62" i="29"/>
  <c r="E8" i="34"/>
  <c r="F8" i="34" s="1"/>
  <c r="E66" i="34"/>
  <c r="F66" i="34"/>
  <c r="H35" i="34"/>
  <c r="E35" i="34"/>
  <c r="F35" i="34"/>
  <c r="I5" i="30"/>
  <c r="E54" i="34"/>
  <c r="F54" i="34"/>
  <c r="E21" i="34"/>
  <c r="F21" i="34" s="1"/>
  <c r="I16" i="30"/>
  <c r="I14" i="30"/>
  <c r="H9" i="34"/>
  <c r="I6" i="30"/>
  <c r="E26" i="34"/>
  <c r="F26" i="34"/>
  <c r="E52" i="34"/>
  <c r="F52" i="34"/>
  <c r="E27" i="34"/>
  <c r="F27" i="34"/>
  <c r="I4" i="30"/>
  <c r="H2" i="30"/>
  <c r="I2" i="30"/>
  <c r="I8" i="30"/>
  <c r="E67" i="34"/>
  <c r="F67" i="34"/>
  <c r="E11" i="34"/>
  <c r="F11" i="34"/>
  <c r="E41" i="34"/>
  <c r="F41" i="34"/>
  <c r="E12" i="34"/>
  <c r="F12" i="34"/>
  <c r="E50" i="34"/>
  <c r="F50" i="34"/>
  <c r="E7" i="34"/>
  <c r="F7" i="34"/>
  <c r="E2" i="30"/>
  <c r="F2" i="30"/>
  <c r="E63" i="34"/>
  <c r="F63" i="34" s="1"/>
  <c r="E46" i="34"/>
  <c r="F46" i="34" s="1"/>
  <c r="E13" i="34"/>
  <c r="F13" i="34"/>
  <c r="E4" i="34"/>
  <c r="F4" i="34"/>
  <c r="E31" i="34"/>
  <c r="F31" i="34" s="1"/>
  <c r="E65" i="34"/>
  <c r="F65" i="34"/>
  <c r="E49" i="34"/>
  <c r="F49" i="34"/>
  <c r="E24" i="34"/>
  <c r="F24" i="34"/>
  <c r="E48" i="34"/>
  <c r="F48" i="34"/>
  <c r="E59" i="34"/>
  <c r="F59" i="34"/>
  <c r="E60" i="34"/>
  <c r="F60" i="34"/>
  <c r="E25" i="34"/>
  <c r="F25" i="34"/>
  <c r="E56" i="34"/>
  <c r="F56" i="34" s="1"/>
  <c r="E29" i="34"/>
  <c r="F29" i="34"/>
  <c r="D2" i="34"/>
  <c r="E2" i="29"/>
  <c r="F2" i="29"/>
  <c r="H2" i="29"/>
  <c r="I2" i="29"/>
  <c r="H65" i="18" l="1"/>
  <c r="I65" i="21"/>
  <c r="H59" i="18"/>
  <c r="I59" i="21"/>
  <c r="H54" i="18"/>
  <c r="I54" i="21"/>
  <c r="H52" i="18"/>
  <c r="I52" i="21"/>
  <c r="E64" i="34"/>
  <c r="F64" i="34" s="1"/>
  <c r="E37" i="34"/>
  <c r="F37" i="34" s="1"/>
  <c r="E61" i="34"/>
  <c r="F61" i="34" s="1"/>
  <c r="E57" i="34"/>
  <c r="F57" i="34" s="1"/>
  <c r="E42" i="34"/>
  <c r="F42" i="34" s="1"/>
  <c r="E17" i="34"/>
  <c r="F17" i="34" s="1"/>
  <c r="E30" i="34"/>
  <c r="F30" i="34" s="1"/>
  <c r="E39" i="34"/>
  <c r="F39" i="34" s="1"/>
  <c r="E14" i="34"/>
  <c r="F14" i="34" s="1"/>
  <c r="E63" i="18"/>
  <c r="F63" i="18" s="1"/>
  <c r="E62" i="18"/>
  <c r="F62" i="18" s="1"/>
  <c r="E58" i="34"/>
  <c r="F58" i="34" s="1"/>
  <c r="E57" i="18"/>
  <c r="F57" i="18" s="1"/>
  <c r="E55" i="34"/>
  <c r="F55" i="34" s="1"/>
  <c r="E47" i="18"/>
  <c r="F47" i="18" s="1"/>
  <c r="E46" i="18"/>
  <c r="F46" i="18" s="1"/>
  <c r="E45" i="18"/>
  <c r="F45" i="18" s="1"/>
  <c r="E44" i="34"/>
  <c r="F44" i="34" s="1"/>
  <c r="E43" i="18"/>
  <c r="F43" i="18" s="1"/>
  <c r="E42" i="18"/>
  <c r="F42" i="18" s="1"/>
  <c r="E40" i="18"/>
  <c r="F40" i="18" s="1"/>
  <c r="E39" i="18"/>
  <c r="F39" i="18" s="1"/>
  <c r="E36" i="18"/>
  <c r="F36" i="18" s="1"/>
  <c r="E33" i="18"/>
  <c r="F33" i="18" s="1"/>
  <c r="E32" i="34"/>
  <c r="F32" i="34" s="1"/>
  <c r="E30" i="18"/>
  <c r="F30" i="18" s="1"/>
  <c r="E29" i="18"/>
  <c r="F29" i="18" s="1"/>
  <c r="E25" i="18"/>
  <c r="F25" i="18" s="1"/>
  <c r="E24" i="18"/>
  <c r="F24" i="18" s="1"/>
  <c r="E23" i="34"/>
  <c r="F23" i="34" s="1"/>
  <c r="E19" i="18"/>
  <c r="F19" i="18" s="1"/>
  <c r="E5" i="34"/>
  <c r="F5" i="34" s="1"/>
  <c r="H41" i="18"/>
  <c r="I41" i="21"/>
  <c r="H49" i="18"/>
  <c r="I49" i="21"/>
  <c r="H50" i="18"/>
  <c r="I50" i="21"/>
  <c r="H67" i="18"/>
  <c r="I67" i="21"/>
  <c r="H66" i="18"/>
  <c r="I66" i="21"/>
  <c r="H48" i="18"/>
  <c r="I48" i="21"/>
  <c r="H43" i="18"/>
  <c r="H64" i="34"/>
  <c r="I64" i="34" s="1"/>
  <c r="I64" i="18"/>
  <c r="I64" i="21"/>
  <c r="H63" i="18"/>
  <c r="I62" i="18"/>
  <c r="H62" i="34"/>
  <c r="I62" i="34" s="1"/>
  <c r="C62" i="34"/>
  <c r="E62" i="34" s="1"/>
  <c r="F62" i="34" s="1"/>
  <c r="I62" i="21"/>
  <c r="I68" i="34"/>
  <c r="H53" i="34"/>
  <c r="I53" i="34" s="1"/>
  <c r="I53" i="18"/>
  <c r="I53" i="21"/>
  <c r="H56" i="18"/>
  <c r="H46" i="18"/>
  <c r="I45" i="21"/>
  <c r="H45" i="34"/>
  <c r="I45" i="34" s="1"/>
  <c r="I45" i="18"/>
  <c r="C45" i="34"/>
  <c r="E45" i="34" s="1"/>
  <c r="F45" i="34" s="1"/>
  <c r="H39" i="18"/>
  <c r="H42" i="34"/>
  <c r="I42" i="34" s="1"/>
  <c r="I42" i="18"/>
  <c r="I38" i="18"/>
  <c r="H38" i="34"/>
  <c r="I38" i="34" s="1"/>
  <c r="I38" i="21"/>
  <c r="I26" i="18"/>
  <c r="H26" i="34"/>
  <c r="I26" i="34" s="1"/>
  <c r="I26" i="21"/>
  <c r="H25" i="18"/>
  <c r="H24" i="34"/>
  <c r="I24" i="34" s="1"/>
  <c r="I24" i="18"/>
  <c r="I24" i="21"/>
  <c r="I23" i="18"/>
  <c r="H23" i="34"/>
  <c r="I23" i="34" s="1"/>
  <c r="I23" i="21"/>
  <c r="I60" i="34"/>
  <c r="I58" i="34"/>
  <c r="H57" i="18"/>
  <c r="H21" i="34"/>
  <c r="I21" i="34" s="1"/>
  <c r="I21" i="18"/>
  <c r="H20" i="34"/>
  <c r="I20" i="34" s="1"/>
  <c r="I19" i="34"/>
  <c r="H18" i="18"/>
  <c r="H17" i="34"/>
  <c r="I17" i="34" s="1"/>
  <c r="I17" i="18"/>
  <c r="I17" i="21"/>
  <c r="H16" i="34"/>
  <c r="I16" i="34" s="1"/>
  <c r="I16" i="18"/>
  <c r="I16" i="21"/>
  <c r="H15" i="18"/>
  <c r="C15" i="34"/>
  <c r="E15" i="34" s="1"/>
  <c r="F15" i="34" s="1"/>
  <c r="H14" i="34"/>
  <c r="I14" i="34" s="1"/>
  <c r="I14" i="18"/>
  <c r="E14" i="18"/>
  <c r="F14" i="18" s="1"/>
  <c r="I13" i="18"/>
  <c r="H13" i="34"/>
  <c r="I13" i="34" s="1"/>
  <c r="I13" i="21"/>
  <c r="I12" i="18"/>
  <c r="H12" i="34"/>
  <c r="I12" i="34" s="1"/>
  <c r="I11" i="18"/>
  <c r="H11" i="34"/>
  <c r="I11" i="34" s="1"/>
  <c r="H10" i="34"/>
  <c r="I10" i="34" s="1"/>
  <c r="I10" i="18"/>
  <c r="C10" i="34"/>
  <c r="E10" i="34" s="1"/>
  <c r="F10" i="34" s="1"/>
  <c r="I10" i="21"/>
  <c r="C9" i="34"/>
  <c r="E9" i="34" s="1"/>
  <c r="F9" i="34" s="1"/>
  <c r="I8" i="34"/>
  <c r="H7" i="34"/>
  <c r="I7" i="34" s="1"/>
  <c r="E5" i="18"/>
  <c r="F5" i="18" s="1"/>
  <c r="I47" i="18"/>
  <c r="H47" i="34"/>
  <c r="I47" i="34" s="1"/>
  <c r="I4" i="21"/>
  <c r="H4" i="34"/>
  <c r="I4" i="34" s="1"/>
  <c r="I4" i="18"/>
  <c r="H37" i="18"/>
  <c r="H36" i="34"/>
  <c r="I36" i="34" s="1"/>
  <c r="I36" i="18"/>
  <c r="C36" i="34"/>
  <c r="E36" i="34" s="1"/>
  <c r="F36" i="34" s="1"/>
  <c r="H34" i="34"/>
  <c r="I34" i="34" s="1"/>
  <c r="I34" i="18"/>
  <c r="H33" i="18"/>
  <c r="I32" i="18"/>
  <c r="H32" i="34"/>
  <c r="I32" i="34" s="1"/>
  <c r="I32" i="21"/>
  <c r="H2" i="21"/>
  <c r="I2" i="21" s="1"/>
  <c r="H31" i="34"/>
  <c r="I31" i="34" s="1"/>
  <c r="I31" i="18"/>
  <c r="I31" i="21"/>
  <c r="H30" i="34"/>
  <c r="I30" i="34" s="1"/>
  <c r="I30" i="18"/>
  <c r="I30" i="21"/>
  <c r="J2" i="21"/>
  <c r="H29" i="18"/>
  <c r="I28" i="34"/>
  <c r="I61" i="21"/>
  <c r="H61" i="34"/>
  <c r="I61" i="34" s="1"/>
  <c r="I61" i="18"/>
  <c r="G2" i="18"/>
  <c r="I51" i="34"/>
  <c r="H27" i="18"/>
  <c r="G27" i="34"/>
  <c r="G2" i="34" s="1"/>
  <c r="H40" i="18"/>
  <c r="C2" i="18"/>
  <c r="C40" i="34"/>
  <c r="E40" i="34" s="1"/>
  <c r="F40" i="34" s="1"/>
  <c r="C2" i="34"/>
  <c r="E2" i="34" s="1"/>
  <c r="F2" i="34" s="1"/>
  <c r="E2" i="21"/>
  <c r="F2" i="21" s="1"/>
  <c r="I65" i="18" l="1"/>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2" i="34"/>
  <c r="I2" i="34" s="1"/>
  <c r="H40" i="34"/>
  <c r="I40" i="34" s="1"/>
  <c r="I40"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<sst xmlns="http://schemas.openxmlformats.org/spreadsheetml/2006/main" count="1315" uniqueCount="490">
  <si>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</si>
  <si>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</si>
  <si>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</si>
  <si>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</si>
  <si>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</si>
  <si>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</si>
  <si>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</si>
  <si>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</si>
  <si>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</si>
  <si>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</si>
  <si>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</si>
  <si>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</si>
  <si>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</si>
  <si>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</si>
  <si>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</si>
  <si>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</si>
  <si>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</si>
  <si>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</si>
  <si>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</si>
  <si>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</si>
  <si>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</si>
  <si>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</si>
  <si>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</si>
  <si>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1.Inverter tripped offline at 12:25PM on 01/20 due to Asymetrical Array fault and back online on 01/21.</t>
  </si>
  <si>
    <t>1.SR094211</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</si>
  <si>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</si>
  <si>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</si>
  <si>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</si>
  <si>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</si>
  <si>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</si>
  <si>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</si>
  <si>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</si>
  <si>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</si>
  <si>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</si>
  <si>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</si>
  <si>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</si>
  <si>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</si>
  <si>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</si>
  <si>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</si>
  <si>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</si>
  <si>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</si>
  <si>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</si>
  <si>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</si>
  <si>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</si>
  <si>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</si>
  <si>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</si>
  <si>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</si>
  <si>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</si>
  <si>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</si>
  <si>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</si>
  <si>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</si>
  <si>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</si>
  <si>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</si>
  <si>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</si>
  <si>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</si>
  <si>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</si>
  <si>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</si>
  <si>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</si>
  <si>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</si>
  <si>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</si>
  <si>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</si>
  <si>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</si>
  <si>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</si>
  <si>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</si>
  <si>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</si>
  <si>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</si>
  <si>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</si>
  <si>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</si>
  <si>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</si>
  <si>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</si>
  <si>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</si>
  <si>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</si>
  <si>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</si>
  <si>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</si>
  <si>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</si>
  <si>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</si>
  <si>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</si>
  <si>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</si>
  <si>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</si>
  <si>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</si>
  <si>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</si>
  <si>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</si>
  <si>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</si>
  <si>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</si>
  <si>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</si>
  <si>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</si>
  <si>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</si>
  <si>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</si>
  <si>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</si>
  <si>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</si>
  <si>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</si>
  <si>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</si>
  <si>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</si>
  <si>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</si>
  <si>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</si>
  <si>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</si>
  <si>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</si>
  <si>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</si>
  <si>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</si>
  <si>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</si>
  <si>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</si>
  <si>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</si>
  <si>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</si>
  <si>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</si>
  <si>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</si>
  <si>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</si>
  <si>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</si>
  <si>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</si>
  <si>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</si>
  <si>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</si>
  <si>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</si>
  <si>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</si>
  <si>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</si>
  <si>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</si>
  <si>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</si>
  <si>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</si>
  <si>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</si>
  <si>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</si>
  <si>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</si>
  <si>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</si>
  <si>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</si>
  <si>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</si>
  <si>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</si>
  <si>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</si>
  <si>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</si>
  <si>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</si>
  <si>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</si>
  <si>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</si>
  <si>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</si>
  <si>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</si>
  <si>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</si>
  <si>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</si>
  <si>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</si>
  <si>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</si>
  <si>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</si>
  <si>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</si>
  <si>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</si>
  <si>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</si>
  <si>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</si>
  <si>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</si>
  <si>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</si>
  <si>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</si>
  <si>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</si>
  <si>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</si>
  <si>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</si>
  <si>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</si>
  <si>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</si>
  <si>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</si>
  <si>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</si>
  <si>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</si>
  <si>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</si>
  <si>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</si>
  <si>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</si>
  <si>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</si>
  <si>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</si>
  <si>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</si>
  <si>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</si>
  <si>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</si>
  <si>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</si>
  <si>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</si>
  <si>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</si>
  <si>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</si>
  <si>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</si>
  <si>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</si>
  <si>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</si>
  <si>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</si>
  <si>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</si>
  <si>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</si>
  <si>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</si>
  <si>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</si>
  <si>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</si>
  <si>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</si>
  <si>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</si>
  <si>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</si>
  <si>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</si>
  <si>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</si>
  <si>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</si>
  <si>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</si>
  <si>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</si>
  <si>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</si>
  <si>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</si>
  <si>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</si>
  <si>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</si>
  <si>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</si>
  <si>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</si>
  <si>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</si>
  <si>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</si>
  <si>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</si>
  <si>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</si>
  <si>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</si>
  <si>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</si>
  <si>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</si>
  <si>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</si>
  <si>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</si>
  <si>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</si>
  <si>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</si>
  <si>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</si>
  <si>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</si>
  <si>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</si>
  <si>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</si>
  <si>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</si>
  <si>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</si>
  <si>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</si>
  <si>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</si>
  <si>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</si>
  <si>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</si>
  <si>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</si>
  <si>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</si>
  <si>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</si>
  <si>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</si>
  <si>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</si>
  <si>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</si>
  <si>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</si>
  <si>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</si>
  <si>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</si>
  <si>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</si>
  <si>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</si>
  <si>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</si>
  <si>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</si>
  <si>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</si>
  <si>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</si>
  <si>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</si>
  <si>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</si>
  <si>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</si>
  <si>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</si>
  <si>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</si>
  <si>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</si>
  <si>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</si>
  <si>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</si>
  <si>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</si>
  <si>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</si>
  <si>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</si>
  <si>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</si>
  <si>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</si>
  <si>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</si>
  <si>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</si>
  <si>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</si>
  <si>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</si>
  <si>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</si>
  <si>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</si>
  <si>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</si>
  <si>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</si>
  <si>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</si>
  <si>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</si>
  <si>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</si>
  <si>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</si>
  <si>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</si>
  <si>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</si>
  <si>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</si>
  <si>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</si>
  <si>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</si>
  <si>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</si>
  <si>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</si>
  <si>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</si>
  <si>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</si>
  <si>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</si>
  <si>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</si>
  <si>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</si>
  <si>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</si>
  <si>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</si>
  <si>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</si>
  <si>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</si>
  <si>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</si>
  <si>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</si>
  <si>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</si>
  <si>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</si>
  <si>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</si>
  <si>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</si>
  <si>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</si>
  <si>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</si>
  <si>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</si>
  <si>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</si>
  <si>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</si>
  <si>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</si>
  <si>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</si>
  <si>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</si>
  <si>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</si>
  <si>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</si>
  <si>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</si>
  <si>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</si>
  <si>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</si>
  <si>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</si>
  <si>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</si>
  <si>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</si>
  <si>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</si>
  <si>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</si>
  <si>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</si>
  <si>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</si>
  <si>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</si>
  <si>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</si>
  <si>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</si>
  <si>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</si>
  <si>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</si>
  <si>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</si>
  <si>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</si>
  <si>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</si>
  <si>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</si>
  <si>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</si>
  <si>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</si>
  <si>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</si>
  <si>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</si>
  <si>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</si>
  <si>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</si>
  <si>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</si>
  <si>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</si>
  <si>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</si>
  <si>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</si>
  <si>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</si>
  <si>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</si>
  <si>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</si>
  <si>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</si>
  <si>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</si>
  <si>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</si>
  <si>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1. Metering Energy values are much lower than expected vs meter Power.</t>
  </si>
  <si>
    <t xml:space="preserve">1. </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</si>
  <si>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</si>
  <si>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</si>
  <si>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</si>
  <si>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</si>
  <si>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</si>
  <si>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</si>
  <si>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</si>
  <si>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</si>
  <si>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</si>
  <si>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</si>
  <si>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</si>
  <si>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</si>
  <si>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</si>
  <si>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</si>
  <si>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</si>
  <si>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</si>
  <si>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</si>
  <si>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</si>
  <si>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</si>
  <si>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</si>
  <si>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</si>
  <si>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</si>
  <si>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</si>
  <si>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</si>
  <si>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</si>
  <si>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</si>
  <si>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</si>
  <si>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</si>
  <si>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</si>
  <si>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</si>
  <si>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1.Site is tripped offline on 01/06 .</t>
  </si>
  <si>
    <t>Portfolio:</t>
  </si>
  <si>
    <t>Silicon Ranch</t>
  </si>
  <si>
    <t>Site DAS Name</t>
  </si>
  <si>
    <t>Column1</t>
  </si>
  <si>
    <t>DAS</t>
  </si>
  <si>
    <t>zz.Iron Mountain - Windsor</t>
  </si>
  <si>
    <t>Iron Mountain - Windsor</t>
  </si>
  <si>
    <t>CT</t>
  </si>
  <si>
    <t>AF</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</si>
  <si>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</si>
  <si>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</si>
  <si>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</si>
  <si>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</si>
  <si>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</si>
  <si>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</si>
  <si>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</si>
  <si>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</si>
  <si>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</si>
  <si>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</si>
  <si>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</si>
  <si>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</si>
  <si>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</si>
  <si>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</si>
  <si>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</si>
  <si>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</si>
  <si>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</si>
  <si>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</si>
  <si>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</si>
  <si>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</si>
  <si>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</si>
  <si>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</si>
  <si>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</si>
  <si>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</si>
  <si>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</si>
  <si>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</si>
  <si>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</si>
  <si>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</si>
  <si>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</si>
  <si>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</si>
  <si>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</si>
  <si>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</si>
  <si>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</si>
  <si>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</si>
  <si>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</si>
  <si>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</si>
  <si>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</si>
  <si>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</si>
  <si>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</si>
  <si>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</si>
  <si>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</si>
  <si>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</si>
  <si>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</si>
  <si>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</si>
  <si>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</si>
  <si>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</si>
  <si>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</si>
  <si>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</si>
  <si>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</si>
  <si>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</si>
  <si>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</si>
  <si>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</si>
  <si>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</si>
  <si>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</si>
  <si>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</si>
  <si>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</si>
  <si>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</si>
  <si>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</si>
  <si>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</si>
  <si>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</si>
  <si>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</si>
  <si>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</si>
  <si>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</si>
  <si>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</si>
  <si>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</si>
  <si>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</si>
  <si>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</si>
  <si>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</si>
  <si>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</si>
  <si>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</si>
  <si>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</si>
  <si>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</si>
  <si>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</si>
  <si>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</si>
  <si>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</si>
  <si>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</si>
  <si>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</si>
  <si>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</si>
  <si>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</si>
  <si>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</si>
  <si>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</si>
  <si>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</si>
  <si>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</si>
  <si>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</si>
  <si>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</si>
  <si>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</si>
  <si>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</si>
  <si>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</si>
  <si>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</si>
  <si>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</si>
  <si>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</si>
  <si>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</si>
  <si>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</si>
  <si>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A</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</si>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</sst>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1">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ont>
    <font>
      <sz val="11"/>
      <color theme="1"/>
      <name val="Calibri Light"/>
      <scheme val="major"/>
    </font>
    <font>
      <sz val="11"/>
      <color rgb="FF000000"/>
      <name val="Aptos Narrow"/>
      <charset val="1"/>
    </font>
    <font>
      <sz val="8"/>
      <name val="Arial"/>
    </font>
    <font>
      <sz val="11"/>
      <name val="Calibri"/>
      <family val="2"/>
      <scheme val="minor"/>
    </font>
    <font>
      <sz val="11"/>
      <color rgb="FF000000"/>
      <name val="Calibri"/>
      <scheme val="minor"/>
    </font>
    <font>
      <sz val="11"/>
      <name val="Calibri"/>
      <scheme val="minor"/>
    </font>
    <font>
      <sz val="12"/>
      <color theme="1"/>
      <name val="Calibri"/>
      <scheme val="minor"/>
    </font>
    <font>
      <sz val="12"/>
      <color rgb="FF000000"/>
      <name val="Calibri"/>
      <scheme val="minor"/>
    </font>
    <font>
      <sz val="10"/>
      <name val="Calibri"/>
      <scheme val="minor"/>
    </font>
    <font>
      <sz val="11"/>
      <color rgb="FF242424"/>
      <name val="Calibri"/>
      <scheme val="minor"/>
    </font>
    <font>
      <sz val="11"/>
      <color rgb="FF000000"/>
      <name val="Calibri"/>
      <family val="2"/>
      <scheme val="minor"/>
    </font>
    <font>
      <u/>
      <sz val="10"/>
      <color theme="10"/>
      <name val="Arial"/>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49" fillId="0" borderId="0" applyNumberFormat="0" applyFill="0" applyBorder="0" applyAlignment="0" applyProtection="0"/>
  </cellStyleXfs>
  <cellXfs count="125">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49" fontId="30" fillId="40" borderId="0" xfId="0" applyNumberFormat="1" applyFont="1" applyFill="1" applyAlignment="1">
      <alignment horizontal="center" vertical="center"/>
    </xf>
    <xf numFmtId="49" fontId="30" fillId="0" borderId="0" xfId="0" applyNumberFormat="1" applyFont="1" applyAlignment="1">
      <alignment horizontal="center" vertical="center"/>
    </xf>
    <xf numFmtId="164" fontId="30" fillId="0" borderId="0" xfId="1" applyNumberFormat="1" applyFont="1" applyBorder="1" applyAlignment="1">
      <alignment horizontal="center" vertical="center"/>
    </xf>
    <xf numFmtId="49" fontId="29" fillId="40" borderId="0" xfId="0" applyNumberFormat="1" applyFont="1" applyFill="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49" fontId="29" fillId="0" borderId="0" xfId="0" applyNumberFormat="1" applyFont="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1"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0" fontId="26" fillId="42" borderId="1" xfId="0" applyFont="1" applyFill="1" applyBorder="1" applyAlignment="1">
      <alignment horizontal="center" vertical="center"/>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49" fontId="29"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right" wrapText="1"/>
    </xf>
    <xf numFmtId="0" fontId="0" fillId="0" borderId="0" xfId="0" applyAlignment="1">
      <alignment horizontal="center" vertical="center"/>
    </xf>
    <xf numFmtId="0" fontId="24" fillId="0" borderId="0" xfId="43" applyFont="1" applyAlignment="1">
      <alignment horizontal="center" vertical="center"/>
    </xf>
    <xf numFmtId="49" fontId="29" fillId="40" borderId="0" xfId="0" applyNumberFormat="1" applyFont="1" applyFill="1" applyAlignment="1">
      <alignment horizontal="left" vertical="center"/>
    </xf>
    <xf numFmtId="49" fontId="29" fillId="0" borderId="0" xfId="0" applyNumberFormat="1" applyFont="1" applyAlignment="1">
      <alignment horizontal="left" vertical="center"/>
    </xf>
    <xf numFmtId="0" fontId="0" fillId="0" borderId="0" xfId="0" applyAlignment="1">
      <alignment horizontal="left" wrapText="1"/>
    </xf>
    <xf numFmtId="0" fontId="36" fillId="40" borderId="0" xfId="0" applyFont="1" applyFill="1" applyAlignment="1">
      <alignment horizontal="left"/>
    </xf>
    <xf numFmtId="0" fontId="29" fillId="0" borderId="0" xfId="0" applyFont="1" applyAlignment="1">
      <alignment horizontal="left" vertical="center"/>
    </xf>
    <xf numFmtId="0" fontId="29" fillId="40" borderId="0" xfId="0" applyFont="1" applyFill="1" applyAlignment="1">
      <alignment horizontal="left" vertical="center"/>
    </xf>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49" fontId="38" fillId="0" borderId="0" xfId="0" applyNumberFormat="1" applyFont="1" applyAlignment="1">
      <alignment vertical="center" wrapText="1"/>
    </xf>
    <xf numFmtId="49" fontId="32" fillId="38" borderId="0" xfId="2" applyNumberFormat="1" applyFont="1" applyFill="1" applyBorder="1" applyAlignment="1">
      <alignment horizontal="left" vertical="top" wrapText="1"/>
    </xf>
    <xf numFmtId="49" fontId="29" fillId="0" borderId="0" xfId="0" applyNumberFormat="1" applyFont="1" applyAlignment="1">
      <alignment horizontal="left" vertical="top" wrapText="1"/>
    </xf>
    <xf numFmtId="49" fontId="30" fillId="0" borderId="0" xfId="0" applyNumberFormat="1" applyFont="1" applyAlignment="1">
      <alignment horizontal="left" vertical="center" wrapText="1"/>
    </xf>
    <xf numFmtId="49" fontId="29" fillId="0" borderId="0" xfId="0" applyNumberFormat="1" applyFont="1" applyAlignment="1">
      <alignment horizontal="left" vertical="center" wrapText="1"/>
    </xf>
    <xf numFmtId="49" fontId="29" fillId="0" borderId="0" xfId="0" applyNumberFormat="1" applyFont="1" applyAlignment="1">
      <alignment vertical="top" wrapText="1"/>
    </xf>
    <xf numFmtId="9" fontId="32" fillId="3" borderId="0" xfId="2" applyFont="1" applyFill="1" applyAlignment="1">
      <alignment horizontal="center" vertical="center"/>
    </xf>
    <xf numFmtId="3" fontId="32" fillId="0" borderId="0" xfId="1" applyNumberFormat="1" applyFont="1" applyAlignment="1">
      <alignment vertical="center"/>
    </xf>
    <xf numFmtId="3" fontId="32" fillId="4" borderId="0" xfId="1" applyNumberFormat="1" applyFont="1" applyFill="1" applyAlignment="1">
      <alignment vertical="center"/>
    </xf>
    <xf numFmtId="164" fontId="30" fillId="44" borderId="0" xfId="1" applyNumberFormat="1" applyFont="1" applyFill="1" applyAlignment="1">
      <alignment horizontal="center" vertical="center"/>
    </xf>
    <xf numFmtId="49" fontId="32" fillId="38" borderId="0" xfId="2" applyNumberFormat="1" applyFont="1" applyFill="1" applyAlignment="1">
      <alignment vertical="top" wrapText="1"/>
    </xf>
    <xf numFmtId="164" fontId="30" fillId="0" borderId="0" xfId="1" applyNumberFormat="1" applyFont="1" applyAlignment="1">
      <alignment horizontal="center" vertical="center"/>
    </xf>
    <xf numFmtId="3" fontId="32" fillId="0" borderId="0" xfId="1" applyNumberFormat="1" applyFont="1" applyAlignment="1">
      <alignment horizontal="center" vertical="center"/>
    </xf>
    <xf numFmtId="3" fontId="32" fillId="0" borderId="0" xfId="1" applyNumberFormat="1" applyFont="1" applyAlignment="1">
      <alignment vertical="center" wrapText="1"/>
    </xf>
    <xf numFmtId="3" fontId="32" fillId="0" borderId="0" xfId="1" applyNumberFormat="1" applyFont="1" applyAlignment="1">
      <alignment horizontal="left" vertical="top" wrapText="1"/>
    </xf>
    <xf numFmtId="0" fontId="31" fillId="2" borderId="1" xfId="0" applyFont="1" applyFill="1" applyBorder="1" applyAlignment="1">
      <alignment horizontal="left" vertical="center" wrapText="1" indent="2"/>
    </xf>
    <xf numFmtId="0" fontId="30" fillId="40" borderId="0" xfId="0" applyFont="1" applyFill="1" applyAlignment="1">
      <alignment horizontal="left" vertical="center" indent="2"/>
    </xf>
    <xf numFmtId="0" fontId="30" fillId="0" borderId="0" xfId="0" applyFont="1" applyAlignment="1">
      <alignment horizontal="left" vertical="center" indent="2"/>
    </xf>
    <xf numFmtId="3" fontId="32" fillId="0" borderId="0" xfId="1" applyNumberFormat="1" applyFont="1" applyAlignment="1">
      <alignment horizontal="left" vertical="center" indent="2"/>
    </xf>
    <xf numFmtId="0" fontId="32" fillId="0" borderId="0" xfId="0" applyFont="1" applyAlignment="1">
      <alignment horizontal="left" indent="2"/>
    </xf>
    <xf numFmtId="0" fontId="27" fillId="0" borderId="0" xfId="0" applyFont="1" applyAlignment="1">
      <alignment horizontal="left" indent="2"/>
    </xf>
    <xf numFmtId="0" fontId="41" fillId="0" borderId="0" xfId="0" applyFont="1"/>
    <xf numFmtId="49" fontId="25" fillId="0" borderId="0" xfId="0" applyNumberFormat="1" applyFont="1" applyAlignment="1">
      <alignment vertical="center" wrapText="1"/>
    </xf>
    <xf numFmtId="3" fontId="32" fillId="0" borderId="0" xfId="1" applyNumberFormat="1" applyFont="1" applyAlignment="1">
      <alignment vertical="top"/>
    </xf>
    <xf numFmtId="49" fontId="37" fillId="0" borderId="0" xfId="0" applyNumberFormat="1" applyFont="1" applyAlignment="1">
      <alignment vertical="top" wrapText="1"/>
    </xf>
    <xf numFmtId="49" fontId="43" fillId="38" borderId="0" xfId="2" applyNumberFormat="1" applyFont="1" applyFill="1" applyBorder="1" applyAlignment="1">
      <alignment horizontal="left" vertical="top" wrapText="1"/>
    </xf>
    <xf numFmtId="49" fontId="44" fillId="0" borderId="0" xfId="0" applyNumberFormat="1" applyFont="1" applyAlignment="1">
      <alignment horizontal="left" vertical="top" wrapText="1"/>
    </xf>
    <xf numFmtId="49" fontId="45" fillId="0" borderId="0" xfId="0" applyNumberFormat="1" applyFont="1" applyAlignment="1">
      <alignment horizontal="left" vertical="top" wrapText="1"/>
    </xf>
    <xf numFmtId="0" fontId="46" fillId="0" borderId="0" xfId="0" applyFont="1" applyAlignment="1">
      <alignment horizontal="left" vertical="top"/>
    </xf>
    <xf numFmtId="49" fontId="43" fillId="38" borderId="0" xfId="2" applyNumberFormat="1" applyFont="1" applyFill="1" applyAlignment="1">
      <alignment horizontal="left" vertical="top" wrapText="1"/>
    </xf>
    <xf numFmtId="49" fontId="42" fillId="0" borderId="0" xfId="0" applyNumberFormat="1" applyFont="1" applyAlignment="1">
      <alignment horizontal="left" vertical="top" wrapText="1"/>
    </xf>
    <xf numFmtId="0" fontId="47" fillId="0" borderId="0" xfId="0" applyFont="1" applyAlignment="1">
      <alignment horizontal="left" vertical="top"/>
    </xf>
    <xf numFmtId="49" fontId="41" fillId="38" borderId="0" xfId="2" applyNumberFormat="1" applyFont="1" applyFill="1" applyBorder="1" applyAlignment="1">
      <alignment horizontal="left" vertical="top" wrapText="1"/>
    </xf>
    <xf numFmtId="0" fontId="47" fillId="0" borderId="0" xfId="0" applyFont="1" applyAlignment="1">
      <alignment horizontal="left" vertical="top" wrapText="1"/>
    </xf>
    <xf numFmtId="49" fontId="2" fillId="0" borderId="0" xfId="0" applyNumberFormat="1" applyFont="1" applyAlignment="1">
      <alignment horizontal="left" vertical="top" wrapText="1"/>
    </xf>
    <xf numFmtId="49" fontId="48" fillId="0" borderId="0" xfId="0" applyNumberFormat="1" applyFont="1" applyAlignment="1">
      <alignment horizontal="left" vertical="top" wrapText="1"/>
    </xf>
    <xf numFmtId="2" fontId="3" fillId="0" borderId="0" xfId="43" applyNumberFormat="1" applyAlignment="1">
      <alignment wrapText="1"/>
    </xf>
    <xf numFmtId="49" fontId="30" fillId="0" borderId="0" xfId="0" applyNumberFormat="1" applyFont="1" applyAlignment="1">
      <alignment horizontal="left" wrapText="1"/>
    </xf>
    <xf numFmtId="0" fontId="0" fillId="0" borderId="0" xfId="0" applyAlignment="1">
      <alignment wrapText="1"/>
    </xf>
    <xf numFmtId="0" fontId="0" fillId="0" borderId="0" xfId="0" applyAlignment="1">
      <alignment horizontal="right" vertical="center" wrapText="1"/>
    </xf>
    <xf numFmtId="3" fontId="32" fillId="4" borderId="0" xfId="1" applyNumberFormat="1" applyFont="1" applyFill="1" applyBorder="1" applyAlignment="1">
      <alignment horizontal="right" vertical="center"/>
    </xf>
    <xf numFmtId="3" fontId="32" fillId="0" borderId="0" xfId="1" applyNumberFormat="1" applyFont="1" applyFill="1" applyBorder="1" applyAlignment="1">
      <alignment horizontal="right" vertical="center"/>
    </xf>
    <xf numFmtId="3" fontId="27" fillId="36" borderId="1" xfId="1" applyNumberFormat="1" applyFont="1" applyFill="1" applyBorder="1" applyAlignment="1">
      <alignment horizontal="right" vertical="center"/>
    </xf>
    <xf numFmtId="0" fontId="26" fillId="42" borderId="1" xfId="0" applyFont="1" applyFill="1" applyBorder="1" applyAlignment="1">
      <alignment horizontal="right" vertical="center" wrapText="1"/>
    </xf>
    <xf numFmtId="0" fontId="34" fillId="0" borderId="0" xfId="0" applyFont="1" applyAlignment="1">
      <alignment horizontal="right" vertical="center"/>
    </xf>
    <xf numFmtId="0" fontId="0" fillId="0" borderId="0" xfId="0" applyAlignment="1">
      <alignment horizontal="right" vertical="center"/>
    </xf>
    <xf numFmtId="49" fontId="32" fillId="38" borderId="0" xfId="2" applyNumberFormat="1" applyFont="1" applyFill="1" applyAlignment="1">
      <alignment horizontal="left" vertical="top" wrapText="1"/>
    </xf>
    <xf numFmtId="49" fontId="49" fillId="0" borderId="0" xfId="45" applyNumberFormat="1" applyAlignment="1">
      <alignment vertical="top" wrapText="1"/>
    </xf>
    <xf numFmtId="49" fontId="49" fillId="38" borderId="0" xfId="45" applyNumberFormat="1" applyFill="1" applyBorder="1" applyAlignment="1">
      <alignment vertical="top" wrapText="1"/>
    </xf>
    <xf numFmtId="0" fontId="49" fillId="0" borderId="0" xfId="45"/>
    <xf numFmtId="49" fontId="49" fillId="0" borderId="0" xfId="45" applyNumberFormat="1" applyAlignment="1">
      <alignment horizontal="left" vertical="top" wrapText="1"/>
    </xf>
    <xf numFmtId="49" fontId="49" fillId="38" borderId="0" xfId="45" applyNumberFormat="1" applyFill="1" applyBorder="1" applyAlignment="1">
      <alignment horizontal="left" vertical="top" wrapText="1"/>
    </xf>
    <xf numFmtId="49" fontId="49" fillId="0" borderId="0" xfId="45" applyNumberFormat="1" applyAlignment="1">
      <alignment vertical="center" wrapText="1"/>
    </xf>
    <xf numFmtId="0" fontId="49" fillId="0" borderId="0" xfId="45" applyAlignment="1">
      <alignment horizontal="left" vertical="top" wrapText="1"/>
    </xf>
    <xf numFmtId="49" fontId="32" fillId="38" borderId="0" xfId="2" applyNumberFormat="1" applyFont="1" applyFill="1" applyBorder="1" applyAlignment="1">
      <alignment horizontal="left" wrapText="1"/>
    </xf>
    <xf numFmtId="49" fontId="49" fillId="0" borderId="0" xfId="45" applyNumberFormat="1" applyAlignment="1">
      <alignment horizontal="left" wrapText="1"/>
    </xf>
    <xf numFmtId="49" fontId="49" fillId="38" borderId="0" xfId="45" applyNumberFormat="1" applyFill="1" applyAlignment="1">
      <alignment horizontal="left" vertical="top" wrapText="1"/>
    </xf>
    <xf numFmtId="0" fontId="50" fillId="0" borderId="0" xfId="0" applyFont="1"/>
    <xf numFmtId="0" fontId="24" fillId="0" borderId="0" xfId="43" applyFont="1" applyAlignment="1">
      <alignment horizontal="left" wrapText="1"/>
    </xf>
    <xf numFmtId="0" fontId="24" fillId="0" borderId="0" xfId="43" applyFont="1"/>
    <xf numFmtId="9" fontId="32" fillId="0" borderId="0" xfId="2" applyFont="1" applyAlignment="1">
      <alignment horizontal="center" vertical="center"/>
    </xf>
    <xf numFmtId="0" fontId="0" fillId="0" borderId="0" xfId="0" applyAlignment="1">
      <alignment horizontal="left" vertical="top"/>
    </xf>
    <xf numFmtId="0" fontId="49" fillId="0" borderId="0" xfId="45" applyAlignment="1">
      <alignment horizontal="left" vertical="top"/>
    </xf>
    <xf numFmtId="0" fontId="39" fillId="0" borderId="0" xfId="0" applyFont="1" applyAlignment="1">
      <alignment horizontal="left" vertical="top" wrapText="1"/>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3.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2"/>
  <sheetViews>
    <sheetView zoomScale="90" zoomScaleNormal="90" workbookViewId="0">
      <pane xSplit="2" ySplit="3" topLeftCell="C54" activePane="bottomRight" state="frozen"/>
      <selection pane="bottomRight" activeCell="G73" sqref="G7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1" t="str" cm="1">
        <f t="array" ref="A1">portfolio</f>
        <v>Silicon Ranch</v>
      </c>
      <c r="B1" s="121"/>
      <c r="C1" s="121"/>
      <c r="D1" s="122" t="s">
        <v>0</v>
      </c>
      <c r="E1" s="122"/>
      <c r="F1" s="122"/>
      <c r="G1" s="120" t="s">
        <v>1</v>
      </c>
      <c r="H1" s="120"/>
      <c r="I1" s="120"/>
    </row>
    <row r="2" spans="1:9" ht="19.5" customHeight="1">
      <c r="A2" s="123" t="s">
        <v>2</v>
      </c>
      <c r="B2" s="123"/>
      <c r="C2" s="5">
        <f>SUM(C4:C100)</f>
        <v>12948655</v>
      </c>
      <c r="D2" s="5">
        <f>SUM(D4:D100)</f>
        <v>0</v>
      </c>
      <c r="E2" s="5">
        <f>C2-D2</f>
        <v>12948655</v>
      </c>
      <c r="F2" s="6">
        <f>IFERROR(E2/D2, 0)</f>
        <v>0</v>
      </c>
      <c r="G2" s="5">
        <f>SUM(G4:G100)</f>
        <v>13060950.988999998</v>
      </c>
      <c r="H2" s="7">
        <f>C2-G2</f>
        <v>-112295.9889999982</v>
      </c>
      <c r="I2" s="6">
        <f>IFERROR(H2/G2, 0)</f>
        <v>-8.5978416957979906E-3</v>
      </c>
    </row>
    <row r="3" spans="1:9" ht="14.25" customHeight="1">
      <c r="A3" s="8" t="s">
        <v>3</v>
      </c>
      <c r="B3" s="8" t="s">
        <v>4</v>
      </c>
      <c r="C3" s="23" t="s">
        <v>5</v>
      </c>
      <c r="D3" s="35" t="s">
        <v>6</v>
      </c>
      <c r="E3" s="35" t="s">
        <v>7</v>
      </c>
      <c r="F3" s="36" t="s">
        <v>8</v>
      </c>
      <c r="G3" s="37" t="s">
        <v>9</v>
      </c>
      <c r="H3" s="38" t="s">
        <v>7</v>
      </c>
      <c r="I3" s="39" t="s">
        <v>8</v>
      </c>
    </row>
    <row r="4" spans="1:9" ht="15.6">
      <c r="A4" s="51" t="str" cm="1">
        <f t="array" ref="A4:A69">Sites[Site]</f>
        <v>Iron Mountain - Windsor</v>
      </c>
      <c r="B4" s="32" t="str" cm="1">
        <f t="array" ref="B4:B69">Sites[State]</f>
        <v>CT</v>
      </c>
      <c r="C4" s="24">
        <f>SUM('1st Qtr'!C4, '2nd Qtr'!C4, '3rd Qtr'!C4, '4th Qtr'!C4)</f>
        <v>80549</v>
      </c>
      <c r="D4" s="13">
        <f>SUM('1st Qtr'!D4, '2nd Qtr'!D4, '3rd Qtr'!D4, '4th Qtr'!D4)</f>
        <v>0</v>
      </c>
      <c r="E4" s="13">
        <f>IF(AND(ISNUMBER(C4),ISNUMBER(D4)), C4-D4, "")</f>
        <v>80549</v>
      </c>
      <c r="F4" s="14" t="str">
        <f>IFERROR(E4/D4, "")</f>
        <v/>
      </c>
      <c r="G4" s="15">
        <f>SUM('1st Qtr'!G4, '2nd Qtr'!G4, '3rd Qtr'!G4, '4th Qtr'!G4)</f>
        <v>85584.6</v>
      </c>
      <c r="H4" s="15">
        <f>SUM('1st Qtr'!H4, '2nd Qtr'!H4, '3rd Qtr'!H4, '4th Qtr'!H4)</f>
        <v>-5035.5999999999985</v>
      </c>
      <c r="I4" s="16">
        <f>IFERROR(H4/G4, "")</f>
        <v>-5.8837688088744913E-2</v>
      </c>
    </row>
    <row r="5" spans="1:9" ht="15.6">
      <c r="A5" s="52" t="str">
        <v>Kohls - Auburn</v>
      </c>
      <c r="B5" s="30" t="str">
        <v>NY</v>
      </c>
      <c r="C5" s="11">
        <f>SUM('1st Qtr'!C5, '2nd Qtr'!C5, '3rd Qtr'!C5, '4th Qtr'!C5)</f>
        <v>70849</v>
      </c>
      <c r="D5" s="18">
        <f>SUM('1st Qtr'!D5, '2nd Qtr'!D5, '3rd Qtr'!D5, '4th Qtr'!D5)</f>
        <v>0</v>
      </c>
      <c r="E5" s="18">
        <f t="shared" ref="E5:E15" si="0">IF(AND(ISNUMBER(C5),ISNUMBER(D5)), C5-D5, "")</f>
        <v>70849</v>
      </c>
      <c r="F5" s="19" t="str">
        <f>IFERROR(E5/D5, "")</f>
        <v/>
      </c>
      <c r="G5" s="20">
        <f>SUM('1st Qtr'!G5, '2nd Qtr'!G5, '3rd Qtr'!G5, '4th Qtr'!G5)</f>
        <v>72995.91</v>
      </c>
      <c r="H5" s="20">
        <f>SUM('1st Qtr'!H5, '2nd Qtr'!H5, '3rd Qtr'!H5, '4th Qtr'!H5)</f>
        <v>-2146.9099999999989</v>
      </c>
      <c r="I5" s="19">
        <f>IFERROR(H5/G5, "")</f>
        <v>-2.9411373870125036E-2</v>
      </c>
    </row>
    <row r="6" spans="1:9" ht="15.6">
      <c r="A6" s="53" t="str">
        <v>Kohls - Bensalem</v>
      </c>
      <c r="B6" s="28" t="str">
        <v>PA</v>
      </c>
      <c r="C6" s="24">
        <f>SUM('1st Qtr'!C6, '2nd Qtr'!C6, '3rd Qtr'!C6, '4th Qtr'!C6)</f>
        <v>97605</v>
      </c>
      <c r="D6" s="13">
        <f>SUM('1st Qtr'!D6, '2nd Qtr'!D6, '3rd Qtr'!D6, '4th Qtr'!D6)</f>
        <v>0</v>
      </c>
      <c r="E6" s="13">
        <f t="shared" si="0"/>
        <v>97605</v>
      </c>
      <c r="F6" s="14" t="str">
        <f t="shared" ref="F6:F15" si="1">IFERROR(E6/D6, "")</f>
        <v/>
      </c>
      <c r="G6" s="15">
        <f>SUM('1st Qtr'!G6, '2nd Qtr'!G6, '3rd Qtr'!G6, '4th Qtr'!G6)</f>
        <v>98831.09</v>
      </c>
      <c r="H6" s="15">
        <f>SUM('1st Qtr'!H6, '2nd Qtr'!H6, '3rd Qtr'!H6, '4th Qtr'!H6)</f>
        <v>-1226.0899999999983</v>
      </c>
      <c r="I6" s="16">
        <f t="shared" ref="I6:I15" si="2">IFERROR(H6/G6, "")</f>
        <v>-1.2405913968974726E-2</v>
      </c>
    </row>
    <row r="7" spans="1:9" ht="15.6">
      <c r="A7" s="52" t="str">
        <v>Kohls - Brick</v>
      </c>
      <c r="B7" s="30" t="str">
        <v>NJ</v>
      </c>
      <c r="C7" s="11">
        <f>SUM('1st Qtr'!C7, '2nd Qtr'!C7, '3rd Qtr'!C7, '4th Qtr'!C7)</f>
        <v>135696</v>
      </c>
      <c r="D7" s="18">
        <f>SUM('1st Qtr'!D7, '2nd Qtr'!D7, '3rd Qtr'!D7, '4th Qtr'!D7)</f>
        <v>0</v>
      </c>
      <c r="E7" s="18">
        <f t="shared" si="0"/>
        <v>135696</v>
      </c>
      <c r="F7" s="19" t="str">
        <f t="shared" si="1"/>
        <v/>
      </c>
      <c r="G7" s="20">
        <f>SUM('1st Qtr'!G7, '2nd Qtr'!G7, '3rd Qtr'!G7, '4th Qtr'!G7)</f>
        <v>115611.45000000001</v>
      </c>
      <c r="H7" s="20">
        <f>SUM('1st Qtr'!H7, '2nd Qtr'!H7, '3rd Qtr'!H7, '4th Qtr'!H7)</f>
        <v>20084.550000000003</v>
      </c>
      <c r="I7" s="19">
        <f t="shared" si="2"/>
        <v>0.1737245748582861</v>
      </c>
    </row>
    <row r="8" spans="1:9" ht="15.6">
      <c r="A8" s="53" t="str">
        <v>Kohls - Buffalo</v>
      </c>
      <c r="B8" s="28" t="str">
        <v>NY</v>
      </c>
      <c r="C8" s="24">
        <f>SUM('1st Qtr'!C8, '2nd Qtr'!C8, '3rd Qtr'!C8, '4th Qtr'!C8)</f>
        <v>64905</v>
      </c>
      <c r="D8" s="13">
        <f>SUM('1st Qtr'!D8, '2nd Qtr'!D8, '3rd Qtr'!D8, '4th Qtr'!D8)</f>
        <v>0</v>
      </c>
      <c r="E8" s="13">
        <f t="shared" si="0"/>
        <v>64905</v>
      </c>
      <c r="F8" s="14" t="str">
        <f t="shared" si="1"/>
        <v/>
      </c>
      <c r="G8" s="15">
        <f>SUM('1st Qtr'!G8, '2nd Qtr'!G8, '3rd Qtr'!G8, '4th Qtr'!G8)</f>
        <v>98321.4</v>
      </c>
      <c r="H8" s="15">
        <f>SUM('1st Qtr'!H8, '2nd Qtr'!H8, '3rd Qtr'!H8, '4th Qtr'!H8)</f>
        <v>-33416.400000000001</v>
      </c>
      <c r="I8" s="16">
        <f t="shared" si="2"/>
        <v>-0.33986904173455629</v>
      </c>
    </row>
    <row r="9" spans="1:9" ht="15.6">
      <c r="A9" s="52" t="str">
        <v>Kohls - Canton</v>
      </c>
      <c r="B9" s="30" t="str">
        <v>CT</v>
      </c>
      <c r="C9" s="11">
        <f>SUM('1st Qtr'!C9, '2nd Qtr'!C9, '3rd Qtr'!C9, '4th Qtr'!C9)</f>
        <v>38395</v>
      </c>
      <c r="D9" s="18">
        <f>SUM('1st Qtr'!D9, '2nd Qtr'!D9, '3rd Qtr'!D9, '4th Qtr'!D9)</f>
        <v>0</v>
      </c>
      <c r="E9" s="18">
        <f t="shared" si="0"/>
        <v>38395</v>
      </c>
      <c r="F9" s="19" t="str">
        <f t="shared" si="1"/>
        <v/>
      </c>
      <c r="G9" s="20">
        <f>SUM('1st Qtr'!G9, '2nd Qtr'!G9, '3rd Qtr'!G9, '4th Qtr'!G9)</f>
        <v>37508.89</v>
      </c>
      <c r="H9" s="20">
        <f>SUM('1st Qtr'!H9, '2nd Qtr'!H9, '3rd Qtr'!H9, '4th Qtr'!H9)</f>
        <v>886.10999999999967</v>
      </c>
      <c r="I9" s="19">
        <f t="shared" si="2"/>
        <v>2.3623999537176379E-2</v>
      </c>
    </row>
    <row r="10" spans="1:9" ht="15.6">
      <c r="A10" s="53" t="str">
        <v>Kohls - East Amherst</v>
      </c>
      <c r="B10" s="28" t="str">
        <v>NY</v>
      </c>
      <c r="C10" s="24">
        <f>SUM('1st Qtr'!C10, '2nd Qtr'!C10, '3rd Qtr'!C10, '4th Qtr'!C10)</f>
        <v>72920</v>
      </c>
      <c r="D10" s="13">
        <f>SUM('1st Qtr'!D10, '2nd Qtr'!D10, '3rd Qtr'!D10, '4th Qtr'!D10)</f>
        <v>0</v>
      </c>
      <c r="E10" s="13">
        <f t="shared" si="0"/>
        <v>72920</v>
      </c>
      <c r="F10" s="14" t="str">
        <f t="shared" si="1"/>
        <v/>
      </c>
      <c r="G10" s="15">
        <f>SUM('1st Qtr'!G10, '2nd Qtr'!G10, '3rd Qtr'!G10, '4th Qtr'!G10)</f>
        <v>89879.57</v>
      </c>
      <c r="H10" s="15">
        <f>SUM('1st Qtr'!H10, '2nd Qtr'!H10, '3rd Qtr'!H10, '4th Qtr'!H10)</f>
        <v>-16959.57</v>
      </c>
      <c r="I10" s="16">
        <f t="shared" si="2"/>
        <v>-0.18869215773951742</v>
      </c>
    </row>
    <row r="11" spans="1:9" ht="15.6">
      <c r="A11" s="52" t="str">
        <v>Kohls - East Brunswick</v>
      </c>
      <c r="B11" s="30" t="str">
        <v>NJ</v>
      </c>
      <c r="C11" s="11">
        <f>SUM('1st Qtr'!C11, '2nd Qtr'!C11, '3rd Qtr'!C11, '4th Qtr'!C11)</f>
        <v>153153</v>
      </c>
      <c r="D11" s="18">
        <f>SUM('1st Qtr'!D11, '2nd Qtr'!D11, '3rd Qtr'!D11, '4th Qtr'!D11)</f>
        <v>0</v>
      </c>
      <c r="E11" s="18">
        <f t="shared" si="0"/>
        <v>153153</v>
      </c>
      <c r="F11" s="19" t="str">
        <f t="shared" si="1"/>
        <v/>
      </c>
      <c r="G11" s="20">
        <f>SUM('1st Qtr'!G11, '2nd Qtr'!G11, '3rd Qtr'!G11, '4th Qtr'!G11)</f>
        <v>152228.56</v>
      </c>
      <c r="H11" s="20">
        <f>SUM('1st Qtr'!H11, '2nd Qtr'!H11, '3rd Qtr'!H11, '4th Qtr'!H11)</f>
        <v>924.44000000000597</v>
      </c>
      <c r="I11" s="19">
        <f t="shared" si="2"/>
        <v>6.0727106661194585E-3</v>
      </c>
    </row>
    <row r="12" spans="1:9" ht="15.6">
      <c r="A12" s="53" t="str">
        <v>Kohls - Edgewood</v>
      </c>
      <c r="B12" s="28" t="str">
        <v>MD</v>
      </c>
      <c r="C12" s="24">
        <f>SUM('1st Qtr'!C12, '2nd Qtr'!C12, '3rd Qtr'!C12, '4th Qtr'!C12)</f>
        <v>754081</v>
      </c>
      <c r="D12" s="13">
        <f>SUM('1st Qtr'!D12, '2nd Qtr'!D12, '3rd Qtr'!D12, '4th Qtr'!D12)</f>
        <v>0</v>
      </c>
      <c r="E12" s="13">
        <f t="shared" si="0"/>
        <v>754081</v>
      </c>
      <c r="F12" s="14" t="str">
        <f t="shared" si="1"/>
        <v/>
      </c>
      <c r="G12" s="15">
        <f>SUM('1st Qtr'!G12, '2nd Qtr'!G12, '3rd Qtr'!G12, '4th Qtr'!G12)</f>
        <v>822183.49</v>
      </c>
      <c r="H12" s="15">
        <f>SUM('1st Qtr'!H12, '2nd Qtr'!H12, '3rd Qtr'!H12, '4th Qtr'!H12)</f>
        <v>-68102.489999999991</v>
      </c>
      <c r="I12" s="16">
        <f t="shared" si="2"/>
        <v>-8.283125461446568E-2</v>
      </c>
    </row>
    <row r="13" spans="1:9" ht="15.6">
      <c r="A13" s="52" t="str">
        <v>Kohls - Granite Run</v>
      </c>
      <c r="B13" s="30" t="str">
        <v>PA</v>
      </c>
      <c r="C13" s="11">
        <f>SUM('1st Qtr'!C13, '2nd Qtr'!C13, '3rd Qtr'!C13, '4th Qtr'!C13)</f>
        <v>98808</v>
      </c>
      <c r="D13" s="18">
        <f>SUM('1st Qtr'!D13, '2nd Qtr'!D13, '3rd Qtr'!D13, '4th Qtr'!D13)</f>
        <v>0</v>
      </c>
      <c r="E13" s="18">
        <f t="shared" si="0"/>
        <v>98808</v>
      </c>
      <c r="F13" s="19" t="str">
        <f t="shared" si="1"/>
        <v/>
      </c>
      <c r="G13" s="20">
        <f>SUM('1st Qtr'!G13, '2nd Qtr'!G13, '3rd Qtr'!G13, '4th Qtr'!G13)</f>
        <v>98895.64</v>
      </c>
      <c r="H13" s="20">
        <f>SUM('1st Qtr'!H13, '2nd Qtr'!H13, '3rd Qtr'!H13, '4th Qtr'!H13)</f>
        <v>-87.639999999997599</v>
      </c>
      <c r="I13" s="19">
        <f t="shared" si="2"/>
        <v>-8.8618669134450819E-4</v>
      </c>
    </row>
    <row r="14" spans="1:9" ht="15.6">
      <c r="A14" s="53" t="str">
        <v>Kohls - Greece</v>
      </c>
      <c r="B14" s="28" t="str">
        <v>NY</v>
      </c>
      <c r="C14" s="24">
        <f>SUM('1st Qtr'!C14, '2nd Qtr'!C14, '3rd Qtr'!C14, '4th Qtr'!C14)</f>
        <v>63819</v>
      </c>
      <c r="D14" s="13">
        <f>SUM('1st Qtr'!D14, '2nd Qtr'!D14, '3rd Qtr'!D14, '4th Qtr'!D14)</f>
        <v>0</v>
      </c>
      <c r="E14" s="13">
        <f t="shared" si="0"/>
        <v>63819</v>
      </c>
      <c r="F14" s="14" t="str">
        <f t="shared" si="1"/>
        <v/>
      </c>
      <c r="G14" s="15">
        <f>SUM('1st Qtr'!G14, '2nd Qtr'!G14, '3rd Qtr'!G14, '4th Qtr'!G14)</f>
        <v>92989.72</v>
      </c>
      <c r="H14" s="15">
        <f>SUM('1st Qtr'!H14, '2nd Qtr'!H14, '3rd Qtr'!H14, '4th Qtr'!H14)</f>
        <v>-29170.719999999994</v>
      </c>
      <c r="I14" s="16">
        <f t="shared" si="2"/>
        <v>-0.31369833138544767</v>
      </c>
    </row>
    <row r="15" spans="1:9" ht="15.6">
      <c r="A15" s="52" t="str">
        <v>Kohls - Hanover</v>
      </c>
      <c r="B15" s="30" t="str">
        <v>PA</v>
      </c>
      <c r="C15" s="11">
        <f>SUM('1st Qtr'!C15, '2nd Qtr'!C15, '3rd Qtr'!C15, '4th Qtr'!C15)</f>
        <v>113224</v>
      </c>
      <c r="D15" s="18">
        <f>SUM('1st Qtr'!D15, '2nd Qtr'!D15, '3rd Qtr'!D15, '4th Qtr'!D15)</f>
        <v>0</v>
      </c>
      <c r="E15" s="18">
        <f t="shared" si="0"/>
        <v>113224</v>
      </c>
      <c r="F15" s="19" t="str">
        <f t="shared" si="1"/>
        <v/>
      </c>
      <c r="G15" s="20">
        <f>SUM('1st Qtr'!G15, '2nd Qtr'!G15, '3rd Qtr'!G15, '4th Qtr'!G15)</f>
        <v>112330.91</v>
      </c>
      <c r="H15" s="20">
        <f>SUM('1st Qtr'!H15, '2nd Qtr'!H15, '3rd Qtr'!H15, '4th Qtr'!H15)</f>
        <v>893.09000000000015</v>
      </c>
      <c r="I15" s="19">
        <f t="shared" si="2"/>
        <v>7.9505275974351142E-3</v>
      </c>
    </row>
    <row r="16" spans="1:9" ht="15.6">
      <c r="A16" s="53" t="str">
        <v>Kohls - Horsehead</v>
      </c>
      <c r="B16" s="28" t="str">
        <v>NY</v>
      </c>
      <c r="C16" s="24">
        <f>SUM('1st Qtr'!C16, '2nd Qtr'!C16, '3rd Qtr'!C16, '4th Qtr'!C16)</f>
        <v>73342</v>
      </c>
      <c r="D16" s="13">
        <f>SUM('1st Qtr'!D16, '2nd Qtr'!D16, '3rd Qtr'!D16, '4th Qtr'!D16)</f>
        <v>0</v>
      </c>
      <c r="E16" s="13">
        <f t="shared" ref="E16:E19" si="3">IF(AND(ISNUMBER(C16),ISNUMBER(D16)), C16-D16, "")</f>
        <v>73342</v>
      </c>
      <c r="F16" s="14" t="str">
        <f t="shared" ref="F16:F19" si="4">IFERROR(E16/D16, "")</f>
        <v/>
      </c>
      <c r="G16" s="15">
        <f>SUM('1st Qtr'!G16, '2nd Qtr'!G16, '3rd Qtr'!G16, '4th Qtr'!G16)</f>
        <v>81919.08</v>
      </c>
      <c r="H16" s="15">
        <f>SUM('1st Qtr'!H16, '2nd Qtr'!H16, '3rd Qtr'!H16, '4th Qtr'!H16)</f>
        <v>-8577.0799999999981</v>
      </c>
      <c r="I16" s="16">
        <f t="shared" ref="I16:I19" si="5">IFERROR(H16/G16, "")</f>
        <v>-0.10470185944471054</v>
      </c>
    </row>
    <row r="17" spans="1:9" ht="15.6">
      <c r="A17" s="52" t="str">
        <v>Kohls - Hudson</v>
      </c>
      <c r="B17" s="30" t="str">
        <v>NY</v>
      </c>
      <c r="C17" s="11">
        <f>SUM('1st Qtr'!C17, '2nd Qtr'!C17, '3rd Qtr'!C17, '4th Qtr'!C17)</f>
        <v>87284</v>
      </c>
      <c r="D17" s="18">
        <f>SUM('1st Qtr'!D17, '2nd Qtr'!D17, '3rd Qtr'!D17, '4th Qtr'!D17)</f>
        <v>0</v>
      </c>
      <c r="E17" s="18">
        <f t="shared" si="3"/>
        <v>87284</v>
      </c>
      <c r="F17" s="19" t="str">
        <f t="shared" si="4"/>
        <v/>
      </c>
      <c r="G17" s="20">
        <f>SUM('1st Qtr'!G17, '2nd Qtr'!G17, '3rd Qtr'!G17, '4th Qtr'!G17)</f>
        <v>93387.73000000001</v>
      </c>
      <c r="H17" s="20">
        <f>SUM('1st Qtr'!H17, '2nd Qtr'!H17, '3rd Qtr'!H17, '4th Qtr'!H17)</f>
        <v>-6103.7300000000014</v>
      </c>
      <c r="I17" s="19">
        <f t="shared" si="5"/>
        <v>-6.5359014508651198E-2</v>
      </c>
    </row>
    <row r="18" spans="1:9" ht="12.75" customHeight="1">
      <c r="A18" s="53" t="str">
        <v>Kohls - Ithaca</v>
      </c>
      <c r="B18" s="28" t="str">
        <v>NY</v>
      </c>
      <c r="C18" s="24">
        <f>SUM('1st Qtr'!C18, '2nd Qtr'!C18, '3rd Qtr'!C18, '4th Qtr'!C18)</f>
        <v>72717</v>
      </c>
      <c r="D18" s="13">
        <f>SUM('1st Qtr'!D18, '2nd Qtr'!D18, '3rd Qtr'!D18, '4th Qtr'!D18)</f>
        <v>0</v>
      </c>
      <c r="E18" s="13">
        <f t="shared" si="3"/>
        <v>72717</v>
      </c>
      <c r="F18" s="14" t="str">
        <f t="shared" si="4"/>
        <v/>
      </c>
      <c r="G18" s="15">
        <f>SUM('1st Qtr'!G18, '2nd Qtr'!G18, '3rd Qtr'!G18, '4th Qtr'!G18)</f>
        <v>90851.49</v>
      </c>
      <c r="H18" s="15">
        <f>SUM('1st Qtr'!H18, '2nd Qtr'!H18, '3rd Qtr'!H18, '4th Qtr'!H18)</f>
        <v>-18134.490000000005</v>
      </c>
      <c r="I18" s="16">
        <f t="shared" si="5"/>
        <v>-0.1996058622703932</v>
      </c>
    </row>
    <row r="19" spans="1:9" ht="15.6">
      <c r="A19" s="52" t="str">
        <v>Kohls - Kingston</v>
      </c>
      <c r="B19" s="30" t="str">
        <v>NY</v>
      </c>
      <c r="C19" s="11">
        <f>SUM('1st Qtr'!C19, '2nd Qtr'!C19, '3rd Qtr'!C19, '4th Qtr'!C19)</f>
        <v>114344</v>
      </c>
      <c r="D19" s="18">
        <f>SUM('1st Qtr'!D19, '2nd Qtr'!D19, '3rd Qtr'!D19, '4th Qtr'!D19)</f>
        <v>0</v>
      </c>
      <c r="E19" s="18">
        <f t="shared" si="3"/>
        <v>114344</v>
      </c>
      <c r="F19" s="19" t="str">
        <f t="shared" si="4"/>
        <v/>
      </c>
      <c r="G19" s="20">
        <f>SUM('1st Qtr'!G19, '2nd Qtr'!G19, '3rd Qtr'!G19, '4th Qtr'!G19)</f>
        <v>141345.10999999999</v>
      </c>
      <c r="H19" s="20">
        <f>SUM('1st Qtr'!H19, '2nd Qtr'!H19, '3rd Qtr'!H19, '4th Qtr'!H19)</f>
        <v>-27001.109999999997</v>
      </c>
      <c r="I19" s="19">
        <f t="shared" si="5"/>
        <v>-0.191029671985115</v>
      </c>
    </row>
    <row r="20" spans="1:9" ht="15.6">
      <c r="A20" s="53" t="str">
        <v>Kohls - Mechanicsburg</v>
      </c>
      <c r="B20" s="28" t="str">
        <v>PA</v>
      </c>
      <c r="C20" s="24">
        <f>SUM('1st Qtr'!C20, '2nd Qtr'!C20, '3rd Qtr'!C20, '4th Qtr'!C20)</f>
        <v>130179</v>
      </c>
      <c r="D20" s="13">
        <f>SUM('1st Qtr'!D20, '2nd Qtr'!D20, '3rd Qtr'!D20, '4th Qtr'!D20)</f>
        <v>0</v>
      </c>
      <c r="E20" s="13">
        <f t="shared" ref="E20:E25" si="6">IF(AND(ISNUMBER(C20),ISNUMBER(D20)), C20-D20, "")</f>
        <v>130179</v>
      </c>
      <c r="F20" s="14" t="str">
        <f t="shared" ref="F20:F25" si="7">IFERROR(E20/D20, "")</f>
        <v/>
      </c>
      <c r="G20" s="15">
        <f>SUM('1st Qtr'!G20, '2nd Qtr'!G20, '3rd Qtr'!G20, '4th Qtr'!G20)</f>
        <v>129537.85</v>
      </c>
      <c r="H20" s="15">
        <f>SUM('1st Qtr'!H20, '2nd Qtr'!H20, '3rd Qtr'!H20, '4th Qtr'!H20)</f>
        <v>641.15000000000146</v>
      </c>
      <c r="I20" s="16">
        <f t="shared" ref="I20:I25" si="8">IFERROR(H20/G20, "")</f>
        <v>4.9495186156015515E-3</v>
      </c>
    </row>
    <row r="21" spans="1:9" ht="15.6">
      <c r="A21" s="52" t="str">
        <v>Kohls - Middletown</v>
      </c>
      <c r="B21" s="30" t="str">
        <v>NJ</v>
      </c>
      <c r="C21" s="11">
        <f>SUM('1st Qtr'!C21, '2nd Qtr'!C21, '3rd Qtr'!C21, '4th Qtr'!C21)</f>
        <v>200413</v>
      </c>
      <c r="D21" s="18">
        <f>SUM('1st Qtr'!D21, '2nd Qtr'!D21, '3rd Qtr'!D21, '4th Qtr'!D21)</f>
        <v>0</v>
      </c>
      <c r="E21" s="18">
        <f t="shared" si="6"/>
        <v>200413</v>
      </c>
      <c r="F21" s="19" t="str">
        <f t="shared" si="7"/>
        <v/>
      </c>
      <c r="G21" s="20">
        <f>SUM('1st Qtr'!G21, '2nd Qtr'!G21, '3rd Qtr'!G21, '4th Qtr'!G21)</f>
        <v>178462.95</v>
      </c>
      <c r="H21" s="20">
        <f>SUM('1st Qtr'!H21, '2nd Qtr'!H21, '3rd Qtr'!H21, '4th Qtr'!H21)</f>
        <v>21950.05</v>
      </c>
      <c r="I21" s="19">
        <f t="shared" si="8"/>
        <v>0.12299499700077803</v>
      </c>
    </row>
    <row r="22" spans="1:9" ht="15.6">
      <c r="A22" s="53" t="str">
        <v>Kohls - North Amherst</v>
      </c>
      <c r="B22" s="28" t="str">
        <v>NY</v>
      </c>
      <c r="C22" s="24">
        <f>SUM('1st Qtr'!C22, '2nd Qtr'!C22, '3rd Qtr'!C22, '4th Qtr'!C22)</f>
        <v>13184</v>
      </c>
      <c r="D22" s="13">
        <f>SUM('1st Qtr'!D22, '2nd Qtr'!D22, '3rd Qtr'!D22, '4th Qtr'!D22)</f>
        <v>0</v>
      </c>
      <c r="E22" s="13">
        <f t="shared" si="6"/>
        <v>13184</v>
      </c>
      <c r="F22" s="14" t="str">
        <f t="shared" si="7"/>
        <v/>
      </c>
      <c r="G22" s="15">
        <f>SUM('1st Qtr'!G22, '2nd Qtr'!G22, '3rd Qtr'!G22, '4th Qtr'!G22)</f>
        <v>81271.12</v>
      </c>
      <c r="H22" s="15">
        <f>SUM('1st Qtr'!H22, '2nd Qtr'!H22, '3rd Qtr'!H22, '4th Qtr'!H22)</f>
        <v>-68087.12</v>
      </c>
      <c r="I22" s="16">
        <f t="shared" si="8"/>
        <v>-0.83777755246882291</v>
      </c>
    </row>
    <row r="23" spans="1:9" ht="15.6">
      <c r="A23" s="52" t="str">
        <v>Kohls - Staten Island</v>
      </c>
      <c r="B23" s="30" t="str">
        <v>NY</v>
      </c>
      <c r="C23" s="11">
        <f>SUM('1st Qtr'!C23, '2nd Qtr'!C23, '3rd Qtr'!C23, '4th Qtr'!C23)</f>
        <v>83134</v>
      </c>
      <c r="D23" s="18">
        <f>SUM('1st Qtr'!D23, '2nd Qtr'!D23, '3rd Qtr'!D23, '4th Qtr'!D23)</f>
        <v>0</v>
      </c>
      <c r="E23" s="18">
        <f t="shared" si="6"/>
        <v>83134</v>
      </c>
      <c r="F23" s="19" t="str">
        <f t="shared" si="7"/>
        <v/>
      </c>
      <c r="G23" s="20">
        <f>SUM('1st Qtr'!G23, '2nd Qtr'!G23, '3rd Qtr'!G23, '4th Qtr'!G23)</f>
        <v>109470.47</v>
      </c>
      <c r="H23" s="20">
        <f>SUM('1st Qtr'!H23, '2nd Qtr'!H23, '3rd Qtr'!H23, '4th Qtr'!H23)</f>
        <v>-21824.85</v>
      </c>
      <c r="I23" s="19">
        <f t="shared" si="8"/>
        <v>-0.19936746412068934</v>
      </c>
    </row>
    <row r="24" spans="1:9" ht="15.6">
      <c r="A24" s="53" t="str">
        <v>Kohls - Warminster</v>
      </c>
      <c r="B24" s="28" t="str">
        <v>PA</v>
      </c>
      <c r="C24" s="24">
        <f>SUM('1st Qtr'!C24, '2nd Qtr'!C24, '3rd Qtr'!C24, '4th Qtr'!C24)</f>
        <v>129608</v>
      </c>
      <c r="D24" s="13">
        <f>SUM('1st Qtr'!D24, '2nd Qtr'!D24, '3rd Qtr'!D24, '4th Qtr'!D24)</f>
        <v>0</v>
      </c>
      <c r="E24" s="13">
        <f t="shared" si="6"/>
        <v>129608</v>
      </c>
      <c r="F24" s="14" t="str">
        <f t="shared" si="7"/>
        <v/>
      </c>
      <c r="G24" s="15">
        <f>SUM('1st Qtr'!G24, '2nd Qtr'!G24, '3rd Qtr'!G24, '4th Qtr'!G24)</f>
        <v>113283.62000000001</v>
      </c>
      <c r="H24" s="15">
        <f>SUM('1st Qtr'!H24, '2nd Qtr'!H24, '3rd Qtr'!H24, '4th Qtr'!H24)</f>
        <v>8364.3500000000022</v>
      </c>
      <c r="I24" s="16">
        <f t="shared" si="8"/>
        <v>7.3835475949656282E-2</v>
      </c>
    </row>
    <row r="25" spans="1:9" ht="15.6">
      <c r="A25" s="52" t="str">
        <v xml:space="preserve">Kohls - Waterbury </v>
      </c>
      <c r="B25" s="30" t="str">
        <v>CT</v>
      </c>
      <c r="C25" s="11">
        <f>SUM('1st Qtr'!C25, '2nd Qtr'!C25, '3rd Qtr'!C25, '4th Qtr'!C25)</f>
        <v>91728</v>
      </c>
      <c r="D25" s="18">
        <f>SUM('1st Qtr'!D25, '2nd Qtr'!D25, '3rd Qtr'!D25, '4th Qtr'!D25)</f>
        <v>0</v>
      </c>
      <c r="E25" s="18">
        <f t="shared" si="6"/>
        <v>91728</v>
      </c>
      <c r="F25" s="19" t="str">
        <f t="shared" si="7"/>
        <v/>
      </c>
      <c r="G25" s="20">
        <f>SUM('1st Qtr'!G25, '2nd Qtr'!G25, '3rd Qtr'!G25, '4th Qtr'!G25)</f>
        <v>99978.2</v>
      </c>
      <c r="H25" s="20">
        <f>SUM('1st Qtr'!H25, '2nd Qtr'!H25, '3rd Qtr'!H25, '4th Qtr'!H25)</f>
        <v>-8250.1999999999953</v>
      </c>
      <c r="I25" s="19">
        <f t="shared" si="8"/>
        <v>-8.2519989357679929E-2</v>
      </c>
    </row>
    <row r="26" spans="1:9" ht="15.6">
      <c r="A26" s="53" t="str">
        <v>Mojave Water Agency - Headquarters</v>
      </c>
      <c r="B26" s="28" t="str">
        <v>CA</v>
      </c>
      <c r="C26" s="24">
        <f>SUM('1st Qtr'!C26, '2nd Qtr'!C26, '3rd Qtr'!C26, '4th Qtr'!C26)</f>
        <v>142582</v>
      </c>
      <c r="D26" s="13">
        <f>SUM('1st Qtr'!D26, '2nd Qtr'!D26, '3rd Qtr'!D26, '4th Qtr'!D26)</f>
        <v>0</v>
      </c>
      <c r="E26" s="13">
        <f t="shared" ref="E26:E69" si="9">IF(AND(ISNUMBER(C26),ISNUMBER(D26)), C26-D26, "")</f>
        <v>142582</v>
      </c>
      <c r="F26" s="14" t="str">
        <f t="shared" ref="F26:F68" si="10">IFERROR(E26/D26, "")</f>
        <v/>
      </c>
      <c r="G26" s="15">
        <f>SUM('1st Qtr'!G26, '2nd Qtr'!G26, '3rd Qtr'!G26, '4th Qtr'!G26)</f>
        <v>208502.76</v>
      </c>
      <c r="H26" s="15">
        <f>SUM('1st Qtr'!H26, '2nd Qtr'!H26, '3rd Qtr'!H26, '4th Qtr'!H26)</f>
        <v>17213.099999999999</v>
      </c>
      <c r="I26" s="16">
        <f t="shared" ref="I26:I69" si="11">IFERROR(H26/G26, "")</f>
        <v>8.2555741708167305E-2</v>
      </c>
    </row>
    <row r="27" spans="1:9" ht="15.6">
      <c r="A27" s="52" t="str">
        <v>CSU - Bakersfield</v>
      </c>
      <c r="B27" s="30" t="str">
        <v>CA</v>
      </c>
      <c r="C27" s="11">
        <f>SUM('1st Qtr'!C27, '2nd Qtr'!C27, '3rd Qtr'!C27, '4th Qtr'!C27)</f>
        <v>434360</v>
      </c>
      <c r="D27" s="18">
        <f>SUM('1st Qtr'!D27, '2nd Qtr'!D27, '3rd Qtr'!D27, '4th Qtr'!D27)</f>
        <v>0</v>
      </c>
      <c r="E27" s="18">
        <f t="shared" si="9"/>
        <v>434360</v>
      </c>
      <c r="F27" s="19" t="str">
        <f t="shared" si="10"/>
        <v/>
      </c>
      <c r="G27" s="20">
        <f>SUM('1st Qtr'!G27, '2nd Qtr'!G27, '3rd Qtr'!G27, '4th Qtr'!G27)</f>
        <v>403635.71</v>
      </c>
      <c r="H27" s="20">
        <f>SUM('1st Qtr'!H27, '2nd Qtr'!H27, '3rd Qtr'!H27, '4th Qtr'!H27)</f>
        <v>30724.289999999994</v>
      </c>
      <c r="I27" s="19">
        <f t="shared" si="11"/>
        <v>7.6118859751036383E-2</v>
      </c>
    </row>
    <row r="28" spans="1:9" ht="15.6">
      <c r="A28" s="53" t="str">
        <v>Greenfield USD - Fairfield ES</v>
      </c>
      <c r="B28" s="28" t="str">
        <v>CA</v>
      </c>
      <c r="C28" s="24">
        <f>SUM('1st Qtr'!C28, '2nd Qtr'!C28, '3rd Qtr'!C28, '4th Qtr'!C28)</f>
        <v>43795</v>
      </c>
      <c r="D28" s="13">
        <f>SUM('1st Qtr'!D28, '2nd Qtr'!D28, '3rd Qtr'!D28, '4th Qtr'!D28)</f>
        <v>0</v>
      </c>
      <c r="E28" s="13">
        <f t="shared" si="9"/>
        <v>43795</v>
      </c>
      <c r="F28" s="14" t="str">
        <f t="shared" si="10"/>
        <v/>
      </c>
      <c r="G28" s="15">
        <f>SUM('1st Qtr'!G28, '2nd Qtr'!G28, '3rd Qtr'!G28, '4th Qtr'!G28)</f>
        <v>58905.630000000005</v>
      </c>
      <c r="H28" s="15">
        <f>SUM('1st Qtr'!H28, '2nd Qtr'!H28, '3rd Qtr'!H28, '4th Qtr'!H28)</f>
        <v>3084.1400000000012</v>
      </c>
      <c r="I28" s="16">
        <f t="shared" si="11"/>
        <v>5.2357304386694462E-2</v>
      </c>
    </row>
    <row r="29" spans="1:9" ht="15.6">
      <c r="A29" s="52" t="str">
        <v>Greenfield USD - Granite Point ES</v>
      </c>
      <c r="B29" s="30" t="str">
        <v>CA</v>
      </c>
      <c r="C29" s="11">
        <f>SUM('1st Qtr'!C29, '2nd Qtr'!C29, '3rd Qtr'!C29, '4th Qtr'!C29)</f>
        <v>108444</v>
      </c>
      <c r="D29" s="18">
        <f>SUM('1st Qtr'!D29, '2nd Qtr'!D29, '3rd Qtr'!D29, '4th Qtr'!D29)</f>
        <v>0</v>
      </c>
      <c r="E29" s="18">
        <f t="shared" si="9"/>
        <v>108444</v>
      </c>
      <c r="F29" s="19" t="str">
        <f t="shared" si="10"/>
        <v/>
      </c>
      <c r="G29" s="20">
        <f>SUM('1st Qtr'!G29, '2nd Qtr'!G29, '3rd Qtr'!G29, '4th Qtr'!G29)</f>
        <v>107099.05000000002</v>
      </c>
      <c r="H29" s="20">
        <f>SUM('1st Qtr'!H29, '2nd Qtr'!H29, '3rd Qtr'!H29, '4th Qtr'!H29)</f>
        <v>1344.9500000000007</v>
      </c>
      <c r="I29" s="19">
        <f t="shared" si="11"/>
        <v>1.2558001214763347E-2</v>
      </c>
    </row>
    <row r="30" spans="1:9" ht="15.6">
      <c r="A30" s="53" t="str">
        <v>Greenfield USD - Greenfield MS</v>
      </c>
      <c r="B30" s="28" t="str">
        <v>CA</v>
      </c>
      <c r="C30" s="24">
        <f>SUM('1st Qtr'!C30, '2nd Qtr'!C30, '3rd Qtr'!C30, '4th Qtr'!C30)</f>
        <v>69368</v>
      </c>
      <c r="D30" s="13">
        <f>SUM('1st Qtr'!D30, '2nd Qtr'!D30, '3rd Qtr'!D30, '4th Qtr'!D30)</f>
        <v>0</v>
      </c>
      <c r="E30" s="13">
        <f t="shared" si="9"/>
        <v>69368</v>
      </c>
      <c r="F30" s="14" t="str">
        <f t="shared" si="10"/>
        <v/>
      </c>
      <c r="G30" s="15">
        <f>SUM('1st Qtr'!G30, '2nd Qtr'!G30, '3rd Qtr'!G30, '4th Qtr'!G30)</f>
        <v>75288.78899999999</v>
      </c>
      <c r="H30" s="15">
        <f>SUM('1st Qtr'!H30, '2nd Qtr'!H30, '3rd Qtr'!H30, '4th Qtr'!H30)</f>
        <v>4180.7729999999974</v>
      </c>
      <c r="I30" s="16">
        <f t="shared" si="11"/>
        <v>5.5529821312439998E-2</v>
      </c>
    </row>
    <row r="31" spans="1:9" ht="15.6">
      <c r="A31" s="52" t="str">
        <v>Greenfield USD - Horizon ES</v>
      </c>
      <c r="B31" s="30" t="str">
        <v>CA</v>
      </c>
      <c r="C31" s="11">
        <f>SUM('1st Qtr'!C31, '2nd Qtr'!C31, '3rd Qtr'!C31, '4th Qtr'!C31)</f>
        <v>112831</v>
      </c>
      <c r="D31" s="18">
        <f>SUM('1st Qtr'!D31, '2nd Qtr'!D31, '3rd Qtr'!D31, '4th Qtr'!D31)</f>
        <v>0</v>
      </c>
      <c r="E31" s="18">
        <f t="shared" si="9"/>
        <v>112831</v>
      </c>
      <c r="F31" s="19" t="str">
        <f t="shared" si="10"/>
        <v/>
      </c>
      <c r="G31" s="20">
        <f>SUM('1st Qtr'!G31, '2nd Qtr'!G31, '3rd Qtr'!G31, '4th Qtr'!G31)</f>
        <v>109992.34999999999</v>
      </c>
      <c r="H31" s="20">
        <f>SUM('1st Qtr'!H31, '2nd Qtr'!H31, '3rd Qtr'!H31, '4th Qtr'!H31)</f>
        <v>2838.6500000000015</v>
      </c>
      <c r="I31" s="19">
        <f t="shared" si="11"/>
        <v>2.5807703899407564E-2</v>
      </c>
    </row>
    <row r="32" spans="1:9" ht="15.6">
      <c r="A32" s="53" t="str">
        <v>Greenfield USD - McKee MS</v>
      </c>
      <c r="B32" s="28" t="str">
        <v>CA</v>
      </c>
      <c r="C32" s="24">
        <f>SUM('1st Qtr'!C32, '2nd Qtr'!C32, '3rd Qtr'!C32, '4th Qtr'!C32)</f>
        <v>54731</v>
      </c>
      <c r="D32" s="13">
        <f>SUM('1st Qtr'!D32, '2nd Qtr'!D32, '3rd Qtr'!D32, '4th Qtr'!D32)</f>
        <v>0</v>
      </c>
      <c r="E32" s="13">
        <f t="shared" si="9"/>
        <v>54731</v>
      </c>
      <c r="F32" s="14" t="str">
        <f t="shared" si="10"/>
        <v/>
      </c>
      <c r="G32" s="15">
        <f>SUM('1st Qtr'!G32, '2nd Qtr'!G32, '3rd Qtr'!G32, '4th Qtr'!G32)</f>
        <v>62018.82</v>
      </c>
      <c r="H32" s="15">
        <f>SUM('1st Qtr'!H32, '2nd Qtr'!H32, '3rd Qtr'!H32, '4th Qtr'!H32)</f>
        <v>-12536.23</v>
      </c>
      <c r="I32" s="16">
        <f t="shared" si="11"/>
        <v>-0.20213590003808521</v>
      </c>
    </row>
    <row r="33" spans="1:9" ht="15.6">
      <c r="A33" s="52" t="str">
        <v>Greenfield USD - Plantation ES</v>
      </c>
      <c r="B33" s="30" t="str">
        <v>CA</v>
      </c>
      <c r="C33" s="11">
        <f>SUM('1st Qtr'!C33, '2nd Qtr'!C33, '3rd Qtr'!C33, '4th Qtr'!C33)</f>
        <v>52549</v>
      </c>
      <c r="D33" s="18">
        <f>SUM('1st Qtr'!D33, '2nd Qtr'!D33, '3rd Qtr'!D33, '4th Qtr'!D33)</f>
        <v>0</v>
      </c>
      <c r="E33" s="18">
        <f t="shared" si="9"/>
        <v>52549</v>
      </c>
      <c r="F33" s="19" t="str">
        <f t="shared" si="10"/>
        <v/>
      </c>
      <c r="G33" s="20">
        <f>SUM('1st Qtr'!G33, '2nd Qtr'!G33, '3rd Qtr'!G33, '4th Qtr'!G33)</f>
        <v>48080.97</v>
      </c>
      <c r="H33" s="20">
        <f>SUM('1st Qtr'!H33, '2nd Qtr'!H33, '3rd Qtr'!H33, '4th Qtr'!H33)</f>
        <v>4468.0299999999988</v>
      </c>
      <c r="I33" s="19">
        <f t="shared" si="11"/>
        <v>9.292720175986463E-2</v>
      </c>
    </row>
    <row r="34" spans="1:9" ht="15.6">
      <c r="A34" s="53" t="str">
        <v>Greenfield USD - Planz ES</v>
      </c>
      <c r="B34" s="28" t="str">
        <v>CA</v>
      </c>
      <c r="C34" s="24">
        <f>SUM('1st Qtr'!C34, '2nd Qtr'!C34, '3rd Qtr'!C34, '4th Qtr'!C34)</f>
        <v>20393</v>
      </c>
      <c r="D34" s="13">
        <f>SUM('1st Qtr'!D34, '2nd Qtr'!D34, '3rd Qtr'!D34, '4th Qtr'!D34)</f>
        <v>0</v>
      </c>
      <c r="E34" s="13">
        <f t="shared" si="9"/>
        <v>20393</v>
      </c>
      <c r="F34" s="14" t="str">
        <f t="shared" si="10"/>
        <v/>
      </c>
      <c r="G34" s="15">
        <f>SUM('1st Qtr'!G34, '2nd Qtr'!G34, '3rd Qtr'!G34, '4th Qtr'!G34)</f>
        <v>73786.67</v>
      </c>
      <c r="H34" s="15">
        <f>SUM('1st Qtr'!H34, '2nd Qtr'!H34, '3rd Qtr'!H34, '4th Qtr'!H34)</f>
        <v>-35277.03</v>
      </c>
      <c r="I34" s="16">
        <f t="shared" si="11"/>
        <v>-0.4780948916653916</v>
      </c>
    </row>
    <row r="35" spans="1:9" ht="15.6">
      <c r="A35" s="52" t="str">
        <v>Greenfield USD - Raffaello Palla ES</v>
      </c>
      <c r="B35" s="30" t="str">
        <v>CA</v>
      </c>
      <c r="C35" s="11">
        <f>SUM('1st Qtr'!C35, '2nd Qtr'!C35, '3rd Qtr'!C35, '4th Qtr'!C35)</f>
        <v>102486</v>
      </c>
      <c r="D35" s="18">
        <f>SUM('1st Qtr'!D35, '2nd Qtr'!D35, '3rd Qtr'!D35, '4th Qtr'!D35)</f>
        <v>0</v>
      </c>
      <c r="E35" s="18">
        <f t="shared" si="9"/>
        <v>102486</v>
      </c>
      <c r="F35" s="19" t="str">
        <f t="shared" si="10"/>
        <v/>
      </c>
      <c r="G35" s="20">
        <f>SUM('1st Qtr'!G35, '2nd Qtr'!G35, '3rd Qtr'!G35, '4th Qtr'!G35)</f>
        <v>120199.17000000001</v>
      </c>
      <c r="H35" s="20">
        <f>SUM('1st Qtr'!H35, '2nd Qtr'!H35, '3rd Qtr'!H35, '4th Qtr'!H35)</f>
        <v>-17713.169999999998</v>
      </c>
      <c r="I35" s="19">
        <f t="shared" si="11"/>
        <v>-0.14736516067457034</v>
      </c>
    </row>
    <row r="36" spans="1:9" ht="15.6">
      <c r="A36" s="53" t="str">
        <v>Greenfield USD - Valle Verde ES</v>
      </c>
      <c r="B36" s="28" t="str">
        <v>CA</v>
      </c>
      <c r="C36" s="24">
        <f>SUM('1st Qtr'!C36, '2nd Qtr'!C36, '3rd Qtr'!C36, '4th Qtr'!C36)</f>
        <v>134126</v>
      </c>
      <c r="D36" s="13">
        <f>SUM('1st Qtr'!D36, '2nd Qtr'!D36, '3rd Qtr'!D36, '4th Qtr'!D36)</f>
        <v>0</v>
      </c>
      <c r="E36" s="13">
        <f t="shared" si="9"/>
        <v>134126</v>
      </c>
      <c r="F36" s="14" t="str">
        <f t="shared" si="10"/>
        <v/>
      </c>
      <c r="G36" s="15">
        <f>SUM('1st Qtr'!G36, '2nd Qtr'!G36, '3rd Qtr'!G36, '4th Qtr'!G36)</f>
        <v>93664.33</v>
      </c>
      <c r="H36" s="15">
        <f>SUM('1st Qtr'!H36, '2nd Qtr'!H36, '3rd Qtr'!H36, '4th Qtr'!H36)</f>
        <v>21545.359999999997</v>
      </c>
      <c r="I36" s="16">
        <f t="shared" si="11"/>
        <v>0.23002737541602014</v>
      </c>
    </row>
    <row r="37" spans="1:9" ht="15.6">
      <c r="A37" s="52" t="str">
        <v>Greenfield USD - W.A. Kendrick ES</v>
      </c>
      <c r="B37" s="30" t="str">
        <v>CA</v>
      </c>
      <c r="C37" s="11">
        <f>SUM('1st Qtr'!C37, '2nd Qtr'!C37, '3rd Qtr'!C37, '4th Qtr'!C37)</f>
        <v>15461</v>
      </c>
      <c r="D37" s="18">
        <f>SUM('1st Qtr'!D37, '2nd Qtr'!D37, '3rd Qtr'!D37, '4th Qtr'!D37)</f>
        <v>0</v>
      </c>
      <c r="E37" s="18">
        <f t="shared" si="9"/>
        <v>15461</v>
      </c>
      <c r="F37" s="19" t="str">
        <f t="shared" si="10"/>
        <v/>
      </c>
      <c r="G37" s="20">
        <f>SUM('1st Qtr'!G37, '2nd Qtr'!G37, '3rd Qtr'!G37, '4th Qtr'!G37)</f>
        <v>43388.789999999994</v>
      </c>
      <c r="H37" s="20">
        <f>SUM('1st Qtr'!H37, '2nd Qtr'!H37, '3rd Qtr'!H37, '4th Qtr'!H37)</f>
        <v>-27927.79</v>
      </c>
      <c r="I37" s="19">
        <f t="shared" si="11"/>
        <v>-0.64366372051398546</v>
      </c>
    </row>
    <row r="38" spans="1:9" ht="15.6">
      <c r="A38" s="53" t="str">
        <v>Muroc Joint USD - Boron HS</v>
      </c>
      <c r="B38" s="28" t="str">
        <v>CA</v>
      </c>
      <c r="C38" s="24">
        <f>SUM('1st Qtr'!C38, '2nd Qtr'!C38, '3rd Qtr'!C38, '4th Qtr'!C38)</f>
        <v>0</v>
      </c>
      <c r="D38" s="13">
        <f>SUM('1st Qtr'!D38, '2nd Qtr'!D38, '3rd Qtr'!D38, '4th Qtr'!D38)</f>
        <v>0</v>
      </c>
      <c r="E38" s="13">
        <f t="shared" si="9"/>
        <v>0</v>
      </c>
      <c r="F38" s="14" t="str">
        <f t="shared" si="10"/>
        <v/>
      </c>
      <c r="G38" s="15">
        <f>SUM('1st Qtr'!G38, '2nd Qtr'!G38, '3rd Qtr'!G38, '4th Qtr'!G38)</f>
        <v>98320.63</v>
      </c>
      <c r="H38" s="15">
        <f>SUM('1st Qtr'!H38, '2nd Qtr'!H38, '3rd Qtr'!H38, '4th Qtr'!H38)</f>
        <v>-120558.5</v>
      </c>
      <c r="I38" s="16">
        <f t="shared" si="11"/>
        <v>-1.2261770495164646</v>
      </c>
    </row>
    <row r="39" spans="1:9" ht="15.6">
      <c r="A39" s="52" t="str">
        <v>Muroc Joint USD - W. Boron ES</v>
      </c>
      <c r="B39" s="30" t="str">
        <v>CA</v>
      </c>
      <c r="C39" s="11">
        <f>SUM('1st Qtr'!C39, '2nd Qtr'!C39, '3rd Qtr'!C39, '4th Qtr'!C39)</f>
        <v>46074</v>
      </c>
      <c r="D39" s="18">
        <f>SUM('1st Qtr'!D39, '2nd Qtr'!D39, '3rd Qtr'!D39, '4th Qtr'!D39)</f>
        <v>0</v>
      </c>
      <c r="E39" s="18">
        <f t="shared" si="9"/>
        <v>46074</v>
      </c>
      <c r="F39" s="19" t="str">
        <f t="shared" si="10"/>
        <v/>
      </c>
      <c r="G39" s="20">
        <f>SUM('1st Qtr'!G39, '2nd Qtr'!G39, '3rd Qtr'!G39, '4th Qtr'!G39)</f>
        <v>44555.18</v>
      </c>
      <c r="H39" s="20">
        <f>SUM('1st Qtr'!H39, '2nd Qtr'!H39, '3rd Qtr'!H39, '4th Qtr'!H39)</f>
        <v>1518.8199999999979</v>
      </c>
      <c r="I39" s="19">
        <f t="shared" si="11"/>
        <v>3.4088516756076354E-2</v>
      </c>
    </row>
    <row r="40" spans="1:9" ht="15.6">
      <c r="A40" s="53" t="str">
        <v>Colusa - WTP</v>
      </c>
      <c r="B40" s="28" t="str">
        <v>CA</v>
      </c>
      <c r="C40" s="24">
        <f>SUM('1st Qtr'!C40, '2nd Qtr'!C40, '3rd Qtr'!C40, '4th Qtr'!C40)</f>
        <v>0</v>
      </c>
      <c r="D40" s="13">
        <f>SUM('1st Qtr'!D40, '2nd Qtr'!D40, '3rd Qtr'!D40, '4th Qtr'!D40)</f>
        <v>0</v>
      </c>
      <c r="E40" s="13">
        <f t="shared" si="9"/>
        <v>0</v>
      </c>
      <c r="F40" s="14" t="str">
        <f t="shared" si="10"/>
        <v/>
      </c>
      <c r="G40" s="15">
        <f>SUM('1st Qtr'!G40, '2nd Qtr'!G40, '3rd Qtr'!G40, '4th Qtr'!G40)</f>
        <v>175617.53</v>
      </c>
      <c r="H40" s="15">
        <f>SUM('1st Qtr'!H40, '2nd Qtr'!H40, '3rd Qtr'!H40, '4th Qtr'!H40)</f>
        <v>-138013.24</v>
      </c>
      <c r="I40" s="16">
        <f t="shared" si="11"/>
        <v>-0.78587393866660116</v>
      </c>
    </row>
    <row r="41" spans="1:9" ht="15.6">
      <c r="A41" s="52" t="str">
        <v>CDCR-North Kern State Prision</v>
      </c>
      <c r="B41" s="30" t="str">
        <v>CA</v>
      </c>
      <c r="C41" s="11">
        <f>SUM('1st Qtr'!C41, '2nd Qtr'!C41, '3rd Qtr'!C41, '4th Qtr'!C41)</f>
        <v>324501</v>
      </c>
      <c r="D41" s="18">
        <f>SUM('1st Qtr'!D41, '2nd Qtr'!D41, '3rd Qtr'!D41, '4th Qtr'!D41)</f>
        <v>0</v>
      </c>
      <c r="E41" s="18">
        <f t="shared" si="9"/>
        <v>324501</v>
      </c>
      <c r="F41" s="19" t="str">
        <f t="shared" si="10"/>
        <v/>
      </c>
      <c r="G41" s="20">
        <f>SUM('1st Qtr'!G41, '2nd Qtr'!G41, '3rd Qtr'!G41, '4th Qtr'!G41)</f>
        <v>476442.76</v>
      </c>
      <c r="H41" s="20">
        <f>SUM('1st Qtr'!H41, '2nd Qtr'!H41, '3rd Qtr'!H41, '4th Qtr'!H41)</f>
        <v>-151941.76000000001</v>
      </c>
      <c r="I41" s="19">
        <f t="shared" si="11"/>
        <v>-0.31890873942548736</v>
      </c>
    </row>
    <row r="42" spans="1:9" ht="15.6">
      <c r="A42" s="53" t="str">
        <v>Muroc Joint USD - District Office</v>
      </c>
      <c r="B42" s="28" t="str">
        <v>CA</v>
      </c>
      <c r="C42" s="24">
        <f>SUM('1st Qtr'!C42, '2nd Qtr'!C42, '3rd Qtr'!C42, '4th Qtr'!C42)</f>
        <v>23103</v>
      </c>
      <c r="D42" s="13">
        <f>SUM('1st Qtr'!D42, '2nd Qtr'!D42, '3rd Qtr'!D42, '4th Qtr'!D42)</f>
        <v>0</v>
      </c>
      <c r="E42" s="13">
        <f t="shared" si="9"/>
        <v>23103</v>
      </c>
      <c r="F42" s="14" t="str">
        <f t="shared" si="10"/>
        <v/>
      </c>
      <c r="G42" s="15">
        <f>SUM('1st Qtr'!G42, '2nd Qtr'!G42, '3rd Qtr'!G42, '4th Qtr'!G42)</f>
        <v>41429.93</v>
      </c>
      <c r="H42" s="15">
        <f>SUM('1st Qtr'!H42, '2nd Qtr'!H42, '3rd Qtr'!H42, '4th Qtr'!H42)</f>
        <v>-8294.0499999999993</v>
      </c>
      <c r="I42" s="16">
        <f t="shared" si="11"/>
        <v>-0.20019464189295033</v>
      </c>
    </row>
    <row r="43" spans="1:9" ht="15.6">
      <c r="A43" s="52" t="str">
        <v>Whole Foods - Manhattan Beach</v>
      </c>
      <c r="B43" s="30" t="str">
        <v>CA</v>
      </c>
      <c r="C43" s="11">
        <f>SUM('1st Qtr'!C43, '2nd Qtr'!C43, '3rd Qtr'!C43, '4th Qtr'!C43)</f>
        <v>56248</v>
      </c>
      <c r="D43" s="18">
        <f>SUM('1st Qtr'!D43, '2nd Qtr'!D43, '3rd Qtr'!D43, '4th Qtr'!D43)</f>
        <v>0</v>
      </c>
      <c r="E43" s="18">
        <f t="shared" si="9"/>
        <v>56248</v>
      </c>
      <c r="F43" s="19" t="str">
        <f t="shared" si="10"/>
        <v/>
      </c>
      <c r="G43" s="20">
        <f>SUM('1st Qtr'!G43, '2nd Qtr'!G43, '3rd Qtr'!G43, '4th Qtr'!G43)</f>
        <v>70407.649999999994</v>
      </c>
      <c r="H43" s="20">
        <f>SUM('1st Qtr'!H43, '2nd Qtr'!H43, '3rd Qtr'!H43, '4th Qtr'!H43)</f>
        <v>-14159.649999999998</v>
      </c>
      <c r="I43" s="19">
        <f t="shared" si="11"/>
        <v>-0.20110953852315763</v>
      </c>
    </row>
    <row r="44" spans="1:9" ht="15.6">
      <c r="A44" s="53" t="str">
        <v>Pioneer USD - Frontier ES</v>
      </c>
      <c r="B44" s="28" t="str">
        <v>CA</v>
      </c>
      <c r="C44" s="24">
        <f>SUM('1st Qtr'!C44, '2nd Qtr'!C44, '3rd Qtr'!C44, '4th Qtr'!C44)</f>
        <v>99064</v>
      </c>
      <c r="D44" s="13">
        <f>SUM('1st Qtr'!D44, '2nd Qtr'!D44, '3rd Qtr'!D44, '4th Qtr'!D44)</f>
        <v>0</v>
      </c>
      <c r="E44" s="13">
        <f t="shared" si="9"/>
        <v>99064</v>
      </c>
      <c r="F44" s="14" t="str">
        <f t="shared" si="10"/>
        <v/>
      </c>
      <c r="G44" s="15">
        <f>SUM('1st Qtr'!G44, '2nd Qtr'!G44, '3rd Qtr'!G44, '4th Qtr'!G44)</f>
        <v>97116.36</v>
      </c>
      <c r="H44" s="15">
        <f>SUM('1st Qtr'!H44, '2nd Qtr'!H44, '3rd Qtr'!H44, '4th Qtr'!H44)</f>
        <v>2737.8399999999965</v>
      </c>
      <c r="I44" s="16">
        <f t="shared" si="11"/>
        <v>2.8191336660476119E-2</v>
      </c>
    </row>
    <row r="45" spans="1:9" ht="15.6">
      <c r="A45" s="52" t="str">
        <v>Pioneer USD - Pioneer ES</v>
      </c>
      <c r="B45" s="30" t="str">
        <v>CA</v>
      </c>
      <c r="C45" s="11">
        <f>SUM('1st Qtr'!C45, '2nd Qtr'!C45, '3rd Qtr'!C45, '4th Qtr'!C45)</f>
        <v>60100</v>
      </c>
      <c r="D45" s="18">
        <f>SUM('1st Qtr'!D45, '2nd Qtr'!D45, '3rd Qtr'!D45, '4th Qtr'!D45)</f>
        <v>0</v>
      </c>
      <c r="E45" s="18">
        <f t="shared" si="9"/>
        <v>60100</v>
      </c>
      <c r="F45" s="19" t="str">
        <f t="shared" si="10"/>
        <v/>
      </c>
      <c r="G45" s="20">
        <f>SUM('1st Qtr'!G45, '2nd Qtr'!G45, '3rd Qtr'!G45, '4th Qtr'!G45)</f>
        <v>98048.75</v>
      </c>
      <c r="H45" s="20">
        <f>SUM('1st Qtr'!H45, '2nd Qtr'!H45, '3rd Qtr'!H45, '4th Qtr'!H45)</f>
        <v>-37948.75</v>
      </c>
      <c r="I45" s="19">
        <f t="shared" si="11"/>
        <v>-0.38703961039788881</v>
      </c>
    </row>
    <row r="46" spans="1:9" ht="15.6">
      <c r="A46" s="53" t="str">
        <v>Pioneer USD - Pioneer MS</v>
      </c>
      <c r="B46" s="28" t="str">
        <v>CA</v>
      </c>
      <c r="C46" s="24">
        <f>SUM('1st Qtr'!C46, '2nd Qtr'!C46, '3rd Qtr'!C46, '4th Qtr'!C46)</f>
        <v>137530</v>
      </c>
      <c r="D46" s="13">
        <f>SUM('1st Qtr'!D46, '2nd Qtr'!D46, '3rd Qtr'!D46, '4th Qtr'!D46)</f>
        <v>0</v>
      </c>
      <c r="E46" s="13">
        <f t="shared" si="9"/>
        <v>137530</v>
      </c>
      <c r="F46" s="14" t="str">
        <f t="shared" si="10"/>
        <v/>
      </c>
      <c r="G46" s="15">
        <f>SUM('1st Qtr'!G46, '2nd Qtr'!G46, '3rd Qtr'!G46, '4th Qtr'!G46)</f>
        <v>149680.85999999999</v>
      </c>
      <c r="H46" s="15">
        <f>SUM('1st Qtr'!H46, '2nd Qtr'!H46, '3rd Qtr'!H46, '4th Qtr'!H46)</f>
        <v>5541.6500000000015</v>
      </c>
      <c r="I46" s="16">
        <f t="shared" si="11"/>
        <v>3.702310368874151E-2</v>
      </c>
    </row>
    <row r="47" spans="1:9" ht="15.6">
      <c r="A47" s="52" t="str">
        <v>Kingsburg Joint UHSD - Kingsburg HS</v>
      </c>
      <c r="B47" s="30" t="str">
        <v>CA</v>
      </c>
      <c r="C47" s="11">
        <f>SUM('1st Qtr'!C47, '2nd Qtr'!C47, '3rd Qtr'!C47, '4th Qtr'!C47)</f>
        <v>194134</v>
      </c>
      <c r="D47" s="18">
        <f>SUM('1st Qtr'!D47, '2nd Qtr'!D47, '3rd Qtr'!D47, '4th Qtr'!D47)</f>
        <v>0</v>
      </c>
      <c r="E47" s="18">
        <f t="shared" si="9"/>
        <v>194134</v>
      </c>
      <c r="F47" s="19" t="str">
        <f t="shared" si="10"/>
        <v/>
      </c>
      <c r="G47" s="20">
        <f>SUM('1st Qtr'!G47, '2nd Qtr'!G47, '3rd Qtr'!G47, '4th Qtr'!G47)</f>
        <v>234959.29000000004</v>
      </c>
      <c r="H47" s="20">
        <f>SUM('1st Qtr'!H47, '2nd Qtr'!H47, '3rd Qtr'!H47, '4th Qtr'!H47)</f>
        <v>-40825.29</v>
      </c>
      <c r="I47" s="19">
        <f t="shared" si="11"/>
        <v>-0.17375473853364126</v>
      </c>
    </row>
    <row r="48" spans="1:9" ht="15.6">
      <c r="A48" s="53" t="str">
        <v>CADRB</v>
      </c>
      <c r="B48" s="28" t="str">
        <v>CA</v>
      </c>
      <c r="C48" s="24">
        <f>SUM('1st Qtr'!C48, '2nd Qtr'!C48, '3rd Qtr'!C48, '4th Qtr'!C48)</f>
        <v>0</v>
      </c>
      <c r="D48" s="13">
        <f>SUM('1st Qtr'!D48, '2nd Qtr'!D48, '3rd Qtr'!D48, '4th Qtr'!D48)</f>
        <v>0</v>
      </c>
      <c r="E48" s="13">
        <f t="shared" si="9"/>
        <v>0</v>
      </c>
      <c r="F48" s="14" t="str">
        <f t="shared" si="10"/>
        <v/>
      </c>
      <c r="G48" s="15">
        <f>SUM('1st Qtr'!G48, '2nd Qtr'!G48, '3rd Qtr'!G48, '4th Qtr'!G48)</f>
        <v>2056973.78</v>
      </c>
      <c r="H48" s="15">
        <f>SUM('1st Qtr'!H48, '2nd Qtr'!H48, '3rd Qtr'!H48, '4th Qtr'!H48)</f>
        <v>-2342739</v>
      </c>
      <c r="I48" s="16">
        <f t="shared" si="11"/>
        <v>-1.1389250669009501</v>
      </c>
    </row>
    <row r="49" spans="1:9" ht="15.6">
      <c r="A49" s="52" t="str">
        <v>CDCR-CA State Prison LA County</v>
      </c>
      <c r="B49" s="30" t="str">
        <v>CA</v>
      </c>
      <c r="C49" s="11">
        <f>SUM('1st Qtr'!C49, '2nd Qtr'!C49, '3rd Qtr'!C49, '4th Qtr'!C49)</f>
        <v>874249</v>
      </c>
      <c r="D49" s="18">
        <f>SUM('1st Qtr'!D49, '2nd Qtr'!D49, '3rd Qtr'!D49, '4th Qtr'!D49)</f>
        <v>0</v>
      </c>
      <c r="E49" s="18">
        <f t="shared" si="9"/>
        <v>874249</v>
      </c>
      <c r="F49" s="19" t="str">
        <f t="shared" si="10"/>
        <v/>
      </c>
      <c r="G49" s="20">
        <f>SUM('1st Qtr'!G49, '2nd Qtr'!G49, '3rd Qtr'!G49, '4th Qtr'!G49)</f>
        <v>1457879.23</v>
      </c>
      <c r="H49" s="20">
        <f>SUM('1st Qtr'!H49, '2nd Qtr'!H49, '3rd Qtr'!H49, '4th Qtr'!H49)</f>
        <v>-583630.23</v>
      </c>
      <c r="I49" s="19">
        <f t="shared" si="11"/>
        <v>-0.40032824255271132</v>
      </c>
    </row>
    <row r="50" spans="1:9" ht="15.6">
      <c r="A50" s="53" t="str">
        <v>Central USD Akers ES</v>
      </c>
      <c r="B50" s="28" t="str">
        <v>CA</v>
      </c>
      <c r="C50" s="24">
        <f>SUM('1st Qtr'!C50, '2nd Qtr'!C50, '3rd Qtr'!C50, '4th Qtr'!C50)</f>
        <v>162902</v>
      </c>
      <c r="D50" s="13">
        <f>SUM('1st Qtr'!D50, '2nd Qtr'!D50, '3rd Qtr'!D50, '4th Qtr'!D50)</f>
        <v>0</v>
      </c>
      <c r="E50" s="13">
        <f t="shared" si="9"/>
        <v>162902</v>
      </c>
      <c r="F50" s="14" t="str">
        <f t="shared" si="10"/>
        <v/>
      </c>
      <c r="G50" s="15">
        <f>SUM('1st Qtr'!G50, '2nd Qtr'!G50, '3rd Qtr'!G50, '4th Qtr'!G50)</f>
        <v>98061.02</v>
      </c>
      <c r="H50" s="15">
        <f>SUM('1st Qtr'!H50, '2nd Qtr'!H50, '3rd Qtr'!H50, '4th Qtr'!H50)</f>
        <v>57779.219999999987</v>
      </c>
      <c r="I50" s="16">
        <f t="shared" si="11"/>
        <v>0.58921699978238029</v>
      </c>
    </row>
    <row r="51" spans="1:9" ht="15.6">
      <c r="A51" s="52" t="str">
        <v>CUSD - District Office</v>
      </c>
      <c r="B51" s="30" t="str">
        <v>CA</v>
      </c>
      <c r="C51" s="11">
        <f>SUM('1st Qtr'!C51, '2nd Qtr'!C51, '3rd Qtr'!C51, '4th Qtr'!C51)</f>
        <v>69708</v>
      </c>
      <c r="D51" s="18">
        <f>SUM('1st Qtr'!D51, '2nd Qtr'!D51, '3rd Qtr'!D51, '4th Qtr'!D51)</f>
        <v>0</v>
      </c>
      <c r="E51" s="18">
        <f t="shared" si="9"/>
        <v>69708</v>
      </c>
      <c r="F51" s="19" t="str">
        <f t="shared" si="10"/>
        <v/>
      </c>
      <c r="G51" s="20">
        <f>SUM('1st Qtr'!G51, '2nd Qtr'!G51, '3rd Qtr'!G51, '4th Qtr'!G51)</f>
        <v>83153.17</v>
      </c>
      <c r="H51" s="20">
        <f>SUM('1st Qtr'!H51, '2nd Qtr'!H51, '3rd Qtr'!H51, '4th Qtr'!H51)</f>
        <v>-13445.169999999996</v>
      </c>
      <c r="I51" s="19">
        <f t="shared" si="11"/>
        <v>-0.16169161079487404</v>
      </c>
    </row>
    <row r="52" spans="1:9" ht="15.6">
      <c r="A52" s="53" t="str">
        <v>Parlier - WTP</v>
      </c>
      <c r="B52" s="28" t="str">
        <v>CA</v>
      </c>
      <c r="C52" s="24">
        <f>SUM('1st Qtr'!C52, '2nd Qtr'!C52, '3rd Qtr'!C52, '4th Qtr'!C52)</f>
        <v>151149</v>
      </c>
      <c r="D52" s="13">
        <f>SUM('1st Qtr'!D52, '2nd Qtr'!D52, '3rd Qtr'!D52, '4th Qtr'!D52)</f>
        <v>0</v>
      </c>
      <c r="E52" s="13">
        <f t="shared" si="9"/>
        <v>151149</v>
      </c>
      <c r="F52" s="14" t="str">
        <f t="shared" si="10"/>
        <v/>
      </c>
      <c r="G52" s="15">
        <f>SUM('1st Qtr'!G52, '2nd Qtr'!G52, '3rd Qtr'!G52, '4th Qtr'!G52)</f>
        <v>196181.25</v>
      </c>
      <c r="H52" s="15">
        <f>SUM('1st Qtr'!H52, '2nd Qtr'!H52, '3rd Qtr'!H52, '4th Qtr'!H52)</f>
        <v>-74289.67</v>
      </c>
      <c r="I52" s="16">
        <f t="shared" si="11"/>
        <v>-0.37867874733186785</v>
      </c>
    </row>
    <row r="53" spans="1:9" ht="15.6">
      <c r="A53" s="52" t="str">
        <v>Snowline SD - Quail Valley MS</v>
      </c>
      <c r="B53" s="30" t="str">
        <v>CA</v>
      </c>
      <c r="C53" s="11">
        <f>SUM('1st Qtr'!C53, '2nd Qtr'!C53, '3rd Qtr'!C53, '4th Qtr'!C53)</f>
        <v>112658</v>
      </c>
      <c r="D53" s="18">
        <f>SUM('1st Qtr'!D53, '2nd Qtr'!D53, '3rd Qtr'!D53, '4th Qtr'!D53)</f>
        <v>0</v>
      </c>
      <c r="E53" s="18">
        <f t="shared" si="9"/>
        <v>112658</v>
      </c>
      <c r="F53" s="19" t="str">
        <f t="shared" si="10"/>
        <v/>
      </c>
      <c r="G53" s="20">
        <f>SUM('1st Qtr'!G53, '2nd Qtr'!G53, '3rd Qtr'!G53, '4th Qtr'!G53)</f>
        <v>129780.45000000001</v>
      </c>
      <c r="H53" s="20">
        <f>SUM('1st Qtr'!H53, '2nd Qtr'!H53, '3rd Qtr'!H53, '4th Qtr'!H53)</f>
        <v>-17122.450000000004</v>
      </c>
      <c r="I53" s="19">
        <f t="shared" si="11"/>
        <v>-0.13193397002399054</v>
      </c>
    </row>
    <row r="54" spans="1:9" ht="15.6">
      <c r="A54" s="53" t="str">
        <v>Snowline SD - Serrano HS - Middle Lot</v>
      </c>
      <c r="B54" s="28" t="str">
        <v>CA</v>
      </c>
      <c r="C54" s="24">
        <f>SUM('1st Qtr'!C54, '2nd Qtr'!C54, '3rd Qtr'!C54, '4th Qtr'!C54)</f>
        <v>101965</v>
      </c>
      <c r="D54" s="13">
        <f>SUM('1st Qtr'!D54, '2nd Qtr'!D54, '3rd Qtr'!D54, '4th Qtr'!D54)</f>
        <v>0</v>
      </c>
      <c r="E54" s="13">
        <f t="shared" si="9"/>
        <v>101965</v>
      </c>
      <c r="F54" s="14" t="str">
        <f t="shared" si="10"/>
        <v/>
      </c>
      <c r="G54" s="15">
        <f>SUM('1st Qtr'!G54, '2nd Qtr'!G54, '3rd Qtr'!G54, '4th Qtr'!G54)</f>
        <v>132739.52000000002</v>
      </c>
      <c r="H54" s="15">
        <f>SUM('1st Qtr'!H54, '2nd Qtr'!H54, '3rd Qtr'!H54, '4th Qtr'!H54)</f>
        <v>-53638.290000000008</v>
      </c>
      <c r="I54" s="16">
        <f t="shared" si="11"/>
        <v>-0.40408681604393326</v>
      </c>
    </row>
    <row r="55" spans="1:9" ht="15.6">
      <c r="A55" s="52" t="str">
        <v>Snowline SD - Pinon Hills ES</v>
      </c>
      <c r="B55" s="30" t="str">
        <v>CA</v>
      </c>
      <c r="C55" s="11">
        <f>SUM('1st Qtr'!C55, '2nd Qtr'!C55, '3rd Qtr'!C55, '4th Qtr'!C55)</f>
        <v>43201</v>
      </c>
      <c r="D55" s="18">
        <f>SUM('1st Qtr'!D55, '2nd Qtr'!D55, '3rd Qtr'!D55, '4th Qtr'!D55)</f>
        <v>0</v>
      </c>
      <c r="E55" s="18">
        <f t="shared" si="9"/>
        <v>43201</v>
      </c>
      <c r="F55" s="19" t="str">
        <f t="shared" si="10"/>
        <v/>
      </c>
      <c r="G55" s="20">
        <f>SUM('1st Qtr'!G55, '2nd Qtr'!G55, '3rd Qtr'!G55, '4th Qtr'!G55)</f>
        <v>77709.81</v>
      </c>
      <c r="H55" s="20">
        <f>SUM('1st Qtr'!H55, '2nd Qtr'!H55, '3rd Qtr'!H55, '4th Qtr'!H55)</f>
        <v>-34508.81</v>
      </c>
      <c r="I55" s="19">
        <f t="shared" si="11"/>
        <v>-0.44407276249935496</v>
      </c>
    </row>
    <row r="56" spans="1:9" ht="15.6">
      <c r="A56" s="53" t="str">
        <v>Ramona - Santa Maria WTP</v>
      </c>
      <c r="B56" s="28" t="str">
        <v>CA</v>
      </c>
      <c r="C56" s="24">
        <f>SUM('1st Qtr'!C56, '2nd Qtr'!C56, '3rd Qtr'!C56, '4th Qtr'!C56)</f>
        <v>233199</v>
      </c>
      <c r="D56" s="13">
        <f>SUM('1st Qtr'!D56, '2nd Qtr'!D56, '3rd Qtr'!D56, '4th Qtr'!D56)</f>
        <v>0</v>
      </c>
      <c r="E56" s="13">
        <f t="shared" si="9"/>
        <v>233199</v>
      </c>
      <c r="F56" s="14" t="str">
        <f t="shared" si="10"/>
        <v/>
      </c>
      <c r="G56" s="15">
        <f>SUM('1st Qtr'!G56, '2nd Qtr'!G56, '3rd Qtr'!G56, '4th Qtr'!G56)</f>
        <v>225682.68</v>
      </c>
      <c r="H56" s="15">
        <f>SUM('1st Qtr'!H56, '2nd Qtr'!H56, '3rd Qtr'!H56, '4th Qtr'!H56)</f>
        <v>-38734.399999999994</v>
      </c>
      <c r="I56" s="16">
        <f t="shared" si="11"/>
        <v>-0.17163213410971545</v>
      </c>
    </row>
    <row r="57" spans="1:9" ht="15.6">
      <c r="A57" s="52" t="str">
        <v>Kohls - Redding</v>
      </c>
      <c r="B57" s="30" t="str">
        <v>CA</v>
      </c>
      <c r="C57" s="11">
        <f>SUM('1st Qtr'!C57, '2nd Qtr'!C57, '3rd Qtr'!C57, '4th Qtr'!C57)</f>
        <v>65082</v>
      </c>
      <c r="D57" s="18">
        <f>SUM('1st Qtr'!D57, '2nd Qtr'!D57, '3rd Qtr'!D57, '4th Qtr'!D57)</f>
        <v>0</v>
      </c>
      <c r="E57" s="18">
        <f t="shared" si="9"/>
        <v>65082</v>
      </c>
      <c r="F57" s="19" t="str">
        <f t="shared" si="10"/>
        <v/>
      </c>
      <c r="G57" s="20">
        <f>SUM('1st Qtr'!G57, '2nd Qtr'!G57, '3rd Qtr'!G57, '4th Qtr'!G57)</f>
        <v>88212.53</v>
      </c>
      <c r="H57" s="20">
        <f>SUM('1st Qtr'!H57, '2nd Qtr'!H57, '3rd Qtr'!H57, '4th Qtr'!H57)</f>
        <v>-23130.53</v>
      </c>
      <c r="I57" s="19">
        <f t="shared" si="11"/>
        <v>-0.26221365604183439</v>
      </c>
    </row>
    <row r="58" spans="1:9" ht="15.6">
      <c r="A58" s="53" t="str">
        <v>Kohls - Salinas</v>
      </c>
      <c r="B58" s="28" t="str">
        <v>CA</v>
      </c>
      <c r="C58" s="24">
        <f>SUM('1st Qtr'!C58, '2nd Qtr'!C58, '3rd Qtr'!C58, '4th Qtr'!C58)</f>
        <v>113412</v>
      </c>
      <c r="D58" s="13">
        <f>SUM('1st Qtr'!D58, '2nd Qtr'!D58, '3rd Qtr'!D58, '4th Qtr'!D58)</f>
        <v>0</v>
      </c>
      <c r="E58" s="13">
        <f t="shared" si="9"/>
        <v>113412</v>
      </c>
      <c r="F58" s="14" t="str">
        <f t="shared" si="10"/>
        <v/>
      </c>
      <c r="G58" s="15">
        <f>SUM('1st Qtr'!G58, '2nd Qtr'!G58, '3rd Qtr'!G58, '4th Qtr'!G58)</f>
        <v>245335.67999999999</v>
      </c>
      <c r="H58" s="15">
        <f>SUM('1st Qtr'!H58, '2nd Qtr'!H58, '3rd Qtr'!H58, '4th Qtr'!H58)</f>
        <v>-32136.94</v>
      </c>
      <c r="I58" s="16">
        <f t="shared" si="11"/>
        <v>-0.13099170899234877</v>
      </c>
    </row>
    <row r="59" spans="1:9" ht="15.6">
      <c r="A59" s="52" t="str">
        <v>Kohls - San Bernardino - Central</v>
      </c>
      <c r="B59" s="30" t="str">
        <v>CA</v>
      </c>
      <c r="C59" s="11">
        <f>SUM('1st Qtr'!C59, '2nd Qtr'!C59, '3rd Qtr'!C59, '4th Qtr'!C59)</f>
        <v>327158</v>
      </c>
      <c r="D59" s="18">
        <f>SUM('1st Qtr'!D59, '2nd Qtr'!D59, '3rd Qtr'!D59, '4th Qtr'!D59)</f>
        <v>0</v>
      </c>
      <c r="E59" s="18">
        <f t="shared" si="9"/>
        <v>327158</v>
      </c>
      <c r="F59" s="19" t="str">
        <f t="shared" si="10"/>
        <v/>
      </c>
      <c r="G59" s="20">
        <f>SUM('1st Qtr'!G59, '2nd Qtr'!G59, '3rd Qtr'!G59, '4th Qtr'!G59)</f>
        <v>511857.06000000006</v>
      </c>
      <c r="H59" s="20">
        <f>SUM('1st Qtr'!H59, '2nd Qtr'!H59, '3rd Qtr'!H59, '4th Qtr'!H59)</f>
        <v>-184699.06000000003</v>
      </c>
      <c r="I59" s="19">
        <f t="shared" si="11"/>
        <v>-0.36084109106554085</v>
      </c>
    </row>
    <row r="60" spans="1:9" ht="15.6">
      <c r="A60" s="53" t="str">
        <v>Kohls - Sonora</v>
      </c>
      <c r="B60" s="28" t="str">
        <v>CA</v>
      </c>
      <c r="C60" s="24">
        <f>SUM('1st Qtr'!C60, '2nd Qtr'!C60, '3rd Qtr'!C60, '4th Qtr'!C60)</f>
        <v>86560</v>
      </c>
      <c r="D60" s="13">
        <f>SUM('1st Qtr'!D60, '2nd Qtr'!D60, '3rd Qtr'!D60, '4th Qtr'!D60)</f>
        <v>0</v>
      </c>
      <c r="E60" s="13">
        <f t="shared" si="9"/>
        <v>86560</v>
      </c>
      <c r="F60" s="14" t="str">
        <f t="shared" si="10"/>
        <v/>
      </c>
      <c r="G60" s="15">
        <f>SUM('1st Qtr'!G60, '2nd Qtr'!G60, '3rd Qtr'!G60, '4th Qtr'!G60)</f>
        <v>86918.489999999991</v>
      </c>
      <c r="H60" s="15">
        <f>SUM('1st Qtr'!H60, '2nd Qtr'!H60, '3rd Qtr'!H60, '4th Qtr'!H60)</f>
        <v>-8426.8799999999992</v>
      </c>
      <c r="I60" s="16">
        <f t="shared" si="11"/>
        <v>-9.6951523202945658E-2</v>
      </c>
    </row>
    <row r="61" spans="1:9" ht="15.6">
      <c r="A61" s="52" t="str">
        <v>CUSD - Stratford ES</v>
      </c>
      <c r="B61" s="30" t="str">
        <v>CA</v>
      </c>
      <c r="C61" s="11">
        <f>SUM('1st Qtr'!C61, '2nd Qtr'!C61, '3rd Qtr'!C61, '4th Qtr'!C61)</f>
        <v>83605</v>
      </c>
      <c r="D61" s="18">
        <f>SUM('1st Qtr'!D61, '2nd Qtr'!D61, '3rd Qtr'!D61, '4th Qtr'!D61)</f>
        <v>0</v>
      </c>
      <c r="E61" s="18">
        <f t="shared" si="9"/>
        <v>83605</v>
      </c>
      <c r="F61" s="19" t="str">
        <f t="shared" si="10"/>
        <v/>
      </c>
      <c r="G61" s="20">
        <f>SUM('1st Qtr'!G61, '2nd Qtr'!G61, '3rd Qtr'!G61, '4th Qtr'!G61)</f>
        <v>68180.5</v>
      </c>
      <c r="H61" s="20">
        <f>SUM('1st Qtr'!H61, '2nd Qtr'!H61, '3rd Qtr'!H61, '4th Qtr'!H61)</f>
        <v>15424.500000000002</v>
      </c>
      <c r="I61" s="19">
        <f t="shared" si="11"/>
        <v>0.22623037378722657</v>
      </c>
    </row>
    <row r="62" spans="1:9" ht="15.6">
      <c r="A62" s="53" t="str">
        <v>Taft - City Hall</v>
      </c>
      <c r="B62" s="28" t="str">
        <v>CA</v>
      </c>
      <c r="C62" s="24">
        <f>SUM('1st Qtr'!C62, '2nd Qtr'!C62, '3rd Qtr'!C62, '4th Qtr'!C62)</f>
        <v>5908</v>
      </c>
      <c r="D62" s="13">
        <f>SUM('1st Qtr'!D62, '2nd Qtr'!D62, '3rd Qtr'!D62, '4th Qtr'!D62)</f>
        <v>0</v>
      </c>
      <c r="E62" s="13">
        <f t="shared" si="9"/>
        <v>5908</v>
      </c>
      <c r="F62" s="14" t="str">
        <f t="shared" si="10"/>
        <v/>
      </c>
      <c r="G62" s="15">
        <f>SUM('1st Qtr'!G62, '2nd Qtr'!G62, '3rd Qtr'!G62, '4th Qtr'!G62)</f>
        <v>30665.54</v>
      </c>
      <c r="H62" s="15">
        <f>SUM('1st Qtr'!H62, '2nd Qtr'!H62, '3rd Qtr'!H62, '4th Qtr'!H62)</f>
        <v>-20126.37</v>
      </c>
      <c r="I62" s="16">
        <f t="shared" si="11"/>
        <v>-0.65631878649454722</v>
      </c>
    </row>
    <row r="63" spans="1:9" ht="15.6">
      <c r="A63" s="52" t="str">
        <v>Taft - Federal Prison</v>
      </c>
      <c r="B63" s="30" t="str">
        <v>CA</v>
      </c>
      <c r="C63" s="11">
        <f>SUM('1st Qtr'!C63, '2nd Qtr'!C63, '3rd Qtr'!C63, '4th Qtr'!C63)</f>
        <v>56299</v>
      </c>
      <c r="D63" s="18">
        <f>SUM('1st Qtr'!D63, '2nd Qtr'!D63, '3rd Qtr'!D63, '4th Qtr'!D63)</f>
        <v>0</v>
      </c>
      <c r="E63" s="18">
        <f t="shared" si="9"/>
        <v>56299</v>
      </c>
      <c r="F63" s="19" t="str">
        <f t="shared" si="10"/>
        <v/>
      </c>
      <c r="G63" s="20">
        <f>SUM('1st Qtr'!G63, '2nd Qtr'!G63, '3rd Qtr'!G63, '4th Qtr'!G63)</f>
        <v>43362.53</v>
      </c>
      <c r="H63" s="20">
        <f>SUM('1st Qtr'!H63, '2nd Qtr'!H63, '3rd Qtr'!H63, '4th Qtr'!H63)</f>
        <v>12936.470000000001</v>
      </c>
      <c r="I63" s="19">
        <f t="shared" si="11"/>
        <v>0.29833291553790797</v>
      </c>
    </row>
    <row r="64" spans="1:9" ht="15.6">
      <c r="A64" s="53" t="str">
        <v>Taft - Police Department</v>
      </c>
      <c r="B64" s="28" t="str">
        <v>CA</v>
      </c>
      <c r="C64" s="24">
        <f>SUM('1st Qtr'!C64, '2nd Qtr'!C64, '3rd Qtr'!C64, '4th Qtr'!C64)</f>
        <v>36611</v>
      </c>
      <c r="D64" s="13">
        <f>SUM('1st Qtr'!D64, '2nd Qtr'!D64, '3rd Qtr'!D64, '4th Qtr'!D64)</f>
        <v>0</v>
      </c>
      <c r="E64" s="13">
        <f t="shared" si="9"/>
        <v>36611</v>
      </c>
      <c r="F64" s="14" t="str">
        <f t="shared" si="10"/>
        <v/>
      </c>
      <c r="G64" s="15">
        <f>SUM('1st Qtr'!G64, '2nd Qtr'!G64, '3rd Qtr'!G64, '4th Qtr'!G64)</f>
        <v>54285.180000000008</v>
      </c>
      <c r="H64" s="15">
        <f>SUM('1st Qtr'!H64, '2nd Qtr'!H64, '3rd Qtr'!H64, '4th Qtr'!H64)</f>
        <v>6752.5099999999993</v>
      </c>
      <c r="I64" s="16">
        <f t="shared" si="11"/>
        <v>0.12438956636046888</v>
      </c>
    </row>
    <row r="65" spans="1:9" ht="15.6">
      <c r="A65" s="52" t="str">
        <v>Taft - WTP</v>
      </c>
      <c r="B65" s="30" t="str">
        <v>CA</v>
      </c>
      <c r="C65" s="11">
        <f>SUM('1st Qtr'!C65, '2nd Qtr'!C65, '3rd Qtr'!C65, '4th Qtr'!C65)</f>
        <v>32498</v>
      </c>
      <c r="D65" s="18">
        <f>SUM('1st Qtr'!D65, '2nd Qtr'!D65, '3rd Qtr'!D65, '4th Qtr'!D65)</f>
        <v>0</v>
      </c>
      <c r="E65" s="18">
        <f t="shared" si="9"/>
        <v>32498</v>
      </c>
      <c r="F65" s="19" t="str">
        <f t="shared" si="10"/>
        <v/>
      </c>
      <c r="G65" s="20">
        <f>SUM('1st Qtr'!G65, '2nd Qtr'!G65, '3rd Qtr'!G65, '4th Qtr'!G65)</f>
        <v>86125.23000000001</v>
      </c>
      <c r="H65" s="20">
        <f>SUM('1st Qtr'!H65, '2nd Qtr'!H65, '3rd Qtr'!H65, '4th Qtr'!H65)</f>
        <v>-53627.23</v>
      </c>
      <c r="I65" s="19">
        <f t="shared" si="11"/>
        <v>-0.62266573918002888</v>
      </c>
    </row>
    <row r="66" spans="1:9" ht="15.6">
      <c r="A66" s="53" t="str">
        <v>CDCR - CA Correctional Institution</v>
      </c>
      <c r="B66" s="28" t="str">
        <v>CA</v>
      </c>
      <c r="C66" s="24">
        <f>SUM('1st Qtr'!C66, '2nd Qtr'!C66, '3rd Qtr'!C66, '4th Qtr'!C66)</f>
        <v>544007</v>
      </c>
      <c r="D66" s="13">
        <f>SUM('1st Qtr'!D66, '2nd Qtr'!D66, '3rd Qtr'!D66, '4th Qtr'!D66)</f>
        <v>0</v>
      </c>
      <c r="E66" s="13">
        <f t="shared" si="9"/>
        <v>544007</v>
      </c>
      <c r="F66" s="14" t="str">
        <f t="shared" si="10"/>
        <v/>
      </c>
      <c r="G66" s="15">
        <f>SUM('1st Qtr'!G66, '2nd Qtr'!G66, '3rd Qtr'!G66, '4th Qtr'!G66)</f>
        <v>605368.11</v>
      </c>
      <c r="H66" s="15">
        <f>SUM('1st Qtr'!H66, '2nd Qtr'!H66, '3rd Qtr'!H66, '4th Qtr'!H66)</f>
        <v>-1279.9100000000035</v>
      </c>
      <c r="I66" s="16">
        <f t="shared" si="11"/>
        <v>-2.1142673009319959E-3</v>
      </c>
    </row>
    <row r="67" spans="1:9" ht="15.6">
      <c r="A67" s="52" t="str">
        <v>CDCR - CA Correctional Institution II</v>
      </c>
      <c r="B67" s="30" t="str">
        <v>CA</v>
      </c>
      <c r="C67" s="11">
        <f>SUM('1st Qtr'!C67, '2nd Qtr'!C67, '3rd Qtr'!C67, '4th Qtr'!C67)</f>
        <v>474161</v>
      </c>
      <c r="D67" s="18">
        <f>SUM('1st Qtr'!D67, '2nd Qtr'!D67, '3rd Qtr'!D67, '4th Qtr'!D67)</f>
        <v>0</v>
      </c>
      <c r="E67" s="18">
        <f t="shared" si="9"/>
        <v>474161</v>
      </c>
      <c r="F67" s="19" t="str">
        <f t="shared" si="10"/>
        <v/>
      </c>
      <c r="G67" s="20">
        <f>SUM('1st Qtr'!G67, '2nd Qtr'!G67, '3rd Qtr'!G67, '4th Qtr'!G67)</f>
        <v>827613.99</v>
      </c>
      <c r="H67" s="20">
        <f>SUM('1st Qtr'!H67, '2nd Qtr'!H67, '3rd Qtr'!H67, '4th Qtr'!H67)</f>
        <v>-353452.99</v>
      </c>
      <c r="I67" s="19">
        <f t="shared" si="11"/>
        <v>-0.42707469215207444</v>
      </c>
    </row>
    <row r="68" spans="1:9" ht="15.6">
      <c r="A68" s="53" t="str">
        <v>Snowline SD - Vista Verde ES</v>
      </c>
      <c r="B68" s="28" t="str">
        <v>CA</v>
      </c>
      <c r="C68" s="24">
        <f>SUM('1st Qtr'!C68, '2nd Qtr'!C68, '3rd Qtr'!C68, '4th Qtr'!C68)</f>
        <v>58466</v>
      </c>
      <c r="D68" s="13">
        <f>SUM('1st Qtr'!D68, '2nd Qtr'!D68, '3rd Qtr'!D68, '4th Qtr'!D68)</f>
        <v>0</v>
      </c>
      <c r="E68" s="13">
        <f t="shared" si="9"/>
        <v>58466</v>
      </c>
      <c r="F68" s="14" t="str">
        <f t="shared" si="10"/>
        <v/>
      </c>
      <c r="G68" s="15">
        <f>SUM('1st Qtr'!G68, '2nd Qtr'!G68, '3rd Qtr'!G68, '4th Qtr'!G68)</f>
        <v>66854.41</v>
      </c>
      <c r="H68" s="15">
        <f>SUM('1st Qtr'!H68, '2nd Qtr'!H68, '3rd Qtr'!H68, '4th Qtr'!H68)</f>
        <v>-36490.32</v>
      </c>
      <c r="I68" s="16">
        <f t="shared" si="11"/>
        <v>-0.54581769549682657</v>
      </c>
    </row>
    <row r="69" spans="1:9" ht="15.6">
      <c r="A69" s="52" t="str">
        <v>North Stonington</v>
      </c>
      <c r="B69" s="30" t="str">
        <v>CT</v>
      </c>
      <c r="C69" s="11">
        <f>SUM('1st Qtr'!C69, '2nd Qtr'!C69, '3rd Qtr'!C69, '4th Qtr'!C69)</f>
        <v>4344040</v>
      </c>
      <c r="D69" s="18">
        <f>SUM('1st Qtr'!D69, '2nd Qtr'!D69, '3rd Qtr'!D69, '4th Qtr'!D69)</f>
        <v>0</v>
      </c>
      <c r="E69" s="18">
        <f t="shared" si="9"/>
        <v>4344040</v>
      </c>
      <c r="F69" s="19"/>
      <c r="G69" s="20">
        <f>SUM('1st Qtr'!G69, '2nd Qtr'!G69, '3rd Qtr'!G69, '4th Qtr'!G69)</f>
        <v>0</v>
      </c>
      <c r="H69" s="20">
        <f>SUM('1st Qtr'!H69, '2nd Qtr'!H69, '3rd Qtr'!H69, '4th Qtr'!H69)</f>
        <v>2918160</v>
      </c>
      <c r="I69" s="19" t="str">
        <f t="shared" si="11"/>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48" activePane="bottomRight" state="frozen"/>
      <selection pane="bottomRight" activeCell="G72" sqref="G7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1" t="str" cm="1">
        <f t="array" ref="A1">portfolio</f>
        <v>Silicon Ranch</v>
      </c>
      <c r="B1" s="121"/>
      <c r="C1" s="121"/>
      <c r="D1" s="122" t="s">
        <v>10</v>
      </c>
      <c r="E1" s="122"/>
      <c r="F1" s="122"/>
      <c r="G1" s="120" t="s">
        <v>11</v>
      </c>
      <c r="H1" s="120"/>
      <c r="I1" s="120"/>
    </row>
    <row r="2" spans="1:9" ht="19.5" customHeight="1">
      <c r="A2" s="123" t="s">
        <v>2</v>
      </c>
      <c r="B2" s="123"/>
      <c r="C2" s="5">
        <f>SUM(C4:C100)</f>
        <v>8815983</v>
      </c>
      <c r="D2" s="5">
        <f>SUM(D4:D100)</f>
        <v>0</v>
      </c>
      <c r="E2" s="5">
        <f>C2-D2</f>
        <v>8815983</v>
      </c>
      <c r="F2" s="6">
        <f>IFERROR(E2/D2, 0)</f>
        <v>0</v>
      </c>
      <c r="G2" s="5">
        <f>SUM(G4:G100)</f>
        <v>8396081.6899999995</v>
      </c>
      <c r="H2" s="7">
        <f>C2-G2</f>
        <v>419901.31000000052</v>
      </c>
      <c r="I2" s="6">
        <f>IFERROR(H2/G2, 0)</f>
        <v>5.0011579865893441E-2</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SUM(Jan!C4, Feb!C4, Mar!C4)</f>
        <v>49256</v>
      </c>
      <c r="D4" s="13">
        <f>SUM(Jan!D4, Feb!D4, Mar!D4)</f>
        <v>0</v>
      </c>
      <c r="E4" s="13">
        <f>IF(AND(ISNUMBER(C4),ISNUMBER(D4)), C4-D4, "")</f>
        <v>49256</v>
      </c>
      <c r="F4" s="14" t="str">
        <f>IFERROR(E4/D4, "")</f>
        <v/>
      </c>
      <c r="G4" s="15">
        <f>SUM(Jan!G4, Feb!G4, Mar!G4)</f>
        <v>54649.74</v>
      </c>
      <c r="H4" s="15">
        <f>SUM(Jan!H4, Feb!H4, Mar!H4)</f>
        <v>-5393.739999999998</v>
      </c>
      <c r="I4" s="16">
        <f>IFERROR(H4/G4, "")</f>
        <v>-9.8696535427249946E-2</v>
      </c>
    </row>
    <row r="5" spans="1:9" ht="15.6">
      <c r="A5" s="49" t="str">
        <v>Kohls - Auburn</v>
      </c>
      <c r="B5" s="10" t="str">
        <v>NY</v>
      </c>
      <c r="C5" s="11">
        <f>SUM(Jan!C5, Feb!C5, Mar!C5)</f>
        <v>38514</v>
      </c>
      <c r="D5" s="18">
        <f>SUM(Jan!D5, Feb!D5, Mar!D5)</f>
        <v>0</v>
      </c>
      <c r="E5" s="18">
        <f t="shared" ref="E5:E15" si="0">IF(AND(ISNUMBER(C5),ISNUMBER(D5)), C5-D5, "")</f>
        <v>38514</v>
      </c>
      <c r="F5" s="19" t="str">
        <f>IFERROR(E5/D5, "")</f>
        <v/>
      </c>
      <c r="G5" s="20">
        <f>SUM(Jan!G5, Feb!G5, Mar!G5)</f>
        <v>39136.03</v>
      </c>
      <c r="H5" s="20">
        <f>SUM(Jan!H5, Feb!H5, Mar!H5)</f>
        <v>-622.03000000000156</v>
      </c>
      <c r="I5" s="19">
        <f>IFERROR(H5/G5, "")</f>
        <v>-1.5894049549737201E-2</v>
      </c>
    </row>
    <row r="6" spans="1:9" ht="15.6">
      <c r="A6" s="48" t="str">
        <v>Kohls - Bensalem</v>
      </c>
      <c r="B6" s="9" t="str">
        <v>PA</v>
      </c>
      <c r="C6" s="24">
        <f>SUM(Jan!C6, Feb!C6, Mar!C6)</f>
        <v>72426</v>
      </c>
      <c r="D6" s="13">
        <f>SUM(Jan!D6, Feb!D6, Mar!D6)</f>
        <v>0</v>
      </c>
      <c r="E6" s="13">
        <f t="shared" si="0"/>
        <v>72426</v>
      </c>
      <c r="F6" s="14" t="str">
        <f t="shared" ref="F6:F15" si="1">IFERROR(E6/D6, "")</f>
        <v/>
      </c>
      <c r="G6" s="15">
        <f>SUM(Jan!G6, Feb!G6, Mar!G6)</f>
        <v>65202.38</v>
      </c>
      <c r="H6" s="15">
        <f>SUM(Jan!H6, Feb!H6, Mar!H6)</f>
        <v>7223.6200000000008</v>
      </c>
      <c r="I6" s="16">
        <f t="shared" ref="I6:I69" si="2">IFERROR(H6/G6, "")</f>
        <v>0.11078767370148146</v>
      </c>
    </row>
    <row r="7" spans="1:9" ht="15.6">
      <c r="A7" s="49" t="str">
        <v>Kohls - Brick</v>
      </c>
      <c r="B7" s="10" t="str">
        <v>NJ</v>
      </c>
      <c r="C7" s="11">
        <f>SUM(Jan!C7, Feb!C7, Mar!C7)</f>
        <v>91939</v>
      </c>
      <c r="D7" s="18">
        <f>SUM(Jan!D7, Feb!D7, Mar!D7)</f>
        <v>0</v>
      </c>
      <c r="E7" s="18">
        <f t="shared" si="0"/>
        <v>91939</v>
      </c>
      <c r="F7" s="19" t="str">
        <f t="shared" si="1"/>
        <v/>
      </c>
      <c r="G7" s="20">
        <f>SUM(Jan!G7, Feb!G7, Mar!G7)</f>
        <v>74753.88</v>
      </c>
      <c r="H7" s="20">
        <f>SUM(Jan!H7, Feb!H7, Mar!H7)</f>
        <v>17185.120000000003</v>
      </c>
      <c r="I7" s="19">
        <f t="shared" si="2"/>
        <v>0.22988933818552296</v>
      </c>
    </row>
    <row r="8" spans="1:9" ht="15.6">
      <c r="A8" s="48"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6">
      <c r="A9" s="49" t="str">
        <v>Kohls - Canton</v>
      </c>
      <c r="B9" s="10" t="str">
        <v>CT</v>
      </c>
      <c r="C9" s="11">
        <f>SUM(Jan!C9, Feb!C9, Mar!C9)</f>
        <v>22796</v>
      </c>
      <c r="D9" s="18">
        <f>SUM(Jan!D9, Feb!D9, Mar!D9)</f>
        <v>0</v>
      </c>
      <c r="E9" s="18">
        <f t="shared" si="0"/>
        <v>22796</v>
      </c>
      <c r="F9" s="19" t="str">
        <f t="shared" si="1"/>
        <v/>
      </c>
      <c r="G9" s="20">
        <f>SUM(Jan!G9, Feb!G9, Mar!G9)</f>
        <v>23886.670000000002</v>
      </c>
      <c r="H9" s="20">
        <f>SUM(Jan!H9, Feb!H9, Mar!H9)</f>
        <v>-1090.670000000001</v>
      </c>
      <c r="I9" s="19">
        <f t="shared" si="2"/>
        <v>-4.5660194577142856E-2</v>
      </c>
    </row>
    <row r="10" spans="1:9" ht="15.6">
      <c r="A10" s="48" t="str">
        <v>Kohls - East Amherst</v>
      </c>
      <c r="B10" s="9" t="str">
        <v>NY</v>
      </c>
      <c r="C10" s="24">
        <f>SUM(Jan!C10, Feb!C10, Mar!C10)</f>
        <v>38997</v>
      </c>
      <c r="D10" s="13">
        <f>SUM(Jan!D10, Feb!D10, Mar!D10)</f>
        <v>0</v>
      </c>
      <c r="E10" s="13">
        <f t="shared" si="0"/>
        <v>38997</v>
      </c>
      <c r="F10" s="14" t="str">
        <f t="shared" si="1"/>
        <v/>
      </c>
      <c r="G10" s="15">
        <f>SUM(Jan!G10, Feb!G10, Mar!G10)</f>
        <v>51187.85</v>
      </c>
      <c r="H10" s="15">
        <f>SUM(Jan!H10, Feb!H10, Mar!H10)</f>
        <v>-12190.849999999999</v>
      </c>
      <c r="I10" s="16">
        <f t="shared" si="2"/>
        <v>-0.23815905532269863</v>
      </c>
    </row>
    <row r="11" spans="1:9" ht="15.6">
      <c r="A11" s="49" t="str">
        <v>Kohls - East Brunswick</v>
      </c>
      <c r="B11" s="10" t="str">
        <v>NJ</v>
      </c>
      <c r="C11" s="11">
        <f>SUM(Jan!C11, Feb!C11, Mar!C11)</f>
        <v>101861</v>
      </c>
      <c r="D11" s="18">
        <f>SUM(Jan!D11, Feb!D11, Mar!D11)</f>
        <v>0</v>
      </c>
      <c r="E11" s="18">
        <f t="shared" si="0"/>
        <v>101861</v>
      </c>
      <c r="F11" s="19" t="str">
        <f t="shared" si="1"/>
        <v/>
      </c>
      <c r="G11" s="20">
        <f>SUM(Jan!G11, Feb!G11, Mar!G11)</f>
        <v>99741.599999999991</v>
      </c>
      <c r="H11" s="20">
        <f>SUM(Jan!H11, Feb!H11, Mar!H11)</f>
        <v>2119.4000000000051</v>
      </c>
      <c r="I11" s="19">
        <f t="shared" si="2"/>
        <v>2.1248907176143209E-2</v>
      </c>
    </row>
    <row r="12" spans="1:9" ht="15.6">
      <c r="A12" s="48" t="str">
        <v>Kohls - Edgewood</v>
      </c>
      <c r="B12" s="9" t="str">
        <v>MD</v>
      </c>
      <c r="C12" s="24">
        <f>SUM(Jan!C12, Feb!C12, Mar!C12)</f>
        <v>500770</v>
      </c>
      <c r="D12" s="13">
        <f>SUM(Jan!D12, Feb!D12, Mar!D12)</f>
        <v>0</v>
      </c>
      <c r="E12" s="13">
        <f t="shared" si="0"/>
        <v>500770</v>
      </c>
      <c r="F12" s="14" t="str">
        <f t="shared" si="1"/>
        <v/>
      </c>
      <c r="G12" s="15">
        <f>SUM(Jan!G12, Feb!G12, Mar!G12)</f>
        <v>540853.19999999995</v>
      </c>
      <c r="H12" s="15">
        <f>SUM(Jan!H12, Feb!H12, Mar!H12)</f>
        <v>-40083.200000000012</v>
      </c>
      <c r="I12" s="16">
        <f t="shared" si="2"/>
        <v>-7.4111052684906031E-2</v>
      </c>
    </row>
    <row r="13" spans="1:9" ht="15.6">
      <c r="A13" s="49" t="str">
        <v>Kohls - Granite Run</v>
      </c>
      <c r="B13" s="10" t="str">
        <v>PA</v>
      </c>
      <c r="C13" s="11">
        <f>SUM(Jan!C13, Feb!C13, Mar!C13)</f>
        <v>65152</v>
      </c>
      <c r="D13" s="18">
        <f>SUM(Jan!D13, Feb!D13, Mar!D13)</f>
        <v>0</v>
      </c>
      <c r="E13" s="18">
        <f t="shared" si="0"/>
        <v>65152</v>
      </c>
      <c r="F13" s="19" t="str">
        <f t="shared" si="1"/>
        <v/>
      </c>
      <c r="G13" s="20">
        <f>SUM(Jan!G13, Feb!G13, Mar!G13)</f>
        <v>65257.14</v>
      </c>
      <c r="H13" s="20">
        <f>SUM(Jan!H13, Feb!H13, Mar!H13)</f>
        <v>-105.1399999999976</v>
      </c>
      <c r="I13" s="19">
        <f t="shared" si="2"/>
        <v>-1.6111646940089252E-3</v>
      </c>
    </row>
    <row r="14" spans="1:9" ht="15.6">
      <c r="A14" s="48" t="str">
        <v>Kohls - Greece</v>
      </c>
      <c r="B14" s="9" t="str">
        <v>NY</v>
      </c>
      <c r="C14" s="24">
        <f>SUM(Jan!C14, Feb!C14, Mar!C14)</f>
        <v>33497</v>
      </c>
      <c r="D14" s="13">
        <f>SUM(Jan!D14, Feb!D14, Mar!D14)</f>
        <v>0</v>
      </c>
      <c r="E14" s="13">
        <f t="shared" si="0"/>
        <v>33497</v>
      </c>
      <c r="F14" s="14" t="str">
        <f t="shared" si="1"/>
        <v/>
      </c>
      <c r="G14" s="15">
        <f>SUM(Jan!G14, Feb!G14, Mar!G14)</f>
        <v>51595.13</v>
      </c>
      <c r="H14" s="15">
        <f>SUM(Jan!H14, Feb!H14, Mar!H14)</f>
        <v>-18098.129999999997</v>
      </c>
      <c r="I14" s="16">
        <f t="shared" si="2"/>
        <v>-0.35077205930094563</v>
      </c>
    </row>
    <row r="15" spans="1:9" ht="15.6">
      <c r="A15" s="49" t="str">
        <v>Kohls - Hanover</v>
      </c>
      <c r="B15" s="10" t="str">
        <v>PA</v>
      </c>
      <c r="C15" s="11">
        <f>SUM(Jan!C15, Feb!C15, Mar!C15)</f>
        <v>74462</v>
      </c>
      <c r="D15" s="18">
        <f>SUM(Jan!D15, Feb!D15, Mar!D15)</f>
        <v>0</v>
      </c>
      <c r="E15" s="18">
        <f t="shared" si="0"/>
        <v>74462</v>
      </c>
      <c r="F15" s="19" t="str">
        <f t="shared" si="1"/>
        <v/>
      </c>
      <c r="G15" s="20">
        <f>SUM(Jan!G15, Feb!G15, Mar!G15)</f>
        <v>73222.490000000005</v>
      </c>
      <c r="H15" s="20">
        <f>SUM(Jan!H15, Feb!H15, Mar!H15)</f>
        <v>1239.5099999999984</v>
      </c>
      <c r="I15" s="19">
        <f t="shared" si="2"/>
        <v>1.692799575649501E-2</v>
      </c>
    </row>
    <row r="16" spans="1:9" ht="15.6">
      <c r="A16" s="48" t="str">
        <v>Kohls - Horsehead</v>
      </c>
      <c r="B16" s="9" t="str">
        <v>NY</v>
      </c>
      <c r="C16" s="24">
        <f>SUM(Jan!C16, Feb!C16, Mar!C16)</f>
        <v>44770</v>
      </c>
      <c r="D16" s="13">
        <f>SUM(Jan!D16, Feb!D16, Mar!D16)</f>
        <v>0</v>
      </c>
      <c r="E16" s="13">
        <f t="shared" ref="E16:E18" si="3">IF(AND(ISNUMBER(C16),ISNUMBER(D16)), C16-D16, "")</f>
        <v>44770</v>
      </c>
      <c r="F16" s="14" t="str">
        <f t="shared" ref="F16:F18" si="4">IFERROR(E16/D16, "")</f>
        <v/>
      </c>
      <c r="G16" s="15">
        <f>SUM(Jan!G16, Feb!G16, Mar!G16)</f>
        <v>53409.39</v>
      </c>
      <c r="H16" s="15">
        <f>SUM(Jan!H16, Feb!H16, Mar!H16)</f>
        <v>-8639.39</v>
      </c>
      <c r="I16" s="16">
        <f t="shared" si="2"/>
        <v>-0.16175788564520208</v>
      </c>
    </row>
    <row r="17" spans="1:9" ht="15.6">
      <c r="A17" s="49" t="str">
        <v>Kohls - Hudson</v>
      </c>
      <c r="B17" s="10" t="str">
        <v>NY</v>
      </c>
      <c r="C17" s="11">
        <f>SUM(Jan!C17, Feb!C17, Mar!C17)</f>
        <v>55206</v>
      </c>
      <c r="D17" s="18">
        <f>SUM(Jan!D17, Feb!D17, Mar!D17)</f>
        <v>0</v>
      </c>
      <c r="E17" s="18">
        <f t="shared" si="3"/>
        <v>55206</v>
      </c>
      <c r="F17" s="19" t="str">
        <f t="shared" si="4"/>
        <v/>
      </c>
      <c r="G17" s="20">
        <f>SUM(Jan!G17, Feb!G17, Mar!G17)</f>
        <v>60860.770000000004</v>
      </c>
      <c r="H17" s="20">
        <f>SUM(Jan!H17, Feb!H17, Mar!H17)</f>
        <v>-5654.7700000000023</v>
      </c>
      <c r="I17" s="19">
        <f t="shared" si="2"/>
        <v>-9.2913218153500218E-2</v>
      </c>
    </row>
    <row r="18" spans="1:9" ht="12.75" customHeight="1">
      <c r="A18" s="48" t="str">
        <v>Kohls - Ithaca</v>
      </c>
      <c r="B18" s="9" t="str">
        <v>NY</v>
      </c>
      <c r="C18" s="24">
        <f>SUM(Jan!C18, Feb!C18, Mar!C18)</f>
        <v>43855</v>
      </c>
      <c r="D18" s="13">
        <f>SUM(Jan!D18, Feb!D18, Mar!D18)</f>
        <v>0</v>
      </c>
      <c r="E18" s="13">
        <f t="shared" si="3"/>
        <v>43855</v>
      </c>
      <c r="F18" s="14" t="str">
        <f t="shared" si="4"/>
        <v/>
      </c>
      <c r="G18" s="15">
        <f>SUM(Jan!G18, Feb!G18, Mar!G18)</f>
        <v>56649.120000000003</v>
      </c>
      <c r="H18" s="15">
        <f>SUM(Jan!H18, Feb!H18, Mar!H18)</f>
        <v>-12794.12</v>
      </c>
      <c r="I18" s="16">
        <f t="shared" si="2"/>
        <v>-0.22584852156573659</v>
      </c>
    </row>
    <row r="19" spans="1:9" ht="15.6">
      <c r="A19" s="49" t="str">
        <v>Kohls - Kingston</v>
      </c>
      <c r="B19" s="10" t="str">
        <v>NY</v>
      </c>
      <c r="C19" s="11">
        <f>SUM(Jan!C19, Feb!C19, Mar!C19)</f>
        <v>71928</v>
      </c>
      <c r="D19" s="18">
        <f>SUM(Jan!D19, Feb!D19, Mar!D19)</f>
        <v>0</v>
      </c>
      <c r="E19" s="18">
        <f t="shared" ref="E19:E25" si="5">IF(AND(ISNUMBER(C19),ISNUMBER(D19)), C19-D19, "")</f>
        <v>71928</v>
      </c>
      <c r="F19" s="19" t="str">
        <f t="shared" ref="F19:F25" si="6">IFERROR(E19/D19, "")</f>
        <v/>
      </c>
      <c r="G19" s="20">
        <f>SUM(Jan!G19, Feb!G19, Mar!G19)</f>
        <v>88222.68</v>
      </c>
      <c r="H19" s="20">
        <f>SUM(Jan!H19, Feb!H19, Mar!H19)</f>
        <v>-16294.679999999997</v>
      </c>
      <c r="I19" s="19">
        <f t="shared" si="2"/>
        <v>-0.18469944463260465</v>
      </c>
    </row>
    <row r="20" spans="1:9" ht="15.6">
      <c r="A20" s="48" t="str">
        <v>Kohls - Mechanicsburg</v>
      </c>
      <c r="B20" s="9" t="str">
        <v>PA</v>
      </c>
      <c r="C20" s="24">
        <f>SUM(Jan!C20, Feb!C20, Mar!C20)</f>
        <v>84942</v>
      </c>
      <c r="D20" s="13">
        <f>SUM(Jan!D20, Feb!D20, Mar!D20)</f>
        <v>0</v>
      </c>
      <c r="E20" s="13">
        <f t="shared" si="5"/>
        <v>84942</v>
      </c>
      <c r="F20" s="14" t="str">
        <f t="shared" si="6"/>
        <v/>
      </c>
      <c r="G20" s="15">
        <f>SUM(Jan!G20, Feb!G20, Mar!G20)</f>
        <v>83857.58</v>
      </c>
      <c r="H20" s="15">
        <f>SUM(Jan!H20, Feb!H20, Mar!H20)</f>
        <v>1084.4199999999983</v>
      </c>
      <c r="I20" s="16">
        <f t="shared" si="2"/>
        <v>1.2931687272635321E-2</v>
      </c>
    </row>
    <row r="21" spans="1:9" ht="15.6">
      <c r="A21" s="49" t="str">
        <v>Kohls - Middletown</v>
      </c>
      <c r="B21" s="10" t="str">
        <v>NJ</v>
      </c>
      <c r="C21" s="11">
        <f>SUM(Jan!C21, Feb!C21, Mar!C21)</f>
        <v>132430</v>
      </c>
      <c r="D21" s="18">
        <f>SUM(Jan!D21, Feb!D21, Mar!D21)</f>
        <v>0</v>
      </c>
      <c r="E21" s="18">
        <f t="shared" si="5"/>
        <v>132430</v>
      </c>
      <c r="F21" s="19" t="str">
        <f t="shared" si="6"/>
        <v/>
      </c>
      <c r="G21" s="20">
        <f>SUM(Jan!G21, Feb!G21, Mar!G21)</f>
        <v>118223.06</v>
      </c>
      <c r="H21" s="20">
        <f>SUM(Jan!H21, Feb!H21, Mar!H21)</f>
        <v>14206.939999999999</v>
      </c>
      <c r="I21" s="19">
        <f t="shared" si="2"/>
        <v>0.1201706333772785</v>
      </c>
    </row>
    <row r="22" spans="1:9" ht="15.6">
      <c r="A22" s="48"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6">
      <c r="A23" s="49" t="str">
        <v>Kohls - Staten Island</v>
      </c>
      <c r="B23" s="10" t="str">
        <v>NY</v>
      </c>
      <c r="C23" s="11">
        <f>SUM(Jan!C23, Feb!C23, Mar!C23)</f>
        <v>53681</v>
      </c>
      <c r="D23" s="18">
        <f>SUM(Jan!D23, Feb!D23, Mar!D23)</f>
        <v>0</v>
      </c>
      <c r="E23" s="18">
        <f t="shared" si="5"/>
        <v>53681</v>
      </c>
      <c r="F23" s="19" t="str">
        <f t="shared" si="6"/>
        <v/>
      </c>
      <c r="G23" s="20">
        <f>SUM(Jan!G23, Feb!G23, Mar!G24)</f>
        <v>72887.91</v>
      </c>
      <c r="H23" s="20">
        <f>SUM(Jan!H23, Feb!H23, Mar!H23)</f>
        <v>-14695.289999999999</v>
      </c>
      <c r="I23" s="19">
        <f t="shared" si="2"/>
        <v>-0.20161491802961559</v>
      </c>
    </row>
    <row r="24" spans="1:9" ht="15.6">
      <c r="A24" s="48" t="str">
        <v>Kohls - Warminster</v>
      </c>
      <c r="B24" s="9" t="str">
        <v>PA</v>
      </c>
      <c r="C24" s="24">
        <f>SUM(Jan!C24, Feb!C24, Mar!C24)</f>
        <v>86449</v>
      </c>
      <c r="D24" s="13">
        <f>SUM(Jan!D24, Feb!D24, Mar!D24)</f>
        <v>0</v>
      </c>
      <c r="E24" s="13">
        <f t="shared" si="5"/>
        <v>86449</v>
      </c>
      <c r="F24" s="14" t="str">
        <f t="shared" si="6"/>
        <v/>
      </c>
      <c r="G24" s="15">
        <f>SUM(Jan!G24, Feb!G24, Mar!G25)</f>
        <v>72227.48000000001</v>
      </c>
      <c r="H24" s="15">
        <f>SUM(Jan!H24, Feb!H24, Mar!H24)</f>
        <v>6261.4900000000016</v>
      </c>
      <c r="I24" s="16">
        <f t="shared" si="2"/>
        <v>8.6691242723683573E-2</v>
      </c>
    </row>
    <row r="25" spans="1:9" ht="15.6">
      <c r="A25" s="49" t="str">
        <v xml:space="preserve">Kohls - Waterbury </v>
      </c>
      <c r="B25" s="10" t="str">
        <v>CT</v>
      </c>
      <c r="C25" s="11">
        <f>SUM(Jan!C25, Feb!C25, Mar!C25)</f>
        <v>52627</v>
      </c>
      <c r="D25" s="18">
        <f>SUM(Jan!D25, Feb!D25, Mar!D25)</f>
        <v>0</v>
      </c>
      <c r="E25" s="18">
        <f t="shared" si="5"/>
        <v>52627</v>
      </c>
      <c r="F25" s="19" t="str">
        <f t="shared" si="6"/>
        <v/>
      </c>
      <c r="G25" s="20">
        <f>SUM(Jan!G25, Feb!G25,Mar!G25)</f>
        <v>63024.39</v>
      </c>
      <c r="H25" s="20">
        <f>SUM(Jan!H25, Feb!H25, Mar!H25)</f>
        <v>-10397.389999999998</v>
      </c>
      <c r="I25" s="19">
        <f t="shared" si="2"/>
        <v>-0.1649740679759058</v>
      </c>
    </row>
    <row r="26" spans="1:9" ht="15.6">
      <c r="A26" s="48" t="str">
        <v>Mojave Water Agency - Headquarters</v>
      </c>
      <c r="B26" s="9" t="str">
        <v>CA</v>
      </c>
      <c r="C26" s="24">
        <f>SUM(Jan!C26, Feb!C26, Mar!C26)</f>
        <v>97224</v>
      </c>
      <c r="D26" s="13">
        <f>SUM(Jan!D26, Feb!D26, Mar!D26)</f>
        <v>0</v>
      </c>
      <c r="E26" s="13">
        <f t="shared" ref="E26:E69" si="7">IF(AND(ISNUMBER(C26),ISNUMBER(D26)), C26-D26, "")</f>
        <v>97224</v>
      </c>
      <c r="F26" s="14" t="str">
        <f t="shared" ref="F26:F69" si="8">IFERROR(E26/D26, "")</f>
        <v/>
      </c>
      <c r="G26" s="15">
        <f>SUM(Jan!G26, Feb!G26, Mar!G27)</f>
        <v>169730.46</v>
      </c>
      <c r="H26" s="15">
        <f>SUM(Jan!H26, Feb!H26, Mar!H26)</f>
        <v>10627.400000000001</v>
      </c>
      <c r="I26" s="16">
        <f t="shared" si="2"/>
        <v>6.2613393023267613E-2</v>
      </c>
    </row>
    <row r="27" spans="1:9" ht="15.6">
      <c r="A27" s="49" t="str">
        <v>CSU - Bakersfield</v>
      </c>
      <c r="B27" s="10" t="str">
        <v>CA</v>
      </c>
      <c r="C27" s="11">
        <f>SUM(Jan!C27, Feb!C27, Mar!C27)</f>
        <v>286399</v>
      </c>
      <c r="D27" s="18">
        <f>SUM(Jan!D27, Feb!D27, Mar!D27)</f>
        <v>0</v>
      </c>
      <c r="E27" s="18">
        <f t="shared" si="7"/>
        <v>286399</v>
      </c>
      <c r="F27" s="19" t="str">
        <f t="shared" si="8"/>
        <v/>
      </c>
      <c r="G27" s="20">
        <f>SUM(Jan!G27, Feb!G27,Mar!G27)</f>
        <v>257127.57</v>
      </c>
      <c r="H27" s="20">
        <f>SUM(Jan!H27, Feb!H27, Mar!H27)</f>
        <v>29271.430000000008</v>
      </c>
      <c r="I27" s="19">
        <f t="shared" si="2"/>
        <v>0.11384010668323123</v>
      </c>
    </row>
    <row r="28" spans="1:9" ht="15.6">
      <c r="A28" s="48" t="str">
        <v>Greenfield USD - Fairfield ES</v>
      </c>
      <c r="B28" s="9" t="str">
        <v>CA</v>
      </c>
      <c r="C28" s="24">
        <f>SUM(Jan!C28, Feb!C28, Mar!C28)</f>
        <v>30631</v>
      </c>
      <c r="D28" s="13">
        <f>SUM(Jan!D28, Feb!D28, Mar!D28)</f>
        <v>0</v>
      </c>
      <c r="E28" s="13">
        <f t="shared" si="7"/>
        <v>30631</v>
      </c>
      <c r="F28" s="14" t="str">
        <f t="shared" si="8"/>
        <v/>
      </c>
      <c r="G28" s="15">
        <f>SUM(Jan!G28, Feb!G28, Mar!G29)</f>
        <v>44355.33</v>
      </c>
      <c r="H28" s="15">
        <f>SUM(Jan!H28, Feb!H28, Mar!H28)</f>
        <v>4470.4400000000005</v>
      </c>
      <c r="I28" s="16">
        <f t="shared" si="2"/>
        <v>0.100786985464881</v>
      </c>
    </row>
    <row r="29" spans="1:9" ht="15.6">
      <c r="A29" s="49" t="str">
        <v>Greenfield USD - Granite Point ES</v>
      </c>
      <c r="B29" s="10" t="str">
        <v>CA</v>
      </c>
      <c r="C29" s="11">
        <f>SUM(Jan!C29, Feb!C29, Mar!C29)</f>
        <v>84450</v>
      </c>
      <c r="D29" s="18">
        <f>SUM(Jan!D29, Feb!D29, Mar!D29)</f>
        <v>0</v>
      </c>
      <c r="E29" s="18">
        <f t="shared" si="7"/>
        <v>84450</v>
      </c>
      <c r="F29" s="19" t="str">
        <f t="shared" si="8"/>
        <v/>
      </c>
      <c r="G29" s="20">
        <f>SUM(Jan!G29, Feb!G29,Mar!G29)</f>
        <v>68700.23000000001</v>
      </c>
      <c r="H29" s="20">
        <f>SUM(Jan!H29, Feb!H29, Mar!H29)</f>
        <v>15749.77</v>
      </c>
      <c r="I29" s="19">
        <f t="shared" si="2"/>
        <v>0.22925352651657788</v>
      </c>
    </row>
    <row r="30" spans="1:9" ht="15.6">
      <c r="A30" s="48" t="str">
        <v>Greenfield USD - Greenfield MS</v>
      </c>
      <c r="B30" s="9" t="str">
        <v>CA</v>
      </c>
      <c r="C30" s="24">
        <f>SUM(Jan!C30, Feb!C30, Mar!C30)</f>
        <v>45940</v>
      </c>
      <c r="D30" s="13">
        <f>SUM(Jan!D30, Feb!D30, Mar!D30)</f>
        <v>0</v>
      </c>
      <c r="E30" s="13">
        <f t="shared" si="7"/>
        <v>45940</v>
      </c>
      <c r="F30" s="14" t="str">
        <f t="shared" si="8"/>
        <v/>
      </c>
      <c r="G30" s="15">
        <f>SUM(Jan!G30, Feb!G30, Mar!G31)</f>
        <v>49111.119999999995</v>
      </c>
      <c r="H30" s="15">
        <f>SUM(Jan!H30, Feb!H30, Mar!H30)</f>
        <v>6930.4419999999991</v>
      </c>
      <c r="I30" s="16">
        <f t="shared" si="2"/>
        <v>0.14111757174342593</v>
      </c>
    </row>
    <row r="31" spans="1:9" ht="15.6">
      <c r="A31" s="49" t="str">
        <v>Greenfield USD - Horizon ES</v>
      </c>
      <c r="B31" s="10" t="str">
        <v>CA</v>
      </c>
      <c r="C31" s="11">
        <f>SUM(Jan!C31, Feb!C31, Mar!C31)</f>
        <v>76985</v>
      </c>
      <c r="D31" s="18">
        <f>SUM(Jan!D31, Feb!D31, Mar!D31)</f>
        <v>0</v>
      </c>
      <c r="E31" s="18">
        <f t="shared" si="7"/>
        <v>76985</v>
      </c>
      <c r="F31" s="19" t="str">
        <f t="shared" si="8"/>
        <v/>
      </c>
      <c r="G31" s="20">
        <f>SUM(Jan!G31, Feb!G31,Mar!G31)</f>
        <v>70247.87999999999</v>
      </c>
      <c r="H31" s="20">
        <f>SUM(Jan!H31, Feb!H31, Mar!H31)</f>
        <v>6737.1200000000026</v>
      </c>
      <c r="I31" s="19">
        <f t="shared" si="2"/>
        <v>9.5904958270626867E-2</v>
      </c>
    </row>
    <row r="32" spans="1:9" ht="15.6">
      <c r="A32" s="48" t="str">
        <v>Greenfield USD - McKee MS</v>
      </c>
      <c r="B32" s="9" t="str">
        <v>CA</v>
      </c>
      <c r="C32" s="24">
        <f>SUM(Jan!C32, Feb!C32, Mar!C32)</f>
        <v>37266</v>
      </c>
      <c r="D32" s="13">
        <f>SUM(Jan!D32, Feb!D32, Mar!D32)</f>
        <v>0</v>
      </c>
      <c r="E32" s="13">
        <f t="shared" si="7"/>
        <v>37266</v>
      </c>
      <c r="F32" s="14" t="str">
        <f t="shared" si="8"/>
        <v/>
      </c>
      <c r="G32" s="15">
        <f>SUM(Jan!G32, Feb!G32, Mar!G33)</f>
        <v>37725.43</v>
      </c>
      <c r="H32" s="15">
        <f>SUM(Jan!H32, Feb!H32, Mar!H32)</f>
        <v>-5707.84</v>
      </c>
      <c r="I32" s="16">
        <f t="shared" si="2"/>
        <v>-0.15129953455798914</v>
      </c>
    </row>
    <row r="33" spans="1:9" ht="15.6">
      <c r="A33" s="49" t="str">
        <v>Greenfield USD - Plantation ES</v>
      </c>
      <c r="B33" s="10" t="str">
        <v>CA</v>
      </c>
      <c r="C33" s="11">
        <f>SUM(Jan!C33, Feb!C33, Mar!C33)</f>
        <v>36245</v>
      </c>
      <c r="D33" s="18">
        <f>SUM(Jan!D33, Feb!D33, Mar!D33)</f>
        <v>0</v>
      </c>
      <c r="E33" s="18">
        <f t="shared" si="7"/>
        <v>36245</v>
      </c>
      <c r="F33" s="19" t="str">
        <f t="shared" si="8"/>
        <v/>
      </c>
      <c r="G33" s="20">
        <f>SUM(Jan!G33, Feb!G33,Mar!G33)</f>
        <v>30727.229999999996</v>
      </c>
      <c r="H33" s="20">
        <f>SUM(Jan!H33, Feb!H33, Mar!H33)</f>
        <v>5517.77</v>
      </c>
      <c r="I33" s="19">
        <f t="shared" si="2"/>
        <v>0.17957264615131274</v>
      </c>
    </row>
    <row r="34" spans="1:9" ht="15.6">
      <c r="A34" s="48" t="str">
        <v>Greenfield USD - Planz ES</v>
      </c>
      <c r="B34" s="9" t="str">
        <v>CA</v>
      </c>
      <c r="C34" s="24">
        <f>SUM(Jan!C34, Feb!C34, Mar!C34)</f>
        <v>13923</v>
      </c>
      <c r="D34" s="13">
        <f>SUM(Jan!D34, Feb!D34, Mar!D34)</f>
        <v>0</v>
      </c>
      <c r="E34" s="13">
        <f t="shared" si="7"/>
        <v>13923</v>
      </c>
      <c r="F34" s="14" t="str">
        <f t="shared" si="8"/>
        <v/>
      </c>
      <c r="G34" s="15">
        <f>SUM(Jan!G34, Feb!G34, Mar!G35)</f>
        <v>52884.98</v>
      </c>
      <c r="H34" s="15">
        <f>SUM(Jan!H34, Feb!H34, Mar!H34)</f>
        <v>-20845.34</v>
      </c>
      <c r="I34" s="16">
        <f t="shared" si="2"/>
        <v>-0.39416371151128354</v>
      </c>
    </row>
    <row r="35" spans="1:9" ht="15.6">
      <c r="A35" s="49" t="str">
        <v>Greenfield USD - Raffaello Palla ES</v>
      </c>
      <c r="B35" s="10" t="str">
        <v>CA</v>
      </c>
      <c r="C35" s="11">
        <f>SUM(Jan!C35, Feb!C35, Mar!C35)</f>
        <v>78218</v>
      </c>
      <c r="D35" s="18">
        <f>SUM(Jan!D35, Feb!D35, Mar!D35)</f>
        <v>0</v>
      </c>
      <c r="E35" s="18">
        <f t="shared" si="7"/>
        <v>78218</v>
      </c>
      <c r="F35" s="19" t="str">
        <f t="shared" si="8"/>
        <v/>
      </c>
      <c r="G35" s="20">
        <f>SUM(Jan!G35, Feb!G35,Mar!G35)</f>
        <v>77136.540000000008</v>
      </c>
      <c r="H35" s="20">
        <f>SUM(Jan!H35, Feb!H35, Mar!H35)</f>
        <v>1081.4599999999991</v>
      </c>
      <c r="I35" s="19">
        <f t="shared" si="2"/>
        <v>1.4020074014209077E-2</v>
      </c>
    </row>
    <row r="36" spans="1:9" ht="15.6">
      <c r="A36" s="48" t="str">
        <v>Greenfield USD - Valle Verde ES</v>
      </c>
      <c r="B36" s="9" t="str">
        <v>CA</v>
      </c>
      <c r="C36" s="24">
        <f>SUM(Jan!C36, Feb!C36, Mar!C36)</f>
        <v>93360</v>
      </c>
      <c r="D36" s="13">
        <f>SUM(Jan!D36, Feb!D36, Mar!D36)</f>
        <v>0</v>
      </c>
      <c r="E36" s="13">
        <f t="shared" si="7"/>
        <v>93360</v>
      </c>
      <c r="F36" s="14" t="str">
        <f t="shared" si="8"/>
        <v/>
      </c>
      <c r="G36" s="15">
        <f>SUM(Jan!G36, Feb!G36, Mar!G37)</f>
        <v>53460.28</v>
      </c>
      <c r="H36" s="15">
        <f>SUM(Jan!H36, Feb!H36, Mar!H36)</f>
        <v>20983.41</v>
      </c>
      <c r="I36" s="16">
        <f t="shared" si="2"/>
        <v>0.39250467823962015</v>
      </c>
    </row>
    <row r="37" spans="1:9" ht="15.6">
      <c r="A37" s="49" t="str">
        <v>Greenfield USD - W.A. Kendrick ES</v>
      </c>
      <c r="B37" s="10" t="str">
        <v>CA</v>
      </c>
      <c r="C37" s="11">
        <f>SUM(Jan!C37, Feb!C37, Mar!C37)</f>
        <v>15461</v>
      </c>
      <c r="D37" s="18">
        <f>SUM(Jan!D37, Feb!D37, Mar!D37)</f>
        <v>0</v>
      </c>
      <c r="E37" s="18">
        <f t="shared" si="7"/>
        <v>15461</v>
      </c>
      <c r="F37" s="19" t="str">
        <f t="shared" si="8"/>
        <v/>
      </c>
      <c r="G37" s="20">
        <f>SUM(Jan!G37, Feb!G37,Mar!G37)</f>
        <v>27900.949999999997</v>
      </c>
      <c r="H37" s="20">
        <f>SUM(Jan!H37, Feb!H37, Mar!H37)</f>
        <v>-12439.95</v>
      </c>
      <c r="I37" s="19">
        <f t="shared" si="2"/>
        <v>-0.44586116243353729</v>
      </c>
    </row>
    <row r="38" spans="1:9" ht="15.6">
      <c r="A38" s="48"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6">
      <c r="A39" s="49" t="str">
        <v>Muroc Joint USD - W. Boron ES</v>
      </c>
      <c r="B39" s="10" t="str">
        <v>CA</v>
      </c>
      <c r="C39" s="11">
        <f>SUM(Jan!C39, Feb!C39, Mar!C39)</f>
        <v>32348</v>
      </c>
      <c r="D39" s="18">
        <f>SUM(Jan!D39, Feb!D39, Mar!D39)</f>
        <v>0</v>
      </c>
      <c r="E39" s="18">
        <f t="shared" si="7"/>
        <v>32348</v>
      </c>
      <c r="F39" s="19" t="str">
        <f t="shared" si="8"/>
        <v/>
      </c>
      <c r="G39" s="20">
        <f>SUM(Jan!G39, Feb!G39,Mar!G39)</f>
        <v>30870.400000000001</v>
      </c>
      <c r="H39" s="20">
        <f>SUM(Jan!H39, Feb!H39, Mar!H39)</f>
        <v>1477.5999999999985</v>
      </c>
      <c r="I39" s="19">
        <f t="shared" si="2"/>
        <v>4.786462112573852E-2</v>
      </c>
    </row>
    <row r="40" spans="1:9" ht="15.6">
      <c r="A40" s="48" t="str">
        <v>Colusa - WTP</v>
      </c>
      <c r="B40" s="9" t="str">
        <v>CA</v>
      </c>
      <c r="C40" s="24">
        <f>SUM(Jan!C40, Feb!C40, Mar!C40)</f>
        <v>0</v>
      </c>
      <c r="D40" s="13">
        <f>SUM(Jan!D40, Feb!D40, Mar!D40)</f>
        <v>0</v>
      </c>
      <c r="E40" s="13">
        <f t="shared" si="7"/>
        <v>0</v>
      </c>
      <c r="F40" s="14" t="str">
        <f t="shared" si="8"/>
        <v/>
      </c>
      <c r="G40" s="15">
        <f>SUM(Jan!G40, Feb!G40, Mar!G41)</f>
        <v>121255.59</v>
      </c>
      <c r="H40" s="15">
        <f>SUM(Jan!H40, Feb!H40, Mar!H40)</f>
        <v>-83651.299999999988</v>
      </c>
      <c r="I40" s="16">
        <f t="shared" si="2"/>
        <v>-0.68987582345688137</v>
      </c>
    </row>
    <row r="41" spans="1:9" ht="15.6">
      <c r="A41" s="49" t="str">
        <v>CDCR-North Kern State Prision</v>
      </c>
      <c r="B41" s="10" t="str">
        <v>CA</v>
      </c>
      <c r="C41" s="11">
        <f>SUM(Jan!C41, Feb!C41, Mar!C41)</f>
        <v>213645</v>
      </c>
      <c r="D41" s="18">
        <f>SUM(Jan!D41, Feb!D41, Mar!D41)</f>
        <v>0</v>
      </c>
      <c r="E41" s="18">
        <f t="shared" si="7"/>
        <v>213645</v>
      </c>
      <c r="F41" s="19" t="str">
        <f t="shared" si="8"/>
        <v/>
      </c>
      <c r="G41" s="20">
        <f>SUM(Jan!G41, Feb!G41,Mar!G41)</f>
        <v>266515.87</v>
      </c>
      <c r="H41" s="20">
        <f>SUM(Jan!H41, Feb!H41, Mar!H41)</f>
        <v>-52870.87000000001</v>
      </c>
      <c r="I41" s="19">
        <f t="shared" si="2"/>
        <v>-0.19837794274689913</v>
      </c>
    </row>
    <row r="42" spans="1:9" ht="15.6">
      <c r="A42" s="48" t="str">
        <v>Muroc Joint USD - District Office</v>
      </c>
      <c r="B42" s="9" t="str">
        <v>CA</v>
      </c>
      <c r="C42" s="24">
        <f>SUM(Jan!C42, Feb!C42, Mar!C42)</f>
        <v>16194</v>
      </c>
      <c r="D42" s="13">
        <f>SUM(Jan!D42, Feb!D42, Mar!D42)</f>
        <v>0</v>
      </c>
      <c r="E42" s="13">
        <f t="shared" si="7"/>
        <v>16194</v>
      </c>
      <c r="F42" s="14" t="str">
        <f t="shared" si="8"/>
        <v/>
      </c>
      <c r="G42" s="15">
        <f>SUM(Jan!G42, Feb!G42, Mar!G43)</f>
        <v>31773.82</v>
      </c>
      <c r="H42" s="15">
        <f>SUM(Jan!H42, Feb!H42, Mar!H42)</f>
        <v>-5546.9399999999987</v>
      </c>
      <c r="I42" s="16">
        <f t="shared" si="2"/>
        <v>-0.17457579856624098</v>
      </c>
    </row>
    <row r="43" spans="1:9" ht="15.6">
      <c r="A43" s="49" t="str">
        <v>Whole Foods - Manhattan Beach</v>
      </c>
      <c r="B43" s="10" t="str">
        <v>CA</v>
      </c>
      <c r="C43" s="11">
        <f>SUM(Jan!C43, Feb!C43, Mar!C43)</f>
        <v>39241</v>
      </c>
      <c r="D43" s="18">
        <f>SUM(Jan!D43, Feb!D43, Mar!D43)</f>
        <v>0</v>
      </c>
      <c r="E43" s="18">
        <f t="shared" si="7"/>
        <v>39241</v>
      </c>
      <c r="F43" s="19" t="str">
        <f t="shared" si="8"/>
        <v/>
      </c>
      <c r="G43" s="20">
        <f>SUM(Jan!G43, Feb!G43,Mar!G43)</f>
        <v>48623.56</v>
      </c>
      <c r="H43" s="20">
        <f>SUM(Jan!H43, Feb!H43, Mar!H43)</f>
        <v>-9382.5599999999977</v>
      </c>
      <c r="I43" s="19">
        <f t="shared" si="2"/>
        <v>-0.19296324662365319</v>
      </c>
    </row>
    <row r="44" spans="1:9" ht="15.6">
      <c r="A44" s="48" t="str">
        <v>Pioneer USD - Frontier ES</v>
      </c>
      <c r="B44" s="9" t="str">
        <v>CA</v>
      </c>
      <c r="C44" s="24">
        <f>SUM(Jan!C44, Feb!C44, Mar!C44)</f>
        <v>68667</v>
      </c>
      <c r="D44" s="13">
        <f>SUM(Jan!D44, Feb!D44, Mar!D44)</f>
        <v>0</v>
      </c>
      <c r="E44" s="13">
        <f t="shared" si="7"/>
        <v>68667</v>
      </c>
      <c r="F44" s="14" t="str">
        <f t="shared" si="8"/>
        <v/>
      </c>
      <c r="G44" s="15">
        <f>SUM(Jan!G44, Feb!G44, Mar!G45)</f>
        <v>61922.17</v>
      </c>
      <c r="H44" s="15">
        <f>SUM(Jan!H44, Feb!H44, Mar!H44)</f>
        <v>7535.0299999999988</v>
      </c>
      <c r="I44" s="16">
        <f t="shared" si="2"/>
        <v>0.12168549648696096</v>
      </c>
    </row>
    <row r="45" spans="1:9" ht="15.6">
      <c r="A45" s="49" t="str">
        <v>Pioneer USD - Pioneer ES</v>
      </c>
      <c r="B45" s="10" t="str">
        <v>CA</v>
      </c>
      <c r="C45" s="11">
        <f>SUM(Jan!C45, Feb!C45, Mar!C45)</f>
        <v>40957</v>
      </c>
      <c r="D45" s="18">
        <f>SUM(Jan!D45, Feb!D45, Mar!D45)</f>
        <v>0</v>
      </c>
      <c r="E45" s="18">
        <f t="shared" si="7"/>
        <v>40957</v>
      </c>
      <c r="F45" s="19" t="str">
        <f t="shared" si="8"/>
        <v/>
      </c>
      <c r="G45" s="20">
        <f>SUM(Jan!G45, Feb!G45,Mar!G45)</f>
        <v>62281.26</v>
      </c>
      <c r="H45" s="20">
        <f>SUM(Jan!H45, Feb!H45, Mar!H45)</f>
        <v>-21324.260000000002</v>
      </c>
      <c r="I45" s="19">
        <f t="shared" si="2"/>
        <v>-0.34238645782053867</v>
      </c>
    </row>
    <row r="46" spans="1:9" ht="15.6">
      <c r="A46" s="48" t="str">
        <v>Pioneer USD - Pioneer MS</v>
      </c>
      <c r="B46" s="9" t="str">
        <v>CA</v>
      </c>
      <c r="C46" s="24">
        <f>SUM(Jan!C46, Feb!C46, Mar!C46)</f>
        <v>95093</v>
      </c>
      <c r="D46" s="13">
        <f>SUM(Jan!D46, Feb!D46, Mar!D46)</f>
        <v>0</v>
      </c>
      <c r="E46" s="13">
        <f t="shared" si="7"/>
        <v>95093</v>
      </c>
      <c r="F46" s="14" t="str">
        <f t="shared" si="8"/>
        <v/>
      </c>
      <c r="G46" s="15">
        <f>SUM(Jan!G46, Feb!G46, Mar!G47)</f>
        <v>101766.18</v>
      </c>
      <c r="H46" s="15">
        <f>SUM(Jan!H46, Feb!H46, Mar!H46)</f>
        <v>11019.330000000002</v>
      </c>
      <c r="I46" s="16">
        <f t="shared" si="2"/>
        <v>0.10828086501822121</v>
      </c>
    </row>
    <row r="47" spans="1:9" ht="15.6">
      <c r="A47" s="49" t="str">
        <v>Kingsburg Joint UHSD - Kingsburg HS</v>
      </c>
      <c r="B47" s="10" t="str">
        <v>CA</v>
      </c>
      <c r="C47" s="11">
        <f>SUM(Jan!C47, Feb!C47, Mar!C47)</f>
        <v>154608</v>
      </c>
      <c r="D47" s="18">
        <f>SUM(Jan!D47, Feb!D47, Mar!D47)</f>
        <v>0</v>
      </c>
      <c r="E47" s="18">
        <f t="shared" si="7"/>
        <v>154608</v>
      </c>
      <c r="F47" s="19" t="str">
        <f t="shared" si="8"/>
        <v/>
      </c>
      <c r="G47" s="20">
        <f>SUM(Jan!G47, Feb!G47,Mar!G47)</f>
        <v>144517.65000000002</v>
      </c>
      <c r="H47" s="20">
        <f>SUM(Jan!H47, Feb!H47, Mar!H47)</f>
        <v>10090.349999999999</v>
      </c>
      <c r="I47" s="19">
        <f t="shared" si="2"/>
        <v>6.9820883469942918E-2</v>
      </c>
    </row>
    <row r="48" spans="1:9" ht="15.6">
      <c r="A48" s="48"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6">
      <c r="A49" s="49" t="str">
        <v>CDCR-CA State Prison LA County</v>
      </c>
      <c r="B49" s="10" t="str">
        <v>CA</v>
      </c>
      <c r="C49" s="11">
        <f>SUM(Jan!C49, Feb!C49, Mar!C49)</f>
        <v>572550</v>
      </c>
      <c r="D49" s="18">
        <f>SUM(Jan!D49, Feb!D49, Mar!D49)</f>
        <v>0</v>
      </c>
      <c r="E49" s="18">
        <f t="shared" si="7"/>
        <v>572550</v>
      </c>
      <c r="F49" s="19" t="str">
        <f t="shared" si="8"/>
        <v/>
      </c>
      <c r="G49" s="20">
        <f>SUM(Jan!G49, Feb!G49,Mar!G49)</f>
        <v>956201.8600000001</v>
      </c>
      <c r="H49" s="20">
        <f>SUM(Jan!H49, Feb!H49, Mar!H49)</f>
        <v>-383651.86000000004</v>
      </c>
      <c r="I49" s="19">
        <f t="shared" si="2"/>
        <v>-0.40122475812795427</v>
      </c>
    </row>
    <row r="50" spans="1:9" ht="15.6">
      <c r="A50" s="48"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6">
      <c r="A51" s="49" t="str">
        <v>CUSD - District Office</v>
      </c>
      <c r="B51" s="10" t="str">
        <v>CA</v>
      </c>
      <c r="C51" s="11">
        <f>SUM(Jan!C51, Feb!C51, Mar!C51)</f>
        <v>48772</v>
      </c>
      <c r="D51" s="18">
        <f>SUM(Jan!D51, Feb!D51, Mar!D51)</f>
        <v>0</v>
      </c>
      <c r="E51" s="18">
        <f t="shared" si="7"/>
        <v>48772</v>
      </c>
      <c r="F51" s="19" t="str">
        <f t="shared" si="8"/>
        <v/>
      </c>
      <c r="G51" s="20">
        <f>SUM(Jan!G51, Feb!G51,Mar!G51)</f>
        <v>51733.5</v>
      </c>
      <c r="H51" s="20">
        <f>SUM(Jan!H51, Feb!H51, Mar!H51)</f>
        <v>-2961.4999999999982</v>
      </c>
      <c r="I51" s="19">
        <f t="shared" si="2"/>
        <v>-5.7245305266413408E-2</v>
      </c>
    </row>
    <row r="52" spans="1:9" ht="15.6">
      <c r="A52" s="48" t="str">
        <v>Parlier - WTP</v>
      </c>
      <c r="B52" s="9" t="str">
        <v>CA</v>
      </c>
      <c r="C52" s="24">
        <f>SUM(Jan!C52, Feb!C52, Mar!C52)</f>
        <v>96610</v>
      </c>
      <c r="D52" s="13">
        <f>SUM(Jan!D52, Feb!D52, Mar!D52)</f>
        <v>0</v>
      </c>
      <c r="E52" s="13">
        <f t="shared" si="7"/>
        <v>96610</v>
      </c>
      <c r="F52" s="14" t="str">
        <f t="shared" si="8"/>
        <v/>
      </c>
      <c r="G52" s="15">
        <f>SUM(Jan!G52, Feb!G52, Mar!G53)</f>
        <v>104445.94</v>
      </c>
      <c r="H52" s="15">
        <f>SUM(Jan!H52, Feb!H52, Mar!H52)</f>
        <v>-37093.360000000001</v>
      </c>
      <c r="I52" s="16">
        <f t="shared" si="2"/>
        <v>-0.35514410612801223</v>
      </c>
    </row>
    <row r="53" spans="1:9" ht="15.6">
      <c r="A53" s="49" t="str">
        <v>Snowline SD - Quail Valley MS</v>
      </c>
      <c r="B53" s="10" t="str">
        <v>CA</v>
      </c>
      <c r="C53" s="11">
        <f>SUM(Jan!C53, Feb!C53, Mar!C53)</f>
        <v>73141</v>
      </c>
      <c r="D53" s="18">
        <f>SUM(Jan!D53, Feb!D53, Mar!D53)</f>
        <v>0</v>
      </c>
      <c r="E53" s="18">
        <f t="shared" si="7"/>
        <v>73141</v>
      </c>
      <c r="F53" s="19" t="str">
        <f t="shared" si="8"/>
        <v/>
      </c>
      <c r="G53" s="20">
        <f>SUM(Jan!G53, Feb!G53,Mar!G53)</f>
        <v>86517.260000000009</v>
      </c>
      <c r="H53" s="20">
        <f>SUM(Jan!H53, Feb!H53, Mar!H53)</f>
        <v>-13376.260000000002</v>
      </c>
      <c r="I53" s="19">
        <f t="shared" si="2"/>
        <v>-0.15460799382689652</v>
      </c>
    </row>
    <row r="54" spans="1:9" ht="15.6">
      <c r="A54" s="48" t="str">
        <v>Snowline SD - Serrano HS - Middle Lot</v>
      </c>
      <c r="B54" s="9" t="str">
        <v>CA</v>
      </c>
      <c r="C54" s="24">
        <f>SUM(Jan!C54, Feb!C54, Mar!C54)</f>
        <v>67117</v>
      </c>
      <c r="D54" s="13">
        <f>SUM(Jan!D54, Feb!D54, Mar!D54)</f>
        <v>0</v>
      </c>
      <c r="E54" s="13">
        <f t="shared" si="7"/>
        <v>67117</v>
      </c>
      <c r="F54" s="14" t="str">
        <f t="shared" si="8"/>
        <v/>
      </c>
      <c r="G54" s="15">
        <f>SUM(Jan!G54, Feb!G54, Mar!G55)</f>
        <v>77710.38</v>
      </c>
      <c r="H54" s="15">
        <f>SUM(Jan!H54, Feb!H54, Mar!H54)</f>
        <v>-33457.150000000009</v>
      </c>
      <c r="I54" s="16">
        <f t="shared" si="2"/>
        <v>-0.43053643541570646</v>
      </c>
    </row>
    <row r="55" spans="1:9" ht="15.6">
      <c r="A55" s="49" t="str">
        <v>Snowline SD - Pinon Hills ES</v>
      </c>
      <c r="B55" s="10" t="str">
        <v>CA</v>
      </c>
      <c r="C55" s="11">
        <f>SUM(Jan!C55, Feb!C55, Mar!C55)</f>
        <v>30356</v>
      </c>
      <c r="D55" s="18">
        <f>SUM(Jan!D55, Feb!D55, Mar!D55)</f>
        <v>0</v>
      </c>
      <c r="E55" s="18">
        <f t="shared" si="7"/>
        <v>30356</v>
      </c>
      <c r="F55" s="19" t="str">
        <f t="shared" si="8"/>
        <v/>
      </c>
      <c r="G55" s="20">
        <f>SUM(Jan!G55, Feb!G55,Mar!G55)</f>
        <v>52493.94</v>
      </c>
      <c r="H55" s="20">
        <f>SUM(Jan!H55, Feb!H55, Mar!H55)</f>
        <v>-22137.94</v>
      </c>
      <c r="I55" s="19">
        <f t="shared" si="2"/>
        <v>-0.42172372658634499</v>
      </c>
    </row>
    <row r="56" spans="1:9" ht="15.6">
      <c r="A56" s="48" t="str">
        <v>Ramona - Santa Maria WTP</v>
      </c>
      <c r="B56" s="9" t="str">
        <v>CA</v>
      </c>
      <c r="C56" s="24">
        <f>SUM(Jan!C56, Feb!C56, Mar!C56)</f>
        <v>165885</v>
      </c>
      <c r="D56" s="13">
        <f>SUM(Jan!D56, Feb!D56, Mar!D56)</f>
        <v>0</v>
      </c>
      <c r="E56" s="13">
        <f t="shared" si="7"/>
        <v>165885</v>
      </c>
      <c r="F56" s="14" t="str">
        <f t="shared" si="8"/>
        <v/>
      </c>
      <c r="G56" s="15">
        <f>SUM(Jan!G56, Feb!G56, Mar!G57)</f>
        <v>142213.79</v>
      </c>
      <c r="H56" s="15">
        <f>SUM(Jan!H56, Feb!H56, Mar!H56)</f>
        <v>-22579.509999999995</v>
      </c>
      <c r="I56" s="16">
        <f t="shared" si="2"/>
        <v>-0.15877159310640687</v>
      </c>
    </row>
    <row r="57" spans="1:9" ht="15.6">
      <c r="A57" s="49" t="str">
        <v>Kohls - Redding</v>
      </c>
      <c r="B57" s="10" t="str">
        <v>CA</v>
      </c>
      <c r="C57" s="11">
        <f>SUM(Jan!C57, Feb!C57, Mar!C57)</f>
        <v>65082</v>
      </c>
      <c r="D57" s="18">
        <f>SUM(Jan!D57, Feb!D57, Mar!D57)</f>
        <v>0</v>
      </c>
      <c r="E57" s="18">
        <f t="shared" si="7"/>
        <v>65082</v>
      </c>
      <c r="F57" s="19" t="str">
        <f t="shared" si="8"/>
        <v/>
      </c>
      <c r="G57" s="20">
        <f>SUM(Jan!G57, Feb!G57,Mar!G57)</f>
        <v>56668.39</v>
      </c>
      <c r="H57" s="20">
        <f>SUM(Jan!H57, Feb!H57, Mar!H57)</f>
        <v>8413.61</v>
      </c>
      <c r="I57" s="19">
        <f t="shared" si="2"/>
        <v>0.14847095532447632</v>
      </c>
    </row>
    <row r="58" spans="1:9" ht="15.6">
      <c r="A58" s="48" t="str">
        <v>Kohls - Salinas</v>
      </c>
      <c r="B58" s="9" t="str">
        <v>CA</v>
      </c>
      <c r="C58" s="24">
        <f>SUM(Jan!C58, Feb!C58, Mar!C58)</f>
        <v>79266</v>
      </c>
      <c r="D58" s="13">
        <f>SUM(Jan!D58, Feb!D58, Mar!D58)</f>
        <v>0</v>
      </c>
      <c r="E58" s="13">
        <f t="shared" si="7"/>
        <v>79266</v>
      </c>
      <c r="F58" s="14" t="str">
        <f t="shared" si="8"/>
        <v/>
      </c>
      <c r="G58" s="15">
        <f>SUM(Jan!G58, Feb!G58, Mar!G59)</f>
        <v>195379.35</v>
      </c>
      <c r="H58" s="15">
        <f>SUM(Jan!H58, Feb!H58, Mar!H58)</f>
        <v>-16326.609999999997</v>
      </c>
      <c r="I58" s="16">
        <f t="shared" si="2"/>
        <v>-8.3563641705226246E-2</v>
      </c>
    </row>
    <row r="59" spans="1:9" ht="15.6">
      <c r="A59" s="49" t="str">
        <v>Kohls - San Bernardino - Central</v>
      </c>
      <c r="B59" s="10" t="str">
        <v>CA</v>
      </c>
      <c r="C59" s="11">
        <f>SUM(Jan!C59, Feb!C59, Mar!C59)</f>
        <v>325957</v>
      </c>
      <c r="D59" s="18">
        <f>SUM(Jan!D59, Feb!D59, Mar!D59)</f>
        <v>0</v>
      </c>
      <c r="E59" s="18">
        <f t="shared" si="7"/>
        <v>325957</v>
      </c>
      <c r="F59" s="19" t="str">
        <f t="shared" si="8"/>
        <v/>
      </c>
      <c r="G59" s="20">
        <f>SUM(Jan!G59, Feb!G59,Mar!G59)</f>
        <v>373996.89</v>
      </c>
      <c r="H59" s="20">
        <f>SUM(Jan!H59, Feb!H59, Mar!H59)</f>
        <v>-48039.890000000014</v>
      </c>
      <c r="I59" s="19">
        <f t="shared" si="2"/>
        <v>-0.12844997187008697</v>
      </c>
    </row>
    <row r="60" spans="1:9" ht="15.6">
      <c r="A60" s="48" t="str">
        <v>Kohls - Sonora</v>
      </c>
      <c r="B60" s="9" t="str">
        <v>CA</v>
      </c>
      <c r="C60" s="24">
        <f>SUM(Jan!C60, Feb!C60, Mar!C60)</f>
        <v>58428</v>
      </c>
      <c r="D60" s="13">
        <f>SUM(Jan!D60, Feb!D60, Mar!D60)</f>
        <v>0</v>
      </c>
      <c r="E60" s="13">
        <f t="shared" si="7"/>
        <v>58428</v>
      </c>
      <c r="F60" s="14" t="str">
        <f t="shared" si="8"/>
        <v/>
      </c>
      <c r="G60" s="15">
        <f>SUM(Jan!G60, Feb!G60, Mar!G61)</f>
        <v>53636.639999999999</v>
      </c>
      <c r="H60" s="15">
        <f>SUM(Jan!H60, Feb!H60, Mar!H60)</f>
        <v>-3277.0300000000007</v>
      </c>
      <c r="I60" s="16">
        <f t="shared" si="2"/>
        <v>-6.1096854687392808E-2</v>
      </c>
    </row>
    <row r="61" spans="1:9" ht="15.6">
      <c r="A61" s="49" t="str">
        <v>CUSD - Stratford ES</v>
      </c>
      <c r="B61" s="10" t="str">
        <v>CA</v>
      </c>
      <c r="C61" s="11">
        <f>SUM(Jan!C61, Feb!C61, Mar!C61)</f>
        <v>58757</v>
      </c>
      <c r="D61" s="18">
        <f>SUM(Jan!D61, Feb!D61, Mar!D61)</f>
        <v>0</v>
      </c>
      <c r="E61" s="18">
        <f t="shared" si="7"/>
        <v>58757</v>
      </c>
      <c r="F61" s="19" t="str">
        <f t="shared" si="8"/>
        <v/>
      </c>
      <c r="G61" s="20">
        <f>SUM(Jan!G61, Feb!G61,Mar!G61)</f>
        <v>44456.07</v>
      </c>
      <c r="H61" s="20">
        <f>SUM(Jan!H61, Feb!H61, Mar!H61)</f>
        <v>14300.930000000002</v>
      </c>
      <c r="I61" s="19">
        <f t="shared" si="2"/>
        <v>0.32168677978057897</v>
      </c>
    </row>
    <row r="62" spans="1:9" ht="15.6">
      <c r="A62" s="48" t="str">
        <v>Taft - City Hall</v>
      </c>
      <c r="B62" s="9" t="str">
        <v>CA</v>
      </c>
      <c r="C62" s="24">
        <f>SUM(Jan!C62, Feb!C62, Mar!C62)</f>
        <v>5032</v>
      </c>
      <c r="D62" s="13">
        <f>SUM(Jan!D62, Feb!D62, Mar!D62)</f>
        <v>0</v>
      </c>
      <c r="E62" s="13">
        <f t="shared" si="7"/>
        <v>5032</v>
      </c>
      <c r="F62" s="14" t="str">
        <f t="shared" si="8"/>
        <v/>
      </c>
      <c r="G62" s="15">
        <f>SUM(Jan!G62, Feb!G62, Mar!G63)</f>
        <v>21141.25</v>
      </c>
      <c r="H62" s="15">
        <f>SUM(Jan!H62, Feb!H62, Mar!H62)</f>
        <v>-11478.079999999998</v>
      </c>
      <c r="I62" s="16">
        <f t="shared" si="2"/>
        <v>-0.54292343167977286</v>
      </c>
    </row>
    <row r="63" spans="1:9" ht="15.6">
      <c r="A63" s="49" t="str">
        <v>Taft - Federal Prison</v>
      </c>
      <c r="B63" s="10" t="str">
        <v>CA</v>
      </c>
      <c r="C63" s="11">
        <f>SUM(Jan!C63, Feb!C63, Mar!C63)</f>
        <v>40100</v>
      </c>
      <c r="D63" s="18">
        <f>SUM(Jan!D63, Feb!D63, Mar!D63)</f>
        <v>0</v>
      </c>
      <c r="E63" s="18">
        <f t="shared" si="7"/>
        <v>40100</v>
      </c>
      <c r="F63" s="19" t="str">
        <f t="shared" si="8"/>
        <v/>
      </c>
      <c r="G63" s="20">
        <f>SUM(Jan!G63, Feb!G63,Mar!G63)</f>
        <v>28186.639999999999</v>
      </c>
      <c r="H63" s="20">
        <f>SUM(Jan!H63, Feb!H63, Mar!H63)</f>
        <v>11913.36</v>
      </c>
      <c r="I63" s="19">
        <f t="shared" si="2"/>
        <v>0.42265981330162095</v>
      </c>
    </row>
    <row r="64" spans="1:9" ht="15.6">
      <c r="A64" s="48" t="str">
        <v>Taft - Police Department</v>
      </c>
      <c r="B64" s="9" t="str">
        <v>CA</v>
      </c>
      <c r="C64" s="24">
        <f>SUM(Jan!C64, Feb!C64, Mar!C64)</f>
        <v>25316</v>
      </c>
      <c r="D64" s="13">
        <f>SUM(Jan!D64, Feb!D64, Mar!D64)</f>
        <v>0</v>
      </c>
      <c r="E64" s="13">
        <f t="shared" si="7"/>
        <v>25316</v>
      </c>
      <c r="F64" s="14" t="str">
        <f t="shared" si="8"/>
        <v/>
      </c>
      <c r="G64" s="15">
        <f>SUM(Jan!G64, Feb!G64, Mar!G65)</f>
        <v>43385.41</v>
      </c>
      <c r="H64" s="15">
        <f>SUM(Jan!H64, Feb!H64, Mar!H64)</f>
        <v>6357.28</v>
      </c>
      <c r="I64" s="16">
        <f t="shared" si="2"/>
        <v>0.14653036585340554</v>
      </c>
    </row>
    <row r="65" spans="1:9" ht="15.6">
      <c r="A65" s="49" t="str">
        <v>Taft - WTP</v>
      </c>
      <c r="B65" s="10" t="str">
        <v>CA</v>
      </c>
      <c r="C65" s="11">
        <f>SUM(Jan!C65, Feb!C65, Mar!C65)</f>
        <v>31622</v>
      </c>
      <c r="D65" s="18">
        <f>SUM(Jan!D65, Feb!D65, Mar!D65)</f>
        <v>0</v>
      </c>
      <c r="E65" s="18">
        <f t="shared" si="7"/>
        <v>31622</v>
      </c>
      <c r="F65" s="19" t="str">
        <f t="shared" si="8"/>
        <v/>
      </c>
      <c r="G65" s="20">
        <f>SUM(Jan!G65, Feb!G65,Mar!G65)</f>
        <v>76600.94</v>
      </c>
      <c r="H65" s="20">
        <f>SUM(Jan!H65, Feb!H65, Mar!H65)</f>
        <v>-44978.94</v>
      </c>
      <c r="I65" s="19">
        <f t="shared" si="2"/>
        <v>-0.58718522253121175</v>
      </c>
    </row>
    <row r="66" spans="1:9" ht="15.6">
      <c r="A66" s="48" t="str">
        <v>CDCR - CA Correctional Institution</v>
      </c>
      <c r="B66" s="9" t="str">
        <v>CA</v>
      </c>
      <c r="C66" s="24">
        <f>SUM(Jan!C66, Feb!C66, Mar!C66)</f>
        <v>350805</v>
      </c>
      <c r="D66" s="13">
        <f>SUM(Jan!D66, Feb!D66, Mar!D66)</f>
        <v>0</v>
      </c>
      <c r="E66" s="13">
        <f t="shared" si="7"/>
        <v>350805</v>
      </c>
      <c r="F66" s="14" t="str">
        <f t="shared" si="8"/>
        <v/>
      </c>
      <c r="G66" s="15">
        <f>SUM(Jan!G66, Feb!G66, Mar!G67)</f>
        <v>383758.33</v>
      </c>
      <c r="H66" s="15">
        <f>SUM(Jan!H66, Feb!H66, Mar!H66)</f>
        <v>27127.869999999995</v>
      </c>
      <c r="I66" s="16">
        <f t="shared" si="2"/>
        <v>7.0689983459121253E-2</v>
      </c>
    </row>
    <row r="67" spans="1:9" ht="15.6">
      <c r="A67" s="49" t="str">
        <v>CDCR - CA Correctional Institution II</v>
      </c>
      <c r="B67" s="10" t="str">
        <v>CA</v>
      </c>
      <c r="C67" s="11">
        <f>SUM(Jan!C67, Feb!C67, Mar!C67)</f>
        <v>333370</v>
      </c>
      <c r="D67" s="18">
        <f>SUM(Jan!D67, Feb!D67, Mar!D67)</f>
        <v>0</v>
      </c>
      <c r="E67" s="18">
        <f t="shared" si="7"/>
        <v>333370</v>
      </c>
      <c r="F67" s="19" t="str">
        <f t="shared" si="8"/>
        <v/>
      </c>
      <c r="G67" s="20">
        <f>SUM(Jan!G67, Feb!G67,Mar!G67)</f>
        <v>510212.31000000006</v>
      </c>
      <c r="H67" s="20">
        <f>SUM(Jan!H67, Feb!H67, Mar!H67)</f>
        <v>-176842.31000000003</v>
      </c>
      <c r="I67" s="19">
        <f t="shared" si="2"/>
        <v>-0.34660533768775592</v>
      </c>
    </row>
    <row r="68" spans="1:9" ht="15.6">
      <c r="A68" s="48" t="str">
        <v>Snowline SD - Vista Verde ES</v>
      </c>
      <c r="B68" s="9" t="str">
        <v>CA</v>
      </c>
      <c r="C68" s="24">
        <f>SUM(Jan!C68, Feb!C68, Mar!C68)</f>
        <v>42481</v>
      </c>
      <c r="D68" s="13">
        <f>SUM(Jan!D68, Feb!D68, Mar!D68)</f>
        <v>0</v>
      </c>
      <c r="E68" s="13">
        <f t="shared" si="7"/>
        <v>42481</v>
      </c>
      <c r="F68" s="14" t="str">
        <f t="shared" si="8"/>
        <v/>
      </c>
      <c r="G68" s="15">
        <f>SUM(Jan!G68, Feb!G68, Mar!G69)</f>
        <v>34899.89</v>
      </c>
      <c r="H68" s="15">
        <f>SUM(Jan!H68, Feb!H68, Mar!H68)</f>
        <v>-20520.8</v>
      </c>
      <c r="I68" s="16">
        <f t="shared" si="2"/>
        <v>-0.58799039194679414</v>
      </c>
    </row>
    <row r="69" spans="1:9" ht="15.6">
      <c r="A69" s="49" t="str">
        <v>North Stonington</v>
      </c>
      <c r="B69" s="10" t="str">
        <v>CT</v>
      </c>
      <c r="C69" s="11">
        <f>SUM(Jan!C69, Feb!C69, Mar!C69)</f>
        <v>2918160</v>
      </c>
      <c r="D69" s="18">
        <f>SUM(Jan!D69, Feb!D69, Mar!D69)</f>
        <v>0</v>
      </c>
      <c r="E69" s="18">
        <f t="shared" si="7"/>
        <v>2918160</v>
      </c>
      <c r="F69" s="19" t="str">
        <f t="shared" si="8"/>
        <v/>
      </c>
      <c r="G69" s="20">
        <f>SUM(Jan!G69, Feb!G69,Mar!G69)</f>
        <v>0</v>
      </c>
      <c r="H69" s="20">
        <f>SUM(Jan!H69, Feb!H69, Mar!H69)</f>
        <v>2918160</v>
      </c>
      <c r="I69" s="19" t="str">
        <f t="shared" si="2"/>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59" activePane="bottomRight" state="frozen"/>
      <selection pane="bottomRight" activeCell="C71" sqref="C7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1" t="str" cm="1">
        <f t="array" ref="A1">portfolio</f>
        <v>Silicon Ranch</v>
      </c>
      <c r="B1" s="121"/>
      <c r="C1" s="121"/>
      <c r="D1" s="122" t="s">
        <v>12</v>
      </c>
      <c r="E1" s="122"/>
      <c r="F1" s="122"/>
      <c r="G1" s="120" t="s">
        <v>13</v>
      </c>
      <c r="H1" s="120"/>
      <c r="I1" s="120"/>
    </row>
    <row r="2" spans="1:9" ht="19.5" customHeight="1">
      <c r="A2" s="123" t="s">
        <v>2</v>
      </c>
      <c r="B2" s="123"/>
      <c r="C2" s="5">
        <f>SUM(C4:C100)</f>
        <v>4132672</v>
      </c>
      <c r="D2" s="5">
        <f>SUM(D4:D100)</f>
        <v>0</v>
      </c>
      <c r="E2" s="5">
        <f>C2-D2</f>
        <v>4132672</v>
      </c>
      <c r="F2" s="6">
        <f>IFERROR(E2/D2, 0)</f>
        <v>0</v>
      </c>
      <c r="G2" s="5">
        <f>SUM(G4:G100)</f>
        <v>4664869.2989999996</v>
      </c>
      <c r="H2" s="7">
        <f>C2-G2</f>
        <v>-532197.29899999965</v>
      </c>
      <c r="I2" s="6">
        <f>IFERROR(H2/G2, 0)</f>
        <v>-0.11408621868871779</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SUM(Apr!C4, May!C4, Jun!C4)</f>
        <v>31293</v>
      </c>
      <c r="D4" s="13">
        <f>SUM(Apr!D4, May!D4, Jun!D4)</f>
        <v>0</v>
      </c>
      <c r="E4" s="13">
        <f>IF(AND(ISNUMBER(C4),ISNUMBER(D4)), C4-D4, "")</f>
        <v>31293</v>
      </c>
      <c r="F4" s="14" t="str">
        <f>IFERROR(E4/D4, "")</f>
        <v/>
      </c>
      <c r="G4" s="15">
        <f>SUM(Apr!G4, May!G4, Jun!G4)</f>
        <v>30934.86</v>
      </c>
      <c r="H4" s="15">
        <f>SUM(Apr!H4, May!H4, Jun!H4)</f>
        <v>358.13999999999942</v>
      </c>
      <c r="I4" s="16">
        <f>IFERROR(H4/G4, "")</f>
        <v>1.1577230347898759E-2</v>
      </c>
    </row>
    <row r="5" spans="1:9" ht="15.6">
      <c r="A5" s="49" t="str">
        <v>Kohls - Auburn</v>
      </c>
      <c r="B5" s="10" t="str">
        <v>NY</v>
      </c>
      <c r="C5" s="11">
        <f>SUM(Apr!C5, May!C5, Jun!C5)</f>
        <v>32335</v>
      </c>
      <c r="D5" s="18">
        <f>SUM(Apr!D5, May!D5, Jun!D5)</f>
        <v>0</v>
      </c>
      <c r="E5" s="18">
        <f t="shared" ref="E5:E15" si="0">IF(AND(ISNUMBER(C5),ISNUMBER(D5)), C5-D5, "")</f>
        <v>32335</v>
      </c>
      <c r="F5" s="19" t="str">
        <f>IFERROR(E5/D5, "")</f>
        <v/>
      </c>
      <c r="G5" s="20">
        <f>SUM(Apr!G5, May!G5, Jun!G5)</f>
        <v>33859.879999999997</v>
      </c>
      <c r="H5" s="20">
        <f>SUM(Apr!H5, May!H5, Jun!H5)</f>
        <v>-1524.8799999999974</v>
      </c>
      <c r="I5" s="19">
        <f>IFERROR(H5/G5, "")</f>
        <v>-4.5035008984083746E-2</v>
      </c>
    </row>
    <row r="6" spans="1:9" ht="15.6">
      <c r="A6" s="48" t="str">
        <v>Kohls - Bensalem</v>
      </c>
      <c r="B6" s="9" t="str">
        <v>PA</v>
      </c>
      <c r="C6" s="24">
        <f>SUM(Apr!C6, May!C6, Jun!C6)</f>
        <v>25179</v>
      </c>
      <c r="D6" s="13">
        <f>SUM(Apr!D6, May!D6, Jun!D6)</f>
        <v>0</v>
      </c>
      <c r="E6" s="13">
        <f t="shared" si="0"/>
        <v>25179</v>
      </c>
      <c r="F6" s="14" t="str">
        <f t="shared" ref="F6:F15" si="1">IFERROR(E6/D6, "")</f>
        <v/>
      </c>
      <c r="G6" s="15">
        <f>SUM(Apr!G6, May!G6, Jun!G6)</f>
        <v>33628.71</v>
      </c>
      <c r="H6" s="15">
        <f>SUM(Apr!H6, May!H6, Jun!H6)</f>
        <v>-8449.7099999999991</v>
      </c>
      <c r="I6" s="16">
        <f t="shared" ref="I6:I15" si="2">IFERROR(H6/G6, "")</f>
        <v>-0.25126476751561388</v>
      </c>
    </row>
    <row r="7" spans="1:9" ht="15.6">
      <c r="A7" s="49" t="str">
        <v>Kohls - Brick</v>
      </c>
      <c r="B7" s="10" t="str">
        <v>NJ</v>
      </c>
      <c r="C7" s="11">
        <f>SUM(Apr!C7, May!C7, Jun!C7)</f>
        <v>43757</v>
      </c>
      <c r="D7" s="18">
        <f>SUM(Apr!D7, May!D7, Jun!D7)</f>
        <v>0</v>
      </c>
      <c r="E7" s="18">
        <f t="shared" si="0"/>
        <v>43757</v>
      </c>
      <c r="F7" s="19" t="str">
        <f t="shared" si="1"/>
        <v/>
      </c>
      <c r="G7" s="20">
        <f>SUM(Apr!G7, May!G7, Jun!G7)</f>
        <v>40857.57</v>
      </c>
      <c r="H7" s="20">
        <f>SUM(Apr!H7, May!H7, Jun!H7)</f>
        <v>2899.4300000000003</v>
      </c>
      <c r="I7" s="19">
        <f t="shared" si="2"/>
        <v>7.0964328030276899E-2</v>
      </c>
    </row>
    <row r="8" spans="1:9" ht="15.6">
      <c r="A8" s="48" t="str">
        <v>Kohls - Buffalo</v>
      </c>
      <c r="B8" s="9" t="str">
        <v>NY</v>
      </c>
      <c r="C8" s="24">
        <f>SUM(Apr!C8, May!C8, Jun!C8)</f>
        <v>35454</v>
      </c>
      <c r="D8" s="13">
        <f>SUM(Apr!D8, May!D8, Jun!D8)</f>
        <v>0</v>
      </c>
      <c r="E8" s="13">
        <f t="shared" si="0"/>
        <v>35454</v>
      </c>
      <c r="F8" s="14" t="str">
        <f t="shared" si="1"/>
        <v/>
      </c>
      <c r="G8" s="15">
        <f>SUM(Apr!G8, May!G8, Jun!G8)</f>
        <v>43977.120000000003</v>
      </c>
      <c r="H8" s="15">
        <f>SUM(Apr!H8, May!H8, Jun!H8)</f>
        <v>-8523.1200000000026</v>
      </c>
      <c r="I8" s="16">
        <f t="shared" si="2"/>
        <v>-0.19380805291478848</v>
      </c>
    </row>
    <row r="9" spans="1:9" ht="15.6">
      <c r="A9" s="49" t="str">
        <v>Kohls - Canton</v>
      </c>
      <c r="B9" s="10" t="str">
        <v>CT</v>
      </c>
      <c r="C9" s="11">
        <f>SUM(Apr!C9, May!C9, Jun!C9)</f>
        <v>15599</v>
      </c>
      <c r="D9" s="18">
        <f>SUM(Apr!D9, May!D9, Jun!D9)</f>
        <v>0</v>
      </c>
      <c r="E9" s="18">
        <f t="shared" si="0"/>
        <v>15599</v>
      </c>
      <c r="F9" s="19" t="str">
        <f t="shared" si="1"/>
        <v/>
      </c>
      <c r="G9" s="20">
        <f>SUM(Apr!G9, May!G9, Jun!G9)</f>
        <v>13622.22</v>
      </c>
      <c r="H9" s="20">
        <f>SUM(Apr!H9, May!H9, Jun!H9)</f>
        <v>1976.7800000000007</v>
      </c>
      <c r="I9" s="19">
        <f t="shared" si="2"/>
        <v>0.14511437930087759</v>
      </c>
    </row>
    <row r="10" spans="1:9" ht="15.6">
      <c r="A10" s="48" t="str">
        <v>Kohls - East Amherst</v>
      </c>
      <c r="B10" s="9" t="str">
        <v>NY</v>
      </c>
      <c r="C10" s="24">
        <f>SUM(Apr!C10, May!C10, Jun!C10)</f>
        <v>33923</v>
      </c>
      <c r="D10" s="13">
        <f>SUM(Apr!D10, May!D10, Jun!D10)</f>
        <v>0</v>
      </c>
      <c r="E10" s="13">
        <f t="shared" si="0"/>
        <v>33923</v>
      </c>
      <c r="F10" s="14" t="str">
        <f t="shared" si="1"/>
        <v/>
      </c>
      <c r="G10" s="15">
        <f>SUM(Apr!G10, May!G10, Jun!G10)</f>
        <v>38691.72</v>
      </c>
      <c r="H10" s="15">
        <f>SUM(Apr!H10, May!H10, Jun!H10)</f>
        <v>-4768.7200000000012</v>
      </c>
      <c r="I10" s="16">
        <f t="shared" si="2"/>
        <v>-0.12324910859481049</v>
      </c>
    </row>
    <row r="11" spans="1:9" ht="15.6">
      <c r="A11" s="49" t="str">
        <v>Kohls - East Brunswick</v>
      </c>
      <c r="B11" s="10" t="str">
        <v>NJ</v>
      </c>
      <c r="C11" s="11">
        <f>SUM(Apr!C11, May!C11, Jun!C11)</f>
        <v>51292</v>
      </c>
      <c r="D11" s="18">
        <f>SUM(Apr!D11, May!D11, Jun!D11)</f>
        <v>0</v>
      </c>
      <c r="E11" s="18">
        <f t="shared" si="0"/>
        <v>51292</v>
      </c>
      <c r="F11" s="19" t="str">
        <f t="shared" si="1"/>
        <v/>
      </c>
      <c r="G11" s="20">
        <f>SUM(Apr!G11, May!G11, Jun!G11)</f>
        <v>52486.96</v>
      </c>
      <c r="H11" s="20">
        <f>SUM(Apr!H11, May!H11, Jun!H11)</f>
        <v>-1194.9599999999991</v>
      </c>
      <c r="I11" s="19">
        <f t="shared" si="2"/>
        <v>-2.2766797696037247E-2</v>
      </c>
    </row>
    <row r="12" spans="1:9" ht="15.6">
      <c r="A12" s="48" t="str">
        <v>Kohls - Edgewood</v>
      </c>
      <c r="B12" s="9" t="str">
        <v>MD</v>
      </c>
      <c r="C12" s="24">
        <f>SUM(Apr!C12, May!C12, Jun!C12)</f>
        <v>253311</v>
      </c>
      <c r="D12" s="13">
        <f>SUM(Apr!D12, May!D12, Jun!D12)</f>
        <v>0</v>
      </c>
      <c r="E12" s="13">
        <f t="shared" si="0"/>
        <v>253311</v>
      </c>
      <c r="F12" s="14" t="str">
        <f t="shared" si="1"/>
        <v/>
      </c>
      <c r="G12" s="15">
        <f>SUM(Apr!G12, May!G12, Jun!G12)</f>
        <v>281330.28999999998</v>
      </c>
      <c r="H12" s="15">
        <f>SUM(Apr!H12, May!H12, Jun!H12)</f>
        <v>-28019.289999999979</v>
      </c>
      <c r="I12" s="16">
        <f t="shared" si="2"/>
        <v>-9.9595710081555669E-2</v>
      </c>
    </row>
    <row r="13" spans="1:9" ht="15.6">
      <c r="A13" s="49" t="str">
        <v>Kohls - Granite Run</v>
      </c>
      <c r="B13" s="10" t="str">
        <v>PA</v>
      </c>
      <c r="C13" s="11">
        <f>SUM(Apr!C13, May!C13, Jun!C13)</f>
        <v>33656</v>
      </c>
      <c r="D13" s="18">
        <f>SUM(Apr!D13, May!D13, Jun!D13)</f>
        <v>0</v>
      </c>
      <c r="E13" s="18">
        <f t="shared" si="0"/>
        <v>33656</v>
      </c>
      <c r="F13" s="19" t="str">
        <f t="shared" si="1"/>
        <v/>
      </c>
      <c r="G13" s="20">
        <f>SUM(Apr!G13, May!G13, Jun!G13)</f>
        <v>33638.5</v>
      </c>
      <c r="H13" s="20">
        <f>SUM(Apr!H13, May!H13, Jun!H13)</f>
        <v>17.5</v>
      </c>
      <c r="I13" s="19">
        <f t="shared" si="2"/>
        <v>5.2023722817604826E-4</v>
      </c>
    </row>
    <row r="14" spans="1:9" ht="15.6">
      <c r="A14" s="48" t="str">
        <v>Kohls - Greece</v>
      </c>
      <c r="B14" s="9" t="str">
        <v>NY</v>
      </c>
      <c r="C14" s="24">
        <f>SUM(Apr!C14, May!C14, Jun!C14)</f>
        <v>30322</v>
      </c>
      <c r="D14" s="13">
        <f>SUM(Apr!D14, May!D14, Jun!D14)</f>
        <v>0</v>
      </c>
      <c r="E14" s="13">
        <f t="shared" si="0"/>
        <v>30322</v>
      </c>
      <c r="F14" s="14" t="str">
        <f t="shared" si="1"/>
        <v/>
      </c>
      <c r="G14" s="15">
        <f>SUM(Apr!G14, May!G14, Jun!G14)</f>
        <v>41394.589999999997</v>
      </c>
      <c r="H14" s="15">
        <f>SUM(Apr!H14, May!H14, Jun!H14)</f>
        <v>-11072.589999999997</v>
      </c>
      <c r="I14" s="16">
        <f t="shared" si="2"/>
        <v>-0.26748881919110679</v>
      </c>
    </row>
    <row r="15" spans="1:9" ht="15.6">
      <c r="A15" s="49" t="str">
        <v>Kohls - Hanover</v>
      </c>
      <c r="B15" s="10" t="str">
        <v>PA</v>
      </c>
      <c r="C15" s="11">
        <f>SUM(Apr!C15, May!C15, Jun!C15)</f>
        <v>38762</v>
      </c>
      <c r="D15" s="18">
        <f>SUM(Apr!D15, May!D15, Jun!D15)</f>
        <v>0</v>
      </c>
      <c r="E15" s="18">
        <f t="shared" si="0"/>
        <v>38762</v>
      </c>
      <c r="F15" s="19" t="str">
        <f t="shared" si="1"/>
        <v/>
      </c>
      <c r="G15" s="20">
        <f>SUM(Apr!G15, May!G15, Jun!G15)</f>
        <v>39108.42</v>
      </c>
      <c r="H15" s="20">
        <f>SUM(Apr!H15, May!H15, Jun!H15)</f>
        <v>-346.41999999999825</v>
      </c>
      <c r="I15" s="19">
        <f t="shared" si="2"/>
        <v>-8.8579390320549459E-3</v>
      </c>
    </row>
    <row r="16" spans="1:9" ht="15.6">
      <c r="A16" s="48" t="str">
        <v>Kohls - Horsehead</v>
      </c>
      <c r="B16" s="9" t="str">
        <v>NY</v>
      </c>
      <c r="C16" s="24">
        <f>SUM(Apr!C16, May!C16, Jun!C16)</f>
        <v>28572</v>
      </c>
      <c r="D16" s="13">
        <f>SUM(Apr!D16, May!D16, Jun!D16)</f>
        <v>0</v>
      </c>
      <c r="E16" s="13">
        <f t="shared" ref="E16:E69" si="3">IF(AND(ISNUMBER(C16),ISNUMBER(D16)), C16-D16, "")</f>
        <v>28572</v>
      </c>
      <c r="F16" s="14" t="str">
        <f t="shared" ref="F16:F69" si="4">IFERROR(E16/D16, "")</f>
        <v/>
      </c>
      <c r="G16" s="15">
        <f>SUM(Apr!G16, May!G16, Jun!G16)</f>
        <v>28509.69</v>
      </c>
      <c r="H16" s="15">
        <f>SUM(Apr!H16, May!H16, Jun!H16)</f>
        <v>62.31000000000131</v>
      </c>
      <c r="I16" s="16">
        <f t="shared" ref="I16:I69" si="5">IFERROR(H16/G16, "")</f>
        <v>2.1855726947575126E-3</v>
      </c>
    </row>
    <row r="17" spans="1:9" ht="15.6">
      <c r="A17" s="49" t="str">
        <v>Kohls - Hudson</v>
      </c>
      <c r="B17" s="10" t="str">
        <v>NY</v>
      </c>
      <c r="C17" s="11">
        <f>SUM(Apr!C17, May!C17, Jun!C17)</f>
        <v>32078</v>
      </c>
      <c r="D17" s="18">
        <f>SUM(Apr!D17, May!D17, Jun!D17)</f>
        <v>0</v>
      </c>
      <c r="E17" s="18">
        <f t="shared" si="3"/>
        <v>32078</v>
      </c>
      <c r="F17" s="19" t="str">
        <f t="shared" si="4"/>
        <v/>
      </c>
      <c r="G17" s="20">
        <f>SUM(Apr!G17, May!G17, Jun!G17)</f>
        <v>32526.959999999999</v>
      </c>
      <c r="H17" s="20">
        <f>SUM(Apr!H17, May!H17, Jun!H17)</f>
        <v>-448.95999999999913</v>
      </c>
      <c r="I17" s="19">
        <f t="shared" si="5"/>
        <v>-1.3802703972335538E-2</v>
      </c>
    </row>
    <row r="18" spans="1:9" ht="12.75" customHeight="1">
      <c r="A18" s="48" t="str">
        <v>Kohls - Ithaca</v>
      </c>
      <c r="B18" s="9" t="str">
        <v>NY</v>
      </c>
      <c r="C18" s="24">
        <f>SUM(Apr!C18, May!C18, Jun!C18)</f>
        <v>28862</v>
      </c>
      <c r="D18" s="13">
        <f>SUM(Apr!D18, May!D18, Jun!D18)</f>
        <v>0</v>
      </c>
      <c r="E18" s="13">
        <f t="shared" si="3"/>
        <v>28862</v>
      </c>
      <c r="F18" s="14" t="str">
        <f t="shared" si="4"/>
        <v/>
      </c>
      <c r="G18" s="15">
        <f>SUM(Apr!G18, May!G18, Jun!G18)</f>
        <v>34202.370000000003</v>
      </c>
      <c r="H18" s="15">
        <f>SUM(Apr!H18, May!H18, Jun!H18)</f>
        <v>-5340.3700000000026</v>
      </c>
      <c r="I18" s="16">
        <f t="shared" si="5"/>
        <v>-0.15614034933836463</v>
      </c>
    </row>
    <row r="19" spans="1:9" ht="15.6">
      <c r="A19" s="49" t="str">
        <v>Kohls - Kingston</v>
      </c>
      <c r="B19" s="10" t="str">
        <v>NY</v>
      </c>
      <c r="C19" s="11">
        <f>SUM(Apr!C19, May!C19, Jun!C19)</f>
        <v>42416</v>
      </c>
      <c r="D19" s="18">
        <f>SUM(Apr!D19, May!D19, Jun!D19)</f>
        <v>0</v>
      </c>
      <c r="E19" s="18">
        <f t="shared" si="3"/>
        <v>42416</v>
      </c>
      <c r="F19" s="19" t="str">
        <f t="shared" si="4"/>
        <v/>
      </c>
      <c r="G19" s="20">
        <f>SUM(Apr!G19, May!G19, Jun!G19)</f>
        <v>53122.43</v>
      </c>
      <c r="H19" s="20">
        <f>SUM(Apr!H19, May!H19, Jun!H19)</f>
        <v>-10706.43</v>
      </c>
      <c r="I19" s="19">
        <f t="shared" si="5"/>
        <v>-0.20154254991723836</v>
      </c>
    </row>
    <row r="20" spans="1:9" ht="15.6">
      <c r="A20" s="48" t="str">
        <v>Kohls - Mechanicsburg</v>
      </c>
      <c r="B20" s="9" t="str">
        <v>PA</v>
      </c>
      <c r="C20" s="24">
        <f>SUM(Apr!C20, May!C20, Jun!C20)</f>
        <v>45237</v>
      </c>
      <c r="D20" s="13">
        <f>SUM(Apr!D20, May!D20, Jun!D20)</f>
        <v>0</v>
      </c>
      <c r="E20" s="13">
        <f t="shared" si="3"/>
        <v>45237</v>
      </c>
      <c r="F20" s="14" t="str">
        <f t="shared" si="4"/>
        <v/>
      </c>
      <c r="G20" s="15">
        <f>SUM(Apr!G20, May!G20, Jun!G20)</f>
        <v>45680.27</v>
      </c>
      <c r="H20" s="15">
        <f>SUM(Apr!H20, May!H20, Jun!H20)</f>
        <v>-443.2699999999968</v>
      </c>
      <c r="I20" s="16">
        <f t="shared" si="5"/>
        <v>-9.7037517510294227E-3</v>
      </c>
    </row>
    <row r="21" spans="1:9" ht="15.6">
      <c r="A21" s="49" t="str">
        <v>Kohls - Middletown</v>
      </c>
      <c r="B21" s="10" t="str">
        <v>NJ</v>
      </c>
      <c r="C21" s="11">
        <f>SUM(Apr!C21, May!C21, Jun!C21)</f>
        <v>67983</v>
      </c>
      <c r="D21" s="18">
        <f>SUM(Apr!D21, May!D21, Jun!D21)</f>
        <v>0</v>
      </c>
      <c r="E21" s="18">
        <f t="shared" si="3"/>
        <v>67983</v>
      </c>
      <c r="F21" s="19" t="str">
        <f t="shared" si="4"/>
        <v/>
      </c>
      <c r="G21" s="20">
        <f>SUM(Apr!G21, May!G21, Jun!G21)</f>
        <v>60239.89</v>
      </c>
      <c r="H21" s="20">
        <f>SUM(Apr!H21, May!H21, Jun!H21)</f>
        <v>7743.1100000000006</v>
      </c>
      <c r="I21" s="19">
        <f t="shared" si="5"/>
        <v>0.12853791731691411</v>
      </c>
    </row>
    <row r="22" spans="1:9" ht="15.6">
      <c r="A22" s="48" t="str">
        <v>Kohls - North Amherst</v>
      </c>
      <c r="B22" s="9" t="str">
        <v>NY</v>
      </c>
      <c r="C22" s="24">
        <f>SUM(Apr!C22, May!C22, Jun!C22)</f>
        <v>13184</v>
      </c>
      <c r="D22" s="13">
        <f>SUM(Apr!D22, May!D22, Jun!D22)</f>
        <v>0</v>
      </c>
      <c r="E22" s="13">
        <f t="shared" si="3"/>
        <v>13184</v>
      </c>
      <c r="F22" s="14" t="str">
        <f t="shared" si="4"/>
        <v/>
      </c>
      <c r="G22" s="15">
        <f>SUM(Apr!G22, May!G22, Jun!G22)</f>
        <v>37025.57</v>
      </c>
      <c r="H22" s="15">
        <f>SUM(Apr!H22, May!H22, Jun!H22)</f>
        <v>-23841.57</v>
      </c>
      <c r="I22" s="16">
        <f t="shared" si="5"/>
        <v>-0.64392175461444623</v>
      </c>
    </row>
    <row r="23" spans="1:9" ht="15.6">
      <c r="A23" s="49" t="str">
        <v>Kohls - Staten Island</v>
      </c>
      <c r="B23" s="10" t="str">
        <v>NY</v>
      </c>
      <c r="C23" s="11">
        <f>SUM(Apr!C23, May!C23, Jun!C23)</f>
        <v>29453</v>
      </c>
      <c r="D23" s="18">
        <f>SUM(Apr!D23, May!D23, Jun!D23)</f>
        <v>0</v>
      </c>
      <c r="E23" s="18">
        <f t="shared" si="3"/>
        <v>29453</v>
      </c>
      <c r="F23" s="19" t="str">
        <f t="shared" si="4"/>
        <v/>
      </c>
      <c r="G23" s="20">
        <f>SUM(Apr!G23, May!G23, Jun!G23)</f>
        <v>36582.559999999998</v>
      </c>
      <c r="H23" s="20">
        <f>SUM(Apr!H23, May!H23, Jun!H23)</f>
        <v>-7129.5599999999977</v>
      </c>
      <c r="I23" s="19">
        <f t="shared" si="5"/>
        <v>-0.19488958673203838</v>
      </c>
    </row>
    <row r="24" spans="1:9" ht="15.6">
      <c r="A24" s="48" t="str">
        <v>Kohls - Warminster</v>
      </c>
      <c r="B24" s="9" t="str">
        <v>PA</v>
      </c>
      <c r="C24" s="24">
        <f>SUM(Apr!C24, May!C24, Jun!C24)</f>
        <v>43159</v>
      </c>
      <c r="D24" s="13">
        <f>SUM(Apr!D24, May!D24, Jun!D24)</f>
        <v>0</v>
      </c>
      <c r="E24" s="13">
        <f t="shared" si="3"/>
        <v>43159</v>
      </c>
      <c r="F24" s="14" t="str">
        <f t="shared" si="4"/>
        <v/>
      </c>
      <c r="G24" s="15">
        <f>SUM(Apr!G24, May!G24, Jun!G24)</f>
        <v>41056.14</v>
      </c>
      <c r="H24" s="15">
        <f>SUM(Apr!H24, May!H24, Jun!H24)</f>
        <v>2102.8600000000006</v>
      </c>
      <c r="I24" s="16">
        <f t="shared" si="5"/>
        <v>5.1219135554389686E-2</v>
      </c>
    </row>
    <row r="25" spans="1:9" ht="15.6">
      <c r="A25" s="49" t="str">
        <v xml:space="preserve">Kohls - Waterbury </v>
      </c>
      <c r="B25" s="10" t="str">
        <v>CT</v>
      </c>
      <c r="C25" s="11">
        <f>SUM(Apr!C25, May!C25, Jun!C25)</f>
        <v>39101</v>
      </c>
      <c r="D25" s="18">
        <f>SUM(Apr!D25, May!D25, Jun!D25)</f>
        <v>0</v>
      </c>
      <c r="E25" s="18">
        <f t="shared" si="3"/>
        <v>39101</v>
      </c>
      <c r="F25" s="19" t="str">
        <f t="shared" si="4"/>
        <v/>
      </c>
      <c r="G25" s="20">
        <f>SUM(Apr!G25, May!G25, Jun!G25)</f>
        <v>36953.81</v>
      </c>
      <c r="H25" s="20">
        <f>SUM(Apr!H25, May!H25, Jun!H25)</f>
        <v>2147.1900000000023</v>
      </c>
      <c r="I25" s="19">
        <f t="shared" si="5"/>
        <v>5.8104698811841118E-2</v>
      </c>
    </row>
    <row r="26" spans="1:9" ht="15.6">
      <c r="A26" s="48" t="str">
        <v>Mojave Water Agency - Headquarters</v>
      </c>
      <c r="B26" s="9" t="str">
        <v>CA</v>
      </c>
      <c r="C26" s="24">
        <f>SUM(Apr!C26, May!C26, Jun!C26)</f>
        <v>45358</v>
      </c>
      <c r="D26" s="13">
        <f>SUM(Apr!D26, May!D26, Jun!D26)</f>
        <v>0</v>
      </c>
      <c r="E26" s="13">
        <f t="shared" si="3"/>
        <v>45358</v>
      </c>
      <c r="F26" s="14" t="str">
        <f t="shared" si="4"/>
        <v/>
      </c>
      <c r="G26" s="15">
        <f>SUM(Apr!G26, May!G26, Jun!G26)</f>
        <v>38772.300000000003</v>
      </c>
      <c r="H26" s="15">
        <f>SUM(Apr!H26, May!H26, Jun!H26)</f>
        <v>6585.6999999999971</v>
      </c>
      <c r="I26" s="16">
        <f t="shared" si="5"/>
        <v>0.16985579911431606</v>
      </c>
    </row>
    <row r="27" spans="1:9" ht="15.6">
      <c r="A27" s="49" t="str">
        <v>CSU - Bakersfield</v>
      </c>
      <c r="B27" s="10" t="str">
        <v>CA</v>
      </c>
      <c r="C27" s="11">
        <f>SUM(Apr!C27, May!C27, Jun!C27)</f>
        <v>147961</v>
      </c>
      <c r="D27" s="18">
        <f>SUM(Apr!D27, May!D27, Jun!D27)</f>
        <v>0</v>
      </c>
      <c r="E27" s="18">
        <f t="shared" si="3"/>
        <v>147961</v>
      </c>
      <c r="F27" s="19" t="str">
        <f t="shared" si="4"/>
        <v/>
      </c>
      <c r="G27" s="20">
        <f>SUM(Apr!G27, May!G27, Jun!G27)</f>
        <v>146508.14000000001</v>
      </c>
      <c r="H27" s="20">
        <f>SUM(Apr!H27, May!H27, Jun!H27)</f>
        <v>1452.859999999986</v>
      </c>
      <c r="I27" s="19">
        <f t="shared" si="5"/>
        <v>9.9165821093625643E-3</v>
      </c>
    </row>
    <row r="28" spans="1:9" ht="15.6">
      <c r="A28" s="48" t="str">
        <v>Greenfield USD - Fairfield ES</v>
      </c>
      <c r="B28" s="9" t="str">
        <v>CA</v>
      </c>
      <c r="C28" s="24">
        <f>SUM(Apr!C28, May!C28, Jun!C28)</f>
        <v>13164</v>
      </c>
      <c r="D28" s="13">
        <f>SUM(Apr!D28, May!D28, Jun!D28)</f>
        <v>0</v>
      </c>
      <c r="E28" s="13">
        <f t="shared" si="3"/>
        <v>13164</v>
      </c>
      <c r="F28" s="14" t="str">
        <f t="shared" si="4"/>
        <v/>
      </c>
      <c r="G28" s="15">
        <f>SUM(Apr!G28, May!G28, Jun!G28)</f>
        <v>14550.3</v>
      </c>
      <c r="H28" s="15">
        <f>SUM(Apr!H28, May!H28, Jun!H28)</f>
        <v>-1386.2999999999993</v>
      </c>
      <c r="I28" s="16">
        <f t="shared" si="5"/>
        <v>-9.5276386053895754E-2</v>
      </c>
    </row>
    <row r="29" spans="1:9" ht="15.6">
      <c r="A29" s="49" t="str">
        <v>Greenfield USD - Granite Point ES</v>
      </c>
      <c r="B29" s="10" t="str">
        <v>CA</v>
      </c>
      <c r="C29" s="11">
        <f>SUM(Apr!C29, May!C29, Jun!C29)</f>
        <v>23994</v>
      </c>
      <c r="D29" s="18">
        <f>SUM(Apr!D29, May!D29, Jun!D29)</f>
        <v>0</v>
      </c>
      <c r="E29" s="18">
        <f t="shared" si="3"/>
        <v>23994</v>
      </c>
      <c r="F29" s="19" t="str">
        <f t="shared" si="4"/>
        <v/>
      </c>
      <c r="G29" s="20">
        <f>SUM(Apr!G29, May!G29, Jun!G29)</f>
        <v>38398.82</v>
      </c>
      <c r="H29" s="20">
        <f>SUM(Apr!H29, May!H29, Jun!H29)</f>
        <v>-14404.82</v>
      </c>
      <c r="I29" s="19">
        <f t="shared" si="5"/>
        <v>-0.37513704848221896</v>
      </c>
    </row>
    <row r="30" spans="1:9" ht="15.6">
      <c r="A30" s="48" t="str">
        <v>Greenfield USD - Greenfield MS</v>
      </c>
      <c r="B30" s="9" t="str">
        <v>CA</v>
      </c>
      <c r="C30" s="24">
        <f>SUM(Apr!C30, May!C30, Jun!C30)</f>
        <v>23428</v>
      </c>
      <c r="D30" s="13">
        <f>SUM(Apr!D30, May!D30, Jun!D30)</f>
        <v>0</v>
      </c>
      <c r="E30" s="13">
        <f t="shared" si="3"/>
        <v>23428</v>
      </c>
      <c r="F30" s="14" t="str">
        <f t="shared" si="4"/>
        <v/>
      </c>
      <c r="G30" s="15">
        <f>SUM(Apr!G30, May!G30, Jun!G30)</f>
        <v>26177.669000000002</v>
      </c>
      <c r="H30" s="15">
        <f>SUM(Apr!H30, May!H30, Jun!H30)</f>
        <v>-2749.6690000000017</v>
      </c>
      <c r="I30" s="16">
        <f t="shared" si="5"/>
        <v>-0.10503872594614905</v>
      </c>
    </row>
    <row r="31" spans="1:9" ht="15.6">
      <c r="A31" s="49" t="str">
        <v>Greenfield USD - Horizon ES</v>
      </c>
      <c r="B31" s="10" t="str">
        <v>CA</v>
      </c>
      <c r="C31" s="11">
        <f>SUM(Apr!C31, May!C31, Jun!C31)</f>
        <v>35846</v>
      </c>
      <c r="D31" s="18">
        <f>SUM(Apr!D31, May!D31, Jun!D31)</f>
        <v>0</v>
      </c>
      <c r="E31" s="18">
        <f t="shared" si="3"/>
        <v>35846</v>
      </c>
      <c r="F31" s="19" t="str">
        <f t="shared" si="4"/>
        <v/>
      </c>
      <c r="G31" s="20">
        <f>SUM(Apr!G31, May!G31, Jun!G31)</f>
        <v>39744.47</v>
      </c>
      <c r="H31" s="20">
        <f>SUM(Apr!H31, May!H31, Jun!H31)</f>
        <v>-3898.4700000000012</v>
      </c>
      <c r="I31" s="19">
        <f t="shared" si="5"/>
        <v>-9.8088362984837918E-2</v>
      </c>
    </row>
    <row r="32" spans="1:9" ht="15.6">
      <c r="A32" s="48" t="str">
        <v>Greenfield USD - McKee MS</v>
      </c>
      <c r="B32" s="9" t="str">
        <v>CA</v>
      </c>
      <c r="C32" s="24">
        <f>SUM(Apr!C32, May!C32, Jun!C32)</f>
        <v>17465</v>
      </c>
      <c r="D32" s="13">
        <f>SUM(Apr!D32, May!D32, Jun!D32)</f>
        <v>0</v>
      </c>
      <c r="E32" s="13">
        <f t="shared" si="3"/>
        <v>17465</v>
      </c>
      <c r="F32" s="14" t="str">
        <f t="shared" si="4"/>
        <v/>
      </c>
      <c r="G32" s="15">
        <f>SUM(Apr!G32, May!G32, Jun!G32)</f>
        <v>24293.39</v>
      </c>
      <c r="H32" s="15">
        <f>SUM(Apr!H32, May!H32, Jun!H32)</f>
        <v>-6828.3899999999994</v>
      </c>
      <c r="I32" s="16">
        <f t="shared" si="5"/>
        <v>-0.28108016213463827</v>
      </c>
    </row>
    <row r="33" spans="1:9" ht="15.6">
      <c r="A33" s="49" t="str">
        <v>Greenfield USD - Plantation ES</v>
      </c>
      <c r="B33" s="10" t="str">
        <v>CA</v>
      </c>
      <c r="C33" s="11">
        <f>SUM(Apr!C33, May!C33, Jun!C33)</f>
        <v>16304</v>
      </c>
      <c r="D33" s="18">
        <f>SUM(Apr!D33, May!D33, Jun!D33)</f>
        <v>0</v>
      </c>
      <c r="E33" s="18">
        <f t="shared" si="3"/>
        <v>16304</v>
      </c>
      <c r="F33" s="19" t="str">
        <f t="shared" si="4"/>
        <v/>
      </c>
      <c r="G33" s="20">
        <f>SUM(Apr!G33, May!G33, Jun!G33)</f>
        <v>17353.740000000002</v>
      </c>
      <c r="H33" s="20">
        <f>SUM(Apr!H33, May!H33, Jun!H33)</f>
        <v>-1049.7400000000016</v>
      </c>
      <c r="I33" s="19">
        <f t="shared" si="5"/>
        <v>-6.0490706902373868E-2</v>
      </c>
    </row>
    <row r="34" spans="1:9" ht="15.6">
      <c r="A34" s="48" t="str">
        <v>Greenfield USD - Planz ES</v>
      </c>
      <c r="B34" s="9" t="str">
        <v>CA</v>
      </c>
      <c r="C34" s="24">
        <f>SUM(Apr!C34, May!C34, Jun!C34)</f>
        <v>6470</v>
      </c>
      <c r="D34" s="13">
        <f>SUM(Apr!D34, May!D34, Jun!D34)</f>
        <v>0</v>
      </c>
      <c r="E34" s="13">
        <f t="shared" si="3"/>
        <v>6470</v>
      </c>
      <c r="F34" s="14" t="str">
        <f t="shared" si="4"/>
        <v/>
      </c>
      <c r="G34" s="15">
        <f>SUM(Apr!G34, May!G34, Jun!G34)</f>
        <v>20901.689999999999</v>
      </c>
      <c r="H34" s="15">
        <f>SUM(Apr!H34, May!H34, Jun!H34)</f>
        <v>-14431.689999999999</v>
      </c>
      <c r="I34" s="16">
        <f t="shared" si="5"/>
        <v>-0.69045565215061555</v>
      </c>
    </row>
    <row r="35" spans="1:9" ht="15.6">
      <c r="A35" s="49" t="str">
        <v>Greenfield USD - Raffaello Palla ES</v>
      </c>
      <c r="B35" s="10" t="str">
        <v>CA</v>
      </c>
      <c r="C35" s="11">
        <f>SUM(Apr!C35, May!C35, Jun!C35)</f>
        <v>24268</v>
      </c>
      <c r="D35" s="18">
        <f>SUM(Apr!D35, May!D35, Jun!D35)</f>
        <v>0</v>
      </c>
      <c r="E35" s="18">
        <f t="shared" si="3"/>
        <v>24268</v>
      </c>
      <c r="F35" s="19" t="str">
        <f t="shared" si="4"/>
        <v/>
      </c>
      <c r="G35" s="20">
        <f>SUM(Apr!G35, May!G35, Jun!G35)</f>
        <v>43062.63</v>
      </c>
      <c r="H35" s="20">
        <f>SUM(Apr!H35, May!H35, Jun!H35)</f>
        <v>-18794.629999999997</v>
      </c>
      <c r="I35" s="19">
        <f t="shared" si="5"/>
        <v>-0.43644872596030476</v>
      </c>
    </row>
    <row r="36" spans="1:9" ht="15.6">
      <c r="A36" s="48" t="str">
        <v>Greenfield USD - Valle Verde ES</v>
      </c>
      <c r="B36" s="9" t="str">
        <v>CA</v>
      </c>
      <c r="C36" s="24">
        <f>SUM(Apr!C36, May!C36, Jun!C36)</f>
        <v>40766</v>
      </c>
      <c r="D36" s="13">
        <f>SUM(Apr!D36, May!D36, Jun!D36)</f>
        <v>0</v>
      </c>
      <c r="E36" s="13">
        <f t="shared" si="3"/>
        <v>40766</v>
      </c>
      <c r="F36" s="14" t="str">
        <f t="shared" si="4"/>
        <v/>
      </c>
      <c r="G36" s="15">
        <f>SUM(Apr!G36, May!G36, Jun!G36)</f>
        <v>40204.050000000003</v>
      </c>
      <c r="H36" s="15">
        <f>SUM(Apr!H36, May!H36, Jun!H36)</f>
        <v>561.94999999999709</v>
      </c>
      <c r="I36" s="16">
        <f t="shared" si="5"/>
        <v>1.3977447545707386E-2</v>
      </c>
    </row>
    <row r="37" spans="1:9" ht="15.6">
      <c r="A37" s="49" t="str">
        <v>Greenfield USD - W.A. Kendrick ES</v>
      </c>
      <c r="B37" s="10" t="str">
        <v>CA</v>
      </c>
      <c r="C37" s="11">
        <f>SUM(Apr!C37, May!C37, Jun!C37)</f>
        <v>0</v>
      </c>
      <c r="D37" s="18">
        <f>SUM(Apr!D37, May!D37, Jun!D37)</f>
        <v>0</v>
      </c>
      <c r="E37" s="18">
        <f t="shared" si="3"/>
        <v>0</v>
      </c>
      <c r="F37" s="19" t="str">
        <f t="shared" si="4"/>
        <v/>
      </c>
      <c r="G37" s="20">
        <f>SUM(Apr!G37, May!G37, Jun!G37)</f>
        <v>15487.84</v>
      </c>
      <c r="H37" s="20">
        <f>SUM(Apr!H37, May!H37, Jun!H37)</f>
        <v>-15487.84</v>
      </c>
      <c r="I37" s="19">
        <f t="shared" si="5"/>
        <v>-1</v>
      </c>
    </row>
    <row r="38" spans="1:9" ht="15.6">
      <c r="A38" s="48" t="str">
        <v>Muroc Joint USD - Boron HS</v>
      </c>
      <c r="B38" s="9" t="str">
        <v>CA</v>
      </c>
      <c r="C38" s="24">
        <f>SUM(Apr!C38, May!C38, Jun!C38)</f>
        <v>0</v>
      </c>
      <c r="D38" s="13">
        <f>SUM(Apr!D38, May!D38, Jun!D38)</f>
        <v>0</v>
      </c>
      <c r="E38" s="13">
        <f t="shared" si="3"/>
        <v>0</v>
      </c>
      <c r="F38" s="14" t="str">
        <f t="shared" si="4"/>
        <v/>
      </c>
      <c r="G38" s="15">
        <f>SUM(Apr!G38, May!G38, Jun!G38)</f>
        <v>37116.29</v>
      </c>
      <c r="H38" s="15">
        <f>SUM(Apr!H38, May!H38, Jun!H38)</f>
        <v>-37116.29</v>
      </c>
      <c r="I38" s="16">
        <f t="shared" si="5"/>
        <v>-1</v>
      </c>
    </row>
    <row r="39" spans="1:9" ht="15.6">
      <c r="A39" s="49" t="str">
        <v>Muroc Joint USD - W. Boron ES</v>
      </c>
      <c r="B39" s="10" t="str">
        <v>CA</v>
      </c>
      <c r="C39" s="11">
        <f>SUM(Apr!C39, May!C39, Jun!C39)</f>
        <v>13726</v>
      </c>
      <c r="D39" s="18">
        <f>SUM(Apr!D39, May!D39, Jun!D39)</f>
        <v>0</v>
      </c>
      <c r="E39" s="18">
        <f t="shared" si="3"/>
        <v>13726</v>
      </c>
      <c r="F39" s="19" t="str">
        <f t="shared" si="4"/>
        <v/>
      </c>
      <c r="G39" s="20">
        <f>SUM(Apr!G39, May!G39, Jun!G39)</f>
        <v>13684.78</v>
      </c>
      <c r="H39" s="20">
        <f>SUM(Apr!H39, May!H39, Jun!H39)</f>
        <v>41.219999999999345</v>
      </c>
      <c r="I39" s="19">
        <f t="shared" si="5"/>
        <v>3.0121054193051949E-3</v>
      </c>
    </row>
    <row r="40" spans="1:9" ht="15.6">
      <c r="A40" s="48" t="str">
        <v>Colusa - WTP</v>
      </c>
      <c r="B40" s="9" t="str">
        <v>CA</v>
      </c>
      <c r="C40" s="24">
        <f>SUM(Apr!C40, May!C40, Jun!C40)</f>
        <v>0</v>
      </c>
      <c r="D40" s="13">
        <f>SUM(Apr!D40, May!D40, Jun!D40)</f>
        <v>0</v>
      </c>
      <c r="E40" s="13">
        <f t="shared" si="3"/>
        <v>0</v>
      </c>
      <c r="F40" s="14" t="str">
        <f t="shared" si="4"/>
        <v/>
      </c>
      <c r="G40" s="15">
        <f>SUM(Apr!G40, May!G40, Jun!G40)</f>
        <v>54361.94</v>
      </c>
      <c r="H40" s="15">
        <f>SUM(Apr!H40, May!H40, Jun!H40)</f>
        <v>-54361.94</v>
      </c>
      <c r="I40" s="16">
        <f t="shared" si="5"/>
        <v>-1</v>
      </c>
    </row>
    <row r="41" spans="1:9" ht="15.6">
      <c r="A41" s="49" t="str">
        <v>CDCR-North Kern State Prision</v>
      </c>
      <c r="B41" s="10" t="str">
        <v>CA</v>
      </c>
      <c r="C41" s="11">
        <f>SUM(Apr!C41, May!C41, Jun!C41)</f>
        <v>110856</v>
      </c>
      <c r="D41" s="18">
        <f>SUM(Apr!D41, May!D41, Jun!D41)</f>
        <v>0</v>
      </c>
      <c r="E41" s="18">
        <f t="shared" si="3"/>
        <v>110856</v>
      </c>
      <c r="F41" s="19" t="str">
        <f t="shared" si="4"/>
        <v/>
      </c>
      <c r="G41" s="20">
        <f>SUM(Apr!G41, May!G41, Jun!G41)</f>
        <v>209926.89</v>
      </c>
      <c r="H41" s="20">
        <f>SUM(Apr!H41, May!H41, Jun!H41)</f>
        <v>-99070.890000000014</v>
      </c>
      <c r="I41" s="19">
        <f t="shared" si="5"/>
        <v>-0.47193044206961771</v>
      </c>
    </row>
    <row r="42" spans="1:9" ht="15.6">
      <c r="A42" s="48" t="str">
        <v>Muroc Joint USD - District Office</v>
      </c>
      <c r="B42" s="9" t="str">
        <v>CA</v>
      </c>
      <c r="C42" s="24">
        <f>SUM(Apr!C42, May!C42, Jun!C42)</f>
        <v>6909</v>
      </c>
      <c r="D42" s="13">
        <f>SUM(Apr!D42, May!D42, Jun!D42)</f>
        <v>0</v>
      </c>
      <c r="E42" s="13">
        <f t="shared" si="3"/>
        <v>6909</v>
      </c>
      <c r="F42" s="14" t="str">
        <f t="shared" si="4"/>
        <v/>
      </c>
      <c r="G42" s="15">
        <f>SUM(Apr!G42, May!G42, Jun!G42)</f>
        <v>9656.11</v>
      </c>
      <c r="H42" s="15">
        <f>SUM(Apr!H42, May!H42, Jun!H42)</f>
        <v>-2747.1100000000006</v>
      </c>
      <c r="I42" s="16">
        <f t="shared" si="5"/>
        <v>-0.2844944806966781</v>
      </c>
    </row>
    <row r="43" spans="1:9" ht="15.6">
      <c r="A43" s="49" t="str">
        <v>Whole Foods - Manhattan Beach</v>
      </c>
      <c r="B43" s="10" t="str">
        <v>CA</v>
      </c>
      <c r="C43" s="11">
        <f>SUM(Apr!C43, May!C43, Jun!C43)</f>
        <v>17007</v>
      </c>
      <c r="D43" s="18">
        <f>SUM(Apr!D43, May!D43, Jun!D43)</f>
        <v>0</v>
      </c>
      <c r="E43" s="18">
        <f t="shared" si="3"/>
        <v>17007</v>
      </c>
      <c r="F43" s="19" t="str">
        <f t="shared" si="4"/>
        <v/>
      </c>
      <c r="G43" s="20">
        <f>SUM(Apr!G43, May!G43, Jun!G43)</f>
        <v>21784.09</v>
      </c>
      <c r="H43" s="20">
        <f>SUM(Apr!H43, May!H43, Jun!H43)</f>
        <v>-4777.09</v>
      </c>
      <c r="I43" s="19">
        <f t="shared" si="5"/>
        <v>-0.21929261217705215</v>
      </c>
    </row>
    <row r="44" spans="1:9" ht="15.6">
      <c r="A44" s="48" t="str">
        <v>Pioneer USD - Frontier ES</v>
      </c>
      <c r="B44" s="9" t="str">
        <v>CA</v>
      </c>
      <c r="C44" s="24">
        <f>SUM(Apr!C44, May!C44, Jun!C44)</f>
        <v>30397</v>
      </c>
      <c r="D44" s="13">
        <f>SUM(Apr!D44, May!D44, Jun!D44)</f>
        <v>0</v>
      </c>
      <c r="E44" s="13">
        <f t="shared" si="3"/>
        <v>30397</v>
      </c>
      <c r="F44" s="14" t="str">
        <f t="shared" si="4"/>
        <v/>
      </c>
      <c r="G44" s="15">
        <f>SUM(Apr!G44, May!G44, Jun!G44)</f>
        <v>35194.19</v>
      </c>
      <c r="H44" s="15">
        <f>SUM(Apr!H44, May!H44, Jun!H44)</f>
        <v>-4797.1900000000023</v>
      </c>
      <c r="I44" s="16">
        <f t="shared" si="5"/>
        <v>-0.13630630510320033</v>
      </c>
    </row>
    <row r="45" spans="1:9" ht="15.6">
      <c r="A45" s="49" t="str">
        <v>Pioneer USD - Pioneer ES</v>
      </c>
      <c r="B45" s="10" t="str">
        <v>CA</v>
      </c>
      <c r="C45" s="11">
        <f>SUM(Apr!C45, May!C45, Jun!C45)</f>
        <v>19143</v>
      </c>
      <c r="D45" s="18">
        <f>SUM(Apr!D45, May!D45, Jun!D45)</f>
        <v>0</v>
      </c>
      <c r="E45" s="18">
        <f t="shared" si="3"/>
        <v>19143</v>
      </c>
      <c r="F45" s="19" t="str">
        <f t="shared" si="4"/>
        <v/>
      </c>
      <c r="G45" s="20">
        <f>SUM(Apr!G45, May!G45, Jun!G45)</f>
        <v>35767.49</v>
      </c>
      <c r="H45" s="20">
        <f>SUM(Apr!H45, May!H45, Jun!H45)</f>
        <v>-16624.489999999998</v>
      </c>
      <c r="I45" s="19">
        <f t="shared" si="5"/>
        <v>-0.46479330811303782</v>
      </c>
    </row>
    <row r="46" spans="1:9" ht="15.6">
      <c r="A46" s="48" t="str">
        <v>Pioneer USD - Pioneer MS</v>
      </c>
      <c r="B46" s="9" t="str">
        <v>CA</v>
      </c>
      <c r="C46" s="24">
        <f>SUM(Apr!C46, May!C46, Jun!C46)</f>
        <v>42437</v>
      </c>
      <c r="D46" s="13">
        <f>SUM(Apr!D46, May!D46, Jun!D46)</f>
        <v>0</v>
      </c>
      <c r="E46" s="13">
        <f t="shared" si="3"/>
        <v>42437</v>
      </c>
      <c r="F46" s="14" t="str">
        <f t="shared" si="4"/>
        <v/>
      </c>
      <c r="G46" s="15">
        <f>SUM(Apr!G46, May!G46, Jun!G46)</f>
        <v>47914.68</v>
      </c>
      <c r="H46" s="15">
        <f>SUM(Apr!H46, May!H46, Jun!H46)</f>
        <v>-5477.68</v>
      </c>
      <c r="I46" s="16">
        <f t="shared" si="5"/>
        <v>-0.11432153987045307</v>
      </c>
    </row>
    <row r="47" spans="1:9" ht="15.6">
      <c r="A47" s="49" t="str">
        <v>Kingsburg Joint UHSD - Kingsburg HS</v>
      </c>
      <c r="B47" s="10" t="str">
        <v>CA</v>
      </c>
      <c r="C47" s="11">
        <f>SUM(Apr!C47, May!C47, Jun!C47)</f>
        <v>39526</v>
      </c>
      <c r="D47" s="18">
        <f>SUM(Apr!D47, May!D47, Jun!D47)</f>
        <v>0</v>
      </c>
      <c r="E47" s="18">
        <f t="shared" si="3"/>
        <v>39526</v>
      </c>
      <c r="F47" s="19" t="str">
        <f t="shared" si="4"/>
        <v/>
      </c>
      <c r="G47" s="20">
        <f>SUM(Apr!G47, May!G47, Jun!G47)</f>
        <v>90441.64</v>
      </c>
      <c r="H47" s="20">
        <f>SUM(Apr!H47, May!H47, Jun!H47)</f>
        <v>-50915.64</v>
      </c>
      <c r="I47" s="19">
        <f t="shared" si="5"/>
        <v>-0.56296679272954364</v>
      </c>
    </row>
    <row r="48" spans="1:9" ht="15.6">
      <c r="A48" s="48" t="str">
        <v>CADRB</v>
      </c>
      <c r="B48" s="9" t="str">
        <v>CA</v>
      </c>
      <c r="C48" s="24">
        <f>SUM(Apr!C48, May!C48, Jun!C48)</f>
        <v>0</v>
      </c>
      <c r="D48" s="13">
        <f>SUM(Apr!D48, May!D48, Jun!D48)</f>
        <v>0</v>
      </c>
      <c r="E48" s="13">
        <f t="shared" si="3"/>
        <v>0</v>
      </c>
      <c r="F48" s="14" t="str">
        <f t="shared" si="4"/>
        <v/>
      </c>
      <c r="G48" s="15">
        <f>SUM(Apr!G48, May!G48, Jun!G48)</f>
        <v>791823</v>
      </c>
      <c r="H48" s="15">
        <f>SUM(Apr!H48, May!H48, Jun!H48)</f>
        <v>-791823</v>
      </c>
      <c r="I48" s="16">
        <f t="shared" si="5"/>
        <v>-1</v>
      </c>
    </row>
    <row r="49" spans="1:9" ht="15.6">
      <c r="A49" s="49" t="str">
        <v>CDCR-CA State Prison LA County</v>
      </c>
      <c r="B49" s="10" t="str">
        <v>CA</v>
      </c>
      <c r="C49" s="11">
        <f>SUM(Apr!C49, May!C49, Jun!C49)</f>
        <v>301699</v>
      </c>
      <c r="D49" s="18">
        <f>SUM(Apr!D49, May!D49, Jun!D49)</f>
        <v>0</v>
      </c>
      <c r="E49" s="18">
        <f t="shared" si="3"/>
        <v>301699</v>
      </c>
      <c r="F49" s="19" t="str">
        <f t="shared" si="4"/>
        <v/>
      </c>
      <c r="G49" s="20">
        <f>SUM(Apr!G49, May!G49, Jun!G49)</f>
        <v>501677.37</v>
      </c>
      <c r="H49" s="20">
        <f>SUM(Apr!H49, May!H49, Jun!H49)</f>
        <v>-199978.37</v>
      </c>
      <c r="I49" s="19">
        <f t="shared" si="5"/>
        <v>-0.39861947530142727</v>
      </c>
    </row>
    <row r="50" spans="1:9" ht="15.6">
      <c r="A50" s="48" t="str">
        <v>Central USD Akers ES</v>
      </c>
      <c r="B50" s="9" t="str">
        <v>CA</v>
      </c>
      <c r="C50" s="24">
        <f>SUM(Apr!C50, May!C50, Jun!C50)</f>
        <v>37590</v>
      </c>
      <c r="D50" s="13">
        <f>SUM(Apr!D50, May!D50, Jun!D50)</f>
        <v>0</v>
      </c>
      <c r="E50" s="13">
        <f t="shared" si="3"/>
        <v>37590</v>
      </c>
      <c r="F50" s="14" t="str">
        <f t="shared" si="4"/>
        <v/>
      </c>
      <c r="G50" s="15">
        <f>SUM(Apr!G50, May!G50, Jun!G50)</f>
        <v>38046.050000000003</v>
      </c>
      <c r="H50" s="15">
        <f>SUM(Apr!H50, May!H50, Jun!H50)</f>
        <v>-456.05000000000291</v>
      </c>
      <c r="I50" s="16">
        <f t="shared" si="5"/>
        <v>-1.1986789693016827E-2</v>
      </c>
    </row>
    <row r="51" spans="1:9" ht="15.6">
      <c r="A51" s="49" t="str">
        <v>CUSD - District Office</v>
      </c>
      <c r="B51" s="10" t="str">
        <v>CA</v>
      </c>
      <c r="C51" s="11">
        <f>SUM(Apr!C51, May!C51, Jun!C51)</f>
        <v>20936</v>
      </c>
      <c r="D51" s="18">
        <f>SUM(Apr!D51, May!D51, Jun!D51)</f>
        <v>0</v>
      </c>
      <c r="E51" s="18">
        <f t="shared" si="3"/>
        <v>20936</v>
      </c>
      <c r="F51" s="19" t="str">
        <f t="shared" si="4"/>
        <v/>
      </c>
      <c r="G51" s="20">
        <f>SUM(Apr!G51, May!G51, Jun!G51)</f>
        <v>31419.67</v>
      </c>
      <c r="H51" s="20">
        <f>SUM(Apr!H51, May!H51, Jun!H51)</f>
        <v>-10483.669999999998</v>
      </c>
      <c r="I51" s="19">
        <f t="shared" si="5"/>
        <v>-0.33366582144242757</v>
      </c>
    </row>
    <row r="52" spans="1:9" ht="15.6">
      <c r="A52" s="48" t="str">
        <v>Parlier - WTP</v>
      </c>
      <c r="B52" s="9" t="str">
        <v>CA</v>
      </c>
      <c r="C52" s="24">
        <f>SUM(Apr!C52, May!C52, Jun!C52)</f>
        <v>54539</v>
      </c>
      <c r="D52" s="13">
        <f>SUM(Apr!D52, May!D52, Jun!D52)</f>
        <v>0</v>
      </c>
      <c r="E52" s="13">
        <f t="shared" si="3"/>
        <v>54539</v>
      </c>
      <c r="F52" s="14" t="str">
        <f t="shared" si="4"/>
        <v/>
      </c>
      <c r="G52" s="15">
        <f>SUM(Apr!G52, May!G52, Jun!G52)</f>
        <v>91735.31</v>
      </c>
      <c r="H52" s="15">
        <f>SUM(Apr!H52, May!H52, Jun!H52)</f>
        <v>-37196.31</v>
      </c>
      <c r="I52" s="16">
        <f t="shared" si="5"/>
        <v>-0.40547429337732654</v>
      </c>
    </row>
    <row r="53" spans="1:9" ht="15.6">
      <c r="A53" s="49" t="str">
        <v>Snowline SD - Quail Valley MS</v>
      </c>
      <c r="B53" s="10" t="str">
        <v>CA</v>
      </c>
      <c r="C53" s="11">
        <f>SUM(Apr!C53, May!C53, Jun!C53)</f>
        <v>39517</v>
      </c>
      <c r="D53" s="18">
        <f>SUM(Apr!D53, May!D53, Jun!D53)</f>
        <v>0</v>
      </c>
      <c r="E53" s="18">
        <f t="shared" si="3"/>
        <v>39517</v>
      </c>
      <c r="F53" s="19" t="str">
        <f t="shared" si="4"/>
        <v/>
      </c>
      <c r="G53" s="20">
        <f>SUM(Apr!G53, May!G53, Jun!G53)</f>
        <v>43263.19</v>
      </c>
      <c r="H53" s="20">
        <f>SUM(Apr!H53, May!H53, Jun!H53)</f>
        <v>-3746.1900000000023</v>
      </c>
      <c r="I53" s="19">
        <f t="shared" si="5"/>
        <v>-8.6590702165050756E-2</v>
      </c>
    </row>
    <row r="54" spans="1:9" ht="15.6">
      <c r="A54" s="48" t="str">
        <v>Snowline SD - Serrano HS - Middle Lot</v>
      </c>
      <c r="B54" s="9" t="str">
        <v>CA</v>
      </c>
      <c r="C54" s="24">
        <f>SUM(Apr!C54, May!C54, Jun!C54)</f>
        <v>34848</v>
      </c>
      <c r="D54" s="13">
        <f>SUM(Apr!D54, May!D54, Jun!D54)</f>
        <v>0</v>
      </c>
      <c r="E54" s="13">
        <f t="shared" si="3"/>
        <v>34848</v>
      </c>
      <c r="F54" s="14" t="str">
        <f t="shared" si="4"/>
        <v/>
      </c>
      <c r="G54" s="15">
        <f>SUM(Apr!G54, May!G54, Jun!G54)</f>
        <v>55029.14</v>
      </c>
      <c r="H54" s="15">
        <f>SUM(Apr!H54, May!H54, Jun!H54)</f>
        <v>-20181.14</v>
      </c>
      <c r="I54" s="16">
        <f t="shared" si="5"/>
        <v>-0.36673551503803259</v>
      </c>
    </row>
    <row r="55" spans="1:9" ht="15.6">
      <c r="A55" s="49" t="str">
        <v>Snowline SD - Pinon Hills ES</v>
      </c>
      <c r="B55" s="10" t="str">
        <v>CA</v>
      </c>
      <c r="C55" s="11">
        <f>SUM(Apr!C55, May!C55, Jun!C55)</f>
        <v>12845</v>
      </c>
      <c r="D55" s="18">
        <f>SUM(Apr!D55, May!D55, Jun!D55)</f>
        <v>0</v>
      </c>
      <c r="E55" s="18">
        <f t="shared" si="3"/>
        <v>12845</v>
      </c>
      <c r="F55" s="19" t="str">
        <f t="shared" si="4"/>
        <v/>
      </c>
      <c r="G55" s="20">
        <f>SUM(Apr!G55, May!G55, Jun!G55)</f>
        <v>25215.87</v>
      </c>
      <c r="H55" s="20">
        <f>SUM(Apr!H55, May!H55, Jun!H55)</f>
        <v>-12370.869999999999</v>
      </c>
      <c r="I55" s="19">
        <f t="shared" si="5"/>
        <v>-0.49059857938671159</v>
      </c>
    </row>
    <row r="56" spans="1:9" ht="15.6">
      <c r="A56" s="48" t="str">
        <v>Ramona - Santa Maria WTP</v>
      </c>
      <c r="B56" s="9" t="str">
        <v>CA</v>
      </c>
      <c r="C56" s="24">
        <f>SUM(Apr!C56, May!C56, Jun!C56)</f>
        <v>67314</v>
      </c>
      <c r="D56" s="13">
        <f>SUM(Apr!D56, May!D56, Jun!D56)</f>
        <v>0</v>
      </c>
      <c r="E56" s="13">
        <f t="shared" si="3"/>
        <v>67314</v>
      </c>
      <c r="F56" s="14" t="str">
        <f t="shared" si="4"/>
        <v/>
      </c>
      <c r="G56" s="15">
        <f>SUM(Apr!G56, May!G56, Jun!G56)</f>
        <v>83468.89</v>
      </c>
      <c r="H56" s="15">
        <f>SUM(Apr!H56, May!H56, Jun!H56)</f>
        <v>-16154.89</v>
      </c>
      <c r="I56" s="16">
        <f t="shared" si="5"/>
        <v>-0.19354384609643185</v>
      </c>
    </row>
    <row r="57" spans="1:9" ht="15.6">
      <c r="A57" s="49" t="str">
        <v>Kohls - Redding</v>
      </c>
      <c r="B57" s="10" t="str">
        <v>CA</v>
      </c>
      <c r="C57" s="11">
        <f>SUM(Apr!C57, May!C57, Jun!C57)</f>
        <v>0</v>
      </c>
      <c r="D57" s="18">
        <f>SUM(Apr!D57, May!D57, Jun!D57)</f>
        <v>0</v>
      </c>
      <c r="E57" s="18">
        <f t="shared" si="3"/>
        <v>0</v>
      </c>
      <c r="F57" s="19" t="str">
        <f t="shared" si="4"/>
        <v/>
      </c>
      <c r="G57" s="20">
        <f>SUM(Apr!G57, May!G57, Jun!G57)</f>
        <v>31544.14</v>
      </c>
      <c r="H57" s="20">
        <f>SUM(Apr!H57, May!H57, Jun!H57)</f>
        <v>-31544.14</v>
      </c>
      <c r="I57" s="19">
        <f t="shared" si="5"/>
        <v>-1</v>
      </c>
    </row>
    <row r="58" spans="1:9" ht="15.6">
      <c r="A58" s="48" t="str">
        <v>Kohls - Salinas</v>
      </c>
      <c r="B58" s="9" t="str">
        <v>CA</v>
      </c>
      <c r="C58" s="24">
        <f>SUM(Apr!C58, May!C58, Jun!C58)</f>
        <v>34146</v>
      </c>
      <c r="D58" s="13">
        <f>SUM(Apr!D58, May!D58, Jun!D58)</f>
        <v>0</v>
      </c>
      <c r="E58" s="13">
        <f t="shared" si="3"/>
        <v>34146</v>
      </c>
      <c r="F58" s="14" t="str">
        <f t="shared" si="4"/>
        <v/>
      </c>
      <c r="G58" s="15">
        <f>SUM(Apr!G58, May!G58, Jun!G58)</f>
        <v>49956.33</v>
      </c>
      <c r="H58" s="15">
        <f>SUM(Apr!H58, May!H58, Jun!H58)</f>
        <v>-15810.330000000002</v>
      </c>
      <c r="I58" s="16">
        <f t="shared" si="5"/>
        <v>-0.31648301626640712</v>
      </c>
    </row>
    <row r="59" spans="1:9" ht="15.6">
      <c r="A59" s="49" t="str">
        <v>Kohls - San Bernardino - Central</v>
      </c>
      <c r="B59" s="10" t="str">
        <v>CA</v>
      </c>
      <c r="C59" s="11">
        <f>SUM(Apr!C59, May!C59, Jun!C59)</f>
        <v>1201</v>
      </c>
      <c r="D59" s="18">
        <f>SUM(Apr!D59, May!D59, Jun!D59)</f>
        <v>0</v>
      </c>
      <c r="E59" s="18">
        <f t="shared" si="3"/>
        <v>1201</v>
      </c>
      <c r="F59" s="19" t="str">
        <f t="shared" si="4"/>
        <v/>
      </c>
      <c r="G59" s="20">
        <f>SUM(Apr!G59, May!G59, Jun!G59)</f>
        <v>137860.17000000001</v>
      </c>
      <c r="H59" s="20">
        <f>SUM(Apr!H59, May!H59, Jun!H59)</f>
        <v>-136659.17000000001</v>
      </c>
      <c r="I59" s="19">
        <f t="shared" si="5"/>
        <v>-0.99128827419841425</v>
      </c>
    </row>
    <row r="60" spans="1:9" ht="15.6">
      <c r="A60" s="48" t="str">
        <v>Kohls - Sonora</v>
      </c>
      <c r="B60" s="9" t="str">
        <v>CA</v>
      </c>
      <c r="C60" s="24">
        <f>SUM(Apr!C60, May!C60, Jun!C60)</f>
        <v>28132</v>
      </c>
      <c r="D60" s="13">
        <f>SUM(Apr!D60, May!D60, Jun!D60)</f>
        <v>0</v>
      </c>
      <c r="E60" s="13">
        <f t="shared" si="3"/>
        <v>28132</v>
      </c>
      <c r="F60" s="14" t="str">
        <f t="shared" si="4"/>
        <v/>
      </c>
      <c r="G60" s="15">
        <f>SUM(Apr!G60, May!G60, Jun!G60)</f>
        <v>33281.85</v>
      </c>
      <c r="H60" s="15">
        <f>SUM(Apr!H60, May!H60, Jun!H60)</f>
        <v>-5149.8499999999985</v>
      </c>
      <c r="I60" s="16">
        <f t="shared" si="5"/>
        <v>-0.15473448741581369</v>
      </c>
    </row>
    <row r="61" spans="1:9" ht="15.6">
      <c r="A61" s="49" t="str">
        <v>CUSD - Stratford ES</v>
      </c>
      <c r="B61" s="10" t="str">
        <v>CA</v>
      </c>
      <c r="C61" s="11">
        <f>SUM(Apr!C61, May!C61, Jun!C61)</f>
        <v>24848</v>
      </c>
      <c r="D61" s="18">
        <f>SUM(Apr!D61, May!D61, Jun!D61)</f>
        <v>0</v>
      </c>
      <c r="E61" s="18">
        <f t="shared" si="3"/>
        <v>24848</v>
      </c>
      <c r="F61" s="19" t="str">
        <f t="shared" si="4"/>
        <v/>
      </c>
      <c r="G61" s="20">
        <f>SUM(Apr!G61, May!G61, Jun!G61)</f>
        <v>23724.43</v>
      </c>
      <c r="H61" s="20">
        <f>SUM(Apr!H61, May!H61, Jun!H61)</f>
        <v>1123.5699999999997</v>
      </c>
      <c r="I61" s="19">
        <f t="shared" si="5"/>
        <v>4.7359198935443325E-2</v>
      </c>
    </row>
    <row r="62" spans="1:9" ht="15.6">
      <c r="A62" s="48" t="str">
        <v>Taft - City Hall</v>
      </c>
      <c r="B62" s="9" t="str">
        <v>CA</v>
      </c>
      <c r="C62" s="24">
        <f>SUM(Apr!C62, May!C62, Jun!C62)</f>
        <v>876</v>
      </c>
      <c r="D62" s="13">
        <f>SUM(Apr!D62, May!D62, Jun!D62)</f>
        <v>0</v>
      </c>
      <c r="E62" s="13">
        <f t="shared" si="3"/>
        <v>876</v>
      </c>
      <c r="F62" s="14" t="str">
        <f t="shared" si="4"/>
        <v/>
      </c>
      <c r="G62" s="15">
        <f>SUM(Apr!G62, May!G62, Jun!G62)</f>
        <v>9524.2900000000009</v>
      </c>
      <c r="H62" s="15">
        <f>SUM(Apr!H62, May!H62, Jun!H62)</f>
        <v>-8648.2900000000009</v>
      </c>
      <c r="I62" s="16">
        <f t="shared" si="5"/>
        <v>-0.90802464015690409</v>
      </c>
    </row>
    <row r="63" spans="1:9" ht="15.6">
      <c r="A63" s="49" t="str">
        <v>Taft - Federal Prison</v>
      </c>
      <c r="B63" s="10" t="str">
        <v>CA</v>
      </c>
      <c r="C63" s="11">
        <f>SUM(Apr!C63, May!C63, Jun!C63)</f>
        <v>16199</v>
      </c>
      <c r="D63" s="18">
        <f>SUM(Apr!D63, May!D63, Jun!D63)</f>
        <v>0</v>
      </c>
      <c r="E63" s="18">
        <f t="shared" si="3"/>
        <v>16199</v>
      </c>
      <c r="F63" s="19" t="str">
        <f t="shared" si="4"/>
        <v/>
      </c>
      <c r="G63" s="20">
        <f>SUM(Apr!G63, May!G63, Jun!G63)</f>
        <v>15175.89</v>
      </c>
      <c r="H63" s="20">
        <f>SUM(Apr!H63, May!H63, Jun!H63)</f>
        <v>1023.1100000000006</v>
      </c>
      <c r="I63" s="19">
        <f t="shared" si="5"/>
        <v>6.741680389090858E-2</v>
      </c>
    </row>
    <row r="64" spans="1:9" ht="15.6">
      <c r="A64" s="48" t="str">
        <v>Taft - Police Department</v>
      </c>
      <c r="B64" s="9" t="str">
        <v>CA</v>
      </c>
      <c r="C64" s="24">
        <f>SUM(Apr!C64, May!C64, Jun!C64)</f>
        <v>11295</v>
      </c>
      <c r="D64" s="13">
        <f>SUM(Apr!D64, May!D64, Jun!D64)</f>
        <v>0</v>
      </c>
      <c r="E64" s="13">
        <f t="shared" si="3"/>
        <v>11295</v>
      </c>
      <c r="F64" s="14" t="str">
        <f t="shared" si="4"/>
        <v/>
      </c>
      <c r="G64" s="15">
        <f>SUM(Apr!G64, May!G64, Jun!G64)</f>
        <v>10899.77</v>
      </c>
      <c r="H64" s="15">
        <f>SUM(Apr!H64, May!H64, Jun!H64)</f>
        <v>395.22999999999956</v>
      </c>
      <c r="I64" s="16">
        <f t="shared" si="5"/>
        <v>3.6260398155190388E-2</v>
      </c>
    </row>
    <row r="65" spans="1:9" ht="15.6">
      <c r="A65" s="49" t="str">
        <v>Taft - WTP</v>
      </c>
      <c r="B65" s="10" t="str">
        <v>CA</v>
      </c>
      <c r="C65" s="11">
        <f>SUM(Apr!C65, May!C65, Jun!C65)</f>
        <v>876</v>
      </c>
      <c r="D65" s="18">
        <f>SUM(Apr!D65, May!D65, Jun!D65)</f>
        <v>0</v>
      </c>
      <c r="E65" s="18">
        <f t="shared" si="3"/>
        <v>876</v>
      </c>
      <c r="F65" s="19" t="str">
        <f t="shared" si="4"/>
        <v/>
      </c>
      <c r="G65" s="20">
        <f>SUM(Apr!G65, May!G65, Jun!G65)</f>
        <v>9524.2900000000009</v>
      </c>
      <c r="H65" s="20">
        <f>SUM(Apr!H65, May!H65, Jun!H65)</f>
        <v>-8648.2900000000009</v>
      </c>
      <c r="I65" s="19">
        <f t="shared" si="5"/>
        <v>-0.90802464015690409</v>
      </c>
    </row>
    <row r="66" spans="1:9" ht="15.6">
      <c r="A66" s="48" t="str">
        <v>CDCR - CA Correctional Institution</v>
      </c>
      <c r="B66" s="9" t="str">
        <v>CA</v>
      </c>
      <c r="C66" s="24">
        <f>SUM(Apr!C66, May!C66, Jun!C66)</f>
        <v>193202</v>
      </c>
      <c r="D66" s="13">
        <f>SUM(Apr!D66, May!D66, Jun!D66)</f>
        <v>0</v>
      </c>
      <c r="E66" s="13">
        <f t="shared" si="3"/>
        <v>193202</v>
      </c>
      <c r="F66" s="14" t="str">
        <f t="shared" si="4"/>
        <v/>
      </c>
      <c r="G66" s="15">
        <f>SUM(Apr!G66, May!G66, Jun!G66)</f>
        <v>221609.78</v>
      </c>
      <c r="H66" s="15">
        <f>SUM(Apr!H66, May!H66, Jun!H66)</f>
        <v>-28407.78</v>
      </c>
      <c r="I66" s="16">
        <f t="shared" si="5"/>
        <v>-0.12818829566095863</v>
      </c>
    </row>
    <row r="67" spans="1:9" ht="15.6">
      <c r="A67" s="49" t="str">
        <v>CDCR - CA Correctional Institution II</v>
      </c>
      <c r="B67" s="10" t="str">
        <v>CA</v>
      </c>
      <c r="C67" s="11">
        <f>SUM(Apr!C67, May!C67, Jun!C67)</f>
        <v>140791</v>
      </c>
      <c r="D67" s="18">
        <f>SUM(Apr!D67, May!D67, Jun!D67)</f>
        <v>0</v>
      </c>
      <c r="E67" s="18">
        <f t="shared" si="3"/>
        <v>140791</v>
      </c>
      <c r="F67" s="19" t="str">
        <f t="shared" si="4"/>
        <v/>
      </c>
      <c r="G67" s="20">
        <f>SUM(Apr!G67, May!G67, Jun!G67)</f>
        <v>317401.68</v>
      </c>
      <c r="H67" s="20">
        <f>SUM(Apr!H67, May!H67, Jun!H67)</f>
        <v>-176610.68</v>
      </c>
      <c r="I67" s="19">
        <f t="shared" si="5"/>
        <v>-0.5564264184108918</v>
      </c>
    </row>
    <row r="68" spans="1:9" ht="15.6">
      <c r="A68" s="48" t="str">
        <v>Snowline SD - Vista Verde ES</v>
      </c>
      <c r="B68" s="9" t="str">
        <v>CA</v>
      </c>
      <c r="C68" s="24">
        <f>SUM(Apr!C68, May!C68, Jun!C68)</f>
        <v>15985</v>
      </c>
      <c r="D68" s="13">
        <f>SUM(Apr!D68, May!D68, Jun!D68)</f>
        <v>0</v>
      </c>
      <c r="E68" s="13">
        <f t="shared" si="3"/>
        <v>15985</v>
      </c>
      <c r="F68" s="14" t="str">
        <f t="shared" si="4"/>
        <v/>
      </c>
      <c r="G68" s="15">
        <f>SUM(Apr!G68, May!G68, Jun!G68)</f>
        <v>31954.52</v>
      </c>
      <c r="H68" s="15">
        <f>SUM(Apr!H68, May!H68, Jun!H68)</f>
        <v>-15969.52</v>
      </c>
      <c r="I68" s="16">
        <f t="shared" si="5"/>
        <v>-0.49975778074588512</v>
      </c>
    </row>
    <row r="69" spans="1:9" ht="15.6">
      <c r="A69" s="49" t="str">
        <v>North Stonington</v>
      </c>
      <c r="B69" s="10" t="str">
        <v>CT</v>
      </c>
      <c r="C69" s="11">
        <f>SUM(Apr!C69, May!C69, Jun!C69)</f>
        <v>1425880</v>
      </c>
      <c r="D69" s="18">
        <f>SUM(Apr!D69, May!D69, Jun!D69)</f>
        <v>0</v>
      </c>
      <c r="E69" s="18">
        <f t="shared" si="3"/>
        <v>1425880</v>
      </c>
      <c r="F69" s="19" t="str">
        <f t="shared" si="4"/>
        <v/>
      </c>
      <c r="G69" s="20">
        <f>SUM(Apr!G69, May!G69, Jun!G69)</f>
        <v>0</v>
      </c>
      <c r="H69" s="20">
        <f>SUM(Apr!H69, May!H69, Jun!H69)</f>
        <v>0</v>
      </c>
      <c r="I69" s="19" t="str">
        <f t="shared" si="5"/>
        <v/>
      </c>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1" t="str" cm="1">
        <f t="array" ref="A1">portfolio</f>
        <v>Silicon Ranch</v>
      </c>
      <c r="B1" s="121"/>
      <c r="C1" s="121"/>
      <c r="D1" s="122" t="s">
        <v>14</v>
      </c>
      <c r="E1" s="122"/>
      <c r="F1" s="122"/>
      <c r="G1" s="120" t="s">
        <v>15</v>
      </c>
      <c r="H1" s="120"/>
      <c r="I1" s="120"/>
    </row>
    <row r="2" spans="1:9" ht="19.5" customHeight="1">
      <c r="A2" s="123" t="s">
        <v>2</v>
      </c>
      <c r="B2" s="123"/>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6">
      <c r="A5" s="49" t="str">
        <v>Kohls - Auburn</v>
      </c>
      <c r="B5" s="10" t="str">
        <v>NY</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6">
      <c r="A6" s="48" t="str">
        <v>Kohls - Bensalem</v>
      </c>
      <c r="B6" s="9" t="str">
        <v>PA</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6">
      <c r="A7" s="49" t="str">
        <v>Kohls - Brick</v>
      </c>
      <c r="B7" s="10" t="str">
        <v>NJ</v>
      </c>
      <c r="C7" s="11">
        <f>SUM(Jul!C7, Aug!C7, Sep!C7)</f>
        <v>0</v>
      </c>
      <c r="D7" s="18">
        <f>SUM(Jul!D7, Aug!D7, Sep!D7)</f>
        <v>0</v>
      </c>
      <c r="E7" s="18">
        <f t="shared" si="0"/>
        <v>0</v>
      </c>
      <c r="F7" s="19" t="str">
        <f t="shared" si="1"/>
        <v/>
      </c>
      <c r="G7" s="20">
        <f>SUM(Jul!G7, Aug!G7, Sep!G7)</f>
        <v>0</v>
      </c>
      <c r="H7" s="20">
        <f>SUM(Jul!H7, Aug!H7, Sep!H7)</f>
        <v>0</v>
      </c>
      <c r="I7" s="19" t="str">
        <f t="shared" si="2"/>
        <v/>
      </c>
    </row>
    <row r="8" spans="1:9" ht="15.6">
      <c r="A8" s="48" t="str">
        <v>Kohls - Buffalo</v>
      </c>
      <c r="B8" s="9" t="str">
        <v>NY</v>
      </c>
      <c r="C8" s="24">
        <f>SUM(Jul!C8, Aug!C8, Sep!C8)</f>
        <v>0</v>
      </c>
      <c r="D8" s="13">
        <f>SUM(Jul!D8, Aug!D8, Sep!D8)</f>
        <v>0</v>
      </c>
      <c r="E8" s="13">
        <f t="shared" si="0"/>
        <v>0</v>
      </c>
      <c r="F8" s="14" t="str">
        <f t="shared" si="1"/>
        <v/>
      </c>
      <c r="G8" s="15">
        <f>SUM(Jul!G8, Aug!G8, Sep!G8)</f>
        <v>0</v>
      </c>
      <c r="H8" s="15">
        <f>SUM(Jul!H8, Aug!H8, Sep!H8)</f>
        <v>0</v>
      </c>
      <c r="I8" s="16" t="str">
        <f t="shared" si="2"/>
        <v/>
      </c>
    </row>
    <row r="9" spans="1:9" ht="15.6">
      <c r="A9" s="49" t="str">
        <v>Kohls - Canton</v>
      </c>
      <c r="B9" s="10" t="str">
        <v>CT</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6">
      <c r="A10" s="48" t="str">
        <v>Kohls - East Amherst</v>
      </c>
      <c r="B10" s="9" t="str">
        <v>NY</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6">
      <c r="A11" s="49" t="str">
        <v>Kohls - East Brunswick</v>
      </c>
      <c r="B11" s="10" t="str">
        <v>NJ</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6">
      <c r="A12" s="48" t="str">
        <v>Kohls - Edgewood</v>
      </c>
      <c r="B12" s="9" t="str">
        <v>MD</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6">
      <c r="A13" s="49" t="str">
        <v>Kohls - Granite Run</v>
      </c>
      <c r="B13" s="10" t="str">
        <v>PA</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6">
      <c r="A14" s="48" t="str">
        <v>Kohls - Greece</v>
      </c>
      <c r="B14" s="9" t="str">
        <v>NY</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6">
      <c r="A15" s="49" t="str">
        <v>Kohls - Hanover</v>
      </c>
      <c r="B15" s="10" t="str">
        <v>PA</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6">
      <c r="A16" s="48" t="str">
        <v>Kohls - Horsehead</v>
      </c>
      <c r="B16" s="9" t="str">
        <v>NY</v>
      </c>
      <c r="C16" s="24">
        <f>SUM(Jul!C16, Aug!C16, Sep!C16)</f>
        <v>0</v>
      </c>
      <c r="D16" s="13">
        <f>SUM(Jul!D16, Aug!D16, Sep!D16)</f>
        <v>0</v>
      </c>
      <c r="E16" s="13">
        <f t="shared" ref="E16:E19" si="3">IF(AND(ISNUMBER(C16),ISNUMBER(D16)), C16-D16, "")</f>
        <v>0</v>
      </c>
      <c r="F16" s="14" t="str">
        <f t="shared" ref="F16:F19" si="4">IFERROR(E16/D16, "")</f>
        <v/>
      </c>
      <c r="G16" s="15">
        <f>SUM(Jul!G16, Aug!G16, Sep!G16)</f>
        <v>0</v>
      </c>
      <c r="H16" s="15">
        <f>SUM(Jul!H16, Aug!H16, Sep!H16)</f>
        <v>0</v>
      </c>
      <c r="I16" s="16" t="str">
        <f t="shared" ref="I16:I19" si="5">IFERROR(H16/G16, "")</f>
        <v/>
      </c>
    </row>
    <row r="17" spans="1:9" ht="15.6">
      <c r="A17" s="49" t="str">
        <v>Kohls - Hudson</v>
      </c>
      <c r="B17" s="10" t="str">
        <v>NY</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48" t="str">
        <v>Kohls - Ithaca</v>
      </c>
      <c r="B18" s="12" t="str">
        <v>NY</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6">
      <c r="A19" s="49" t="str">
        <v>Kohls - Kingston</v>
      </c>
      <c r="B19" s="17" t="str">
        <v>NY</v>
      </c>
      <c r="C19" s="11">
        <f>SUM(Jul!C19, Aug!C19, Sep!C21)</f>
        <v>0</v>
      </c>
      <c r="D19" s="18">
        <f>SUM(Jul!D19, Aug!D19, Sep!D21)</f>
        <v>0</v>
      </c>
      <c r="E19" s="18">
        <f t="shared" si="3"/>
        <v>0</v>
      </c>
      <c r="F19" s="19" t="str">
        <f t="shared" si="4"/>
        <v/>
      </c>
      <c r="G19" s="20">
        <f>SUM(Jul!G19, Aug!G19, Sep!G19)</f>
        <v>0</v>
      </c>
      <c r="H19" s="20">
        <f>SUM(Jul!H19, Aug!H19, Sep!H21)</f>
        <v>0</v>
      </c>
      <c r="I19" s="19" t="str">
        <f t="shared" si="5"/>
        <v/>
      </c>
    </row>
    <row r="20" spans="1:9" ht="15.6">
      <c r="A20" s="48" t="str">
        <v>Kohls - Mechanicsburg</v>
      </c>
      <c r="B20" s="12" t="str">
        <v>PA</v>
      </c>
      <c r="C20" s="24">
        <f>SUM(Jul!C20, Aug!C20, Sep!C22)</f>
        <v>0</v>
      </c>
      <c r="D20" s="13">
        <f>SUM(Jul!D20, Aug!D20, Sep!D22)</f>
        <v>0</v>
      </c>
      <c r="E20" s="13">
        <f t="shared" ref="E20:E25" si="6">IF(AND(ISNUMBER(C20),ISNUMBER(D20)), C20-D20, "")</f>
        <v>0</v>
      </c>
      <c r="F20" s="14" t="str">
        <f t="shared" ref="F20:F25" si="7">IFERROR(E20/D20, "")</f>
        <v/>
      </c>
      <c r="G20" s="15">
        <f>SUM(Jul!G20, Aug!G20, Sep!G20)</f>
        <v>0</v>
      </c>
      <c r="H20" s="15">
        <f>SUM(Jul!H20, Aug!H20, Sep!H22)</f>
        <v>0</v>
      </c>
      <c r="I20" s="16" t="str">
        <f t="shared" ref="I20:I25" si="8">IFERROR(H20/G20, "")</f>
        <v/>
      </c>
    </row>
    <row r="21" spans="1:9" ht="15.6">
      <c r="A21" s="49" t="str">
        <v>Kohls - Middletown</v>
      </c>
      <c r="B21" s="17" t="str">
        <v>NJ</v>
      </c>
      <c r="C21" s="11">
        <f>SUM(Jul!C21, Aug!C21, Sep!C23)</f>
        <v>0</v>
      </c>
      <c r="D21" s="18">
        <f>SUM(Jul!D21, Aug!D21, Sep!D23)</f>
        <v>0</v>
      </c>
      <c r="E21" s="18">
        <f t="shared" si="6"/>
        <v>0</v>
      </c>
      <c r="F21" s="19" t="str">
        <f t="shared" si="7"/>
        <v/>
      </c>
      <c r="G21" s="20">
        <f>SUM(Jul!G21, Aug!G21, Sep!G21)</f>
        <v>0</v>
      </c>
      <c r="H21" s="20">
        <f>SUM(Jul!H21, Aug!H21, Sep!H23)</f>
        <v>0</v>
      </c>
      <c r="I21" s="19" t="str">
        <f t="shared" si="8"/>
        <v/>
      </c>
    </row>
    <row r="22" spans="1:9" ht="15.6">
      <c r="A22" s="48" t="str">
        <v>Kohls - North Amherst</v>
      </c>
      <c r="B22" s="12" t="str">
        <v>NY</v>
      </c>
      <c r="C22" s="24">
        <f>SUM(Jul!C22, Aug!C22, Sep!C24)</f>
        <v>0</v>
      </c>
      <c r="D22" s="13">
        <f>SUM(Jul!D22, Aug!D22, Sep!D24)</f>
        <v>0</v>
      </c>
      <c r="E22" s="13">
        <f t="shared" si="6"/>
        <v>0</v>
      </c>
      <c r="F22" s="14" t="str">
        <f t="shared" si="7"/>
        <v/>
      </c>
      <c r="G22" s="15">
        <f>SUM(Jul!G22, Aug!G22, Sep!G22)</f>
        <v>0</v>
      </c>
      <c r="H22" s="15">
        <f>SUM(Jul!H22, Aug!H22, Sep!H24)</f>
        <v>0</v>
      </c>
      <c r="I22" s="16" t="str">
        <f t="shared" si="8"/>
        <v/>
      </c>
    </row>
    <row r="23" spans="1:9" ht="15.6">
      <c r="A23" s="49" t="str">
        <v>Kohls - Staten Island</v>
      </c>
      <c r="B23" s="17" t="str">
        <v>NY</v>
      </c>
      <c r="C23" s="11">
        <f>SUM(Jul!C23, Aug!C23, Sep!C25)</f>
        <v>0</v>
      </c>
      <c r="D23" s="18">
        <f>SUM(Jul!D23, Aug!D23, Sep!D25)</f>
        <v>0</v>
      </c>
      <c r="E23" s="18">
        <f t="shared" si="6"/>
        <v>0</v>
      </c>
      <c r="F23" s="19" t="str">
        <f t="shared" si="7"/>
        <v/>
      </c>
      <c r="G23" s="20">
        <f>SUM(Jul!G23, Aug!G23, Sep!G23)</f>
        <v>0</v>
      </c>
      <c r="H23" s="20">
        <f>SUM(Jul!H23, Aug!H23, Sep!H25)</f>
        <v>0</v>
      </c>
      <c r="I23" s="19" t="str">
        <f t="shared" si="8"/>
        <v/>
      </c>
    </row>
    <row r="24" spans="1:9" ht="15.6">
      <c r="A24" s="48" t="str">
        <v>Kohls - Warminster</v>
      </c>
      <c r="B24" s="12" t="str">
        <v>PA</v>
      </c>
      <c r="C24" s="24">
        <f>SUM(Jul!C24, Aug!C24, Sep!C26)</f>
        <v>0</v>
      </c>
      <c r="D24" s="13">
        <f>SUM(Jul!D24, Aug!D24, Sep!D26)</f>
        <v>0</v>
      </c>
      <c r="E24" s="13">
        <f t="shared" si="6"/>
        <v>0</v>
      </c>
      <c r="F24" s="14" t="str">
        <f t="shared" si="7"/>
        <v/>
      </c>
      <c r="G24" s="15">
        <f>SUM(Jul!G24, Aug!G24, Sep!G24)</f>
        <v>0</v>
      </c>
      <c r="H24" s="15">
        <f>SUM(Jul!H24, Aug!H24, Sep!H26)</f>
        <v>0</v>
      </c>
      <c r="I24" s="16" t="str">
        <f t="shared" si="8"/>
        <v/>
      </c>
    </row>
    <row r="25" spans="1:9" ht="15.6">
      <c r="A25" s="49" t="str">
        <v xml:space="preserve">Kohls - Waterbury </v>
      </c>
      <c r="B25" s="17" t="str">
        <v>CT</v>
      </c>
      <c r="C25" s="11">
        <f>SUM(Jul!C25, Aug!C25, Sep!C27)</f>
        <v>0</v>
      </c>
      <c r="D25" s="18">
        <f>SUM(Jul!D25, Aug!D25, Sep!D27)</f>
        <v>0</v>
      </c>
      <c r="E25" s="18">
        <f t="shared" si="6"/>
        <v>0</v>
      </c>
      <c r="F25" s="19" t="str">
        <f t="shared" si="7"/>
        <v/>
      </c>
      <c r="G25" s="20">
        <f>SUM(Jul!G25, Aug!G25, Sep!G27)</f>
        <v>0</v>
      </c>
      <c r="H25" s="20">
        <f>SUM(Jul!H25, Aug!H25, Sep!H27)</f>
        <v>0</v>
      </c>
      <c r="I25" s="19" t="str">
        <f t="shared" si="8"/>
        <v/>
      </c>
    </row>
    <row r="26" spans="1:9" ht="15.6">
      <c r="A26" s="48" t="str">
        <v>Mojave Water Agency - Headquarters</v>
      </c>
      <c r="B26" s="12" t="str">
        <v>CA</v>
      </c>
      <c r="C26" s="24">
        <f>SUM(Jul!C26, Aug!C26, Sep!C28)</f>
        <v>0</v>
      </c>
      <c r="D26" s="13">
        <f>SUM(Jul!D26, Aug!D26, Sep!D28)</f>
        <v>0</v>
      </c>
      <c r="E26" s="13">
        <f t="shared" ref="E26:E68" si="9">IF(AND(ISNUMBER(C26),ISNUMBER(D26)), C26-D26, "")</f>
        <v>0</v>
      </c>
      <c r="F26" s="14" t="str">
        <f t="shared" ref="F26:F68" si="10">IFERROR(E26/D26, "")</f>
        <v/>
      </c>
      <c r="G26" s="15">
        <f>SUM(Jul!G26, Aug!G26, Sep!G26)</f>
        <v>0</v>
      </c>
      <c r="H26" s="15">
        <f>SUM(Jul!H26, Aug!H26, Sep!H28)</f>
        <v>0</v>
      </c>
      <c r="I26" s="16" t="str">
        <f t="shared" ref="I26:I68" si="11">IFERROR(H26/G26, "")</f>
        <v/>
      </c>
    </row>
    <row r="27" spans="1:9" ht="15.6">
      <c r="A27" s="49" t="str">
        <v>CSU - Bakersfield</v>
      </c>
      <c r="B27" s="17" t="str">
        <v>CA</v>
      </c>
      <c r="C27" s="11">
        <f>SUM(Jul!C27, Aug!C27, Sep!C29)</f>
        <v>0</v>
      </c>
      <c r="D27" s="18">
        <f>SUM(Jul!D27, Aug!D27, Sep!D29)</f>
        <v>0</v>
      </c>
      <c r="E27" s="18">
        <f t="shared" si="9"/>
        <v>0</v>
      </c>
      <c r="F27" s="19" t="str">
        <f t="shared" si="10"/>
        <v/>
      </c>
      <c r="G27" s="20">
        <f>SUM(Jul!G27, Aug!G27, Sep!G29)</f>
        <v>0</v>
      </c>
      <c r="H27" s="20">
        <f>SUM(Jul!H27, Aug!H27, Sep!H29)</f>
        <v>0</v>
      </c>
      <c r="I27" s="19" t="str">
        <f t="shared" si="11"/>
        <v/>
      </c>
    </row>
    <row r="28" spans="1:9" ht="15.6">
      <c r="A28" s="48" t="str">
        <v>Greenfield USD - Fairfield ES</v>
      </c>
      <c r="B28" s="12" t="str">
        <v>CA</v>
      </c>
      <c r="C28" s="24">
        <f>SUM(Jul!C28, Aug!C28, Sep!C30)</f>
        <v>0</v>
      </c>
      <c r="D28" s="13">
        <f>SUM(Jul!D28, Aug!D28, Sep!D30)</f>
        <v>0</v>
      </c>
      <c r="E28" s="13">
        <f t="shared" si="9"/>
        <v>0</v>
      </c>
      <c r="F28" s="14" t="str">
        <f t="shared" si="10"/>
        <v/>
      </c>
      <c r="G28" s="15">
        <f>SUM(Jul!G28, Aug!G28, Sep!G28)</f>
        <v>0</v>
      </c>
      <c r="H28" s="15">
        <f>SUM(Jul!H28, Aug!H28, Sep!H30)</f>
        <v>0</v>
      </c>
      <c r="I28" s="16" t="str">
        <f t="shared" si="11"/>
        <v/>
      </c>
    </row>
    <row r="29" spans="1:9" ht="15.6">
      <c r="A29" s="49" t="str">
        <v>Greenfield USD - Granite Point ES</v>
      </c>
      <c r="B29" s="17" t="str">
        <v>CA</v>
      </c>
      <c r="C29" s="11">
        <f>SUM(Jul!C29, Aug!C29, Sep!C31)</f>
        <v>0</v>
      </c>
      <c r="D29" s="18">
        <f>SUM(Jul!D29, Aug!D29, Sep!D31)</f>
        <v>0</v>
      </c>
      <c r="E29" s="18">
        <f t="shared" si="9"/>
        <v>0</v>
      </c>
      <c r="F29" s="19" t="str">
        <f t="shared" si="10"/>
        <v/>
      </c>
      <c r="G29" s="20">
        <f>SUM(Jul!G29, Aug!G29, Sep!G29)</f>
        <v>0</v>
      </c>
      <c r="H29" s="20">
        <f>SUM(Jul!H29, Aug!H29, Sep!H31)</f>
        <v>0</v>
      </c>
      <c r="I29" s="19" t="str">
        <f t="shared" si="11"/>
        <v/>
      </c>
    </row>
    <row r="30" spans="1:9" ht="15.6">
      <c r="A30" s="48" t="str">
        <v>Greenfield USD - Greenfield MS</v>
      </c>
      <c r="B30" s="12" t="str">
        <v>CA</v>
      </c>
      <c r="C30" s="24">
        <f>SUM(Jul!C30, Aug!C30, Sep!C32)</f>
        <v>0</v>
      </c>
      <c r="D30" s="13">
        <f>SUM(Jul!D30, Aug!D30, Sep!D32)</f>
        <v>0</v>
      </c>
      <c r="E30" s="13">
        <f t="shared" si="9"/>
        <v>0</v>
      </c>
      <c r="F30" s="14" t="str">
        <f t="shared" si="10"/>
        <v/>
      </c>
      <c r="G30" s="15">
        <f>SUM(Jul!G30, Aug!G30, Sep!G30)</f>
        <v>0</v>
      </c>
      <c r="H30" s="15">
        <f>SUM(Jul!H30, Aug!H30, Sep!H32)</f>
        <v>0</v>
      </c>
      <c r="I30" s="16" t="str">
        <f t="shared" si="11"/>
        <v/>
      </c>
    </row>
    <row r="31" spans="1:9" ht="15.6">
      <c r="A31" s="49" t="str">
        <v>Greenfield USD - Horizon ES</v>
      </c>
      <c r="B31" s="17" t="str">
        <v>CA</v>
      </c>
      <c r="C31" s="11">
        <f>SUM(Jul!C31, Aug!C31, Sep!C33)</f>
        <v>0</v>
      </c>
      <c r="D31" s="18">
        <f>SUM(Jul!D31, Aug!D31, Sep!D33)</f>
        <v>0</v>
      </c>
      <c r="E31" s="18">
        <f t="shared" si="9"/>
        <v>0</v>
      </c>
      <c r="F31" s="19" t="str">
        <f t="shared" si="10"/>
        <v/>
      </c>
      <c r="G31" s="20">
        <f>SUM(Jul!G31, Aug!G31, Sep!G31)</f>
        <v>0</v>
      </c>
      <c r="H31" s="20">
        <f>SUM(Jul!H31, Aug!H31, Sep!H33)</f>
        <v>0</v>
      </c>
      <c r="I31" s="19" t="str">
        <f t="shared" si="11"/>
        <v/>
      </c>
    </row>
    <row r="32" spans="1:9" ht="15.6">
      <c r="A32" s="48" t="str">
        <v>Greenfield USD - McKee MS</v>
      </c>
      <c r="B32" s="12" t="str">
        <v>CA</v>
      </c>
      <c r="C32" s="24">
        <f>SUM(Jul!C32, Aug!C32, Sep!C34)</f>
        <v>0</v>
      </c>
      <c r="D32" s="13">
        <f>SUM(Jul!D32, Aug!D32, Sep!D34)</f>
        <v>0</v>
      </c>
      <c r="E32" s="13">
        <f t="shared" si="9"/>
        <v>0</v>
      </c>
      <c r="F32" s="14" t="str">
        <f t="shared" si="10"/>
        <v/>
      </c>
      <c r="G32" s="15">
        <f>SUM(Jul!G32, Aug!G32, Sep!G32)</f>
        <v>0</v>
      </c>
      <c r="H32" s="15">
        <f>SUM(Jul!H32, Aug!H32, Sep!H34)</f>
        <v>0</v>
      </c>
      <c r="I32" s="16" t="str">
        <f t="shared" si="11"/>
        <v/>
      </c>
    </row>
    <row r="33" spans="1:9" ht="15.6">
      <c r="A33" s="49" t="str">
        <v>Greenfield USD - Plantation ES</v>
      </c>
      <c r="B33" s="17" t="str">
        <v>CA</v>
      </c>
      <c r="C33" s="11">
        <f>SUM(Jul!C33, Aug!C33, Sep!C35)</f>
        <v>0</v>
      </c>
      <c r="D33" s="18">
        <f>SUM(Jul!D33, Aug!D33, Sep!D35)</f>
        <v>0</v>
      </c>
      <c r="E33" s="18">
        <f t="shared" si="9"/>
        <v>0</v>
      </c>
      <c r="F33" s="19" t="str">
        <f t="shared" si="10"/>
        <v/>
      </c>
      <c r="G33" s="20">
        <f>SUM(Jul!G33, Aug!G33, Sep!G33)</f>
        <v>0</v>
      </c>
      <c r="H33" s="20">
        <f>SUM(Jul!H33, Aug!H33, Sep!H35)</f>
        <v>0</v>
      </c>
      <c r="I33" s="19" t="str">
        <f t="shared" si="11"/>
        <v/>
      </c>
    </row>
    <row r="34" spans="1:9" ht="15.6">
      <c r="A34" s="48" t="str">
        <v>Greenfield USD - Planz ES</v>
      </c>
      <c r="B34" s="12" t="str">
        <v>CA</v>
      </c>
      <c r="C34" s="24">
        <f>SUM(Jul!C34, Aug!C34, Sep!C36)</f>
        <v>0</v>
      </c>
      <c r="D34" s="13">
        <f>SUM(Jul!D34, Aug!D34, Sep!D36)</f>
        <v>0</v>
      </c>
      <c r="E34" s="13">
        <f t="shared" si="9"/>
        <v>0</v>
      </c>
      <c r="F34" s="14" t="str">
        <f t="shared" si="10"/>
        <v/>
      </c>
      <c r="G34" s="15">
        <f>SUM(Jul!G34, Aug!G34, Sep!G34)</f>
        <v>0</v>
      </c>
      <c r="H34" s="15">
        <f>SUM(Jul!H34, Aug!H34, Sep!H36)</f>
        <v>0</v>
      </c>
      <c r="I34" s="16" t="str">
        <f t="shared" si="11"/>
        <v/>
      </c>
    </row>
    <row r="35" spans="1:9" ht="15.6">
      <c r="A35" s="49" t="str">
        <v>Greenfield USD - Raffaello Palla ES</v>
      </c>
      <c r="B35" s="17" t="str">
        <v>CA</v>
      </c>
      <c r="C35" s="11">
        <f>SUM(Jul!C35, Aug!C35, Sep!C37)</f>
        <v>0</v>
      </c>
      <c r="D35" s="18">
        <f>SUM(Jul!D35, Aug!D35, Sep!D37)</f>
        <v>0</v>
      </c>
      <c r="E35" s="18">
        <f t="shared" si="9"/>
        <v>0</v>
      </c>
      <c r="F35" s="19" t="str">
        <f t="shared" si="10"/>
        <v/>
      </c>
      <c r="G35" s="20">
        <f>SUM(Jul!G35, Aug!G35, Sep!G35)</f>
        <v>0</v>
      </c>
      <c r="H35" s="20">
        <f>SUM(Jul!H35, Aug!H35, Sep!H37)</f>
        <v>0</v>
      </c>
      <c r="I35" s="19" t="str">
        <f t="shared" si="11"/>
        <v/>
      </c>
    </row>
    <row r="36" spans="1:9" ht="15.6">
      <c r="A36" s="48" t="str">
        <v>Greenfield USD - Valle Verde ES</v>
      </c>
      <c r="B36" s="12" t="str">
        <v>CA</v>
      </c>
      <c r="C36" s="24">
        <f>SUM(Jul!C36, Aug!C36, Sep!C38)</f>
        <v>0</v>
      </c>
      <c r="D36" s="13">
        <f>SUM(Jul!D36, Aug!D36, Sep!D38)</f>
        <v>0</v>
      </c>
      <c r="E36" s="13">
        <f t="shared" si="9"/>
        <v>0</v>
      </c>
      <c r="F36" s="14" t="str">
        <f t="shared" si="10"/>
        <v/>
      </c>
      <c r="G36" s="15">
        <f>SUM(Jul!G36, Aug!G36, Sep!G36)</f>
        <v>0</v>
      </c>
      <c r="H36" s="15">
        <f>SUM(Jul!H36, Aug!H36, Sep!H38)</f>
        <v>0</v>
      </c>
      <c r="I36" s="16" t="str">
        <f t="shared" si="11"/>
        <v/>
      </c>
    </row>
    <row r="37" spans="1:9" ht="15.6">
      <c r="A37" s="49" t="str">
        <v>Greenfield USD - W.A. Kendrick ES</v>
      </c>
      <c r="B37" s="17" t="str">
        <v>CA</v>
      </c>
      <c r="C37" s="11">
        <f>SUM(Jul!C37, Aug!C37, Sep!C39)</f>
        <v>0</v>
      </c>
      <c r="D37" s="18">
        <f>SUM(Jul!D37, Aug!D37, Sep!D39)</f>
        <v>0</v>
      </c>
      <c r="E37" s="18">
        <f t="shared" si="9"/>
        <v>0</v>
      </c>
      <c r="F37" s="19" t="str">
        <f t="shared" si="10"/>
        <v/>
      </c>
      <c r="G37" s="20">
        <f>SUM(Jul!G37, Aug!G37, Sep!G37)</f>
        <v>0</v>
      </c>
      <c r="H37" s="20">
        <f>SUM(Jul!H37, Aug!H37, Sep!H39)</f>
        <v>0</v>
      </c>
      <c r="I37" s="19" t="str">
        <f t="shared" si="11"/>
        <v/>
      </c>
    </row>
    <row r="38" spans="1:9" ht="15.6">
      <c r="A38" s="48" t="str">
        <v>Muroc Joint USD - Boron HS</v>
      </c>
      <c r="B38" s="12" t="str">
        <v>CA</v>
      </c>
      <c r="C38" s="24">
        <f>SUM(Jul!C38, Aug!C38, Sep!C40)</f>
        <v>0</v>
      </c>
      <c r="D38" s="13">
        <f>SUM(Jul!D38, Aug!D38, Sep!D40)</f>
        <v>0</v>
      </c>
      <c r="E38" s="13">
        <f t="shared" si="9"/>
        <v>0</v>
      </c>
      <c r="F38" s="14" t="str">
        <f t="shared" si="10"/>
        <v/>
      </c>
      <c r="G38" s="15">
        <f>SUM(Jul!G38, Aug!G38, Sep!G40)</f>
        <v>0</v>
      </c>
      <c r="H38" s="15">
        <f>SUM(Jul!H38, Aug!H38, Sep!H40)</f>
        <v>0</v>
      </c>
      <c r="I38" s="16" t="str">
        <f t="shared" si="11"/>
        <v/>
      </c>
    </row>
    <row r="39" spans="1:9" ht="15.6">
      <c r="A39" s="49" t="str">
        <v>Muroc Joint USD - W. Boron ES</v>
      </c>
      <c r="B39" s="17" t="str">
        <v>CA</v>
      </c>
      <c r="C39" s="11">
        <f>SUM(Jul!C39, Aug!C39, Sep!C41)</f>
        <v>0</v>
      </c>
      <c r="D39" s="18">
        <f>SUM(Jul!D39, Aug!D39, Sep!D41)</f>
        <v>0</v>
      </c>
      <c r="E39" s="18">
        <f t="shared" si="9"/>
        <v>0</v>
      </c>
      <c r="F39" s="19" t="str">
        <f t="shared" si="10"/>
        <v/>
      </c>
      <c r="G39" s="20">
        <f>SUM(Jul!G39, Aug!G39, Sep!G41)</f>
        <v>0</v>
      </c>
      <c r="H39" s="20">
        <f>SUM(Jul!H39, Aug!H39, Sep!H41)</f>
        <v>0</v>
      </c>
      <c r="I39" s="19" t="str">
        <f t="shared" si="11"/>
        <v/>
      </c>
    </row>
    <row r="40" spans="1:9" ht="15.6">
      <c r="A40" s="48" t="str">
        <v>Colusa - WTP</v>
      </c>
      <c r="B40" s="12" t="str">
        <v>CA</v>
      </c>
      <c r="C40" s="24">
        <f>SUM(Jul!C40, Aug!C40, Sep!C42)</f>
        <v>0</v>
      </c>
      <c r="D40" s="13">
        <f>SUM(Jul!D40, Aug!D40, Sep!D42)</f>
        <v>0</v>
      </c>
      <c r="E40" s="13">
        <f t="shared" si="9"/>
        <v>0</v>
      </c>
      <c r="F40" s="14" t="str">
        <f t="shared" si="10"/>
        <v/>
      </c>
      <c r="G40" s="64">
        <f>SUM(Jul!G40, Aug!G40, Sep!G42)</f>
        <v>0</v>
      </c>
      <c r="H40" s="15">
        <f>SUM(Jul!H40, Aug!H40, Sep!H42)</f>
        <v>0</v>
      </c>
      <c r="I40" s="16" t="str">
        <f t="shared" si="11"/>
        <v/>
      </c>
    </row>
    <row r="41" spans="1:9" ht="15.6">
      <c r="A41" s="49" t="str">
        <v>CDCR-North Kern State Prision</v>
      </c>
      <c r="B41" s="17" t="str">
        <v>CA</v>
      </c>
      <c r="C41" s="11">
        <f>SUM(Jul!C41, Aug!C41, Sep!C43)</f>
        <v>0</v>
      </c>
      <c r="D41" s="18">
        <f>SUM(Jul!D41, Aug!D41, Sep!D43)</f>
        <v>0</v>
      </c>
      <c r="E41" s="18">
        <f t="shared" si="9"/>
        <v>0</v>
      </c>
      <c r="F41" s="19" t="str">
        <f t="shared" si="10"/>
        <v/>
      </c>
      <c r="G41" s="20">
        <f>SUM(Jul!G41, Aug!G41, Sep!G43)</f>
        <v>0</v>
      </c>
      <c r="H41" s="20">
        <f>SUM(Jul!H41, Aug!H41, Sep!H43)</f>
        <v>0</v>
      </c>
      <c r="I41" s="19" t="str">
        <f t="shared" si="11"/>
        <v/>
      </c>
    </row>
    <row r="42" spans="1:9" ht="15.6">
      <c r="A42" s="48" t="str">
        <v>Muroc Joint USD - District Office</v>
      </c>
      <c r="B42" s="12" t="str">
        <v>CA</v>
      </c>
      <c r="C42" s="24">
        <f>SUM(Jul!C42, Aug!C42, Sep!C44)</f>
        <v>0</v>
      </c>
      <c r="D42" s="13">
        <f>SUM(Jul!D42, Aug!D42, Sep!D44)</f>
        <v>0</v>
      </c>
      <c r="E42" s="13">
        <f t="shared" si="9"/>
        <v>0</v>
      </c>
      <c r="F42" s="14" t="str">
        <f t="shared" si="10"/>
        <v/>
      </c>
      <c r="G42" s="15">
        <f>SUM(Jul!G42, Aug!G42, Sep!G42)</f>
        <v>0</v>
      </c>
      <c r="H42" s="15">
        <f>SUM(Jul!H42, Aug!H42, Sep!H44)</f>
        <v>0</v>
      </c>
      <c r="I42" s="16" t="str">
        <f t="shared" si="11"/>
        <v/>
      </c>
    </row>
    <row r="43" spans="1:9" ht="15.6">
      <c r="A43" s="49" t="str">
        <v>Whole Foods - Manhattan Beach</v>
      </c>
      <c r="B43" s="17" t="str">
        <v>CA</v>
      </c>
      <c r="C43" s="11">
        <f>SUM(Jul!C43, Aug!C43, Sep!C45)</f>
        <v>0</v>
      </c>
      <c r="D43" s="18">
        <f>SUM(Jul!D43, Aug!D43, Sep!D45)</f>
        <v>0</v>
      </c>
      <c r="E43" s="18">
        <f t="shared" si="9"/>
        <v>0</v>
      </c>
      <c r="F43" s="19" t="str">
        <f t="shared" si="10"/>
        <v/>
      </c>
      <c r="G43" s="20">
        <f>SUM(Jul!G43, Aug!G43, Sep!G45)</f>
        <v>0</v>
      </c>
      <c r="H43" s="20">
        <f>SUM(Jul!H43, Aug!H43, Sep!H45)</f>
        <v>0</v>
      </c>
      <c r="I43" s="19" t="str">
        <f t="shared" si="11"/>
        <v/>
      </c>
    </row>
    <row r="44" spans="1:9" ht="15.6">
      <c r="A44" s="48" t="str">
        <v>Pioneer USD - Frontier ES</v>
      </c>
      <c r="B44" s="12" t="str">
        <v>CA</v>
      </c>
      <c r="C44" s="24">
        <f>SUM(Jul!C44, Aug!C44, Sep!C46)</f>
        <v>0</v>
      </c>
      <c r="D44" s="13">
        <f>SUM(Jul!D44, Aug!D44, Sep!D46)</f>
        <v>0</v>
      </c>
      <c r="E44" s="13">
        <f t="shared" si="9"/>
        <v>0</v>
      </c>
      <c r="F44" s="14" t="str">
        <f t="shared" si="10"/>
        <v/>
      </c>
      <c r="G44" s="15">
        <f>SUM(Jul!G44, Aug!G44, Sep!G46)</f>
        <v>0</v>
      </c>
      <c r="H44" s="15">
        <f>SUM(Jul!H44, Aug!H44, Sep!H46)</f>
        <v>0</v>
      </c>
      <c r="I44" s="16" t="str">
        <f t="shared" si="11"/>
        <v/>
      </c>
    </row>
    <row r="45" spans="1:9" ht="15.6">
      <c r="A45" s="49" t="str">
        <v>Pioneer USD - Pioneer ES</v>
      </c>
      <c r="B45" s="17" t="str">
        <v>CA</v>
      </c>
      <c r="C45" s="11">
        <f>SUM(Jul!C45, Aug!C45, Sep!C47)</f>
        <v>0</v>
      </c>
      <c r="D45" s="18">
        <f>SUM(Jul!D45, Aug!D45, Sep!D47)</f>
        <v>0</v>
      </c>
      <c r="E45" s="18">
        <f t="shared" si="9"/>
        <v>0</v>
      </c>
      <c r="F45" s="19" t="str">
        <f t="shared" si="10"/>
        <v/>
      </c>
      <c r="G45" s="20">
        <f>SUM(Jul!G45, Aug!G45, Sep!G47)</f>
        <v>0</v>
      </c>
      <c r="H45" s="20">
        <f>SUM(Jul!H45, Aug!H45, Sep!H47)</f>
        <v>0</v>
      </c>
      <c r="I45" s="19" t="str">
        <f t="shared" si="11"/>
        <v/>
      </c>
    </row>
    <row r="46" spans="1:9" ht="15.6">
      <c r="A46" s="48" t="str">
        <v>Pioneer USD - Pioneer MS</v>
      </c>
      <c r="B46" s="12" t="str">
        <v>CA</v>
      </c>
      <c r="C46" s="24">
        <f>SUM(Jul!C46, Aug!C46, Sep!C48)</f>
        <v>0</v>
      </c>
      <c r="D46" s="13">
        <f>SUM(Jul!D46, Aug!D46, Sep!D48)</f>
        <v>0</v>
      </c>
      <c r="E46" s="13">
        <f t="shared" si="9"/>
        <v>0</v>
      </c>
      <c r="F46" s="14" t="str">
        <f t="shared" si="10"/>
        <v/>
      </c>
      <c r="G46" s="15">
        <f>SUM(Jul!G46, Aug!G46, Sep!G48)</f>
        <v>0</v>
      </c>
      <c r="H46" s="15">
        <f>SUM(Jul!H46, Aug!H46, Sep!H48)</f>
        <v>0</v>
      </c>
      <c r="I46" s="16" t="str">
        <f t="shared" si="11"/>
        <v/>
      </c>
    </row>
    <row r="47" spans="1:9" ht="15.6">
      <c r="A47" s="49" t="str">
        <v>Kingsburg Joint UHSD - Kingsburg HS</v>
      </c>
      <c r="B47" s="17" t="str">
        <v>CA</v>
      </c>
      <c r="C47" s="11">
        <f>SUM(Jul!C47, Aug!C47, Sep!C49)</f>
        <v>0</v>
      </c>
      <c r="D47" s="18">
        <f>SUM(Jul!D47, Aug!D47, Sep!D49)</f>
        <v>0</v>
      </c>
      <c r="E47" s="18">
        <f t="shared" si="9"/>
        <v>0</v>
      </c>
      <c r="F47" s="19" t="str">
        <f t="shared" si="10"/>
        <v/>
      </c>
      <c r="G47" s="20">
        <f>SUM(Jul!G47, Aug!G47, Sep!G49)</f>
        <v>0</v>
      </c>
      <c r="H47" s="20">
        <f>SUM(Jul!H47, Aug!H47, Sep!H49)</f>
        <v>0</v>
      </c>
      <c r="I47" s="19" t="str">
        <f t="shared" si="11"/>
        <v/>
      </c>
    </row>
    <row r="48" spans="1:9" ht="15.6">
      <c r="A48" s="48" t="str">
        <v>CADRB</v>
      </c>
      <c r="B48" s="12" t="str">
        <v>CA</v>
      </c>
      <c r="C48" s="24">
        <f>SUM(Jul!C48, Aug!C48, Sep!C50)</f>
        <v>0</v>
      </c>
      <c r="D48" s="13">
        <f>SUM(Jul!D48, Aug!D48, Sep!D50)</f>
        <v>0</v>
      </c>
      <c r="E48" s="13">
        <f t="shared" si="9"/>
        <v>0</v>
      </c>
      <c r="F48" s="14" t="str">
        <f t="shared" si="10"/>
        <v/>
      </c>
      <c r="G48" s="15">
        <f>SUM(Jul!G48, Aug!G48, Sep!G48)</f>
        <v>0</v>
      </c>
      <c r="H48" s="15">
        <f>SUM(Jul!H48, Aug!H48, Sep!H50)</f>
        <v>0</v>
      </c>
      <c r="I48" s="16" t="str">
        <f t="shared" si="11"/>
        <v/>
      </c>
    </row>
    <row r="49" spans="1:9" ht="15.6">
      <c r="A49" s="49" t="str">
        <v>CDCR-CA State Prison LA County</v>
      </c>
      <c r="B49" s="17" t="str">
        <v>CA</v>
      </c>
      <c r="C49" s="11">
        <f>SUM(Jul!C49, Aug!C49, Sep!C51)</f>
        <v>0</v>
      </c>
      <c r="D49" s="18">
        <f>SUM(Jul!D49, Aug!D49, Sep!D51)</f>
        <v>0</v>
      </c>
      <c r="E49" s="18">
        <f t="shared" si="9"/>
        <v>0</v>
      </c>
      <c r="F49" s="19" t="str">
        <f t="shared" si="10"/>
        <v/>
      </c>
      <c r="G49" s="20">
        <f>SUM(Jul!G49, Aug!G49, Sep!G51)</f>
        <v>0</v>
      </c>
      <c r="H49" s="20">
        <f>SUM(Jul!H49, Aug!H49, Sep!H51)</f>
        <v>0</v>
      </c>
      <c r="I49" s="19" t="str">
        <f t="shared" si="11"/>
        <v/>
      </c>
    </row>
    <row r="50" spans="1:9" ht="15.6">
      <c r="A50" s="48" t="str">
        <v>Central USD Akers ES</v>
      </c>
      <c r="B50" s="12" t="str">
        <v>CA</v>
      </c>
      <c r="C50" s="24">
        <f>SUM(Jul!C50, Aug!C50, Sep!C52)</f>
        <v>0</v>
      </c>
      <c r="D50" s="13">
        <f>SUM(Jul!D50, Aug!D50, Sep!D52)</f>
        <v>0</v>
      </c>
      <c r="E50" s="13">
        <f t="shared" si="9"/>
        <v>0</v>
      </c>
      <c r="F50" s="14" t="str">
        <f t="shared" si="10"/>
        <v/>
      </c>
      <c r="G50" s="15">
        <f>SUM(Jul!G50, Aug!G50, Sep!G52)</f>
        <v>0</v>
      </c>
      <c r="H50" s="15">
        <f>SUM(Jul!H50, Aug!H50, Sep!H52)</f>
        <v>0</v>
      </c>
      <c r="I50" s="16" t="str">
        <f t="shared" si="11"/>
        <v/>
      </c>
    </row>
    <row r="51" spans="1:9" ht="15.6">
      <c r="A51" s="49" t="str">
        <v>CUSD - District Office</v>
      </c>
      <c r="B51" s="17" t="str">
        <v>CA</v>
      </c>
      <c r="C51" s="11">
        <f>SUM(Jul!C51, Aug!C51, Sep!C53)</f>
        <v>0</v>
      </c>
      <c r="D51" s="18">
        <f>SUM(Jul!D51, Aug!D51, Sep!D53)</f>
        <v>0</v>
      </c>
      <c r="E51" s="18">
        <f t="shared" si="9"/>
        <v>0</v>
      </c>
      <c r="F51" s="19" t="str">
        <f t="shared" si="10"/>
        <v/>
      </c>
      <c r="G51" s="20">
        <f>SUM(Jul!G51, Aug!G51, Sep!G53)</f>
        <v>0</v>
      </c>
      <c r="H51" s="20">
        <f>SUM(Jul!H51, Aug!H51, Sep!H53)</f>
        <v>0</v>
      </c>
      <c r="I51" s="19" t="str">
        <f t="shared" si="11"/>
        <v/>
      </c>
    </row>
    <row r="52" spans="1:9" ht="15.6">
      <c r="A52" s="48" t="str">
        <v>Parlier - WTP</v>
      </c>
      <c r="B52" s="12" t="str">
        <v>CA</v>
      </c>
      <c r="C52" s="24">
        <f>SUM(Jul!C52, Aug!C52, Sep!C54)</f>
        <v>0</v>
      </c>
      <c r="D52" s="13">
        <f>SUM(Jul!D52, Aug!D52, Sep!D54)</f>
        <v>0</v>
      </c>
      <c r="E52" s="13">
        <f t="shared" si="9"/>
        <v>0</v>
      </c>
      <c r="F52" s="14" t="str">
        <f t="shared" si="10"/>
        <v/>
      </c>
      <c r="G52" s="15">
        <f>SUM(Jul!G52, Aug!G52, Sep!G54)</f>
        <v>0</v>
      </c>
      <c r="H52" s="15">
        <f>SUM(Jul!H52, Aug!H52, Sep!H54)</f>
        <v>0</v>
      </c>
      <c r="I52" s="16" t="str">
        <f t="shared" si="11"/>
        <v/>
      </c>
    </row>
    <row r="53" spans="1:9" ht="15.6">
      <c r="A53" s="49" t="str">
        <v>Snowline SD - Quail Valley MS</v>
      </c>
      <c r="B53" s="17" t="str">
        <v>CA</v>
      </c>
      <c r="C53" s="11">
        <f>SUM(Jul!C53, Aug!C53, Sep!C55)</f>
        <v>0</v>
      </c>
      <c r="D53" s="18">
        <f>SUM(Jul!D53, Aug!D53, Sep!D55)</f>
        <v>0</v>
      </c>
      <c r="E53" s="18">
        <f t="shared" si="9"/>
        <v>0</v>
      </c>
      <c r="F53" s="19" t="str">
        <f t="shared" si="10"/>
        <v/>
      </c>
      <c r="G53" s="20">
        <f>SUM(Jul!G53, Aug!G53, Sep!G55)</f>
        <v>0</v>
      </c>
      <c r="H53" s="20">
        <f>SUM(Jul!H53, Aug!H53, Sep!H55)</f>
        <v>0</v>
      </c>
      <c r="I53" s="19" t="str">
        <f t="shared" si="11"/>
        <v/>
      </c>
    </row>
    <row r="54" spans="1:9" ht="15.6">
      <c r="A54" s="48" t="str">
        <v>Snowline SD - Serrano HS - Middle Lot</v>
      </c>
      <c r="B54" s="12" t="str">
        <v>CA</v>
      </c>
      <c r="C54" s="24">
        <f>SUM(Jul!C54, Aug!C54, Sep!C56)</f>
        <v>0</v>
      </c>
      <c r="D54" s="13">
        <f>SUM(Jul!D54, Aug!D54, Sep!D56)</f>
        <v>0</v>
      </c>
      <c r="E54" s="13">
        <f t="shared" si="9"/>
        <v>0</v>
      </c>
      <c r="F54" s="14" t="str">
        <f t="shared" si="10"/>
        <v/>
      </c>
      <c r="G54" s="15">
        <f>SUM(Jul!G54, Aug!G54, Sep!G56)</f>
        <v>0</v>
      </c>
      <c r="H54" s="15">
        <f>SUM(Jul!H54, Aug!H54, Sep!H56)</f>
        <v>0</v>
      </c>
      <c r="I54" s="16" t="str">
        <f t="shared" si="11"/>
        <v/>
      </c>
    </row>
    <row r="55" spans="1:9" ht="15.6">
      <c r="A55" s="49" t="str">
        <v>Snowline SD - Pinon Hills ES</v>
      </c>
      <c r="B55" s="17" t="str">
        <v>CA</v>
      </c>
      <c r="C55" s="11">
        <f>SUM(Jul!C55, Aug!C55, Sep!C57)</f>
        <v>0</v>
      </c>
      <c r="D55" s="18">
        <f>SUM(Jul!D55, Aug!D55, Sep!D57)</f>
        <v>0</v>
      </c>
      <c r="E55" s="18">
        <f t="shared" si="9"/>
        <v>0</v>
      </c>
      <c r="F55" s="19" t="str">
        <f t="shared" si="10"/>
        <v/>
      </c>
      <c r="G55" s="20">
        <f>SUM(Jul!G55, Aug!G55, Sep!G57)</f>
        <v>0</v>
      </c>
      <c r="H55" s="20">
        <f>SUM(Jul!H55, Aug!H55, Sep!H57)</f>
        <v>0</v>
      </c>
      <c r="I55" s="19" t="str">
        <f t="shared" si="11"/>
        <v/>
      </c>
    </row>
    <row r="56" spans="1:9" ht="15.6">
      <c r="A56" s="48" t="str">
        <v>Ramona - Santa Maria WTP</v>
      </c>
      <c r="B56" s="12" t="str">
        <v>CA</v>
      </c>
      <c r="C56" s="24">
        <f>SUM(Jul!C56, Aug!C56, Sep!C58)</f>
        <v>0</v>
      </c>
      <c r="D56" s="13">
        <f>SUM(Jul!D56, Aug!D56, Sep!D58)</f>
        <v>0</v>
      </c>
      <c r="E56" s="13">
        <f t="shared" si="9"/>
        <v>0</v>
      </c>
      <c r="F56" s="14" t="str">
        <f t="shared" si="10"/>
        <v/>
      </c>
      <c r="G56" s="15">
        <f>SUM(Jul!G56, Aug!G56, Sep!G58)</f>
        <v>0</v>
      </c>
      <c r="H56" s="15">
        <f>SUM(Jul!H56, Aug!H56, Sep!H58)</f>
        <v>0</v>
      </c>
      <c r="I56" s="16" t="str">
        <f t="shared" si="11"/>
        <v/>
      </c>
    </row>
    <row r="57" spans="1:9" ht="15.6">
      <c r="A57" s="49" t="str">
        <v>Kohls - Redding</v>
      </c>
      <c r="B57" s="17" t="str">
        <v>CA</v>
      </c>
      <c r="C57" s="11">
        <f>SUM(Jul!C57, Aug!C57, Sep!C59)</f>
        <v>0</v>
      </c>
      <c r="D57" s="18">
        <f>SUM(Jul!D57, Aug!D57, Sep!D59)</f>
        <v>0</v>
      </c>
      <c r="E57" s="18">
        <f t="shared" si="9"/>
        <v>0</v>
      </c>
      <c r="F57" s="19" t="str">
        <f t="shared" si="10"/>
        <v/>
      </c>
      <c r="G57" s="20">
        <f>SUM(Jul!G57, Aug!G57, Sep!G59)</f>
        <v>0</v>
      </c>
      <c r="H57" s="20">
        <f>SUM(Jul!H57, Aug!H57, Sep!H59)</f>
        <v>0</v>
      </c>
      <c r="I57" s="19" t="str">
        <f t="shared" si="11"/>
        <v/>
      </c>
    </row>
    <row r="58" spans="1:9" ht="15.6">
      <c r="A58" s="48" t="str">
        <v>Kohls - Salinas</v>
      </c>
      <c r="B58" s="12" t="str">
        <v>CA</v>
      </c>
      <c r="C58" s="24">
        <f>SUM(Jul!C58, Aug!C58, Sep!C60)</f>
        <v>0</v>
      </c>
      <c r="D58" s="13">
        <f>SUM(Jul!D58, Aug!D58, Sep!D60)</f>
        <v>0</v>
      </c>
      <c r="E58" s="13">
        <f t="shared" si="9"/>
        <v>0</v>
      </c>
      <c r="F58" s="14" t="str">
        <f t="shared" si="10"/>
        <v/>
      </c>
      <c r="G58" s="15">
        <f>SUM(Jul!G58, Aug!G58, Sep!G58)</f>
        <v>0</v>
      </c>
      <c r="H58" s="15">
        <f>SUM(Jul!H58, Aug!H58, Sep!H60)</f>
        <v>0</v>
      </c>
      <c r="I58" s="16" t="str">
        <f t="shared" si="11"/>
        <v/>
      </c>
    </row>
    <row r="59" spans="1:9" ht="15.6">
      <c r="A59" s="49" t="str">
        <v>Kohls - San Bernardino - Central</v>
      </c>
      <c r="B59" s="17" t="str">
        <v>CA</v>
      </c>
      <c r="C59" s="11">
        <f>SUM(Jul!C59, Aug!C59, Sep!C61)</f>
        <v>0</v>
      </c>
      <c r="D59" s="18">
        <f>SUM(Jul!D59, Aug!D59, Sep!D61)</f>
        <v>0</v>
      </c>
      <c r="E59" s="18">
        <f t="shared" si="9"/>
        <v>0</v>
      </c>
      <c r="F59" s="19" t="str">
        <f t="shared" si="10"/>
        <v/>
      </c>
      <c r="G59" s="20">
        <f>SUM(Jul!G59, Aug!G59, Sep!G61)</f>
        <v>0</v>
      </c>
      <c r="H59" s="20">
        <f>SUM(Jul!H59, Aug!H59, Sep!H61)</f>
        <v>0</v>
      </c>
      <c r="I59" s="19" t="str">
        <f t="shared" si="11"/>
        <v/>
      </c>
    </row>
    <row r="60" spans="1:9" ht="15.6">
      <c r="A60" s="48" t="str">
        <v>Kohls - Sonora</v>
      </c>
      <c r="B60" s="12" t="str">
        <v>CA</v>
      </c>
      <c r="C60" s="24">
        <f>SUM(Jul!C60, Aug!C60, Sep!C62)</f>
        <v>0</v>
      </c>
      <c r="D60" s="13">
        <f>SUM(Jul!D60, Aug!D60, Sep!D62)</f>
        <v>0</v>
      </c>
      <c r="E60" s="13">
        <f t="shared" si="9"/>
        <v>0</v>
      </c>
      <c r="F60" s="14" t="str">
        <f t="shared" si="10"/>
        <v/>
      </c>
      <c r="G60" s="15">
        <f>SUM(Jul!G60, Aug!G60, Sep!G60)</f>
        <v>0</v>
      </c>
      <c r="H60" s="15">
        <f>SUM(Jul!H60, Aug!H60, Sep!H62)</f>
        <v>0</v>
      </c>
      <c r="I60" s="16" t="str">
        <f t="shared" si="11"/>
        <v/>
      </c>
    </row>
    <row r="61" spans="1:9" ht="15.6">
      <c r="A61" s="49" t="str">
        <v>CUSD - Stratford ES</v>
      </c>
      <c r="B61" s="17" t="str">
        <v>CA</v>
      </c>
      <c r="C61" s="11">
        <f>SUM(Jul!C61, Aug!C61, Sep!C63)</f>
        <v>0</v>
      </c>
      <c r="D61" s="18">
        <f>SUM(Jul!D61, Aug!D61, Sep!D63)</f>
        <v>0</v>
      </c>
      <c r="E61" s="18">
        <f t="shared" si="9"/>
        <v>0</v>
      </c>
      <c r="F61" s="19" t="str">
        <f t="shared" si="10"/>
        <v/>
      </c>
      <c r="G61" s="20">
        <f>SUM(Jul!G61, Aug!G61, Sep!G63)</f>
        <v>0</v>
      </c>
      <c r="H61" s="20">
        <f>SUM(Jul!H61, Aug!H61, Sep!H63)</f>
        <v>0</v>
      </c>
      <c r="I61" s="19" t="str">
        <f t="shared" si="11"/>
        <v/>
      </c>
    </row>
    <row r="62" spans="1:9" ht="15.6">
      <c r="A62" s="48" t="str">
        <v>Taft - City Hall</v>
      </c>
      <c r="B62" s="12" t="str">
        <v>CA</v>
      </c>
      <c r="C62" s="24">
        <f>SUM(Jul!C62, Aug!C62, Sep!C64)</f>
        <v>0</v>
      </c>
      <c r="D62" s="13">
        <f>SUM(Jul!D62, Aug!D62, Sep!D64)</f>
        <v>0</v>
      </c>
      <c r="E62" s="13">
        <f t="shared" si="9"/>
        <v>0</v>
      </c>
      <c r="F62" s="14" t="str">
        <f t="shared" si="10"/>
        <v/>
      </c>
      <c r="G62" s="15">
        <f>SUM(Jul!G62, Aug!G62, Sep!G62)</f>
        <v>0</v>
      </c>
      <c r="H62" s="15">
        <f>SUM(Jul!H62, Aug!H62, Sep!H64)</f>
        <v>0</v>
      </c>
      <c r="I62" s="16" t="str">
        <f t="shared" si="11"/>
        <v/>
      </c>
    </row>
    <row r="63" spans="1:9" ht="15.6">
      <c r="A63" s="49" t="str">
        <v>Taft - Federal Prison</v>
      </c>
      <c r="B63" s="17" t="str">
        <v>CA</v>
      </c>
      <c r="C63" s="11">
        <f>SUM(Jul!C63, Aug!C63, Sep!C65)</f>
        <v>0</v>
      </c>
      <c r="D63" s="18">
        <f>SUM(Jul!D63, Aug!D63, Sep!D65)</f>
        <v>0</v>
      </c>
      <c r="E63" s="18">
        <f t="shared" si="9"/>
        <v>0</v>
      </c>
      <c r="F63" s="19" t="str">
        <f t="shared" si="10"/>
        <v/>
      </c>
      <c r="G63" s="20">
        <f>SUM(Jul!G63, Aug!G63, Sep!G65)</f>
        <v>0</v>
      </c>
      <c r="H63" s="20">
        <f>SUM(Jul!H63, Aug!H63, Sep!H65)</f>
        <v>0</v>
      </c>
      <c r="I63" s="19" t="str">
        <f t="shared" si="11"/>
        <v/>
      </c>
    </row>
    <row r="64" spans="1:9" ht="15.6">
      <c r="A64" s="48" t="str">
        <v>Taft - Police Department</v>
      </c>
      <c r="B64" s="12" t="str">
        <v>CA</v>
      </c>
      <c r="C64" s="24">
        <f>SUM(Jul!C64, Aug!C64, Sep!C66)</f>
        <v>0</v>
      </c>
      <c r="D64" s="13">
        <f>SUM(Jul!D64, Aug!D64, Sep!D66)</f>
        <v>0</v>
      </c>
      <c r="E64" s="13">
        <f t="shared" si="9"/>
        <v>0</v>
      </c>
      <c r="F64" s="14" t="str">
        <f t="shared" si="10"/>
        <v/>
      </c>
      <c r="G64" s="15">
        <f>SUM(Jul!G64, Aug!G64, Sep!G64)</f>
        <v>0</v>
      </c>
      <c r="H64" s="15">
        <f>SUM(Jul!H64, Aug!H64, Sep!H66)</f>
        <v>0</v>
      </c>
      <c r="I64" s="16" t="str">
        <f t="shared" si="11"/>
        <v/>
      </c>
    </row>
    <row r="65" spans="1:9" ht="15.6">
      <c r="A65" s="49" t="str">
        <v>Taft - WTP</v>
      </c>
      <c r="B65" s="17" t="str">
        <v>CA</v>
      </c>
      <c r="C65" s="11">
        <f>SUM(Jul!C65, Aug!C65, Sep!C67)</f>
        <v>0</v>
      </c>
      <c r="D65" s="18">
        <f>SUM(Jul!D65, Aug!D65, Sep!D67)</f>
        <v>0</v>
      </c>
      <c r="E65" s="18">
        <f t="shared" si="9"/>
        <v>0</v>
      </c>
      <c r="F65" s="19" t="str">
        <f t="shared" si="10"/>
        <v/>
      </c>
      <c r="G65" s="20">
        <f>SUM(Jul!G65, Aug!G65, Sep!G67)</f>
        <v>0</v>
      </c>
      <c r="H65" s="20">
        <f>SUM(Jul!H65, Aug!H65, Sep!H67)</f>
        <v>0</v>
      </c>
      <c r="I65" s="19" t="str">
        <f t="shared" si="11"/>
        <v/>
      </c>
    </row>
    <row r="66" spans="1:9" ht="15.6">
      <c r="A66" s="48" t="str">
        <v>CDCR - CA Correctional Institution</v>
      </c>
      <c r="B66" s="12" t="str">
        <v>CA</v>
      </c>
      <c r="C66" s="24">
        <f>SUM(Jul!C66, Aug!C66, Sep!C68)</f>
        <v>0</v>
      </c>
      <c r="D66" s="13">
        <f>SUM(Jul!D66, Aug!D66, Sep!D68)</f>
        <v>0</v>
      </c>
      <c r="E66" s="13">
        <f t="shared" si="9"/>
        <v>0</v>
      </c>
      <c r="F66" s="14" t="str">
        <f t="shared" si="10"/>
        <v/>
      </c>
      <c r="G66" s="15">
        <f>SUM(Jul!G66, Aug!G66, Sep!G66)</f>
        <v>0</v>
      </c>
      <c r="H66" s="15">
        <f>SUM(Jul!H66, Aug!H66, Sep!H68)</f>
        <v>0</v>
      </c>
      <c r="I66" s="16" t="str">
        <f t="shared" si="11"/>
        <v/>
      </c>
    </row>
    <row r="67" spans="1:9" ht="15.6">
      <c r="A67" s="49" t="str">
        <v>CDCR - CA Correctional Institution II</v>
      </c>
      <c r="B67" s="17" t="str">
        <v>CA</v>
      </c>
      <c r="C67" s="11">
        <f>SUM(Jul!C67, Aug!C67, Sep!C69)</f>
        <v>0</v>
      </c>
      <c r="D67" s="18">
        <f>SUM(Jul!D67, Aug!D67, Sep!D69)</f>
        <v>0</v>
      </c>
      <c r="E67" s="18">
        <f t="shared" si="9"/>
        <v>0</v>
      </c>
      <c r="F67" s="19" t="str">
        <f t="shared" si="10"/>
        <v/>
      </c>
      <c r="G67" s="20">
        <f>SUM(Jul!G67, Aug!G67, Sep!G69)</f>
        <v>0</v>
      </c>
      <c r="H67" s="20">
        <f>SUM(Jul!H67, Aug!H67, Sep!H69)</f>
        <v>0</v>
      </c>
      <c r="I67" s="19" t="str">
        <f t="shared" si="11"/>
        <v/>
      </c>
    </row>
    <row r="68" spans="1:9" ht="15.6">
      <c r="A68" s="48" t="str">
        <v>Snowline SD - Vista Verde ES</v>
      </c>
      <c r="B68" s="12" t="str">
        <v>CA</v>
      </c>
      <c r="C68" s="24">
        <f>SUM(Jul!C68, Aug!C68, Sep!C70)</f>
        <v>0</v>
      </c>
      <c r="D68" s="13">
        <f>SUM(Jul!D68, Aug!D68, Sep!D70)</f>
        <v>0</v>
      </c>
      <c r="E68" s="13">
        <f t="shared" si="9"/>
        <v>0</v>
      </c>
      <c r="F68" s="14" t="str">
        <f t="shared" si="10"/>
        <v/>
      </c>
      <c r="G68" s="15">
        <f>SUM(Jul!G68, Aug!G68, Sep!G68)</f>
        <v>0</v>
      </c>
      <c r="H68" s="15">
        <f>SUM(Jul!H68, Aug!H68, Sep!H70)</f>
        <v>0</v>
      </c>
      <c r="I68" s="16" t="str">
        <f t="shared" si="11"/>
        <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1" t="str" cm="1">
        <f t="array" ref="A1">portfolio</f>
        <v>Silicon Ranch</v>
      </c>
      <c r="B1" s="121"/>
      <c r="C1" s="121"/>
      <c r="D1" s="122" t="s">
        <v>16</v>
      </c>
      <c r="E1" s="122"/>
      <c r="F1" s="122"/>
      <c r="G1" s="120" t="s">
        <v>17</v>
      </c>
      <c r="H1" s="120"/>
      <c r="I1" s="120"/>
    </row>
    <row r="2" spans="1:9" ht="19.5" customHeight="1">
      <c r="A2" s="123" t="s">
        <v>2</v>
      </c>
      <c r="B2" s="123"/>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6">
      <c r="A4" s="48"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6">
      <c r="A5" s="49" t="str">
        <v>Kohls - Auburn</v>
      </c>
      <c r="B5" s="10" t="str">
        <v>NY</v>
      </c>
      <c r="C5" s="11">
        <f>SUM(Oct!C5, Nov!C5, Dec!C5)</f>
        <v>0</v>
      </c>
      <c r="D5" s="18">
        <f>SUM(Oct!D5, Nov!D5, Dec!D5)</f>
        <v>0</v>
      </c>
      <c r="E5" s="18">
        <f t="shared" ref="E5:E15" si="0">IF(AND(ISNUMBER(C5),ISNUMBER(D5)), C5-D5, "")</f>
        <v>0</v>
      </c>
      <c r="F5" s="19" t="str">
        <f>IFERROR(E5/D5, "")</f>
        <v/>
      </c>
      <c r="G5" s="63">
        <f>SUM(Oct!G5,Nov!G5,Dec!G5)</f>
        <v>0</v>
      </c>
      <c r="H5" s="20">
        <f>SUM(Oct!H5, Nov!H5, Dec!H5)</f>
        <v>0</v>
      </c>
      <c r="I5" s="19" t="str">
        <f>IFERROR(H5/G5, "")</f>
        <v/>
      </c>
    </row>
    <row r="6" spans="1:9" ht="15.6">
      <c r="A6" s="48"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6">
      <c r="A7" s="49"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6">
      <c r="A8" s="48"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6">
      <c r="A9" s="49"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6">
      <c r="A10" s="48"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6">
      <c r="A11" s="49"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6">
      <c r="A12" s="48"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6">
      <c r="A13" s="49"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6">
      <c r="A14" s="48"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6">
      <c r="A15" s="49"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6">
      <c r="A16" s="48"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6">
      <c r="A17" s="49"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8"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6">
      <c r="A19" s="49"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6">
      <c r="A20" s="48"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6">
      <c r="A21" s="49"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6">
      <c r="A22" s="48"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6">
      <c r="A23" s="49"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6">
      <c r="A24" s="48"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6">
      <c r="A25" s="49"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6">
      <c r="A26" s="48"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6">
      <c r="A27" s="49"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6">
      <c r="A28" s="48"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6">
      <c r="A29" s="49"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6">
      <c r="A30" s="48"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6">
      <c r="A31" s="49"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6">
      <c r="A32" s="48"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6">
      <c r="A33" s="49"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6">
      <c r="A34" s="48"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6">
      <c r="A35" s="49"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6">
      <c r="A36" s="48"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6">
      <c r="A37" s="49"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6">
      <c r="A38" s="48"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6">
      <c r="A39" s="49"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6">
      <c r="A40" s="48"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6">
      <c r="A41" s="49"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6">
      <c r="A42" s="48"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6">
      <c r="A43" s="49"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6">
      <c r="A44" s="48"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6">
      <c r="A45" s="49"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6">
      <c r="A46" s="48"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6">
      <c r="A47" s="49"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6">
      <c r="A48" s="48"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6">
      <c r="A49" s="49"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6">
      <c r="A50" s="48"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6">
      <c r="A51" s="49"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6">
      <c r="A52" s="48"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6">
      <c r="A53" s="49"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6">
      <c r="A54" s="48"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6">
      <c r="A55" s="49"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6">
      <c r="A56" s="48"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6">
      <c r="A57" s="49"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6">
      <c r="A58" s="48"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6">
      <c r="A59" s="49"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6">
      <c r="A60" s="48"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6">
      <c r="A61" s="49"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6">
      <c r="A62" s="48"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6">
      <c r="A63" s="49"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6">
      <c r="A64" s="48"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6">
      <c r="A65" s="49"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6">
      <c r="A66" s="48"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6">
      <c r="A67" s="49"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6">
      <c r="A68" s="48"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ht="13.9">
      <c r="A69" s="21" t="str">
        <v>North Stonington</v>
      </c>
      <c r="B69" s="21" t="str">
        <v>CT</v>
      </c>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67" activePane="bottomRight" state="frozen"/>
      <selection pane="bottomRight" activeCell="D4" sqref="D4"/>
      <selection pane="bottomLeft" activeCell="J66" sqref="J66"/>
      <selection pane="topRight" activeCell="J66" sqref="J66"/>
    </sheetView>
  </sheetViews>
  <sheetFormatPr defaultRowHeight="13.9"/>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1" t="str" cm="1">
        <f t="array" ref="A1">portfolio</f>
        <v>Silicon Ranch</v>
      </c>
      <c r="B1" s="121"/>
      <c r="C1" s="121"/>
      <c r="D1" s="122" t="s">
        <v>18</v>
      </c>
      <c r="E1" s="122"/>
      <c r="F1" s="122"/>
      <c r="G1" s="120" t="s">
        <v>19</v>
      </c>
      <c r="H1" s="120"/>
      <c r="I1" s="120"/>
      <c r="J1" s="4"/>
      <c r="K1" s="4"/>
    </row>
    <row r="2" spans="1:13" ht="19.5" customHeight="1">
      <c r="A2" s="123" t="s">
        <v>2</v>
      </c>
      <c r="B2" s="123"/>
      <c r="C2" s="5">
        <f>SUM(C4:C99)</f>
        <v>2371481</v>
      </c>
      <c r="D2" s="5">
        <f>SUM(D4:D99)</f>
        <v>0</v>
      </c>
      <c r="E2" s="5">
        <f>C2-D2</f>
        <v>2371481</v>
      </c>
      <c r="F2" s="6">
        <f>IFERROR(E2/D2, 0)</f>
        <v>0</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6">
      <c r="A4" s="51" t="str" cm="1">
        <f t="array" ref="A4:A69">Sites[Site]</f>
        <v>Iron Mountain - Windsor</v>
      </c>
      <c r="B4" s="29" t="str" cm="1">
        <f t="array" ref="B4:B69">Sites[State]</f>
        <v>CT</v>
      </c>
      <c r="C4" s="13">
        <v>13219</v>
      </c>
      <c r="D4" s="13" t="s">
        <v>22</v>
      </c>
      <c r="E4" s="13" t="str">
        <f>IF(AND(ISNUMBER(C4),ISNUMBER(D4)), C4-D4, "")</f>
        <v/>
      </c>
      <c r="F4" s="13" t="str">
        <f>IFERROR(E4/D4, "")</f>
        <v/>
      </c>
      <c r="G4" s="15">
        <v>12931.18</v>
      </c>
      <c r="H4" s="15">
        <f>IF(AND(ISNUMBER(C4),ISNUMBER(G4)), C4-G4, "")</f>
        <v>287.81999999999971</v>
      </c>
      <c r="I4" s="16">
        <f>IFERROR(H4/G4, "")</f>
        <v>2.2257829525225054E-2</v>
      </c>
      <c r="J4" s="41"/>
      <c r="K4" s="41"/>
    </row>
    <row r="5" spans="1:13" ht="15.6">
      <c r="A5" s="52" t="str">
        <v>Kohls - Auburn</v>
      </c>
      <c r="B5" s="31" t="str">
        <v>NY</v>
      </c>
      <c r="C5" s="18">
        <v>5600</v>
      </c>
      <c r="D5" s="18" t="s">
        <v>22</v>
      </c>
      <c r="E5" s="18" t="str">
        <f t="shared" ref="E5:E15" si="0">IF(AND(ISNUMBER(C5),ISNUMBER(D5)), C5-D5, "")</f>
        <v/>
      </c>
      <c r="F5" s="18" t="str">
        <f t="shared" ref="F5:F25" si="1">IFERROR(E5/D5, "")</f>
        <v/>
      </c>
      <c r="G5" s="20">
        <v>4748.53</v>
      </c>
      <c r="H5" s="20">
        <f t="shared" ref="H5:H6" si="2">IF(AND(ISNUMBER(C5),ISNUMBER(G5)), C5-G5, "")</f>
        <v>851.47000000000025</v>
      </c>
      <c r="I5" s="19">
        <f t="shared" ref="I5:I6" si="3">IFERROR(H5/G5, "")</f>
        <v>0.17931233455406206</v>
      </c>
      <c r="J5" s="42"/>
      <c r="K5" s="42"/>
    </row>
    <row r="6" spans="1:13" ht="15.6">
      <c r="A6" s="53" t="str">
        <v>Kohls - Bensalem</v>
      </c>
      <c r="B6" s="29" t="str">
        <v>PA</v>
      </c>
      <c r="C6" s="13">
        <v>16129</v>
      </c>
      <c r="D6" s="13" t="s">
        <v>22</v>
      </c>
      <c r="E6" s="13" t="str">
        <f t="shared" si="0"/>
        <v/>
      </c>
      <c r="F6" s="13" t="str">
        <f t="shared" si="1"/>
        <v/>
      </c>
      <c r="G6" s="15">
        <v>15644.12</v>
      </c>
      <c r="H6" s="15">
        <f t="shared" si="2"/>
        <v>484.8799999999992</v>
      </c>
      <c r="I6" s="16">
        <f t="shared" si="3"/>
        <v>3.0994392781441154E-2</v>
      </c>
      <c r="J6" s="41"/>
      <c r="K6" s="41"/>
    </row>
    <row r="7" spans="1:13" ht="28.9">
      <c r="A7" s="52" t="str">
        <v>Kohls - Brick</v>
      </c>
      <c r="B7" s="31" t="str">
        <v>NJ</v>
      </c>
      <c r="C7" s="18">
        <v>22439</v>
      </c>
      <c r="D7" s="18" t="s">
        <v>22</v>
      </c>
      <c r="E7" s="18" t="str">
        <f t="shared" si="0"/>
        <v/>
      </c>
      <c r="F7" s="18" t="str">
        <f t="shared" si="1"/>
        <v/>
      </c>
      <c r="G7" s="20">
        <v>16579.62</v>
      </c>
      <c r="H7" s="20">
        <f t="shared" ref="H7:H15" si="4">IF(AND(ISNUMBER(C7),ISNUMBER(G7)), C7-G7, "")</f>
        <v>5859.380000000001</v>
      </c>
      <c r="I7" s="19">
        <f t="shared" ref="I7:I69" si="5">IFERROR(H7/G7, "")</f>
        <v>0.35340858234386563</v>
      </c>
      <c r="J7" s="42" t="s">
        <v>23</v>
      </c>
      <c r="K7" s="103" t="s">
        <v>24</v>
      </c>
    </row>
    <row r="8" spans="1:13" ht="86.45">
      <c r="A8" s="53" t="str">
        <v>Kohls - Buffalo</v>
      </c>
      <c r="B8" s="29" t="str">
        <v>NY</v>
      </c>
      <c r="C8" s="13">
        <v>4465</v>
      </c>
      <c r="D8" s="13" t="s">
        <v>22</v>
      </c>
      <c r="E8" s="13" t="str">
        <f t="shared" si="0"/>
        <v/>
      </c>
      <c r="F8" s="13" t="str">
        <f t="shared" si="1"/>
        <v/>
      </c>
      <c r="G8" s="15">
        <v>7988.27</v>
      </c>
      <c r="H8" s="15">
        <f t="shared" si="4"/>
        <v>-3523.2700000000004</v>
      </c>
      <c r="I8" s="16">
        <f t="shared" si="5"/>
        <v>-0.44105544754997017</v>
      </c>
      <c r="J8" s="57" t="s">
        <v>25</v>
      </c>
      <c r="K8" s="104" t="s">
        <v>26</v>
      </c>
      <c r="L8" s="105" t="s">
        <v>27</v>
      </c>
      <c r="M8" s="105" t="s">
        <v>28</v>
      </c>
    </row>
    <row r="9" spans="1:13" ht="15.6">
      <c r="A9" s="52" t="str">
        <v>Kohls - Canton</v>
      </c>
      <c r="B9" s="31" t="str">
        <v>CT</v>
      </c>
      <c r="C9" s="18">
        <v>5915</v>
      </c>
      <c r="D9" s="18" t="s">
        <v>22</v>
      </c>
      <c r="E9" s="18" t="str">
        <f t="shared" si="0"/>
        <v/>
      </c>
      <c r="F9" s="18" t="str">
        <f t="shared" si="1"/>
        <v/>
      </c>
      <c r="G9" s="20">
        <v>5796.5</v>
      </c>
      <c r="H9" s="20">
        <f t="shared" si="4"/>
        <v>118.5</v>
      </c>
      <c r="I9" s="19">
        <f t="shared" si="5"/>
        <v>2.0443370999741223E-2</v>
      </c>
      <c r="J9" s="42"/>
      <c r="K9" s="42"/>
    </row>
    <row r="10" spans="1:13" ht="15.6">
      <c r="A10" s="53" t="str">
        <v>Kohls - East Amherst</v>
      </c>
      <c r="B10" s="29" t="str">
        <v>NY</v>
      </c>
      <c r="C10" s="13">
        <v>5604</v>
      </c>
      <c r="D10" s="13" t="s">
        <v>22</v>
      </c>
      <c r="E10" s="13" t="str">
        <f t="shared" si="0"/>
        <v/>
      </c>
      <c r="F10" s="13" t="str">
        <f t="shared" si="1"/>
        <v/>
      </c>
      <c r="G10" s="15">
        <v>8423.32</v>
      </c>
      <c r="H10" s="15">
        <f t="shared" si="4"/>
        <v>-2819.3199999999997</v>
      </c>
      <c r="I10" s="16">
        <f t="shared" si="5"/>
        <v>-0.3347041309127517</v>
      </c>
      <c r="J10" s="41" t="s">
        <v>29</v>
      </c>
      <c r="K10" s="41"/>
    </row>
    <row r="11" spans="1:13" ht="15.6">
      <c r="A11" s="52" t="str">
        <v>Kohls - East Brunswick</v>
      </c>
      <c r="B11" s="31" t="str">
        <v>NJ</v>
      </c>
      <c r="C11" s="18">
        <v>21858</v>
      </c>
      <c r="D11" s="18" t="s">
        <v>22</v>
      </c>
      <c r="E11" s="18" t="str">
        <f t="shared" si="0"/>
        <v/>
      </c>
      <c r="F11" s="18" t="str">
        <f t="shared" si="1"/>
        <v/>
      </c>
      <c r="G11" s="20">
        <v>23131.39</v>
      </c>
      <c r="H11" s="20">
        <f t="shared" si="4"/>
        <v>-1273.3899999999994</v>
      </c>
      <c r="I11" s="19">
        <f t="shared" si="5"/>
        <v>-5.505030177607137E-2</v>
      </c>
      <c r="J11" s="42"/>
      <c r="K11" s="42"/>
    </row>
    <row r="12" spans="1:13" ht="15.6">
      <c r="A12" s="53" t="str">
        <v>Kohls - Edgewood</v>
      </c>
      <c r="B12" s="29" t="str">
        <v>MD</v>
      </c>
      <c r="C12" s="13">
        <v>95387</v>
      </c>
      <c r="D12" s="13" t="s">
        <v>22</v>
      </c>
      <c r="E12" s="13" t="str">
        <f t="shared" si="0"/>
        <v/>
      </c>
      <c r="F12" s="13" t="str">
        <f t="shared" si="1"/>
        <v/>
      </c>
      <c r="G12" s="15">
        <v>135284.96</v>
      </c>
      <c r="H12" s="15">
        <f t="shared" si="4"/>
        <v>-39897.959999999992</v>
      </c>
      <c r="I12" s="16">
        <f t="shared" si="5"/>
        <v>-0.29491792731431488</v>
      </c>
      <c r="J12" s="66" t="s">
        <v>29</v>
      </c>
      <c r="K12" s="41"/>
    </row>
    <row r="13" spans="1:13" ht="15.6">
      <c r="A13" s="52" t="str">
        <v>Kohls - Granite Run</v>
      </c>
      <c r="B13" s="31" t="str">
        <v>PA</v>
      </c>
      <c r="C13" s="18">
        <v>12350</v>
      </c>
      <c r="D13" s="18" t="s">
        <v>22</v>
      </c>
      <c r="E13" s="18" t="str">
        <f t="shared" si="0"/>
        <v/>
      </c>
      <c r="F13" s="18" t="str">
        <f t="shared" si="1"/>
        <v/>
      </c>
      <c r="G13" s="20">
        <v>15908.81</v>
      </c>
      <c r="H13" s="20">
        <f t="shared" si="4"/>
        <v>-3558.8099999999995</v>
      </c>
      <c r="I13" s="19">
        <f t="shared" si="5"/>
        <v>-0.22370057848450006</v>
      </c>
      <c r="J13" s="42" t="s">
        <v>29</v>
      </c>
      <c r="K13" s="42"/>
    </row>
    <row r="14" spans="1:13" ht="15.6">
      <c r="A14" s="53" t="str">
        <v>Kohls - Greece</v>
      </c>
      <c r="B14" s="29" t="str">
        <v>NY</v>
      </c>
      <c r="C14" s="13">
        <v>5278</v>
      </c>
      <c r="D14" s="13" t="s">
        <v>22</v>
      </c>
      <c r="E14" s="13" t="str">
        <f t="shared" si="0"/>
        <v/>
      </c>
      <c r="F14" s="13" t="str">
        <f t="shared" si="1"/>
        <v/>
      </c>
      <c r="G14" s="15">
        <v>9358.2099999999991</v>
      </c>
      <c r="H14" s="15">
        <f t="shared" si="4"/>
        <v>-4080.2099999999991</v>
      </c>
      <c r="I14" s="16">
        <f t="shared" si="5"/>
        <v>-0.43600325275880747</v>
      </c>
      <c r="J14" s="41" t="s">
        <v>29</v>
      </c>
      <c r="K14" s="41"/>
    </row>
    <row r="15" spans="1:13" ht="15.6">
      <c r="A15" s="52" t="str">
        <v>Kohls - Hanover</v>
      </c>
      <c r="B15" s="31" t="str">
        <v>PA</v>
      </c>
      <c r="C15" s="18">
        <v>13440</v>
      </c>
      <c r="D15" s="18" t="s">
        <v>22</v>
      </c>
      <c r="E15" s="18" t="str">
        <f t="shared" si="0"/>
        <v/>
      </c>
      <c r="F15" s="18" t="str">
        <f t="shared" si="1"/>
        <v/>
      </c>
      <c r="G15" s="20">
        <v>18746.47</v>
      </c>
      <c r="H15" s="20">
        <f t="shared" si="4"/>
        <v>-5306.4700000000012</v>
      </c>
      <c r="I15" s="19">
        <f t="shared" si="5"/>
        <v>-0.28306502504204795</v>
      </c>
      <c r="J15" s="54" t="s">
        <v>30</v>
      </c>
      <c r="K15" s="103" t="s">
        <v>31</v>
      </c>
      <c r="M15" s="94"/>
    </row>
    <row r="16" spans="1:13" ht="28.9">
      <c r="A16" s="53" t="str">
        <v>Kohls - Horsehead</v>
      </c>
      <c r="B16" s="29" t="str">
        <v>NY</v>
      </c>
      <c r="C16" s="13">
        <v>10616</v>
      </c>
      <c r="D16" s="13" t="s">
        <v>22</v>
      </c>
      <c r="E16" s="13" t="str">
        <f t="shared" ref="E16:E25" si="6">IF(AND(ISNUMBER(C16),ISNUMBER(D16)), C16-D16, "")</f>
        <v/>
      </c>
      <c r="F16" s="13" t="str">
        <f t="shared" si="1"/>
        <v/>
      </c>
      <c r="G16" s="15">
        <v>12681.26</v>
      </c>
      <c r="H16" s="15">
        <f t="shared" ref="H16:H17" si="7">IF(AND(ISNUMBER(C16),ISNUMBER(G16)), C16-G16, "")</f>
        <v>-2065.2600000000002</v>
      </c>
      <c r="I16" s="16">
        <f t="shared" si="5"/>
        <v>-0.16285921115094243</v>
      </c>
      <c r="J16" s="41" t="s">
        <v>32</v>
      </c>
      <c r="K16" s="104" t="s">
        <v>33</v>
      </c>
    </row>
    <row r="17" spans="1:14" ht="15.6">
      <c r="A17" s="52" t="str">
        <v>Kohls - Hudson</v>
      </c>
      <c r="B17" s="30" t="str">
        <v>NY</v>
      </c>
      <c r="C17" s="18">
        <v>11567</v>
      </c>
      <c r="D17" s="18" t="s">
        <v>22</v>
      </c>
      <c r="E17" s="18" t="str">
        <f t="shared" si="6"/>
        <v/>
      </c>
      <c r="F17" s="18" t="str">
        <f t="shared" si="1"/>
        <v/>
      </c>
      <c r="G17" s="20">
        <v>12764.56</v>
      </c>
      <c r="H17" s="20">
        <f t="shared" si="7"/>
        <v>-1197.5599999999995</v>
      </c>
      <c r="I17" s="19">
        <f t="shared" si="5"/>
        <v>-9.3819136734834538E-2</v>
      </c>
      <c r="J17" s="42"/>
      <c r="K17" s="42"/>
    </row>
    <row r="18" spans="1:14" ht="15.6">
      <c r="A18" s="53" t="str">
        <v>Kohls - Ithaca</v>
      </c>
      <c r="B18" s="28" t="str">
        <v>NY</v>
      </c>
      <c r="C18" s="13">
        <v>9275</v>
      </c>
      <c r="D18" s="13" t="s">
        <v>22</v>
      </c>
      <c r="E18" s="13" t="str">
        <f t="shared" si="6"/>
        <v/>
      </c>
      <c r="F18" s="13" t="str">
        <f t="shared" si="1"/>
        <v/>
      </c>
      <c r="G18" s="15">
        <v>11829.67</v>
      </c>
      <c r="H18" s="15">
        <f t="shared" ref="H18:H25" si="8">IF(AND(ISNUMBER(C18),ISNUMBER(G18)), C18-G18, "")</f>
        <v>-2554.67</v>
      </c>
      <c r="I18" s="16">
        <f t="shared" si="5"/>
        <v>-0.21595446026812246</v>
      </c>
      <c r="J18" s="41" t="s">
        <v>29</v>
      </c>
      <c r="K18" s="41"/>
    </row>
    <row r="19" spans="1:14" ht="15.6">
      <c r="A19" s="52" t="str">
        <v>Kohls - Kingston</v>
      </c>
      <c r="B19" s="30" t="str">
        <v>NY</v>
      </c>
      <c r="C19" s="18">
        <v>18271</v>
      </c>
      <c r="D19" s="18" t="s">
        <v>22</v>
      </c>
      <c r="E19" s="18" t="str">
        <f t="shared" si="6"/>
        <v/>
      </c>
      <c r="F19" s="18" t="str">
        <f t="shared" si="1"/>
        <v/>
      </c>
      <c r="G19" s="20">
        <v>22224.6</v>
      </c>
      <c r="H19" s="20">
        <f t="shared" si="8"/>
        <v>-3953.5999999999985</v>
      </c>
      <c r="I19" s="19">
        <f t="shared" si="5"/>
        <v>-0.17789296545269651</v>
      </c>
      <c r="J19" s="42" t="s">
        <v>29</v>
      </c>
      <c r="K19" s="42"/>
    </row>
    <row r="20" spans="1:14" ht="15.6">
      <c r="A20" s="53" t="str">
        <v>Kohls - Mechanicsburg</v>
      </c>
      <c r="B20" s="28" t="str">
        <v>PA</v>
      </c>
      <c r="C20" s="13">
        <v>15891</v>
      </c>
      <c r="D20" s="13" t="s">
        <v>22</v>
      </c>
      <c r="E20" s="13" t="str">
        <f t="shared" si="6"/>
        <v/>
      </c>
      <c r="F20" s="13" t="str">
        <f t="shared" si="1"/>
        <v/>
      </c>
      <c r="G20" s="15">
        <v>21467.31</v>
      </c>
      <c r="H20" s="15">
        <f t="shared" si="8"/>
        <v>-5576.3100000000013</v>
      </c>
      <c r="I20" s="16">
        <f t="shared" si="5"/>
        <v>-0.25975820910957176</v>
      </c>
      <c r="J20" s="41" t="s">
        <v>29</v>
      </c>
      <c r="K20" s="41"/>
    </row>
    <row r="21" spans="1:14" ht="15.6">
      <c r="A21" s="52" t="str">
        <v>Kohls - Middletown</v>
      </c>
      <c r="B21" s="30" t="str">
        <v>NJ</v>
      </c>
      <c r="C21" s="18">
        <v>26770</v>
      </c>
      <c r="D21" s="18" t="s">
        <v>22</v>
      </c>
      <c r="E21" s="18" t="str">
        <f t="shared" si="6"/>
        <v/>
      </c>
      <c r="F21" s="18" t="str">
        <f t="shared" si="1"/>
        <v/>
      </c>
      <c r="G21" s="20">
        <v>29428.37</v>
      </c>
      <c r="H21" s="20">
        <f t="shared" si="8"/>
        <v>-2658.369999999999</v>
      </c>
      <c r="I21" s="19">
        <f t="shared" si="5"/>
        <v>-9.0333579467704095E-2</v>
      </c>
      <c r="J21" s="42"/>
      <c r="K21" s="42"/>
    </row>
    <row r="22" spans="1:14" ht="46.5" customHeight="1">
      <c r="A22" s="53" t="str">
        <v>Kohls - North Amherst</v>
      </c>
      <c r="B22" s="28" t="str">
        <v>NY</v>
      </c>
      <c r="C22" s="13">
        <v>0</v>
      </c>
      <c r="D22" s="13" t="s">
        <v>22</v>
      </c>
      <c r="E22" s="13" t="str">
        <f t="shared" si="6"/>
        <v/>
      </c>
      <c r="F22" s="13" t="str">
        <f t="shared" si="1"/>
        <v/>
      </c>
      <c r="G22" s="15">
        <v>6479.47</v>
      </c>
      <c r="H22" s="15">
        <f t="shared" si="8"/>
        <v>-6479.47</v>
      </c>
      <c r="I22" s="16">
        <f t="shared" si="5"/>
        <v>-1</v>
      </c>
      <c r="J22" s="41" t="s">
        <v>34</v>
      </c>
      <c r="K22" s="104" t="s">
        <v>35</v>
      </c>
      <c r="L22" s="105" t="s">
        <v>36</v>
      </c>
    </row>
    <row r="23" spans="1:14" ht="129.75" customHeight="1">
      <c r="A23" s="52" t="str">
        <v>Kohls - Staten Island</v>
      </c>
      <c r="B23" s="30" t="str">
        <v>NY</v>
      </c>
      <c r="C23" s="18">
        <v>10433</v>
      </c>
      <c r="D23" s="18" t="s">
        <v>22</v>
      </c>
      <c r="E23" s="18" t="str">
        <f t="shared" si="6"/>
        <v/>
      </c>
      <c r="F23" s="18" t="str">
        <f t="shared" si="1"/>
        <v/>
      </c>
      <c r="G23" s="20">
        <v>15368.35</v>
      </c>
      <c r="H23" s="20">
        <f t="shared" si="8"/>
        <v>-4935.3500000000004</v>
      </c>
      <c r="I23" s="19">
        <f t="shared" si="5"/>
        <v>-0.32113727238122508</v>
      </c>
      <c r="J23" s="55" t="s">
        <v>37</v>
      </c>
      <c r="K23" s="106" t="s">
        <v>38</v>
      </c>
      <c r="L23" s="105" t="s">
        <v>39</v>
      </c>
      <c r="M23" s="105" t="s">
        <v>40</v>
      </c>
      <c r="N23" s="105" t="s">
        <v>41</v>
      </c>
    </row>
    <row r="24" spans="1:14" ht="28.9">
      <c r="A24" s="53" t="str">
        <v>Kohls - Warminster</v>
      </c>
      <c r="B24" s="28" t="str">
        <v>PA</v>
      </c>
      <c r="C24" s="13">
        <v>16958</v>
      </c>
      <c r="D24" s="13" t="s">
        <v>22</v>
      </c>
      <c r="E24" s="13" t="str">
        <f t="shared" si="6"/>
        <v/>
      </c>
      <c r="F24" s="13" t="str">
        <f t="shared" si="1"/>
        <v/>
      </c>
      <c r="G24" s="15">
        <v>19404.55</v>
      </c>
      <c r="H24" s="15">
        <f t="shared" si="8"/>
        <v>-2446.5499999999993</v>
      </c>
      <c r="I24" s="16">
        <f t="shared" si="5"/>
        <v>-0.12608125413884885</v>
      </c>
      <c r="J24" s="41" t="s">
        <v>42</v>
      </c>
      <c r="K24" s="104" t="s">
        <v>43</v>
      </c>
    </row>
    <row r="25" spans="1:14" ht="15.6">
      <c r="A25" s="52" t="str">
        <v xml:space="preserve">Kohls - Waterbury </v>
      </c>
      <c r="B25" s="30" t="str">
        <v>CT</v>
      </c>
      <c r="C25" s="18">
        <v>15637</v>
      </c>
      <c r="D25" s="18" t="s">
        <v>22</v>
      </c>
      <c r="E25" s="18" t="str">
        <f t="shared" si="6"/>
        <v/>
      </c>
      <c r="F25" s="18" t="str">
        <f t="shared" si="1"/>
        <v/>
      </c>
      <c r="G25" s="45">
        <v>15296.56</v>
      </c>
      <c r="H25" s="45">
        <f t="shared" si="8"/>
        <v>340.44000000000051</v>
      </c>
      <c r="I25" s="19">
        <f t="shared" si="5"/>
        <v>2.2255984352037354E-2</v>
      </c>
      <c r="J25" s="42"/>
      <c r="K25" s="42"/>
    </row>
    <row r="26" spans="1:14" ht="15.6">
      <c r="A26" s="53" t="str">
        <v>Mojave Water Agency - Headquarters</v>
      </c>
      <c r="B26" s="28" t="str">
        <v>CA</v>
      </c>
      <c r="C26" s="13">
        <v>26762</v>
      </c>
      <c r="D26" s="13" t="s">
        <v>22</v>
      </c>
      <c r="E26" s="13" t="str">
        <f t="shared" ref="E26:E69" si="9">IF(AND(ISNUMBER(C26),ISNUMBER(D26)), C26-D26, "")</f>
        <v/>
      </c>
      <c r="F26" s="13" t="str">
        <f t="shared" ref="F26:F68" si="10">IFERROR(E26/D26, "")</f>
        <v/>
      </c>
      <c r="G26" s="15">
        <v>25853.48</v>
      </c>
      <c r="H26" s="15">
        <f t="shared" ref="H26:H69" si="11">IF(AND(ISNUMBER(C26),ISNUMBER(G26)), C26-G26, "")</f>
        <v>908.52000000000044</v>
      </c>
      <c r="I26" s="16">
        <f t="shared" si="5"/>
        <v>3.5141110597103384E-2</v>
      </c>
      <c r="J26" s="41"/>
      <c r="K26" s="41"/>
    </row>
    <row r="27" spans="1:14" ht="15.6">
      <c r="A27" s="52" t="str">
        <v>CSU - Bakersfield</v>
      </c>
      <c r="B27" s="30" t="str">
        <v>CA</v>
      </c>
      <c r="C27" s="18">
        <v>78098</v>
      </c>
      <c r="D27" s="18" t="s">
        <v>22</v>
      </c>
      <c r="E27" s="18" t="str">
        <f t="shared" si="9"/>
        <v/>
      </c>
      <c r="F27" s="18" t="str">
        <f t="shared" si="10"/>
        <v/>
      </c>
      <c r="G27" s="63">
        <v>60631.17</v>
      </c>
      <c r="H27" s="63">
        <f t="shared" si="11"/>
        <v>17466.830000000002</v>
      </c>
      <c r="I27" s="19">
        <f t="shared" si="5"/>
        <v>0.28808334063155966</v>
      </c>
      <c r="J27" s="42"/>
      <c r="K27" s="42"/>
    </row>
    <row r="28" spans="1:14" ht="15.6">
      <c r="A28" s="53" t="str">
        <v>Greenfield USD - Fairfield ES</v>
      </c>
      <c r="B28" s="28" t="str">
        <v>CA</v>
      </c>
      <c r="C28" s="13">
        <v>9460</v>
      </c>
      <c r="D28" s="13" t="s">
        <v>22</v>
      </c>
      <c r="E28" s="13" t="str">
        <f t="shared" si="9"/>
        <v/>
      </c>
      <c r="F28" s="13" t="str">
        <f t="shared" si="10"/>
        <v/>
      </c>
      <c r="G28" s="15">
        <v>6747.91</v>
      </c>
      <c r="H28" s="64">
        <f t="shared" si="11"/>
        <v>2712.09</v>
      </c>
      <c r="I28" s="16">
        <f t="shared" si="5"/>
        <v>0.40191555607588131</v>
      </c>
      <c r="J28" s="41"/>
      <c r="K28" s="41"/>
    </row>
    <row r="29" spans="1:14" ht="15.6">
      <c r="A29" s="52" t="str">
        <v>Greenfield USD - Granite Point ES</v>
      </c>
      <c r="B29" s="30" t="str">
        <v>CA</v>
      </c>
      <c r="C29" s="18">
        <v>26793</v>
      </c>
      <c r="D29" s="18" t="s">
        <v>22</v>
      </c>
      <c r="E29" s="18" t="str">
        <f t="shared" si="9"/>
        <v/>
      </c>
      <c r="F29" s="18" t="str">
        <f t="shared" si="10"/>
        <v/>
      </c>
      <c r="G29" s="63">
        <v>17651.939999999999</v>
      </c>
      <c r="H29" s="63">
        <f t="shared" si="11"/>
        <v>9141.0600000000013</v>
      </c>
      <c r="I29" s="19">
        <f t="shared" si="5"/>
        <v>0.51785016264501249</v>
      </c>
      <c r="J29" s="42"/>
      <c r="K29" s="42"/>
    </row>
    <row r="30" spans="1:14" ht="43.15">
      <c r="A30" s="53" t="str">
        <v>Greenfield USD - Greenfield MS</v>
      </c>
      <c r="B30" s="28" t="str">
        <v>CA</v>
      </c>
      <c r="C30" s="13">
        <v>14901</v>
      </c>
      <c r="D30" s="13" t="s">
        <v>22</v>
      </c>
      <c r="E30" s="13" t="str">
        <f t="shared" si="9"/>
        <v/>
      </c>
      <c r="F30" s="13" t="str">
        <f t="shared" si="10"/>
        <v/>
      </c>
      <c r="G30" s="15">
        <v>3998.76</v>
      </c>
      <c r="H30" s="15">
        <f t="shared" si="11"/>
        <v>10902.24</v>
      </c>
      <c r="I30" s="16">
        <f t="shared" si="5"/>
        <v>2.726405185607538</v>
      </c>
      <c r="J30" s="41" t="s">
        <v>44</v>
      </c>
      <c r="K30" s="104" t="s">
        <v>45</v>
      </c>
    </row>
    <row r="31" spans="1:14" ht="72">
      <c r="A31" s="52" t="str">
        <v>Greenfield USD - Horizon ES</v>
      </c>
      <c r="B31" s="30" t="str">
        <v>CA</v>
      </c>
      <c r="C31" s="18">
        <v>22359</v>
      </c>
      <c r="D31" s="18" t="s">
        <v>22</v>
      </c>
      <c r="E31" s="18" t="str">
        <f t="shared" si="9"/>
        <v/>
      </c>
      <c r="F31" s="18" t="str">
        <f t="shared" si="10"/>
        <v/>
      </c>
      <c r="G31" s="63">
        <v>17883.349999999999</v>
      </c>
      <c r="H31" s="63">
        <f t="shared" si="11"/>
        <v>4475.6500000000015</v>
      </c>
      <c r="I31" s="19">
        <f t="shared" si="5"/>
        <v>0.25026910506141198</v>
      </c>
      <c r="J31" s="42" t="s">
        <v>46</v>
      </c>
      <c r="K31" s="106" t="s">
        <v>47</v>
      </c>
      <c r="L31" s="105" t="s">
        <v>48</v>
      </c>
    </row>
    <row r="32" spans="1:14" ht="15.6">
      <c r="A32" s="53" t="str">
        <v>Greenfield USD - McKee MS</v>
      </c>
      <c r="B32" s="28" t="str">
        <v>CA</v>
      </c>
      <c r="C32" s="13">
        <v>10808</v>
      </c>
      <c r="D32" s="13" t="s">
        <v>22</v>
      </c>
      <c r="E32" s="13" t="str">
        <f>IF(AND(ISNUMBER(C32),ISNUMBER(D32)), C32-D32, "")</f>
        <v/>
      </c>
      <c r="F32" s="13" t="str">
        <f>IFERROR(E32/D32, "")</f>
        <v/>
      </c>
      <c r="G32" s="15">
        <v>10950.31</v>
      </c>
      <c r="H32" s="15">
        <f t="shared" si="11"/>
        <v>-142.30999999999949</v>
      </c>
      <c r="I32" s="16">
        <f t="shared" si="5"/>
        <v>-1.299597910926718E-2</v>
      </c>
      <c r="J32" s="41"/>
      <c r="K32" s="41"/>
    </row>
    <row r="33" spans="1:14" ht="15.6">
      <c r="A33" s="52" t="str">
        <v>Greenfield USD - Plantation ES</v>
      </c>
      <c r="B33" s="30" t="str">
        <v>CA</v>
      </c>
      <c r="C33" s="18">
        <v>10716</v>
      </c>
      <c r="D33" s="18" t="s">
        <v>22</v>
      </c>
      <c r="E33" s="18" t="str">
        <f>IF(AND(ISNUMBER(C33),ISNUMBER(D33)), C33-D33, "")</f>
        <v/>
      </c>
      <c r="F33" s="18" t="str">
        <f>IFERROR(E33/D33, "")</f>
        <v/>
      </c>
      <c r="G33" s="63">
        <v>7840.16</v>
      </c>
      <c r="H33" s="63">
        <f t="shared" si="11"/>
        <v>2875.84</v>
      </c>
      <c r="I33" s="19">
        <f t="shared" si="5"/>
        <v>0.36680884063590541</v>
      </c>
      <c r="J33" s="42"/>
      <c r="K33" s="42"/>
    </row>
    <row r="34" spans="1:14" ht="15.6">
      <c r="A34" s="53" t="str">
        <v>Greenfield USD - Planz ES</v>
      </c>
      <c r="B34" s="28" t="str">
        <v>CA</v>
      </c>
      <c r="C34" s="13">
        <v>3658</v>
      </c>
      <c r="D34" s="13" t="s">
        <v>22</v>
      </c>
      <c r="E34" s="13" t="str">
        <f t="shared" si="9"/>
        <v/>
      </c>
      <c r="F34" s="13" t="str">
        <f t="shared" si="10"/>
        <v/>
      </c>
      <c r="G34" s="15">
        <v>8710.27</v>
      </c>
      <c r="H34" s="15">
        <f t="shared" si="11"/>
        <v>-5052.2700000000004</v>
      </c>
      <c r="I34" s="16">
        <f t="shared" si="5"/>
        <v>-0.58003598051495531</v>
      </c>
      <c r="J34" s="41" t="s">
        <v>29</v>
      </c>
      <c r="K34" s="41"/>
    </row>
    <row r="35" spans="1:14" ht="15.6">
      <c r="A35" s="52" t="str">
        <v>Greenfield USD - Raffaello Palla ES</v>
      </c>
      <c r="B35" s="30" t="str">
        <v>CA</v>
      </c>
      <c r="C35" s="18">
        <v>25273</v>
      </c>
      <c r="D35" s="18" t="s">
        <v>22</v>
      </c>
      <c r="E35" s="18" t="str">
        <f t="shared" si="9"/>
        <v/>
      </c>
      <c r="F35" s="18" t="str">
        <f t="shared" si="10"/>
        <v/>
      </c>
      <c r="G35" s="63">
        <v>19790.169999999998</v>
      </c>
      <c r="H35" s="63">
        <f t="shared" si="11"/>
        <v>5482.8300000000017</v>
      </c>
      <c r="I35" s="19">
        <f t="shared" si="5"/>
        <v>0.2770481506727836</v>
      </c>
      <c r="J35" s="42"/>
      <c r="K35" s="42"/>
    </row>
    <row r="36" spans="1:14" ht="15.6">
      <c r="A36" s="53" t="str">
        <v>Greenfield USD - Valle Verde ES</v>
      </c>
      <c r="B36" s="28" t="str">
        <v>CA</v>
      </c>
      <c r="C36" s="13">
        <v>27972</v>
      </c>
      <c r="D36" s="13" t="s">
        <v>22</v>
      </c>
      <c r="E36" s="13" t="str">
        <f t="shared" si="9"/>
        <v/>
      </c>
      <c r="F36" s="13" t="str">
        <f t="shared" si="10"/>
        <v/>
      </c>
      <c r="G36" s="15">
        <v>18660.89</v>
      </c>
      <c r="H36" s="15">
        <f t="shared" si="11"/>
        <v>9311.11</v>
      </c>
      <c r="I36" s="16">
        <f t="shared" si="5"/>
        <v>0.49896387578513141</v>
      </c>
      <c r="J36" s="41"/>
      <c r="K36" s="41"/>
    </row>
    <row r="37" spans="1:14" ht="28.9">
      <c r="A37" s="52" t="str">
        <v>Greenfield USD - W.A. Kendrick ES</v>
      </c>
      <c r="B37" s="30" t="str">
        <v>CA</v>
      </c>
      <c r="C37" s="18">
        <v>4765</v>
      </c>
      <c r="D37" s="18" t="s">
        <v>22</v>
      </c>
      <c r="E37" s="18" t="str">
        <f t="shared" si="9"/>
        <v/>
      </c>
      <c r="F37" s="18" t="str">
        <f t="shared" si="10"/>
        <v/>
      </c>
      <c r="G37" s="63">
        <v>7201.47</v>
      </c>
      <c r="H37" s="63">
        <f t="shared" si="11"/>
        <v>-2436.4700000000003</v>
      </c>
      <c r="I37" s="19">
        <f t="shared" si="5"/>
        <v>-0.33832953549761369</v>
      </c>
      <c r="J37" s="42" t="s">
        <v>49</v>
      </c>
      <c r="K37" s="106" t="s">
        <v>50</v>
      </c>
    </row>
    <row r="38" spans="1:14" ht="57.6">
      <c r="A38" s="53" t="str">
        <v>Muroc Joint USD - Boron HS</v>
      </c>
      <c r="B38" s="28" t="str">
        <v>CA</v>
      </c>
      <c r="C38" s="13">
        <v>0</v>
      </c>
      <c r="D38" s="13" t="s">
        <v>22</v>
      </c>
      <c r="E38" s="13" t="str">
        <f t="shared" si="9"/>
        <v/>
      </c>
      <c r="F38" s="13" t="str">
        <f t="shared" si="10"/>
        <v/>
      </c>
      <c r="G38" s="15">
        <v>23613.119999999999</v>
      </c>
      <c r="H38" s="15">
        <f t="shared" si="11"/>
        <v>-23613.119999999999</v>
      </c>
      <c r="I38" s="16">
        <f t="shared" si="5"/>
        <v>-1</v>
      </c>
      <c r="J38" s="41" t="s">
        <v>51</v>
      </c>
      <c r="K38" s="104" t="s">
        <v>52</v>
      </c>
      <c r="L38" s="105" t="s">
        <v>53</v>
      </c>
      <c r="M38" s="105" t="s">
        <v>54</v>
      </c>
    </row>
    <row r="39" spans="1:14" ht="15.6">
      <c r="A39" s="52" t="str">
        <v>Muroc Joint USD - W. Boron ES</v>
      </c>
      <c r="B39" s="30" t="str">
        <v>CA</v>
      </c>
      <c r="C39" s="18">
        <v>9827</v>
      </c>
      <c r="D39" s="18" t="s">
        <v>22</v>
      </c>
      <c r="E39" s="18" t="str">
        <f t="shared" si="9"/>
        <v/>
      </c>
      <c r="F39" s="18" t="str">
        <f t="shared" si="10"/>
        <v/>
      </c>
      <c r="G39" s="63">
        <v>8755.7800000000007</v>
      </c>
      <c r="H39" s="63">
        <f>IF(AND(ISNUMBER(C39),ISNUMBER(G39)), C39-G39, "")</f>
        <v>1071.2199999999993</v>
      </c>
      <c r="I39" s="19">
        <f>IFERROR(H39/G39, "")</f>
        <v>0.12234432569114337</v>
      </c>
      <c r="J39" s="42"/>
      <c r="K39" s="42"/>
    </row>
    <row r="40" spans="1:14" ht="39.6">
      <c r="A40" s="53" t="str">
        <v>Colusa - WTP</v>
      </c>
      <c r="B40" s="28" t="str">
        <v>CA</v>
      </c>
      <c r="C40" s="13">
        <v>0</v>
      </c>
      <c r="D40" s="13" t="s">
        <v>22</v>
      </c>
      <c r="E40" s="13" t="str">
        <f t="shared" si="9"/>
        <v/>
      </c>
      <c r="F40" s="13" t="str">
        <f t="shared" si="10"/>
        <v/>
      </c>
      <c r="G40" s="15">
        <v>17962.439999999999</v>
      </c>
      <c r="H40" s="15">
        <f>IF(AND(ISNUMBER(C40),ISNUMBER(G40)), C40-G40, "")</f>
        <v>-17962.439999999999</v>
      </c>
      <c r="I40" s="16">
        <f>IFERROR(H40/G40, "")</f>
        <v>-1</v>
      </c>
      <c r="J40" s="41" t="s">
        <v>55</v>
      </c>
      <c r="K40" s="107" t="s">
        <v>56</v>
      </c>
      <c r="L40" s="105" t="s">
        <v>57</v>
      </c>
      <c r="M40" s="105" t="s">
        <v>58</v>
      </c>
      <c r="N40" s="105" t="s">
        <v>59</v>
      </c>
    </row>
    <row r="41" spans="1:14" ht="57.6">
      <c r="A41" s="52" t="str">
        <v>CDCR-North Kern State Prision</v>
      </c>
      <c r="B41" s="30" t="str">
        <v>CA</v>
      </c>
      <c r="C41" s="18">
        <v>70021</v>
      </c>
      <c r="D41" s="18" t="s">
        <v>22</v>
      </c>
      <c r="E41" s="18" t="str">
        <f t="shared" si="9"/>
        <v/>
      </c>
      <c r="F41" s="18" t="str">
        <f t="shared" si="10"/>
        <v/>
      </c>
      <c r="G41" s="63">
        <v>80319.850000000006</v>
      </c>
      <c r="H41" s="63">
        <f>IF(AND(ISNUMBER(C41),ISNUMBER(G41)), C41-G41, "")</f>
        <v>-10298.850000000006</v>
      </c>
      <c r="I41" s="19">
        <f>IFERROR(H41/G41, "")</f>
        <v>-0.12822297352397952</v>
      </c>
      <c r="J41" s="42" t="s">
        <v>60</v>
      </c>
      <c r="K41" s="108" t="s">
        <v>61</v>
      </c>
    </row>
    <row r="42" spans="1:14" ht="15.6">
      <c r="A42" s="53" t="str">
        <v>Muroc Joint USD - District Office</v>
      </c>
      <c r="B42" s="28" t="str">
        <v>CA</v>
      </c>
      <c r="C42" s="13">
        <v>4886</v>
      </c>
      <c r="D42" s="13" t="s">
        <v>22</v>
      </c>
      <c r="E42" s="13" t="str">
        <f t="shared" si="9"/>
        <v/>
      </c>
      <c r="F42" s="13" t="str">
        <f t="shared" si="10"/>
        <v/>
      </c>
      <c r="G42" s="15">
        <v>6179.15</v>
      </c>
      <c r="H42" s="15">
        <f t="shared" si="11"/>
        <v>-1293.1499999999996</v>
      </c>
      <c r="I42" s="16">
        <f t="shared" si="5"/>
        <v>-0.20927635678046327</v>
      </c>
      <c r="J42" s="41" t="s">
        <v>29</v>
      </c>
      <c r="K42" s="41"/>
    </row>
    <row r="43" spans="1:14" ht="28.9">
      <c r="A43" s="52" t="str">
        <v>Whole Foods - Manhattan Beach</v>
      </c>
      <c r="B43" s="30" t="str">
        <v>CA</v>
      </c>
      <c r="C43" s="18">
        <v>11385</v>
      </c>
      <c r="D43" s="18" t="s">
        <v>22</v>
      </c>
      <c r="E43" s="18" t="str">
        <f t="shared" si="9"/>
        <v/>
      </c>
      <c r="F43" s="18" t="str">
        <f t="shared" si="10"/>
        <v/>
      </c>
      <c r="G43" s="63">
        <v>13787.4</v>
      </c>
      <c r="H43" s="63">
        <f t="shared" si="11"/>
        <v>-2402.3999999999996</v>
      </c>
      <c r="I43" s="19">
        <f t="shared" si="5"/>
        <v>-0.17424605074198179</v>
      </c>
      <c r="J43" s="55" t="s">
        <v>62</v>
      </c>
      <c r="K43" s="106" t="s">
        <v>63</v>
      </c>
      <c r="L43" s="105" t="s">
        <v>64</v>
      </c>
    </row>
    <row r="44" spans="1:14" ht="28.9">
      <c r="A44" s="53" t="str">
        <v>Pioneer USD - Frontier ES</v>
      </c>
      <c r="B44" s="28" t="str">
        <v>CA</v>
      </c>
      <c r="C44" s="13">
        <v>21344</v>
      </c>
      <c r="D44" s="13" t="s">
        <v>22</v>
      </c>
      <c r="E44" s="13" t="str">
        <f t="shared" si="9"/>
        <v/>
      </c>
      <c r="F44" s="13" t="str">
        <f t="shared" si="10"/>
        <v/>
      </c>
      <c r="G44" s="15">
        <v>11836.7</v>
      </c>
      <c r="H44" s="15">
        <f t="shared" si="11"/>
        <v>9507.2999999999993</v>
      </c>
      <c r="I44" s="16">
        <f t="shared" si="5"/>
        <v>0.80320528525687052</v>
      </c>
      <c r="J44" s="41" t="s">
        <v>65</v>
      </c>
      <c r="K44" s="104" t="s">
        <v>66</v>
      </c>
    </row>
    <row r="45" spans="1:14" ht="86.45">
      <c r="A45" s="52" t="str">
        <v>Pioneer USD - Pioneer ES</v>
      </c>
      <c r="B45" s="30" t="str">
        <v>CA</v>
      </c>
      <c r="C45" s="18">
        <v>11680</v>
      </c>
      <c r="D45" s="18" t="s">
        <v>22</v>
      </c>
      <c r="E45" s="18" t="str">
        <f t="shared" si="9"/>
        <v/>
      </c>
      <c r="F45" s="18" t="str">
        <f t="shared" si="10"/>
        <v/>
      </c>
      <c r="G45" s="63">
        <v>11671.1</v>
      </c>
      <c r="H45" s="63">
        <f t="shared" si="11"/>
        <v>8.8999999999996362</v>
      </c>
      <c r="I45" s="19">
        <f t="shared" si="5"/>
        <v>7.6256736725755381E-4</v>
      </c>
      <c r="J45" s="124" t="s">
        <v>67</v>
      </c>
      <c r="K45" s="106" t="s">
        <v>68</v>
      </c>
      <c r="L45" s="105" t="s">
        <v>69</v>
      </c>
      <c r="M45" s="105" t="s">
        <v>70</v>
      </c>
      <c r="N45" s="105" t="s">
        <v>71</v>
      </c>
    </row>
    <row r="46" spans="1:14" ht="43.15">
      <c r="A46" s="53" t="str">
        <v>Pioneer USD - Pioneer MS</v>
      </c>
      <c r="B46" s="28" t="str">
        <v>CA</v>
      </c>
      <c r="C46" s="13">
        <v>29750</v>
      </c>
      <c r="D46" s="13" t="s">
        <v>22</v>
      </c>
      <c r="E46" s="13" t="str">
        <f t="shared" si="9"/>
        <v/>
      </c>
      <c r="F46" s="13" t="str">
        <f t="shared" si="10"/>
        <v/>
      </c>
      <c r="G46" s="15">
        <v>15852.46</v>
      </c>
      <c r="H46" s="15">
        <f t="shared" si="11"/>
        <v>13897.54</v>
      </c>
      <c r="I46" s="16">
        <f t="shared" si="5"/>
        <v>0.87668033857205774</v>
      </c>
      <c r="J46" s="81" t="s">
        <v>72</v>
      </c>
      <c r="K46" s="107" t="s">
        <v>73</v>
      </c>
      <c r="L46" s="105" t="s">
        <v>74</v>
      </c>
    </row>
    <row r="47" spans="1:14" ht="100.9">
      <c r="A47" s="52" t="str">
        <v>Kingsburg Joint UHSD - Kingsburg HS</v>
      </c>
      <c r="B47" s="30" t="str">
        <v>CA</v>
      </c>
      <c r="C47" s="18">
        <v>49408</v>
      </c>
      <c r="D47" s="18" t="s">
        <v>22</v>
      </c>
      <c r="E47" s="18" t="str">
        <f t="shared" si="9"/>
        <v/>
      </c>
      <c r="F47" s="18" t="str">
        <f t="shared" si="10"/>
        <v/>
      </c>
      <c r="G47" s="63">
        <v>35650.53</v>
      </c>
      <c r="H47" s="63">
        <f t="shared" si="11"/>
        <v>13757.470000000001</v>
      </c>
      <c r="I47" s="19">
        <f t="shared" si="5"/>
        <v>0.38589804976251407</v>
      </c>
      <c r="J47" s="124" t="s">
        <v>75</v>
      </c>
      <c r="K47" s="106" t="s">
        <v>76</v>
      </c>
      <c r="L47" s="105" t="s">
        <v>77</v>
      </c>
      <c r="M47" s="105" t="s">
        <v>78</v>
      </c>
    </row>
    <row r="48" spans="1:14" ht="108" customHeight="1">
      <c r="A48" s="53" t="str">
        <v>CADRB</v>
      </c>
      <c r="B48" s="28" t="str">
        <v>CA</v>
      </c>
      <c r="C48" s="13">
        <v>0</v>
      </c>
      <c r="D48" s="13" t="s">
        <v>22</v>
      </c>
      <c r="E48" s="13" t="str">
        <f t="shared" si="9"/>
        <v/>
      </c>
      <c r="F48" s="13" t="str">
        <f t="shared" si="10"/>
        <v/>
      </c>
      <c r="G48" s="15">
        <v>406484</v>
      </c>
      <c r="H48" s="15">
        <f t="shared" si="11"/>
        <v>-406484</v>
      </c>
      <c r="I48" s="16">
        <f t="shared" si="5"/>
        <v>-1</v>
      </c>
      <c r="J48" s="81" t="s">
        <v>79</v>
      </c>
      <c r="K48" s="107" t="s">
        <v>80</v>
      </c>
      <c r="L48" s="105" t="s">
        <v>81</v>
      </c>
      <c r="M48" s="105" t="s">
        <v>82</v>
      </c>
    </row>
    <row r="49" spans="1:14" ht="15.6">
      <c r="A49" s="52" t="str">
        <v>CDCR-CA State Prison LA County</v>
      </c>
      <c r="B49" s="30" t="str">
        <v>CA</v>
      </c>
      <c r="C49" s="18">
        <v>150767</v>
      </c>
      <c r="D49" s="18" t="s">
        <v>22</v>
      </c>
      <c r="E49" s="18" t="str">
        <f t="shared" si="9"/>
        <v/>
      </c>
      <c r="F49" s="18" t="str">
        <f t="shared" si="10"/>
        <v/>
      </c>
      <c r="G49" s="63">
        <v>268670.39</v>
      </c>
      <c r="H49" s="63">
        <f t="shared" si="11"/>
        <v>-117903.39000000001</v>
      </c>
      <c r="I49" s="19">
        <f t="shared" si="5"/>
        <v>-0.43884028306952622</v>
      </c>
      <c r="J49" s="42" t="s">
        <v>29</v>
      </c>
      <c r="K49" s="42"/>
    </row>
    <row r="50" spans="1:14" ht="15.6">
      <c r="A50" s="53" t="str">
        <v>Central USD Akers ES</v>
      </c>
      <c r="B50" s="28" t="str">
        <v>CA</v>
      </c>
      <c r="C50" s="13">
        <v>78098</v>
      </c>
      <c r="D50" s="13" t="s">
        <v>22</v>
      </c>
      <c r="E50" s="13" t="str">
        <f t="shared" si="9"/>
        <v/>
      </c>
      <c r="F50" s="13" t="str">
        <f t="shared" si="10"/>
        <v/>
      </c>
      <c r="G50" s="15">
        <v>13113.65</v>
      </c>
      <c r="H50" s="15">
        <f t="shared" si="11"/>
        <v>64984.35</v>
      </c>
      <c r="I50" s="16">
        <f t="shared" si="5"/>
        <v>4.9554738764569741</v>
      </c>
      <c r="J50" s="41" t="s">
        <v>83</v>
      </c>
      <c r="K50" s="104" t="s">
        <v>84</v>
      </c>
    </row>
    <row r="51" spans="1:14" ht="28.9">
      <c r="A51" s="52" t="str">
        <v>CUSD - District Office</v>
      </c>
      <c r="B51" s="30" t="str">
        <v>CA</v>
      </c>
      <c r="C51" s="18">
        <v>14514</v>
      </c>
      <c r="D51" s="18" t="s">
        <v>22</v>
      </c>
      <c r="E51" s="18" t="str">
        <f t="shared" si="9"/>
        <v/>
      </c>
      <c r="F51" s="18" t="str">
        <f t="shared" si="10"/>
        <v/>
      </c>
      <c r="G51" s="63">
        <v>10069.4</v>
      </c>
      <c r="H51" s="63">
        <f t="shared" si="11"/>
        <v>4444.6000000000004</v>
      </c>
      <c r="I51" s="19">
        <f t="shared" si="5"/>
        <v>0.44139670685443033</v>
      </c>
      <c r="J51" s="55" t="s">
        <v>85</v>
      </c>
      <c r="K51" s="106" t="s">
        <v>86</v>
      </c>
    </row>
    <row r="52" spans="1:14" ht="15.6">
      <c r="A52" s="53" t="str">
        <v>Parlier - WTP</v>
      </c>
      <c r="B52" s="28" t="str">
        <v>CA</v>
      </c>
      <c r="C52" s="13">
        <v>23899</v>
      </c>
      <c r="D52" s="13" t="s">
        <v>22</v>
      </c>
      <c r="E52" s="13" t="str">
        <f t="shared" si="9"/>
        <v/>
      </c>
      <c r="F52" s="13" t="str">
        <f t="shared" si="10"/>
        <v/>
      </c>
      <c r="G52" s="15">
        <v>24216.44</v>
      </c>
      <c r="H52" s="15">
        <f t="shared" si="11"/>
        <v>-317.43999999999869</v>
      </c>
      <c r="I52" s="16">
        <f t="shared" si="5"/>
        <v>-1.3108450292445905E-2</v>
      </c>
      <c r="J52" s="41"/>
      <c r="K52" s="41"/>
    </row>
    <row r="53" spans="1:14" ht="41.25" customHeight="1">
      <c r="A53" s="52" t="str">
        <v>Snowline SD - Quail Valley MS</v>
      </c>
      <c r="B53" s="30" t="str">
        <v>CA</v>
      </c>
      <c r="C53" s="18">
        <v>16364</v>
      </c>
      <c r="D53" s="18" t="s">
        <v>22</v>
      </c>
      <c r="E53" s="18" t="str">
        <f t="shared" si="9"/>
        <v/>
      </c>
      <c r="F53" s="18" t="str">
        <f t="shared" si="10"/>
        <v/>
      </c>
      <c r="G53" s="63">
        <v>23575.7</v>
      </c>
      <c r="H53" s="63">
        <f t="shared" si="11"/>
        <v>-7211.7000000000007</v>
      </c>
      <c r="I53" s="19">
        <f t="shared" si="5"/>
        <v>-0.30589547712263054</v>
      </c>
      <c r="J53" s="42" t="s">
        <v>87</v>
      </c>
      <c r="K53" s="109" t="s">
        <v>88</v>
      </c>
      <c r="L53" s="105" t="s">
        <v>89</v>
      </c>
      <c r="M53" s="105" t="s">
        <v>90</v>
      </c>
    </row>
    <row r="54" spans="1:14" ht="15.6">
      <c r="A54" s="53" t="str">
        <v>Snowline SD - Serrano HS - Middle Lot</v>
      </c>
      <c r="B54" s="28" t="str">
        <v>CA</v>
      </c>
      <c r="C54" s="13">
        <v>16158</v>
      </c>
      <c r="D54" s="13" t="s">
        <v>22</v>
      </c>
      <c r="E54" s="13" t="str">
        <f t="shared" si="9"/>
        <v/>
      </c>
      <c r="F54" s="13" t="str">
        <f t="shared" si="10"/>
        <v/>
      </c>
      <c r="G54" s="15">
        <v>26660.720000000001</v>
      </c>
      <c r="H54" s="15">
        <f t="shared" si="11"/>
        <v>-10502.720000000001</v>
      </c>
      <c r="I54" s="16">
        <f t="shared" si="5"/>
        <v>-0.39393984858623476</v>
      </c>
      <c r="J54" s="41" t="s">
        <v>29</v>
      </c>
      <c r="K54" s="41"/>
    </row>
    <row r="55" spans="1:14" ht="15.6">
      <c r="A55" s="52" t="str">
        <v>Snowline SD - Pinon Hills ES</v>
      </c>
      <c r="B55" s="30" t="str">
        <v>CA</v>
      </c>
      <c r="C55" s="18">
        <v>8792</v>
      </c>
      <c r="D55" s="18" t="s">
        <v>22</v>
      </c>
      <c r="E55" s="18" t="str">
        <f t="shared" si="9"/>
        <v/>
      </c>
      <c r="F55" s="18" t="str">
        <f t="shared" si="10"/>
        <v/>
      </c>
      <c r="G55" s="63">
        <v>15043.89</v>
      </c>
      <c r="H55" s="63">
        <f t="shared" si="11"/>
        <v>-6251.8899999999994</v>
      </c>
      <c r="I55" s="19">
        <f t="shared" si="5"/>
        <v>-0.41557668927385133</v>
      </c>
      <c r="J55" s="124" t="s">
        <v>91</v>
      </c>
      <c r="K55" s="106" t="s">
        <v>92</v>
      </c>
    </row>
    <row r="56" spans="1:14" ht="15.6">
      <c r="A56" s="53" t="str">
        <v>Ramona - Santa Maria WTP</v>
      </c>
      <c r="B56" s="28" t="str">
        <v>CA</v>
      </c>
      <c r="C56" s="13">
        <v>53256</v>
      </c>
      <c r="D56" s="13" t="s">
        <v>22</v>
      </c>
      <c r="E56" s="13" t="str">
        <f t="shared" si="9"/>
        <v/>
      </c>
      <c r="F56" s="13" t="str">
        <f t="shared" si="10"/>
        <v/>
      </c>
      <c r="G56" s="15">
        <v>57557.78</v>
      </c>
      <c r="H56" s="15">
        <f t="shared" si="11"/>
        <v>-4301.7799999999988</v>
      </c>
      <c r="I56" s="16">
        <f t="shared" si="5"/>
        <v>-7.4738462810761616E-2</v>
      </c>
      <c r="J56" s="41"/>
      <c r="K56" s="41"/>
    </row>
    <row r="57" spans="1:14" ht="28.9">
      <c r="A57" s="52" t="str">
        <v>Kohls - Redding</v>
      </c>
      <c r="B57" s="30" t="str">
        <v>CA</v>
      </c>
      <c r="C57" s="18">
        <v>18846</v>
      </c>
      <c r="D57" s="18" t="s">
        <v>22</v>
      </c>
      <c r="E57" s="18" t="str">
        <f t="shared" si="9"/>
        <v/>
      </c>
      <c r="F57" s="18" t="str">
        <f t="shared" si="10"/>
        <v/>
      </c>
      <c r="G57" s="63">
        <v>12772.68</v>
      </c>
      <c r="H57" s="63">
        <f t="shared" si="11"/>
        <v>6073.32</v>
      </c>
      <c r="I57" s="19">
        <f t="shared" si="5"/>
        <v>0.47549300538336509</v>
      </c>
      <c r="J57" s="42" t="s">
        <v>93</v>
      </c>
      <c r="K57" s="106" t="s">
        <v>94</v>
      </c>
      <c r="L57" s="105" t="s">
        <v>95</v>
      </c>
    </row>
    <row r="58" spans="1:14" ht="43.15">
      <c r="A58" s="53" t="str">
        <v>Kohls - Salinas</v>
      </c>
      <c r="B58" s="28" t="str">
        <v>CA</v>
      </c>
      <c r="C58" s="13">
        <v>23064</v>
      </c>
      <c r="D58" s="13" t="s">
        <v>22</v>
      </c>
      <c r="E58" s="13" t="str">
        <f t="shared" si="9"/>
        <v/>
      </c>
      <c r="F58" s="13" t="str">
        <f t="shared" si="10"/>
        <v/>
      </c>
      <c r="G58" s="15">
        <v>24339.35</v>
      </c>
      <c r="H58" s="15">
        <f t="shared" si="11"/>
        <v>-1275.3499999999985</v>
      </c>
      <c r="I58" s="16">
        <f t="shared" si="5"/>
        <v>-5.2398687721734498E-2</v>
      </c>
      <c r="J58" s="41" t="s">
        <v>96</v>
      </c>
      <c r="K58" s="104" t="s">
        <v>97</v>
      </c>
      <c r="L58" s="105" t="s">
        <v>98</v>
      </c>
      <c r="M58" s="105" t="s">
        <v>99</v>
      </c>
      <c r="N58" s="105" t="s">
        <v>100</v>
      </c>
    </row>
    <row r="59" spans="1:14" ht="15.6">
      <c r="A59" s="52" t="str">
        <v>Kohls - San Bernardino - Central</v>
      </c>
      <c r="B59" s="30" t="str">
        <v>CA</v>
      </c>
      <c r="C59" s="18">
        <v>95820</v>
      </c>
      <c r="D59" s="18" t="s">
        <v>22</v>
      </c>
      <c r="E59" s="18" t="str">
        <f t="shared" si="9"/>
        <v/>
      </c>
      <c r="F59" s="18" t="str">
        <f t="shared" si="10"/>
        <v/>
      </c>
      <c r="G59" s="63">
        <v>110379.13</v>
      </c>
      <c r="H59" s="63">
        <f t="shared" si="11"/>
        <v>-14559.130000000005</v>
      </c>
      <c r="I59" s="19">
        <f t="shared" si="5"/>
        <v>-0.13190111210334785</v>
      </c>
      <c r="J59" s="42"/>
      <c r="K59" s="42"/>
    </row>
    <row r="60" spans="1:14" ht="96" customHeight="1">
      <c r="A60" s="53" t="str">
        <v>Kohls - Sonora</v>
      </c>
      <c r="B60" s="28" t="str">
        <v>CA</v>
      </c>
      <c r="C60" s="13">
        <v>18576</v>
      </c>
      <c r="D60" s="13" t="s">
        <v>22</v>
      </c>
      <c r="E60" s="13" t="str">
        <f t="shared" si="9"/>
        <v/>
      </c>
      <c r="F60" s="13" t="str">
        <f t="shared" si="10"/>
        <v/>
      </c>
      <c r="G60" s="15">
        <v>14667.03</v>
      </c>
      <c r="H60" s="15">
        <f t="shared" si="11"/>
        <v>3908.9699999999993</v>
      </c>
      <c r="I60" s="16">
        <f t="shared" si="5"/>
        <v>0.26651407953757505</v>
      </c>
      <c r="J60" s="41" t="s">
        <v>101</v>
      </c>
      <c r="K60" s="104" t="s">
        <v>102</v>
      </c>
      <c r="L60" s="105" t="s">
        <v>103</v>
      </c>
      <c r="M60" s="105" t="s">
        <v>103</v>
      </c>
    </row>
    <row r="61" spans="1:14" ht="15.6">
      <c r="A61" s="52" t="str">
        <v>CUSD - Stratford ES</v>
      </c>
      <c r="B61" s="30" t="str">
        <v>CA</v>
      </c>
      <c r="C61" s="18">
        <v>18529</v>
      </c>
      <c r="D61" s="18" t="s">
        <v>22</v>
      </c>
      <c r="E61" s="18" t="str">
        <f t="shared" si="9"/>
        <v/>
      </c>
      <c r="F61" s="18" t="str">
        <f t="shared" si="10"/>
        <v/>
      </c>
      <c r="G61" s="63">
        <v>8792.68</v>
      </c>
      <c r="H61" s="63">
        <f t="shared" si="11"/>
        <v>9736.32</v>
      </c>
      <c r="I61" s="19">
        <f t="shared" si="5"/>
        <v>1.1073210898156194</v>
      </c>
      <c r="J61" s="42"/>
      <c r="K61" s="42"/>
    </row>
    <row r="62" spans="1:14" ht="15.6">
      <c r="A62" s="53" t="str">
        <v>Taft - City Hall</v>
      </c>
      <c r="B62" s="28" t="str">
        <v>CA</v>
      </c>
      <c r="C62" s="13">
        <v>1973</v>
      </c>
      <c r="D62" s="13" t="s">
        <v>22</v>
      </c>
      <c r="E62" s="13" t="str">
        <f t="shared" si="9"/>
        <v/>
      </c>
      <c r="F62" s="13" t="str">
        <f t="shared" si="10"/>
        <v/>
      </c>
      <c r="G62" s="15">
        <v>4140.82</v>
      </c>
      <c r="H62" s="15">
        <f t="shared" si="11"/>
        <v>-2167.8199999999997</v>
      </c>
      <c r="I62" s="16">
        <f t="shared" si="5"/>
        <v>-0.52352432609966137</v>
      </c>
      <c r="J62" s="41" t="s">
        <v>29</v>
      </c>
      <c r="K62" s="41"/>
    </row>
    <row r="63" spans="1:14" ht="15.6">
      <c r="A63" s="52" t="str">
        <v>Taft - Federal Prison</v>
      </c>
      <c r="B63" s="30" t="str">
        <v>CA</v>
      </c>
      <c r="C63" s="18">
        <v>12852</v>
      </c>
      <c r="D63" s="18" t="s">
        <v>22</v>
      </c>
      <c r="E63" s="18" t="str">
        <f t="shared" si="9"/>
        <v/>
      </c>
      <c r="F63" s="18" t="str">
        <f t="shared" si="10"/>
        <v/>
      </c>
      <c r="G63" s="63">
        <v>7409.35</v>
      </c>
      <c r="H63" s="63">
        <f t="shared" si="11"/>
        <v>5442.65</v>
      </c>
      <c r="I63" s="19">
        <f t="shared" si="5"/>
        <v>0.73456511029982374</v>
      </c>
      <c r="J63" s="42"/>
      <c r="K63" s="42"/>
    </row>
    <row r="64" spans="1:14" ht="15.6">
      <c r="A64" s="53" t="str">
        <v>Taft - Police Department</v>
      </c>
      <c r="B64" s="28" t="str">
        <v>CA</v>
      </c>
      <c r="C64" s="13">
        <v>7664</v>
      </c>
      <c r="D64" s="13" t="s">
        <v>22</v>
      </c>
      <c r="E64" s="13" t="str">
        <f t="shared" si="9"/>
        <v/>
      </c>
      <c r="F64" s="13" t="str">
        <f t="shared" si="10"/>
        <v/>
      </c>
      <c r="G64" s="15">
        <v>4765.84</v>
      </c>
      <c r="H64" s="15">
        <f t="shared" si="11"/>
        <v>2898.16</v>
      </c>
      <c r="I64" s="16">
        <f t="shared" si="5"/>
        <v>0.60811105702247659</v>
      </c>
      <c r="J64" s="41"/>
      <c r="K64" s="110"/>
    </row>
    <row r="65" spans="1:13" ht="28.9" customHeight="1">
      <c r="A65" s="52" t="str">
        <v>Taft - WTP</v>
      </c>
      <c r="B65" s="30" t="str">
        <v>CA</v>
      </c>
      <c r="C65" s="18">
        <v>0</v>
      </c>
      <c r="D65" s="18" t="s">
        <v>22</v>
      </c>
      <c r="E65" s="18" t="str">
        <f t="shared" si="9"/>
        <v/>
      </c>
      <c r="F65" s="18" t="str">
        <f t="shared" si="10"/>
        <v/>
      </c>
      <c r="G65" s="63">
        <v>4140.82</v>
      </c>
      <c r="H65" s="63">
        <f t="shared" si="11"/>
        <v>-4140.82</v>
      </c>
      <c r="I65" s="19">
        <f t="shared" si="5"/>
        <v>-1</v>
      </c>
      <c r="J65" s="42" t="s">
        <v>104</v>
      </c>
      <c r="K65" s="111" t="s">
        <v>105</v>
      </c>
      <c r="L65" s="105" t="s">
        <v>106</v>
      </c>
    </row>
    <row r="66" spans="1:13" ht="57.6">
      <c r="A66" s="53" t="str">
        <v>CDCR - CA Correctional Institution</v>
      </c>
      <c r="B66" s="28" t="str">
        <v>CA</v>
      </c>
      <c r="C66" s="13">
        <v>128121</v>
      </c>
      <c r="D66" s="13" t="s">
        <v>22</v>
      </c>
      <c r="E66" s="13" t="str">
        <f t="shared" si="9"/>
        <v/>
      </c>
      <c r="F66" s="13" t="str">
        <f t="shared" si="10"/>
        <v/>
      </c>
      <c r="G66" s="15">
        <v>106071.03</v>
      </c>
      <c r="H66" s="15">
        <f t="shared" si="11"/>
        <v>22049.97</v>
      </c>
      <c r="I66" s="16">
        <f t="shared" si="5"/>
        <v>0.20787928617267129</v>
      </c>
      <c r="J66" s="41" t="s">
        <v>107</v>
      </c>
      <c r="K66" s="104" t="s">
        <v>108</v>
      </c>
      <c r="L66" s="105" t="s">
        <v>109</v>
      </c>
      <c r="M66" s="105" t="s">
        <v>110</v>
      </c>
    </row>
    <row r="67" spans="1:13" ht="45" customHeight="1">
      <c r="A67" s="52" t="str">
        <v>CDCR - CA Correctional Institution II</v>
      </c>
      <c r="B67" s="30" t="str">
        <v>CA</v>
      </c>
      <c r="C67" s="18">
        <v>110462</v>
      </c>
      <c r="D67" s="18" t="s">
        <v>22</v>
      </c>
      <c r="E67" s="18" t="str">
        <f t="shared" si="9"/>
        <v/>
      </c>
      <c r="F67" s="18" t="str">
        <f t="shared" si="10"/>
        <v/>
      </c>
      <c r="G67" s="63">
        <v>166152.23000000001</v>
      </c>
      <c r="H67" s="63">
        <f t="shared" si="11"/>
        <v>-55690.23000000001</v>
      </c>
      <c r="I67" s="19">
        <f t="shared" si="5"/>
        <v>-0.33517594076227569</v>
      </c>
      <c r="J67" s="55" t="s">
        <v>111</v>
      </c>
      <c r="K67" s="106" t="s">
        <v>112</v>
      </c>
      <c r="L67" s="105" t="s">
        <v>113</v>
      </c>
      <c r="M67" s="105" t="s">
        <v>114</v>
      </c>
    </row>
    <row r="68" spans="1:13" ht="15.6">
      <c r="A68" s="53" t="str">
        <v>Snowline SD - Vista Verde ES</v>
      </c>
      <c r="B68" s="28" t="str">
        <v>CA</v>
      </c>
      <c r="C68" s="13">
        <v>16688</v>
      </c>
      <c r="D68" s="13" t="s">
        <v>22</v>
      </c>
      <c r="E68" s="13" t="str">
        <f t="shared" si="9"/>
        <v/>
      </c>
      <c r="F68" s="13" t="str">
        <f t="shared" si="10"/>
        <v/>
      </c>
      <c r="G68" s="15">
        <v>17008.64</v>
      </c>
      <c r="H68" s="15">
        <f t="shared" si="11"/>
        <v>-320.63999999999942</v>
      </c>
      <c r="I68" s="16">
        <f t="shared" si="5"/>
        <v>-1.8851595424443073E-2</v>
      </c>
      <c r="J68" s="41"/>
      <c r="K68" s="41"/>
    </row>
    <row r="69" spans="1:13" ht="28.9">
      <c r="A69" s="52" t="str">
        <v>North Stonington</v>
      </c>
      <c r="B69" s="30" t="str">
        <v>CT</v>
      </c>
      <c r="C69" s="18">
        <v>730070</v>
      </c>
      <c r="D69" s="18" t="s">
        <v>22</v>
      </c>
      <c r="E69" s="18" t="str">
        <f t="shared" si="9"/>
        <v/>
      </c>
      <c r="F69" s="18"/>
      <c r="G69" s="63">
        <v>0</v>
      </c>
      <c r="H69" s="63">
        <f t="shared" si="11"/>
        <v>730070</v>
      </c>
      <c r="I69" s="19" t="str">
        <f t="shared" si="5"/>
        <v/>
      </c>
      <c r="J69" s="55" t="s">
        <v>115</v>
      </c>
      <c r="K69" s="106" t="s">
        <v>116</v>
      </c>
      <c r="L69" s="105"/>
      <c r="M69" s="105"/>
    </row>
    <row r="70" spans="1:13" ht="14.45">
      <c r="A70" s="21"/>
      <c r="B70" s="33"/>
      <c r="C70" s="21"/>
      <c r="D70" s="21"/>
      <c r="E70" s="21"/>
      <c r="F70" s="22"/>
      <c r="G70" s="21"/>
      <c r="H70" s="21"/>
      <c r="I70" s="22"/>
      <c r="J70" s="21"/>
      <c r="K70" s="21"/>
    </row>
    <row r="71" spans="1:13" ht="14.45">
      <c r="A71" s="21"/>
      <c r="B71" s="33"/>
      <c r="C71" s="21"/>
      <c r="D71" s="21"/>
      <c r="E71" s="21"/>
      <c r="F71" s="22"/>
      <c r="G71" s="21"/>
      <c r="H71" s="21"/>
      <c r="I71" s="22"/>
      <c r="J71" s="21"/>
      <c r="K71" s="21"/>
    </row>
    <row r="72" spans="1:13" ht="14.45">
      <c r="A72" s="21"/>
      <c r="B72" s="33"/>
      <c r="C72" s="21"/>
      <c r="D72" s="21"/>
      <c r="E72" s="21"/>
      <c r="F72" s="22"/>
      <c r="G72" s="21"/>
      <c r="H72" s="21"/>
      <c r="I72" s="22"/>
      <c r="J72" s="21"/>
      <c r="K72" s="21"/>
    </row>
    <row r="73" spans="1:13" ht="14.45">
      <c r="A73" s="21"/>
      <c r="B73" s="33"/>
      <c r="C73" s="21"/>
      <c r="D73" s="21"/>
      <c r="E73" s="21"/>
      <c r="F73" s="22"/>
      <c r="G73" s="21"/>
      <c r="H73" s="21"/>
      <c r="I73" s="22"/>
      <c r="J73" s="21"/>
      <c r="K73" s="21"/>
    </row>
    <row r="74" spans="1:13" ht="14.45">
      <c r="A74" s="21"/>
      <c r="B74" s="33"/>
      <c r="C74" s="21"/>
      <c r="D74" s="21"/>
      <c r="E74" s="21"/>
      <c r="F74" s="22"/>
      <c r="G74" s="21"/>
      <c r="H74" s="21"/>
      <c r="I74" s="22"/>
      <c r="J74" s="21"/>
      <c r="K74" s="21"/>
    </row>
    <row r="75" spans="1:13" ht="14.45">
      <c r="A75" s="21"/>
      <c r="B75" s="33"/>
      <c r="C75" s="21"/>
      <c r="D75" s="21"/>
      <c r="E75" s="21"/>
      <c r="F75" s="22"/>
      <c r="G75" s="21"/>
      <c r="H75" s="21"/>
      <c r="I75" s="22"/>
      <c r="J75" s="21"/>
      <c r="K75" s="21"/>
    </row>
    <row r="76" spans="1:13" ht="14.45">
      <c r="A76" s="21"/>
      <c r="B76" s="33"/>
      <c r="C76" s="21"/>
      <c r="D76" s="21"/>
      <c r="E76" s="21"/>
      <c r="F76" s="22"/>
      <c r="G76" s="21"/>
      <c r="H76" s="21"/>
      <c r="I76" s="22"/>
      <c r="J76" s="21"/>
      <c r="K76" s="21"/>
    </row>
    <row r="77" spans="1:13" ht="14.45">
      <c r="A77" s="21"/>
      <c r="B77" s="33"/>
      <c r="C77" s="21"/>
      <c r="D77" s="21"/>
      <c r="E77" s="21"/>
      <c r="F77" s="22"/>
      <c r="G77" s="21"/>
      <c r="H77" s="21"/>
      <c r="I77" s="22"/>
      <c r="J77" s="21"/>
      <c r="K77" s="21"/>
    </row>
    <row r="78" spans="1:13" ht="14.45">
      <c r="A78" s="21"/>
      <c r="B78" s="33"/>
      <c r="C78" s="21"/>
      <c r="D78" s="21"/>
      <c r="E78" s="21"/>
      <c r="F78" s="22"/>
      <c r="G78" s="18"/>
      <c r="H78" s="21"/>
      <c r="I78" s="22"/>
      <c r="J78" s="21"/>
      <c r="K78" s="21"/>
    </row>
    <row r="79" spans="1:13" ht="14.45">
      <c r="A79" s="21"/>
      <c r="B79" s="33"/>
      <c r="C79" s="21"/>
      <c r="D79" s="21"/>
      <c r="E79" s="21"/>
      <c r="F79" s="22"/>
      <c r="G79" s="21"/>
      <c r="H79" s="21"/>
      <c r="I79" s="22"/>
      <c r="J79" s="21"/>
      <c r="K79" s="21"/>
    </row>
    <row r="80" spans="1:13"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sheetData>
  <mergeCells count="4">
    <mergeCell ref="D1:F1"/>
    <mergeCell ref="A1:C1"/>
    <mergeCell ref="G1:I1"/>
    <mergeCell ref="A2:B2"/>
  </mergeCells>
  <phoneticPr fontId="40" type="noConversion"/>
  <conditionalFormatting sqref="F2 I2 I4:I99">
    <cfRule type="cellIs" dxfId="50" priority="4" stopIfTrue="1" operator="lessThanOrEqual">
      <formula>-0.1</formula>
    </cfRule>
    <cfRule type="expression" dxfId="49" priority="5">
      <formula>AND(ISNUMBER(F2), F2&gt;=0.1)</formula>
    </cfRule>
  </conditionalFormatting>
  <conditionalFormatting sqref="F70:F99">
    <cfRule type="cellIs" dxfId="48" priority="1" stopIfTrue="1" operator="lessThanOrEqual">
      <formula>-0.1</formula>
    </cfRule>
    <cfRule type="expression" dxfId="47" priority="2">
      <formula>AND(ISNUMBER(F70), F70&gt;=0.1)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67" activePane="bottomRight" state="frozen"/>
      <selection pane="bottomRight" activeCell="D4" sqref="D4:D69"/>
      <selection pane="bottomLeft" activeCell="J66" sqref="J66"/>
      <selection pane="topRight" activeCell="J66" sqref="J66"/>
    </sheetView>
  </sheetViews>
  <sheetFormatPr defaultRowHeight="13.9"/>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101" customWidth="1"/>
    <col min="9" max="9" width="13.28515625" style="1" customWidth="1"/>
    <col min="10" max="10" width="71.5703125" customWidth="1"/>
    <col min="11" max="11" width="20.5703125" bestFit="1" customWidth="1"/>
  </cols>
  <sheetData>
    <row r="1" spans="1:12" ht="19.5" customHeight="1">
      <c r="A1" s="121" t="str" cm="1">
        <f t="array" ref="A1">portfolio</f>
        <v>Silicon Ranch</v>
      </c>
      <c r="B1" s="121"/>
      <c r="C1" s="121"/>
      <c r="D1" s="122" t="s">
        <v>117</v>
      </c>
      <c r="E1" s="122"/>
      <c r="F1" s="122"/>
      <c r="G1" s="120" t="s">
        <v>118</v>
      </c>
      <c r="H1" s="120"/>
      <c r="I1" s="120"/>
      <c r="J1" s="4"/>
      <c r="K1" s="4"/>
    </row>
    <row r="2" spans="1:12" ht="19.5" customHeight="1">
      <c r="A2" s="123" t="s">
        <v>2</v>
      </c>
      <c r="B2" s="123"/>
      <c r="C2" s="5">
        <f>SUM(C4:C100)</f>
        <v>2644477</v>
      </c>
      <c r="D2" s="5">
        <f>SUM(D4:D100)</f>
        <v>0</v>
      </c>
      <c r="E2" s="5">
        <f>C2-D2</f>
        <v>2644477</v>
      </c>
      <c r="F2" s="6">
        <f>IFERROR(E2/D2, 0)</f>
        <v>0</v>
      </c>
      <c r="G2" s="5">
        <f>SUM(G4:G100)</f>
        <v>2618498.2599999998</v>
      </c>
      <c r="H2" s="98">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9" t="s">
        <v>7</v>
      </c>
      <c r="I3" s="39" t="s">
        <v>8</v>
      </c>
      <c r="J3" s="25" t="s">
        <v>20</v>
      </c>
      <c r="K3" s="25" t="s">
        <v>21</v>
      </c>
    </row>
    <row r="4" spans="1:12" ht="15.6">
      <c r="A4" s="51" t="str" cm="1">
        <f t="array" ref="A4:A69">Sites[Site]</f>
        <v>Iron Mountain - Windsor</v>
      </c>
      <c r="B4" s="29" t="str" cm="1">
        <f t="array" ref="B4:B69">Sites[State]</f>
        <v>CT</v>
      </c>
      <c r="C4" s="24">
        <v>8815</v>
      </c>
      <c r="D4" s="13" t="s">
        <v>22</v>
      </c>
      <c r="E4" s="13" t="str">
        <f>IF(AND(ISNUMBER(C4),ISNUMBER(D4)), C4-D4, "")</f>
        <v/>
      </c>
      <c r="F4" s="13" t="str">
        <f>IFERROR(E4/D4, "")</f>
        <v/>
      </c>
      <c r="G4" s="96">
        <v>16828.12</v>
      </c>
      <c r="H4" s="96">
        <f>IF(AND(ISNUMBER(C4),ISNUMBER(G4)), C4-G4, "")</f>
        <v>-8013.119999999999</v>
      </c>
      <c r="I4" s="16">
        <f>IFERROR(H4/G4, "")</f>
        <v>-0.47617440332015692</v>
      </c>
      <c r="J4" s="41" t="s">
        <v>119</v>
      </c>
      <c r="K4" s="41"/>
    </row>
    <row r="5" spans="1:12" ht="15.6">
      <c r="A5" s="52" t="str">
        <v>Kohls - Auburn</v>
      </c>
      <c r="B5" s="31" t="str">
        <v>NY</v>
      </c>
      <c r="C5" s="11">
        <v>5678</v>
      </c>
      <c r="D5" s="18" t="s">
        <v>22</v>
      </c>
      <c r="E5" s="18" t="str">
        <f t="shared" ref="E5:E15" si="0">IF(AND(ISNUMBER(C5),ISNUMBER(D5)), C5-D5, "")</f>
        <v/>
      </c>
      <c r="F5" s="18" t="str">
        <f t="shared" ref="F5:F25" si="1">IFERROR(E5/D5, "")</f>
        <v/>
      </c>
      <c r="G5" s="97">
        <v>10737.42</v>
      </c>
      <c r="H5" s="97">
        <f t="shared" ref="H5:H15" si="2">IF(AND(ISNUMBER(C5),ISNUMBER(G5)), C5-G5, "")</f>
        <v>-5059.42</v>
      </c>
      <c r="I5" s="19">
        <f t="shared" ref="I5:I68" si="3">IFERROR(H5/G5, "")</f>
        <v>-0.47119512881120418</v>
      </c>
      <c r="J5" s="113" t="s">
        <v>119</v>
      </c>
      <c r="K5" s="42"/>
    </row>
    <row r="6" spans="1:12" ht="15.6">
      <c r="A6" s="53" t="str">
        <v>Kohls - Bensalem</v>
      </c>
      <c r="B6" s="29" t="str">
        <v>PA</v>
      </c>
      <c r="C6" s="24">
        <v>21559</v>
      </c>
      <c r="D6" s="13" t="s">
        <v>22</v>
      </c>
      <c r="E6" s="13" t="str">
        <f t="shared" si="0"/>
        <v/>
      </c>
      <c r="F6" s="13" t="str">
        <f t="shared" si="1"/>
        <v/>
      </c>
      <c r="G6" s="96">
        <v>19869.12</v>
      </c>
      <c r="H6" s="96">
        <f t="shared" si="2"/>
        <v>1689.880000000001</v>
      </c>
      <c r="I6" s="16">
        <f t="shared" si="3"/>
        <v>8.505057093620659E-2</v>
      </c>
      <c r="J6" s="41"/>
      <c r="K6" s="41"/>
    </row>
    <row r="7" spans="1:12" ht="28.9">
      <c r="A7" s="52" t="str">
        <v>Kohls - Brick</v>
      </c>
      <c r="B7" s="31" t="str">
        <v>NJ</v>
      </c>
      <c r="C7" s="11">
        <v>26427</v>
      </c>
      <c r="D7" s="18" t="s">
        <v>22</v>
      </c>
      <c r="E7" s="18" t="str">
        <f t="shared" si="0"/>
        <v/>
      </c>
      <c r="F7" s="18" t="str">
        <f t="shared" si="1"/>
        <v/>
      </c>
      <c r="G7" s="97">
        <v>22576.31</v>
      </c>
      <c r="H7" s="97">
        <f t="shared" si="2"/>
        <v>3850.6899999999987</v>
      </c>
      <c r="I7" s="19">
        <f t="shared" si="3"/>
        <v>0.17056330286038765</v>
      </c>
      <c r="J7" s="55" t="s">
        <v>120</v>
      </c>
      <c r="K7" s="106" t="s">
        <v>121</v>
      </c>
    </row>
    <row r="8" spans="1:12" ht="28.9">
      <c r="A8" s="53" t="str">
        <v>Kohls - Buffalo</v>
      </c>
      <c r="B8" s="29" t="str">
        <v>NY</v>
      </c>
      <c r="C8" s="24">
        <v>0</v>
      </c>
      <c r="D8" s="13" t="s">
        <v>22</v>
      </c>
      <c r="E8" s="13" t="str">
        <f t="shared" si="0"/>
        <v/>
      </c>
      <c r="F8" s="13" t="str">
        <f t="shared" si="1"/>
        <v/>
      </c>
      <c r="G8" s="96">
        <v>15384.12</v>
      </c>
      <c r="H8" s="96">
        <f t="shared" si="2"/>
        <v>-15384.12</v>
      </c>
      <c r="I8" s="16">
        <f t="shared" si="3"/>
        <v>-1</v>
      </c>
      <c r="J8" s="57" t="s">
        <v>122</v>
      </c>
      <c r="K8" s="107" t="s">
        <v>123</v>
      </c>
      <c r="L8" s="105" t="s">
        <v>27</v>
      </c>
    </row>
    <row r="9" spans="1:12" ht="15.6">
      <c r="A9" s="52" t="str">
        <v>Kohls - Canton</v>
      </c>
      <c r="B9" s="31" t="str">
        <v>CT</v>
      </c>
      <c r="C9" s="11">
        <v>3054</v>
      </c>
      <c r="D9" s="18" t="s">
        <v>22</v>
      </c>
      <c r="E9" s="18" t="str">
        <f t="shared" si="0"/>
        <v/>
      </c>
      <c r="F9" s="18" t="str">
        <f t="shared" si="1"/>
        <v/>
      </c>
      <c r="G9" s="97">
        <v>6988.56</v>
      </c>
      <c r="H9" s="97">
        <f t="shared" si="2"/>
        <v>-3934.5600000000004</v>
      </c>
      <c r="I9" s="19">
        <f t="shared" si="3"/>
        <v>-0.56300010302551606</v>
      </c>
      <c r="J9" s="113" t="s">
        <v>119</v>
      </c>
      <c r="K9" s="58"/>
    </row>
    <row r="10" spans="1:12" ht="15.6">
      <c r="A10" s="53" t="str">
        <v>Kohls - East Amherst</v>
      </c>
      <c r="B10" s="29" t="str">
        <v>NY</v>
      </c>
      <c r="C10" s="24">
        <v>2866</v>
      </c>
      <c r="D10" s="13" t="s">
        <v>22</v>
      </c>
      <c r="E10" s="13" t="str">
        <f t="shared" si="0"/>
        <v/>
      </c>
      <c r="F10" s="13" t="str">
        <f t="shared" si="1"/>
        <v/>
      </c>
      <c r="G10" s="96">
        <v>14254.84</v>
      </c>
      <c r="H10" s="96">
        <f t="shared" si="2"/>
        <v>-11388.84</v>
      </c>
      <c r="I10" s="16">
        <f t="shared" si="3"/>
        <v>-0.79894548097347984</v>
      </c>
      <c r="J10" s="57" t="s">
        <v>119</v>
      </c>
      <c r="K10" s="57"/>
    </row>
    <row r="11" spans="1:12" ht="15.6">
      <c r="A11" s="52" t="str">
        <v>Kohls - East Brunswick</v>
      </c>
      <c r="B11" s="31" t="str">
        <v>NJ</v>
      </c>
      <c r="C11" s="11">
        <v>30213</v>
      </c>
      <c r="D11" s="18" t="s">
        <v>22</v>
      </c>
      <c r="E11" s="18" t="str">
        <f t="shared" si="0"/>
        <v/>
      </c>
      <c r="F11" s="18" t="str">
        <f t="shared" si="1"/>
        <v/>
      </c>
      <c r="G11" s="97">
        <v>30775.119999999999</v>
      </c>
      <c r="H11" s="97">
        <f t="shared" si="2"/>
        <v>-562.11999999999898</v>
      </c>
      <c r="I11" s="19">
        <f t="shared" si="3"/>
        <v>-1.8265404001674049E-2</v>
      </c>
      <c r="J11" s="55"/>
      <c r="K11" s="58"/>
    </row>
    <row r="12" spans="1:12" ht="15.6">
      <c r="A12" s="53" t="str">
        <v>Kohls - Edgewood</v>
      </c>
      <c r="B12" s="29" t="str">
        <v>MD</v>
      </c>
      <c r="C12" s="24">
        <v>154536</v>
      </c>
      <c r="D12" s="13" t="s">
        <v>22</v>
      </c>
      <c r="E12" s="13" t="str">
        <f t="shared" si="0"/>
        <v/>
      </c>
      <c r="F12" s="13" t="str">
        <f t="shared" si="1"/>
        <v/>
      </c>
      <c r="G12" s="96">
        <v>168198.51</v>
      </c>
      <c r="H12" s="96">
        <f t="shared" si="2"/>
        <v>-13662.510000000009</v>
      </c>
      <c r="I12" s="16">
        <f t="shared" si="3"/>
        <v>-8.1228484128664444E-2</v>
      </c>
      <c r="J12" s="57"/>
      <c r="K12" s="57"/>
    </row>
    <row r="13" spans="1:12" ht="15.6">
      <c r="A13" s="52" t="str">
        <v>Kohls - Granite Run</v>
      </c>
      <c r="B13" s="31" t="str">
        <v>PA</v>
      </c>
      <c r="C13" s="11">
        <v>19693</v>
      </c>
      <c r="D13" s="18" t="s">
        <v>22</v>
      </c>
      <c r="E13" s="18" t="str">
        <f t="shared" si="0"/>
        <v/>
      </c>
      <c r="F13" s="18" t="str">
        <f t="shared" si="1"/>
        <v/>
      </c>
      <c r="G13" s="97">
        <v>20063.53</v>
      </c>
      <c r="H13" s="97">
        <f t="shared" si="2"/>
        <v>-370.52999999999884</v>
      </c>
      <c r="I13" s="19">
        <f t="shared" si="3"/>
        <v>-1.8467836916036155E-2</v>
      </c>
      <c r="J13" s="55"/>
      <c r="K13" s="58"/>
    </row>
    <row r="14" spans="1:12" ht="15.6">
      <c r="A14" s="53" t="str">
        <v>Kohls - Greece</v>
      </c>
      <c r="B14" s="29" t="str">
        <v>NY</v>
      </c>
      <c r="C14" s="24">
        <v>2104</v>
      </c>
      <c r="D14" s="13" t="s">
        <v>22</v>
      </c>
      <c r="E14" s="13" t="str">
        <f t="shared" si="0"/>
        <v/>
      </c>
      <c r="F14" s="13" t="str">
        <f t="shared" si="1"/>
        <v/>
      </c>
      <c r="G14" s="96">
        <v>14838</v>
      </c>
      <c r="H14" s="96">
        <f t="shared" si="2"/>
        <v>-12734</v>
      </c>
      <c r="I14" s="16">
        <f t="shared" si="3"/>
        <v>-0.85820191400458279</v>
      </c>
      <c r="J14" s="57" t="s">
        <v>119</v>
      </c>
      <c r="K14" s="57"/>
    </row>
    <row r="15" spans="1:12" ht="15.6">
      <c r="A15" s="52" t="str">
        <v>Kohls - Hanover</v>
      </c>
      <c r="B15" s="31" t="str">
        <v>PA</v>
      </c>
      <c r="C15" s="11">
        <v>23392</v>
      </c>
      <c r="D15" s="18" t="s">
        <v>22</v>
      </c>
      <c r="E15" s="18" t="str">
        <f t="shared" si="0"/>
        <v/>
      </c>
      <c r="F15" s="18" t="str">
        <f t="shared" si="1"/>
        <v/>
      </c>
      <c r="G15" s="97">
        <v>22286.93</v>
      </c>
      <c r="H15" s="97">
        <f t="shared" si="2"/>
        <v>1105.0699999999997</v>
      </c>
      <c r="I15" s="19">
        <f t="shared" si="3"/>
        <v>4.958376950077914E-2</v>
      </c>
      <c r="J15" s="55"/>
      <c r="K15" s="58"/>
    </row>
    <row r="16" spans="1:12" ht="15.6">
      <c r="A16" s="53" t="str">
        <v>Kohls - Horsehead</v>
      </c>
      <c r="B16" s="29" t="str">
        <v>NY</v>
      </c>
      <c r="C16" s="24">
        <v>8908</v>
      </c>
      <c r="D16" s="13" t="s">
        <v>22</v>
      </c>
      <c r="E16" s="13" t="str">
        <f t="shared" ref="E16:E17" si="4">IF(AND(ISNUMBER(C16),ISNUMBER(D16)), C16-D16, "")</f>
        <v/>
      </c>
      <c r="F16" s="13" t="str">
        <f t="shared" si="1"/>
        <v/>
      </c>
      <c r="G16" s="96">
        <v>16013.56</v>
      </c>
      <c r="H16" s="96">
        <f t="shared" ref="H16:H17" si="5">IF(AND(ISNUMBER(C16),ISNUMBER(G16)), C16-G16, "")</f>
        <v>-7105.5599999999995</v>
      </c>
      <c r="I16" s="16">
        <f t="shared" si="3"/>
        <v>-0.44372144607445191</v>
      </c>
      <c r="J16" s="57" t="s">
        <v>119</v>
      </c>
      <c r="K16" s="57"/>
    </row>
    <row r="17" spans="1:12" ht="15.6">
      <c r="A17" s="52" t="str">
        <v>Kohls - Hudson</v>
      </c>
      <c r="B17" s="31" t="str">
        <v>NY</v>
      </c>
      <c r="C17" s="11">
        <v>13755</v>
      </c>
      <c r="D17" s="18" t="s">
        <v>22</v>
      </c>
      <c r="E17" s="18" t="str">
        <f t="shared" si="4"/>
        <v/>
      </c>
      <c r="F17" s="18" t="str">
        <f t="shared" si="1"/>
        <v/>
      </c>
      <c r="G17" s="97">
        <v>18577.580000000002</v>
      </c>
      <c r="H17" s="97">
        <f t="shared" si="5"/>
        <v>-4822.5800000000017</v>
      </c>
      <c r="I17" s="19">
        <f t="shared" si="3"/>
        <v>-0.25959139995629149</v>
      </c>
      <c r="J17" s="113" t="s">
        <v>119</v>
      </c>
      <c r="K17" s="58"/>
    </row>
    <row r="18" spans="1:12" ht="12.75" customHeight="1">
      <c r="A18" s="53" t="str">
        <v>Kohls - Ithaca</v>
      </c>
      <c r="B18" s="29" t="str">
        <v>NY</v>
      </c>
      <c r="C18" s="24">
        <v>9593</v>
      </c>
      <c r="D18" s="13" t="s">
        <v>22</v>
      </c>
      <c r="E18" s="13" t="str">
        <f t="shared" ref="E18:E25" si="6">IF(AND(ISNUMBER(C18),ISNUMBER(D18)), C18-D18, "")</f>
        <v/>
      </c>
      <c r="F18" s="13" t="str">
        <f t="shared" si="1"/>
        <v/>
      </c>
      <c r="G18" s="96">
        <v>17763.02</v>
      </c>
      <c r="H18" s="96">
        <f t="shared" ref="H18:H25" si="7">IF(AND(ISNUMBER(C18),ISNUMBER(G18)), C18-G18, "")</f>
        <v>-8170.02</v>
      </c>
      <c r="I18" s="16">
        <f t="shared" si="3"/>
        <v>-0.45994543720606068</v>
      </c>
      <c r="J18" s="57" t="s">
        <v>119</v>
      </c>
      <c r="K18" s="57"/>
    </row>
    <row r="19" spans="1:12" ht="15.6">
      <c r="A19" s="52" t="str">
        <v>Kohls - Kingston</v>
      </c>
      <c r="B19" s="31" t="str">
        <v>NY</v>
      </c>
      <c r="C19" s="11">
        <v>14849</v>
      </c>
      <c r="D19" s="18" t="s">
        <v>22</v>
      </c>
      <c r="E19" s="18" t="str">
        <f t="shared" si="6"/>
        <v/>
      </c>
      <c r="F19" s="18" t="str">
        <f t="shared" si="1"/>
        <v/>
      </c>
      <c r="G19" s="97">
        <v>24603.49</v>
      </c>
      <c r="H19" s="97">
        <f t="shared" si="7"/>
        <v>-9754.4900000000016</v>
      </c>
      <c r="I19" s="19">
        <f t="shared" si="3"/>
        <v>-0.39646773689423742</v>
      </c>
      <c r="J19" s="113" t="s">
        <v>119</v>
      </c>
      <c r="K19" s="55"/>
    </row>
    <row r="20" spans="1:12" ht="15.6">
      <c r="A20" s="53" t="str">
        <v>Kohls - Mechanicsburg</v>
      </c>
      <c r="B20" s="29" t="str">
        <v>PA</v>
      </c>
      <c r="C20" s="24">
        <v>26048</v>
      </c>
      <c r="D20" s="13" t="s">
        <v>22</v>
      </c>
      <c r="E20" s="13" t="str">
        <f t="shared" si="6"/>
        <v/>
      </c>
      <c r="F20" s="13" t="str">
        <f t="shared" si="1"/>
        <v/>
      </c>
      <c r="G20" s="96">
        <v>25206.74</v>
      </c>
      <c r="H20" s="96">
        <f t="shared" si="7"/>
        <v>841.2599999999984</v>
      </c>
      <c r="I20" s="16">
        <f t="shared" si="3"/>
        <v>3.3374407003840971E-2</v>
      </c>
      <c r="J20" s="57"/>
      <c r="K20" s="57"/>
    </row>
    <row r="21" spans="1:12" ht="15.6">
      <c r="A21" s="52" t="str">
        <v>Kohls - Middletown</v>
      </c>
      <c r="B21" s="31" t="str">
        <v>NJ</v>
      </c>
      <c r="C21" s="11">
        <v>39815</v>
      </c>
      <c r="D21" s="18" t="s">
        <v>22</v>
      </c>
      <c r="E21" s="18" t="str">
        <f t="shared" si="6"/>
        <v/>
      </c>
      <c r="F21" s="18" t="str">
        <f t="shared" si="1"/>
        <v/>
      </c>
      <c r="G21" s="97">
        <v>36153.03</v>
      </c>
      <c r="H21" s="97">
        <f t="shared" si="7"/>
        <v>3661.9700000000012</v>
      </c>
      <c r="I21" s="19">
        <f t="shared" si="3"/>
        <v>0.10129081850124322</v>
      </c>
      <c r="J21" s="55"/>
      <c r="K21" s="55"/>
    </row>
    <row r="22" spans="1:12" ht="28.9">
      <c r="A22" s="53" t="str">
        <v>Kohls - North Amherst</v>
      </c>
      <c r="B22" s="29" t="str">
        <v>NY</v>
      </c>
      <c r="C22" s="24">
        <v>0</v>
      </c>
      <c r="D22" s="13" t="s">
        <v>22</v>
      </c>
      <c r="E22" s="13" t="str">
        <f t="shared" si="6"/>
        <v/>
      </c>
      <c r="F22" s="13" t="str">
        <f t="shared" si="1"/>
        <v/>
      </c>
      <c r="G22" s="96">
        <v>12403.57</v>
      </c>
      <c r="H22" s="96">
        <f t="shared" si="7"/>
        <v>-12403.57</v>
      </c>
      <c r="I22" s="16">
        <f t="shared" si="3"/>
        <v>-1</v>
      </c>
      <c r="J22" s="102" t="s">
        <v>34</v>
      </c>
      <c r="K22" s="112" t="s">
        <v>35</v>
      </c>
      <c r="L22" s="105" t="s">
        <v>36</v>
      </c>
    </row>
    <row r="23" spans="1:12" ht="124.5" customHeight="1">
      <c r="A23" s="52" t="str">
        <v>Kohls - Staten Island</v>
      </c>
      <c r="B23" s="31" t="str">
        <v>NY</v>
      </c>
      <c r="C23" s="11">
        <v>18864</v>
      </c>
      <c r="D23" s="18" t="s">
        <v>22</v>
      </c>
      <c r="E23" s="18" t="str">
        <f t="shared" si="6"/>
        <v/>
      </c>
      <c r="F23" s="18" t="str">
        <f t="shared" si="1"/>
        <v/>
      </c>
      <c r="G23" s="97">
        <v>21195.82</v>
      </c>
      <c r="H23" s="97">
        <f t="shared" si="7"/>
        <v>-2331.8199999999997</v>
      </c>
      <c r="I23" s="19">
        <f t="shared" si="3"/>
        <v>-0.11001320071599022</v>
      </c>
      <c r="J23" s="55" t="s">
        <v>124</v>
      </c>
      <c r="K23" s="106" t="s">
        <v>125</v>
      </c>
    </row>
    <row r="24" spans="1:12" ht="15.6">
      <c r="A24" s="53" t="str">
        <v>Kohls - Warminster</v>
      </c>
      <c r="B24" s="29" t="str">
        <v>PA</v>
      </c>
      <c r="C24" s="24">
        <v>25644</v>
      </c>
      <c r="D24" s="13" t="s">
        <v>22</v>
      </c>
      <c r="E24" s="13" t="str">
        <f t="shared" si="6"/>
        <v/>
      </c>
      <c r="F24" s="13" t="str">
        <f t="shared" si="1"/>
        <v/>
      </c>
      <c r="G24" s="96">
        <v>24459.22</v>
      </c>
      <c r="H24" s="96">
        <f t="shared" si="7"/>
        <v>1184.7799999999988</v>
      </c>
      <c r="I24" s="16">
        <f t="shared" si="3"/>
        <v>4.8438993557439643E-2</v>
      </c>
      <c r="J24" s="57"/>
      <c r="K24" s="57"/>
    </row>
    <row r="25" spans="1:12" ht="15.6">
      <c r="A25" s="52" t="str">
        <v xml:space="preserve">Kohls - Waterbury </v>
      </c>
      <c r="B25" s="31" t="str">
        <v>CT</v>
      </c>
      <c r="C25" s="11">
        <v>5561</v>
      </c>
      <c r="D25" s="18" t="s">
        <v>22</v>
      </c>
      <c r="E25" s="18" t="str">
        <f t="shared" si="6"/>
        <v/>
      </c>
      <c r="F25" s="18" t="str">
        <f t="shared" si="1"/>
        <v/>
      </c>
      <c r="G25" s="95">
        <v>19364.12</v>
      </c>
      <c r="H25" s="95">
        <f t="shared" si="7"/>
        <v>-13803.119999999999</v>
      </c>
      <c r="I25" s="19">
        <f t="shared" si="3"/>
        <v>-0.71281937934695716</v>
      </c>
      <c r="J25" s="55" t="s">
        <v>126</v>
      </c>
      <c r="K25" s="106" t="s">
        <v>127</v>
      </c>
    </row>
    <row r="26" spans="1:12" ht="15.6">
      <c r="A26" s="53" t="str">
        <v>Mojave Water Agency - Headquarters</v>
      </c>
      <c r="B26" s="29" t="str">
        <v>CA</v>
      </c>
      <c r="C26" s="24">
        <v>30686</v>
      </c>
      <c r="D26" s="13" t="s">
        <v>22</v>
      </c>
      <c r="E26" s="13" t="str">
        <f t="shared" ref="E26:E69" si="8">IF(AND(ISNUMBER(C26),ISNUMBER(D26)), C26-D26, "")</f>
        <v/>
      </c>
      <c r="F26" s="13" t="str">
        <f t="shared" ref="F26:F68" si="9">IFERROR(E26/D26, "")</f>
        <v/>
      </c>
      <c r="G26" s="96">
        <v>25387.84</v>
      </c>
      <c r="H26" s="96">
        <f t="shared" ref="H26:H69" si="10">IF(AND(ISNUMBER(C26),ISNUMBER(G26)), C26-G26, "")</f>
        <v>5298.16</v>
      </c>
      <c r="I26" s="16">
        <f t="shared" si="3"/>
        <v>0.20868888412720421</v>
      </c>
      <c r="J26" s="57"/>
      <c r="K26" s="57"/>
    </row>
    <row r="27" spans="1:12" ht="15.6">
      <c r="A27" s="52" t="str">
        <v>CSU - Bakersfield</v>
      </c>
      <c r="B27" s="31" t="str">
        <v>CA</v>
      </c>
      <c r="C27" s="11">
        <v>84513</v>
      </c>
      <c r="D27" s="18" t="s">
        <v>22</v>
      </c>
      <c r="E27" s="18" t="str">
        <f t="shared" si="8"/>
        <v/>
      </c>
      <c r="F27" s="18" t="str">
        <f t="shared" si="9"/>
        <v/>
      </c>
      <c r="G27" s="95">
        <v>78007.259999999995</v>
      </c>
      <c r="H27" s="95">
        <f t="shared" si="10"/>
        <v>6505.7400000000052</v>
      </c>
      <c r="I27" s="19">
        <f t="shared" si="3"/>
        <v>8.3399160539672917E-2</v>
      </c>
      <c r="J27" s="55"/>
      <c r="K27" s="58"/>
    </row>
    <row r="28" spans="1:12" ht="15.6">
      <c r="A28" s="53" t="str">
        <v>Greenfield USD - Fairfield ES</v>
      </c>
      <c r="B28" s="29" t="str">
        <v>CA</v>
      </c>
      <c r="C28" s="24">
        <v>9238</v>
      </c>
      <c r="D28" s="13" t="s">
        <v>22</v>
      </c>
      <c r="E28" s="13" t="str">
        <f t="shared" si="8"/>
        <v/>
      </c>
      <c r="F28" s="13" t="str">
        <f t="shared" si="9"/>
        <v/>
      </c>
      <c r="G28" s="96">
        <v>8281.6299999999992</v>
      </c>
      <c r="H28" s="96">
        <f t="shared" si="10"/>
        <v>956.3700000000008</v>
      </c>
      <c r="I28" s="16">
        <f t="shared" si="3"/>
        <v>0.1154808896316306</v>
      </c>
      <c r="J28" s="57"/>
      <c r="K28" s="57"/>
    </row>
    <row r="29" spans="1:12" ht="15.6">
      <c r="A29" s="52" t="str">
        <v>Greenfield USD - Granite Point ES</v>
      </c>
      <c r="B29" s="31" t="str">
        <v>CA</v>
      </c>
      <c r="C29" s="11">
        <v>26786</v>
      </c>
      <c r="D29" s="18" t="s">
        <v>22</v>
      </c>
      <c r="E29" s="18" t="str">
        <f t="shared" si="8"/>
        <v/>
      </c>
      <c r="F29" s="18" t="str">
        <f t="shared" si="9"/>
        <v/>
      </c>
      <c r="G29" s="95">
        <v>21722.5</v>
      </c>
      <c r="H29" s="95">
        <f t="shared" si="10"/>
        <v>5063.5</v>
      </c>
      <c r="I29" s="19">
        <f t="shared" si="3"/>
        <v>0.23309932098055011</v>
      </c>
      <c r="J29" s="55"/>
      <c r="K29" s="58"/>
    </row>
    <row r="30" spans="1:12" ht="72">
      <c r="A30" s="53" t="str">
        <v>Greenfield USD - Greenfield MS</v>
      </c>
      <c r="B30" s="29" t="str">
        <v>CA</v>
      </c>
      <c r="C30" s="24">
        <v>10577</v>
      </c>
      <c r="D30" s="13" t="s">
        <v>22</v>
      </c>
      <c r="E30" s="13" t="str">
        <f t="shared" si="8"/>
        <v/>
      </c>
      <c r="F30" s="13" t="str">
        <f t="shared" si="9"/>
        <v/>
      </c>
      <c r="G30" s="96">
        <v>14936.35</v>
      </c>
      <c r="H30" s="96">
        <f t="shared" si="10"/>
        <v>-4359.3500000000004</v>
      </c>
      <c r="I30" s="16">
        <f t="shared" si="3"/>
        <v>-0.29186180023901426</v>
      </c>
      <c r="J30" s="57" t="s">
        <v>128</v>
      </c>
      <c r="K30" s="107" t="s">
        <v>129</v>
      </c>
    </row>
    <row r="31" spans="1:12" ht="15.6">
      <c r="A31" s="52" t="str">
        <v>Greenfield USD - Horizon ES</v>
      </c>
      <c r="B31" s="31" t="str">
        <v>CA</v>
      </c>
      <c r="C31" s="11">
        <v>23654</v>
      </c>
      <c r="D31" s="18" t="s">
        <v>22</v>
      </c>
      <c r="E31" s="18" t="str">
        <f t="shared" si="8"/>
        <v/>
      </c>
      <c r="F31" s="18" t="str">
        <f t="shared" si="9"/>
        <v/>
      </c>
      <c r="G31" s="95">
        <v>22188.52</v>
      </c>
      <c r="H31" s="95">
        <f t="shared" si="10"/>
        <v>1465.4799999999996</v>
      </c>
      <c r="I31" s="19">
        <f t="shared" si="3"/>
        <v>6.6046766526113479E-2</v>
      </c>
      <c r="J31" s="55"/>
      <c r="K31" s="58"/>
    </row>
    <row r="32" spans="1:12" ht="15.6">
      <c r="A32" s="53" t="str">
        <v>Greenfield USD - McKee MS</v>
      </c>
      <c r="B32" s="29" t="str">
        <v>CA</v>
      </c>
      <c r="C32" s="24">
        <v>11221</v>
      </c>
      <c r="D32" s="13" t="s">
        <v>22</v>
      </c>
      <c r="E32" s="13" t="str">
        <f t="shared" si="8"/>
        <v/>
      </c>
      <c r="F32" s="13" t="str">
        <f t="shared" si="9"/>
        <v/>
      </c>
      <c r="G32" s="96">
        <v>13575.99</v>
      </c>
      <c r="H32" s="96">
        <f t="shared" si="10"/>
        <v>-2354.9899999999998</v>
      </c>
      <c r="I32" s="16">
        <f t="shared" si="3"/>
        <v>-0.17346727568302567</v>
      </c>
      <c r="J32" s="57" t="s">
        <v>119</v>
      </c>
      <c r="K32" s="107"/>
    </row>
    <row r="33" spans="1:16" ht="15.6">
      <c r="A33" s="52" t="str">
        <v>Greenfield USD - Plantation ES</v>
      </c>
      <c r="B33" s="31" t="str">
        <v>CA</v>
      </c>
      <c r="C33" s="11">
        <v>10887</v>
      </c>
      <c r="D33" s="18" t="s">
        <v>22</v>
      </c>
      <c r="E33" s="18" t="str">
        <f t="shared" si="8"/>
        <v/>
      </c>
      <c r="F33" s="18" t="str">
        <f t="shared" si="9"/>
        <v/>
      </c>
      <c r="G33" s="95">
        <v>9687.94</v>
      </c>
      <c r="H33" s="95">
        <f t="shared" si="10"/>
        <v>1199.0599999999995</v>
      </c>
      <c r="I33" s="19">
        <f t="shared" si="3"/>
        <v>0.12376831400689924</v>
      </c>
      <c r="J33" s="55"/>
      <c r="K33" s="58"/>
    </row>
    <row r="34" spans="1:16" ht="15.6">
      <c r="A34" s="53" t="str">
        <v>Greenfield USD - Planz ES</v>
      </c>
      <c r="B34" s="29" t="str">
        <v>CA</v>
      </c>
      <c r="C34" s="24">
        <v>4344</v>
      </c>
      <c r="D34" s="13" t="s">
        <v>22</v>
      </c>
      <c r="E34" s="13" t="str">
        <f t="shared" si="8"/>
        <v/>
      </c>
      <c r="F34" s="13" t="str">
        <f t="shared" si="9"/>
        <v/>
      </c>
      <c r="G34" s="96">
        <v>11305.56</v>
      </c>
      <c r="H34" s="96">
        <f t="shared" si="10"/>
        <v>-6961.5599999999995</v>
      </c>
      <c r="I34" s="16">
        <f t="shared" si="3"/>
        <v>-0.61576427881502549</v>
      </c>
      <c r="J34" s="57" t="s">
        <v>119</v>
      </c>
      <c r="K34" s="107"/>
    </row>
    <row r="35" spans="1:16" ht="15.6">
      <c r="A35" s="52" t="str">
        <v>Greenfield USD - Raffaello Palla ES</v>
      </c>
      <c r="B35" s="31" t="str">
        <v>CA</v>
      </c>
      <c r="C35" s="11">
        <v>25408</v>
      </c>
      <c r="D35" s="18" t="s">
        <v>22</v>
      </c>
      <c r="E35" s="18" t="str">
        <f t="shared" si="8"/>
        <v/>
      </c>
      <c r="F35" s="18" t="str">
        <f t="shared" si="9"/>
        <v/>
      </c>
      <c r="G35" s="95">
        <v>24477.22</v>
      </c>
      <c r="H35" s="95">
        <f t="shared" si="10"/>
        <v>930.77999999999884</v>
      </c>
      <c r="I35" s="19">
        <f t="shared" si="3"/>
        <v>3.8026377178454036E-2</v>
      </c>
      <c r="J35" s="55"/>
      <c r="K35" s="58"/>
    </row>
    <row r="36" spans="1:16" ht="15.6">
      <c r="A36" s="53" t="str">
        <v>Greenfield USD - Valle Verde ES</v>
      </c>
      <c r="B36" s="29" t="str">
        <v>CA</v>
      </c>
      <c r="C36" s="24">
        <v>28417</v>
      </c>
      <c r="D36" s="13" t="s">
        <v>22</v>
      </c>
      <c r="E36" s="13" t="str">
        <f t="shared" si="8"/>
        <v/>
      </c>
      <c r="F36" s="13" t="str">
        <f t="shared" si="9"/>
        <v/>
      </c>
      <c r="G36" s="96">
        <v>22933.040000000001</v>
      </c>
      <c r="H36" s="96">
        <f t="shared" si="10"/>
        <v>5483.9599999999991</v>
      </c>
      <c r="I36" s="16">
        <f t="shared" si="3"/>
        <v>0.23912922142027393</v>
      </c>
      <c r="J36" s="57"/>
      <c r="K36" s="57"/>
    </row>
    <row r="37" spans="1:16" ht="28.9">
      <c r="A37" s="52" t="str">
        <v>Greenfield USD - W.A. Kendrick ES</v>
      </c>
      <c r="B37" s="31" t="str">
        <v>CA</v>
      </c>
      <c r="C37" s="11">
        <v>4551</v>
      </c>
      <c r="D37" s="18" t="s">
        <v>22</v>
      </c>
      <c r="E37" s="18" t="str">
        <f t="shared" si="8"/>
        <v/>
      </c>
      <c r="F37" s="18" t="str">
        <f t="shared" si="9"/>
        <v/>
      </c>
      <c r="G37" s="95">
        <v>8833.1299999999992</v>
      </c>
      <c r="H37" s="95">
        <f t="shared" si="10"/>
        <v>-4282.1299999999992</v>
      </c>
      <c r="I37" s="19">
        <f t="shared" si="3"/>
        <v>-0.48478059306270821</v>
      </c>
      <c r="J37" s="55" t="s">
        <v>130</v>
      </c>
      <c r="K37" s="106" t="s">
        <v>50</v>
      </c>
    </row>
    <row r="38" spans="1:16" ht="57.6">
      <c r="A38" s="53" t="str">
        <v>Muroc Joint USD - Boron HS</v>
      </c>
      <c r="B38" s="29" t="str">
        <v>CA</v>
      </c>
      <c r="C38" s="24">
        <v>0</v>
      </c>
      <c r="D38" s="13" t="s">
        <v>22</v>
      </c>
      <c r="E38" s="13" t="str">
        <f t="shared" si="8"/>
        <v/>
      </c>
      <c r="F38" s="13" t="str">
        <f t="shared" si="9"/>
        <v/>
      </c>
      <c r="G38" s="96">
        <v>24557.19</v>
      </c>
      <c r="H38" s="96">
        <f t="shared" si="10"/>
        <v>-24557.19</v>
      </c>
      <c r="I38" s="16">
        <f t="shared" si="3"/>
        <v>-1</v>
      </c>
      <c r="J38" s="57" t="s">
        <v>51</v>
      </c>
      <c r="K38" s="107" t="s">
        <v>131</v>
      </c>
      <c r="L38" s="105" t="s">
        <v>132</v>
      </c>
      <c r="M38" s="105" t="s">
        <v>53</v>
      </c>
      <c r="N38" s="105" t="s">
        <v>54</v>
      </c>
    </row>
    <row r="39" spans="1:16" ht="15.6">
      <c r="A39" s="52" t="str">
        <v>Muroc Joint USD - W. Boron ES</v>
      </c>
      <c r="B39" s="31" t="str">
        <v>CA</v>
      </c>
      <c r="C39" s="11">
        <v>10005</v>
      </c>
      <c r="D39" s="18" t="s">
        <v>22</v>
      </c>
      <c r="E39" s="18" t="str">
        <f t="shared" si="8"/>
        <v/>
      </c>
      <c r="F39" s="18" t="str">
        <f t="shared" si="9"/>
        <v/>
      </c>
      <c r="G39" s="95">
        <v>9080.59</v>
      </c>
      <c r="H39" s="95">
        <f t="shared" si="10"/>
        <v>924.40999999999985</v>
      </c>
      <c r="I39" s="19">
        <f t="shared" si="3"/>
        <v>0.10180065392226714</v>
      </c>
      <c r="J39" s="55"/>
      <c r="K39" s="58"/>
    </row>
    <row r="40" spans="1:16" ht="100.9">
      <c r="A40" s="53" t="str">
        <v>Colusa - WTP</v>
      </c>
      <c r="B40" s="29" t="str">
        <v>CA</v>
      </c>
      <c r="C40" s="24">
        <v>0</v>
      </c>
      <c r="D40" s="13" t="s">
        <v>22</v>
      </c>
      <c r="E40" s="13">
        <v>0</v>
      </c>
      <c r="F40" s="13" t="str">
        <f t="shared" si="9"/>
        <v/>
      </c>
      <c r="G40" s="96">
        <v>22973.3</v>
      </c>
      <c r="H40" s="96">
        <f t="shared" si="10"/>
        <v>-22973.3</v>
      </c>
      <c r="I40" s="16">
        <f t="shared" si="3"/>
        <v>-1</v>
      </c>
      <c r="J40" s="57" t="s">
        <v>133</v>
      </c>
      <c r="K40" s="107" t="s">
        <v>134</v>
      </c>
      <c r="L40" s="105" t="s">
        <v>57</v>
      </c>
      <c r="M40" s="105" t="s">
        <v>58</v>
      </c>
      <c r="N40" s="105" t="s">
        <v>59</v>
      </c>
      <c r="O40" s="105" t="s">
        <v>135</v>
      </c>
    </row>
    <row r="41" spans="1:16" ht="111" customHeight="1">
      <c r="A41" s="52" t="str">
        <v>CDCR-North Kern State Prision</v>
      </c>
      <c r="B41" s="31" t="str">
        <v>CA</v>
      </c>
      <c r="C41" s="11">
        <v>73603</v>
      </c>
      <c r="D41" s="18" t="s">
        <v>22</v>
      </c>
      <c r="E41" s="18" t="str">
        <f t="shared" si="8"/>
        <v/>
      </c>
      <c r="F41" s="18" t="str">
        <f t="shared" si="9"/>
        <v/>
      </c>
      <c r="G41" s="95">
        <v>105876.17</v>
      </c>
      <c r="H41" s="95">
        <f t="shared" si="10"/>
        <v>-32273.17</v>
      </c>
      <c r="I41" s="19">
        <f t="shared" si="3"/>
        <v>-0.30481996090338365</v>
      </c>
      <c r="J41" s="55" t="s">
        <v>136</v>
      </c>
      <c r="K41" s="106" t="s">
        <v>137</v>
      </c>
      <c r="L41" s="105" t="s">
        <v>138</v>
      </c>
      <c r="M41" s="105" t="s">
        <v>139</v>
      </c>
    </row>
    <row r="42" spans="1:16" ht="15.6">
      <c r="A42" s="53" t="str">
        <v>Muroc Joint USD - District Office</v>
      </c>
      <c r="B42" s="29" t="str">
        <v>CA</v>
      </c>
      <c r="C42" s="24">
        <v>5000</v>
      </c>
      <c r="D42" s="13" t="s">
        <v>22</v>
      </c>
      <c r="E42" s="13" t="str">
        <f t="shared" si="8"/>
        <v/>
      </c>
      <c r="F42" s="13" t="str">
        <f t="shared" si="9"/>
        <v/>
      </c>
      <c r="G42" s="96">
        <v>6384.23</v>
      </c>
      <c r="H42" s="96">
        <f t="shared" si="10"/>
        <v>-1384.2299999999996</v>
      </c>
      <c r="I42" s="16">
        <f t="shared" si="3"/>
        <v>-0.2168201960142413</v>
      </c>
      <c r="J42" s="57" t="s">
        <v>119</v>
      </c>
      <c r="K42" s="107"/>
      <c r="L42" s="105"/>
      <c r="M42" s="105"/>
      <c r="N42" s="105"/>
      <c r="O42" s="105"/>
    </row>
    <row r="43" spans="1:16" ht="73.900000000000006" customHeight="1">
      <c r="A43" s="52" t="str">
        <v>Whole Foods - Manhattan Beach</v>
      </c>
      <c r="B43" s="31" t="str">
        <v>CA</v>
      </c>
      <c r="C43" s="11">
        <v>12818</v>
      </c>
      <c r="D43" s="18" t="s">
        <v>22</v>
      </c>
      <c r="E43" s="18" t="str">
        <f t="shared" si="8"/>
        <v/>
      </c>
      <c r="F43" s="18" t="str">
        <f t="shared" si="9"/>
        <v/>
      </c>
      <c r="G43" s="95">
        <v>15625.72</v>
      </c>
      <c r="H43" s="95">
        <f t="shared" si="10"/>
        <v>-2807.7199999999993</v>
      </c>
      <c r="I43" s="19">
        <f t="shared" si="3"/>
        <v>-0.17968580007833235</v>
      </c>
      <c r="J43" s="55" t="s">
        <v>140</v>
      </c>
      <c r="K43" s="106" t="s">
        <v>141</v>
      </c>
      <c r="L43" s="105" t="s">
        <v>64</v>
      </c>
      <c r="M43" s="105" t="s">
        <v>142</v>
      </c>
    </row>
    <row r="44" spans="1:16" ht="28.9">
      <c r="A44" s="53" t="str">
        <v>Pioneer USD - Frontier ES</v>
      </c>
      <c r="B44" s="29" t="str">
        <v>CA</v>
      </c>
      <c r="C44" s="24">
        <v>20603</v>
      </c>
      <c r="D44" s="13" t="s">
        <v>22</v>
      </c>
      <c r="E44" s="13" t="str">
        <f t="shared" si="8"/>
        <v/>
      </c>
      <c r="F44" s="13" t="str">
        <f t="shared" si="9"/>
        <v/>
      </c>
      <c r="G44" s="96">
        <v>18600.14</v>
      </c>
      <c r="H44" s="96">
        <f t="shared" si="10"/>
        <v>2002.8600000000006</v>
      </c>
      <c r="I44" s="16">
        <f t="shared" si="3"/>
        <v>0.10767983466791113</v>
      </c>
      <c r="J44" s="57" t="s">
        <v>143</v>
      </c>
      <c r="K44" s="107" t="s">
        <v>66</v>
      </c>
    </row>
    <row r="45" spans="1:16" ht="115.15">
      <c r="A45" s="52" t="str">
        <v>Pioneer USD - Pioneer ES</v>
      </c>
      <c r="B45" s="31" t="str">
        <v>CA</v>
      </c>
      <c r="C45" s="11">
        <v>13168</v>
      </c>
      <c r="D45" s="18" t="s">
        <v>22</v>
      </c>
      <c r="E45" s="18" t="str">
        <f t="shared" si="8"/>
        <v/>
      </c>
      <c r="F45" s="18" t="str">
        <f t="shared" si="9"/>
        <v/>
      </c>
      <c r="G45" s="95">
        <v>19124.830000000002</v>
      </c>
      <c r="H45" s="95">
        <f t="shared" si="10"/>
        <v>-5956.8300000000017</v>
      </c>
      <c r="I45" s="19">
        <f t="shared" si="3"/>
        <v>-0.31147100392526372</v>
      </c>
      <c r="J45" s="124" t="s">
        <v>144</v>
      </c>
      <c r="K45" s="106" t="s">
        <v>145</v>
      </c>
      <c r="L45" s="105" t="s">
        <v>69</v>
      </c>
      <c r="M45" s="105" t="s">
        <v>70</v>
      </c>
      <c r="N45" s="105" t="s">
        <v>71</v>
      </c>
      <c r="O45" s="105" t="s">
        <v>71</v>
      </c>
    </row>
    <row r="46" spans="1:16" ht="43.15">
      <c r="A46" s="53" t="str">
        <v>Pioneer USD - Pioneer MS</v>
      </c>
      <c r="B46" s="29" t="str">
        <v>CA</v>
      </c>
      <c r="C46" s="24">
        <v>28036</v>
      </c>
      <c r="D46" s="13" t="s">
        <v>22</v>
      </c>
      <c r="E46" s="13" t="str">
        <f t="shared" si="8"/>
        <v/>
      </c>
      <c r="F46" s="13" t="str">
        <f t="shared" si="9"/>
        <v/>
      </c>
      <c r="G46" s="96">
        <v>25858.58</v>
      </c>
      <c r="H46" s="96">
        <f t="shared" si="10"/>
        <v>2177.4199999999983</v>
      </c>
      <c r="I46" s="16">
        <f t="shared" si="3"/>
        <v>8.4204933140180085E-2</v>
      </c>
      <c r="J46" s="81" t="s">
        <v>72</v>
      </c>
      <c r="K46" s="107" t="s">
        <v>73</v>
      </c>
      <c r="L46" s="105" t="s">
        <v>74</v>
      </c>
    </row>
    <row r="47" spans="1:16" ht="72">
      <c r="A47" s="52" t="str">
        <v>Kingsburg Joint UHSD - Kingsburg HS</v>
      </c>
      <c r="B47" s="31" t="str">
        <v>CA</v>
      </c>
      <c r="C47" s="11">
        <v>45118</v>
      </c>
      <c r="D47" s="18" t="s">
        <v>22</v>
      </c>
      <c r="E47" s="18" t="str">
        <f t="shared" si="8"/>
        <v/>
      </c>
      <c r="F47" s="18" t="str">
        <f t="shared" si="9"/>
        <v/>
      </c>
      <c r="G47" s="95">
        <v>48811.98</v>
      </c>
      <c r="H47" s="95">
        <f t="shared" si="10"/>
        <v>-3693.9800000000032</v>
      </c>
      <c r="I47" s="19">
        <f t="shared" si="3"/>
        <v>-7.5677733212215589E-2</v>
      </c>
      <c r="J47" s="124" t="s">
        <v>146</v>
      </c>
      <c r="K47" s="106" t="s">
        <v>147</v>
      </c>
      <c r="L47" s="105" t="s">
        <v>77</v>
      </c>
      <c r="M47" s="105" t="s">
        <v>148</v>
      </c>
      <c r="N47" s="105" t="s">
        <v>149</v>
      </c>
      <c r="O47" s="105" t="s">
        <v>78</v>
      </c>
      <c r="P47" s="105" t="s">
        <v>148</v>
      </c>
    </row>
    <row r="48" spans="1:16" ht="86.45">
      <c r="A48" s="53" t="str">
        <v>CADRB</v>
      </c>
      <c r="B48" s="29" t="str">
        <v>CA</v>
      </c>
      <c r="C48" s="24">
        <v>0</v>
      </c>
      <c r="D48" s="13" t="s">
        <v>22</v>
      </c>
      <c r="E48" s="18" t="str">
        <f t="shared" si="8"/>
        <v/>
      </c>
      <c r="F48" s="13" t="str">
        <f t="shared" si="9"/>
        <v/>
      </c>
      <c r="G48" s="96">
        <v>443850</v>
      </c>
      <c r="H48" s="96">
        <f t="shared" si="10"/>
        <v>-443850</v>
      </c>
      <c r="I48" s="16">
        <f t="shared" si="3"/>
        <v>-1</v>
      </c>
      <c r="J48" s="81" t="s">
        <v>79</v>
      </c>
      <c r="K48" s="107" t="s">
        <v>150</v>
      </c>
      <c r="L48" s="105" t="s">
        <v>151</v>
      </c>
      <c r="M48" s="105" t="s">
        <v>81</v>
      </c>
      <c r="N48" s="105" t="s">
        <v>82</v>
      </c>
    </row>
    <row r="49" spans="1:16" ht="15.6">
      <c r="A49" s="52" t="str">
        <v>CDCR-CA State Prison LA County</v>
      </c>
      <c r="B49" s="31" t="str">
        <v>CA</v>
      </c>
      <c r="C49" s="11">
        <v>176892</v>
      </c>
      <c r="D49" s="18" t="s">
        <v>22</v>
      </c>
      <c r="E49" s="18" t="str">
        <f t="shared" si="8"/>
        <v/>
      </c>
      <c r="F49" s="18" t="str">
        <f t="shared" si="9"/>
        <v/>
      </c>
      <c r="G49" s="95">
        <v>272714.69</v>
      </c>
      <c r="H49" s="95">
        <f t="shared" si="10"/>
        <v>-95822.69</v>
      </c>
      <c r="I49" s="19">
        <f t="shared" si="3"/>
        <v>-0.35136607419277632</v>
      </c>
      <c r="J49" s="55" t="s">
        <v>119</v>
      </c>
      <c r="K49" s="58"/>
    </row>
    <row r="50" spans="1:16" ht="15.6">
      <c r="A50" s="53" t="str">
        <v>Central USD Akers ES</v>
      </c>
      <c r="B50" s="29" t="str">
        <v>CA</v>
      </c>
      <c r="C50" s="24">
        <v>19588</v>
      </c>
      <c r="D50" s="13" t="s">
        <v>22</v>
      </c>
      <c r="E50" s="13" t="str">
        <f t="shared" si="8"/>
        <v/>
      </c>
      <c r="F50" s="13" t="str">
        <f t="shared" si="9"/>
        <v/>
      </c>
      <c r="G50" s="96">
        <v>21273.81</v>
      </c>
      <c r="H50" s="96">
        <f t="shared" si="10"/>
        <v>-1685.8100000000013</v>
      </c>
      <c r="I50" s="16">
        <f t="shared" si="3"/>
        <v>-7.9243445344298988E-2</v>
      </c>
      <c r="J50" s="57" t="s">
        <v>83</v>
      </c>
      <c r="K50" s="107" t="s">
        <v>84</v>
      </c>
    </row>
    <row r="51" spans="1:16" ht="28.9">
      <c r="A51" s="52" t="str">
        <v>CUSD - District Office</v>
      </c>
      <c r="B51" s="31" t="str">
        <v>CA</v>
      </c>
      <c r="C51" s="11">
        <v>16350</v>
      </c>
      <c r="D51" s="18" t="s">
        <v>22</v>
      </c>
      <c r="E51" s="18" t="str">
        <f t="shared" si="8"/>
        <v/>
      </c>
      <c r="F51" s="18" t="str">
        <f t="shared" si="9"/>
        <v/>
      </c>
      <c r="G51" s="95">
        <v>16036.59</v>
      </c>
      <c r="H51" s="95">
        <f t="shared" si="10"/>
        <v>313.40999999999985</v>
      </c>
      <c r="I51" s="19">
        <f t="shared" si="3"/>
        <v>1.9543431614825836E-2</v>
      </c>
      <c r="J51" s="55" t="s">
        <v>152</v>
      </c>
      <c r="K51" s="106" t="s">
        <v>153</v>
      </c>
    </row>
    <row r="52" spans="1:16" ht="15.6">
      <c r="A52" s="53" t="str">
        <v>Parlier - WTP</v>
      </c>
      <c r="B52" s="29" t="str">
        <v>CA</v>
      </c>
      <c r="C52" s="24">
        <v>28581</v>
      </c>
      <c r="D52" s="13" t="s">
        <v>22</v>
      </c>
      <c r="E52" s="13" t="str">
        <f t="shared" si="8"/>
        <v/>
      </c>
      <c r="F52" s="13" t="str">
        <f t="shared" si="9"/>
        <v/>
      </c>
      <c r="G52" s="96">
        <v>41703.35</v>
      </c>
      <c r="H52" s="96">
        <f t="shared" si="10"/>
        <v>-13122.349999999999</v>
      </c>
      <c r="I52" s="16">
        <f t="shared" si="3"/>
        <v>-0.31465937388722964</v>
      </c>
      <c r="J52" s="57" t="s">
        <v>119</v>
      </c>
      <c r="K52" s="107"/>
    </row>
    <row r="53" spans="1:16" ht="39.6">
      <c r="A53" s="52" t="str">
        <v>Snowline SD - Quail Valley MS</v>
      </c>
      <c r="B53" s="31" t="str">
        <v>CA</v>
      </c>
      <c r="C53" s="11">
        <v>25219</v>
      </c>
      <c r="D53" s="18" t="s">
        <v>22</v>
      </c>
      <c r="E53" s="18" t="str">
        <f t="shared" si="8"/>
        <v/>
      </c>
      <c r="F53" s="18" t="str">
        <f t="shared" si="9"/>
        <v/>
      </c>
      <c r="G53" s="95">
        <v>24415.41</v>
      </c>
      <c r="H53" s="95">
        <f t="shared" si="10"/>
        <v>803.59000000000015</v>
      </c>
      <c r="I53" s="19">
        <f t="shared" si="3"/>
        <v>3.2913229800359697E-2</v>
      </c>
      <c r="J53" s="55" t="s">
        <v>154</v>
      </c>
      <c r="K53" s="109" t="s">
        <v>88</v>
      </c>
      <c r="L53" s="105" t="s">
        <v>89</v>
      </c>
      <c r="M53" s="105" t="s">
        <v>90</v>
      </c>
    </row>
    <row r="54" spans="1:16" ht="15.6">
      <c r="A54" s="53" t="str">
        <v>Snowline SD - Serrano HS - Middle Lot</v>
      </c>
      <c r="B54" s="29" t="str">
        <v>CA</v>
      </c>
      <c r="C54" s="24">
        <v>21035</v>
      </c>
      <c r="D54" s="13" t="s">
        <v>22</v>
      </c>
      <c r="E54" s="13" t="str">
        <f t="shared" si="8"/>
        <v/>
      </c>
      <c r="F54" s="13" t="str">
        <f t="shared" si="9"/>
        <v/>
      </c>
      <c r="G54" s="96">
        <v>28500.77</v>
      </c>
      <c r="H54" s="96">
        <f t="shared" si="10"/>
        <v>-7465.77</v>
      </c>
      <c r="I54" s="16">
        <f t="shared" si="3"/>
        <v>-0.26194976486600186</v>
      </c>
      <c r="J54" s="57" t="s">
        <v>119</v>
      </c>
      <c r="K54" s="107"/>
    </row>
    <row r="55" spans="1:16" ht="15.6">
      <c r="A55" s="52" t="str">
        <v>Snowline SD - Pinon Hills ES</v>
      </c>
      <c r="B55" s="31" t="str">
        <v>CA</v>
      </c>
      <c r="C55" s="11">
        <v>9673</v>
      </c>
      <c r="D55" s="18" t="s">
        <v>22</v>
      </c>
      <c r="E55" s="18" t="str">
        <f t="shared" si="8"/>
        <v/>
      </c>
      <c r="F55" s="18" t="str">
        <f t="shared" si="9"/>
        <v/>
      </c>
      <c r="G55" s="95">
        <v>14901.16</v>
      </c>
      <c r="H55" s="95">
        <f t="shared" si="10"/>
        <v>-5228.16</v>
      </c>
      <c r="I55" s="19">
        <f t="shared" si="3"/>
        <v>-0.35085590652002929</v>
      </c>
      <c r="J55" s="124" t="s">
        <v>91</v>
      </c>
      <c r="K55" s="106" t="s">
        <v>92</v>
      </c>
    </row>
    <row r="56" spans="1:16" ht="15.6">
      <c r="A56" s="53" t="str">
        <v>Ramona - Santa Maria WTP</v>
      </c>
      <c r="B56" s="29" t="str">
        <v>CA</v>
      </c>
      <c r="C56" s="24">
        <v>53315</v>
      </c>
      <c r="D56" s="13" t="s">
        <v>22</v>
      </c>
      <c r="E56" s="13" t="str">
        <f t="shared" si="8"/>
        <v/>
      </c>
      <c r="F56" s="13" t="str">
        <f t="shared" si="9"/>
        <v/>
      </c>
      <c r="G56" s="96">
        <v>56951.14</v>
      </c>
      <c r="H56" s="96">
        <f t="shared" si="10"/>
        <v>-3636.1399999999994</v>
      </c>
      <c r="I56" s="16">
        <f t="shared" si="3"/>
        <v>-6.384665873238006E-2</v>
      </c>
      <c r="J56" s="57"/>
      <c r="K56" s="57"/>
    </row>
    <row r="57" spans="1:16" ht="28.9">
      <c r="A57" s="52" t="str">
        <v>Kohls - Redding</v>
      </c>
      <c r="B57" s="31" t="str">
        <v>CA</v>
      </c>
      <c r="C57" s="11">
        <v>19554</v>
      </c>
      <c r="D57" s="18" t="s">
        <v>22</v>
      </c>
      <c r="E57" s="18" t="str">
        <f t="shared" si="8"/>
        <v/>
      </c>
      <c r="F57" s="18" t="str">
        <f t="shared" si="9"/>
        <v/>
      </c>
      <c r="G57" s="95">
        <v>16190.84</v>
      </c>
      <c r="H57" s="95">
        <f t="shared" si="10"/>
        <v>3363.16</v>
      </c>
      <c r="I57" s="19">
        <f t="shared" si="3"/>
        <v>0.207719920646489</v>
      </c>
      <c r="J57" s="55" t="s">
        <v>155</v>
      </c>
      <c r="K57" s="106" t="s">
        <v>94</v>
      </c>
      <c r="L57" s="105" t="s">
        <v>95</v>
      </c>
    </row>
    <row r="58" spans="1:16" ht="39.6">
      <c r="A58" s="53" t="str">
        <v>Kohls - Salinas</v>
      </c>
      <c r="B58" s="29" t="str">
        <v>CA</v>
      </c>
      <c r="C58" s="24">
        <v>23764</v>
      </c>
      <c r="D58" s="13" t="s">
        <v>22</v>
      </c>
      <c r="E58" s="13" t="str">
        <f t="shared" si="8"/>
        <v/>
      </c>
      <c r="F58" s="13" t="str">
        <f t="shared" si="9"/>
        <v/>
      </c>
      <c r="G58" s="96">
        <v>26628.06</v>
      </c>
      <c r="H58" s="96">
        <f t="shared" si="10"/>
        <v>-2864.0600000000013</v>
      </c>
      <c r="I58" s="16">
        <f t="shared" si="3"/>
        <v>-0.10755796704679203</v>
      </c>
      <c r="J58" s="57" t="s">
        <v>96</v>
      </c>
      <c r="K58" s="107" t="s">
        <v>156</v>
      </c>
      <c r="L58" s="105" t="s">
        <v>157</v>
      </c>
      <c r="M58" s="105" t="s">
        <v>98</v>
      </c>
      <c r="N58" s="105" t="s">
        <v>99</v>
      </c>
      <c r="O58" s="105" t="s">
        <v>100</v>
      </c>
    </row>
    <row r="59" spans="1:16" ht="15.6">
      <c r="A59" s="52" t="str">
        <v>Kohls - San Bernardino - Central</v>
      </c>
      <c r="B59" s="31" t="str">
        <v>CA</v>
      </c>
      <c r="C59" s="11">
        <v>104632</v>
      </c>
      <c r="D59" s="18" t="s">
        <v>22</v>
      </c>
      <c r="E59" s="18" t="str">
        <f t="shared" si="8"/>
        <v/>
      </c>
      <c r="F59" s="18" t="str">
        <f t="shared" si="9"/>
        <v/>
      </c>
      <c r="G59" s="95">
        <v>119205.82</v>
      </c>
      <c r="H59" s="95">
        <f t="shared" si="10"/>
        <v>-14573.820000000007</v>
      </c>
      <c r="I59" s="19">
        <f t="shared" si="3"/>
        <v>-0.12225762131412717</v>
      </c>
      <c r="J59" s="55"/>
      <c r="K59" s="58"/>
    </row>
    <row r="60" spans="1:16" ht="86.45">
      <c r="A60" s="53" t="str">
        <v>Kohls - Sonora</v>
      </c>
      <c r="B60" s="29" t="str">
        <v>CA</v>
      </c>
      <c r="C60" s="24">
        <v>17057</v>
      </c>
      <c r="D60" s="13" t="s">
        <v>22</v>
      </c>
      <c r="E60" s="13" t="str">
        <f t="shared" si="8"/>
        <v/>
      </c>
      <c r="F60" s="13" t="str">
        <f t="shared" si="9"/>
        <v/>
      </c>
      <c r="G60" s="96">
        <v>17675.439999999999</v>
      </c>
      <c r="H60" s="96">
        <f t="shared" si="10"/>
        <v>-618.43999999999869</v>
      </c>
      <c r="I60" s="16">
        <f t="shared" si="3"/>
        <v>-3.498866223415082E-2</v>
      </c>
      <c r="J60" s="57" t="s">
        <v>158</v>
      </c>
      <c r="K60" s="107" t="s">
        <v>159</v>
      </c>
      <c r="L60" s="105" t="s">
        <v>160</v>
      </c>
      <c r="M60" s="105" t="s">
        <v>103</v>
      </c>
      <c r="N60" s="105" t="s">
        <v>160</v>
      </c>
      <c r="O60" s="105" t="s">
        <v>103</v>
      </c>
      <c r="P60" s="105" t="s">
        <v>160</v>
      </c>
    </row>
    <row r="61" spans="1:16" ht="15.6">
      <c r="A61" s="52" t="str">
        <v>CUSD - Stratford ES</v>
      </c>
      <c r="B61" s="31" t="str">
        <v>CA</v>
      </c>
      <c r="C61" s="11">
        <v>17954</v>
      </c>
      <c r="D61" s="18" t="s">
        <v>22</v>
      </c>
      <c r="E61" s="18" t="str">
        <f t="shared" si="8"/>
        <v/>
      </c>
      <c r="F61" s="18" t="str">
        <f t="shared" si="9"/>
        <v/>
      </c>
      <c r="G61" s="95">
        <v>14369.22</v>
      </c>
      <c r="H61" s="95">
        <f t="shared" si="10"/>
        <v>3584.7800000000007</v>
      </c>
      <c r="I61" s="19">
        <f t="shared" si="3"/>
        <v>0.24947631117068295</v>
      </c>
      <c r="J61" s="113" t="s">
        <v>119</v>
      </c>
      <c r="K61" s="58"/>
    </row>
    <row r="62" spans="1:16" ht="15.6">
      <c r="A62" s="53" t="str">
        <v>Taft - City Hall</v>
      </c>
      <c r="B62" s="29" t="str">
        <v>CA</v>
      </c>
      <c r="C62" s="24">
        <v>2255</v>
      </c>
      <c r="D62" s="13" t="s">
        <v>22</v>
      </c>
      <c r="E62" s="13" t="str">
        <f t="shared" si="8"/>
        <v/>
      </c>
      <c r="F62" s="13" t="str">
        <f t="shared" si="9"/>
        <v/>
      </c>
      <c r="G62" s="96">
        <v>5204.3599999999997</v>
      </c>
      <c r="H62" s="96">
        <f t="shared" si="10"/>
        <v>-2949.3599999999997</v>
      </c>
      <c r="I62" s="16">
        <f t="shared" si="3"/>
        <v>-0.56670945130621242</v>
      </c>
      <c r="J62" s="57" t="s">
        <v>119</v>
      </c>
      <c r="K62" s="107"/>
      <c r="L62" s="105"/>
      <c r="M62" s="105"/>
      <c r="N62" s="105"/>
      <c r="O62" s="105"/>
      <c r="P62" s="105"/>
    </row>
    <row r="63" spans="1:16" ht="15.6">
      <c r="A63" s="52" t="str">
        <v>Taft - Federal Prison</v>
      </c>
      <c r="B63" s="31" t="str">
        <v>CA</v>
      </c>
      <c r="C63" s="11">
        <v>12088</v>
      </c>
      <c r="D63" s="18" t="s">
        <v>22</v>
      </c>
      <c r="E63" s="18" t="str">
        <f t="shared" si="8"/>
        <v/>
      </c>
      <c r="F63" s="18" t="str">
        <f t="shared" si="9"/>
        <v/>
      </c>
      <c r="G63" s="95">
        <v>8981.2199999999993</v>
      </c>
      <c r="H63" s="95">
        <f t="shared" si="10"/>
        <v>3106.7800000000007</v>
      </c>
      <c r="I63" s="19">
        <f t="shared" si="3"/>
        <v>0.3459195966694949</v>
      </c>
      <c r="J63" s="113" t="s">
        <v>119</v>
      </c>
      <c r="K63" s="58"/>
    </row>
    <row r="64" spans="1:16" ht="15.6">
      <c r="A64" s="53" t="str">
        <v>Taft - Police Department</v>
      </c>
      <c r="B64" s="29" t="str">
        <v>CA</v>
      </c>
      <c r="C64" s="24">
        <v>7698</v>
      </c>
      <c r="D64" s="13" t="s">
        <v>22</v>
      </c>
      <c r="E64" s="13" t="str">
        <f t="shared" si="8"/>
        <v/>
      </c>
      <c r="F64" s="13" t="str">
        <f t="shared" si="9"/>
        <v/>
      </c>
      <c r="G64" s="96">
        <v>5975.61</v>
      </c>
      <c r="H64" s="96">
        <f t="shared" si="10"/>
        <v>1722.3900000000003</v>
      </c>
      <c r="I64" s="16">
        <f t="shared" si="3"/>
        <v>0.28823668211278858</v>
      </c>
      <c r="J64" s="57" t="s">
        <v>119</v>
      </c>
      <c r="K64" s="107"/>
      <c r="L64" s="105"/>
      <c r="M64" s="105"/>
      <c r="N64" s="105"/>
      <c r="O64" s="105"/>
      <c r="P64" s="105"/>
    </row>
    <row r="65" spans="1:13" ht="43.15">
      <c r="A65" s="52" t="str">
        <v>Taft - WTP</v>
      </c>
      <c r="B65" s="31" t="str">
        <v>CA</v>
      </c>
      <c r="C65" s="11">
        <v>12661</v>
      </c>
      <c r="D65" s="18" t="s">
        <v>22</v>
      </c>
      <c r="E65" s="18" t="str">
        <f t="shared" si="8"/>
        <v/>
      </c>
      <c r="F65" s="18" t="str">
        <f t="shared" si="9"/>
        <v/>
      </c>
      <c r="G65" s="95">
        <v>39816.160000000003</v>
      </c>
      <c r="H65" s="95">
        <f t="shared" si="10"/>
        <v>-27155.160000000003</v>
      </c>
      <c r="I65" s="19">
        <f t="shared" si="3"/>
        <v>-0.68201353420319788</v>
      </c>
      <c r="J65" s="55" t="s">
        <v>161</v>
      </c>
      <c r="K65" s="106" t="s">
        <v>105</v>
      </c>
      <c r="L65" s="105" t="s">
        <v>106</v>
      </c>
    </row>
    <row r="66" spans="1:13" ht="43.15">
      <c r="A66" s="53" t="str">
        <v>CDCR - CA Correctional Institution</v>
      </c>
      <c r="B66" s="29" t="str">
        <v>CA</v>
      </c>
      <c r="C66" s="24">
        <v>94563</v>
      </c>
      <c r="D66" s="13" t="s">
        <v>22</v>
      </c>
      <c r="E66" s="13" t="str">
        <f t="shared" si="8"/>
        <v/>
      </c>
      <c r="F66" s="13" t="str">
        <f t="shared" si="9"/>
        <v/>
      </c>
      <c r="G66" s="96">
        <v>111535.07</v>
      </c>
      <c r="H66" s="96">
        <f t="shared" si="10"/>
        <v>-16972.070000000007</v>
      </c>
      <c r="I66" s="16">
        <f t="shared" si="3"/>
        <v>-0.15216801316393136</v>
      </c>
      <c r="J66" s="57" t="s">
        <v>162</v>
      </c>
      <c r="K66" s="107" t="s">
        <v>163</v>
      </c>
      <c r="L66" s="105" t="s">
        <v>109</v>
      </c>
      <c r="M66" s="105" t="s">
        <v>110</v>
      </c>
    </row>
    <row r="67" spans="1:13" ht="43.15">
      <c r="A67" s="52" t="str">
        <v>CDCR - CA Correctional Institution II</v>
      </c>
      <c r="B67" s="31" t="str">
        <v>CA</v>
      </c>
      <c r="C67" s="11">
        <v>112446</v>
      </c>
      <c r="D67" s="18" t="s">
        <v>22</v>
      </c>
      <c r="E67" s="18" t="str">
        <f t="shared" si="8"/>
        <v/>
      </c>
      <c r="F67" s="18" t="str">
        <f t="shared" si="9"/>
        <v/>
      </c>
      <c r="G67" s="95">
        <v>177907.85</v>
      </c>
      <c r="H67" s="95">
        <f t="shared" si="10"/>
        <v>-65461.850000000006</v>
      </c>
      <c r="I67" s="19">
        <f t="shared" si="3"/>
        <v>-0.36795369063253813</v>
      </c>
      <c r="J67" s="55" t="s">
        <v>164</v>
      </c>
      <c r="K67" s="106" t="s">
        <v>112</v>
      </c>
      <c r="L67" s="105" t="s">
        <v>113</v>
      </c>
      <c r="M67" s="105" t="s">
        <v>114</v>
      </c>
    </row>
    <row r="68" spans="1:13" ht="15.6">
      <c r="A68" s="53" t="str">
        <v>Snowline SD - Vista Verde ES</v>
      </c>
      <c r="B68" s="29" t="str">
        <v>CA</v>
      </c>
      <c r="C68" s="24">
        <v>21035</v>
      </c>
      <c r="D68" s="13" t="s">
        <v>22</v>
      </c>
      <c r="E68" s="13" t="str">
        <f t="shared" si="8"/>
        <v/>
      </c>
      <c r="F68" s="13" t="str">
        <f t="shared" si="9"/>
        <v/>
      </c>
      <c r="G68" s="96">
        <v>17891.25</v>
      </c>
      <c r="H68" s="96">
        <f t="shared" si="10"/>
        <v>3143.75</v>
      </c>
      <c r="I68" s="16">
        <f t="shared" si="3"/>
        <v>0.17571438552364982</v>
      </c>
      <c r="J68" s="41"/>
      <c r="K68" s="41"/>
    </row>
    <row r="69" spans="1:13" ht="28.9">
      <c r="A69" s="52" t="str">
        <v>North Stonington</v>
      </c>
      <c r="B69" s="31" t="str">
        <v>CT</v>
      </c>
      <c r="C69" s="11">
        <v>908110</v>
      </c>
      <c r="D69" s="18" t="s">
        <v>22</v>
      </c>
      <c r="E69" s="18" t="str">
        <f t="shared" si="8"/>
        <v/>
      </c>
      <c r="F69" s="18"/>
      <c r="G69" s="95">
        <v>0</v>
      </c>
      <c r="H69" s="95">
        <f t="shared" si="10"/>
        <v>908110</v>
      </c>
      <c r="I69" s="19"/>
      <c r="J69" s="55" t="s">
        <v>165</v>
      </c>
      <c r="K69" s="106" t="s">
        <v>116</v>
      </c>
      <c r="L69" s="105"/>
      <c r="M69" s="105"/>
    </row>
    <row r="70" spans="1:13" ht="14.45">
      <c r="A70" s="21"/>
      <c r="B70" s="33"/>
      <c r="C70" s="21"/>
      <c r="D70" s="21"/>
      <c r="E70" s="21"/>
      <c r="F70" s="22"/>
      <c r="G70" s="21"/>
      <c r="H70" s="100"/>
      <c r="I70" s="22"/>
      <c r="J70" s="21"/>
      <c r="K70" s="21"/>
    </row>
    <row r="71" spans="1:13" ht="14.45">
      <c r="A71" s="21"/>
      <c r="B71" s="33"/>
      <c r="C71" s="21"/>
      <c r="D71" s="21"/>
      <c r="E71" s="21"/>
      <c r="F71" s="22"/>
      <c r="G71" s="21"/>
      <c r="H71" s="100"/>
      <c r="I71" s="22"/>
      <c r="J71" s="21"/>
      <c r="K71" s="21"/>
    </row>
    <row r="72" spans="1:13" ht="14.45">
      <c r="A72" s="21"/>
      <c r="B72" s="33"/>
      <c r="C72" s="21"/>
      <c r="D72" s="21"/>
      <c r="E72" s="21"/>
      <c r="F72" s="22"/>
      <c r="G72" s="21"/>
      <c r="H72" s="100"/>
      <c r="I72" s="22"/>
      <c r="J72" s="21"/>
      <c r="K72" s="21"/>
    </row>
    <row r="73" spans="1:13" ht="14.45">
      <c r="A73" s="21"/>
      <c r="B73" s="33"/>
      <c r="C73" s="21"/>
      <c r="D73" s="21"/>
      <c r="E73" s="21"/>
      <c r="F73" s="22"/>
      <c r="G73" s="21"/>
      <c r="H73" s="100"/>
      <c r="I73" s="22"/>
      <c r="J73" s="21"/>
      <c r="K73" s="21"/>
    </row>
    <row r="74" spans="1:13" ht="14.45">
      <c r="A74" s="21"/>
      <c r="B74" s="33"/>
      <c r="C74" s="21"/>
      <c r="D74" s="21"/>
      <c r="E74" s="21"/>
      <c r="F74" s="22"/>
      <c r="G74" s="21"/>
      <c r="H74" s="100"/>
      <c r="I74" s="22"/>
      <c r="J74" s="21"/>
      <c r="K74" s="21"/>
    </row>
    <row r="75" spans="1:13" ht="14.45">
      <c r="A75" s="21"/>
      <c r="B75" s="33"/>
      <c r="C75" s="21"/>
      <c r="D75" s="21"/>
      <c r="E75" s="21"/>
      <c r="F75" s="22"/>
      <c r="G75" s="21"/>
      <c r="H75" s="100"/>
      <c r="I75" s="22"/>
      <c r="J75" s="21"/>
      <c r="K75" s="21"/>
    </row>
    <row r="76" spans="1:13" ht="14.45">
      <c r="A76" s="21"/>
      <c r="B76" s="33"/>
      <c r="C76" s="21"/>
      <c r="D76" s="21"/>
      <c r="E76" s="21"/>
      <c r="F76" s="22"/>
      <c r="G76" s="21"/>
      <c r="H76" s="100"/>
      <c r="I76" s="22"/>
      <c r="J76" s="21"/>
      <c r="K76" s="21"/>
    </row>
    <row r="77" spans="1:13" ht="14.45">
      <c r="A77" s="21"/>
      <c r="B77" s="33"/>
      <c r="C77" s="21"/>
      <c r="D77" s="21"/>
      <c r="E77" s="21"/>
      <c r="F77" s="22"/>
      <c r="G77" s="21"/>
      <c r="H77" s="100"/>
      <c r="I77" s="22"/>
      <c r="J77" s="21"/>
      <c r="K77" s="21"/>
    </row>
    <row r="78" spans="1:13" ht="14.45">
      <c r="A78" s="21"/>
      <c r="B78" s="33"/>
      <c r="C78" s="21"/>
      <c r="D78" s="21"/>
      <c r="E78" s="21"/>
      <c r="F78" s="22"/>
      <c r="G78" s="21"/>
      <c r="H78" s="100"/>
      <c r="I78" s="22"/>
      <c r="J78" s="21"/>
      <c r="K78" s="21"/>
    </row>
    <row r="79" spans="1:13" ht="14.45">
      <c r="A79" s="21"/>
      <c r="B79" s="33"/>
      <c r="C79" s="21"/>
      <c r="D79" s="21"/>
      <c r="E79" s="21"/>
      <c r="F79" s="22"/>
      <c r="G79" s="21"/>
      <c r="H79" s="100"/>
      <c r="I79" s="22"/>
      <c r="J79" s="21"/>
      <c r="K79" s="21"/>
    </row>
    <row r="80" spans="1:13" ht="14.45">
      <c r="A80" s="21"/>
      <c r="B80" s="33"/>
      <c r="C80" s="21"/>
      <c r="D80" s="21"/>
      <c r="E80" s="21"/>
      <c r="F80" s="22"/>
      <c r="G80" s="21"/>
      <c r="H80" s="100"/>
      <c r="I80" s="22"/>
      <c r="J80" s="21"/>
      <c r="K80" s="21"/>
    </row>
    <row r="81" spans="1:11" ht="14.45">
      <c r="A81" s="21"/>
      <c r="B81" s="33"/>
      <c r="C81" s="21"/>
      <c r="D81" s="21"/>
      <c r="E81" s="21"/>
      <c r="F81" s="22"/>
      <c r="G81" s="21"/>
      <c r="H81" s="100"/>
      <c r="I81" s="22"/>
      <c r="J81" s="21"/>
      <c r="K81" s="21"/>
    </row>
    <row r="82" spans="1:11" ht="14.45">
      <c r="A82" s="21"/>
      <c r="B82" s="33"/>
      <c r="C82" s="21"/>
      <c r="D82" s="21"/>
      <c r="E82" s="21"/>
      <c r="F82" s="22"/>
      <c r="G82" s="21"/>
      <c r="H82" s="100"/>
      <c r="I82" s="22"/>
      <c r="J82" s="21"/>
      <c r="K82" s="21"/>
    </row>
    <row r="83" spans="1:11" ht="14.45">
      <c r="A83" s="21"/>
      <c r="B83" s="33"/>
      <c r="C83" s="21"/>
      <c r="D83" s="21"/>
      <c r="E83" s="21"/>
      <c r="F83" s="22"/>
      <c r="G83" s="21"/>
      <c r="H83" s="100"/>
      <c r="I83" s="22"/>
      <c r="J83" s="21"/>
      <c r="K83" s="21"/>
    </row>
    <row r="84" spans="1:11" ht="14.45">
      <c r="A84" s="21"/>
      <c r="B84" s="33"/>
      <c r="C84" s="21"/>
      <c r="D84" s="21"/>
      <c r="E84" s="21"/>
      <c r="F84" s="22"/>
      <c r="G84" s="21"/>
      <c r="H84" s="100"/>
      <c r="I84" s="22"/>
      <c r="J84" s="21"/>
      <c r="K84" s="21"/>
    </row>
    <row r="85" spans="1:11" ht="14.45">
      <c r="A85" s="21"/>
      <c r="B85" s="33"/>
      <c r="C85" s="21"/>
      <c r="D85" s="21"/>
      <c r="E85" s="21"/>
      <c r="F85" s="22"/>
      <c r="G85" s="21"/>
      <c r="H85" s="100"/>
      <c r="I85" s="22"/>
      <c r="J85" s="21"/>
      <c r="K85" s="21"/>
    </row>
    <row r="86" spans="1:11" ht="14.45">
      <c r="A86" s="21"/>
      <c r="B86" s="33"/>
      <c r="C86" s="21"/>
      <c r="D86" s="21"/>
      <c r="E86" s="21"/>
      <c r="F86" s="22"/>
      <c r="G86" s="21"/>
      <c r="H86" s="100"/>
      <c r="I86" s="22"/>
      <c r="J86" s="21"/>
      <c r="K86" s="21"/>
    </row>
    <row r="87" spans="1:11" ht="14.45">
      <c r="A87" s="21"/>
      <c r="B87" s="33"/>
      <c r="C87" s="21"/>
      <c r="D87" s="21"/>
      <c r="E87" s="21"/>
      <c r="F87" s="22"/>
      <c r="G87" s="21"/>
      <c r="H87" s="100"/>
      <c r="I87" s="22"/>
      <c r="J87" s="21"/>
      <c r="K87" s="21"/>
    </row>
    <row r="88" spans="1:11" ht="14.45">
      <c r="A88" s="21"/>
      <c r="B88" s="33"/>
      <c r="C88" s="21"/>
      <c r="D88" s="21"/>
      <c r="E88" s="21"/>
      <c r="F88" s="22"/>
      <c r="G88" s="21"/>
      <c r="H88" s="100"/>
      <c r="I88" s="22"/>
      <c r="J88" s="21"/>
      <c r="K88" s="21"/>
    </row>
    <row r="89" spans="1:11" ht="14.45">
      <c r="A89" s="21"/>
      <c r="B89" s="33"/>
      <c r="C89" s="21"/>
      <c r="D89" s="21"/>
      <c r="E89" s="21"/>
      <c r="F89" s="22"/>
      <c r="G89" s="21"/>
      <c r="H89" s="100"/>
      <c r="I89" s="22"/>
      <c r="J89" s="21"/>
      <c r="K89" s="21"/>
    </row>
    <row r="90" spans="1:11" ht="14.45">
      <c r="A90" s="21"/>
      <c r="B90" s="33"/>
      <c r="C90" s="21"/>
      <c r="D90" s="21"/>
      <c r="E90" s="21"/>
      <c r="F90" s="22"/>
      <c r="G90" s="21"/>
      <c r="H90" s="100"/>
      <c r="I90" s="22"/>
      <c r="J90" s="21"/>
      <c r="K90" s="21"/>
    </row>
    <row r="91" spans="1:11" ht="14.45">
      <c r="A91" s="21"/>
      <c r="B91" s="33"/>
      <c r="C91" s="21"/>
      <c r="D91" s="21"/>
      <c r="E91" s="21"/>
      <c r="F91" s="22"/>
      <c r="G91" s="21"/>
      <c r="H91" s="100"/>
      <c r="I91" s="22"/>
      <c r="J91" s="21"/>
      <c r="K91" s="21"/>
    </row>
    <row r="92" spans="1:11" ht="14.45">
      <c r="A92" s="21"/>
      <c r="B92" s="33"/>
      <c r="C92" s="21"/>
      <c r="D92" s="21"/>
      <c r="E92" s="21"/>
      <c r="F92" s="22"/>
      <c r="G92" s="21"/>
      <c r="H92" s="100"/>
      <c r="I92" s="22"/>
      <c r="J92" s="21"/>
      <c r="K92" s="21"/>
    </row>
    <row r="93" spans="1:11" ht="14.45">
      <c r="A93" s="21"/>
      <c r="B93" s="33"/>
      <c r="C93" s="21"/>
      <c r="D93" s="21"/>
      <c r="E93" s="21"/>
      <c r="F93" s="22"/>
      <c r="G93" s="21"/>
      <c r="H93" s="100"/>
      <c r="I93" s="22"/>
      <c r="J93" s="21"/>
      <c r="K93" s="21"/>
    </row>
    <row r="94" spans="1:11" ht="14.45">
      <c r="A94" s="21"/>
      <c r="B94" s="33"/>
      <c r="C94" s="21"/>
      <c r="D94" s="21"/>
      <c r="E94" s="21"/>
      <c r="F94" s="22"/>
      <c r="G94" s="21"/>
      <c r="H94" s="100"/>
      <c r="I94" s="22"/>
      <c r="J94" s="21"/>
      <c r="K94" s="21"/>
    </row>
    <row r="95" spans="1:11" ht="14.45">
      <c r="A95" s="21"/>
      <c r="B95" s="33"/>
      <c r="C95" s="21"/>
      <c r="D95" s="21"/>
      <c r="E95" s="21"/>
      <c r="F95" s="22"/>
      <c r="G95" s="21"/>
      <c r="H95" s="100"/>
      <c r="I95" s="22"/>
      <c r="J95" s="21"/>
      <c r="K95" s="21"/>
    </row>
    <row r="96" spans="1:11" ht="14.45">
      <c r="A96" s="21"/>
      <c r="B96" s="33"/>
      <c r="C96" s="21"/>
      <c r="D96" s="21"/>
      <c r="E96" s="21"/>
      <c r="F96" s="22"/>
      <c r="G96" s="21"/>
      <c r="H96" s="100"/>
      <c r="I96" s="22"/>
      <c r="J96" s="21"/>
      <c r="K96" s="21"/>
    </row>
    <row r="97" spans="1:11" ht="14.45">
      <c r="A97" s="21"/>
      <c r="B97" s="33"/>
      <c r="C97" s="21"/>
      <c r="D97" s="21"/>
      <c r="E97" s="21"/>
      <c r="F97" s="22"/>
      <c r="G97" s="21"/>
      <c r="H97" s="100"/>
      <c r="I97" s="22"/>
      <c r="J97" s="21"/>
      <c r="K97" s="21"/>
    </row>
    <row r="98" spans="1:11" ht="14.45">
      <c r="A98" s="21"/>
      <c r="B98" s="33"/>
      <c r="C98" s="21"/>
      <c r="D98" s="21"/>
      <c r="E98" s="21"/>
      <c r="F98" s="22"/>
      <c r="G98" s="21"/>
      <c r="H98" s="100"/>
      <c r="I98" s="22"/>
      <c r="J98" s="21"/>
      <c r="K98" s="21"/>
    </row>
    <row r="99" spans="1:11" ht="14.45">
      <c r="A99" s="21"/>
      <c r="B99" s="33"/>
      <c r="C99" s="21"/>
      <c r="D99" s="21"/>
      <c r="E99" s="21"/>
      <c r="F99" s="22"/>
      <c r="G99" s="21"/>
      <c r="H99" s="100"/>
      <c r="I99" s="22"/>
      <c r="J99" s="21"/>
      <c r="K99" s="21"/>
    </row>
    <row r="100" spans="1:11" ht="14.45">
      <c r="A100" s="21"/>
      <c r="B100" s="33"/>
      <c r="C100" s="21"/>
      <c r="D100" s="21"/>
      <c r="E100" s="21"/>
      <c r="F100" s="22"/>
      <c r="G100" s="21"/>
      <c r="H100" s="100"/>
      <c r="I100" s="22"/>
      <c r="J100" s="21"/>
      <c r="K100" s="21"/>
    </row>
    <row r="101" spans="1:11" ht="14.45">
      <c r="A101" s="21"/>
      <c r="B101" s="33"/>
      <c r="C101" s="21"/>
      <c r="D101" s="21"/>
      <c r="E101" s="21"/>
      <c r="F101" s="22"/>
      <c r="G101" s="21"/>
      <c r="H101" s="100"/>
      <c r="I101" s="22"/>
      <c r="J101" s="21"/>
      <c r="K101" s="21"/>
    </row>
    <row r="102" spans="1:11" ht="14.45">
      <c r="A102" s="21"/>
      <c r="B102" s="33"/>
      <c r="C102" s="21"/>
      <c r="D102" s="21"/>
      <c r="E102" s="21"/>
      <c r="F102" s="22"/>
      <c r="G102" s="21"/>
      <c r="H102" s="100"/>
      <c r="I102" s="22"/>
      <c r="J102" s="21"/>
      <c r="K102" s="21"/>
    </row>
    <row r="103" spans="1:11" ht="14.45">
      <c r="A103" s="21"/>
      <c r="B103" s="33"/>
      <c r="C103" s="21"/>
      <c r="D103" s="21"/>
      <c r="E103" s="21"/>
      <c r="F103" s="22"/>
      <c r="G103" s="21"/>
      <c r="H103" s="100"/>
      <c r="I103" s="22"/>
      <c r="J103" s="21"/>
      <c r="K103" s="21"/>
    </row>
    <row r="104" spans="1:11" ht="14.45">
      <c r="A104" s="21"/>
      <c r="B104" s="33"/>
      <c r="C104" s="21"/>
      <c r="D104" s="21"/>
      <c r="E104" s="21"/>
      <c r="F104" s="22"/>
      <c r="G104" s="21"/>
      <c r="H104" s="100"/>
      <c r="I104" s="22"/>
      <c r="J104" s="21"/>
      <c r="K104" s="21"/>
    </row>
    <row r="105" spans="1:11" ht="14.45">
      <c r="A105" s="21"/>
      <c r="B105" s="33"/>
      <c r="C105" s="21"/>
      <c r="D105" s="21"/>
      <c r="E105" s="21"/>
      <c r="F105" s="22"/>
      <c r="G105" s="21"/>
      <c r="H105" s="100"/>
      <c r="I105" s="22"/>
      <c r="J105" s="21"/>
      <c r="K105" s="21"/>
    </row>
    <row r="106" spans="1:11" ht="14.45">
      <c r="A106" s="21"/>
      <c r="B106" s="33"/>
      <c r="C106" s="21"/>
      <c r="D106" s="21"/>
      <c r="E106" s="21"/>
      <c r="F106" s="22"/>
      <c r="G106" s="21"/>
      <c r="H106" s="100"/>
      <c r="I106" s="22"/>
      <c r="J106" s="21"/>
      <c r="K106" s="21"/>
    </row>
    <row r="107" spans="1:11" ht="14.45">
      <c r="A107" s="21"/>
      <c r="B107" s="33"/>
      <c r="C107" s="21"/>
      <c r="D107" s="21"/>
      <c r="E107" s="21"/>
      <c r="F107" s="22"/>
      <c r="G107" s="21"/>
      <c r="H107" s="100"/>
      <c r="I107" s="22"/>
      <c r="J107" s="21"/>
      <c r="K107" s="21"/>
    </row>
    <row r="108" spans="1:11" ht="14.45">
      <c r="A108" s="21"/>
      <c r="B108" s="33"/>
      <c r="C108" s="21"/>
      <c r="D108" s="21"/>
      <c r="E108" s="21"/>
      <c r="F108" s="22"/>
      <c r="G108" s="21"/>
      <c r="H108" s="100"/>
      <c r="I108" s="22"/>
      <c r="J108" s="21"/>
      <c r="K108" s="21"/>
    </row>
    <row r="109" spans="1:11" ht="14.45">
      <c r="A109" s="21"/>
      <c r="B109" s="33"/>
      <c r="C109" s="21"/>
      <c r="D109" s="21"/>
      <c r="E109" s="21"/>
      <c r="F109" s="22"/>
      <c r="G109" s="21"/>
      <c r="H109" s="100"/>
      <c r="I109" s="22"/>
      <c r="J109" s="21"/>
      <c r="K109" s="21"/>
    </row>
    <row r="110" spans="1:11" ht="14.45">
      <c r="A110" s="21"/>
      <c r="B110" s="33"/>
      <c r="C110" s="21"/>
      <c r="D110" s="21"/>
      <c r="E110" s="21"/>
      <c r="F110" s="22"/>
      <c r="G110" s="21"/>
      <c r="H110" s="100"/>
      <c r="I110" s="22"/>
      <c r="J110" s="21"/>
      <c r="K110" s="21"/>
    </row>
    <row r="111" spans="1:11" ht="14.45">
      <c r="A111" s="21"/>
      <c r="B111" s="33"/>
      <c r="C111" s="21"/>
      <c r="D111" s="21"/>
      <c r="E111" s="21"/>
      <c r="F111" s="22"/>
      <c r="G111" s="21"/>
      <c r="H111" s="100"/>
      <c r="I111" s="22"/>
      <c r="J111" s="21"/>
      <c r="K111" s="21"/>
    </row>
    <row r="112" spans="1:11" ht="14.45">
      <c r="A112" s="21"/>
      <c r="B112" s="33"/>
      <c r="C112" s="21"/>
      <c r="D112" s="21"/>
      <c r="E112" s="21"/>
      <c r="F112" s="22"/>
      <c r="G112" s="21"/>
      <c r="H112" s="100"/>
      <c r="I112" s="22"/>
      <c r="J112" s="21"/>
      <c r="K112" s="21"/>
    </row>
    <row r="113" spans="1:11" ht="14.45">
      <c r="A113" s="21"/>
      <c r="B113" s="33"/>
      <c r="C113" s="21"/>
      <c r="D113" s="21"/>
      <c r="E113" s="21"/>
      <c r="F113" s="22"/>
      <c r="G113" s="21"/>
      <c r="H113" s="100"/>
      <c r="I113" s="22"/>
      <c r="J113" s="21"/>
      <c r="K113" s="21"/>
    </row>
    <row r="114" spans="1:11" ht="14.45">
      <c r="A114" s="21"/>
      <c r="B114" s="33"/>
      <c r="C114" s="21"/>
      <c r="D114" s="21"/>
      <c r="E114" s="21"/>
      <c r="F114" s="22"/>
      <c r="G114" s="21"/>
      <c r="H114" s="100"/>
      <c r="I114" s="22"/>
      <c r="J114" s="21"/>
      <c r="K114" s="21"/>
    </row>
    <row r="115" spans="1:11" ht="14.45">
      <c r="A115" s="21"/>
      <c r="B115" s="33"/>
      <c r="C115" s="21"/>
      <c r="D115" s="21"/>
      <c r="E115" s="21"/>
      <c r="F115" s="22"/>
      <c r="G115" s="21"/>
      <c r="H115" s="100"/>
      <c r="I115" s="22"/>
      <c r="J115" s="21"/>
      <c r="K115" s="21"/>
    </row>
    <row r="116" spans="1:11" ht="14.45">
      <c r="A116" s="21"/>
      <c r="B116" s="33"/>
      <c r="C116" s="21"/>
      <c r="D116" s="21"/>
      <c r="E116" s="21"/>
      <c r="F116" s="22"/>
      <c r="G116" s="21"/>
      <c r="H116" s="100"/>
      <c r="I116" s="22"/>
      <c r="J116" s="21"/>
      <c r="K116" s="21"/>
    </row>
    <row r="117" spans="1:11" ht="14.45">
      <c r="A117" s="21"/>
      <c r="B117" s="33"/>
      <c r="C117" s="21"/>
      <c r="D117" s="21"/>
      <c r="E117" s="21"/>
      <c r="F117" s="22"/>
      <c r="G117" s="21"/>
      <c r="H117" s="100"/>
      <c r="I117" s="22"/>
      <c r="J117" s="21"/>
      <c r="K117" s="21"/>
    </row>
    <row r="118" spans="1:11" ht="14.45">
      <c r="A118" s="21"/>
      <c r="B118" s="33"/>
      <c r="C118" s="21"/>
      <c r="D118" s="21"/>
      <c r="E118" s="21"/>
      <c r="F118" s="22"/>
      <c r="G118" s="21"/>
      <c r="H118" s="100"/>
      <c r="I118" s="22"/>
      <c r="J118" s="21"/>
      <c r="K118" s="21"/>
    </row>
    <row r="119" spans="1:11" ht="14.45">
      <c r="A119" s="21"/>
      <c r="B119" s="33"/>
      <c r="C119" s="21"/>
      <c r="D119" s="21"/>
      <c r="E119" s="21"/>
      <c r="F119" s="22"/>
      <c r="G119" s="21"/>
      <c r="H119" s="100"/>
      <c r="I119" s="22"/>
      <c r="J119" s="21"/>
      <c r="K119" s="21"/>
    </row>
    <row r="120" spans="1:11" ht="14.45">
      <c r="A120" s="21"/>
      <c r="B120" s="33"/>
      <c r="C120" s="21"/>
      <c r="D120" s="21"/>
      <c r="E120" s="21"/>
      <c r="F120" s="22"/>
      <c r="G120" s="21"/>
      <c r="H120" s="100"/>
      <c r="I120" s="22"/>
      <c r="J120" s="21"/>
      <c r="K120" s="21"/>
    </row>
    <row r="121" spans="1:11" ht="14.45">
      <c r="A121" s="21"/>
      <c r="B121" s="33"/>
      <c r="C121" s="21"/>
      <c r="D121" s="21"/>
      <c r="E121" s="21"/>
      <c r="F121" s="22"/>
      <c r="G121" s="21"/>
      <c r="H121" s="100"/>
      <c r="I121" s="22"/>
      <c r="J121" s="21"/>
      <c r="K121" s="21"/>
    </row>
    <row r="122" spans="1:11" ht="14.45">
      <c r="A122" s="21"/>
      <c r="B122" s="33"/>
      <c r="C122" s="21"/>
      <c r="D122" s="21"/>
      <c r="E122" s="21"/>
      <c r="F122" s="22"/>
      <c r="G122" s="21"/>
      <c r="H122" s="100"/>
      <c r="I122" s="22"/>
      <c r="J122" s="21"/>
      <c r="K122" s="21"/>
    </row>
    <row r="123" spans="1:11" ht="14.45">
      <c r="A123" s="21"/>
      <c r="B123" s="33"/>
      <c r="C123" s="21"/>
      <c r="D123" s="21"/>
      <c r="E123" s="21"/>
      <c r="F123" s="22"/>
      <c r="G123" s="21"/>
      <c r="H123" s="100"/>
      <c r="I123" s="22"/>
      <c r="J123" s="21"/>
      <c r="K123" s="21"/>
    </row>
    <row r="124" spans="1:11" ht="14.45">
      <c r="A124" s="21"/>
      <c r="B124" s="33"/>
      <c r="C124" s="21"/>
      <c r="D124" s="21"/>
      <c r="E124" s="21"/>
      <c r="F124" s="22"/>
      <c r="G124" s="21"/>
      <c r="H124" s="100"/>
      <c r="I124" s="22"/>
      <c r="J124" s="21"/>
      <c r="K124" s="21"/>
    </row>
    <row r="125" spans="1:11" ht="14.45">
      <c r="A125" s="21"/>
      <c r="B125" s="33"/>
      <c r="C125" s="21"/>
      <c r="D125" s="21"/>
      <c r="E125" s="21"/>
      <c r="F125" s="22"/>
      <c r="G125" s="21"/>
      <c r="H125" s="100"/>
      <c r="I125" s="22"/>
      <c r="J125" s="21"/>
      <c r="K125" s="21"/>
    </row>
    <row r="126" spans="1:11" ht="14.45">
      <c r="A126" s="21"/>
      <c r="B126" s="33"/>
      <c r="C126" s="21"/>
      <c r="D126" s="21"/>
      <c r="E126" s="21"/>
      <c r="F126" s="22"/>
      <c r="G126" s="21"/>
      <c r="H126" s="100"/>
      <c r="I126" s="22"/>
      <c r="J126" s="21"/>
      <c r="K126" s="21"/>
    </row>
    <row r="127" spans="1:11" ht="14.45">
      <c r="A127" s="21"/>
      <c r="B127" s="33"/>
      <c r="C127" s="21"/>
      <c r="D127" s="21"/>
      <c r="E127" s="21"/>
      <c r="F127" s="22"/>
      <c r="G127" s="21"/>
      <c r="H127" s="100"/>
      <c r="I127" s="22"/>
      <c r="J127" s="21"/>
      <c r="K127" s="21"/>
    </row>
    <row r="128" spans="1:11" ht="14.45">
      <c r="A128" s="21"/>
      <c r="B128" s="33"/>
      <c r="C128" s="21"/>
      <c r="D128" s="21"/>
      <c r="E128" s="21"/>
      <c r="F128" s="22"/>
      <c r="G128" s="21"/>
      <c r="H128" s="100"/>
      <c r="I128" s="22"/>
      <c r="J128" s="21"/>
      <c r="K128" s="21"/>
    </row>
    <row r="129" spans="1:11" ht="14.45">
      <c r="A129" s="21"/>
      <c r="B129" s="33"/>
      <c r="C129" s="21"/>
      <c r="D129" s="21"/>
      <c r="E129" s="21"/>
      <c r="F129" s="22"/>
      <c r="G129" s="21"/>
      <c r="H129" s="100"/>
      <c r="I129" s="22"/>
      <c r="J129" s="21"/>
      <c r="K129" s="21"/>
    </row>
    <row r="130" spans="1:11" ht="14.45">
      <c r="A130" s="21"/>
      <c r="B130" s="33"/>
      <c r="C130" s="21"/>
      <c r="D130" s="21"/>
      <c r="E130" s="21"/>
      <c r="F130" s="22"/>
      <c r="G130" s="21"/>
      <c r="H130" s="100"/>
      <c r="I130" s="22"/>
      <c r="J130" s="21"/>
      <c r="K130" s="21"/>
    </row>
    <row r="131" spans="1:11" ht="14.45">
      <c r="A131" s="21"/>
      <c r="B131" s="33"/>
      <c r="C131" s="21"/>
      <c r="D131" s="21"/>
      <c r="E131" s="21"/>
      <c r="F131" s="22"/>
      <c r="G131" s="21"/>
      <c r="H131" s="100"/>
      <c r="I131" s="22"/>
      <c r="J131" s="21"/>
      <c r="K131" s="21"/>
    </row>
    <row r="132" spans="1:11" ht="14.45">
      <c r="A132" s="21"/>
      <c r="B132" s="33"/>
      <c r="C132" s="21"/>
      <c r="D132" s="21"/>
      <c r="E132" s="21"/>
      <c r="F132" s="22"/>
      <c r="G132" s="21"/>
      <c r="H132" s="100"/>
      <c r="I132" s="22"/>
      <c r="J132" s="21"/>
      <c r="K132" s="21"/>
    </row>
    <row r="133" spans="1:11" ht="14.45">
      <c r="A133" s="21"/>
      <c r="B133" s="33"/>
      <c r="C133" s="21"/>
      <c r="D133" s="21"/>
      <c r="E133" s="21"/>
      <c r="F133" s="22"/>
      <c r="G133" s="21"/>
      <c r="H133" s="100"/>
      <c r="I133" s="22"/>
      <c r="J133" s="21"/>
      <c r="K133" s="21"/>
    </row>
    <row r="134" spans="1:11" ht="14.45">
      <c r="A134" s="21"/>
      <c r="B134" s="33"/>
      <c r="C134" s="21"/>
      <c r="D134" s="21"/>
      <c r="E134" s="21"/>
      <c r="F134" s="22"/>
      <c r="G134" s="21"/>
      <c r="H134" s="100"/>
      <c r="I134" s="22"/>
      <c r="J134" s="21"/>
      <c r="K134" s="21"/>
    </row>
    <row r="135" spans="1:11" ht="14.45">
      <c r="A135" s="21"/>
      <c r="B135" s="33"/>
      <c r="C135" s="21"/>
      <c r="D135" s="21"/>
      <c r="E135" s="21"/>
      <c r="F135" s="22"/>
      <c r="G135" s="21"/>
      <c r="H135" s="100"/>
      <c r="I135" s="22"/>
      <c r="J135" s="21"/>
      <c r="K135" s="21"/>
    </row>
    <row r="136" spans="1:11" ht="14.45">
      <c r="A136" s="21"/>
      <c r="B136" s="33"/>
      <c r="C136" s="21"/>
      <c r="D136" s="21"/>
      <c r="E136" s="21"/>
      <c r="F136" s="22"/>
      <c r="G136" s="21"/>
      <c r="H136" s="100"/>
      <c r="I136" s="22"/>
      <c r="J136" s="21"/>
      <c r="K136" s="21"/>
    </row>
    <row r="137" spans="1:11" ht="14.45">
      <c r="A137" s="21"/>
      <c r="B137" s="33"/>
      <c r="C137" s="21"/>
      <c r="D137" s="21"/>
      <c r="E137" s="21"/>
      <c r="F137" s="22"/>
      <c r="G137" s="21"/>
      <c r="H137" s="100"/>
      <c r="I137" s="22"/>
      <c r="J137" s="21"/>
      <c r="K137" s="21"/>
    </row>
    <row r="138" spans="1:11" ht="14.45">
      <c r="A138" s="21"/>
      <c r="B138" s="33"/>
      <c r="C138" s="21"/>
      <c r="D138" s="21"/>
      <c r="E138" s="21"/>
      <c r="F138" s="22"/>
      <c r="G138" s="21"/>
      <c r="H138" s="100"/>
      <c r="I138" s="22"/>
      <c r="J138" s="21"/>
      <c r="K138" s="21"/>
    </row>
    <row r="139" spans="1:11" ht="14.45">
      <c r="A139" s="21"/>
      <c r="B139" s="33"/>
      <c r="C139" s="21"/>
      <c r="D139" s="21"/>
      <c r="E139" s="21"/>
      <c r="F139" s="22"/>
      <c r="G139" s="21"/>
      <c r="H139" s="100"/>
      <c r="I139" s="22"/>
      <c r="J139" s="21"/>
      <c r="K139" s="21"/>
    </row>
    <row r="140" spans="1:11" ht="14.45">
      <c r="A140" s="21"/>
      <c r="B140" s="33"/>
      <c r="C140" s="21"/>
      <c r="D140" s="21"/>
      <c r="E140" s="21"/>
      <c r="F140" s="22"/>
      <c r="G140" s="21"/>
      <c r="H140" s="100"/>
      <c r="I140" s="22"/>
      <c r="J140" s="21"/>
      <c r="K140" s="21"/>
    </row>
    <row r="141" spans="1:11" ht="14.45">
      <c r="A141" s="21"/>
      <c r="B141" s="33"/>
      <c r="C141" s="21"/>
      <c r="D141" s="21"/>
      <c r="E141" s="21"/>
      <c r="F141" s="22"/>
      <c r="G141" s="21"/>
      <c r="H141" s="100"/>
      <c r="I141" s="22"/>
      <c r="J141" s="21"/>
      <c r="K141" s="21"/>
    </row>
    <row r="142" spans="1:11" ht="14.45">
      <c r="A142" s="21"/>
      <c r="B142" s="33"/>
      <c r="C142" s="21"/>
      <c r="D142" s="21"/>
      <c r="E142" s="21"/>
      <c r="F142" s="22"/>
      <c r="G142" s="21"/>
      <c r="H142" s="100"/>
      <c r="I142" s="22"/>
      <c r="J142" s="21"/>
      <c r="K142" s="21"/>
    </row>
    <row r="143" spans="1:11" ht="14.45">
      <c r="A143" s="21"/>
      <c r="B143" s="33"/>
      <c r="C143" s="21"/>
      <c r="D143" s="21"/>
      <c r="E143" s="21"/>
      <c r="F143" s="22"/>
      <c r="G143" s="21"/>
      <c r="H143" s="100"/>
      <c r="I143" s="22"/>
      <c r="J143" s="21"/>
      <c r="K143" s="21"/>
    </row>
    <row r="144" spans="1:11" ht="14.45">
      <c r="A144" s="21"/>
      <c r="B144" s="33"/>
      <c r="C144" s="21"/>
      <c r="D144" s="21"/>
      <c r="E144" s="21"/>
      <c r="F144" s="22"/>
      <c r="G144" s="21"/>
      <c r="H144" s="100"/>
      <c r="I144" s="22"/>
      <c r="J144" s="21"/>
      <c r="K144" s="21"/>
    </row>
    <row r="145" spans="1:11" ht="14.45">
      <c r="A145" s="21"/>
      <c r="B145" s="33"/>
      <c r="C145" s="21"/>
      <c r="D145" s="21"/>
      <c r="E145" s="21"/>
      <c r="F145" s="22"/>
      <c r="G145" s="21"/>
      <c r="H145" s="100"/>
      <c r="I145" s="22"/>
      <c r="J145" s="21"/>
      <c r="K145" s="21"/>
    </row>
    <row r="146" spans="1:11" ht="14.45">
      <c r="A146" s="21"/>
      <c r="B146" s="33"/>
      <c r="C146" s="21"/>
      <c r="D146" s="21"/>
      <c r="E146" s="21"/>
      <c r="F146" s="22"/>
      <c r="G146" s="21"/>
      <c r="H146" s="100"/>
      <c r="I146" s="22"/>
      <c r="J146" s="21"/>
      <c r="K146" s="21"/>
    </row>
    <row r="147" spans="1:11" ht="14.45">
      <c r="A147" s="21"/>
      <c r="B147" s="33"/>
      <c r="C147" s="21"/>
      <c r="D147" s="21"/>
      <c r="E147" s="21"/>
      <c r="F147" s="22"/>
      <c r="G147" s="21"/>
      <c r="H147" s="100"/>
      <c r="I147" s="22"/>
      <c r="J147" s="21"/>
      <c r="K147" s="21"/>
    </row>
    <row r="148" spans="1:11" ht="14.45">
      <c r="A148" s="21"/>
      <c r="B148" s="33"/>
      <c r="C148" s="21"/>
      <c r="D148" s="21"/>
      <c r="E148" s="21"/>
      <c r="F148" s="22"/>
      <c r="G148" s="21"/>
      <c r="H148" s="100"/>
      <c r="I148" s="22"/>
      <c r="J148" s="21"/>
      <c r="K148" s="21"/>
    </row>
    <row r="149" spans="1:11" ht="14.45">
      <c r="A149" s="21"/>
      <c r="B149" s="33"/>
      <c r="C149" s="21"/>
      <c r="D149" s="21"/>
      <c r="E149" s="21"/>
      <c r="F149" s="22"/>
      <c r="G149" s="21"/>
      <c r="H149" s="100"/>
      <c r="I149" s="22"/>
      <c r="J149" s="21"/>
      <c r="K149" s="21"/>
    </row>
    <row r="150" spans="1:11" ht="14.45">
      <c r="A150" s="21"/>
      <c r="B150" s="33"/>
      <c r="C150" s="21"/>
      <c r="D150" s="21"/>
      <c r="E150" s="21"/>
      <c r="F150" s="22"/>
      <c r="G150" s="21"/>
      <c r="H150" s="100"/>
      <c r="I150" s="22"/>
      <c r="J150" s="21"/>
      <c r="K150" s="21"/>
    </row>
    <row r="151" spans="1:11" ht="14.45">
      <c r="A151" s="21"/>
      <c r="B151" s="33"/>
      <c r="C151" s="21"/>
      <c r="D151" s="21"/>
      <c r="E151" s="21"/>
      <c r="F151" s="22"/>
      <c r="G151" s="21"/>
      <c r="H151" s="100"/>
      <c r="I151" s="22"/>
      <c r="J151" s="21"/>
      <c r="K151" s="21"/>
    </row>
    <row r="152" spans="1:11" ht="14.45">
      <c r="A152" s="21"/>
      <c r="B152" s="33"/>
      <c r="C152" s="21"/>
      <c r="D152" s="21"/>
      <c r="E152" s="21"/>
      <c r="F152" s="22"/>
      <c r="G152" s="21"/>
      <c r="H152" s="100"/>
      <c r="I152" s="22"/>
      <c r="J152" s="21"/>
      <c r="K152" s="21"/>
    </row>
    <row r="153" spans="1:11" ht="14.45">
      <c r="A153" s="21"/>
      <c r="B153" s="33"/>
      <c r="C153" s="21"/>
      <c r="D153" s="21"/>
      <c r="E153" s="21"/>
      <c r="F153" s="22"/>
      <c r="G153" s="21"/>
      <c r="H153" s="100"/>
      <c r="I153" s="22"/>
      <c r="J153" s="21"/>
      <c r="K153" s="21"/>
    </row>
    <row r="154" spans="1:11" ht="14.45">
      <c r="A154" s="21"/>
      <c r="B154" s="33"/>
      <c r="C154" s="21"/>
      <c r="D154" s="21"/>
      <c r="E154" s="21"/>
      <c r="F154" s="22"/>
      <c r="G154" s="21"/>
      <c r="H154" s="100"/>
      <c r="I154" s="22"/>
      <c r="J154" s="21"/>
      <c r="K154" s="21"/>
    </row>
    <row r="155" spans="1:11" ht="14.45">
      <c r="A155" s="21"/>
      <c r="B155" s="33"/>
      <c r="C155" s="21"/>
      <c r="D155" s="21"/>
      <c r="E155" s="21"/>
      <c r="F155" s="22"/>
      <c r="G155" s="21"/>
      <c r="H155" s="100"/>
      <c r="I155" s="22"/>
      <c r="J155" s="21"/>
      <c r="K155" s="21"/>
    </row>
    <row r="156" spans="1:11" ht="14.45">
      <c r="A156" s="21"/>
      <c r="B156" s="33"/>
      <c r="C156" s="21"/>
      <c r="D156" s="21"/>
      <c r="E156" s="21"/>
      <c r="F156" s="22"/>
      <c r="G156" s="21"/>
      <c r="H156" s="100"/>
      <c r="I156" s="22"/>
      <c r="J156" s="21"/>
      <c r="K156" s="21"/>
    </row>
    <row r="157" spans="1:11" ht="14.45">
      <c r="A157" s="21"/>
      <c r="B157" s="33"/>
      <c r="C157" s="21"/>
      <c r="D157" s="21"/>
      <c r="E157" s="21"/>
      <c r="F157" s="22"/>
      <c r="G157" s="21"/>
      <c r="H157" s="100"/>
      <c r="I157" s="22"/>
      <c r="J157" s="21"/>
      <c r="K157" s="21"/>
    </row>
    <row r="158" spans="1:11" ht="14.45">
      <c r="A158" s="21"/>
      <c r="B158" s="33"/>
      <c r="C158" s="21"/>
      <c r="D158" s="21"/>
      <c r="E158" s="21"/>
      <c r="F158" s="22"/>
      <c r="G158" s="21"/>
      <c r="H158" s="100"/>
      <c r="I158" s="22"/>
      <c r="J158" s="21"/>
      <c r="K158" s="21"/>
    </row>
    <row r="159" spans="1:11" ht="14.45">
      <c r="A159" s="21"/>
      <c r="B159" s="33"/>
      <c r="C159" s="21"/>
      <c r="D159" s="21"/>
      <c r="E159" s="21"/>
      <c r="F159" s="22"/>
      <c r="G159" s="21"/>
      <c r="H159" s="100"/>
      <c r="I159" s="22"/>
      <c r="J159" s="21"/>
      <c r="K159" s="21"/>
    </row>
    <row r="160" spans="1:11" ht="14.45">
      <c r="A160" s="21"/>
      <c r="B160" s="33"/>
      <c r="C160" s="21"/>
      <c r="D160" s="21"/>
      <c r="E160" s="21"/>
      <c r="F160" s="22"/>
      <c r="G160" s="21"/>
      <c r="H160" s="100"/>
      <c r="I160" s="22"/>
      <c r="J160" s="21"/>
      <c r="K160" s="21"/>
    </row>
    <row r="161" spans="1:11" ht="14.45">
      <c r="A161" s="21"/>
      <c r="B161" s="33"/>
      <c r="C161" s="21"/>
      <c r="D161" s="21"/>
      <c r="E161" s="21"/>
      <c r="F161" s="22"/>
      <c r="G161" s="21"/>
      <c r="H161" s="100"/>
      <c r="I161" s="22"/>
      <c r="J161" s="21"/>
      <c r="K161" s="21"/>
    </row>
    <row r="162" spans="1:11" ht="14.45">
      <c r="A162" s="21"/>
      <c r="B162" s="33"/>
      <c r="C162" s="21"/>
      <c r="D162" s="21"/>
      <c r="E162" s="21"/>
      <c r="F162" s="22"/>
      <c r="G162" s="21"/>
      <c r="H162" s="100"/>
      <c r="I162" s="22"/>
      <c r="J162" s="21"/>
      <c r="K162" s="21"/>
    </row>
    <row r="163" spans="1:11" ht="14.45">
      <c r="A163" s="21"/>
      <c r="B163" s="33"/>
      <c r="C163" s="21"/>
      <c r="D163" s="21"/>
      <c r="E163" s="21"/>
      <c r="F163" s="22"/>
      <c r="G163" s="21"/>
      <c r="H163" s="100"/>
      <c r="I163" s="22"/>
      <c r="J163" s="21"/>
      <c r="K163" s="21"/>
    </row>
    <row r="164" spans="1:11" ht="14.45">
      <c r="A164" s="21"/>
      <c r="B164" s="33"/>
      <c r="C164" s="21"/>
      <c r="D164" s="21"/>
      <c r="E164" s="21"/>
      <c r="F164" s="22"/>
      <c r="G164" s="21"/>
      <c r="H164" s="100"/>
      <c r="I164" s="22"/>
      <c r="J164" s="21"/>
      <c r="K164" s="21"/>
    </row>
    <row r="165" spans="1:11" ht="14.45">
      <c r="A165" s="21"/>
      <c r="B165" s="33"/>
      <c r="C165" s="21"/>
      <c r="D165" s="21"/>
      <c r="E165" s="21"/>
      <c r="F165" s="22"/>
      <c r="G165" s="21"/>
      <c r="H165" s="100"/>
      <c r="I165" s="22"/>
      <c r="J165" s="21"/>
      <c r="K165" s="21"/>
    </row>
    <row r="166" spans="1:11" ht="14.45">
      <c r="A166" s="21"/>
      <c r="B166" s="33"/>
      <c r="C166" s="21"/>
      <c r="D166" s="21"/>
      <c r="E166" s="21"/>
      <c r="F166" s="22"/>
      <c r="G166" s="21"/>
      <c r="H166" s="100"/>
      <c r="I166" s="22"/>
      <c r="J166" s="21"/>
      <c r="K166" s="21"/>
    </row>
    <row r="167" spans="1:11" ht="14.45">
      <c r="A167" s="21"/>
      <c r="B167" s="33"/>
      <c r="C167" s="21"/>
      <c r="D167" s="21"/>
      <c r="E167" s="21"/>
      <c r="F167" s="22"/>
      <c r="G167" s="21"/>
      <c r="H167" s="100"/>
      <c r="I167" s="22"/>
      <c r="J167" s="21"/>
      <c r="K167" s="21"/>
    </row>
    <row r="168" spans="1:11" ht="14.45">
      <c r="A168" s="21"/>
      <c r="B168" s="33"/>
      <c r="C168" s="21"/>
      <c r="D168" s="21"/>
      <c r="E168" s="21"/>
      <c r="F168" s="22"/>
      <c r="G168" s="21"/>
      <c r="H168" s="100"/>
      <c r="I168" s="22"/>
      <c r="J168" s="21"/>
      <c r="K168" s="21"/>
    </row>
    <row r="169" spans="1:11" ht="14.45">
      <c r="A169" s="21"/>
      <c r="B169" s="33"/>
      <c r="C169" s="21"/>
      <c r="D169" s="21"/>
      <c r="E169" s="21"/>
      <c r="F169" s="22"/>
      <c r="G169" s="21"/>
      <c r="H169" s="100"/>
      <c r="I169" s="22"/>
      <c r="J169" s="21"/>
      <c r="K169" s="21"/>
    </row>
    <row r="170" spans="1:11" ht="14.45">
      <c r="A170" s="21"/>
      <c r="B170" s="33"/>
      <c r="C170" s="21"/>
      <c r="D170" s="21"/>
      <c r="E170" s="21"/>
      <c r="F170" s="22"/>
      <c r="G170" s="21"/>
      <c r="H170" s="100"/>
      <c r="I170" s="22"/>
      <c r="J170" s="21"/>
      <c r="K170" s="21"/>
    </row>
    <row r="171" spans="1:11" ht="14.45">
      <c r="A171" s="21"/>
      <c r="B171" s="33"/>
      <c r="C171" s="21"/>
      <c r="D171" s="21"/>
      <c r="E171" s="21"/>
      <c r="F171" s="22"/>
      <c r="G171" s="21"/>
      <c r="H171" s="100"/>
      <c r="I171" s="22"/>
      <c r="J171" s="21"/>
      <c r="K171" s="21"/>
    </row>
    <row r="172" spans="1:11" ht="14.45">
      <c r="A172" s="21"/>
      <c r="B172" s="33"/>
      <c r="C172" s="21"/>
      <c r="D172" s="21"/>
      <c r="E172" s="21"/>
      <c r="F172" s="22"/>
      <c r="G172" s="21"/>
      <c r="H172" s="100"/>
      <c r="I172" s="22"/>
      <c r="J172" s="21"/>
      <c r="K172" s="21"/>
    </row>
    <row r="173" spans="1:11" ht="14.45">
      <c r="A173" s="21"/>
      <c r="B173" s="33"/>
      <c r="C173" s="21"/>
      <c r="D173" s="21"/>
      <c r="E173" s="21"/>
      <c r="F173" s="22"/>
      <c r="G173" s="21"/>
      <c r="H173" s="100"/>
      <c r="I173" s="22"/>
      <c r="J173" s="21"/>
      <c r="K173" s="21"/>
    </row>
    <row r="174" spans="1:11" ht="14.45">
      <c r="A174" s="21"/>
      <c r="B174" s="33"/>
      <c r="C174" s="21"/>
      <c r="D174" s="21"/>
      <c r="E174" s="21"/>
      <c r="F174" s="22"/>
      <c r="G174" s="21"/>
      <c r="H174" s="100"/>
      <c r="I174" s="22"/>
      <c r="J174" s="21"/>
      <c r="K174" s="21"/>
    </row>
    <row r="175" spans="1:11" ht="14.45">
      <c r="A175" s="21"/>
      <c r="B175" s="33"/>
      <c r="C175" s="21"/>
      <c r="D175" s="21"/>
      <c r="E175" s="21"/>
      <c r="F175" s="22"/>
      <c r="G175" s="21"/>
      <c r="H175" s="100"/>
      <c r="I175" s="22"/>
      <c r="J175" s="21"/>
      <c r="K175" s="21"/>
    </row>
    <row r="176" spans="1:11" ht="14.45">
      <c r="A176" s="21"/>
      <c r="B176" s="33"/>
      <c r="C176" s="21"/>
      <c r="D176" s="21"/>
      <c r="E176" s="21"/>
      <c r="F176" s="22"/>
      <c r="G176" s="21"/>
      <c r="H176" s="100"/>
      <c r="I176" s="22"/>
      <c r="J176" s="21"/>
      <c r="K176" s="21"/>
    </row>
    <row r="177" spans="1:11" ht="14.45">
      <c r="A177" s="21"/>
      <c r="B177" s="33"/>
      <c r="C177" s="21"/>
      <c r="D177" s="21"/>
      <c r="E177" s="21"/>
      <c r="F177" s="22"/>
      <c r="G177" s="21"/>
      <c r="H177" s="100"/>
      <c r="I177" s="22"/>
      <c r="J177" s="21"/>
      <c r="K177" s="21"/>
    </row>
    <row r="178" spans="1:11" ht="14.45">
      <c r="A178" s="21"/>
      <c r="B178" s="33"/>
      <c r="C178" s="21"/>
      <c r="D178" s="21"/>
      <c r="E178" s="21"/>
      <c r="F178" s="22"/>
      <c r="G178" s="21"/>
      <c r="H178" s="100"/>
      <c r="I178" s="22"/>
      <c r="J178" s="21"/>
      <c r="K178" s="21"/>
    </row>
    <row r="179" spans="1:11" ht="14.45">
      <c r="A179" s="21"/>
      <c r="B179" s="33"/>
      <c r="C179" s="21"/>
      <c r="D179" s="21"/>
      <c r="E179" s="21"/>
      <c r="F179" s="22"/>
      <c r="G179" s="21"/>
      <c r="H179" s="100"/>
      <c r="I179" s="22"/>
      <c r="J179" s="21"/>
      <c r="K179" s="21"/>
    </row>
    <row r="180" spans="1:11" ht="14.45">
      <c r="A180" s="21"/>
      <c r="B180" s="33"/>
      <c r="C180" s="21"/>
      <c r="D180" s="21"/>
      <c r="E180" s="21"/>
      <c r="F180" s="22"/>
      <c r="G180" s="21"/>
      <c r="H180" s="100"/>
      <c r="I180" s="22"/>
      <c r="J180" s="21"/>
      <c r="K180" s="21"/>
    </row>
    <row r="181" spans="1:11" ht="14.45">
      <c r="A181" s="21"/>
      <c r="B181" s="33"/>
      <c r="C181" s="21"/>
      <c r="D181" s="21"/>
      <c r="E181" s="21"/>
      <c r="F181" s="22"/>
      <c r="G181" s="21"/>
      <c r="H181" s="100"/>
      <c r="I181" s="22"/>
      <c r="J181" s="21"/>
      <c r="K181" s="21"/>
    </row>
    <row r="182" spans="1:11" ht="14.45">
      <c r="A182" s="21"/>
      <c r="B182" s="33"/>
      <c r="C182" s="21"/>
      <c r="D182" s="21"/>
      <c r="E182" s="21"/>
      <c r="F182" s="22"/>
      <c r="G182" s="21"/>
      <c r="H182" s="100"/>
      <c r="I182" s="22"/>
      <c r="J182" s="21"/>
      <c r="K182" s="21"/>
    </row>
    <row r="183" spans="1:11" ht="14.45">
      <c r="A183" s="21"/>
      <c r="B183" s="33"/>
      <c r="C183" s="21"/>
      <c r="D183" s="21"/>
      <c r="E183" s="21"/>
      <c r="F183" s="22"/>
      <c r="G183" s="21"/>
      <c r="H183" s="100"/>
      <c r="I183" s="22"/>
      <c r="J183" s="21"/>
      <c r="K183" s="21"/>
    </row>
    <row r="184" spans="1:11" ht="14.45">
      <c r="A184" s="21"/>
      <c r="B184" s="33"/>
      <c r="C184" s="21"/>
      <c r="D184" s="21"/>
      <c r="E184" s="21"/>
      <c r="F184" s="22"/>
      <c r="G184" s="21"/>
      <c r="H184" s="100"/>
      <c r="I184" s="22"/>
      <c r="J184" s="21"/>
      <c r="K184" s="21"/>
    </row>
    <row r="185" spans="1:11" ht="14.45">
      <c r="A185" s="21"/>
      <c r="B185" s="33"/>
      <c r="C185" s="21"/>
      <c r="D185" s="21"/>
      <c r="E185" s="21"/>
      <c r="F185" s="22"/>
      <c r="G185" s="21"/>
      <c r="H185" s="100"/>
      <c r="I185" s="22"/>
      <c r="J185" s="21"/>
      <c r="K185" s="21"/>
    </row>
    <row r="186" spans="1:11" ht="14.45">
      <c r="A186" s="21"/>
      <c r="B186" s="33"/>
      <c r="C186" s="21"/>
      <c r="D186" s="21"/>
      <c r="E186" s="21"/>
      <c r="F186" s="22"/>
      <c r="G186" s="21"/>
      <c r="H186" s="100"/>
      <c r="I186" s="22"/>
      <c r="J186" s="21"/>
      <c r="K186" s="21"/>
    </row>
    <row r="187" spans="1:11" ht="14.45">
      <c r="A187" s="21"/>
      <c r="B187" s="33"/>
      <c r="C187" s="21"/>
      <c r="D187" s="21"/>
      <c r="E187" s="21"/>
      <c r="F187" s="22"/>
      <c r="G187" s="21"/>
      <c r="H187" s="100"/>
      <c r="I187" s="22"/>
      <c r="J187" s="21"/>
      <c r="K187" s="21"/>
    </row>
    <row r="188" spans="1:11" ht="14.45">
      <c r="A188" s="21"/>
      <c r="B188" s="33"/>
      <c r="C188" s="21"/>
      <c r="D188" s="21"/>
      <c r="E188" s="21"/>
      <c r="F188" s="22"/>
      <c r="G188" s="21"/>
      <c r="H188" s="100"/>
      <c r="I188" s="22"/>
      <c r="J188" s="21"/>
      <c r="K188" s="21"/>
    </row>
    <row r="189" spans="1:11" ht="14.45">
      <c r="A189" s="21"/>
      <c r="B189" s="33"/>
      <c r="C189" s="21"/>
      <c r="D189" s="21"/>
      <c r="E189" s="21"/>
      <c r="F189" s="22"/>
      <c r="G189" s="21"/>
      <c r="H189" s="100"/>
      <c r="I189" s="22"/>
      <c r="J189" s="21"/>
      <c r="K189" s="21"/>
    </row>
    <row r="190" spans="1:11" ht="14.45">
      <c r="A190" s="21"/>
      <c r="B190" s="33"/>
      <c r="C190" s="21"/>
      <c r="D190" s="21"/>
      <c r="E190" s="21"/>
      <c r="F190" s="22"/>
      <c r="G190" s="21"/>
      <c r="H190" s="100"/>
      <c r="I190" s="22"/>
      <c r="J190" s="21"/>
      <c r="K190" s="21"/>
    </row>
    <row r="191" spans="1:11" ht="14.45">
      <c r="A191" s="21"/>
      <c r="B191" s="33"/>
      <c r="C191" s="21"/>
      <c r="D191" s="21"/>
      <c r="E191" s="21"/>
      <c r="F191" s="22"/>
      <c r="G191" s="21"/>
      <c r="H191" s="100"/>
      <c r="I191" s="22"/>
      <c r="J191" s="21"/>
      <c r="K191" s="21"/>
    </row>
    <row r="192" spans="1:11" ht="14.45">
      <c r="A192" s="21"/>
      <c r="B192" s="33"/>
      <c r="C192" s="21"/>
      <c r="D192" s="21"/>
      <c r="E192" s="21"/>
      <c r="F192" s="22"/>
      <c r="G192" s="21"/>
      <c r="H192" s="100"/>
      <c r="I192" s="22"/>
      <c r="J192" s="21"/>
      <c r="K192" s="21"/>
    </row>
    <row r="193" spans="1:11" ht="14.45">
      <c r="A193" s="21"/>
      <c r="B193" s="33"/>
      <c r="C193" s="21"/>
      <c r="D193" s="21"/>
      <c r="E193" s="21"/>
      <c r="F193" s="22"/>
      <c r="G193" s="21"/>
      <c r="H193" s="100"/>
      <c r="I193" s="22"/>
      <c r="J193" s="21"/>
      <c r="K193" s="21"/>
    </row>
    <row r="194" spans="1:11" ht="14.45">
      <c r="A194" s="21"/>
      <c r="B194" s="33"/>
      <c r="C194" s="21"/>
      <c r="D194" s="21"/>
      <c r="E194" s="21"/>
      <c r="F194" s="22"/>
      <c r="G194" s="21"/>
      <c r="H194" s="100"/>
      <c r="I194" s="22"/>
      <c r="J194" s="21"/>
      <c r="K194" s="21"/>
    </row>
    <row r="195" spans="1:11" ht="14.45">
      <c r="A195" s="21"/>
      <c r="B195" s="33"/>
      <c r="C195" s="21"/>
      <c r="D195" s="21"/>
      <c r="E195" s="21"/>
      <c r="F195" s="22"/>
      <c r="G195" s="21"/>
      <c r="H195" s="100"/>
      <c r="I195" s="22"/>
      <c r="J195" s="21"/>
      <c r="K195" s="21"/>
    </row>
    <row r="196" spans="1:11" ht="14.45">
      <c r="A196" s="21"/>
      <c r="B196" s="33"/>
      <c r="C196" s="21"/>
      <c r="D196" s="21"/>
      <c r="E196" s="21"/>
      <c r="F196" s="22"/>
      <c r="G196" s="21"/>
      <c r="H196" s="100"/>
      <c r="I196" s="22"/>
      <c r="J196" s="21"/>
      <c r="K196" s="21"/>
    </row>
    <row r="197" spans="1:11" ht="14.45">
      <c r="A197" s="21"/>
      <c r="B197" s="33"/>
      <c r="C197" s="21"/>
      <c r="D197" s="21"/>
      <c r="E197" s="21"/>
      <c r="F197" s="22"/>
      <c r="G197" s="21"/>
      <c r="H197" s="100"/>
      <c r="I197" s="22"/>
      <c r="J197" s="21"/>
      <c r="K197" s="21"/>
    </row>
    <row r="198" spans="1:11" ht="14.45">
      <c r="A198" s="21"/>
      <c r="B198" s="33"/>
      <c r="C198" s="21"/>
      <c r="D198" s="21"/>
      <c r="E198" s="21"/>
      <c r="F198" s="22"/>
      <c r="G198" s="21"/>
      <c r="H198" s="100"/>
      <c r="I198" s="22"/>
      <c r="J198" s="21"/>
      <c r="K198" s="21"/>
    </row>
    <row r="199" spans="1:11" ht="14.45">
      <c r="A199" s="21"/>
      <c r="B199" s="33"/>
      <c r="C199" s="21"/>
      <c r="D199" s="21"/>
      <c r="E199" s="21"/>
      <c r="F199" s="22"/>
      <c r="G199" s="21"/>
      <c r="H199" s="100"/>
      <c r="I199" s="22"/>
      <c r="J199" s="21"/>
      <c r="K199" s="21"/>
    </row>
    <row r="200" spans="1:11" ht="14.45">
      <c r="A200" s="21"/>
      <c r="B200" s="33"/>
      <c r="C200" s="21"/>
      <c r="D200" s="21"/>
      <c r="E200" s="21"/>
      <c r="F200" s="22"/>
      <c r="G200" s="21"/>
      <c r="H200" s="100"/>
      <c r="I200" s="22"/>
      <c r="J200" s="21"/>
      <c r="K200" s="21"/>
    </row>
    <row r="201" spans="1:11" ht="14.45">
      <c r="A201" s="21"/>
      <c r="B201" s="33"/>
      <c r="C201" s="21"/>
      <c r="D201" s="21"/>
      <c r="E201" s="21"/>
      <c r="F201" s="22"/>
      <c r="G201" s="21"/>
      <c r="H201" s="100"/>
      <c r="I201" s="22"/>
      <c r="J201" s="21"/>
      <c r="K201" s="21"/>
    </row>
    <row r="202" spans="1:11" ht="14.45">
      <c r="A202" s="21"/>
      <c r="B202" s="33"/>
      <c r="C202" s="21"/>
      <c r="D202" s="21"/>
      <c r="E202" s="21"/>
      <c r="F202" s="22"/>
      <c r="G202" s="21"/>
      <c r="H202" s="100"/>
      <c r="I202" s="22"/>
      <c r="J202" s="21"/>
      <c r="K202" s="21"/>
    </row>
    <row r="203" spans="1:11" ht="14.45">
      <c r="A203" s="21"/>
      <c r="B203" s="33"/>
      <c r="C203" s="21"/>
      <c r="D203" s="21"/>
      <c r="E203" s="21"/>
      <c r="F203" s="22"/>
      <c r="G203" s="21"/>
      <c r="H203" s="100"/>
      <c r="I203" s="22"/>
      <c r="J203" s="21"/>
      <c r="K203" s="21"/>
    </row>
    <row r="204" spans="1:11" ht="14.45">
      <c r="A204" s="21"/>
      <c r="B204" s="33"/>
      <c r="C204" s="21"/>
      <c r="D204" s="21"/>
      <c r="E204" s="21"/>
      <c r="F204" s="22"/>
      <c r="G204" s="21"/>
      <c r="H204" s="100"/>
      <c r="I204" s="22"/>
      <c r="J204" s="21"/>
      <c r="K204" s="21"/>
    </row>
    <row r="205" spans="1:11" ht="14.45">
      <c r="A205" s="21"/>
      <c r="B205" s="33"/>
      <c r="C205" s="21"/>
      <c r="D205" s="21"/>
      <c r="E205" s="21"/>
      <c r="F205" s="22"/>
      <c r="G205" s="21"/>
      <c r="H205" s="100"/>
      <c r="I205" s="22"/>
      <c r="J205" s="21"/>
      <c r="K205" s="21"/>
    </row>
    <row r="206" spans="1:11" ht="14.45">
      <c r="A206" s="21"/>
      <c r="B206" s="33"/>
      <c r="C206" s="21"/>
      <c r="D206" s="21"/>
      <c r="E206" s="21"/>
      <c r="F206" s="22"/>
      <c r="G206" s="21"/>
      <c r="H206" s="100"/>
      <c r="I206" s="22"/>
      <c r="J206" s="21"/>
      <c r="K206" s="21"/>
    </row>
    <row r="207" spans="1:11" ht="14.45">
      <c r="A207" s="21"/>
      <c r="B207" s="33"/>
      <c r="C207" s="21"/>
      <c r="D207" s="21"/>
      <c r="E207" s="21"/>
      <c r="F207" s="22"/>
      <c r="G207" s="21"/>
      <c r="H207" s="100"/>
      <c r="I207" s="22"/>
      <c r="J207" s="21"/>
      <c r="K207" s="21"/>
    </row>
    <row r="208" spans="1:11" ht="14.45">
      <c r="A208" s="21"/>
      <c r="B208" s="33"/>
      <c r="C208" s="21"/>
      <c r="D208" s="21"/>
      <c r="E208" s="21"/>
      <c r="F208" s="22"/>
      <c r="G208" s="21"/>
      <c r="H208" s="100"/>
      <c r="I208" s="22"/>
      <c r="J208" s="21"/>
      <c r="K208" s="21"/>
    </row>
    <row r="209" spans="1:11" ht="14.45">
      <c r="A209" s="21"/>
      <c r="B209" s="33"/>
      <c r="C209" s="21"/>
      <c r="D209" s="21"/>
      <c r="E209" s="21"/>
      <c r="F209" s="22"/>
      <c r="G209" s="21"/>
      <c r="H209" s="100"/>
      <c r="I209" s="22"/>
      <c r="J209" s="21"/>
      <c r="K209" s="21"/>
    </row>
    <row r="210" spans="1:11" ht="14.45">
      <c r="A210" s="21"/>
      <c r="B210" s="33"/>
      <c r="C210" s="21"/>
      <c r="D210" s="21"/>
      <c r="E210" s="21"/>
      <c r="F210" s="22"/>
      <c r="G210" s="21"/>
      <c r="H210" s="100"/>
      <c r="I210" s="22"/>
      <c r="J210" s="21"/>
      <c r="K210" s="21"/>
    </row>
    <row r="211" spans="1:11" ht="14.45">
      <c r="A211" s="21"/>
      <c r="B211" s="33"/>
      <c r="C211" s="21"/>
      <c r="D211" s="21"/>
      <c r="E211" s="21"/>
      <c r="F211" s="22"/>
      <c r="G211" s="21"/>
      <c r="H211" s="100"/>
      <c r="I211" s="22"/>
      <c r="J211" s="21"/>
      <c r="K211" s="21"/>
    </row>
    <row r="212" spans="1:11" ht="14.45">
      <c r="A212" s="21"/>
      <c r="B212" s="33"/>
      <c r="C212" s="21"/>
      <c r="D212" s="21"/>
      <c r="E212" s="21"/>
      <c r="F212" s="22"/>
      <c r="G212" s="21"/>
      <c r="H212" s="100"/>
      <c r="I212" s="22"/>
      <c r="J212" s="21"/>
      <c r="K212" s="21"/>
    </row>
    <row r="213" spans="1:11" ht="14.45">
      <c r="A213" s="21"/>
      <c r="B213" s="33"/>
      <c r="C213" s="21"/>
      <c r="D213" s="21"/>
      <c r="E213" s="21"/>
      <c r="F213" s="22"/>
      <c r="G213" s="21"/>
      <c r="H213" s="100"/>
      <c r="I213" s="22"/>
      <c r="J213" s="21"/>
      <c r="K213" s="21"/>
    </row>
    <row r="214" spans="1:11" ht="14.45">
      <c r="A214" s="21"/>
      <c r="B214" s="33"/>
      <c r="C214" s="21"/>
      <c r="D214" s="21"/>
      <c r="E214" s="21"/>
      <c r="F214" s="22"/>
      <c r="G214" s="21"/>
      <c r="H214" s="100"/>
      <c r="I214" s="22"/>
      <c r="J214" s="21"/>
      <c r="K214" s="21"/>
    </row>
    <row r="215" spans="1:11" ht="14.45">
      <c r="A215" s="21"/>
      <c r="B215" s="33"/>
      <c r="C215" s="21"/>
      <c r="D215" s="21"/>
      <c r="E215" s="21"/>
      <c r="F215" s="22"/>
      <c r="G215" s="21"/>
      <c r="H215" s="100"/>
      <c r="I215" s="22"/>
      <c r="J215" s="21"/>
      <c r="K215" s="21"/>
    </row>
    <row r="216" spans="1:11" ht="14.45">
      <c r="A216" s="21"/>
      <c r="B216" s="33"/>
      <c r="C216" s="21"/>
      <c r="D216" s="21"/>
      <c r="E216" s="21"/>
      <c r="F216" s="22"/>
      <c r="G216" s="21"/>
      <c r="H216" s="100"/>
      <c r="I216" s="22"/>
      <c r="J216" s="21"/>
      <c r="K216" s="21"/>
    </row>
    <row r="217" spans="1:11" ht="14.45">
      <c r="A217" s="21"/>
      <c r="B217" s="33"/>
      <c r="C217" s="21"/>
      <c r="D217" s="21"/>
      <c r="E217" s="21"/>
      <c r="F217" s="22"/>
      <c r="G217" s="21"/>
      <c r="H217" s="100"/>
      <c r="I217" s="22"/>
      <c r="J217" s="21"/>
      <c r="K217" s="21"/>
    </row>
    <row r="218" spans="1:11" ht="14.45">
      <c r="A218" s="21"/>
      <c r="B218" s="33"/>
      <c r="C218" s="21"/>
      <c r="D218" s="21"/>
      <c r="E218" s="21"/>
      <c r="F218" s="22"/>
      <c r="G218" s="21"/>
      <c r="H218" s="100"/>
      <c r="I218" s="22"/>
      <c r="J218" s="21"/>
      <c r="K218" s="21"/>
    </row>
    <row r="219" spans="1:11" ht="14.45">
      <c r="A219" s="21"/>
      <c r="B219" s="33"/>
      <c r="C219" s="21"/>
      <c r="D219" s="21"/>
      <c r="E219" s="21"/>
      <c r="F219" s="22"/>
      <c r="G219" s="21"/>
      <c r="H219" s="100"/>
      <c r="I219" s="22"/>
      <c r="J219" s="21"/>
      <c r="K219" s="21"/>
    </row>
    <row r="220" spans="1:11" ht="14.45">
      <c r="A220" s="21"/>
      <c r="B220" s="33"/>
      <c r="C220" s="21"/>
      <c r="D220" s="21"/>
      <c r="E220" s="21"/>
      <c r="F220" s="22"/>
      <c r="G220" s="21"/>
      <c r="H220" s="100"/>
      <c r="I220" s="22"/>
      <c r="J220" s="21"/>
      <c r="K220" s="21"/>
    </row>
    <row r="221" spans="1:11" ht="14.45">
      <c r="A221" s="21"/>
      <c r="B221" s="33"/>
      <c r="C221" s="21"/>
      <c r="D221" s="21"/>
      <c r="E221" s="21"/>
      <c r="F221" s="22"/>
      <c r="G221" s="21"/>
      <c r="H221" s="100"/>
      <c r="I221" s="22"/>
      <c r="J221" s="21"/>
      <c r="K221" s="21"/>
    </row>
    <row r="222" spans="1:11" ht="14.45">
      <c r="A222" s="21"/>
      <c r="B222" s="33"/>
      <c r="C222" s="21"/>
      <c r="D222" s="21"/>
      <c r="E222" s="21"/>
      <c r="F222" s="22"/>
      <c r="G222" s="21"/>
      <c r="H222" s="100"/>
      <c r="I222" s="22"/>
      <c r="J222" s="21"/>
      <c r="K222" s="21"/>
    </row>
    <row r="223" spans="1:11" ht="14.45">
      <c r="A223" s="21"/>
      <c r="B223" s="33"/>
      <c r="C223" s="21"/>
      <c r="D223" s="21"/>
      <c r="E223" s="21"/>
      <c r="F223" s="22"/>
      <c r="G223" s="21"/>
      <c r="H223" s="100"/>
      <c r="I223" s="22"/>
      <c r="J223" s="21"/>
      <c r="K223" s="21"/>
    </row>
    <row r="224" spans="1:11" ht="14.45">
      <c r="A224" s="21"/>
      <c r="B224" s="33"/>
      <c r="C224" s="21"/>
      <c r="D224" s="21"/>
      <c r="E224" s="21"/>
      <c r="F224" s="22"/>
      <c r="G224" s="21"/>
      <c r="H224" s="100"/>
      <c r="I224" s="22"/>
      <c r="J224" s="21"/>
      <c r="K224" s="21"/>
    </row>
    <row r="225" spans="1:11" ht="14.45">
      <c r="A225" s="21"/>
      <c r="B225" s="33"/>
      <c r="C225" s="21"/>
      <c r="D225" s="21"/>
      <c r="E225" s="21"/>
      <c r="F225" s="22"/>
      <c r="G225" s="21"/>
      <c r="H225" s="100"/>
      <c r="I225" s="22"/>
      <c r="J225" s="21"/>
      <c r="K225" s="21"/>
    </row>
    <row r="226" spans="1:11" ht="14.45">
      <c r="A226" s="21"/>
      <c r="B226" s="33"/>
      <c r="C226" s="21"/>
      <c r="D226" s="21"/>
      <c r="E226" s="21"/>
      <c r="F226" s="22"/>
      <c r="G226" s="21"/>
      <c r="H226" s="100"/>
      <c r="I226" s="22"/>
      <c r="J226" s="21"/>
      <c r="K226" s="21"/>
    </row>
    <row r="227" spans="1:11" ht="14.45">
      <c r="A227" s="21"/>
      <c r="B227" s="33"/>
      <c r="C227" s="21"/>
      <c r="D227" s="21"/>
      <c r="E227" s="21"/>
      <c r="F227" s="22"/>
      <c r="G227" s="21"/>
      <c r="H227" s="100"/>
      <c r="I227" s="22"/>
      <c r="J227" s="21"/>
      <c r="K227" s="21"/>
    </row>
    <row r="228" spans="1:11" ht="14.45">
      <c r="A228" s="21"/>
      <c r="B228" s="33"/>
      <c r="C228" s="21"/>
      <c r="D228" s="21"/>
      <c r="E228" s="21"/>
      <c r="F228" s="22"/>
      <c r="G228" s="21"/>
      <c r="H228" s="100"/>
      <c r="I228" s="22"/>
      <c r="J228" s="21"/>
      <c r="K228" s="21"/>
    </row>
    <row r="229" spans="1:11" ht="14.45">
      <c r="A229" s="21"/>
      <c r="B229" s="33"/>
      <c r="C229" s="21"/>
      <c r="D229" s="21"/>
      <c r="E229" s="21"/>
      <c r="F229" s="22"/>
      <c r="G229" s="21"/>
      <c r="H229" s="100"/>
      <c r="I229" s="22"/>
      <c r="J229" s="21"/>
      <c r="K229" s="21"/>
    </row>
    <row r="230" spans="1:11" ht="14.45">
      <c r="A230" s="21"/>
      <c r="B230" s="33"/>
      <c r="C230" s="21"/>
      <c r="D230" s="21"/>
      <c r="E230" s="21"/>
      <c r="F230" s="22"/>
      <c r="G230" s="21"/>
      <c r="H230" s="100"/>
      <c r="I230" s="22"/>
      <c r="J230" s="21"/>
      <c r="K230" s="21"/>
    </row>
    <row r="231" spans="1:11" ht="14.45">
      <c r="A231" s="21"/>
      <c r="B231" s="33"/>
      <c r="C231" s="21"/>
      <c r="D231" s="21"/>
      <c r="E231" s="21"/>
      <c r="F231" s="22"/>
      <c r="G231" s="21"/>
      <c r="H231" s="100"/>
      <c r="I231" s="22"/>
      <c r="J231" s="21"/>
      <c r="K231" s="21"/>
    </row>
    <row r="232" spans="1:11" ht="14.45">
      <c r="A232" s="21"/>
      <c r="B232" s="33"/>
      <c r="C232" s="21"/>
      <c r="D232" s="21"/>
      <c r="E232" s="21"/>
      <c r="F232" s="22"/>
      <c r="G232" s="21"/>
      <c r="H232" s="100"/>
      <c r="I232" s="22"/>
      <c r="J232" s="21"/>
      <c r="K232" s="21"/>
    </row>
    <row r="233" spans="1:11" ht="14.45">
      <c r="A233" s="21"/>
      <c r="B233" s="33"/>
      <c r="C233" s="21"/>
      <c r="D233" s="21"/>
      <c r="E233" s="21"/>
      <c r="F233" s="22"/>
      <c r="G233" s="21"/>
      <c r="H233" s="100"/>
      <c r="I233" s="22"/>
      <c r="J233" s="21"/>
      <c r="K233" s="21"/>
    </row>
    <row r="234" spans="1:11" ht="14.45">
      <c r="A234" s="21"/>
      <c r="B234" s="33"/>
      <c r="C234" s="21"/>
      <c r="D234" s="21"/>
      <c r="E234" s="21"/>
      <c r="F234" s="22"/>
      <c r="G234" s="21"/>
      <c r="H234" s="100"/>
      <c r="I234" s="22"/>
      <c r="J234" s="21"/>
      <c r="K234" s="21"/>
    </row>
    <row r="235" spans="1:11" ht="14.45">
      <c r="A235" s="21"/>
      <c r="B235" s="33"/>
      <c r="C235" s="21"/>
      <c r="D235" s="21"/>
      <c r="E235" s="21"/>
      <c r="F235" s="22"/>
      <c r="G235" s="21"/>
      <c r="H235" s="100"/>
      <c r="I235" s="22"/>
      <c r="J235" s="21"/>
      <c r="K235" s="21"/>
    </row>
    <row r="236" spans="1:11" ht="14.45">
      <c r="A236" s="21"/>
      <c r="B236" s="33"/>
      <c r="C236" s="21"/>
      <c r="D236" s="21"/>
      <c r="E236" s="21"/>
      <c r="F236" s="22"/>
      <c r="G236" s="21"/>
      <c r="H236" s="100"/>
      <c r="I236" s="22"/>
      <c r="J236" s="21"/>
      <c r="K236" s="21"/>
    </row>
    <row r="237" spans="1:11" ht="14.45">
      <c r="A237" s="21"/>
      <c r="B237" s="33"/>
      <c r="C237" s="21"/>
      <c r="D237" s="21"/>
      <c r="E237" s="21"/>
      <c r="F237" s="22"/>
      <c r="G237" s="21"/>
      <c r="H237" s="100"/>
      <c r="I237" s="22"/>
      <c r="J237" s="21"/>
      <c r="K237" s="21"/>
    </row>
    <row r="238" spans="1:11" ht="14.45">
      <c r="A238" s="21"/>
      <c r="B238" s="33"/>
      <c r="C238" s="21"/>
      <c r="D238" s="21"/>
      <c r="E238" s="21"/>
      <c r="F238" s="22"/>
      <c r="G238" s="21"/>
      <c r="H238" s="100"/>
      <c r="I238" s="22"/>
      <c r="J238" s="21"/>
      <c r="K238" s="21"/>
    </row>
    <row r="239" spans="1:11" ht="14.45">
      <c r="A239" s="21"/>
      <c r="B239" s="33"/>
      <c r="C239" s="21"/>
      <c r="D239" s="21"/>
      <c r="E239" s="21"/>
      <c r="F239" s="22"/>
      <c r="G239" s="21"/>
      <c r="H239" s="100"/>
      <c r="I239" s="22"/>
      <c r="J239" s="21"/>
      <c r="K239" s="21"/>
    </row>
    <row r="240" spans="1:11" ht="14.45">
      <c r="A240" s="21"/>
      <c r="B240" s="33"/>
      <c r="C240" s="21"/>
      <c r="D240" s="21"/>
      <c r="E240" s="21"/>
      <c r="F240" s="22"/>
      <c r="G240" s="21"/>
      <c r="H240" s="100"/>
      <c r="I240" s="22"/>
      <c r="J240" s="21"/>
      <c r="K240" s="21"/>
    </row>
    <row r="241" spans="1:11" ht="14.45">
      <c r="A241" s="21"/>
      <c r="B241" s="33"/>
      <c r="C241" s="21"/>
      <c r="D241" s="21"/>
      <c r="E241" s="21"/>
      <c r="F241" s="22"/>
      <c r="G241" s="21"/>
      <c r="H241" s="100"/>
      <c r="I241" s="22"/>
      <c r="J241" s="21"/>
      <c r="K241" s="21"/>
    </row>
    <row r="242" spans="1:11" ht="14.45">
      <c r="A242" s="21"/>
      <c r="B242" s="33"/>
      <c r="C242" s="21"/>
      <c r="D242" s="21"/>
      <c r="E242" s="21"/>
      <c r="F242" s="22"/>
      <c r="G242" s="21"/>
      <c r="H242" s="100"/>
      <c r="I242" s="22"/>
      <c r="J242" s="21"/>
      <c r="K242" s="21"/>
    </row>
    <row r="243" spans="1:11" ht="14.45">
      <c r="A243" s="21"/>
      <c r="B243" s="33"/>
      <c r="C243" s="21"/>
      <c r="D243" s="21"/>
      <c r="E243" s="21"/>
      <c r="F243" s="22"/>
      <c r="G243" s="21"/>
      <c r="H243" s="100"/>
      <c r="I243" s="22"/>
      <c r="J243" s="21"/>
      <c r="K243" s="21"/>
    </row>
    <row r="244" spans="1:11" ht="14.45">
      <c r="A244" s="21"/>
      <c r="B244" s="33"/>
      <c r="C244" s="21"/>
      <c r="D244" s="21"/>
      <c r="E244" s="21"/>
      <c r="F244" s="22"/>
      <c r="G244" s="21"/>
      <c r="H244" s="100"/>
      <c r="I244" s="22"/>
      <c r="J244" s="21"/>
      <c r="K244" s="21"/>
    </row>
    <row r="245" spans="1:11" ht="14.45">
      <c r="A245" s="21"/>
      <c r="B245" s="33"/>
      <c r="C245" s="21"/>
      <c r="D245" s="21"/>
      <c r="E245" s="21"/>
      <c r="F245" s="22"/>
      <c r="G245" s="21"/>
      <c r="H245" s="100"/>
      <c r="I245" s="22"/>
      <c r="J245" s="21"/>
      <c r="K245" s="21"/>
    </row>
    <row r="246" spans="1:11" ht="14.45">
      <c r="A246" s="21"/>
      <c r="B246" s="33"/>
      <c r="C246" s="21"/>
      <c r="D246" s="21"/>
      <c r="E246" s="21"/>
      <c r="F246" s="22"/>
      <c r="G246" s="21"/>
      <c r="H246" s="100"/>
      <c r="I246" s="22"/>
      <c r="J246" s="21"/>
      <c r="K246" s="21"/>
    </row>
    <row r="247" spans="1:11" ht="14.45">
      <c r="A247" s="21"/>
      <c r="B247" s="33"/>
      <c r="C247" s="21"/>
      <c r="D247" s="21"/>
      <c r="E247" s="21"/>
      <c r="F247" s="22"/>
      <c r="G247" s="21"/>
      <c r="H247" s="100"/>
      <c r="I247" s="22"/>
      <c r="J247" s="21"/>
      <c r="K247" s="21"/>
    </row>
    <row r="248" spans="1:11" ht="14.45">
      <c r="A248" s="21"/>
      <c r="B248" s="33"/>
      <c r="C248" s="21"/>
      <c r="D248" s="21"/>
      <c r="E248" s="21"/>
      <c r="F248" s="22"/>
      <c r="G248" s="21"/>
      <c r="H248" s="100"/>
      <c r="I248" s="22"/>
      <c r="J248" s="21"/>
      <c r="K248" s="21"/>
    </row>
    <row r="249" spans="1:11" ht="14.45">
      <c r="A249" s="21"/>
      <c r="B249" s="33"/>
      <c r="C249" s="21"/>
      <c r="D249" s="21"/>
      <c r="E249" s="21"/>
      <c r="F249" s="22"/>
      <c r="G249" s="21"/>
      <c r="H249" s="100"/>
      <c r="I249" s="22"/>
      <c r="J249" s="21"/>
      <c r="K249" s="21"/>
    </row>
    <row r="250" spans="1:11" ht="14.45">
      <c r="A250" s="21"/>
      <c r="B250" s="33"/>
      <c r="C250" s="21"/>
      <c r="D250" s="21"/>
      <c r="E250" s="21"/>
      <c r="F250" s="22"/>
      <c r="G250" s="21"/>
      <c r="H250" s="100"/>
      <c r="I250" s="22"/>
      <c r="J250" s="21"/>
      <c r="K250" s="21"/>
    </row>
    <row r="251" spans="1:11" ht="14.45">
      <c r="A251" s="21"/>
      <c r="B251" s="33"/>
      <c r="C251" s="21"/>
      <c r="D251" s="21"/>
      <c r="E251" s="21"/>
      <c r="F251" s="22"/>
      <c r="G251" s="21"/>
      <c r="H251" s="100"/>
      <c r="I251" s="22"/>
      <c r="J251" s="21"/>
      <c r="K251" s="21"/>
    </row>
    <row r="252" spans="1:11" ht="14.45">
      <c r="A252" s="21"/>
      <c r="B252" s="33"/>
      <c r="C252" s="21"/>
      <c r="D252" s="21"/>
      <c r="E252" s="21"/>
      <c r="F252" s="22"/>
      <c r="G252" s="21"/>
      <c r="H252" s="100"/>
      <c r="I252" s="22"/>
      <c r="J252" s="21"/>
      <c r="K252" s="21"/>
    </row>
    <row r="253" spans="1:11" ht="14.45">
      <c r="A253" s="21"/>
      <c r="B253" s="33"/>
      <c r="C253" s="21"/>
      <c r="D253" s="21"/>
      <c r="E253" s="21"/>
      <c r="F253" s="22"/>
      <c r="G253" s="21"/>
      <c r="H253" s="100"/>
      <c r="I253" s="22"/>
      <c r="J253" s="21"/>
      <c r="K253" s="21"/>
    </row>
    <row r="254" spans="1:11" ht="14.45">
      <c r="A254" s="21"/>
      <c r="B254" s="33"/>
      <c r="C254" s="21"/>
      <c r="D254" s="21"/>
      <c r="E254" s="21"/>
      <c r="F254" s="22"/>
      <c r="G254" s="21"/>
      <c r="H254" s="100"/>
      <c r="I254" s="22"/>
      <c r="J254" s="21"/>
      <c r="K254" s="21"/>
    </row>
    <row r="255" spans="1:11" ht="14.45">
      <c r="A255" s="21"/>
      <c r="B255" s="33"/>
      <c r="C255" s="21"/>
      <c r="D255" s="21"/>
      <c r="E255" s="21"/>
      <c r="F255" s="22"/>
      <c r="G255" s="21"/>
      <c r="H255" s="100"/>
      <c r="I255" s="22"/>
      <c r="J255" s="21"/>
      <c r="K255" s="21"/>
    </row>
    <row r="256" spans="1:11" ht="14.45">
      <c r="A256" s="21"/>
      <c r="B256" s="33"/>
      <c r="C256" s="21"/>
      <c r="D256" s="21"/>
      <c r="E256" s="21"/>
      <c r="F256" s="22"/>
      <c r="G256" s="21"/>
      <c r="H256" s="100"/>
      <c r="I256" s="22"/>
      <c r="J256" s="21"/>
      <c r="K256" s="21"/>
    </row>
    <row r="257" spans="1:11" ht="14.45">
      <c r="A257" s="21"/>
      <c r="B257" s="33"/>
      <c r="C257" s="21"/>
      <c r="D257" s="21"/>
      <c r="E257" s="21"/>
      <c r="F257" s="22"/>
      <c r="G257" s="21"/>
      <c r="H257" s="100"/>
      <c r="I257" s="22"/>
      <c r="J257" s="21"/>
      <c r="K257" s="21"/>
    </row>
    <row r="258" spans="1:11" ht="14.45">
      <c r="A258" s="21"/>
      <c r="B258" s="33"/>
      <c r="C258" s="21"/>
      <c r="D258" s="21"/>
      <c r="E258" s="21"/>
      <c r="F258" s="22"/>
      <c r="G258" s="21"/>
      <c r="H258" s="100"/>
      <c r="I258" s="22"/>
      <c r="J258" s="21"/>
      <c r="K258" s="21"/>
    </row>
    <row r="259" spans="1:11" ht="14.45">
      <c r="A259" s="21"/>
      <c r="B259" s="33"/>
      <c r="C259" s="21"/>
      <c r="D259" s="21"/>
      <c r="E259" s="21"/>
      <c r="F259" s="22"/>
      <c r="G259" s="21"/>
      <c r="H259" s="100"/>
      <c r="I259" s="22"/>
      <c r="J259" s="21"/>
      <c r="K259" s="21"/>
    </row>
    <row r="260" spans="1:11" ht="14.45">
      <c r="A260" s="21"/>
      <c r="B260" s="33"/>
      <c r="C260" s="21"/>
      <c r="D260" s="21"/>
      <c r="E260" s="21"/>
      <c r="F260" s="22"/>
      <c r="G260" s="21"/>
      <c r="H260" s="100"/>
      <c r="I260" s="22"/>
      <c r="J260" s="21"/>
      <c r="K260" s="21"/>
    </row>
    <row r="261" spans="1:11" ht="14.45">
      <c r="A261" s="21"/>
      <c r="B261" s="33"/>
      <c r="C261" s="21"/>
      <c r="D261" s="21"/>
      <c r="E261" s="21"/>
      <c r="F261" s="22"/>
      <c r="G261" s="21"/>
      <c r="H261" s="100"/>
      <c r="I261" s="22"/>
      <c r="J261" s="21"/>
      <c r="K261" s="21"/>
    </row>
    <row r="262" spans="1:11" ht="14.45">
      <c r="A262" s="21"/>
      <c r="B262" s="33"/>
      <c r="C262" s="21"/>
      <c r="D262" s="21"/>
      <c r="E262" s="21"/>
      <c r="F262" s="22"/>
      <c r="G262" s="21"/>
      <c r="H262" s="100"/>
      <c r="I262" s="22"/>
      <c r="J262" s="21"/>
      <c r="K262" s="21"/>
    </row>
    <row r="263" spans="1:11" ht="14.45">
      <c r="A263" s="21"/>
      <c r="B263" s="33"/>
      <c r="C263" s="21"/>
      <c r="D263" s="21"/>
      <c r="E263" s="21"/>
      <c r="F263" s="22"/>
      <c r="G263" s="21"/>
      <c r="H263" s="100"/>
      <c r="I263" s="22"/>
      <c r="J263" s="21"/>
      <c r="K263" s="21"/>
    </row>
    <row r="264" spans="1:11" ht="14.45">
      <c r="A264" s="21"/>
      <c r="B264" s="33"/>
      <c r="C264" s="21"/>
      <c r="D264" s="21"/>
      <c r="E264" s="21"/>
      <c r="F264" s="22"/>
      <c r="G264" s="21"/>
      <c r="H264" s="100"/>
      <c r="I264" s="22"/>
      <c r="J264" s="21"/>
      <c r="K264" s="21"/>
    </row>
    <row r="265" spans="1:11" ht="14.45">
      <c r="A265" s="21"/>
      <c r="B265" s="33"/>
      <c r="C265" s="21"/>
      <c r="D265" s="21"/>
      <c r="E265" s="21"/>
      <c r="F265" s="22"/>
      <c r="G265" s="21"/>
      <c r="H265" s="100"/>
      <c r="I265" s="22"/>
      <c r="J265" s="21"/>
      <c r="K265" s="21"/>
    </row>
    <row r="266" spans="1:11" ht="14.45">
      <c r="A266" s="21"/>
      <c r="B266" s="33"/>
      <c r="C266" s="21"/>
      <c r="D266" s="21"/>
      <c r="E266" s="21"/>
      <c r="F266" s="22"/>
      <c r="G266" s="21"/>
      <c r="H266" s="100"/>
      <c r="I266" s="22"/>
      <c r="J266" s="21"/>
      <c r="K266" s="21"/>
    </row>
    <row r="267" spans="1:11" ht="14.45">
      <c r="A267" s="21"/>
      <c r="B267" s="33"/>
      <c r="C267" s="21"/>
      <c r="D267" s="21"/>
      <c r="E267" s="21"/>
      <c r="F267" s="22"/>
      <c r="G267" s="21"/>
      <c r="H267" s="100"/>
      <c r="I267" s="22"/>
      <c r="J267" s="21"/>
      <c r="K267" s="21"/>
    </row>
    <row r="268" spans="1:11" ht="14.45">
      <c r="A268" s="21"/>
      <c r="B268" s="33"/>
      <c r="C268" s="21"/>
      <c r="D268" s="21"/>
      <c r="E268" s="21"/>
      <c r="F268" s="22"/>
      <c r="G268" s="21"/>
      <c r="H268" s="100"/>
      <c r="I268" s="22"/>
      <c r="J268" s="21"/>
      <c r="K268" s="21"/>
    </row>
    <row r="269" spans="1:11" ht="14.45">
      <c r="A269" s="21"/>
      <c r="B269" s="33"/>
      <c r="C269" s="21"/>
      <c r="D269" s="21"/>
      <c r="E269" s="21"/>
      <c r="F269" s="22"/>
      <c r="G269" s="21"/>
      <c r="H269" s="100"/>
      <c r="I269" s="22"/>
      <c r="J269" s="21"/>
      <c r="K269" s="21"/>
    </row>
    <row r="270" spans="1:11" ht="14.45">
      <c r="A270" s="21"/>
      <c r="B270" s="33"/>
      <c r="C270" s="21"/>
      <c r="D270" s="21"/>
      <c r="E270" s="21"/>
      <c r="F270" s="22"/>
      <c r="G270" s="21"/>
      <c r="H270" s="100"/>
      <c r="I270" s="22"/>
      <c r="J270" s="21"/>
      <c r="K270" s="21"/>
    </row>
    <row r="271" spans="1:11" ht="14.45">
      <c r="A271" s="21"/>
      <c r="B271" s="33"/>
      <c r="C271" s="21"/>
      <c r="D271" s="21"/>
      <c r="E271" s="21"/>
      <c r="F271" s="22"/>
      <c r="G271" s="21"/>
      <c r="H271" s="100"/>
      <c r="I271" s="22"/>
      <c r="J271" s="21"/>
      <c r="K271" s="21"/>
    </row>
    <row r="272" spans="1:11" ht="14.45">
      <c r="A272" s="21"/>
      <c r="B272" s="33"/>
      <c r="C272" s="21"/>
      <c r="D272" s="21"/>
      <c r="E272" s="21"/>
      <c r="F272" s="22"/>
      <c r="G272" s="21"/>
      <c r="H272" s="100"/>
      <c r="I272" s="22"/>
      <c r="J272" s="21"/>
      <c r="K272" s="21"/>
    </row>
    <row r="273" spans="1:11" ht="14.45">
      <c r="A273" s="21"/>
      <c r="B273" s="33"/>
      <c r="C273" s="21"/>
      <c r="D273" s="21"/>
      <c r="E273" s="21"/>
      <c r="F273" s="22"/>
      <c r="G273" s="21"/>
      <c r="H273" s="100"/>
      <c r="I273" s="22"/>
      <c r="J273" s="21"/>
      <c r="K273" s="21"/>
    </row>
    <row r="274" spans="1:11" ht="14.45">
      <c r="A274" s="21"/>
      <c r="B274" s="33"/>
      <c r="C274" s="21"/>
      <c r="D274" s="21"/>
      <c r="E274" s="21"/>
      <c r="F274" s="22"/>
      <c r="G274" s="21"/>
      <c r="H274" s="100"/>
      <c r="I274" s="22"/>
      <c r="J274" s="21"/>
      <c r="K274" s="21"/>
    </row>
    <row r="275" spans="1:11" ht="14.45">
      <c r="A275" s="21"/>
      <c r="B275" s="33"/>
      <c r="C275" s="21"/>
      <c r="D275" s="21"/>
      <c r="E275" s="21"/>
      <c r="F275" s="22"/>
      <c r="G275" s="21"/>
      <c r="H275" s="100"/>
      <c r="I275" s="22"/>
      <c r="J275" s="21"/>
      <c r="K275" s="21"/>
    </row>
    <row r="276" spans="1:11" ht="14.45">
      <c r="A276" s="21"/>
      <c r="B276" s="33"/>
      <c r="C276" s="21"/>
      <c r="D276" s="21"/>
      <c r="E276" s="21"/>
      <c r="F276" s="22"/>
      <c r="G276" s="21"/>
      <c r="H276" s="100"/>
      <c r="I276" s="22"/>
      <c r="J276" s="21"/>
      <c r="K276" s="21"/>
    </row>
    <row r="277" spans="1:11" ht="14.45">
      <c r="A277" s="21"/>
      <c r="B277" s="33"/>
      <c r="C277" s="21"/>
      <c r="D277" s="21"/>
      <c r="E277" s="21"/>
      <c r="F277" s="22"/>
      <c r="G277" s="21"/>
      <c r="H277" s="100"/>
      <c r="I277" s="22"/>
      <c r="J277" s="21"/>
      <c r="K277" s="21"/>
    </row>
    <row r="278" spans="1:11" ht="14.45">
      <c r="A278" s="21"/>
      <c r="B278" s="33"/>
      <c r="C278" s="21"/>
      <c r="D278" s="21"/>
      <c r="E278" s="21"/>
      <c r="F278" s="22"/>
      <c r="G278" s="21"/>
      <c r="H278" s="100"/>
      <c r="I278" s="22"/>
      <c r="J278" s="21"/>
      <c r="K278" s="21"/>
    </row>
    <row r="279" spans="1:11" ht="14.45">
      <c r="A279" s="21"/>
      <c r="B279" s="33"/>
      <c r="C279" s="21"/>
      <c r="D279" s="21"/>
      <c r="E279" s="21"/>
      <c r="F279" s="22"/>
      <c r="G279" s="21"/>
      <c r="H279" s="100"/>
      <c r="I279" s="22"/>
      <c r="J279" s="21"/>
      <c r="K279" s="21"/>
    </row>
    <row r="280" spans="1:11" ht="14.45">
      <c r="A280" s="21"/>
      <c r="B280" s="33"/>
      <c r="C280" s="21"/>
      <c r="D280" s="21"/>
      <c r="E280" s="21"/>
      <c r="F280" s="22"/>
      <c r="G280" s="21"/>
      <c r="H280" s="100"/>
      <c r="I280" s="22"/>
      <c r="J280" s="21"/>
      <c r="K280" s="21"/>
    </row>
    <row r="281" spans="1:11" ht="14.45">
      <c r="A281" s="21"/>
      <c r="B281" s="33"/>
      <c r="C281" s="21"/>
      <c r="D281" s="21"/>
      <c r="E281" s="21"/>
      <c r="F281" s="22"/>
      <c r="G281" s="21"/>
      <c r="H281" s="100"/>
      <c r="I281" s="22"/>
      <c r="J281" s="21"/>
      <c r="K281" s="21"/>
    </row>
    <row r="282" spans="1:11" ht="14.45">
      <c r="A282" s="21"/>
      <c r="B282" s="33"/>
      <c r="C282" s="21"/>
      <c r="D282" s="21"/>
      <c r="E282" s="21"/>
      <c r="F282" s="22"/>
      <c r="G282" s="21"/>
      <c r="H282" s="100"/>
      <c r="I282" s="22"/>
      <c r="J282" s="21"/>
      <c r="K282" s="21"/>
    </row>
    <row r="283" spans="1:11" ht="14.45">
      <c r="A283" s="21"/>
      <c r="B283" s="33"/>
      <c r="C283" s="21"/>
      <c r="D283" s="21"/>
      <c r="E283" s="21"/>
      <c r="F283" s="22"/>
      <c r="G283" s="21"/>
      <c r="H283" s="100"/>
      <c r="I283" s="22"/>
      <c r="J283" s="21"/>
      <c r="K283" s="21"/>
    </row>
    <row r="284" spans="1:11" ht="14.45">
      <c r="A284" s="21"/>
      <c r="B284" s="33"/>
      <c r="C284" s="21"/>
      <c r="D284" s="21"/>
      <c r="E284" s="21"/>
      <c r="F284" s="22"/>
      <c r="G284" s="21"/>
      <c r="H284" s="100"/>
      <c r="I284" s="22"/>
      <c r="J284" s="21"/>
      <c r="K284" s="21"/>
    </row>
    <row r="285" spans="1:11" ht="14.45">
      <c r="A285" s="21"/>
      <c r="B285" s="33"/>
      <c r="C285" s="21"/>
      <c r="D285" s="21"/>
      <c r="E285" s="21"/>
      <c r="F285" s="22"/>
      <c r="G285" s="21"/>
      <c r="H285" s="100"/>
      <c r="I285" s="22"/>
      <c r="J285" s="21"/>
      <c r="K285" s="21"/>
    </row>
    <row r="286" spans="1:11" ht="14.45">
      <c r="A286" s="21"/>
      <c r="B286" s="33"/>
      <c r="C286" s="21"/>
      <c r="D286" s="21"/>
      <c r="E286" s="21"/>
      <c r="F286" s="22"/>
      <c r="G286" s="21"/>
      <c r="H286" s="100"/>
      <c r="I286" s="22"/>
      <c r="J286" s="21"/>
      <c r="K286" s="21"/>
    </row>
    <row r="287" spans="1:11" ht="14.45">
      <c r="A287" s="21"/>
      <c r="B287" s="33"/>
      <c r="C287" s="21"/>
      <c r="D287" s="21"/>
      <c r="E287" s="21"/>
      <c r="F287" s="22"/>
      <c r="G287" s="21"/>
      <c r="H287" s="100"/>
      <c r="I287" s="22"/>
      <c r="J287" s="21"/>
      <c r="K287" s="21"/>
    </row>
    <row r="288" spans="1:11" ht="14.45">
      <c r="A288" s="21"/>
      <c r="B288" s="33"/>
      <c r="C288" s="21"/>
      <c r="D288" s="21"/>
      <c r="E288" s="21"/>
      <c r="F288" s="22"/>
      <c r="G288" s="21"/>
      <c r="H288" s="100"/>
      <c r="I288" s="22"/>
      <c r="J288" s="21"/>
      <c r="K288" s="21"/>
    </row>
    <row r="289" spans="1:11" ht="14.45">
      <c r="A289" s="21"/>
      <c r="B289" s="33"/>
      <c r="C289" s="21"/>
      <c r="D289" s="21"/>
      <c r="E289" s="21"/>
      <c r="F289" s="22"/>
      <c r="G289" s="21"/>
      <c r="H289" s="100"/>
      <c r="I289" s="22"/>
      <c r="J289" s="21"/>
      <c r="K289" s="21"/>
    </row>
    <row r="290" spans="1:11" ht="14.45">
      <c r="A290" s="21"/>
      <c r="B290" s="33"/>
      <c r="C290" s="21"/>
      <c r="D290" s="21"/>
      <c r="E290" s="21"/>
      <c r="F290" s="22"/>
      <c r="G290" s="21"/>
      <c r="H290" s="100"/>
      <c r="I290" s="22"/>
      <c r="J290" s="21"/>
      <c r="K290" s="21"/>
    </row>
    <row r="291" spans="1:11" ht="14.45">
      <c r="A291" s="21"/>
      <c r="B291" s="33"/>
      <c r="C291" s="21"/>
      <c r="D291" s="21"/>
      <c r="E291" s="21"/>
      <c r="F291" s="22"/>
      <c r="G291" s="21"/>
      <c r="H291" s="100"/>
      <c r="I291" s="22"/>
      <c r="J291" s="21"/>
      <c r="K291" s="21"/>
    </row>
    <row r="292" spans="1:11" ht="14.45">
      <c r="A292" s="21"/>
      <c r="B292" s="33"/>
      <c r="C292" s="21"/>
      <c r="D292" s="21"/>
      <c r="E292" s="21"/>
      <c r="F292" s="22"/>
      <c r="G292" s="21"/>
      <c r="H292" s="100"/>
      <c r="I292" s="22"/>
      <c r="J292" s="21"/>
      <c r="K292" s="21"/>
    </row>
    <row r="293" spans="1:11" ht="14.45">
      <c r="A293" s="21"/>
      <c r="B293" s="33"/>
      <c r="C293" s="21"/>
      <c r="D293" s="21"/>
      <c r="E293" s="21"/>
      <c r="F293" s="22"/>
      <c r="G293" s="21"/>
      <c r="H293" s="100"/>
      <c r="I293" s="22"/>
      <c r="J293" s="21"/>
      <c r="K293" s="21"/>
    </row>
    <row r="294" spans="1:11" ht="14.45">
      <c r="A294" s="21"/>
      <c r="B294" s="33"/>
      <c r="C294" s="21"/>
      <c r="D294" s="21"/>
      <c r="E294" s="21"/>
      <c r="F294" s="22"/>
      <c r="G294" s="21"/>
      <c r="H294" s="100"/>
      <c r="I294" s="22"/>
      <c r="J294" s="21"/>
      <c r="K294" s="21"/>
    </row>
    <row r="295" spans="1:11" ht="14.45">
      <c r="A295" s="21"/>
      <c r="B295" s="33"/>
      <c r="C295" s="21"/>
      <c r="D295" s="21"/>
      <c r="E295" s="21"/>
      <c r="F295" s="22"/>
      <c r="G295" s="21"/>
      <c r="H295" s="100"/>
      <c r="I295" s="22"/>
      <c r="J295" s="21"/>
      <c r="K295" s="21"/>
    </row>
    <row r="296" spans="1:11" ht="14.45">
      <c r="A296" s="21"/>
      <c r="B296" s="33"/>
      <c r="C296" s="21"/>
      <c r="D296" s="21"/>
      <c r="E296" s="21"/>
      <c r="F296" s="22"/>
      <c r="G296" s="21"/>
      <c r="H296" s="100"/>
      <c r="I296" s="22"/>
      <c r="J296" s="21"/>
      <c r="K296" s="21"/>
    </row>
    <row r="297" spans="1:11" ht="14.45">
      <c r="A297" s="21"/>
      <c r="B297" s="33"/>
      <c r="C297" s="21"/>
      <c r="D297" s="21"/>
      <c r="E297" s="21"/>
      <c r="F297" s="22"/>
      <c r="G297" s="21"/>
      <c r="H297" s="100"/>
      <c r="I297" s="22"/>
      <c r="J297" s="21"/>
      <c r="K297" s="21"/>
    </row>
    <row r="298" spans="1:11" ht="14.45">
      <c r="A298" s="21"/>
      <c r="B298" s="33"/>
      <c r="C298" s="21"/>
      <c r="D298" s="21"/>
      <c r="E298" s="21"/>
      <c r="F298" s="22"/>
      <c r="G298" s="21"/>
      <c r="H298" s="100"/>
      <c r="I298" s="22"/>
      <c r="J298" s="21"/>
      <c r="K298" s="21"/>
    </row>
    <row r="299" spans="1:11" ht="14.45">
      <c r="A299" s="21"/>
      <c r="B299" s="33"/>
      <c r="C299" s="21"/>
      <c r="D299" s="21"/>
      <c r="E299" s="21"/>
      <c r="F299" s="22"/>
      <c r="G299" s="21"/>
      <c r="H299" s="100"/>
      <c r="I299" s="22"/>
      <c r="J299" s="21"/>
      <c r="K299" s="21"/>
    </row>
    <row r="300" spans="1:11" ht="14.45">
      <c r="A300" s="21"/>
      <c r="B300" s="33"/>
      <c r="C300" s="21"/>
      <c r="D300" s="21"/>
      <c r="E300" s="21"/>
      <c r="F300" s="22"/>
      <c r="G300" s="21"/>
      <c r="H300" s="100"/>
      <c r="I300" s="22"/>
      <c r="J300" s="21"/>
      <c r="K300" s="21"/>
    </row>
    <row r="301" spans="1:11" ht="14.45">
      <c r="A301" s="21"/>
      <c r="B301" s="33"/>
      <c r="C301" s="21"/>
      <c r="D301" s="21"/>
      <c r="E301" s="21"/>
      <c r="F301" s="22"/>
      <c r="G301" s="21"/>
      <c r="H301" s="100"/>
      <c r="I301" s="22"/>
      <c r="J301" s="21"/>
      <c r="K301" s="21"/>
    </row>
    <row r="302" spans="1:11" ht="14.45">
      <c r="A302" s="21"/>
      <c r="B302" s="33"/>
      <c r="C302" s="21"/>
      <c r="D302" s="21"/>
      <c r="E302" s="21"/>
      <c r="F302" s="22"/>
      <c r="G302" s="21"/>
      <c r="H302" s="100"/>
      <c r="I302" s="22"/>
      <c r="J302" s="21"/>
      <c r="K302" s="21"/>
    </row>
    <row r="303" spans="1:11" ht="14.45">
      <c r="A303" s="21"/>
      <c r="B303" s="33"/>
      <c r="C303" s="21"/>
      <c r="D303" s="21"/>
      <c r="E303" s="21"/>
      <c r="F303" s="22"/>
      <c r="G303" s="21"/>
      <c r="H303" s="100"/>
      <c r="I303" s="22"/>
      <c r="J303" s="21"/>
      <c r="K303" s="21"/>
    </row>
    <row r="304" spans="1:11" ht="14.45">
      <c r="A304" s="21"/>
      <c r="B304" s="33"/>
      <c r="C304" s="21"/>
      <c r="D304" s="21"/>
      <c r="E304" s="21"/>
      <c r="F304" s="22"/>
      <c r="G304" s="21"/>
      <c r="H304" s="100"/>
      <c r="I304" s="22"/>
      <c r="J304" s="21"/>
      <c r="K304" s="21"/>
    </row>
    <row r="305" spans="1:11" ht="14.45">
      <c r="A305" s="21"/>
      <c r="B305" s="33"/>
      <c r="C305" s="21"/>
      <c r="D305" s="21"/>
      <c r="E305" s="21"/>
      <c r="F305" s="22"/>
      <c r="G305" s="21"/>
      <c r="H305" s="100"/>
      <c r="I305" s="22"/>
      <c r="J305" s="21"/>
      <c r="K305" s="21"/>
    </row>
    <row r="306" spans="1:11" ht="14.45">
      <c r="A306" s="21"/>
      <c r="B306" s="33"/>
      <c r="C306" s="21"/>
      <c r="D306" s="21"/>
      <c r="E306" s="21"/>
      <c r="F306" s="22"/>
      <c r="G306" s="21"/>
      <c r="H306" s="100"/>
      <c r="I306" s="22"/>
      <c r="J306" s="21"/>
      <c r="K306" s="21"/>
    </row>
    <row r="307" spans="1:11" ht="14.45">
      <c r="A307" s="21"/>
      <c r="B307" s="33"/>
      <c r="C307" s="21"/>
      <c r="D307" s="21"/>
      <c r="E307" s="21"/>
      <c r="F307" s="22"/>
      <c r="G307" s="21"/>
      <c r="H307" s="100"/>
      <c r="I307" s="22"/>
      <c r="J307" s="21"/>
      <c r="K307" s="21"/>
    </row>
    <row r="308" spans="1:11" ht="14.45">
      <c r="A308" s="21"/>
      <c r="B308" s="33"/>
      <c r="C308" s="21"/>
      <c r="D308" s="21"/>
      <c r="E308" s="21"/>
      <c r="F308" s="22"/>
      <c r="G308" s="21"/>
      <c r="H308" s="100"/>
      <c r="I308" s="22"/>
      <c r="J308" s="21"/>
      <c r="K308" s="21"/>
    </row>
    <row r="309" spans="1:11" ht="14.45">
      <c r="A309" s="21"/>
      <c r="B309" s="33"/>
      <c r="C309" s="21"/>
      <c r="D309" s="21"/>
      <c r="E309" s="21"/>
      <c r="F309" s="22"/>
      <c r="G309" s="21"/>
      <c r="H309" s="100"/>
      <c r="I309" s="22"/>
      <c r="J309" s="21"/>
      <c r="K309" s="21"/>
    </row>
    <row r="310" spans="1:11" ht="14.45">
      <c r="A310" s="21"/>
      <c r="B310" s="33"/>
      <c r="C310" s="21"/>
      <c r="D310" s="21"/>
      <c r="E310" s="21"/>
      <c r="F310" s="22"/>
      <c r="G310" s="21"/>
      <c r="H310" s="100"/>
      <c r="I310" s="22"/>
      <c r="J310" s="21"/>
      <c r="K310" s="21"/>
    </row>
    <row r="311" spans="1:11" ht="14.45">
      <c r="A311" s="21"/>
      <c r="B311" s="33"/>
      <c r="C311" s="21"/>
      <c r="D311" s="21"/>
      <c r="E311" s="21"/>
      <c r="F311" s="22"/>
      <c r="G311" s="21"/>
      <c r="H311" s="100"/>
      <c r="I311" s="22"/>
      <c r="J311" s="21"/>
      <c r="K311" s="21"/>
    </row>
    <row r="312" spans="1:11" ht="14.45">
      <c r="A312" s="21"/>
      <c r="B312" s="33"/>
      <c r="C312" s="21"/>
      <c r="D312" s="21"/>
      <c r="E312" s="21"/>
      <c r="F312" s="22"/>
      <c r="G312" s="21"/>
      <c r="H312" s="100"/>
      <c r="I312" s="22"/>
      <c r="J312" s="21"/>
      <c r="K312" s="21"/>
    </row>
    <row r="313" spans="1:11" ht="14.45">
      <c r="A313" s="21"/>
      <c r="B313" s="33"/>
      <c r="C313" s="21"/>
      <c r="D313" s="21"/>
      <c r="E313" s="21"/>
      <c r="F313" s="22"/>
      <c r="G313" s="21"/>
      <c r="H313" s="100"/>
      <c r="I313" s="22"/>
      <c r="J313" s="21"/>
      <c r="K313" s="21"/>
    </row>
    <row r="314" spans="1:11" ht="14.45">
      <c r="A314" s="21"/>
      <c r="B314" s="33"/>
      <c r="C314" s="21"/>
      <c r="D314" s="21"/>
      <c r="E314" s="21"/>
      <c r="F314" s="22"/>
      <c r="G314" s="21"/>
      <c r="H314" s="100"/>
      <c r="I314" s="22"/>
      <c r="J314" s="21"/>
      <c r="K314" s="21"/>
    </row>
    <row r="315" spans="1:11" ht="14.45">
      <c r="A315" s="21"/>
      <c r="B315" s="33"/>
      <c r="C315" s="21"/>
      <c r="D315" s="21"/>
      <c r="E315" s="21"/>
      <c r="F315" s="22"/>
      <c r="G315" s="21"/>
      <c r="H315" s="100"/>
      <c r="I315" s="22"/>
      <c r="J315" s="21"/>
      <c r="K315" s="21"/>
    </row>
    <row r="316" spans="1:11" ht="14.45">
      <c r="A316" s="21"/>
      <c r="B316" s="33"/>
      <c r="C316" s="21"/>
      <c r="D316" s="21"/>
      <c r="E316" s="21"/>
      <c r="F316" s="22"/>
      <c r="G316" s="21"/>
      <c r="H316" s="100"/>
      <c r="I316" s="22"/>
      <c r="J316" s="21"/>
      <c r="K316" s="21"/>
    </row>
    <row r="317" spans="1:11" ht="14.45">
      <c r="A317" s="21"/>
      <c r="B317" s="33"/>
      <c r="C317" s="21"/>
      <c r="D317" s="21"/>
      <c r="E317" s="21"/>
      <c r="F317" s="22"/>
      <c r="G317" s="21"/>
      <c r="H317" s="100"/>
      <c r="I317" s="22"/>
      <c r="J317" s="21"/>
      <c r="K317" s="21"/>
    </row>
    <row r="318" spans="1:11" ht="14.45">
      <c r="A318" s="21"/>
      <c r="B318" s="33"/>
      <c r="C318" s="21"/>
      <c r="D318" s="21"/>
      <c r="E318" s="21"/>
      <c r="F318" s="22"/>
      <c r="G318" s="21"/>
      <c r="H318" s="100"/>
      <c r="I318" s="22"/>
      <c r="J318" s="21"/>
      <c r="K318" s="21"/>
    </row>
    <row r="319" spans="1:11" ht="14.45">
      <c r="A319" s="21"/>
      <c r="B319" s="33"/>
      <c r="C319" s="21"/>
      <c r="D319" s="21"/>
      <c r="E319" s="21"/>
      <c r="F319" s="22"/>
      <c r="G319" s="21"/>
      <c r="H319" s="100"/>
      <c r="I319" s="22"/>
      <c r="J319" s="21"/>
      <c r="K319" s="21"/>
    </row>
    <row r="320" spans="1:11" ht="14.45">
      <c r="A320" s="21"/>
      <c r="B320" s="33"/>
      <c r="C320" s="21"/>
      <c r="D320" s="21"/>
      <c r="E320" s="21"/>
      <c r="F320" s="22"/>
      <c r="G320" s="21"/>
      <c r="H320" s="100"/>
      <c r="I320" s="22"/>
      <c r="J320" s="21"/>
      <c r="K320" s="21"/>
    </row>
    <row r="321" spans="1:11" ht="14.45">
      <c r="A321" s="21"/>
      <c r="B321" s="33"/>
      <c r="C321" s="21"/>
      <c r="D321" s="21"/>
      <c r="E321" s="21"/>
      <c r="F321" s="22"/>
      <c r="G321" s="21"/>
      <c r="H321" s="100"/>
      <c r="I321" s="22"/>
      <c r="J321" s="21"/>
      <c r="K321" s="21"/>
    </row>
    <row r="322" spans="1:11" ht="14.45">
      <c r="A322" s="21"/>
      <c r="B322" s="33"/>
      <c r="C322" s="21"/>
      <c r="D322" s="21"/>
      <c r="E322" s="21"/>
      <c r="F322" s="22"/>
      <c r="G322" s="21"/>
      <c r="H322" s="100"/>
      <c r="I322" s="22"/>
      <c r="J322" s="21"/>
      <c r="K322" s="21"/>
    </row>
    <row r="323" spans="1:11" ht="14.45">
      <c r="A323" s="21"/>
      <c r="B323" s="33"/>
      <c r="C323" s="21"/>
      <c r="D323" s="21"/>
      <c r="E323" s="21"/>
      <c r="F323" s="22"/>
      <c r="G323" s="21"/>
      <c r="H323" s="100"/>
      <c r="I323" s="22"/>
      <c r="J323" s="21"/>
      <c r="K323" s="21"/>
    </row>
    <row r="324" spans="1:11" ht="14.45">
      <c r="A324" s="21"/>
      <c r="B324" s="33"/>
      <c r="C324" s="21"/>
      <c r="D324" s="21"/>
      <c r="E324" s="21"/>
      <c r="F324" s="22"/>
      <c r="G324" s="21"/>
      <c r="H324" s="100"/>
      <c r="I324" s="22"/>
      <c r="J324" s="21"/>
      <c r="K324" s="21"/>
    </row>
    <row r="325" spans="1:11" ht="14.45">
      <c r="A325" s="21"/>
      <c r="B325" s="33"/>
      <c r="C325" s="21"/>
      <c r="D325" s="21"/>
      <c r="E325" s="21"/>
      <c r="F325" s="22"/>
      <c r="G325" s="21"/>
      <c r="H325" s="100"/>
      <c r="I325" s="22"/>
      <c r="J325" s="21"/>
      <c r="K325" s="21"/>
    </row>
    <row r="326" spans="1:11" ht="14.45">
      <c r="A326" s="21"/>
      <c r="B326" s="33"/>
      <c r="C326" s="21"/>
      <c r="D326" s="21"/>
      <c r="E326" s="21"/>
      <c r="F326" s="22"/>
      <c r="G326" s="21"/>
      <c r="H326" s="100"/>
      <c r="I326" s="22"/>
      <c r="J326" s="21"/>
      <c r="K326" s="21"/>
    </row>
    <row r="327" spans="1:11" ht="14.45">
      <c r="A327" s="21"/>
      <c r="B327" s="33"/>
      <c r="C327" s="21"/>
      <c r="D327" s="21"/>
      <c r="E327" s="21"/>
      <c r="F327" s="22"/>
      <c r="G327" s="21"/>
      <c r="H327" s="100"/>
      <c r="I327" s="22"/>
      <c r="J327" s="21"/>
      <c r="K327" s="21"/>
    </row>
    <row r="328" spans="1:11" ht="14.45">
      <c r="A328" s="21"/>
      <c r="B328" s="33"/>
      <c r="C328" s="21"/>
      <c r="D328" s="21"/>
      <c r="E328" s="21"/>
      <c r="F328" s="22"/>
      <c r="G328" s="21"/>
      <c r="H328" s="100"/>
      <c r="I328" s="22"/>
      <c r="J328" s="21"/>
      <c r="K328" s="21"/>
    </row>
    <row r="329" spans="1:11" ht="14.45">
      <c r="A329" s="21"/>
      <c r="B329" s="33"/>
      <c r="C329" s="21"/>
      <c r="D329" s="21"/>
      <c r="E329" s="21"/>
      <c r="F329" s="22"/>
      <c r="G329" s="21"/>
      <c r="H329" s="100"/>
      <c r="I329" s="22"/>
      <c r="J329" s="21"/>
      <c r="K329" s="21"/>
    </row>
    <row r="330" spans="1:11" ht="14.45">
      <c r="A330" s="21"/>
      <c r="B330" s="33"/>
      <c r="C330" s="21"/>
      <c r="D330" s="21"/>
      <c r="E330" s="21"/>
      <c r="F330" s="22"/>
      <c r="G330" s="21"/>
      <c r="H330" s="100"/>
      <c r="I330" s="22"/>
      <c r="J330" s="21"/>
      <c r="K330" s="21"/>
    </row>
    <row r="331" spans="1:11" ht="14.45">
      <c r="A331" s="21"/>
      <c r="B331" s="33"/>
      <c r="C331" s="21"/>
      <c r="D331" s="21"/>
      <c r="E331" s="21"/>
      <c r="F331" s="22"/>
      <c r="G331" s="21"/>
      <c r="H331" s="100"/>
      <c r="I331" s="22"/>
      <c r="J331" s="21"/>
      <c r="K331" s="21"/>
    </row>
    <row r="332" spans="1:11" ht="14.45">
      <c r="A332" s="21"/>
      <c r="B332" s="33"/>
      <c r="C332" s="21"/>
      <c r="D332" s="21"/>
      <c r="E332" s="21"/>
      <c r="F332" s="22"/>
      <c r="G332" s="21"/>
      <c r="H332" s="100"/>
      <c r="I332" s="22"/>
      <c r="J332" s="21"/>
      <c r="K332" s="21"/>
    </row>
    <row r="333" spans="1:11" ht="14.45">
      <c r="A333" s="21"/>
      <c r="B333" s="33"/>
      <c r="C333" s="21"/>
      <c r="D333" s="21"/>
      <c r="E333" s="21"/>
      <c r="F333" s="22"/>
      <c r="G333" s="21"/>
      <c r="H333" s="100"/>
      <c r="I333" s="22"/>
      <c r="J333" s="21"/>
      <c r="K333" s="21"/>
    </row>
    <row r="334" spans="1:11" ht="14.45">
      <c r="A334" s="21"/>
      <c r="B334" s="33"/>
      <c r="C334" s="21"/>
      <c r="D334" s="21"/>
      <c r="E334" s="21"/>
      <c r="F334" s="22"/>
      <c r="G334" s="21"/>
      <c r="H334" s="100"/>
      <c r="I334" s="22"/>
      <c r="J334" s="21"/>
      <c r="K334" s="21"/>
    </row>
    <row r="335" spans="1:11" ht="14.45">
      <c r="A335" s="21"/>
      <c r="B335" s="33"/>
      <c r="C335" s="21"/>
      <c r="D335" s="21"/>
      <c r="E335" s="21"/>
      <c r="F335" s="22"/>
      <c r="G335" s="21"/>
      <c r="H335" s="100"/>
      <c r="I335" s="22"/>
      <c r="J335" s="21"/>
      <c r="K335" s="21"/>
    </row>
    <row r="336" spans="1:11" ht="14.45">
      <c r="A336" s="21"/>
      <c r="B336" s="33"/>
      <c r="C336" s="21"/>
      <c r="D336" s="21"/>
      <c r="E336" s="21"/>
      <c r="F336" s="22"/>
      <c r="G336" s="21"/>
      <c r="H336" s="100"/>
      <c r="I336" s="22"/>
      <c r="J336" s="21"/>
      <c r="K336" s="21"/>
    </row>
    <row r="337" spans="1:11" ht="14.45">
      <c r="A337" s="21"/>
      <c r="B337" s="33"/>
      <c r="C337" s="21"/>
      <c r="D337" s="21"/>
      <c r="E337" s="21"/>
      <c r="F337" s="22"/>
      <c r="G337" s="21"/>
      <c r="H337" s="100"/>
      <c r="I337" s="22"/>
      <c r="J337" s="21"/>
      <c r="K337" s="21"/>
    </row>
    <row r="338" spans="1:11" ht="14.45">
      <c r="A338" s="21"/>
      <c r="B338" s="33"/>
      <c r="C338" s="21"/>
      <c r="D338" s="21"/>
      <c r="E338" s="21"/>
      <c r="F338" s="22"/>
      <c r="G338" s="21"/>
      <c r="H338" s="100"/>
      <c r="I338" s="22"/>
      <c r="J338" s="21"/>
      <c r="K338" s="21"/>
    </row>
    <row r="339" spans="1:11" ht="14.45">
      <c r="A339" s="21"/>
      <c r="B339" s="33"/>
      <c r="C339" s="21"/>
      <c r="D339" s="21"/>
      <c r="E339" s="21"/>
      <c r="F339" s="22"/>
      <c r="G339" s="21"/>
      <c r="H339" s="100"/>
      <c r="I339" s="22"/>
      <c r="J339" s="21"/>
      <c r="K339" s="21"/>
    </row>
    <row r="340" spans="1:11" ht="14.45">
      <c r="A340" s="21"/>
      <c r="B340" s="33"/>
      <c r="C340" s="21"/>
      <c r="D340" s="21"/>
      <c r="E340" s="21"/>
      <c r="F340" s="22"/>
      <c r="G340" s="21"/>
      <c r="H340" s="100"/>
      <c r="I340" s="22"/>
      <c r="J340" s="21"/>
      <c r="K340" s="21"/>
    </row>
    <row r="341" spans="1:11" ht="14.45">
      <c r="A341" s="21"/>
      <c r="B341" s="33"/>
      <c r="C341" s="21"/>
      <c r="D341" s="21"/>
      <c r="E341" s="21"/>
      <c r="F341" s="22"/>
      <c r="G341" s="21"/>
      <c r="H341" s="100"/>
      <c r="I341" s="22"/>
      <c r="J341" s="21"/>
      <c r="K341" s="21"/>
    </row>
    <row r="342" spans="1:11" ht="14.45">
      <c r="C342" s="21"/>
      <c r="D342" s="21"/>
      <c r="E342" s="21"/>
      <c r="F342" s="22"/>
      <c r="G342" s="21"/>
      <c r="H342" s="100"/>
      <c r="I342" s="22"/>
      <c r="J342" s="21"/>
      <c r="K342" s="21"/>
    </row>
  </sheetData>
  <mergeCells count="4">
    <mergeCell ref="G1:I1"/>
    <mergeCell ref="A1:C1"/>
    <mergeCell ref="D1:F1"/>
    <mergeCell ref="A2:B2"/>
  </mergeCells>
  <conditionalFormatting sqref="F2 I2 I4:I100 F70:F100">
    <cfRule type="cellIs" dxfId="46" priority="1" stopIfTrue="1" operator="lessThanOrEqual">
      <formula>-0.1</formula>
    </cfRule>
    <cfRule type="expression" dxfId="45" priority="2">
      <formula>AND(ISNUMBER(F2), F2&gt;=0.1)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66" activePane="bottomRight" state="frozen"/>
      <selection pane="bottomRight" activeCell="J62" sqref="J6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1" t="str" cm="1">
        <f t="array" ref="A1">portfolio</f>
        <v>Silicon Ranch</v>
      </c>
      <c r="B1" s="121"/>
      <c r="C1" s="121"/>
      <c r="D1" s="122" t="s">
        <v>166</v>
      </c>
      <c r="E1" s="122"/>
      <c r="F1" s="122"/>
      <c r="G1" s="120" t="s">
        <v>167</v>
      </c>
      <c r="H1" s="120"/>
      <c r="I1" s="120"/>
      <c r="J1" s="4"/>
      <c r="K1" s="4"/>
    </row>
    <row r="2" spans="1:16" ht="19.5" customHeight="1">
      <c r="A2" s="123" t="s">
        <v>2</v>
      </c>
      <c r="B2" s="123"/>
      <c r="C2" s="5">
        <f>SUM(C4:C100)</f>
        <v>3800025</v>
      </c>
      <c r="D2" s="5">
        <f>SUM(D4:D100)</f>
        <v>0</v>
      </c>
      <c r="E2" s="5">
        <f>C2-D2</f>
        <v>3800025</v>
      </c>
      <c r="F2" s="6">
        <f>IFERROR(E2/D2, 0)</f>
        <v>0</v>
      </c>
      <c r="G2" s="5">
        <f>SUM(G4:G100)</f>
        <v>3671145.047999999</v>
      </c>
      <c r="H2" s="7">
        <f>C2-G2</f>
        <v>128879.95200000098</v>
      </c>
      <c r="I2" s="6">
        <f>IFERROR(H2/G2, 0)</f>
        <v>3.5106199922613629E-2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6">
      <c r="A4" s="32" t="str" cm="1">
        <f t="array" ref="A4:A69">Sites[Site]</f>
        <v>Iron Mountain - Windsor</v>
      </c>
      <c r="B4" s="29" t="str" cm="1">
        <f t="array" ref="B4:B69">Sites[State]</f>
        <v>CT</v>
      </c>
      <c r="C4" s="24">
        <v>27222</v>
      </c>
      <c r="D4" s="13" t="s">
        <v>22</v>
      </c>
      <c r="E4" s="13" t="str">
        <f>IF(AND(ISNUMBER(C4),ISNUMBER(D4)), C4-D4, "")</f>
        <v/>
      </c>
      <c r="F4" s="14" t="str">
        <f>IFERROR(E4/D4, "")</f>
        <v/>
      </c>
      <c r="G4" s="15">
        <v>24890.44</v>
      </c>
      <c r="H4" s="15">
        <f>IF(AND(ISNUMBER(C4),ISNUMBER(G4)), C4-G4, "")</f>
        <v>2331.5600000000013</v>
      </c>
      <c r="I4" s="16">
        <f>IFERROR(H4/G4, "")</f>
        <v>9.3672912170295164E-2</v>
      </c>
      <c r="J4" s="66"/>
      <c r="K4" s="41"/>
      <c r="L4" s="117"/>
      <c r="M4" s="117"/>
      <c r="N4" s="117"/>
      <c r="O4" s="117"/>
      <c r="P4" s="117"/>
    </row>
    <row r="5" spans="1:16" ht="15.6">
      <c r="A5" s="30" t="str">
        <v>Kohls - Auburn</v>
      </c>
      <c r="B5" s="31" t="str">
        <v>NY</v>
      </c>
      <c r="C5" s="11">
        <v>27236</v>
      </c>
      <c r="D5" s="18" t="s">
        <v>22</v>
      </c>
      <c r="E5" s="18" t="str">
        <f t="shared" ref="E5:E25" si="0">IF(AND(ISNUMBER(C5),ISNUMBER(D5)), C5-D5, "")</f>
        <v/>
      </c>
      <c r="F5" s="19" t="str">
        <f>IFERROR(E5/D5, "")</f>
        <v/>
      </c>
      <c r="G5" s="20">
        <v>23650.080000000002</v>
      </c>
      <c r="H5" s="20">
        <f t="shared" ref="H5:H25" si="1">IF(AND(ISNUMBER(C5),ISNUMBER(G5)), C5-G5, "")</f>
        <v>3585.9199999999983</v>
      </c>
      <c r="I5" s="19">
        <f t="shared" ref="I5:I69" si="2">IFERROR(H5/G5, "")</f>
        <v>0.15162401141983445</v>
      </c>
      <c r="K5" s="42"/>
      <c r="L5" s="117"/>
      <c r="M5" s="117"/>
      <c r="N5" s="117"/>
      <c r="O5" s="117"/>
      <c r="P5" s="117"/>
    </row>
    <row r="6" spans="1:16" ht="43.15">
      <c r="A6" s="28" t="str">
        <v>Kohls - Bensalem</v>
      </c>
      <c r="B6" s="29" t="str">
        <v>PA</v>
      </c>
      <c r="C6" s="24">
        <v>34738</v>
      </c>
      <c r="D6" s="13" t="s">
        <v>22</v>
      </c>
      <c r="E6" s="13" t="str">
        <f t="shared" si="0"/>
        <v/>
      </c>
      <c r="F6" s="14" t="str">
        <f t="shared" ref="F6:F25" si="3">IFERROR(E6/D6, "")</f>
        <v/>
      </c>
      <c r="G6" s="15">
        <v>29689.14</v>
      </c>
      <c r="H6" s="15">
        <f t="shared" si="1"/>
        <v>5048.8600000000006</v>
      </c>
      <c r="I6" s="16">
        <f t="shared" si="2"/>
        <v>0.17005746882530112</v>
      </c>
      <c r="J6" s="41" t="s">
        <v>168</v>
      </c>
      <c r="K6" s="104" t="s">
        <v>169</v>
      </c>
      <c r="L6" s="117"/>
      <c r="M6" s="117"/>
      <c r="N6" s="117"/>
      <c r="O6" s="117"/>
      <c r="P6" s="117"/>
    </row>
    <row r="7" spans="1:16" ht="15.6">
      <c r="A7" s="30" t="str">
        <v>Kohls - Brick</v>
      </c>
      <c r="B7" s="31" t="str">
        <v>NJ</v>
      </c>
      <c r="C7" s="11">
        <v>43073</v>
      </c>
      <c r="D7" s="18" t="s">
        <v>22</v>
      </c>
      <c r="E7" s="18" t="str">
        <f t="shared" si="0"/>
        <v/>
      </c>
      <c r="F7" s="19" t="str">
        <f t="shared" si="3"/>
        <v/>
      </c>
      <c r="G7" s="20">
        <v>35597.949999999997</v>
      </c>
      <c r="H7" s="20">
        <f t="shared" si="1"/>
        <v>7475.0500000000029</v>
      </c>
      <c r="I7" s="19">
        <f t="shared" si="2"/>
        <v>0.20998540646301272</v>
      </c>
      <c r="J7" s="42"/>
      <c r="K7" s="43"/>
      <c r="L7" s="117"/>
      <c r="M7" s="117"/>
      <c r="N7" s="117"/>
      <c r="O7" s="117"/>
      <c r="P7" s="117"/>
    </row>
    <row r="8" spans="1:16" ht="111.75" customHeight="1">
      <c r="A8" s="28" t="str">
        <v>Kohls - Buffalo</v>
      </c>
      <c r="B8" s="29" t="str">
        <v>NY</v>
      </c>
      <c r="C8" s="24">
        <v>24986</v>
      </c>
      <c r="D8" s="13" t="s">
        <v>22</v>
      </c>
      <c r="E8" s="13" t="str">
        <f t="shared" si="0"/>
        <v/>
      </c>
      <c r="F8" s="14" t="str">
        <f t="shared" si="3"/>
        <v/>
      </c>
      <c r="G8" s="15">
        <v>30971.89</v>
      </c>
      <c r="H8" s="15">
        <f t="shared" si="1"/>
        <v>-5985.8899999999994</v>
      </c>
      <c r="I8" s="16">
        <f t="shared" si="2"/>
        <v>-0.19326847667352556</v>
      </c>
      <c r="J8" s="41" t="s">
        <v>170</v>
      </c>
      <c r="K8" s="104" t="s">
        <v>171</v>
      </c>
      <c r="L8" s="118" t="s">
        <v>172</v>
      </c>
      <c r="M8" s="118" t="s">
        <v>28</v>
      </c>
      <c r="N8" s="118" t="s">
        <v>27</v>
      </c>
      <c r="O8" s="118" t="s">
        <v>28</v>
      </c>
      <c r="P8" s="117"/>
    </row>
    <row r="9" spans="1:16" ht="15.6">
      <c r="A9" s="30" t="str">
        <v>Kohls - Canton</v>
      </c>
      <c r="B9" s="31" t="str">
        <v>CT</v>
      </c>
      <c r="C9" s="11">
        <v>13827</v>
      </c>
      <c r="D9" s="18" t="s">
        <v>22</v>
      </c>
      <c r="E9" s="18" t="str">
        <f t="shared" si="0"/>
        <v/>
      </c>
      <c r="F9" s="19" t="str">
        <f t="shared" si="3"/>
        <v/>
      </c>
      <c r="G9" s="20">
        <v>11101.61</v>
      </c>
      <c r="H9" s="20">
        <f t="shared" si="1"/>
        <v>2725.3899999999994</v>
      </c>
      <c r="I9" s="19">
        <f t="shared" si="2"/>
        <v>0.24549502279399107</v>
      </c>
      <c r="J9" s="42"/>
      <c r="K9" s="43"/>
      <c r="L9" s="117"/>
      <c r="M9" s="117"/>
      <c r="N9" s="117"/>
      <c r="O9" s="117"/>
      <c r="P9" s="117"/>
    </row>
    <row r="10" spans="1:16" ht="15.6">
      <c r="A10" s="28" t="str">
        <v>Kohls - East Amherst</v>
      </c>
      <c r="B10" s="29" t="str">
        <v>NY</v>
      </c>
      <c r="C10" s="24">
        <v>30527</v>
      </c>
      <c r="D10" s="13" t="s">
        <v>22</v>
      </c>
      <c r="E10" s="13" t="str">
        <f t="shared" si="0"/>
        <v/>
      </c>
      <c r="F10" s="14" t="str">
        <f t="shared" si="3"/>
        <v/>
      </c>
      <c r="G10" s="15">
        <v>28509.69</v>
      </c>
      <c r="H10" s="15">
        <f t="shared" si="1"/>
        <v>2017.3100000000013</v>
      </c>
      <c r="I10" s="16">
        <f t="shared" si="2"/>
        <v>7.0758749042869329E-2</v>
      </c>
      <c r="J10" s="41"/>
      <c r="K10" s="41"/>
      <c r="L10" s="117"/>
      <c r="M10" s="117"/>
      <c r="N10" s="117"/>
      <c r="O10" s="117"/>
      <c r="P10" s="117"/>
    </row>
    <row r="11" spans="1:16" ht="15.6">
      <c r="A11" s="30" t="str">
        <v>Kohls - East Brunswick</v>
      </c>
      <c r="B11" s="31" t="str">
        <v>NJ</v>
      </c>
      <c r="C11" s="11">
        <v>49790</v>
      </c>
      <c r="D11" s="18" t="s">
        <v>22</v>
      </c>
      <c r="E11" s="18" t="str">
        <f t="shared" si="0"/>
        <v/>
      </c>
      <c r="F11" s="19" t="str">
        <f t="shared" si="3"/>
        <v/>
      </c>
      <c r="G11" s="20">
        <v>45835.09</v>
      </c>
      <c r="H11" s="20">
        <f t="shared" si="1"/>
        <v>3954.9100000000035</v>
      </c>
      <c r="I11" s="19">
        <f t="shared" si="2"/>
        <v>8.6285638361351613E-2</v>
      </c>
      <c r="J11" s="42"/>
      <c r="K11" s="43"/>
      <c r="L11" s="117"/>
      <c r="M11" s="117"/>
      <c r="N11" s="117"/>
      <c r="O11" s="117"/>
      <c r="P11" s="117"/>
    </row>
    <row r="12" spans="1:16" ht="15.6">
      <c r="A12" s="28" t="str">
        <v>Kohls - Edgewood</v>
      </c>
      <c r="B12" s="29" t="str">
        <v>MD</v>
      </c>
      <c r="C12" s="24">
        <v>250847</v>
      </c>
      <c r="D12" s="13" t="s">
        <v>22</v>
      </c>
      <c r="E12" s="13" t="str">
        <f t="shared" si="0"/>
        <v/>
      </c>
      <c r="F12" s="14" t="str">
        <f t="shared" si="3"/>
        <v/>
      </c>
      <c r="G12" s="15">
        <v>237369.73</v>
      </c>
      <c r="H12" s="15">
        <f t="shared" si="1"/>
        <v>13477.26999999999</v>
      </c>
      <c r="I12" s="16">
        <f t="shared" si="2"/>
        <v>5.6777542781044528E-2</v>
      </c>
      <c r="J12" s="41"/>
      <c r="K12" s="41"/>
      <c r="L12" s="117"/>
      <c r="M12" s="117"/>
      <c r="N12" s="117"/>
      <c r="O12" s="117"/>
      <c r="P12" s="117"/>
    </row>
    <row r="13" spans="1:16" ht="15.6">
      <c r="A13" s="30" t="str">
        <v>Kohls - Granite Run</v>
      </c>
      <c r="B13" s="31" t="str">
        <v>PA</v>
      </c>
      <c r="C13" s="11">
        <v>33109</v>
      </c>
      <c r="D13" s="18" t="s">
        <v>22</v>
      </c>
      <c r="E13" s="18" t="str">
        <f t="shared" si="0"/>
        <v/>
      </c>
      <c r="F13" s="19" t="str">
        <f t="shared" si="3"/>
        <v/>
      </c>
      <c r="G13" s="20">
        <v>29284.799999999999</v>
      </c>
      <c r="H13" s="20">
        <f t="shared" si="1"/>
        <v>3824.2000000000007</v>
      </c>
      <c r="I13" s="19">
        <f t="shared" si="2"/>
        <v>0.13058651587171505</v>
      </c>
      <c r="J13" s="42"/>
      <c r="K13" s="43"/>
      <c r="L13" s="117"/>
      <c r="M13" s="117"/>
      <c r="N13" s="117"/>
      <c r="O13" s="117"/>
      <c r="P13" s="117"/>
    </row>
    <row r="14" spans="1:16" ht="15.6">
      <c r="A14" s="28" t="str">
        <v>Kohls - Greece</v>
      </c>
      <c r="B14" s="29" t="str">
        <v>NY</v>
      </c>
      <c r="C14" s="24">
        <v>26115</v>
      </c>
      <c r="D14" s="13" t="s">
        <v>22</v>
      </c>
      <c r="E14" s="13" t="str">
        <f t="shared" si="0"/>
        <v/>
      </c>
      <c r="F14" s="14" t="str">
        <f t="shared" si="3"/>
        <v/>
      </c>
      <c r="G14" s="15">
        <v>27398.92</v>
      </c>
      <c r="H14" s="15">
        <f t="shared" si="1"/>
        <v>-1283.9199999999983</v>
      </c>
      <c r="I14" s="16">
        <f t="shared" si="2"/>
        <v>-4.6860241206587647E-2</v>
      </c>
      <c r="J14" s="41"/>
      <c r="K14" s="41"/>
      <c r="L14" s="117"/>
      <c r="M14" s="117"/>
      <c r="N14" s="117"/>
      <c r="O14" s="117"/>
      <c r="P14" s="117"/>
    </row>
    <row r="15" spans="1:16" ht="15.6">
      <c r="A15" s="30" t="str">
        <v>Kohls - Hanover</v>
      </c>
      <c r="B15" s="31" t="str">
        <v>PA</v>
      </c>
      <c r="C15" s="11">
        <v>37630</v>
      </c>
      <c r="D15" s="18" t="s">
        <v>22</v>
      </c>
      <c r="E15" s="18" t="str">
        <f t="shared" si="0"/>
        <v/>
      </c>
      <c r="F15" s="19" t="str">
        <f t="shared" si="3"/>
        <v/>
      </c>
      <c r="G15" s="20">
        <v>32189.09</v>
      </c>
      <c r="H15" s="20">
        <f t="shared" si="1"/>
        <v>5440.91</v>
      </c>
      <c r="I15" s="19">
        <f t="shared" si="2"/>
        <v>0.16902963084697331</v>
      </c>
      <c r="J15" s="42"/>
      <c r="K15" s="43"/>
      <c r="L15" s="117"/>
      <c r="M15" s="117"/>
      <c r="N15" s="117"/>
      <c r="O15" s="117"/>
      <c r="P15" s="117"/>
    </row>
    <row r="16" spans="1:16" ht="15.6">
      <c r="A16" s="28" t="str">
        <v>Kohls - Horsehead</v>
      </c>
      <c r="B16" s="29" t="str">
        <v>NY</v>
      </c>
      <c r="C16" s="24">
        <v>25246</v>
      </c>
      <c r="D16" s="13" t="s">
        <v>22</v>
      </c>
      <c r="E16" s="13" t="str">
        <f t="shared" si="0"/>
        <v/>
      </c>
      <c r="F16" s="14" t="str">
        <f t="shared" si="3"/>
        <v/>
      </c>
      <c r="G16" s="15">
        <v>24714.57</v>
      </c>
      <c r="H16" s="15">
        <f t="shared" si="1"/>
        <v>531.43000000000029</v>
      </c>
      <c r="I16" s="16">
        <f t="shared" si="2"/>
        <v>2.1502700633674803E-2</v>
      </c>
      <c r="J16" s="41"/>
      <c r="K16" s="41"/>
      <c r="L16" s="117"/>
      <c r="M16" s="117"/>
      <c r="N16" s="117"/>
      <c r="O16" s="117"/>
      <c r="P16" s="117"/>
    </row>
    <row r="17" spans="1:16" ht="15.6">
      <c r="A17" s="30" t="str">
        <v>Kohls - Hudson</v>
      </c>
      <c r="B17" s="31" t="str">
        <v>NY</v>
      </c>
      <c r="C17" s="11">
        <v>29884</v>
      </c>
      <c r="D17" s="18" t="s">
        <v>22</v>
      </c>
      <c r="E17" s="18" t="str">
        <f t="shared" si="0"/>
        <v/>
      </c>
      <c r="F17" s="19" t="str">
        <f t="shared" si="3"/>
        <v/>
      </c>
      <c r="G17" s="20">
        <v>29518.63</v>
      </c>
      <c r="H17" s="20">
        <f t="shared" si="1"/>
        <v>365.36999999999898</v>
      </c>
      <c r="I17" s="19">
        <f t="shared" si="2"/>
        <v>1.2377606955336308E-2</v>
      </c>
      <c r="J17" s="42"/>
      <c r="K17" s="43"/>
      <c r="L17" s="117"/>
      <c r="M17" s="117"/>
      <c r="N17" s="117"/>
      <c r="O17" s="117"/>
      <c r="P17" s="117"/>
    </row>
    <row r="18" spans="1:16" ht="15.6">
      <c r="A18" s="32" t="str">
        <v>Kohls - Ithaca</v>
      </c>
      <c r="B18" s="29" t="str">
        <v>NY</v>
      </c>
      <c r="C18" s="24">
        <v>24987</v>
      </c>
      <c r="D18" s="13" t="s">
        <v>22</v>
      </c>
      <c r="E18" s="13" t="str">
        <f t="shared" si="0"/>
        <v/>
      </c>
      <c r="F18" s="14" t="str">
        <f t="shared" si="3"/>
        <v/>
      </c>
      <c r="G18" s="15">
        <v>27056.43</v>
      </c>
      <c r="H18" s="15">
        <f t="shared" si="1"/>
        <v>-2069.4300000000003</v>
      </c>
      <c r="I18" s="16">
        <f t="shared" si="2"/>
        <v>-7.6485700441632554E-2</v>
      </c>
      <c r="J18" s="41"/>
      <c r="K18" s="41"/>
      <c r="L18" s="117"/>
      <c r="M18" s="117"/>
      <c r="N18" s="117"/>
      <c r="O18" s="117"/>
      <c r="P18" s="117"/>
    </row>
    <row r="19" spans="1:16" ht="15.6">
      <c r="A19" s="30" t="str">
        <v>Kohls - Kingston</v>
      </c>
      <c r="B19" s="31" t="str">
        <v>NY</v>
      </c>
      <c r="C19" s="11">
        <v>38808</v>
      </c>
      <c r="D19" s="18" t="s">
        <v>22</v>
      </c>
      <c r="E19" s="18" t="str">
        <f t="shared" si="0"/>
        <v/>
      </c>
      <c r="F19" s="19" t="str">
        <f t="shared" si="3"/>
        <v/>
      </c>
      <c r="G19" s="20">
        <v>41394.589999999997</v>
      </c>
      <c r="H19" s="20">
        <f t="shared" si="1"/>
        <v>-2586.5899999999965</v>
      </c>
      <c r="I19" s="19">
        <f t="shared" si="2"/>
        <v>-6.2486184788881752E-2</v>
      </c>
      <c r="J19" s="42"/>
      <c r="K19" s="42"/>
      <c r="L19" s="117"/>
      <c r="M19" s="117"/>
      <c r="N19" s="117"/>
      <c r="O19" s="117"/>
      <c r="P19" s="117"/>
    </row>
    <row r="20" spans="1:16" ht="15.6">
      <c r="A20" s="28" t="str">
        <v>Kohls - Mechanicsburg</v>
      </c>
      <c r="B20" s="29" t="str">
        <v>PA</v>
      </c>
      <c r="C20" s="24">
        <v>43003</v>
      </c>
      <c r="D20" s="13" t="s">
        <v>22</v>
      </c>
      <c r="E20" s="13" t="str">
        <f t="shared" si="0"/>
        <v/>
      </c>
      <c r="F20" s="14" t="str">
        <f t="shared" si="3"/>
        <v/>
      </c>
      <c r="G20" s="15">
        <v>37183.53</v>
      </c>
      <c r="H20" s="15">
        <f t="shared" si="1"/>
        <v>5819.4700000000012</v>
      </c>
      <c r="I20" s="16">
        <f t="shared" si="2"/>
        <v>0.15650665765192281</v>
      </c>
      <c r="J20" s="41"/>
      <c r="K20" s="41"/>
      <c r="L20" s="117"/>
      <c r="M20" s="117"/>
      <c r="N20" s="117"/>
      <c r="O20" s="117"/>
      <c r="P20" s="117"/>
    </row>
    <row r="21" spans="1:16" ht="15.6">
      <c r="A21" s="30" t="str">
        <v>Kohls - Middletown</v>
      </c>
      <c r="B21" s="31" t="str">
        <v>NJ</v>
      </c>
      <c r="C21" s="11">
        <v>65845</v>
      </c>
      <c r="D21" s="18" t="s">
        <v>22</v>
      </c>
      <c r="E21" s="18" t="str">
        <f t="shared" si="0"/>
        <v/>
      </c>
      <c r="F21" s="19" t="str">
        <f t="shared" si="3"/>
        <v/>
      </c>
      <c r="G21" s="20">
        <v>52641.66</v>
      </c>
      <c r="H21" s="20">
        <f t="shared" si="1"/>
        <v>13203.339999999997</v>
      </c>
      <c r="I21" s="19">
        <f t="shared" si="2"/>
        <v>0.25081541881468017</v>
      </c>
      <c r="J21" s="55"/>
      <c r="K21" s="54"/>
      <c r="L21" s="117"/>
      <c r="M21" s="117"/>
      <c r="N21" s="117"/>
      <c r="O21" s="117"/>
      <c r="P21" s="117"/>
    </row>
    <row r="22" spans="1:16" ht="28.9">
      <c r="A22" s="28" t="str">
        <v>Kohls - North Amherst</v>
      </c>
      <c r="B22" s="29" t="str">
        <v>NY</v>
      </c>
      <c r="C22" s="24">
        <v>0</v>
      </c>
      <c r="D22" s="13" t="s">
        <v>22</v>
      </c>
      <c r="E22" s="13" t="str">
        <f t="shared" si="0"/>
        <v/>
      </c>
      <c r="F22" s="14" t="str">
        <f t="shared" si="3"/>
        <v/>
      </c>
      <c r="G22" s="15">
        <v>25362.51</v>
      </c>
      <c r="H22" s="15">
        <f t="shared" si="1"/>
        <v>-25362.51</v>
      </c>
      <c r="I22" s="16">
        <f t="shared" si="2"/>
        <v>-1</v>
      </c>
      <c r="J22" s="102" t="s">
        <v>34</v>
      </c>
      <c r="K22" s="104" t="s">
        <v>35</v>
      </c>
      <c r="L22" s="118" t="s">
        <v>36</v>
      </c>
      <c r="M22" s="117"/>
      <c r="N22" s="117"/>
      <c r="O22" s="117"/>
      <c r="P22" s="117"/>
    </row>
    <row r="23" spans="1:16" ht="158.44999999999999">
      <c r="A23" s="30" t="str">
        <v>Kohls - Staten Island</v>
      </c>
      <c r="B23" s="31" t="str">
        <v>NY</v>
      </c>
      <c r="C23" s="11">
        <v>24384</v>
      </c>
      <c r="D23" s="18" t="s">
        <v>22</v>
      </c>
      <c r="E23" s="18" t="str">
        <f t="shared" si="0"/>
        <v/>
      </c>
      <c r="F23" s="19" t="str">
        <f t="shared" si="3"/>
        <v/>
      </c>
      <c r="G23" s="20">
        <v>31812.12</v>
      </c>
      <c r="H23" s="20">
        <f t="shared" si="1"/>
        <v>-7428.119999999999</v>
      </c>
      <c r="I23" s="19">
        <f t="shared" si="2"/>
        <v>-0.23349968502570717</v>
      </c>
      <c r="J23" s="42" t="s">
        <v>173</v>
      </c>
      <c r="K23" s="106" t="s">
        <v>174</v>
      </c>
      <c r="L23" s="118" t="s">
        <v>175</v>
      </c>
      <c r="M23" s="117"/>
      <c r="N23" s="117"/>
      <c r="O23" s="117"/>
      <c r="P23" s="117"/>
    </row>
    <row r="24" spans="1:16" ht="15.6">
      <c r="A24" s="28" t="str">
        <v>Kohls - Warminster</v>
      </c>
      <c r="B24" s="29" t="str">
        <v>PA</v>
      </c>
      <c r="C24" s="24">
        <v>43847</v>
      </c>
      <c r="D24" s="13" t="s">
        <v>22</v>
      </c>
      <c r="E24" s="13" t="str">
        <f t="shared" si="0"/>
        <v/>
      </c>
      <c r="F24" s="14" t="str">
        <f t="shared" si="3"/>
        <v/>
      </c>
      <c r="G24" s="15">
        <v>36323.74</v>
      </c>
      <c r="H24" s="15">
        <f t="shared" si="1"/>
        <v>7523.260000000002</v>
      </c>
      <c r="I24" s="16">
        <f t="shared" si="2"/>
        <v>0.20711688829399183</v>
      </c>
      <c r="J24" s="41"/>
      <c r="K24" s="41"/>
      <c r="L24" s="117"/>
      <c r="M24" s="117"/>
      <c r="N24" s="117"/>
      <c r="O24" s="117"/>
      <c r="P24" s="117"/>
    </row>
    <row r="25" spans="1:16" ht="57.6">
      <c r="A25" s="30" t="str">
        <v xml:space="preserve">Kohls - Waterbury </v>
      </c>
      <c r="B25" s="31" t="str">
        <v>CT</v>
      </c>
      <c r="C25" s="11">
        <v>31429</v>
      </c>
      <c r="D25" s="18" t="s">
        <v>22</v>
      </c>
      <c r="E25" s="18" t="str">
        <f t="shared" si="0"/>
        <v/>
      </c>
      <c r="F25" s="19" t="str">
        <f t="shared" si="3"/>
        <v/>
      </c>
      <c r="G25" s="20">
        <v>28363.71</v>
      </c>
      <c r="H25" s="20">
        <f t="shared" si="1"/>
        <v>3065.2900000000009</v>
      </c>
      <c r="I25" s="19">
        <f t="shared" si="2"/>
        <v>0.10807084122634172</v>
      </c>
      <c r="J25" s="42" t="s">
        <v>176</v>
      </c>
      <c r="K25" s="106" t="s">
        <v>127</v>
      </c>
      <c r="L25" s="117"/>
      <c r="M25" s="117"/>
      <c r="N25" s="117"/>
      <c r="O25" s="117"/>
      <c r="P25" s="117"/>
    </row>
    <row r="26" spans="1:16" ht="28.9">
      <c r="A26" s="28" t="str">
        <v>Mojave Water Agency - Headquarters</v>
      </c>
      <c r="B26" s="29" t="str">
        <v>CA</v>
      </c>
      <c r="C26" s="24">
        <v>39776</v>
      </c>
      <c r="D26" s="13" t="s">
        <v>22</v>
      </c>
      <c r="E26" s="13" t="str">
        <f t="shared" ref="E26:E68" si="4">IF(AND(ISNUMBER(C26),ISNUMBER(D26)), C26-D26, "")</f>
        <v/>
      </c>
      <c r="F26" s="14" t="str">
        <f t="shared" ref="F26:F68" si="5">IFERROR(E26/D26, "")</f>
        <v/>
      </c>
      <c r="G26" s="15">
        <v>35355.279999999999</v>
      </c>
      <c r="H26" s="15">
        <f t="shared" ref="H26:H69" si="6">IF(AND(ISNUMBER(C26),ISNUMBER(G26)), C26-G26, "")</f>
        <v>4420.7200000000012</v>
      </c>
      <c r="I26" s="16">
        <f t="shared" si="2"/>
        <v>0.12503705245722849</v>
      </c>
      <c r="J26" s="41" t="s">
        <v>177</v>
      </c>
      <c r="K26" s="104" t="s">
        <v>178</v>
      </c>
      <c r="L26" s="117"/>
      <c r="M26" s="117"/>
      <c r="N26" s="117"/>
      <c r="O26" s="117"/>
      <c r="P26" s="117"/>
    </row>
    <row r="27" spans="1:16" ht="15.6">
      <c r="A27" s="30" t="str">
        <v>CSU - Bakersfield</v>
      </c>
      <c r="B27" s="31" t="str">
        <v>CA</v>
      </c>
      <c r="C27" s="11">
        <v>123788</v>
      </c>
      <c r="D27" s="18" t="s">
        <v>22</v>
      </c>
      <c r="E27" s="18" t="str">
        <f t="shared" si="4"/>
        <v/>
      </c>
      <c r="F27" s="19" t="str">
        <f t="shared" si="5"/>
        <v/>
      </c>
      <c r="G27" s="20">
        <v>118489.14</v>
      </c>
      <c r="H27" s="20">
        <f t="shared" si="6"/>
        <v>5298.8600000000006</v>
      </c>
      <c r="I27" s="19">
        <f t="shared" si="2"/>
        <v>4.4720216553179475E-2</v>
      </c>
      <c r="J27" s="42"/>
      <c r="K27" s="43"/>
      <c r="L27" s="117"/>
      <c r="M27" s="117"/>
      <c r="N27" s="117"/>
      <c r="O27" s="117"/>
      <c r="P27" s="117"/>
    </row>
    <row r="28" spans="1:16" ht="15.6">
      <c r="A28" s="28" t="str">
        <v>Greenfield USD - Fairfield ES</v>
      </c>
      <c r="B28" s="29" t="str">
        <v>CA</v>
      </c>
      <c r="C28" s="24">
        <v>11933</v>
      </c>
      <c r="D28" s="13" t="s">
        <v>22</v>
      </c>
      <c r="E28" s="13" t="str">
        <f t="shared" si="4"/>
        <v/>
      </c>
      <c r="F28" s="14" t="str">
        <f t="shared" si="5"/>
        <v/>
      </c>
      <c r="G28" s="15">
        <v>11131.02</v>
      </c>
      <c r="H28" s="15">
        <f t="shared" si="6"/>
        <v>801.97999999999956</v>
      </c>
      <c r="I28" s="16">
        <f t="shared" si="2"/>
        <v>7.2049102418286867E-2</v>
      </c>
      <c r="J28" s="41"/>
      <c r="K28" s="41"/>
      <c r="L28" s="117"/>
      <c r="M28" s="117"/>
      <c r="N28" s="117"/>
      <c r="O28" s="117"/>
      <c r="P28" s="117"/>
    </row>
    <row r="29" spans="1:16" ht="15.6">
      <c r="A29" s="30" t="str">
        <v>Greenfield USD - Granite Point ES</v>
      </c>
      <c r="B29" s="31" t="str">
        <v>CA</v>
      </c>
      <c r="C29" s="11">
        <v>30871</v>
      </c>
      <c r="D29" s="18" t="s">
        <v>22</v>
      </c>
      <c r="E29" s="18" t="str">
        <f t="shared" si="4"/>
        <v/>
      </c>
      <c r="F29" s="19" t="str">
        <f t="shared" si="5"/>
        <v/>
      </c>
      <c r="G29" s="20">
        <v>29325.79</v>
      </c>
      <c r="H29" s="20">
        <f t="shared" si="6"/>
        <v>1545.2099999999991</v>
      </c>
      <c r="I29" s="19">
        <f t="shared" si="2"/>
        <v>5.2691163648106297E-2</v>
      </c>
      <c r="J29" s="42"/>
      <c r="K29" s="43"/>
      <c r="L29" s="117"/>
      <c r="M29" s="117"/>
      <c r="N29" s="117"/>
      <c r="O29" s="117"/>
      <c r="P29" s="117"/>
    </row>
    <row r="30" spans="1:16" ht="43.15">
      <c r="A30" s="28" t="str">
        <v>Greenfield USD - Greenfield MS</v>
      </c>
      <c r="B30" s="29" t="str">
        <v>CA</v>
      </c>
      <c r="C30" s="24">
        <v>20462</v>
      </c>
      <c r="D30" s="13" t="s">
        <v>22</v>
      </c>
      <c r="E30" s="13" t="str">
        <f t="shared" si="4"/>
        <v/>
      </c>
      <c r="F30" s="14" t="str">
        <f t="shared" si="5"/>
        <v/>
      </c>
      <c r="G30" s="15">
        <v>20074.448</v>
      </c>
      <c r="H30" s="15">
        <f t="shared" si="6"/>
        <v>387.55199999999968</v>
      </c>
      <c r="I30" s="16">
        <f t="shared" si="2"/>
        <v>1.9305736327096E-2</v>
      </c>
      <c r="J30" s="41" t="s">
        <v>179</v>
      </c>
      <c r="K30" s="104" t="s">
        <v>180</v>
      </c>
      <c r="L30" s="117"/>
      <c r="M30" s="117"/>
      <c r="N30" s="117"/>
      <c r="O30" s="117"/>
      <c r="P30" s="117"/>
    </row>
    <row r="31" spans="1:16" ht="15.6">
      <c r="A31" s="30" t="str">
        <v>Greenfield USD - Horizon ES</v>
      </c>
      <c r="B31" s="31" t="str">
        <v>CA</v>
      </c>
      <c r="C31" s="11">
        <v>30972</v>
      </c>
      <c r="D31" s="18" t="s">
        <v>22</v>
      </c>
      <c r="E31" s="18" t="str">
        <f t="shared" si="4"/>
        <v/>
      </c>
      <c r="F31" s="19" t="str">
        <f t="shared" si="5"/>
        <v/>
      </c>
      <c r="G31" s="20">
        <v>30176.01</v>
      </c>
      <c r="H31" s="20">
        <f t="shared" si="6"/>
        <v>795.9900000000016</v>
      </c>
      <c r="I31" s="19">
        <f t="shared" si="2"/>
        <v>2.6378238872534893E-2</v>
      </c>
      <c r="J31" s="42"/>
      <c r="K31" s="43"/>
      <c r="L31" s="117"/>
      <c r="M31" s="117"/>
      <c r="N31" s="117"/>
      <c r="O31" s="117"/>
      <c r="P31" s="117"/>
    </row>
    <row r="32" spans="1:16" ht="15.6">
      <c r="A32" s="28" t="str">
        <v>Greenfield USD - McKee MS</v>
      </c>
      <c r="B32" s="29" t="str">
        <v>CA</v>
      </c>
      <c r="C32" s="24">
        <v>15237</v>
      </c>
      <c r="D32" s="13" t="s">
        <v>22</v>
      </c>
      <c r="E32" s="13" t="str">
        <f t="shared" si="4"/>
        <v/>
      </c>
      <c r="F32" s="14" t="str">
        <f t="shared" si="5"/>
        <v/>
      </c>
      <c r="G32" s="15">
        <v>18447.54</v>
      </c>
      <c r="H32" s="15">
        <f t="shared" si="6"/>
        <v>-3210.5400000000009</v>
      </c>
      <c r="I32" s="16">
        <f t="shared" si="2"/>
        <v>-0.17403621295847579</v>
      </c>
      <c r="J32" s="41" t="s">
        <v>181</v>
      </c>
      <c r="K32" s="41"/>
      <c r="L32" s="117"/>
      <c r="M32" s="117"/>
      <c r="N32" s="117"/>
      <c r="O32" s="117"/>
      <c r="P32" s="117"/>
    </row>
    <row r="33" spans="1:16" ht="15.6">
      <c r="A33" s="30" t="str">
        <v>Greenfield USD - Plantation ES</v>
      </c>
      <c r="B33" s="31" t="str">
        <v>CA</v>
      </c>
      <c r="C33" s="11">
        <v>14642</v>
      </c>
      <c r="D33" s="18" t="s">
        <v>22</v>
      </c>
      <c r="E33" s="18" t="str">
        <f t="shared" si="4"/>
        <v/>
      </c>
      <c r="F33" s="19" t="str">
        <f t="shared" si="5"/>
        <v/>
      </c>
      <c r="G33" s="20">
        <v>13199.13</v>
      </c>
      <c r="H33" s="20">
        <f t="shared" si="6"/>
        <v>1442.8700000000008</v>
      </c>
      <c r="I33" s="19">
        <f t="shared" si="2"/>
        <v>0.10931553822107978</v>
      </c>
      <c r="J33" s="42"/>
      <c r="K33" s="43"/>
      <c r="L33" s="117"/>
      <c r="M33" s="117"/>
      <c r="N33" s="117"/>
      <c r="O33" s="117"/>
      <c r="P33" s="117"/>
    </row>
    <row r="34" spans="1:16" ht="43.15">
      <c r="A34" s="28" t="str">
        <v>Greenfield USD - Planz ES</v>
      </c>
      <c r="B34" s="29" t="str">
        <v>CA</v>
      </c>
      <c r="C34" s="24">
        <v>5921</v>
      </c>
      <c r="D34" s="13" t="s">
        <v>22</v>
      </c>
      <c r="E34" s="13" t="str">
        <f t="shared" si="4"/>
        <v/>
      </c>
      <c r="F34" s="14" t="str">
        <f t="shared" si="5"/>
        <v/>
      </c>
      <c r="G34" s="15">
        <v>14752.51</v>
      </c>
      <c r="H34" s="15">
        <f t="shared" si="6"/>
        <v>-8831.51</v>
      </c>
      <c r="I34" s="16">
        <f t="shared" si="2"/>
        <v>-0.5986445696359467</v>
      </c>
      <c r="J34" s="41" t="s">
        <v>182</v>
      </c>
      <c r="K34" s="104" t="s">
        <v>183</v>
      </c>
      <c r="L34" s="117"/>
      <c r="M34" s="117"/>
      <c r="N34" s="117"/>
      <c r="O34" s="117"/>
      <c r="P34" s="117"/>
    </row>
    <row r="35" spans="1:16" ht="15.6">
      <c r="A35" s="30" t="str">
        <v>Greenfield USD - Raffaello Palla ES</v>
      </c>
      <c r="B35" s="31" t="str">
        <v>CA</v>
      </c>
      <c r="C35" s="11">
        <v>27537</v>
      </c>
      <c r="D35" s="18" t="s">
        <v>22</v>
      </c>
      <c r="E35" s="18" t="str">
        <f t="shared" si="4"/>
        <v/>
      </c>
      <c r="F35" s="19" t="str">
        <f t="shared" si="5"/>
        <v/>
      </c>
      <c r="G35" s="20">
        <v>32869.15</v>
      </c>
      <c r="H35" s="20">
        <f t="shared" si="6"/>
        <v>-5332.1500000000015</v>
      </c>
      <c r="I35" s="19">
        <f t="shared" si="2"/>
        <v>-0.16222354396143501</v>
      </c>
      <c r="J35" s="42" t="s">
        <v>184</v>
      </c>
      <c r="K35" s="108" t="s">
        <v>185</v>
      </c>
      <c r="L35" s="117"/>
      <c r="M35" s="117"/>
      <c r="N35" s="117"/>
      <c r="O35" s="117"/>
      <c r="P35" s="117"/>
    </row>
    <row r="36" spans="1:16" ht="15.6">
      <c r="A36" s="28" t="str">
        <v>Greenfield USD - Valle Verde ES</v>
      </c>
      <c r="B36" s="29" t="str">
        <v>CA</v>
      </c>
      <c r="C36" s="24">
        <v>36971</v>
      </c>
      <c r="D36" s="13" t="s">
        <v>22</v>
      </c>
      <c r="E36" s="13" t="str">
        <f t="shared" si="4"/>
        <v/>
      </c>
      <c r="F36" s="14" t="str">
        <f t="shared" si="5"/>
        <v/>
      </c>
      <c r="G36" s="15">
        <v>30782.66</v>
      </c>
      <c r="H36" s="15">
        <f t="shared" si="6"/>
        <v>6188.34</v>
      </c>
      <c r="I36" s="16">
        <f t="shared" si="2"/>
        <v>0.20103330901228159</v>
      </c>
      <c r="J36" s="41"/>
      <c r="K36" s="41"/>
      <c r="L36" s="117"/>
      <c r="M36" s="117"/>
      <c r="N36" s="117"/>
      <c r="O36" s="117"/>
      <c r="P36" s="117"/>
    </row>
    <row r="37" spans="1:16" ht="28.9">
      <c r="A37" s="30" t="str">
        <v>Greenfield USD - W.A. Kendrick ES</v>
      </c>
      <c r="B37" s="31" t="str">
        <v>CA</v>
      </c>
      <c r="C37" s="11">
        <v>6145</v>
      </c>
      <c r="D37" s="18" t="s">
        <v>22</v>
      </c>
      <c r="E37" s="18" t="str">
        <f t="shared" si="4"/>
        <v/>
      </c>
      <c r="F37" s="19" t="str">
        <f t="shared" si="5"/>
        <v/>
      </c>
      <c r="G37" s="20">
        <v>11866.35</v>
      </c>
      <c r="H37" s="20">
        <f t="shared" si="6"/>
        <v>-5721.35</v>
      </c>
      <c r="I37" s="19">
        <f t="shared" si="2"/>
        <v>-0.48214910229346009</v>
      </c>
      <c r="J37" s="55" t="s">
        <v>130</v>
      </c>
      <c r="K37" s="106" t="s">
        <v>50</v>
      </c>
      <c r="L37" s="117"/>
      <c r="M37" s="117"/>
      <c r="N37" s="117"/>
      <c r="O37" s="117"/>
      <c r="P37" s="117"/>
    </row>
    <row r="38" spans="1:16" ht="57.6">
      <c r="A38" s="28" t="str">
        <v>Muroc Joint USD - Boron HS</v>
      </c>
      <c r="B38" s="29" t="str">
        <v>CA</v>
      </c>
      <c r="C38" s="24">
        <v>0</v>
      </c>
      <c r="D38" s="13" t="s">
        <v>22</v>
      </c>
      <c r="E38" s="13" t="str">
        <f t="shared" si="4"/>
        <v/>
      </c>
      <c r="F38" s="14" t="str">
        <f t="shared" si="5"/>
        <v/>
      </c>
      <c r="G38" s="15">
        <v>35271.9</v>
      </c>
      <c r="H38" s="15">
        <f t="shared" si="6"/>
        <v>-35271.9</v>
      </c>
      <c r="I38" s="16">
        <f t="shared" si="2"/>
        <v>-1</v>
      </c>
      <c r="J38" s="57" t="s">
        <v>51</v>
      </c>
      <c r="K38" s="104" t="s">
        <v>131</v>
      </c>
      <c r="L38" s="118" t="s">
        <v>132</v>
      </c>
      <c r="M38" s="118" t="s">
        <v>53</v>
      </c>
      <c r="N38" s="118" t="s">
        <v>54</v>
      </c>
      <c r="O38" s="117"/>
      <c r="P38" s="117"/>
    </row>
    <row r="39" spans="1:16" ht="15.6">
      <c r="A39" s="30" t="str">
        <v>Muroc Joint USD - W. Boron ES</v>
      </c>
      <c r="B39" s="31" t="str">
        <v>CA</v>
      </c>
      <c r="C39" s="11">
        <v>12516</v>
      </c>
      <c r="D39" s="18" t="s">
        <v>22</v>
      </c>
      <c r="E39" s="18" t="str">
        <f t="shared" si="4"/>
        <v/>
      </c>
      <c r="F39" s="19" t="str">
        <f t="shared" si="5"/>
        <v/>
      </c>
      <c r="G39" s="20">
        <v>13034.03</v>
      </c>
      <c r="H39" s="20">
        <f t="shared" si="6"/>
        <v>-518.03000000000065</v>
      </c>
      <c r="I39" s="19">
        <f t="shared" si="2"/>
        <v>-3.9744422868445185E-2</v>
      </c>
      <c r="J39" s="42"/>
      <c r="K39" s="43"/>
      <c r="L39" s="117"/>
      <c r="M39" s="117"/>
      <c r="N39" s="117"/>
      <c r="O39" s="117"/>
      <c r="P39" s="117"/>
    </row>
    <row r="40" spans="1:16" ht="100.9">
      <c r="A40" s="28" t="str">
        <v>Colusa - WTP</v>
      </c>
      <c r="B40" s="29" t="str">
        <v>CA</v>
      </c>
      <c r="C40" s="24">
        <v>0</v>
      </c>
      <c r="D40" s="13" t="s">
        <v>22</v>
      </c>
      <c r="E40" s="13" t="str">
        <f t="shared" si="4"/>
        <v/>
      </c>
      <c r="F40" s="14" t="str">
        <f t="shared" si="5"/>
        <v/>
      </c>
      <c r="G40" s="15">
        <v>42715.56</v>
      </c>
      <c r="H40" s="15">
        <f t="shared" si="6"/>
        <v>-42715.56</v>
      </c>
      <c r="I40" s="16">
        <f t="shared" si="2"/>
        <v>-1</v>
      </c>
      <c r="J40" s="57" t="s">
        <v>186</v>
      </c>
      <c r="K40" s="104" t="s">
        <v>134</v>
      </c>
      <c r="L40" s="118" t="s">
        <v>57</v>
      </c>
      <c r="M40" s="118" t="s">
        <v>58</v>
      </c>
      <c r="N40" s="118" t="s">
        <v>59</v>
      </c>
      <c r="O40" s="118" t="s">
        <v>135</v>
      </c>
      <c r="P40" s="117"/>
    </row>
    <row r="41" spans="1:16" ht="100.9">
      <c r="A41" s="30" t="str">
        <v>CDCR-North Kern State Prision</v>
      </c>
      <c r="B41" s="31" t="str">
        <v>CA</v>
      </c>
      <c r="C41" s="11">
        <v>70021</v>
      </c>
      <c r="D41" s="18" t="s">
        <v>22</v>
      </c>
      <c r="E41" s="18" t="str">
        <f t="shared" si="4"/>
        <v/>
      </c>
      <c r="F41" s="19" t="str">
        <f t="shared" si="5"/>
        <v/>
      </c>
      <c r="G41" s="20">
        <v>80319.850000000006</v>
      </c>
      <c r="H41" s="20">
        <f t="shared" si="6"/>
        <v>-10298.850000000006</v>
      </c>
      <c r="I41" s="19">
        <f t="shared" si="2"/>
        <v>-0.12822297352397952</v>
      </c>
      <c r="J41" s="42" t="s">
        <v>187</v>
      </c>
      <c r="K41" s="106" t="s">
        <v>188</v>
      </c>
      <c r="L41" s="118" t="s">
        <v>189</v>
      </c>
      <c r="M41" s="118" t="s">
        <v>190</v>
      </c>
      <c r="N41" s="118" t="s">
        <v>191</v>
      </c>
      <c r="O41" s="117"/>
      <c r="P41" s="117"/>
    </row>
    <row r="42" spans="1:16" ht="15.6">
      <c r="A42" s="28" t="str">
        <v>Muroc Joint USD - District Office</v>
      </c>
      <c r="B42" s="29" t="str">
        <v>CA</v>
      </c>
      <c r="C42" s="24">
        <v>6308</v>
      </c>
      <c r="D42" s="13" t="s">
        <v>22</v>
      </c>
      <c r="E42" s="13" t="str">
        <f t="shared" si="4"/>
        <v/>
      </c>
      <c r="F42" s="14" t="str">
        <f t="shared" si="5"/>
        <v/>
      </c>
      <c r="G42" s="15">
        <v>9177.56</v>
      </c>
      <c r="H42" s="15">
        <f t="shared" si="6"/>
        <v>-2869.5599999999995</v>
      </c>
      <c r="I42" s="16">
        <f t="shared" si="2"/>
        <v>-0.31267134183813561</v>
      </c>
      <c r="J42" s="41" t="s">
        <v>192</v>
      </c>
      <c r="K42" s="41"/>
      <c r="L42" s="117"/>
      <c r="M42" s="117"/>
      <c r="N42" s="117"/>
      <c r="O42" s="117"/>
      <c r="P42" s="117"/>
    </row>
    <row r="43" spans="1:16" ht="86.45">
      <c r="A43" s="30" t="str">
        <v>Whole Foods - Manhattan Beach</v>
      </c>
      <c r="B43" s="31" t="str">
        <v>CA</v>
      </c>
      <c r="C43" s="11">
        <v>15038</v>
      </c>
      <c r="D43" s="18" t="s">
        <v>22</v>
      </c>
      <c r="E43" s="18" t="str">
        <f t="shared" si="4"/>
        <v/>
      </c>
      <c r="F43" s="19" t="str">
        <f t="shared" si="5"/>
        <v/>
      </c>
      <c r="G43" s="20">
        <v>19210.439999999999</v>
      </c>
      <c r="H43" s="20">
        <f t="shared" si="6"/>
        <v>-4172.4399999999987</v>
      </c>
      <c r="I43" s="19">
        <f t="shared" si="2"/>
        <v>-0.21719648274584022</v>
      </c>
      <c r="J43" s="42" t="s">
        <v>193</v>
      </c>
      <c r="K43" s="106" t="s">
        <v>194</v>
      </c>
      <c r="L43" s="118" t="s">
        <v>64</v>
      </c>
      <c r="M43" s="118" t="s">
        <v>142</v>
      </c>
      <c r="N43" s="117"/>
      <c r="O43" s="117"/>
      <c r="P43" s="117"/>
    </row>
    <row r="44" spans="1:16" ht="28.9">
      <c r="A44" s="28" t="str">
        <v>Pioneer USD - Frontier ES</v>
      </c>
      <c r="B44" s="29" t="str">
        <v>CA</v>
      </c>
      <c r="C44" s="24">
        <v>26720</v>
      </c>
      <c r="D44" s="13" t="s">
        <v>22</v>
      </c>
      <c r="E44" s="13" t="str">
        <f t="shared" si="4"/>
        <v/>
      </c>
      <c r="F44" s="14" t="str">
        <f t="shared" si="5"/>
        <v/>
      </c>
      <c r="G44" s="15">
        <v>30695.13</v>
      </c>
      <c r="H44" s="15">
        <f t="shared" si="6"/>
        <v>-3975.130000000001</v>
      </c>
      <c r="I44" s="16">
        <f t="shared" si="2"/>
        <v>-0.12950360529504196</v>
      </c>
      <c r="J44" s="57" t="s">
        <v>143</v>
      </c>
      <c r="K44" s="104" t="s">
        <v>66</v>
      </c>
      <c r="L44" s="117"/>
      <c r="M44" s="117"/>
      <c r="N44" s="117"/>
      <c r="O44" s="117"/>
      <c r="P44" s="117"/>
    </row>
    <row r="45" spans="1:16" ht="86.45">
      <c r="A45" s="30" t="str">
        <v>Pioneer USD - Pioneer ES</v>
      </c>
      <c r="B45" s="31" t="str">
        <v>CA</v>
      </c>
      <c r="C45" s="11">
        <v>16109</v>
      </c>
      <c r="D45" s="18" t="s">
        <v>22</v>
      </c>
      <c r="E45" s="18" t="str">
        <f t="shared" si="4"/>
        <v/>
      </c>
      <c r="F45" s="19" t="str">
        <f t="shared" si="5"/>
        <v/>
      </c>
      <c r="G45" s="20">
        <v>31485.33</v>
      </c>
      <c r="H45" s="20">
        <f t="shared" si="6"/>
        <v>-15376.330000000002</v>
      </c>
      <c r="I45" s="19">
        <f t="shared" si="2"/>
        <v>-0.48836489882748574</v>
      </c>
      <c r="J45" s="42" t="s">
        <v>195</v>
      </c>
      <c r="K45" s="106" t="s">
        <v>196</v>
      </c>
      <c r="L45" s="118" t="s">
        <v>69</v>
      </c>
      <c r="M45" s="118" t="s">
        <v>70</v>
      </c>
      <c r="N45" s="118" t="s">
        <v>71</v>
      </c>
      <c r="O45" s="117"/>
      <c r="P45" s="117"/>
    </row>
    <row r="46" spans="1:16" ht="43.15">
      <c r="A46" s="28" t="str">
        <v>Pioneer USD - Pioneer MS</v>
      </c>
      <c r="B46" s="29" t="str">
        <v>CA</v>
      </c>
      <c r="C46" s="24">
        <v>37307</v>
      </c>
      <c r="D46" s="13" t="s">
        <v>22</v>
      </c>
      <c r="E46" s="13" t="str">
        <f t="shared" si="4"/>
        <v/>
      </c>
      <c r="F46" s="14" t="str">
        <f t="shared" si="5"/>
        <v/>
      </c>
      <c r="G46" s="15">
        <v>42362.63</v>
      </c>
      <c r="H46" s="15">
        <f t="shared" si="6"/>
        <v>-5055.6299999999974</v>
      </c>
      <c r="I46" s="16">
        <f t="shared" si="2"/>
        <v>-0.11934174058598339</v>
      </c>
      <c r="J46" s="41" t="s">
        <v>72</v>
      </c>
      <c r="K46" s="104" t="s">
        <v>73</v>
      </c>
      <c r="L46" s="118" t="s">
        <v>74</v>
      </c>
      <c r="M46" s="117"/>
      <c r="N46" s="117"/>
      <c r="O46" s="117"/>
      <c r="P46" s="117"/>
    </row>
    <row r="47" spans="1:16" ht="100.9">
      <c r="A47" s="30" t="str">
        <v>Kingsburg Joint UHSD - Kingsburg HS</v>
      </c>
      <c r="B47" s="31" t="str">
        <v>CA</v>
      </c>
      <c r="C47" s="11">
        <v>60082</v>
      </c>
      <c r="D47" s="18" t="s">
        <v>22</v>
      </c>
      <c r="E47" s="18" t="str">
        <f t="shared" si="4"/>
        <v/>
      </c>
      <c r="F47" s="19" t="str">
        <f t="shared" si="5"/>
        <v/>
      </c>
      <c r="G47" s="20">
        <v>60055.14</v>
      </c>
      <c r="H47" s="20">
        <f t="shared" si="6"/>
        <v>26.860000000000582</v>
      </c>
      <c r="I47" s="19">
        <f t="shared" si="2"/>
        <v>4.4725563873467922E-4</v>
      </c>
      <c r="J47" s="42" t="s">
        <v>197</v>
      </c>
      <c r="K47" s="106" t="s">
        <v>147</v>
      </c>
      <c r="L47" s="118" t="s">
        <v>77</v>
      </c>
      <c r="M47" s="118" t="s">
        <v>148</v>
      </c>
      <c r="N47" s="118" t="s">
        <v>149</v>
      </c>
      <c r="O47" s="118" t="s">
        <v>78</v>
      </c>
      <c r="P47" s="118" t="s">
        <v>148</v>
      </c>
    </row>
    <row r="48" spans="1:16" ht="86.45">
      <c r="A48" s="28" t="str">
        <v>CADRB</v>
      </c>
      <c r="B48" s="29" t="str">
        <v>CA</v>
      </c>
      <c r="C48" s="24">
        <v>0</v>
      </c>
      <c r="D48" s="13" t="s">
        <v>22</v>
      </c>
      <c r="E48" s="13" t="str">
        <f t="shared" si="4"/>
        <v/>
      </c>
      <c r="F48" s="14" t="str">
        <f t="shared" si="5"/>
        <v/>
      </c>
      <c r="G48" s="15">
        <v>700582</v>
      </c>
      <c r="H48" s="15">
        <f t="shared" si="6"/>
        <v>-700582</v>
      </c>
      <c r="I48" s="16">
        <f t="shared" si="2"/>
        <v>-1</v>
      </c>
      <c r="J48" s="41" t="s">
        <v>79</v>
      </c>
      <c r="K48" s="104" t="s">
        <v>150</v>
      </c>
      <c r="L48" s="118" t="s">
        <v>151</v>
      </c>
      <c r="M48" s="118" t="s">
        <v>81</v>
      </c>
      <c r="N48" s="118" t="s">
        <v>82</v>
      </c>
      <c r="O48" s="117"/>
      <c r="P48" s="117"/>
    </row>
    <row r="49" spans="1:16" ht="43.15">
      <c r="A49" s="30" t="str">
        <v>CDCR-CA State Prison LA County</v>
      </c>
      <c r="B49" s="31" t="str">
        <v>CA</v>
      </c>
      <c r="C49" s="11">
        <v>244891</v>
      </c>
      <c r="D49" s="18" t="s">
        <v>22</v>
      </c>
      <c r="E49" s="18" t="str">
        <f t="shared" si="4"/>
        <v/>
      </c>
      <c r="F49" s="19" t="str">
        <f t="shared" si="5"/>
        <v/>
      </c>
      <c r="G49" s="20">
        <v>414816.78</v>
      </c>
      <c r="H49" s="20">
        <f t="shared" si="6"/>
        <v>-169925.78000000003</v>
      </c>
      <c r="I49" s="19">
        <f t="shared" si="2"/>
        <v>-0.40964056468496768</v>
      </c>
      <c r="J49" s="42" t="s">
        <v>198</v>
      </c>
      <c r="K49" s="106" t="s">
        <v>199</v>
      </c>
      <c r="L49" s="117"/>
      <c r="M49" s="117"/>
      <c r="N49" s="117"/>
      <c r="O49" s="117"/>
      <c r="P49" s="117"/>
    </row>
    <row r="50" spans="1:16" ht="28.9">
      <c r="A50" s="28" t="str">
        <v>Central USD Akers ES</v>
      </c>
      <c r="B50" s="29" t="str">
        <v>CA</v>
      </c>
      <c r="C50" s="24">
        <v>27626</v>
      </c>
      <c r="D50" s="13" t="s">
        <v>22</v>
      </c>
      <c r="E50" s="13" t="str">
        <f t="shared" si="4"/>
        <v/>
      </c>
      <c r="F50" s="14" t="str">
        <f t="shared" si="5"/>
        <v/>
      </c>
      <c r="G50" s="15">
        <v>32689.27</v>
      </c>
      <c r="H50" s="15">
        <f t="shared" si="6"/>
        <v>-5063.2700000000004</v>
      </c>
      <c r="I50" s="16">
        <f t="shared" si="2"/>
        <v>-0.15489088621434496</v>
      </c>
      <c r="J50" s="41" t="s">
        <v>200</v>
      </c>
      <c r="K50" s="104" t="s">
        <v>201</v>
      </c>
      <c r="L50" s="118" t="s">
        <v>202</v>
      </c>
      <c r="M50" s="117"/>
      <c r="N50" s="117"/>
      <c r="O50" s="117"/>
      <c r="P50" s="117"/>
    </row>
    <row r="51" spans="1:16" ht="100.9">
      <c r="A51" s="30" t="str">
        <v>CUSD - District Office</v>
      </c>
      <c r="B51" s="31" t="str">
        <v>CA</v>
      </c>
      <c r="C51" s="11">
        <v>17908</v>
      </c>
      <c r="D51" s="18" t="s">
        <v>22</v>
      </c>
      <c r="E51" s="18" t="str">
        <f t="shared" si="4"/>
        <v/>
      </c>
      <c r="F51" s="19" t="str">
        <f t="shared" si="5"/>
        <v/>
      </c>
      <c r="G51" s="20">
        <v>25627.51</v>
      </c>
      <c r="H51" s="20">
        <f t="shared" si="6"/>
        <v>-7719.5099999999984</v>
      </c>
      <c r="I51" s="19">
        <f t="shared" si="2"/>
        <v>-0.30121966589809152</v>
      </c>
      <c r="J51" s="55" t="s">
        <v>203</v>
      </c>
      <c r="K51" s="106" t="s">
        <v>204</v>
      </c>
      <c r="L51" s="118" t="s">
        <v>205</v>
      </c>
      <c r="M51" s="118" t="s">
        <v>206</v>
      </c>
      <c r="N51" s="118" t="s">
        <v>207</v>
      </c>
      <c r="O51" s="117"/>
      <c r="P51" s="117"/>
    </row>
    <row r="52" spans="1:16" ht="15.6">
      <c r="A52" s="28" t="str">
        <v>Parlier - WTP</v>
      </c>
      <c r="B52" s="29" t="str">
        <v>CA</v>
      </c>
      <c r="C52" s="24">
        <v>44130</v>
      </c>
      <c r="D52" s="13" t="s">
        <v>22</v>
      </c>
      <c r="E52" s="13" t="str">
        <f t="shared" si="4"/>
        <v/>
      </c>
      <c r="F52" s="14" t="str">
        <f t="shared" si="5"/>
        <v/>
      </c>
      <c r="G52" s="15">
        <v>67783.570000000007</v>
      </c>
      <c r="H52" s="15">
        <f t="shared" si="6"/>
        <v>-23653.570000000007</v>
      </c>
      <c r="I52" s="16">
        <f t="shared" si="2"/>
        <v>-0.34895727681501587</v>
      </c>
      <c r="J52" s="41" t="s">
        <v>208</v>
      </c>
      <c r="K52" s="41"/>
      <c r="L52" s="117"/>
      <c r="M52" s="117"/>
      <c r="N52" s="117"/>
      <c r="O52" s="117"/>
      <c r="P52" s="117"/>
    </row>
    <row r="53" spans="1:16" ht="86.45">
      <c r="A53" s="30" t="str">
        <v>Snowline SD - Quail Valley MS</v>
      </c>
      <c r="B53" s="31" t="str">
        <v>CA</v>
      </c>
      <c r="C53" s="11">
        <v>31558</v>
      </c>
      <c r="D53" s="18" t="s">
        <v>22</v>
      </c>
      <c r="E53" s="18" t="str">
        <f t="shared" si="4"/>
        <v/>
      </c>
      <c r="F53" s="19" t="str">
        <f t="shared" si="5"/>
        <v/>
      </c>
      <c r="G53" s="20">
        <v>38526.15</v>
      </c>
      <c r="H53" s="20">
        <f t="shared" si="6"/>
        <v>-6968.1500000000015</v>
      </c>
      <c r="I53" s="19">
        <f t="shared" si="2"/>
        <v>-0.180868059746432</v>
      </c>
      <c r="J53" s="55" t="s">
        <v>209</v>
      </c>
      <c r="K53" s="106" t="s">
        <v>210</v>
      </c>
      <c r="L53" s="117"/>
      <c r="M53" s="117"/>
      <c r="N53" s="117"/>
      <c r="O53" s="117"/>
      <c r="P53" s="117"/>
    </row>
    <row r="54" spans="1:16" ht="15.6">
      <c r="A54" s="28" t="str">
        <v>Snowline SD - Serrano HS - Middle Lot</v>
      </c>
      <c r="B54" s="29" t="str">
        <v>CA</v>
      </c>
      <c r="C54" s="24">
        <v>29924</v>
      </c>
      <c r="D54" s="13" t="s">
        <v>22</v>
      </c>
      <c r="E54" s="13" t="str">
        <f t="shared" si="4"/>
        <v/>
      </c>
      <c r="F54" s="14" t="str">
        <f t="shared" si="5"/>
        <v/>
      </c>
      <c r="G54" s="15">
        <v>45412.66</v>
      </c>
      <c r="H54" s="15">
        <f t="shared" si="6"/>
        <v>-15488.660000000003</v>
      </c>
      <c r="I54" s="16">
        <f t="shared" si="2"/>
        <v>-0.34106480439595482</v>
      </c>
      <c r="J54" s="41" t="s">
        <v>211</v>
      </c>
      <c r="K54" s="41"/>
      <c r="L54" s="117"/>
      <c r="M54" s="117"/>
      <c r="N54" s="117"/>
      <c r="O54" s="117"/>
      <c r="P54" s="117"/>
    </row>
    <row r="55" spans="1:16" ht="15.6">
      <c r="A55" s="30" t="str">
        <v>Snowline SD - Pinon Hills ES</v>
      </c>
      <c r="B55" s="31" t="str">
        <v>CA</v>
      </c>
      <c r="C55" s="11">
        <v>11891</v>
      </c>
      <c r="D55" s="18" t="s">
        <v>22</v>
      </c>
      <c r="E55" s="18" t="str">
        <f t="shared" si="4"/>
        <v/>
      </c>
      <c r="F55" s="19" t="str">
        <f t="shared" si="5"/>
        <v/>
      </c>
      <c r="G55" s="20">
        <v>22548.89</v>
      </c>
      <c r="H55" s="20">
        <f t="shared" si="6"/>
        <v>-10657.89</v>
      </c>
      <c r="I55" s="19">
        <f t="shared" si="2"/>
        <v>-0.47265696892396919</v>
      </c>
      <c r="J55" s="42" t="s">
        <v>212</v>
      </c>
      <c r="K55" s="106" t="s">
        <v>92</v>
      </c>
      <c r="L55" s="117"/>
      <c r="M55" s="117"/>
      <c r="N55" s="117"/>
      <c r="O55" s="117"/>
      <c r="P55" s="117"/>
    </row>
    <row r="56" spans="1:16" ht="28.9">
      <c r="A56" s="28" t="str">
        <v>Ramona - Santa Maria WTP</v>
      </c>
      <c r="B56" s="29" t="str">
        <v>CA</v>
      </c>
      <c r="C56" s="24">
        <v>59314</v>
      </c>
      <c r="D56" s="13" t="s">
        <v>22</v>
      </c>
      <c r="E56" s="13" t="str">
        <f t="shared" si="4"/>
        <v/>
      </c>
      <c r="F56" s="14" t="str">
        <f t="shared" si="5"/>
        <v/>
      </c>
      <c r="G56" s="15">
        <v>73955.59</v>
      </c>
      <c r="H56" s="15">
        <f t="shared" si="6"/>
        <v>-14641.589999999997</v>
      </c>
      <c r="I56" s="16">
        <f t="shared" si="2"/>
        <v>-0.19797813796090324</v>
      </c>
      <c r="J56" s="41" t="s">
        <v>213</v>
      </c>
      <c r="K56" s="104" t="s">
        <v>214</v>
      </c>
      <c r="L56" s="117"/>
      <c r="M56" s="117"/>
      <c r="N56" s="117"/>
      <c r="O56" s="117"/>
      <c r="P56" s="117"/>
    </row>
    <row r="57" spans="1:16" ht="57.6">
      <c r="A57" s="30" t="str">
        <v>Kohls - Redding</v>
      </c>
      <c r="B57" s="31" t="str">
        <v>CA</v>
      </c>
      <c r="C57" s="11">
        <v>26682</v>
      </c>
      <c r="D57" s="18" t="s">
        <v>22</v>
      </c>
      <c r="E57" s="18" t="str">
        <f t="shared" si="4"/>
        <v/>
      </c>
      <c r="F57" s="19" t="str">
        <f t="shared" si="5"/>
        <v/>
      </c>
      <c r="G57" s="20">
        <v>27704.87</v>
      </c>
      <c r="H57" s="20">
        <f t="shared" si="6"/>
        <v>-1022.869999999999</v>
      </c>
      <c r="I57" s="19">
        <f t="shared" si="2"/>
        <v>-3.6920223772932304E-2</v>
      </c>
      <c r="J57" s="42" t="s">
        <v>215</v>
      </c>
      <c r="K57" s="106" t="s">
        <v>216</v>
      </c>
      <c r="L57" s="118" t="s">
        <v>95</v>
      </c>
      <c r="M57" s="118" t="s">
        <v>217</v>
      </c>
      <c r="N57" s="117"/>
      <c r="O57" s="117"/>
      <c r="P57" s="117"/>
    </row>
    <row r="58" spans="1:16" ht="52.9">
      <c r="A58" s="28" t="str">
        <v>Kohls - Salinas</v>
      </c>
      <c r="B58" s="29" t="str">
        <v>CA</v>
      </c>
      <c r="C58" s="24">
        <v>32438</v>
      </c>
      <c r="D58" s="13" t="s">
        <v>22</v>
      </c>
      <c r="E58" s="13" t="str">
        <f t="shared" si="4"/>
        <v/>
      </c>
      <c r="F58" s="14" t="str">
        <f t="shared" si="5"/>
        <v/>
      </c>
      <c r="G58" s="15">
        <v>44625.2</v>
      </c>
      <c r="H58" s="15">
        <f t="shared" si="6"/>
        <v>-12187.199999999997</v>
      </c>
      <c r="I58" s="16">
        <f t="shared" si="2"/>
        <v>-0.2731012970249993</v>
      </c>
      <c r="J58" s="41" t="s">
        <v>96</v>
      </c>
      <c r="K58" s="104" t="s">
        <v>218</v>
      </c>
      <c r="L58" s="118" t="s">
        <v>219</v>
      </c>
      <c r="M58" s="118" t="s">
        <v>157</v>
      </c>
      <c r="N58" s="118" t="s">
        <v>100</v>
      </c>
      <c r="O58" s="118" t="s">
        <v>98</v>
      </c>
      <c r="P58" s="117"/>
    </row>
    <row r="59" spans="1:16" ht="86.45">
      <c r="A59" s="30" t="str">
        <v>Kohls - San Bernardino - Central</v>
      </c>
      <c r="B59" s="31" t="str">
        <v>CA</v>
      </c>
      <c r="C59" s="11">
        <v>125505</v>
      </c>
      <c r="D59" s="18" t="s">
        <v>22</v>
      </c>
      <c r="E59" s="18" t="str">
        <f t="shared" si="4"/>
        <v/>
      </c>
      <c r="F59" s="19" t="str">
        <f t="shared" si="5"/>
        <v/>
      </c>
      <c r="G59" s="20">
        <v>144411.94</v>
      </c>
      <c r="H59" s="20">
        <f t="shared" si="6"/>
        <v>-18906.940000000002</v>
      </c>
      <c r="I59" s="19">
        <f t="shared" si="2"/>
        <v>-0.13092366185233714</v>
      </c>
      <c r="J59" s="42" t="s">
        <v>220</v>
      </c>
      <c r="K59" s="106" t="s">
        <v>221</v>
      </c>
      <c r="L59" s="117"/>
      <c r="M59" s="117"/>
      <c r="N59" s="117"/>
      <c r="O59" s="117"/>
      <c r="P59" s="117"/>
    </row>
    <row r="60" spans="1:16" ht="100.5" customHeight="1">
      <c r="A60" s="28" t="str">
        <v>Kohls - Sonora</v>
      </c>
      <c r="B60" s="29" t="str">
        <v>CA</v>
      </c>
      <c r="C60" s="24">
        <v>22795</v>
      </c>
      <c r="D60" s="13" t="s">
        <v>22</v>
      </c>
      <c r="E60" s="13" t="str">
        <f t="shared" si="4"/>
        <v/>
      </c>
      <c r="F60" s="14" t="str">
        <f t="shared" si="5"/>
        <v/>
      </c>
      <c r="G60" s="15">
        <v>29362.560000000001</v>
      </c>
      <c r="H60" s="15">
        <f t="shared" si="6"/>
        <v>-6567.5600000000013</v>
      </c>
      <c r="I60" s="16">
        <f t="shared" si="2"/>
        <v>-0.22367123302600322</v>
      </c>
      <c r="J60" s="41" t="s">
        <v>158</v>
      </c>
      <c r="K60" s="104" t="s">
        <v>222</v>
      </c>
      <c r="L60" s="118" t="s">
        <v>160</v>
      </c>
      <c r="M60" s="118" t="s">
        <v>103</v>
      </c>
      <c r="N60" s="118" t="s">
        <v>160</v>
      </c>
      <c r="O60" s="118" t="s">
        <v>103</v>
      </c>
      <c r="P60" s="118" t="s">
        <v>160</v>
      </c>
    </row>
    <row r="61" spans="1:16" ht="15.6">
      <c r="A61" s="30" t="str">
        <v>CUSD - Stratford ES</v>
      </c>
      <c r="B61" s="31" t="str">
        <v>CA</v>
      </c>
      <c r="C61" s="11">
        <v>22274</v>
      </c>
      <c r="D61" s="18" t="s">
        <v>22</v>
      </c>
      <c r="E61" s="18" t="str">
        <f t="shared" si="4"/>
        <v/>
      </c>
      <c r="F61" s="19" t="str">
        <f t="shared" si="5"/>
        <v/>
      </c>
      <c r="G61" s="20">
        <v>21294.17</v>
      </c>
      <c r="H61" s="20">
        <f t="shared" si="6"/>
        <v>979.83000000000175</v>
      </c>
      <c r="I61" s="19">
        <f t="shared" si="2"/>
        <v>4.6014002893749878E-2</v>
      </c>
      <c r="J61" s="42"/>
      <c r="K61" s="43"/>
      <c r="L61" s="117"/>
      <c r="M61" s="117"/>
      <c r="N61" s="117"/>
      <c r="O61" s="117"/>
      <c r="P61" s="117"/>
    </row>
    <row r="62" spans="1:16" ht="15.6">
      <c r="A62" s="28" t="str">
        <v>Taft - City Hall</v>
      </c>
      <c r="B62" s="29" t="str">
        <v>CA</v>
      </c>
      <c r="C62" s="24">
        <v>804</v>
      </c>
      <c r="D62" s="13" t="s">
        <v>22</v>
      </c>
      <c r="E62" s="13" t="str">
        <f t="shared" si="4"/>
        <v/>
      </c>
      <c r="F62" s="14" t="str">
        <f t="shared" si="5"/>
        <v/>
      </c>
      <c r="G62" s="15">
        <v>7164.9</v>
      </c>
      <c r="H62" s="15">
        <f t="shared" si="6"/>
        <v>-6360.9</v>
      </c>
      <c r="I62" s="16">
        <f t="shared" si="2"/>
        <v>-0.88778629150441735</v>
      </c>
      <c r="J62" s="41" t="s">
        <v>223</v>
      </c>
      <c r="K62" s="104" t="s">
        <v>224</v>
      </c>
      <c r="L62" s="117"/>
      <c r="M62" s="117"/>
      <c r="N62" s="117"/>
      <c r="O62" s="117"/>
      <c r="P62" s="117"/>
    </row>
    <row r="63" spans="1:16" ht="15.6">
      <c r="A63" s="30" t="str">
        <v>Taft - Federal Prison</v>
      </c>
      <c r="B63" s="31" t="str">
        <v>CA</v>
      </c>
      <c r="C63" s="11">
        <v>15160</v>
      </c>
      <c r="D63" s="18" t="s">
        <v>22</v>
      </c>
      <c r="E63" s="18" t="str">
        <f t="shared" si="4"/>
        <v/>
      </c>
      <c r="F63" s="19" t="str">
        <f t="shared" si="5"/>
        <v/>
      </c>
      <c r="G63" s="20">
        <v>11796.07</v>
      </c>
      <c r="H63" s="20">
        <f t="shared" si="6"/>
        <v>3363.9300000000003</v>
      </c>
      <c r="I63" s="19">
        <f t="shared" si="2"/>
        <v>0.28517379093206469</v>
      </c>
      <c r="J63" s="42"/>
      <c r="K63" s="43"/>
      <c r="L63" s="117"/>
      <c r="M63" s="117"/>
      <c r="N63" s="117"/>
      <c r="O63" s="117"/>
      <c r="P63" s="117"/>
    </row>
    <row r="64" spans="1:16" ht="15.6">
      <c r="A64" s="28" t="str">
        <v>Taft - Police Department</v>
      </c>
      <c r="B64" s="29" t="str">
        <v>CA</v>
      </c>
      <c r="C64" s="24">
        <v>9954</v>
      </c>
      <c r="D64" s="13" t="s">
        <v>22</v>
      </c>
      <c r="E64" s="13" t="str">
        <f t="shared" si="4"/>
        <v/>
      </c>
      <c r="F64" s="14" t="str">
        <f t="shared" si="5"/>
        <v/>
      </c>
      <c r="G64" s="15">
        <v>8217.27</v>
      </c>
      <c r="H64" s="15">
        <f t="shared" si="6"/>
        <v>1736.7299999999996</v>
      </c>
      <c r="I64" s="16">
        <f t="shared" si="2"/>
        <v>0.21135121518460503</v>
      </c>
      <c r="J64" s="41"/>
      <c r="K64" s="41"/>
      <c r="L64" s="117"/>
      <c r="M64" s="117"/>
      <c r="N64" s="117"/>
      <c r="O64" s="117"/>
      <c r="P64" s="117"/>
    </row>
    <row r="65" spans="1:16" ht="28.9">
      <c r="A65" s="30" t="str">
        <v>Taft - WTP</v>
      </c>
      <c r="B65" s="31" t="str">
        <v>CA</v>
      </c>
      <c r="C65" s="11">
        <v>18961</v>
      </c>
      <c r="D65" s="18" t="s">
        <v>22</v>
      </c>
      <c r="E65" s="18" t="str">
        <f t="shared" si="4"/>
        <v/>
      </c>
      <c r="F65" s="19" t="str">
        <f t="shared" si="5"/>
        <v/>
      </c>
      <c r="G65" s="20">
        <v>32643.96</v>
      </c>
      <c r="H65" s="20">
        <f t="shared" si="6"/>
        <v>-13682.96</v>
      </c>
      <c r="I65" s="19">
        <f t="shared" si="2"/>
        <v>-0.41915747966852057</v>
      </c>
      <c r="J65" s="42" t="s">
        <v>225</v>
      </c>
      <c r="K65" s="108" t="s">
        <v>226</v>
      </c>
      <c r="L65" s="117"/>
      <c r="M65" s="117"/>
      <c r="N65" s="117"/>
      <c r="O65" s="117"/>
      <c r="P65" s="117"/>
    </row>
    <row r="66" spans="1:16" ht="140.25" customHeight="1">
      <c r="A66" s="28" t="str">
        <v>CDCR - CA Correctional Institution</v>
      </c>
      <c r="B66" s="29" t="str">
        <v>CA</v>
      </c>
      <c r="C66" s="24">
        <v>128121</v>
      </c>
      <c r="D66" s="13" t="s">
        <v>22</v>
      </c>
      <c r="E66" s="13" t="str">
        <f t="shared" si="4"/>
        <v/>
      </c>
      <c r="F66" s="14" t="str">
        <f t="shared" si="5"/>
        <v/>
      </c>
      <c r="G66" s="15">
        <v>106071.03</v>
      </c>
      <c r="H66" s="15">
        <f t="shared" si="6"/>
        <v>22049.97</v>
      </c>
      <c r="I66" s="16">
        <f t="shared" si="2"/>
        <v>0.20787928617267129</v>
      </c>
      <c r="J66" s="41" t="s">
        <v>227</v>
      </c>
      <c r="K66" s="104" t="s">
        <v>228</v>
      </c>
      <c r="L66" s="118" t="s">
        <v>109</v>
      </c>
      <c r="M66" s="118" t="s">
        <v>110</v>
      </c>
      <c r="N66" s="118" t="s">
        <v>229</v>
      </c>
      <c r="O66" s="118" t="s">
        <v>230</v>
      </c>
      <c r="P66" s="117"/>
    </row>
    <row r="67" spans="1:16" ht="201.6">
      <c r="A67" s="30" t="str">
        <v>CDCR - CA Correctional Institution II</v>
      </c>
      <c r="B67" s="31" t="str">
        <v>CA</v>
      </c>
      <c r="C67" s="11">
        <v>110462</v>
      </c>
      <c r="D67" s="18" t="s">
        <v>22</v>
      </c>
      <c r="E67" s="18" t="str">
        <f t="shared" si="4"/>
        <v/>
      </c>
      <c r="F67" s="19" t="str">
        <f t="shared" si="5"/>
        <v/>
      </c>
      <c r="G67" s="20">
        <v>166152.23000000001</v>
      </c>
      <c r="H67" s="20">
        <f t="shared" si="6"/>
        <v>-55690.23000000001</v>
      </c>
      <c r="I67" s="19">
        <f t="shared" si="2"/>
        <v>-0.33517594076227569</v>
      </c>
      <c r="J67" s="42" t="s">
        <v>231</v>
      </c>
      <c r="K67" s="106" t="s">
        <v>232</v>
      </c>
      <c r="L67" s="118" t="s">
        <v>113</v>
      </c>
      <c r="M67" s="118" t="s">
        <v>114</v>
      </c>
      <c r="N67" s="118" t="s">
        <v>233</v>
      </c>
      <c r="O67" s="118" t="s">
        <v>234</v>
      </c>
      <c r="P67" s="117"/>
    </row>
    <row r="68" spans="1:16" ht="28.9">
      <c r="A68" s="28" t="str">
        <v>Snowline SD - Vista Verde ES</v>
      </c>
      <c r="B68" s="29" t="str">
        <v>CA</v>
      </c>
      <c r="C68" s="24">
        <v>4758</v>
      </c>
      <c r="D68" s="13" t="s">
        <v>22</v>
      </c>
      <c r="E68" s="13" t="str">
        <f t="shared" si="4"/>
        <v/>
      </c>
      <c r="F68" s="14" t="str">
        <f t="shared" si="5"/>
        <v/>
      </c>
      <c r="G68" s="15">
        <v>28101.91</v>
      </c>
      <c r="H68" s="15">
        <f t="shared" si="6"/>
        <v>-23343.91</v>
      </c>
      <c r="I68" s="16">
        <f t="shared" si="2"/>
        <v>-0.83068766500212976</v>
      </c>
      <c r="J68" s="41" t="s">
        <v>235</v>
      </c>
      <c r="K68" s="104" t="s">
        <v>236</v>
      </c>
      <c r="L68" s="117"/>
      <c r="M68" s="117"/>
      <c r="N68" s="117"/>
      <c r="O68" s="117"/>
      <c r="P68" s="117"/>
    </row>
    <row r="69" spans="1:16" ht="115.15">
      <c r="A69" s="30" t="str">
        <v>North Stonington</v>
      </c>
      <c r="B69" s="31" t="str">
        <v>CT</v>
      </c>
      <c r="C69" s="67">
        <v>1279980</v>
      </c>
      <c r="D69" s="18" t="s">
        <v>22</v>
      </c>
      <c r="E69" s="18" t="str">
        <f>IF(AND(ISNUMBER(C69),ISNUMBER(D69)), C69-D69, "")</f>
        <v/>
      </c>
      <c r="F69" s="116"/>
      <c r="G69" s="63">
        <v>0</v>
      </c>
      <c r="H69" s="20">
        <f t="shared" si="6"/>
        <v>1279980</v>
      </c>
      <c r="I69" s="19" t="str">
        <f t="shared" si="2"/>
        <v/>
      </c>
      <c r="J69" s="42" t="s">
        <v>237</v>
      </c>
      <c r="K69" s="106" t="s">
        <v>238</v>
      </c>
      <c r="L69" s="118" t="s">
        <v>239</v>
      </c>
      <c r="M69" s="118" t="s">
        <v>240</v>
      </c>
      <c r="N69" s="118" t="s">
        <v>241</v>
      </c>
      <c r="O69" s="117"/>
      <c r="P69" s="117"/>
    </row>
    <row r="70" spans="1:16" ht="14.45">
      <c r="A70" s="21"/>
      <c r="B70" s="33"/>
      <c r="C70" s="21"/>
      <c r="D70" s="21"/>
      <c r="E70" s="21"/>
      <c r="F70" s="22"/>
      <c r="G70" s="21"/>
      <c r="H70" s="21"/>
      <c r="I70" s="22"/>
      <c r="J70" s="21"/>
      <c r="K70" s="21"/>
    </row>
    <row r="71" spans="1:16" ht="14.45">
      <c r="A71" s="21"/>
      <c r="B71" s="33"/>
      <c r="C71" s="21"/>
      <c r="D71" s="21"/>
      <c r="E71" s="21"/>
      <c r="F71" s="22"/>
      <c r="G71" s="21"/>
      <c r="H71" s="21"/>
      <c r="I71" s="22"/>
      <c r="J71" s="21"/>
      <c r="K71" s="21"/>
    </row>
    <row r="72" spans="1:16" ht="14.45">
      <c r="A72" s="21"/>
      <c r="B72" s="33"/>
      <c r="C72" s="21"/>
      <c r="D72" s="21"/>
      <c r="E72" s="21"/>
      <c r="F72" s="22"/>
      <c r="G72" s="21"/>
      <c r="H72" s="21"/>
      <c r="I72" s="22"/>
      <c r="J72" s="21"/>
      <c r="K72" s="21"/>
    </row>
    <row r="73" spans="1:16" ht="14.45">
      <c r="A73" s="21"/>
      <c r="B73" s="33"/>
      <c r="C73" s="21"/>
      <c r="D73" s="21"/>
      <c r="E73" s="21"/>
      <c r="F73" s="22"/>
      <c r="G73" s="21"/>
      <c r="H73" s="21"/>
      <c r="I73" s="22"/>
      <c r="J73" s="21"/>
      <c r="K73" s="21"/>
    </row>
    <row r="74" spans="1:16" ht="14.45">
      <c r="A74" s="21"/>
      <c r="B74" s="33"/>
      <c r="C74" s="21"/>
      <c r="D74" s="21"/>
      <c r="E74" s="21"/>
      <c r="F74" s="22"/>
      <c r="G74" s="21"/>
      <c r="H74" s="21"/>
      <c r="I74" s="22"/>
      <c r="J74" s="21"/>
      <c r="K74" s="21"/>
    </row>
    <row r="75" spans="1:16" ht="14.45">
      <c r="A75" s="21"/>
      <c r="B75" s="33"/>
      <c r="C75" s="21"/>
      <c r="D75" s="21"/>
      <c r="E75" s="21"/>
      <c r="F75" s="22"/>
      <c r="G75" s="21"/>
      <c r="H75" s="21"/>
      <c r="I75" s="22"/>
      <c r="J75" s="21"/>
      <c r="K75" s="21"/>
    </row>
    <row r="76" spans="1:16" ht="14.45">
      <c r="A76" s="21"/>
      <c r="B76" s="33"/>
      <c r="C76" s="21"/>
      <c r="D76" s="21"/>
      <c r="E76" s="21"/>
      <c r="F76" s="22"/>
      <c r="G76" s="21"/>
      <c r="H76" s="21"/>
      <c r="I76" s="22"/>
      <c r="J76" s="21"/>
      <c r="K76" s="21"/>
    </row>
    <row r="77" spans="1:16" ht="14.45">
      <c r="A77" s="21"/>
      <c r="B77" s="33"/>
      <c r="C77" s="21"/>
      <c r="D77" s="21"/>
      <c r="E77" s="21"/>
      <c r="F77" s="22"/>
      <c r="G77" s="21"/>
      <c r="H77" s="21"/>
      <c r="I77" s="22"/>
      <c r="J77" s="21"/>
      <c r="K77" s="21"/>
    </row>
    <row r="78" spans="1:16" ht="14.45">
      <c r="A78" s="21"/>
      <c r="B78" s="33"/>
      <c r="C78" s="21"/>
      <c r="D78" s="21"/>
      <c r="E78" s="21"/>
      <c r="F78" s="22"/>
      <c r="G78" s="21"/>
      <c r="H78" s="21"/>
      <c r="I78" s="22"/>
      <c r="J78" s="21"/>
      <c r="K78" s="21"/>
    </row>
    <row r="79" spans="1:16" ht="14.45">
      <c r="A79" s="21"/>
      <c r="B79" s="33"/>
      <c r="C79" s="21"/>
      <c r="D79" s="21"/>
      <c r="E79" s="21"/>
      <c r="F79" s="22"/>
      <c r="G79" s="21"/>
      <c r="H79" s="21"/>
      <c r="I79" s="22"/>
      <c r="J79" s="21"/>
      <c r="K79" s="21"/>
    </row>
    <row r="80" spans="1:16"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phoneticPr fontId="40"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tabSelected="1" zoomScale="90" zoomScaleNormal="90" workbookViewId="0">
      <pane xSplit="2" ySplit="3" topLeftCell="C68" activePane="bottomRight" state="frozen"/>
      <selection pane="bottomRight" activeCell="I75" sqref="I75"/>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1" t="str" cm="1">
        <f t="array" ref="A1">portfolio</f>
        <v>Silicon Ranch</v>
      </c>
      <c r="B1" s="121"/>
      <c r="C1" s="121"/>
      <c r="D1" s="122" t="s">
        <v>242</v>
      </c>
      <c r="E1" s="122"/>
      <c r="F1" s="122"/>
      <c r="G1" s="120" t="s">
        <v>243</v>
      </c>
      <c r="H1" s="120"/>
      <c r="I1" s="120"/>
      <c r="J1" s="4"/>
      <c r="K1" s="4"/>
    </row>
    <row r="2" spans="1:19" ht="19.5" customHeight="1">
      <c r="A2" s="123" t="s">
        <v>2</v>
      </c>
      <c r="B2" s="123"/>
      <c r="C2" s="5">
        <f>SUM(C4:C100)</f>
        <v>4132672</v>
      </c>
      <c r="D2" s="5">
        <f>SUM(D4:D100)</f>
        <v>0</v>
      </c>
      <c r="E2" s="5">
        <f>C2-D2</f>
        <v>4132672</v>
      </c>
      <c r="F2" s="6">
        <f>IFERROR(E2/D2, 0)</f>
        <v>0</v>
      </c>
      <c r="G2" s="5">
        <f>SUM(G4:G100)</f>
        <v>4664869.2989999996</v>
      </c>
      <c r="H2" s="7">
        <f>C2-G2</f>
        <v>-532197.29899999965</v>
      </c>
      <c r="I2" s="6">
        <f>IFERROR(H2/G2, 0)</f>
        <v>-0.11408621868871779</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6">
      <c r="A4" s="32" t="str" cm="1">
        <f t="array" ref="A4:A69">Sites[Site]</f>
        <v>Iron Mountain - Windsor</v>
      </c>
      <c r="B4" s="29" t="str" cm="1">
        <f t="array" ref="B4:B69">Sites[State]</f>
        <v>CT</v>
      </c>
      <c r="C4" s="24">
        <v>31293</v>
      </c>
      <c r="D4" s="13" t="s">
        <v>22</v>
      </c>
      <c r="E4" s="13" t="str">
        <f>IF(AND(ISNUMBER(C4),ISNUMBER(D4)), C4-D4, "")</f>
        <v/>
      </c>
      <c r="F4" s="14" t="str">
        <f>IFERROR(E4/D4, "")</f>
        <v/>
      </c>
      <c r="G4" s="15">
        <v>30934.86</v>
      </c>
      <c r="H4" s="15">
        <f>IF(AND(ISNUMBER(C4),ISNUMBER(G4)), C4-G4, "")</f>
        <v>358.13999999999942</v>
      </c>
      <c r="I4" s="16">
        <f>IFERROR(H4/G4, "")</f>
        <v>1.1577230347898759E-2</v>
      </c>
      <c r="J4" s="41"/>
      <c r="K4" s="41"/>
      <c r="L4" s="117"/>
      <c r="M4" s="117"/>
      <c r="N4" s="117"/>
      <c r="O4" s="117"/>
      <c r="P4" s="117"/>
      <c r="Q4" s="117"/>
      <c r="R4" s="117"/>
      <c r="S4" s="117"/>
    </row>
    <row r="5" spans="1:19" ht="15.6">
      <c r="A5" s="30" t="str">
        <v>Kohls - Auburn</v>
      </c>
      <c r="B5" s="31" t="str">
        <v>NY</v>
      </c>
      <c r="C5" s="11">
        <v>32335</v>
      </c>
      <c r="D5" s="18" t="s">
        <v>22</v>
      </c>
      <c r="E5" s="18" t="str">
        <f t="shared" ref="E5:E25" si="0">IF(AND(ISNUMBER(C5),ISNUMBER(D5)), C5-D5, "")</f>
        <v/>
      </c>
      <c r="F5" s="19" t="str">
        <f>IFERROR(E5/D5, "")</f>
        <v/>
      </c>
      <c r="G5" s="20">
        <v>33859.879999999997</v>
      </c>
      <c r="H5" s="20">
        <f t="shared" ref="H5:H25" si="1">IF(AND(ISNUMBER(C5),ISNUMBER(G5)), C5-G5, "")</f>
        <v>-1524.8799999999974</v>
      </c>
      <c r="I5" s="19">
        <f t="shared" ref="I5:I68" si="2">IFERROR(H5/G5, "")</f>
        <v>-4.5035008984083746E-2</v>
      </c>
      <c r="J5" s="42"/>
      <c r="K5" s="42"/>
      <c r="L5" s="117"/>
      <c r="M5" s="117"/>
      <c r="N5" s="117"/>
      <c r="O5" s="117"/>
      <c r="P5" s="117"/>
      <c r="Q5" s="117"/>
      <c r="R5" s="117"/>
      <c r="S5" s="117"/>
    </row>
    <row r="6" spans="1:19" ht="126.75" customHeight="1">
      <c r="A6" s="28" t="str">
        <v>Kohls - Bensalem</v>
      </c>
      <c r="B6" s="29" t="str">
        <v>PA</v>
      </c>
      <c r="C6" s="24">
        <v>25179</v>
      </c>
      <c r="D6" s="13" t="s">
        <v>22</v>
      </c>
      <c r="E6" s="13" t="str">
        <f t="shared" si="0"/>
        <v/>
      </c>
      <c r="F6" s="14" t="str">
        <f t="shared" ref="F6:F25" si="3">IFERROR(E6/D6, "")</f>
        <v/>
      </c>
      <c r="G6" s="15">
        <v>33628.71</v>
      </c>
      <c r="H6" s="15">
        <f t="shared" si="1"/>
        <v>-8449.7099999999991</v>
      </c>
      <c r="I6" s="16">
        <f t="shared" si="2"/>
        <v>-0.25126476751561388</v>
      </c>
      <c r="J6" s="41" t="s">
        <v>244</v>
      </c>
      <c r="K6" s="104" t="s">
        <v>245</v>
      </c>
      <c r="L6" s="117"/>
      <c r="M6" s="117"/>
      <c r="N6" s="117"/>
      <c r="O6" s="117"/>
      <c r="P6" s="117"/>
      <c r="Q6" s="117"/>
      <c r="R6" s="117"/>
      <c r="S6" s="117"/>
    </row>
    <row r="7" spans="1:19" ht="15.6">
      <c r="A7" s="30" t="str">
        <v>Kohls - Brick</v>
      </c>
      <c r="B7" s="31" t="str">
        <v>NJ</v>
      </c>
      <c r="C7" s="11">
        <v>43757</v>
      </c>
      <c r="D7" s="18" t="s">
        <v>22</v>
      </c>
      <c r="E7" s="18" t="str">
        <f t="shared" si="0"/>
        <v/>
      </c>
      <c r="F7" s="19" t="str">
        <f t="shared" si="3"/>
        <v/>
      </c>
      <c r="G7" s="20">
        <v>40857.57</v>
      </c>
      <c r="H7" s="20">
        <f t="shared" si="1"/>
        <v>2899.4300000000003</v>
      </c>
      <c r="I7" s="19">
        <f t="shared" si="2"/>
        <v>7.0964328030276899E-2</v>
      </c>
      <c r="J7" s="42"/>
      <c r="K7" s="43"/>
      <c r="L7" s="117"/>
      <c r="M7" s="117"/>
      <c r="N7" s="117"/>
      <c r="O7" s="117"/>
      <c r="P7" s="117"/>
      <c r="Q7" s="117"/>
      <c r="R7" s="117"/>
      <c r="S7" s="117"/>
    </row>
    <row r="8" spans="1:19" ht="43.15">
      <c r="A8" s="28" t="str">
        <v>Kohls - Buffalo</v>
      </c>
      <c r="B8" s="29" t="str">
        <v>NY</v>
      </c>
      <c r="C8" s="24">
        <v>35454</v>
      </c>
      <c r="D8" s="13" t="s">
        <v>22</v>
      </c>
      <c r="E8" s="13" t="str">
        <f t="shared" si="0"/>
        <v/>
      </c>
      <c r="F8" s="14" t="str">
        <f t="shared" si="3"/>
        <v/>
      </c>
      <c r="G8" s="15">
        <v>43977.120000000003</v>
      </c>
      <c r="H8" s="15">
        <f t="shared" si="1"/>
        <v>-8523.1200000000026</v>
      </c>
      <c r="I8" s="16">
        <f t="shared" si="2"/>
        <v>-0.19380805291478848</v>
      </c>
      <c r="J8" s="41" t="s">
        <v>246</v>
      </c>
      <c r="K8" s="104" t="s">
        <v>247</v>
      </c>
      <c r="L8" s="118" t="s">
        <v>172</v>
      </c>
      <c r="M8" s="118" t="s">
        <v>28</v>
      </c>
      <c r="N8" s="117"/>
      <c r="O8" s="117"/>
      <c r="P8" s="117"/>
      <c r="Q8" s="117"/>
      <c r="R8" s="117"/>
      <c r="S8" s="117"/>
    </row>
    <row r="9" spans="1:19" ht="15.6">
      <c r="A9" s="30" t="str">
        <v>Kohls - Canton</v>
      </c>
      <c r="B9" s="31" t="str">
        <v>CT</v>
      </c>
      <c r="C9" s="11">
        <v>15599</v>
      </c>
      <c r="D9" s="18" t="s">
        <v>22</v>
      </c>
      <c r="E9" s="18" t="str">
        <f t="shared" si="0"/>
        <v/>
      </c>
      <c r="F9" s="19" t="str">
        <f t="shared" si="3"/>
        <v/>
      </c>
      <c r="G9" s="20">
        <v>13622.22</v>
      </c>
      <c r="H9" s="20">
        <f t="shared" si="1"/>
        <v>1976.7800000000007</v>
      </c>
      <c r="I9" s="19">
        <f t="shared" si="2"/>
        <v>0.14511437930087759</v>
      </c>
      <c r="J9" s="56"/>
      <c r="K9" s="43"/>
      <c r="L9" s="117"/>
      <c r="M9" s="117"/>
      <c r="N9" s="117"/>
      <c r="O9" s="117"/>
      <c r="P9" s="117"/>
      <c r="Q9" s="117"/>
      <c r="R9" s="117"/>
      <c r="S9" s="117"/>
    </row>
    <row r="10" spans="1:19" ht="39" customHeight="1">
      <c r="A10" s="28" t="str">
        <v>Kohls - East Amherst</v>
      </c>
      <c r="B10" s="29" t="str">
        <v>NY</v>
      </c>
      <c r="C10" s="24">
        <v>33923</v>
      </c>
      <c r="D10" s="13" t="s">
        <v>22</v>
      </c>
      <c r="E10" s="13" t="str">
        <f t="shared" si="0"/>
        <v/>
      </c>
      <c r="F10" s="14" t="str">
        <f t="shared" si="3"/>
        <v/>
      </c>
      <c r="G10" s="15">
        <v>38691.72</v>
      </c>
      <c r="H10" s="15">
        <f t="shared" si="1"/>
        <v>-4768.7200000000012</v>
      </c>
      <c r="I10" s="16">
        <f t="shared" si="2"/>
        <v>-0.12324910859481049</v>
      </c>
      <c r="J10" s="41" t="s">
        <v>248</v>
      </c>
      <c r="K10" s="104" t="s">
        <v>249</v>
      </c>
      <c r="L10" s="117"/>
      <c r="M10" s="117"/>
      <c r="N10" s="117"/>
      <c r="O10" s="117"/>
      <c r="P10" s="117"/>
      <c r="Q10" s="117"/>
      <c r="R10" s="117"/>
      <c r="S10" s="117"/>
    </row>
    <row r="11" spans="1:19" ht="15.6">
      <c r="A11" s="30" t="str">
        <v>Kohls - East Brunswick</v>
      </c>
      <c r="B11" s="31" t="str">
        <v>NJ</v>
      </c>
      <c r="C11" s="11">
        <v>51292</v>
      </c>
      <c r="D11" s="18" t="s">
        <v>22</v>
      </c>
      <c r="E11" s="18" t="str">
        <f t="shared" si="0"/>
        <v/>
      </c>
      <c r="F11" s="19" t="str">
        <f t="shared" si="3"/>
        <v/>
      </c>
      <c r="G11" s="20">
        <v>52486.96</v>
      </c>
      <c r="H11" s="20">
        <f t="shared" si="1"/>
        <v>-1194.9599999999991</v>
      </c>
      <c r="I11" s="19">
        <f t="shared" si="2"/>
        <v>-2.2766797696037247E-2</v>
      </c>
      <c r="J11" s="42"/>
      <c r="K11" s="43"/>
      <c r="L11" s="117"/>
      <c r="M11" s="117"/>
      <c r="N11" s="117"/>
      <c r="O11" s="117"/>
      <c r="P11" s="117"/>
      <c r="Q11" s="117"/>
      <c r="R11" s="117"/>
      <c r="S11" s="117"/>
    </row>
    <row r="12" spans="1:19" ht="15.6">
      <c r="A12" s="28" t="str">
        <v>Kohls - Edgewood</v>
      </c>
      <c r="B12" s="29" t="str">
        <v>MD</v>
      </c>
      <c r="C12" s="24">
        <v>253311</v>
      </c>
      <c r="D12" s="13" t="s">
        <v>22</v>
      </c>
      <c r="E12" s="13" t="str">
        <f t="shared" si="0"/>
        <v/>
      </c>
      <c r="F12" s="14" t="str">
        <f t="shared" si="3"/>
        <v/>
      </c>
      <c r="G12" s="15">
        <v>281330.28999999998</v>
      </c>
      <c r="H12" s="15">
        <f t="shared" si="1"/>
        <v>-28019.289999999979</v>
      </c>
      <c r="I12" s="16">
        <f t="shared" si="2"/>
        <v>-9.9595710081555669E-2</v>
      </c>
      <c r="J12" s="41"/>
      <c r="K12" s="41"/>
      <c r="L12" s="117"/>
      <c r="M12" s="117"/>
      <c r="N12" s="117"/>
      <c r="O12" s="117"/>
      <c r="P12" s="117"/>
      <c r="Q12" s="117"/>
      <c r="R12" s="117"/>
      <c r="S12" s="117"/>
    </row>
    <row r="13" spans="1:19" ht="15.6">
      <c r="A13" s="30" t="str">
        <v>Kohls - Granite Run</v>
      </c>
      <c r="B13" s="31" t="str">
        <v>PA</v>
      </c>
      <c r="C13" s="11">
        <v>33656</v>
      </c>
      <c r="D13" s="18" t="s">
        <v>22</v>
      </c>
      <c r="E13" s="18" t="str">
        <f t="shared" si="0"/>
        <v/>
      </c>
      <c r="F13" s="19" t="str">
        <f t="shared" si="3"/>
        <v/>
      </c>
      <c r="G13" s="20">
        <v>33638.5</v>
      </c>
      <c r="H13" s="20">
        <f t="shared" si="1"/>
        <v>17.5</v>
      </c>
      <c r="I13" s="19">
        <f t="shared" si="2"/>
        <v>5.2023722817604826E-4</v>
      </c>
      <c r="J13" s="42"/>
      <c r="K13" s="43"/>
      <c r="L13" s="117"/>
      <c r="M13" s="117"/>
      <c r="N13" s="117"/>
      <c r="O13" s="117"/>
      <c r="P13" s="117"/>
      <c r="Q13" s="117"/>
      <c r="R13" s="117"/>
      <c r="S13" s="117"/>
    </row>
    <row r="14" spans="1:19" ht="15.6">
      <c r="A14" s="28" t="str">
        <v>Kohls - Greece</v>
      </c>
      <c r="B14" s="29" t="str">
        <v>NY</v>
      </c>
      <c r="C14" s="24">
        <v>30322</v>
      </c>
      <c r="D14" s="13" t="s">
        <v>22</v>
      </c>
      <c r="E14" s="13" t="str">
        <f t="shared" si="0"/>
        <v/>
      </c>
      <c r="F14" s="14" t="str">
        <f t="shared" si="3"/>
        <v/>
      </c>
      <c r="G14" s="15">
        <v>41394.589999999997</v>
      </c>
      <c r="H14" s="15">
        <f t="shared" si="1"/>
        <v>-11072.589999999997</v>
      </c>
      <c r="I14" s="16">
        <f t="shared" si="2"/>
        <v>-0.26748881919110679</v>
      </c>
      <c r="J14" s="41" t="s">
        <v>250</v>
      </c>
      <c r="K14" s="41"/>
      <c r="L14" s="117"/>
      <c r="M14" s="117"/>
      <c r="N14" s="117"/>
      <c r="O14" s="117"/>
      <c r="P14" s="117"/>
      <c r="Q14" s="117"/>
      <c r="R14" s="117"/>
      <c r="S14" s="117"/>
    </row>
    <row r="15" spans="1:19" ht="15.6">
      <c r="A15" s="30" t="str">
        <v>Kohls - Hanover</v>
      </c>
      <c r="B15" s="31" t="str">
        <v>PA</v>
      </c>
      <c r="C15" s="11">
        <v>38762</v>
      </c>
      <c r="D15" s="18" t="s">
        <v>22</v>
      </c>
      <c r="E15" s="18" t="str">
        <f t="shared" si="0"/>
        <v/>
      </c>
      <c r="F15" s="19" t="str">
        <f t="shared" si="3"/>
        <v/>
      </c>
      <c r="G15" s="20">
        <v>39108.42</v>
      </c>
      <c r="H15" s="20">
        <f t="shared" si="1"/>
        <v>-346.41999999999825</v>
      </c>
      <c r="I15" s="19">
        <f t="shared" si="2"/>
        <v>-8.8579390320549459E-3</v>
      </c>
      <c r="J15" s="55"/>
      <c r="K15" s="55"/>
      <c r="L15" s="117"/>
      <c r="M15" s="117"/>
      <c r="N15" s="117"/>
      <c r="O15" s="117"/>
      <c r="P15" s="117"/>
      <c r="Q15" s="117"/>
      <c r="R15" s="117"/>
      <c r="S15" s="117"/>
    </row>
    <row r="16" spans="1:19" ht="15.6">
      <c r="A16" s="28" t="str">
        <v>Kohls - Horsehead</v>
      </c>
      <c r="B16" s="29" t="str">
        <v>NY</v>
      </c>
      <c r="C16" s="24">
        <v>28572</v>
      </c>
      <c r="D16" s="13" t="s">
        <v>22</v>
      </c>
      <c r="E16" s="13" t="str">
        <f t="shared" si="0"/>
        <v/>
      </c>
      <c r="F16" s="14" t="str">
        <f t="shared" si="3"/>
        <v/>
      </c>
      <c r="G16" s="15">
        <v>28509.69</v>
      </c>
      <c r="H16" s="15">
        <f t="shared" si="1"/>
        <v>62.31000000000131</v>
      </c>
      <c r="I16" s="16">
        <f t="shared" si="2"/>
        <v>2.1855726947575126E-3</v>
      </c>
      <c r="J16" s="57"/>
      <c r="K16" s="57"/>
      <c r="L16" s="117"/>
      <c r="M16" s="117"/>
      <c r="N16" s="117"/>
      <c r="O16" s="117"/>
      <c r="P16" s="117"/>
      <c r="Q16" s="117"/>
      <c r="R16" s="117"/>
      <c r="S16" s="117"/>
    </row>
    <row r="17" spans="1:19" ht="15.6">
      <c r="A17" s="30" t="str">
        <v>Kohls - Hudson</v>
      </c>
      <c r="B17" s="31" t="str">
        <v>NY</v>
      </c>
      <c r="C17" s="11">
        <v>32078</v>
      </c>
      <c r="D17" s="18" t="s">
        <v>22</v>
      </c>
      <c r="E17" s="18" t="str">
        <f t="shared" si="0"/>
        <v/>
      </c>
      <c r="F17" s="19" t="str">
        <f t="shared" si="3"/>
        <v/>
      </c>
      <c r="G17" s="20">
        <v>32526.959999999999</v>
      </c>
      <c r="H17" s="20">
        <f t="shared" si="1"/>
        <v>-448.95999999999913</v>
      </c>
      <c r="I17" s="19">
        <f t="shared" si="2"/>
        <v>-1.3802703972335538E-2</v>
      </c>
      <c r="J17" s="55"/>
      <c r="K17" s="58"/>
      <c r="L17" s="117"/>
      <c r="M17" s="117"/>
      <c r="N17" s="117"/>
      <c r="O17" s="117"/>
      <c r="P17" s="117"/>
      <c r="Q17" s="117"/>
      <c r="R17" s="117"/>
      <c r="S17" s="117"/>
    </row>
    <row r="18" spans="1:19" ht="15.6">
      <c r="A18" s="32" t="str">
        <v>Kohls - Ithaca</v>
      </c>
      <c r="B18" s="29" t="str">
        <v>NY</v>
      </c>
      <c r="C18" s="24">
        <v>28862</v>
      </c>
      <c r="D18" s="13" t="s">
        <v>22</v>
      </c>
      <c r="E18" s="13" t="str">
        <f t="shared" si="0"/>
        <v/>
      </c>
      <c r="F18" s="14" t="str">
        <f t="shared" si="3"/>
        <v/>
      </c>
      <c r="G18" s="15">
        <v>34202.370000000003</v>
      </c>
      <c r="H18" s="15">
        <f t="shared" si="1"/>
        <v>-5340.3700000000026</v>
      </c>
      <c r="I18" s="16">
        <f t="shared" si="2"/>
        <v>-0.15614034933836463</v>
      </c>
      <c r="J18" s="41" t="s">
        <v>251</v>
      </c>
      <c r="K18" s="57"/>
      <c r="L18" s="117"/>
      <c r="M18" s="117"/>
      <c r="N18" s="117"/>
      <c r="O18" s="117"/>
      <c r="P18" s="117"/>
      <c r="Q18" s="117"/>
      <c r="R18" s="117"/>
      <c r="S18" s="117"/>
    </row>
    <row r="19" spans="1:19" ht="15.6">
      <c r="A19" s="30" t="str">
        <v>Kohls - Kingston</v>
      </c>
      <c r="B19" s="31" t="str">
        <v>NY</v>
      </c>
      <c r="C19" s="11">
        <v>42416</v>
      </c>
      <c r="D19" s="18" t="s">
        <v>22</v>
      </c>
      <c r="E19" s="18" t="str">
        <f t="shared" si="0"/>
        <v/>
      </c>
      <c r="F19" s="19" t="str">
        <f t="shared" si="3"/>
        <v/>
      </c>
      <c r="G19" s="20">
        <v>53122.43</v>
      </c>
      <c r="H19" s="20">
        <f t="shared" si="1"/>
        <v>-10706.43</v>
      </c>
      <c r="I19" s="19">
        <f t="shared" si="2"/>
        <v>-0.20154254991723836</v>
      </c>
      <c r="J19" s="55" t="s">
        <v>252</v>
      </c>
      <c r="K19" s="55"/>
      <c r="L19" s="117"/>
      <c r="M19" s="117"/>
      <c r="N19" s="117"/>
      <c r="O19" s="117"/>
      <c r="P19" s="117"/>
      <c r="Q19" s="117"/>
      <c r="R19" s="117"/>
      <c r="S19" s="117"/>
    </row>
    <row r="20" spans="1:19" ht="15.6">
      <c r="A20" s="28" t="str">
        <v>Kohls - Mechanicsburg</v>
      </c>
      <c r="B20" s="29" t="str">
        <v>PA</v>
      </c>
      <c r="C20" s="24">
        <v>45237</v>
      </c>
      <c r="D20" s="13" t="s">
        <v>22</v>
      </c>
      <c r="E20" s="13" t="str">
        <f t="shared" si="0"/>
        <v/>
      </c>
      <c r="F20" s="14" t="str">
        <f t="shared" si="3"/>
        <v/>
      </c>
      <c r="G20" s="15">
        <v>45680.27</v>
      </c>
      <c r="H20" s="15">
        <f t="shared" si="1"/>
        <v>-443.2699999999968</v>
      </c>
      <c r="I20" s="16">
        <f t="shared" si="2"/>
        <v>-9.7037517510294227E-3</v>
      </c>
      <c r="J20" s="57"/>
      <c r="K20" s="57"/>
      <c r="L20" s="117"/>
      <c r="M20" s="117"/>
      <c r="N20" s="117"/>
      <c r="O20" s="117"/>
      <c r="P20" s="117"/>
      <c r="Q20" s="117"/>
      <c r="R20" s="117"/>
      <c r="S20" s="117"/>
    </row>
    <row r="21" spans="1:19" ht="15.6">
      <c r="A21" s="30" t="str">
        <v>Kohls - Middletown</v>
      </c>
      <c r="B21" s="31" t="str">
        <v>NJ</v>
      </c>
      <c r="C21" s="11">
        <v>67983</v>
      </c>
      <c r="D21" s="18" t="s">
        <v>22</v>
      </c>
      <c r="E21" s="18" t="str">
        <f t="shared" si="0"/>
        <v/>
      </c>
      <c r="F21" s="19" t="str">
        <f t="shared" si="3"/>
        <v/>
      </c>
      <c r="G21" s="20">
        <v>60239.89</v>
      </c>
      <c r="H21" s="20">
        <f t="shared" si="1"/>
        <v>7743.1100000000006</v>
      </c>
      <c r="I21" s="19">
        <f t="shared" si="2"/>
        <v>0.12853791731691411</v>
      </c>
      <c r="J21" s="55"/>
      <c r="K21" s="55"/>
      <c r="L21" s="117"/>
      <c r="M21" s="117"/>
      <c r="N21" s="117"/>
      <c r="O21" s="117"/>
      <c r="P21" s="117"/>
      <c r="Q21" s="117"/>
      <c r="R21" s="117"/>
      <c r="S21" s="117"/>
    </row>
    <row r="22" spans="1:19" ht="100.9">
      <c r="A22" s="28" t="str">
        <v>Kohls - North Amherst</v>
      </c>
      <c r="B22" s="29" t="str">
        <v>NY</v>
      </c>
      <c r="C22" s="24">
        <v>13184</v>
      </c>
      <c r="D22" s="13" t="s">
        <v>22</v>
      </c>
      <c r="E22" s="13" t="str">
        <f t="shared" si="0"/>
        <v/>
      </c>
      <c r="F22" s="14" t="str">
        <f t="shared" si="3"/>
        <v/>
      </c>
      <c r="G22" s="15">
        <v>37025.57</v>
      </c>
      <c r="H22" s="15">
        <f>IF(AND(ISNUMBER(C22),ISNUMBER(G22)), C22-G22, "")</f>
        <v>-23841.57</v>
      </c>
      <c r="I22" s="16">
        <f t="shared" si="2"/>
        <v>-0.64392175461444623</v>
      </c>
      <c r="J22" s="102" t="s">
        <v>253</v>
      </c>
      <c r="K22" s="107" t="s">
        <v>254</v>
      </c>
      <c r="L22" s="118" t="s">
        <v>255</v>
      </c>
      <c r="M22" s="117"/>
      <c r="N22" s="117"/>
      <c r="O22" s="117"/>
      <c r="P22" s="117"/>
      <c r="Q22" s="117"/>
      <c r="R22" s="117"/>
      <c r="S22" s="117"/>
    </row>
    <row r="23" spans="1:19" ht="197.25" customHeight="1">
      <c r="A23" s="30" t="str">
        <v>Kohls - Staten Island</v>
      </c>
      <c r="B23" s="31" t="str">
        <v>NY</v>
      </c>
      <c r="C23" s="11">
        <v>29453</v>
      </c>
      <c r="D23" s="18" t="s">
        <v>22</v>
      </c>
      <c r="E23" s="18" t="str">
        <f t="shared" si="0"/>
        <v/>
      </c>
      <c r="F23" s="19" t="str">
        <f t="shared" si="3"/>
        <v/>
      </c>
      <c r="G23" s="20">
        <v>36582.559999999998</v>
      </c>
      <c r="H23" s="20">
        <f t="shared" si="1"/>
        <v>-7129.5599999999977</v>
      </c>
      <c r="I23" s="19">
        <f t="shared" si="2"/>
        <v>-0.19488958673203838</v>
      </c>
      <c r="J23" s="119" t="s">
        <v>256</v>
      </c>
      <c r="K23" s="109" t="s">
        <v>257</v>
      </c>
      <c r="L23" s="118" t="s">
        <v>175</v>
      </c>
      <c r="M23" s="118" t="s">
        <v>258</v>
      </c>
      <c r="N23" s="117"/>
      <c r="O23" s="117"/>
      <c r="P23" s="117"/>
      <c r="Q23" s="117"/>
      <c r="R23" s="117"/>
      <c r="S23" s="117"/>
    </row>
    <row r="24" spans="1:19" ht="15.6">
      <c r="A24" s="28" t="str">
        <v>Kohls - Warminster</v>
      </c>
      <c r="B24" s="29" t="str">
        <v>PA</v>
      </c>
      <c r="C24" s="24">
        <v>43159</v>
      </c>
      <c r="D24" s="13" t="s">
        <v>22</v>
      </c>
      <c r="E24" s="13" t="str">
        <f t="shared" si="0"/>
        <v/>
      </c>
      <c r="F24" s="14" t="str">
        <f t="shared" si="3"/>
        <v/>
      </c>
      <c r="G24" s="15">
        <v>41056.14</v>
      </c>
      <c r="H24" s="15">
        <f t="shared" si="1"/>
        <v>2102.8600000000006</v>
      </c>
      <c r="I24" s="16">
        <f t="shared" si="2"/>
        <v>5.1219135554389686E-2</v>
      </c>
      <c r="J24" s="41"/>
      <c r="K24" s="41"/>
      <c r="L24" s="117"/>
      <c r="M24" s="117"/>
      <c r="N24" s="117"/>
      <c r="O24" s="117"/>
      <c r="P24" s="117"/>
      <c r="Q24" s="117"/>
      <c r="R24" s="117"/>
      <c r="S24" s="117"/>
    </row>
    <row r="25" spans="1:19" ht="15.6">
      <c r="A25" s="30" t="str">
        <v xml:space="preserve">Kohls - Waterbury </v>
      </c>
      <c r="B25" s="31" t="str">
        <v>CT</v>
      </c>
      <c r="C25" s="11">
        <v>39101</v>
      </c>
      <c r="D25" s="18" t="s">
        <v>22</v>
      </c>
      <c r="E25" s="18" t="str">
        <f t="shared" si="0"/>
        <v/>
      </c>
      <c r="F25" s="19" t="str">
        <f t="shared" si="3"/>
        <v/>
      </c>
      <c r="G25" s="20">
        <v>36953.81</v>
      </c>
      <c r="H25" s="20">
        <f t="shared" si="1"/>
        <v>2147.1900000000023</v>
      </c>
      <c r="I25" s="19">
        <f t="shared" si="2"/>
        <v>5.8104698811841118E-2</v>
      </c>
      <c r="J25" s="42"/>
      <c r="K25" s="43"/>
      <c r="L25" s="117"/>
      <c r="M25" s="117"/>
      <c r="N25" s="117"/>
      <c r="O25" s="117"/>
      <c r="P25" s="117"/>
      <c r="Q25" s="117"/>
      <c r="R25" s="117"/>
      <c r="S25" s="117"/>
    </row>
    <row r="26" spans="1:19" ht="15.6">
      <c r="A26" s="28" t="str">
        <v>Mojave Water Agency - Headquarters</v>
      </c>
      <c r="B26" s="29" t="str">
        <v>CA</v>
      </c>
      <c r="C26" s="24">
        <v>45358</v>
      </c>
      <c r="D26" s="13" t="s">
        <v>22</v>
      </c>
      <c r="E26" s="13" t="str">
        <f t="shared" ref="E26:E68" si="4">IF(AND(ISNUMBER(C26),ISNUMBER(D26)), C26-D26, "")</f>
        <v/>
      </c>
      <c r="F26" s="14" t="str">
        <f t="shared" ref="F26:F68" si="5">IFERROR(E26/D26, "")</f>
        <v/>
      </c>
      <c r="G26" s="15">
        <v>38772.300000000003</v>
      </c>
      <c r="H26" s="15">
        <f t="shared" ref="H26:H68" si="6">IF(AND(ISNUMBER(C26),ISNUMBER(G26)), C26-G26, "")</f>
        <v>6585.6999999999971</v>
      </c>
      <c r="I26" s="16">
        <f t="shared" si="2"/>
        <v>0.16985579911431606</v>
      </c>
      <c r="J26" s="41" t="s">
        <v>259</v>
      </c>
      <c r="K26" s="104" t="s">
        <v>260</v>
      </c>
      <c r="L26" s="117"/>
      <c r="M26" s="117"/>
      <c r="N26" s="117"/>
      <c r="O26" s="117"/>
      <c r="P26" s="117"/>
      <c r="Q26" s="117"/>
      <c r="R26" s="117"/>
      <c r="S26" s="117"/>
    </row>
    <row r="27" spans="1:19" ht="43.15">
      <c r="A27" s="30" t="str">
        <v>CSU - Bakersfield</v>
      </c>
      <c r="B27" s="31" t="str">
        <v>CA</v>
      </c>
      <c r="C27" s="11">
        <v>147961</v>
      </c>
      <c r="D27" s="18" t="s">
        <v>22</v>
      </c>
      <c r="E27" s="18" t="str">
        <f t="shared" si="4"/>
        <v/>
      </c>
      <c r="F27" s="19" t="str">
        <f t="shared" si="5"/>
        <v/>
      </c>
      <c r="G27" s="20">
        <v>146508.14000000001</v>
      </c>
      <c r="H27" s="20">
        <f t="shared" si="6"/>
        <v>1452.859999999986</v>
      </c>
      <c r="I27" s="19">
        <f t="shared" si="2"/>
        <v>9.9165821093625643E-3</v>
      </c>
      <c r="J27" s="42" t="s">
        <v>261</v>
      </c>
      <c r="K27" s="106" t="s">
        <v>262</v>
      </c>
      <c r="L27" s="117"/>
      <c r="M27" s="117"/>
      <c r="N27" s="117"/>
      <c r="O27" s="117"/>
      <c r="P27" s="117"/>
      <c r="Q27" s="117"/>
      <c r="R27" s="117"/>
      <c r="S27" s="117"/>
    </row>
    <row r="28" spans="1:19" ht="15.6">
      <c r="A28" s="28" t="str">
        <v>Greenfield USD - Fairfield ES</v>
      </c>
      <c r="B28" s="29" t="str">
        <v>CA</v>
      </c>
      <c r="C28" s="24">
        <v>13164</v>
      </c>
      <c r="D28" s="13" t="s">
        <v>22</v>
      </c>
      <c r="E28" s="13" t="str">
        <f t="shared" si="4"/>
        <v/>
      </c>
      <c r="F28" s="14" t="str">
        <f t="shared" si="5"/>
        <v/>
      </c>
      <c r="G28" s="15">
        <v>14550.3</v>
      </c>
      <c r="H28" s="15">
        <f t="shared" si="6"/>
        <v>-1386.2999999999993</v>
      </c>
      <c r="I28" s="16">
        <f t="shared" si="2"/>
        <v>-9.5276386053895754E-2</v>
      </c>
      <c r="J28" s="41"/>
      <c r="K28" s="41"/>
      <c r="L28" s="117"/>
      <c r="M28" s="117"/>
      <c r="N28" s="117"/>
      <c r="O28" s="117"/>
      <c r="P28" s="117"/>
      <c r="Q28" s="117"/>
      <c r="R28" s="117"/>
      <c r="S28" s="117"/>
    </row>
    <row r="29" spans="1:19" ht="43.15">
      <c r="A29" s="30" t="str">
        <v>Greenfield USD - Granite Point ES</v>
      </c>
      <c r="B29" s="31" t="str">
        <v>CA</v>
      </c>
      <c r="C29" s="11">
        <v>23994</v>
      </c>
      <c r="D29" s="18" t="s">
        <v>22</v>
      </c>
      <c r="E29" s="18" t="str">
        <f t="shared" si="4"/>
        <v/>
      </c>
      <c r="F29" s="19" t="str">
        <f t="shared" si="5"/>
        <v/>
      </c>
      <c r="G29" s="20">
        <v>38398.82</v>
      </c>
      <c r="H29" s="20">
        <f t="shared" si="6"/>
        <v>-14404.82</v>
      </c>
      <c r="I29" s="19">
        <f t="shared" si="2"/>
        <v>-0.37513704848221896</v>
      </c>
      <c r="J29" s="42" t="s">
        <v>263</v>
      </c>
      <c r="K29" s="106" t="s">
        <v>264</v>
      </c>
      <c r="L29" s="117"/>
      <c r="M29" s="117"/>
      <c r="N29" s="117"/>
      <c r="O29" s="117"/>
      <c r="P29" s="117"/>
      <c r="Q29" s="117"/>
      <c r="R29" s="117"/>
      <c r="S29" s="117"/>
    </row>
    <row r="30" spans="1:19" ht="43.15">
      <c r="A30" s="28" t="str">
        <v>Greenfield USD - Greenfield MS</v>
      </c>
      <c r="B30" s="29" t="str">
        <v>CA</v>
      </c>
      <c r="C30" s="24">
        <v>23428</v>
      </c>
      <c r="D30" s="13" t="s">
        <v>22</v>
      </c>
      <c r="E30" s="13" t="str">
        <f t="shared" si="4"/>
        <v/>
      </c>
      <c r="F30" s="14" t="str">
        <f t="shared" si="5"/>
        <v/>
      </c>
      <c r="G30" s="15">
        <v>26177.669000000002</v>
      </c>
      <c r="H30" s="15">
        <f t="shared" si="6"/>
        <v>-2749.6690000000017</v>
      </c>
      <c r="I30" s="16">
        <f t="shared" si="2"/>
        <v>-0.10503872594614905</v>
      </c>
      <c r="J30" s="41" t="s">
        <v>265</v>
      </c>
      <c r="K30" s="104" t="s">
        <v>266</v>
      </c>
      <c r="L30" s="118" t="s">
        <v>267</v>
      </c>
      <c r="M30" s="118" t="s">
        <v>268</v>
      </c>
      <c r="N30" s="117"/>
      <c r="O30" s="117"/>
      <c r="P30" s="117"/>
      <c r="Q30" s="117"/>
      <c r="R30" s="117"/>
      <c r="S30" s="117"/>
    </row>
    <row r="31" spans="1:19" ht="100.9">
      <c r="A31" s="30" t="str">
        <v>Greenfield USD - Horizon ES</v>
      </c>
      <c r="B31" s="31" t="str">
        <v>CA</v>
      </c>
      <c r="C31" s="11">
        <v>35846</v>
      </c>
      <c r="D31" s="18" t="s">
        <v>22</v>
      </c>
      <c r="E31" s="18" t="str">
        <f t="shared" si="4"/>
        <v/>
      </c>
      <c r="F31" s="19" t="str">
        <f t="shared" si="5"/>
        <v/>
      </c>
      <c r="G31" s="20">
        <v>39744.47</v>
      </c>
      <c r="H31" s="20">
        <f t="shared" si="6"/>
        <v>-3898.4700000000012</v>
      </c>
      <c r="I31" s="19">
        <f t="shared" si="2"/>
        <v>-9.8088362984837918E-2</v>
      </c>
      <c r="J31" s="42" t="s">
        <v>269</v>
      </c>
      <c r="K31" s="106" t="s">
        <v>270</v>
      </c>
      <c r="L31" s="118" t="s">
        <v>271</v>
      </c>
      <c r="M31" s="117"/>
      <c r="N31" s="117"/>
      <c r="O31" s="117"/>
      <c r="P31" s="117"/>
      <c r="Q31" s="117"/>
      <c r="R31" s="117"/>
      <c r="S31" s="117"/>
    </row>
    <row r="32" spans="1:19" ht="15.6">
      <c r="A32" s="28" t="str">
        <v>Greenfield USD - McKee MS</v>
      </c>
      <c r="B32" s="29" t="str">
        <v>CA</v>
      </c>
      <c r="C32" s="24">
        <v>17465</v>
      </c>
      <c r="D32" s="13" t="s">
        <v>22</v>
      </c>
      <c r="E32" s="13" t="str">
        <f t="shared" si="4"/>
        <v/>
      </c>
      <c r="F32" s="14" t="str">
        <f t="shared" si="5"/>
        <v/>
      </c>
      <c r="G32" s="15">
        <v>24293.39</v>
      </c>
      <c r="H32" s="15">
        <f t="shared" si="6"/>
        <v>-6828.3899999999994</v>
      </c>
      <c r="I32" s="16">
        <f t="shared" si="2"/>
        <v>-0.28108016213463827</v>
      </c>
      <c r="J32" s="41" t="s">
        <v>272</v>
      </c>
      <c r="K32" s="41"/>
      <c r="L32" s="117"/>
      <c r="M32" s="117"/>
      <c r="N32" s="117"/>
      <c r="O32" s="117"/>
      <c r="P32" s="117"/>
      <c r="Q32" s="117"/>
      <c r="R32" s="117"/>
      <c r="S32" s="117"/>
    </row>
    <row r="33" spans="1:19" ht="15.6">
      <c r="A33" s="30" t="str">
        <v>Greenfield USD - Plantation ES</v>
      </c>
      <c r="B33" s="31" t="str">
        <v>CA</v>
      </c>
      <c r="C33" s="11">
        <v>16304</v>
      </c>
      <c r="D33" s="18" t="s">
        <v>22</v>
      </c>
      <c r="E33" s="18" t="str">
        <f t="shared" si="4"/>
        <v/>
      </c>
      <c r="F33" s="19" t="str">
        <f t="shared" si="5"/>
        <v/>
      </c>
      <c r="G33" s="20">
        <v>17353.740000000002</v>
      </c>
      <c r="H33" s="20">
        <f t="shared" si="6"/>
        <v>-1049.7400000000016</v>
      </c>
      <c r="I33" s="19">
        <f t="shared" si="2"/>
        <v>-6.0490706902373868E-2</v>
      </c>
      <c r="J33" s="42"/>
      <c r="K33" s="43"/>
      <c r="L33" s="117"/>
      <c r="M33" s="117"/>
      <c r="N33" s="117"/>
      <c r="O33" s="117"/>
      <c r="P33" s="117"/>
      <c r="Q33" s="117"/>
      <c r="R33" s="117"/>
      <c r="S33" s="117"/>
    </row>
    <row r="34" spans="1:19" ht="57.6">
      <c r="A34" s="28" t="str">
        <v>Greenfield USD - Planz ES</v>
      </c>
      <c r="B34" s="29" t="str">
        <v>CA</v>
      </c>
      <c r="C34" s="24">
        <v>6470</v>
      </c>
      <c r="D34" s="13" t="s">
        <v>22</v>
      </c>
      <c r="E34" s="13" t="str">
        <f t="shared" si="4"/>
        <v/>
      </c>
      <c r="F34" s="14" t="str">
        <f t="shared" si="5"/>
        <v/>
      </c>
      <c r="G34" s="15">
        <v>20901.689999999999</v>
      </c>
      <c r="H34" s="15">
        <f t="shared" si="6"/>
        <v>-14431.689999999999</v>
      </c>
      <c r="I34" s="16">
        <f t="shared" si="2"/>
        <v>-0.69045565215061555</v>
      </c>
      <c r="J34" s="41" t="s">
        <v>273</v>
      </c>
      <c r="K34" s="104" t="s">
        <v>274</v>
      </c>
      <c r="L34" s="118" t="s">
        <v>275</v>
      </c>
      <c r="M34" s="117"/>
      <c r="N34" s="117"/>
      <c r="O34" s="117"/>
      <c r="P34" s="117"/>
      <c r="Q34" s="117"/>
      <c r="R34" s="117"/>
      <c r="S34" s="117"/>
    </row>
    <row r="35" spans="1:19" ht="43.15">
      <c r="A35" s="30" t="str">
        <v>Greenfield USD - Raffaello Palla ES</v>
      </c>
      <c r="B35" s="31" t="str">
        <v>CA</v>
      </c>
      <c r="C35" s="11">
        <v>24268</v>
      </c>
      <c r="D35" s="18" t="s">
        <v>22</v>
      </c>
      <c r="E35" s="18" t="str">
        <f t="shared" si="4"/>
        <v/>
      </c>
      <c r="F35" s="19" t="str">
        <f t="shared" si="5"/>
        <v/>
      </c>
      <c r="G35" s="20">
        <v>43062.63</v>
      </c>
      <c r="H35" s="20">
        <f t="shared" si="6"/>
        <v>-18794.629999999997</v>
      </c>
      <c r="I35" s="19">
        <f t="shared" si="2"/>
        <v>-0.43644872596030476</v>
      </c>
      <c r="J35" s="55" t="s">
        <v>276</v>
      </c>
      <c r="K35" s="106" t="s">
        <v>185</v>
      </c>
      <c r="L35" s="117"/>
      <c r="M35" s="117"/>
      <c r="N35" s="117"/>
      <c r="O35" s="117"/>
      <c r="P35" s="117"/>
      <c r="Q35" s="117"/>
      <c r="R35" s="117"/>
      <c r="S35" s="117"/>
    </row>
    <row r="36" spans="1:19" ht="15.6">
      <c r="A36" s="28" t="str">
        <v>Greenfield USD - Valle Verde ES</v>
      </c>
      <c r="B36" s="29" t="str">
        <v>CA</v>
      </c>
      <c r="C36" s="24">
        <v>40766</v>
      </c>
      <c r="D36" s="13" t="s">
        <v>22</v>
      </c>
      <c r="E36" s="13" t="str">
        <f t="shared" si="4"/>
        <v/>
      </c>
      <c r="F36" s="14" t="str">
        <f t="shared" si="5"/>
        <v/>
      </c>
      <c r="G36" s="15">
        <v>40204.050000000003</v>
      </c>
      <c r="H36" s="15">
        <f t="shared" si="6"/>
        <v>561.94999999999709</v>
      </c>
      <c r="I36" s="16">
        <f t="shared" si="2"/>
        <v>1.3977447545707386E-2</v>
      </c>
      <c r="J36" s="41"/>
      <c r="K36" s="41"/>
      <c r="L36" s="117"/>
      <c r="M36" s="117"/>
      <c r="N36" s="117"/>
      <c r="O36" s="117"/>
      <c r="P36" s="117"/>
      <c r="Q36" s="117"/>
      <c r="R36" s="117"/>
      <c r="S36" s="117"/>
    </row>
    <row r="37" spans="1:19" ht="28.9">
      <c r="A37" s="30" t="str">
        <v>Greenfield USD - W.A. Kendrick ES</v>
      </c>
      <c r="B37" s="31" t="str">
        <v>CA</v>
      </c>
      <c r="C37" s="11">
        <v>0</v>
      </c>
      <c r="D37" s="18" t="s">
        <v>22</v>
      </c>
      <c r="E37" s="18" t="str">
        <f t="shared" si="4"/>
        <v/>
      </c>
      <c r="F37" s="19" t="str">
        <f t="shared" si="5"/>
        <v/>
      </c>
      <c r="G37" s="20">
        <v>15487.84</v>
      </c>
      <c r="H37" s="20">
        <f t="shared" si="6"/>
        <v>-15487.84</v>
      </c>
      <c r="I37" s="19">
        <f t="shared" si="2"/>
        <v>-1</v>
      </c>
      <c r="J37" s="42" t="s">
        <v>130</v>
      </c>
      <c r="K37" s="106" t="s">
        <v>50</v>
      </c>
      <c r="L37" s="117"/>
      <c r="M37" s="117"/>
      <c r="N37" s="117"/>
      <c r="O37" s="117"/>
      <c r="P37" s="117"/>
      <c r="Q37" s="117"/>
      <c r="R37" s="117"/>
      <c r="S37" s="117"/>
    </row>
    <row r="38" spans="1:19" ht="57.6">
      <c r="A38" s="28" t="str">
        <v>Muroc Joint USD - Boron HS</v>
      </c>
      <c r="B38" s="29" t="str">
        <v>CA</v>
      </c>
      <c r="C38" s="24">
        <v>0</v>
      </c>
      <c r="D38" s="13" t="s">
        <v>22</v>
      </c>
      <c r="E38" s="13" t="str">
        <f t="shared" si="4"/>
        <v/>
      </c>
      <c r="F38" s="14" t="str">
        <f t="shared" si="5"/>
        <v/>
      </c>
      <c r="G38" s="15">
        <v>37116.29</v>
      </c>
      <c r="H38" s="15">
        <f t="shared" si="6"/>
        <v>-37116.29</v>
      </c>
      <c r="I38" s="16">
        <f t="shared" si="2"/>
        <v>-1</v>
      </c>
      <c r="J38" s="41" t="s">
        <v>51</v>
      </c>
      <c r="K38" s="104" t="s">
        <v>131</v>
      </c>
      <c r="L38" s="118" t="s">
        <v>132</v>
      </c>
      <c r="M38" s="118" t="s">
        <v>53</v>
      </c>
      <c r="N38" s="118" t="s">
        <v>54</v>
      </c>
      <c r="O38" s="117"/>
      <c r="P38" s="117"/>
      <c r="Q38" s="117"/>
      <c r="R38" s="117"/>
      <c r="S38" s="117"/>
    </row>
    <row r="39" spans="1:19" ht="15.6">
      <c r="A39" s="30" t="str">
        <v>Muroc Joint USD - W. Boron ES</v>
      </c>
      <c r="B39" s="31" t="str">
        <v>CA</v>
      </c>
      <c r="C39" s="11">
        <v>13726</v>
      </c>
      <c r="D39" s="18" t="s">
        <v>22</v>
      </c>
      <c r="E39" s="18" t="str">
        <f t="shared" si="4"/>
        <v/>
      </c>
      <c r="F39" s="19" t="str">
        <f t="shared" si="5"/>
        <v/>
      </c>
      <c r="G39" s="20">
        <v>13684.78</v>
      </c>
      <c r="H39" s="20">
        <f t="shared" si="6"/>
        <v>41.219999999999345</v>
      </c>
      <c r="I39" s="19">
        <f t="shared" si="2"/>
        <v>3.0121054193051949E-3</v>
      </c>
      <c r="J39" s="42"/>
      <c r="K39" s="43"/>
      <c r="L39" s="117"/>
      <c r="M39" s="117"/>
      <c r="N39" s="117"/>
      <c r="O39" s="117"/>
      <c r="P39" s="117"/>
      <c r="Q39" s="117"/>
      <c r="R39" s="117"/>
      <c r="S39" s="117"/>
    </row>
    <row r="40" spans="1:19" ht="115.15">
      <c r="A40" s="28" t="str">
        <v>Colusa - WTP</v>
      </c>
      <c r="B40" s="29" t="str">
        <v>CA</v>
      </c>
      <c r="C40" s="24">
        <v>0</v>
      </c>
      <c r="D40" s="13" t="s">
        <v>22</v>
      </c>
      <c r="E40" s="13" t="str">
        <f t="shared" si="4"/>
        <v/>
      </c>
      <c r="F40" s="14" t="str">
        <f t="shared" si="5"/>
        <v/>
      </c>
      <c r="G40" s="15">
        <v>54361.94</v>
      </c>
      <c r="H40" s="15">
        <f t="shared" si="6"/>
        <v>-54361.94</v>
      </c>
      <c r="I40" s="16">
        <f t="shared" si="2"/>
        <v>-1</v>
      </c>
      <c r="J40" s="41" t="s">
        <v>277</v>
      </c>
      <c r="K40" s="104" t="s">
        <v>278</v>
      </c>
      <c r="L40" s="118" t="s">
        <v>57</v>
      </c>
      <c r="M40" s="118" t="s">
        <v>58</v>
      </c>
      <c r="N40" s="118" t="s">
        <v>59</v>
      </c>
      <c r="O40" s="118" t="s">
        <v>135</v>
      </c>
      <c r="P40" s="118" t="s">
        <v>279</v>
      </c>
      <c r="Q40" s="117"/>
      <c r="R40" s="117"/>
      <c r="S40" s="117"/>
    </row>
    <row r="41" spans="1:19" ht="26.25" customHeight="1">
      <c r="A41" s="30" t="str">
        <v>CDCR-North Kern State Prision</v>
      </c>
      <c r="B41" s="31" t="str">
        <v>CA</v>
      </c>
      <c r="C41" s="11">
        <v>110856</v>
      </c>
      <c r="D41" s="18" t="s">
        <v>22</v>
      </c>
      <c r="E41" s="18" t="str">
        <f t="shared" si="4"/>
        <v/>
      </c>
      <c r="F41" s="19" t="str">
        <f t="shared" si="5"/>
        <v/>
      </c>
      <c r="G41" s="20">
        <v>209926.89</v>
      </c>
      <c r="H41" s="20">
        <f t="shared" si="6"/>
        <v>-99070.890000000014</v>
      </c>
      <c r="I41" s="19">
        <f t="shared" si="2"/>
        <v>-0.47193044206961771</v>
      </c>
      <c r="J41" s="55" t="s">
        <v>280</v>
      </c>
      <c r="K41" s="106" t="s">
        <v>281</v>
      </c>
      <c r="L41" s="117"/>
      <c r="M41" s="117"/>
      <c r="N41" s="117"/>
      <c r="O41" s="117"/>
      <c r="P41" s="117"/>
      <c r="Q41" s="117"/>
      <c r="R41" s="117"/>
      <c r="S41" s="117"/>
    </row>
    <row r="42" spans="1:19" ht="15.6">
      <c r="A42" s="28" t="str">
        <v>Muroc Joint USD - District Office</v>
      </c>
      <c r="B42" s="29" t="str">
        <v>CA</v>
      </c>
      <c r="C42" s="24">
        <v>6909</v>
      </c>
      <c r="D42" s="13" t="s">
        <v>22</v>
      </c>
      <c r="E42" s="13" t="str">
        <f t="shared" si="4"/>
        <v/>
      </c>
      <c r="F42" s="14" t="str">
        <f t="shared" si="5"/>
        <v/>
      </c>
      <c r="G42" s="15">
        <v>9656.11</v>
      </c>
      <c r="H42" s="15">
        <f t="shared" si="6"/>
        <v>-2747.1100000000006</v>
      </c>
      <c r="I42" s="16">
        <f t="shared" si="2"/>
        <v>-0.2844944806966781</v>
      </c>
      <c r="J42" s="41" t="s">
        <v>282</v>
      </c>
      <c r="K42" s="41"/>
      <c r="L42" s="117"/>
      <c r="M42" s="117"/>
      <c r="N42" s="117"/>
      <c r="O42" s="117"/>
      <c r="P42" s="117"/>
      <c r="Q42" s="117"/>
      <c r="R42" s="117"/>
      <c r="S42" s="117"/>
    </row>
    <row r="43" spans="1:19" ht="86.45">
      <c r="A43" s="30" t="str">
        <v>Whole Foods - Manhattan Beach</v>
      </c>
      <c r="B43" s="31" t="str">
        <v>CA</v>
      </c>
      <c r="C43" s="11">
        <v>17007</v>
      </c>
      <c r="D43" s="18" t="s">
        <v>22</v>
      </c>
      <c r="E43" s="18" t="str">
        <f t="shared" si="4"/>
        <v/>
      </c>
      <c r="F43" s="19" t="str">
        <f t="shared" si="5"/>
        <v/>
      </c>
      <c r="G43" s="20">
        <v>21784.09</v>
      </c>
      <c r="H43" s="20">
        <f t="shared" si="6"/>
        <v>-4777.09</v>
      </c>
      <c r="I43" s="19">
        <f t="shared" si="2"/>
        <v>-0.21929261217705215</v>
      </c>
      <c r="J43" s="42" t="s">
        <v>283</v>
      </c>
      <c r="K43" s="106" t="s">
        <v>284</v>
      </c>
      <c r="L43" s="118" t="s">
        <v>285</v>
      </c>
      <c r="M43" s="118" t="s">
        <v>142</v>
      </c>
      <c r="N43" s="117"/>
      <c r="O43" s="117"/>
      <c r="P43" s="117"/>
      <c r="Q43" s="117"/>
      <c r="R43" s="117"/>
      <c r="S43" s="117"/>
    </row>
    <row r="44" spans="1:19" ht="28.9">
      <c r="A44" s="28" t="str">
        <v>Pioneer USD - Frontier ES</v>
      </c>
      <c r="B44" s="29" t="str">
        <v>CA</v>
      </c>
      <c r="C44" s="24">
        <v>30397</v>
      </c>
      <c r="D44" s="13" t="s">
        <v>22</v>
      </c>
      <c r="E44" s="13" t="str">
        <f t="shared" si="4"/>
        <v/>
      </c>
      <c r="F44" s="14" t="str">
        <f t="shared" si="5"/>
        <v/>
      </c>
      <c r="G44" s="15">
        <v>35194.19</v>
      </c>
      <c r="H44" s="15">
        <f t="shared" si="6"/>
        <v>-4797.1900000000023</v>
      </c>
      <c r="I44" s="16">
        <f t="shared" si="2"/>
        <v>-0.13630630510320033</v>
      </c>
      <c r="J44" s="41" t="s">
        <v>143</v>
      </c>
      <c r="K44" s="104" t="s">
        <v>66</v>
      </c>
      <c r="L44" s="117"/>
      <c r="M44" s="117"/>
      <c r="N44" s="117"/>
      <c r="O44" s="117"/>
      <c r="P44" s="117"/>
      <c r="Q44" s="117"/>
      <c r="R44" s="117"/>
      <c r="S44" s="117"/>
    </row>
    <row r="45" spans="1:19" ht="86.45">
      <c r="A45" s="30" t="str">
        <v>Pioneer USD - Pioneer ES</v>
      </c>
      <c r="B45" s="31" t="str">
        <v>CA</v>
      </c>
      <c r="C45" s="11">
        <v>19143</v>
      </c>
      <c r="D45" s="18" t="s">
        <v>22</v>
      </c>
      <c r="E45" s="18" t="str">
        <f t="shared" si="4"/>
        <v/>
      </c>
      <c r="F45" s="19" t="str">
        <f t="shared" si="5"/>
        <v/>
      </c>
      <c r="G45" s="20">
        <v>35767.49</v>
      </c>
      <c r="H45" s="20">
        <f t="shared" si="6"/>
        <v>-16624.489999999998</v>
      </c>
      <c r="I45" s="19">
        <f t="shared" si="2"/>
        <v>-0.46479330811303782</v>
      </c>
      <c r="J45" s="42" t="s">
        <v>195</v>
      </c>
      <c r="K45" s="108" t="s">
        <v>286</v>
      </c>
      <c r="L45" s="118" t="s">
        <v>69</v>
      </c>
      <c r="M45" s="118" t="s">
        <v>70</v>
      </c>
      <c r="N45" s="118" t="s">
        <v>71</v>
      </c>
      <c r="O45" s="117"/>
      <c r="P45" s="117"/>
      <c r="Q45" s="117"/>
      <c r="R45" s="117"/>
      <c r="S45" s="117"/>
    </row>
    <row r="46" spans="1:19" ht="43.15">
      <c r="A46" s="28" t="str">
        <v>Pioneer USD - Pioneer MS</v>
      </c>
      <c r="B46" s="29" t="str">
        <v>CA</v>
      </c>
      <c r="C46" s="24">
        <v>42437</v>
      </c>
      <c r="D46" s="13" t="s">
        <v>22</v>
      </c>
      <c r="E46" s="13" t="str">
        <f t="shared" si="4"/>
        <v/>
      </c>
      <c r="F46" s="14" t="str">
        <f t="shared" si="5"/>
        <v/>
      </c>
      <c r="G46" s="15">
        <v>47914.68</v>
      </c>
      <c r="H46" s="15">
        <f t="shared" si="6"/>
        <v>-5477.68</v>
      </c>
      <c r="I46" s="16">
        <f t="shared" si="2"/>
        <v>-0.11432153987045307</v>
      </c>
      <c r="J46" s="41" t="s">
        <v>72</v>
      </c>
      <c r="K46" s="104" t="s">
        <v>287</v>
      </c>
      <c r="L46" s="118" t="s">
        <v>74</v>
      </c>
      <c r="M46" s="117"/>
      <c r="N46" s="117"/>
      <c r="O46" s="117"/>
      <c r="P46" s="117"/>
      <c r="Q46" s="117"/>
      <c r="R46" s="117"/>
      <c r="S46" s="117"/>
    </row>
    <row r="47" spans="1:19" ht="184.5" customHeight="1">
      <c r="A47" s="30" t="str">
        <v>Kingsburg Joint UHSD - Kingsburg HS</v>
      </c>
      <c r="B47" s="31" t="str">
        <v>CA</v>
      </c>
      <c r="C47" s="11">
        <v>39526</v>
      </c>
      <c r="D47" s="18" t="s">
        <v>22</v>
      </c>
      <c r="E47" s="18" t="str">
        <f t="shared" si="4"/>
        <v/>
      </c>
      <c r="F47" s="19" t="str">
        <f t="shared" si="5"/>
        <v/>
      </c>
      <c r="G47" s="20">
        <v>90441.64</v>
      </c>
      <c r="H47" s="20">
        <f t="shared" si="6"/>
        <v>-50915.64</v>
      </c>
      <c r="I47" s="19">
        <f t="shared" si="2"/>
        <v>-0.56296679272954364</v>
      </c>
      <c r="J47" s="54" t="s">
        <v>288</v>
      </c>
      <c r="K47" s="106" t="s">
        <v>289</v>
      </c>
      <c r="L47" s="118" t="s">
        <v>77</v>
      </c>
      <c r="M47" s="118" t="s">
        <v>148</v>
      </c>
      <c r="N47" s="118" t="s">
        <v>149</v>
      </c>
      <c r="O47" s="118" t="s">
        <v>78</v>
      </c>
      <c r="P47" s="118" t="s">
        <v>148</v>
      </c>
      <c r="Q47" s="118" t="s">
        <v>290</v>
      </c>
      <c r="R47" s="117"/>
      <c r="S47" s="117"/>
    </row>
    <row r="48" spans="1:19" ht="86.45">
      <c r="A48" s="28" t="str">
        <v>CADRB</v>
      </c>
      <c r="B48" s="29" t="str">
        <v>CA</v>
      </c>
      <c r="C48" s="24">
        <v>0</v>
      </c>
      <c r="D48" s="13" t="s">
        <v>22</v>
      </c>
      <c r="E48" s="13" t="str">
        <f t="shared" si="4"/>
        <v/>
      </c>
      <c r="F48" s="14" t="str">
        <f t="shared" si="5"/>
        <v/>
      </c>
      <c r="G48" s="15">
        <v>791823</v>
      </c>
      <c r="H48" s="15">
        <f t="shared" si="6"/>
        <v>-791823</v>
      </c>
      <c r="I48" s="16">
        <f t="shared" si="2"/>
        <v>-1</v>
      </c>
      <c r="J48" s="41" t="s">
        <v>291</v>
      </c>
      <c r="K48" s="104" t="s">
        <v>292</v>
      </c>
      <c r="L48" s="118" t="s">
        <v>151</v>
      </c>
      <c r="M48" s="118" t="s">
        <v>293</v>
      </c>
      <c r="N48" s="118" t="s">
        <v>81</v>
      </c>
      <c r="O48" s="118" t="s">
        <v>293</v>
      </c>
      <c r="P48" s="118" t="s">
        <v>82</v>
      </c>
      <c r="Q48" s="117"/>
      <c r="R48" s="117"/>
      <c r="S48" s="117"/>
    </row>
    <row r="49" spans="1:19" ht="45.75" customHeight="1">
      <c r="A49" s="30" t="str">
        <v>CDCR-CA State Prison LA County</v>
      </c>
      <c r="B49" s="31" t="str">
        <v>CA</v>
      </c>
      <c r="C49" s="11">
        <v>301699</v>
      </c>
      <c r="D49" s="18" t="s">
        <v>22</v>
      </c>
      <c r="E49" s="18" t="str">
        <f t="shared" si="4"/>
        <v/>
      </c>
      <c r="F49" s="19" t="str">
        <f t="shared" si="5"/>
        <v/>
      </c>
      <c r="G49" s="20">
        <v>501677.37</v>
      </c>
      <c r="H49" s="20">
        <f t="shared" si="6"/>
        <v>-199978.37</v>
      </c>
      <c r="I49" s="19">
        <f t="shared" si="2"/>
        <v>-0.39861947530142727</v>
      </c>
      <c r="J49" s="42" t="s">
        <v>198</v>
      </c>
      <c r="K49" s="103" t="s">
        <v>199</v>
      </c>
      <c r="L49" s="117"/>
      <c r="M49" s="117"/>
      <c r="N49" s="117"/>
      <c r="O49" s="117"/>
      <c r="P49" s="117"/>
      <c r="Q49" s="117"/>
      <c r="R49" s="117"/>
      <c r="S49" s="117"/>
    </row>
    <row r="50" spans="1:19" ht="86.25" customHeight="1">
      <c r="A50" s="28" t="str">
        <v>Central USD Akers ES</v>
      </c>
      <c r="B50" s="29" t="str">
        <v>CA</v>
      </c>
      <c r="C50" s="24">
        <v>37590</v>
      </c>
      <c r="D50" s="13" t="s">
        <v>22</v>
      </c>
      <c r="E50" s="13" t="str">
        <f t="shared" si="4"/>
        <v/>
      </c>
      <c r="F50" s="14" t="str">
        <f t="shared" si="5"/>
        <v/>
      </c>
      <c r="G50" s="15">
        <v>38046.050000000003</v>
      </c>
      <c r="H50" s="15">
        <f t="shared" si="6"/>
        <v>-456.05000000000291</v>
      </c>
      <c r="I50" s="16">
        <f t="shared" si="2"/>
        <v>-1.1986789693016827E-2</v>
      </c>
      <c r="J50" s="41" t="s">
        <v>294</v>
      </c>
      <c r="K50" s="104" t="s">
        <v>201</v>
      </c>
      <c r="L50" s="118" t="s">
        <v>202</v>
      </c>
      <c r="M50" s="117"/>
      <c r="N50" s="117"/>
      <c r="O50" s="117"/>
      <c r="P50" s="117"/>
      <c r="Q50" s="117"/>
      <c r="R50" s="117"/>
      <c r="S50" s="117"/>
    </row>
    <row r="51" spans="1:19" ht="69.75" customHeight="1">
      <c r="A51" s="30" t="str">
        <v>CUSD - District Office</v>
      </c>
      <c r="B51" s="31" t="str">
        <v>CA</v>
      </c>
      <c r="C51" s="11">
        <v>20936</v>
      </c>
      <c r="D51" s="18" t="s">
        <v>22</v>
      </c>
      <c r="E51" s="18" t="str">
        <f t="shared" si="4"/>
        <v/>
      </c>
      <c r="F51" s="19" t="str">
        <f t="shared" si="5"/>
        <v/>
      </c>
      <c r="G51" s="20">
        <v>31419.67</v>
      </c>
      <c r="H51" s="20">
        <f t="shared" si="6"/>
        <v>-10483.669999999998</v>
      </c>
      <c r="I51" s="19">
        <f t="shared" si="2"/>
        <v>-0.33366582144242757</v>
      </c>
      <c r="J51" s="42" t="s">
        <v>295</v>
      </c>
      <c r="K51" s="106" t="s">
        <v>296</v>
      </c>
      <c r="L51" s="118" t="s">
        <v>297</v>
      </c>
      <c r="M51" s="118" t="s">
        <v>207</v>
      </c>
      <c r="N51" s="117"/>
      <c r="O51" s="117"/>
      <c r="P51" s="117"/>
      <c r="Q51" s="117"/>
      <c r="R51" s="117"/>
      <c r="S51" s="117"/>
    </row>
    <row r="52" spans="1:19" ht="111" customHeight="1">
      <c r="A52" s="28" t="str">
        <v>Parlier - WTP</v>
      </c>
      <c r="B52" s="29" t="str">
        <v>CA</v>
      </c>
      <c r="C52" s="24">
        <v>54539</v>
      </c>
      <c r="D52" s="13" t="s">
        <v>22</v>
      </c>
      <c r="E52" s="13" t="str">
        <f t="shared" si="4"/>
        <v/>
      </c>
      <c r="F52" s="14" t="str">
        <f t="shared" si="5"/>
        <v/>
      </c>
      <c r="G52" s="15">
        <v>91735.31</v>
      </c>
      <c r="H52" s="15">
        <f t="shared" si="6"/>
        <v>-37196.31</v>
      </c>
      <c r="I52" s="16">
        <f t="shared" si="2"/>
        <v>-0.40547429337732654</v>
      </c>
      <c r="J52" s="41" t="s">
        <v>298</v>
      </c>
      <c r="K52" s="104" t="s">
        <v>299</v>
      </c>
      <c r="L52" s="118" t="s">
        <v>300</v>
      </c>
      <c r="M52" s="117"/>
      <c r="N52" s="117"/>
      <c r="O52" s="117"/>
      <c r="P52" s="117"/>
      <c r="Q52" s="117"/>
      <c r="R52" s="117"/>
      <c r="S52" s="117"/>
    </row>
    <row r="53" spans="1:19" ht="72">
      <c r="A53" s="30" t="str">
        <v>Snowline SD - Quail Valley MS</v>
      </c>
      <c r="B53" s="31" t="str">
        <v>CA</v>
      </c>
      <c r="C53" s="11">
        <v>39517</v>
      </c>
      <c r="D53" s="18" t="s">
        <v>22</v>
      </c>
      <c r="E53" s="18" t="str">
        <f t="shared" si="4"/>
        <v/>
      </c>
      <c r="F53" s="19" t="str">
        <f t="shared" si="5"/>
        <v/>
      </c>
      <c r="G53" s="20">
        <v>43263.19</v>
      </c>
      <c r="H53" s="20">
        <f t="shared" si="6"/>
        <v>-3746.1900000000023</v>
      </c>
      <c r="I53" s="19">
        <f t="shared" si="2"/>
        <v>-8.6590702165050756E-2</v>
      </c>
      <c r="J53" s="42" t="s">
        <v>301</v>
      </c>
      <c r="K53" s="106" t="s">
        <v>302</v>
      </c>
      <c r="L53" s="118" t="s">
        <v>303</v>
      </c>
      <c r="M53" s="117"/>
      <c r="N53" s="117"/>
      <c r="O53" s="117"/>
      <c r="P53" s="117"/>
      <c r="Q53" s="117"/>
      <c r="R53" s="117"/>
      <c r="S53" s="117"/>
    </row>
    <row r="54" spans="1:19" ht="15.6">
      <c r="A54" s="28" t="str">
        <v>Snowline SD - Serrano HS - Middle Lot</v>
      </c>
      <c r="B54" s="29" t="str">
        <v>CA</v>
      </c>
      <c r="C54" s="24">
        <v>34848</v>
      </c>
      <c r="D54" s="13" t="s">
        <v>22</v>
      </c>
      <c r="E54" s="13" t="str">
        <f t="shared" si="4"/>
        <v/>
      </c>
      <c r="F54" s="14" t="str">
        <f t="shared" si="5"/>
        <v/>
      </c>
      <c r="G54" s="15">
        <v>55029.14</v>
      </c>
      <c r="H54" s="15">
        <f t="shared" si="6"/>
        <v>-20181.14</v>
      </c>
      <c r="I54" s="16">
        <f t="shared" si="2"/>
        <v>-0.36673551503803259</v>
      </c>
      <c r="J54" s="41" t="s">
        <v>304</v>
      </c>
      <c r="K54" s="41"/>
      <c r="L54" s="117"/>
      <c r="M54" s="117"/>
      <c r="N54" s="117"/>
      <c r="O54" s="117"/>
      <c r="P54" s="117"/>
      <c r="Q54" s="117"/>
      <c r="R54" s="117"/>
      <c r="S54" s="117"/>
    </row>
    <row r="55" spans="1:19" ht="24.75" customHeight="1">
      <c r="A55" s="30" t="str">
        <v>Snowline SD - Pinon Hills ES</v>
      </c>
      <c r="B55" s="31" t="str">
        <v>CA</v>
      </c>
      <c r="C55" s="11">
        <v>12845</v>
      </c>
      <c r="D55" s="18" t="s">
        <v>22</v>
      </c>
      <c r="E55" s="18" t="str">
        <f t="shared" si="4"/>
        <v/>
      </c>
      <c r="F55" s="19" t="str">
        <f t="shared" si="5"/>
        <v/>
      </c>
      <c r="G55" s="20">
        <v>25215.87</v>
      </c>
      <c r="H55" s="20">
        <f t="shared" si="6"/>
        <v>-12370.869999999999</v>
      </c>
      <c r="I55" s="19">
        <f t="shared" si="2"/>
        <v>-0.49059857938671159</v>
      </c>
      <c r="J55" s="55" t="s">
        <v>212</v>
      </c>
      <c r="K55" s="108" t="s">
        <v>305</v>
      </c>
      <c r="L55" s="117"/>
      <c r="M55" s="117"/>
      <c r="N55" s="117"/>
      <c r="O55" s="117"/>
      <c r="P55" s="117"/>
      <c r="Q55" s="117"/>
      <c r="R55" s="117"/>
      <c r="S55" s="117"/>
    </row>
    <row r="56" spans="1:19" ht="15.6">
      <c r="A56" s="28" t="str">
        <v>Ramona - Santa Maria WTP</v>
      </c>
      <c r="B56" s="29" t="str">
        <v>CA</v>
      </c>
      <c r="C56" s="24">
        <v>67314</v>
      </c>
      <c r="D56" s="13" t="s">
        <v>22</v>
      </c>
      <c r="E56" s="13" t="str">
        <f t="shared" si="4"/>
        <v/>
      </c>
      <c r="F56" s="14" t="str">
        <f t="shared" si="5"/>
        <v/>
      </c>
      <c r="G56" s="15">
        <v>83468.89</v>
      </c>
      <c r="H56" s="15">
        <f t="shared" si="6"/>
        <v>-16154.89</v>
      </c>
      <c r="I56" s="16">
        <f t="shared" si="2"/>
        <v>-0.19354384609643185</v>
      </c>
      <c r="J56" s="41" t="s">
        <v>304</v>
      </c>
      <c r="K56" s="41"/>
      <c r="L56" s="117"/>
      <c r="M56" s="117"/>
      <c r="N56" s="117"/>
      <c r="O56" s="117"/>
      <c r="P56" s="117"/>
      <c r="Q56" s="117"/>
      <c r="R56" s="117"/>
      <c r="S56" s="117"/>
    </row>
    <row r="57" spans="1:19" ht="56.25" customHeight="1">
      <c r="A57" s="30" t="str">
        <v>Kohls - Redding</v>
      </c>
      <c r="B57" s="31" t="str">
        <v>CA</v>
      </c>
      <c r="C57" s="11">
        <v>0</v>
      </c>
      <c r="D57" s="18" t="s">
        <v>22</v>
      </c>
      <c r="E57" s="18" t="str">
        <f t="shared" si="4"/>
        <v/>
      </c>
      <c r="F57" s="19" t="str">
        <f t="shared" si="5"/>
        <v/>
      </c>
      <c r="G57" s="20">
        <v>31544.14</v>
      </c>
      <c r="H57" s="20">
        <f t="shared" si="6"/>
        <v>-31544.14</v>
      </c>
      <c r="I57" s="19">
        <f t="shared" si="2"/>
        <v>-1</v>
      </c>
      <c r="J57" s="55" t="s">
        <v>306</v>
      </c>
      <c r="K57" s="106" t="s">
        <v>216</v>
      </c>
      <c r="L57" s="118" t="s">
        <v>95</v>
      </c>
      <c r="M57" s="118" t="s">
        <v>217</v>
      </c>
      <c r="N57" s="117"/>
      <c r="O57" s="117"/>
      <c r="P57" s="117"/>
      <c r="Q57" s="117"/>
      <c r="R57" s="117"/>
      <c r="S57" s="117"/>
    </row>
    <row r="58" spans="1:19" ht="123" customHeight="1">
      <c r="A58" s="28" t="str">
        <v>Kohls - Salinas</v>
      </c>
      <c r="B58" s="29" t="str">
        <v>CA</v>
      </c>
      <c r="C58" s="24">
        <v>34146</v>
      </c>
      <c r="D58" s="13" t="s">
        <v>22</v>
      </c>
      <c r="E58" s="13" t="str">
        <f t="shared" si="4"/>
        <v/>
      </c>
      <c r="F58" s="14" t="str">
        <f t="shared" si="5"/>
        <v/>
      </c>
      <c r="G58" s="15">
        <v>49956.33</v>
      </c>
      <c r="H58" s="15">
        <f t="shared" si="6"/>
        <v>-15810.330000000002</v>
      </c>
      <c r="I58" s="16">
        <f t="shared" si="2"/>
        <v>-0.31648301626640712</v>
      </c>
      <c r="J58" s="41" t="s">
        <v>307</v>
      </c>
      <c r="K58" s="104" t="s">
        <v>308</v>
      </c>
      <c r="L58" s="118" t="s">
        <v>219</v>
      </c>
      <c r="M58" s="118" t="s">
        <v>157</v>
      </c>
      <c r="N58" s="118" t="s">
        <v>100</v>
      </c>
      <c r="O58" s="118" t="s">
        <v>98</v>
      </c>
      <c r="P58" s="118" t="s">
        <v>309</v>
      </c>
      <c r="Q58" s="117"/>
      <c r="R58" s="117"/>
      <c r="S58" s="117"/>
    </row>
    <row r="59" spans="1:19" ht="201.6">
      <c r="A59" s="30" t="str">
        <v>Kohls - San Bernardino - Central</v>
      </c>
      <c r="B59" s="31" t="str">
        <v>CA</v>
      </c>
      <c r="C59" s="11">
        <v>1201</v>
      </c>
      <c r="D59" s="18" t="s">
        <v>22</v>
      </c>
      <c r="E59" s="18" t="str">
        <f t="shared" si="4"/>
        <v/>
      </c>
      <c r="F59" s="19" t="str">
        <f t="shared" si="5"/>
        <v/>
      </c>
      <c r="G59" s="20">
        <v>137860.17000000001</v>
      </c>
      <c r="H59" s="20">
        <f t="shared" si="6"/>
        <v>-136659.17000000001</v>
      </c>
      <c r="I59" s="19">
        <f t="shared" si="2"/>
        <v>-0.99128827419841425</v>
      </c>
      <c r="J59" s="42" t="s">
        <v>310</v>
      </c>
      <c r="K59" s="106" t="s">
        <v>311</v>
      </c>
      <c r="L59" s="118" t="s">
        <v>312</v>
      </c>
      <c r="M59" s="117"/>
      <c r="N59" s="117"/>
      <c r="O59" s="117"/>
      <c r="P59" s="117"/>
      <c r="Q59" s="117"/>
      <c r="R59" s="117"/>
      <c r="S59" s="117"/>
    </row>
    <row r="60" spans="1:19" ht="118.5" customHeight="1">
      <c r="A60" s="28" t="str">
        <v>Kohls - Sonora</v>
      </c>
      <c r="B60" s="29" t="str">
        <v>CA</v>
      </c>
      <c r="C60" s="24">
        <v>28132</v>
      </c>
      <c r="D60" s="13" t="s">
        <v>22</v>
      </c>
      <c r="E60" s="13" t="str">
        <f t="shared" si="4"/>
        <v/>
      </c>
      <c r="F60" s="14" t="str">
        <f t="shared" si="5"/>
        <v/>
      </c>
      <c r="G60" s="15">
        <v>33281.85</v>
      </c>
      <c r="H60" s="15">
        <f t="shared" si="6"/>
        <v>-5149.8499999999985</v>
      </c>
      <c r="I60" s="16">
        <f t="shared" si="2"/>
        <v>-0.15473448741581369</v>
      </c>
      <c r="J60" s="41" t="s">
        <v>158</v>
      </c>
      <c r="K60" s="107" t="s">
        <v>222</v>
      </c>
      <c r="L60" s="118" t="s">
        <v>160</v>
      </c>
      <c r="M60" s="118" t="s">
        <v>103</v>
      </c>
      <c r="N60" s="118" t="s">
        <v>160</v>
      </c>
      <c r="O60" s="118" t="s">
        <v>103</v>
      </c>
      <c r="P60" s="118" t="s">
        <v>160</v>
      </c>
      <c r="Q60" s="117"/>
      <c r="R60" s="117"/>
      <c r="S60" s="117"/>
    </row>
    <row r="61" spans="1:19" ht="15.6">
      <c r="A61" s="30" t="str">
        <v>CUSD - Stratford ES</v>
      </c>
      <c r="B61" s="31" t="str">
        <v>CA</v>
      </c>
      <c r="C61" s="11">
        <v>24848</v>
      </c>
      <c r="D61" s="18" t="s">
        <v>22</v>
      </c>
      <c r="E61" s="18" t="str">
        <f t="shared" si="4"/>
        <v/>
      </c>
      <c r="F61" s="19" t="str">
        <f t="shared" si="5"/>
        <v/>
      </c>
      <c r="G61" s="20">
        <v>23724.43</v>
      </c>
      <c r="H61" s="20">
        <f t="shared" si="6"/>
        <v>1123.5699999999997</v>
      </c>
      <c r="I61" s="19">
        <f t="shared" si="2"/>
        <v>4.7359198935443325E-2</v>
      </c>
      <c r="J61" s="42"/>
      <c r="K61" s="43"/>
      <c r="L61" s="117"/>
      <c r="M61" s="117"/>
      <c r="N61" s="117"/>
      <c r="O61" s="117"/>
      <c r="P61" s="117"/>
      <c r="Q61" s="117"/>
      <c r="R61" s="117"/>
      <c r="S61" s="117"/>
    </row>
    <row r="62" spans="1:19" ht="15.6">
      <c r="A62" s="28" t="str">
        <v>Taft - City Hall</v>
      </c>
      <c r="B62" s="29" t="str">
        <v>CA</v>
      </c>
      <c r="C62" s="24">
        <v>876</v>
      </c>
      <c r="D62" s="13" t="s">
        <v>22</v>
      </c>
      <c r="E62" s="13" t="str">
        <f t="shared" si="4"/>
        <v/>
      </c>
      <c r="F62" s="14" t="str">
        <f t="shared" si="5"/>
        <v/>
      </c>
      <c r="G62" s="15">
        <v>9524.2900000000009</v>
      </c>
      <c r="H62" s="15">
        <f t="shared" si="6"/>
        <v>-8648.2900000000009</v>
      </c>
      <c r="I62" s="16">
        <f t="shared" si="2"/>
        <v>-0.90802464015690409</v>
      </c>
      <c r="J62" s="41" t="s">
        <v>313</v>
      </c>
      <c r="K62" s="41" t="s">
        <v>314</v>
      </c>
      <c r="L62" s="117"/>
      <c r="M62" s="117"/>
      <c r="N62" s="117"/>
      <c r="O62" s="117"/>
      <c r="P62" s="117"/>
      <c r="Q62" s="117"/>
      <c r="R62" s="117"/>
      <c r="S62" s="117"/>
    </row>
    <row r="63" spans="1:19" ht="15.6">
      <c r="A63" s="30" t="str">
        <v>Taft - Federal Prison</v>
      </c>
      <c r="B63" s="31" t="str">
        <v>CA</v>
      </c>
      <c r="C63" s="11">
        <v>16199</v>
      </c>
      <c r="D63" s="18" t="s">
        <v>22</v>
      </c>
      <c r="E63" s="18" t="str">
        <f t="shared" si="4"/>
        <v/>
      </c>
      <c r="F63" s="19" t="str">
        <f t="shared" si="5"/>
        <v/>
      </c>
      <c r="G63" s="20">
        <v>15175.89</v>
      </c>
      <c r="H63" s="20">
        <f t="shared" si="6"/>
        <v>1023.1100000000006</v>
      </c>
      <c r="I63" s="19">
        <f t="shared" si="2"/>
        <v>6.741680389090858E-2</v>
      </c>
      <c r="J63" s="42"/>
      <c r="K63" s="43"/>
      <c r="L63" s="117"/>
      <c r="M63" s="117"/>
      <c r="N63" s="117"/>
      <c r="O63" s="117"/>
      <c r="P63" s="117"/>
      <c r="Q63" s="117"/>
      <c r="R63" s="117"/>
      <c r="S63" s="117"/>
    </row>
    <row r="64" spans="1:19" ht="15.6">
      <c r="A64" s="28" t="str">
        <v>Taft - Police Department</v>
      </c>
      <c r="B64" s="29" t="str">
        <v>CA</v>
      </c>
      <c r="C64" s="24">
        <v>11295</v>
      </c>
      <c r="D64" s="13" t="s">
        <v>22</v>
      </c>
      <c r="E64" s="13" t="str">
        <f t="shared" si="4"/>
        <v/>
      </c>
      <c r="F64" s="14" t="str">
        <f t="shared" si="5"/>
        <v/>
      </c>
      <c r="G64" s="15">
        <v>10899.77</v>
      </c>
      <c r="H64" s="15">
        <f t="shared" si="6"/>
        <v>395.22999999999956</v>
      </c>
      <c r="I64" s="16">
        <f t="shared" si="2"/>
        <v>3.6260398155190388E-2</v>
      </c>
      <c r="J64" s="41"/>
      <c r="K64" s="41"/>
      <c r="L64" s="117"/>
      <c r="M64" s="117"/>
      <c r="N64" s="117"/>
      <c r="O64" s="117"/>
      <c r="P64" s="117"/>
      <c r="Q64" s="117"/>
      <c r="R64" s="117"/>
      <c r="S64" s="117"/>
    </row>
    <row r="65" spans="1:19" ht="81.75" customHeight="1">
      <c r="A65" s="30" t="str">
        <v>Taft - WTP</v>
      </c>
      <c r="B65" s="31" t="str">
        <v>CA</v>
      </c>
      <c r="C65" s="11">
        <v>876</v>
      </c>
      <c r="D65" s="18" t="s">
        <v>22</v>
      </c>
      <c r="E65" s="18" t="str">
        <f t="shared" si="4"/>
        <v/>
      </c>
      <c r="F65" s="19" t="str">
        <f t="shared" si="5"/>
        <v/>
      </c>
      <c r="G65" s="20">
        <v>9524.2900000000009</v>
      </c>
      <c r="H65" s="20">
        <f t="shared" si="6"/>
        <v>-8648.2900000000009</v>
      </c>
      <c r="I65" s="19">
        <f t="shared" si="2"/>
        <v>-0.90802464015690409</v>
      </c>
      <c r="J65" s="42" t="s">
        <v>315</v>
      </c>
      <c r="K65" s="106" t="s">
        <v>316</v>
      </c>
      <c r="L65" s="118" t="s">
        <v>317</v>
      </c>
      <c r="M65" s="118" t="s">
        <v>317</v>
      </c>
      <c r="N65" s="117"/>
      <c r="O65" s="117"/>
      <c r="P65" s="117"/>
      <c r="Q65" s="117"/>
      <c r="R65" s="117"/>
      <c r="S65" s="117"/>
    </row>
    <row r="66" spans="1:19" ht="78" customHeight="1">
      <c r="A66" s="28" t="str">
        <v>CDCR - CA Correctional Institution</v>
      </c>
      <c r="B66" s="29" t="str">
        <v>CA</v>
      </c>
      <c r="C66" s="24">
        <v>193202</v>
      </c>
      <c r="D66" s="13" t="s">
        <v>22</v>
      </c>
      <c r="E66" s="13" t="str">
        <f t="shared" si="4"/>
        <v/>
      </c>
      <c r="F66" s="14" t="str">
        <f t="shared" si="5"/>
        <v/>
      </c>
      <c r="G66" s="15">
        <v>221609.78</v>
      </c>
      <c r="H66" s="15">
        <f t="shared" si="6"/>
        <v>-28407.78</v>
      </c>
      <c r="I66" s="16">
        <f t="shared" si="2"/>
        <v>-0.12818829566095863</v>
      </c>
      <c r="J66" s="41" t="s">
        <v>318</v>
      </c>
      <c r="K66" s="104" t="s">
        <v>319</v>
      </c>
      <c r="L66" s="118" t="s">
        <v>110</v>
      </c>
      <c r="M66" s="118" t="s">
        <v>320</v>
      </c>
      <c r="N66" s="117"/>
      <c r="O66" s="117"/>
      <c r="P66" s="117"/>
      <c r="Q66" s="117"/>
      <c r="R66" s="117"/>
      <c r="S66" s="117"/>
    </row>
    <row r="67" spans="1:19" ht="288" customHeight="1">
      <c r="A67" s="30" t="str">
        <v>CDCR - CA Correctional Institution II</v>
      </c>
      <c r="B67" s="31" t="str">
        <v>CA</v>
      </c>
      <c r="C67" s="11">
        <v>140791</v>
      </c>
      <c r="D67" s="18" t="s">
        <v>22</v>
      </c>
      <c r="E67" s="18" t="str">
        <f t="shared" si="4"/>
        <v/>
      </c>
      <c r="F67" s="19" t="str">
        <f t="shared" si="5"/>
        <v/>
      </c>
      <c r="G67" s="20">
        <v>317401.68</v>
      </c>
      <c r="H67" s="20">
        <f t="shared" si="6"/>
        <v>-176610.68</v>
      </c>
      <c r="I67" s="19">
        <f t="shared" si="2"/>
        <v>-0.5564264184108918</v>
      </c>
      <c r="J67" s="55" t="s">
        <v>321</v>
      </c>
      <c r="K67" s="106" t="s">
        <v>322</v>
      </c>
      <c r="L67" s="118" t="s">
        <v>113</v>
      </c>
      <c r="M67" s="118" t="s">
        <v>323</v>
      </c>
      <c r="N67" s="118" t="s">
        <v>234</v>
      </c>
      <c r="O67" s="118" t="s">
        <v>324</v>
      </c>
      <c r="P67" s="117"/>
      <c r="Q67" s="117"/>
      <c r="R67" s="117"/>
      <c r="S67" s="117"/>
    </row>
    <row r="68" spans="1:19" ht="54.75" customHeight="1">
      <c r="A68" s="28" t="str">
        <v>Snowline SD - Vista Verde ES</v>
      </c>
      <c r="B68" s="29" t="str">
        <v>CA</v>
      </c>
      <c r="C68" s="24">
        <v>15985</v>
      </c>
      <c r="D68" s="13" t="s">
        <v>22</v>
      </c>
      <c r="E68" s="13" t="str">
        <f t="shared" si="4"/>
        <v/>
      </c>
      <c r="F68" s="14" t="str">
        <f t="shared" si="5"/>
        <v/>
      </c>
      <c r="G68" s="15">
        <v>31954.52</v>
      </c>
      <c r="H68" s="15">
        <f t="shared" si="6"/>
        <v>-15969.52</v>
      </c>
      <c r="I68" s="16">
        <f t="shared" si="2"/>
        <v>-0.49975778074588512</v>
      </c>
      <c r="J68" s="41" t="s">
        <v>325</v>
      </c>
      <c r="K68" s="104" t="s">
        <v>326</v>
      </c>
      <c r="L68" s="117"/>
      <c r="M68" s="117"/>
      <c r="N68" s="117"/>
      <c r="O68" s="117"/>
      <c r="P68" s="117"/>
      <c r="Q68" s="117"/>
      <c r="R68" s="117"/>
      <c r="S68" s="117"/>
    </row>
    <row r="69" spans="1:19" ht="43.15">
      <c r="A69" s="30" t="str">
        <v>North Stonington</v>
      </c>
      <c r="B69" s="31" t="str">
        <v>CT</v>
      </c>
      <c r="C69" s="11">
        <v>1425880</v>
      </c>
      <c r="D69" s="18" t="s">
        <v>22</v>
      </c>
      <c r="E69" s="18"/>
      <c r="F69" s="19"/>
      <c r="G69" s="97" t="s">
        <v>22</v>
      </c>
      <c r="H69" s="20"/>
      <c r="I69" s="19"/>
      <c r="J69" s="54" t="s">
        <v>327</v>
      </c>
      <c r="K69" s="106" t="s">
        <v>328</v>
      </c>
      <c r="L69" s="117"/>
      <c r="M69" s="117"/>
      <c r="N69" s="117"/>
      <c r="O69" s="117"/>
      <c r="P69" s="117"/>
      <c r="Q69" s="117"/>
      <c r="R69" s="117"/>
      <c r="S69" s="117"/>
    </row>
    <row r="70" spans="1:19" ht="14.45">
      <c r="A70" s="21"/>
      <c r="B70" s="33"/>
      <c r="C70" s="21"/>
      <c r="D70" s="21"/>
      <c r="E70" s="21"/>
      <c r="F70" s="22"/>
      <c r="G70" s="21"/>
      <c r="H70" s="21"/>
      <c r="I70" s="22"/>
      <c r="J70" s="21"/>
      <c r="K70" s="21"/>
    </row>
    <row r="71" spans="1:19" ht="14.45">
      <c r="A71" s="21"/>
      <c r="B71" s="33"/>
      <c r="C71" s="21"/>
      <c r="D71" s="21"/>
      <c r="E71" s="21"/>
      <c r="F71" s="22"/>
      <c r="G71" s="21"/>
      <c r="H71" s="21"/>
      <c r="I71" s="22"/>
      <c r="J71" s="21"/>
      <c r="K71" s="21"/>
    </row>
    <row r="72" spans="1:19" ht="14.45">
      <c r="A72" s="21"/>
      <c r="B72" s="33"/>
      <c r="C72" s="21"/>
      <c r="D72" s="21"/>
      <c r="E72" s="21"/>
      <c r="F72" s="22"/>
      <c r="G72" s="21"/>
      <c r="H72" s="21"/>
      <c r="I72" s="22"/>
      <c r="J72" s="21"/>
      <c r="K72" s="21"/>
    </row>
    <row r="73" spans="1:19" ht="14.45">
      <c r="A73" s="21"/>
      <c r="B73" s="33"/>
      <c r="C73" s="21"/>
      <c r="D73" s="21"/>
      <c r="E73" s="21"/>
      <c r="F73" s="22"/>
      <c r="G73" s="21"/>
      <c r="H73" s="21"/>
      <c r="I73" s="22"/>
      <c r="J73" s="21"/>
      <c r="K73" s="21"/>
    </row>
    <row r="74" spans="1:19" ht="14.45">
      <c r="A74" s="21"/>
      <c r="B74" s="33"/>
      <c r="C74" s="21"/>
      <c r="D74" s="21"/>
      <c r="E74" s="21"/>
      <c r="F74" s="22"/>
      <c r="G74" s="21"/>
      <c r="H74" s="21"/>
      <c r="I74" s="22"/>
      <c r="J74" s="21"/>
      <c r="K74" s="21"/>
    </row>
    <row r="75" spans="1:19" ht="14.45">
      <c r="A75" s="21"/>
      <c r="B75" s="33"/>
      <c r="C75" s="21"/>
      <c r="D75" s="21"/>
      <c r="E75" s="21"/>
      <c r="F75" s="22"/>
      <c r="G75" s="21"/>
      <c r="H75" s="21"/>
      <c r="I75" s="22"/>
      <c r="J75" s="21"/>
      <c r="K75" s="21"/>
    </row>
    <row r="76" spans="1:19" ht="14.45">
      <c r="A76" s="21"/>
      <c r="B76" s="33"/>
      <c r="C76" s="21"/>
      <c r="D76" s="21"/>
      <c r="E76" s="21"/>
      <c r="F76" s="22"/>
      <c r="G76" s="21"/>
      <c r="H76" s="21"/>
      <c r="I76" s="22"/>
      <c r="J76" s="21"/>
      <c r="K76" s="21"/>
    </row>
    <row r="77" spans="1:19" ht="14.45">
      <c r="A77" s="21"/>
      <c r="B77" s="33"/>
      <c r="C77" s="21"/>
      <c r="D77" s="21"/>
      <c r="E77" s="21"/>
      <c r="F77" s="22"/>
      <c r="G77" s="21"/>
      <c r="H77" s="21"/>
      <c r="I77" s="22"/>
      <c r="J77" s="21"/>
      <c r="K77" s="21"/>
    </row>
    <row r="78" spans="1:19" ht="14.45">
      <c r="A78" s="21"/>
      <c r="B78" s="33"/>
      <c r="C78" s="21"/>
      <c r="D78" s="21"/>
      <c r="E78" s="21"/>
      <c r="F78" s="22"/>
      <c r="G78" s="21"/>
      <c r="H78" s="21"/>
      <c r="I78" s="22"/>
      <c r="J78" s="21"/>
      <c r="K78" s="21"/>
    </row>
    <row r="79" spans="1:19" ht="14.45">
      <c r="A79" s="21"/>
      <c r="B79" s="33"/>
      <c r="C79" s="21"/>
      <c r="D79" s="21"/>
      <c r="E79" s="21"/>
      <c r="F79" s="22"/>
      <c r="G79" s="21"/>
      <c r="H79" s="21"/>
      <c r="I79" s="22"/>
      <c r="J79" s="21"/>
      <c r="K79" s="21"/>
    </row>
    <row r="80" spans="1:19"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42"/>
  <sheetViews>
    <sheetView workbookViewId="0">
      <pane xSplit="2" ySplit="3" topLeftCell="J49"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329</v>
      </c>
      <c r="E1" s="122"/>
      <c r="F1" s="122"/>
      <c r="G1" s="120" t="s">
        <v>330</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25" si="0">IF(AND(ISNUMBER(C5),ISNUMBER(D5)), C5-D5, "")</f>
        <v/>
      </c>
      <c r="F5" s="19" t="str">
        <f>IFERROR(E5/D5, "")</f>
        <v/>
      </c>
      <c r="G5" s="20"/>
      <c r="H5" s="20" t="str">
        <f t="shared" ref="H5:H17"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42"/>
      <c r="K7" s="4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42"/>
      <c r="K15" s="4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ref="H18:H25" si="4">IF(AND(ISNUMBER(C18),ISNUMBER(G18)), C18-G18, "")</f>
        <v/>
      </c>
      <c r="I18" s="16" t="str">
        <f t="shared" si="2"/>
        <v/>
      </c>
      <c r="J18" s="41"/>
      <c r="K18" s="41"/>
    </row>
    <row r="19" spans="1:11" ht="15.6">
      <c r="A19" s="30" t="str">
        <v>Kohls - Kingston</v>
      </c>
      <c r="B19" s="31" t="str">
        <v>NY</v>
      </c>
      <c r="C19" s="11"/>
      <c r="D19" s="18"/>
      <c r="E19" s="18" t="str">
        <f t="shared" si="0"/>
        <v/>
      </c>
      <c r="F19" s="19"/>
      <c r="G19" s="20"/>
      <c r="H19" s="20" t="str">
        <f t="shared" si="4"/>
        <v/>
      </c>
      <c r="I19" s="19" t="str">
        <f t="shared" si="2"/>
        <v/>
      </c>
      <c r="J19" s="42"/>
      <c r="K19" s="42"/>
    </row>
    <row r="20" spans="1:11" ht="15.6">
      <c r="A20" s="28" t="str">
        <v>Kohls - Mechanicsburg</v>
      </c>
      <c r="B20" s="29" t="str">
        <v>PA</v>
      </c>
      <c r="C20" s="24"/>
      <c r="D20" s="13"/>
      <c r="E20" s="13" t="str">
        <f t="shared" si="0"/>
        <v/>
      </c>
      <c r="F20" s="14"/>
      <c r="G20" s="15"/>
      <c r="H20" s="15" t="str">
        <f t="shared" si="4"/>
        <v/>
      </c>
      <c r="I20" s="16" t="str">
        <f t="shared" si="2"/>
        <v/>
      </c>
      <c r="J20" s="41"/>
      <c r="K20" s="41"/>
    </row>
    <row r="21" spans="1:11" ht="15.6">
      <c r="A21" s="30" t="str">
        <v>Kohls - Middletown</v>
      </c>
      <c r="B21" s="31" t="str">
        <v>NJ</v>
      </c>
      <c r="C21" s="11"/>
      <c r="D21" s="18"/>
      <c r="E21" s="18" t="str">
        <f t="shared" si="0"/>
        <v/>
      </c>
      <c r="F21" s="19"/>
      <c r="G21" s="20"/>
      <c r="H21" s="20" t="str">
        <f t="shared" si="4"/>
        <v/>
      </c>
      <c r="I21" s="19" t="str">
        <f t="shared" si="2"/>
        <v/>
      </c>
      <c r="J21" s="42"/>
      <c r="K21" s="43"/>
    </row>
    <row r="22" spans="1:11" ht="15.6">
      <c r="A22" s="28" t="str">
        <v>Kohls - North Amherst</v>
      </c>
      <c r="B22" s="29" t="str">
        <v>NY</v>
      </c>
      <c r="C22" s="24"/>
      <c r="D22" s="13"/>
      <c r="E22" s="13" t="str">
        <f t="shared" si="0"/>
        <v/>
      </c>
      <c r="F22" s="14"/>
      <c r="G22" s="15"/>
      <c r="H22" s="15" t="str">
        <f t="shared" si="4"/>
        <v/>
      </c>
      <c r="I22" s="16" t="str">
        <f t="shared" si="2"/>
        <v/>
      </c>
      <c r="J22" s="41"/>
      <c r="K22" s="41"/>
    </row>
    <row r="23" spans="1:11" ht="15.6">
      <c r="A23" s="30" t="str">
        <v>Kohls - Staten Island</v>
      </c>
      <c r="B23" s="31" t="str">
        <v>NY</v>
      </c>
      <c r="C23" s="11"/>
      <c r="D23" s="18"/>
      <c r="E23" s="18" t="str">
        <f t="shared" si="0"/>
        <v/>
      </c>
      <c r="F23" s="19"/>
      <c r="G23" s="20"/>
      <c r="H23" s="20" t="str">
        <f t="shared" si="4"/>
        <v/>
      </c>
      <c r="I23" s="19" t="str">
        <f t="shared" si="2"/>
        <v/>
      </c>
      <c r="J23" s="42"/>
      <c r="K23" s="43"/>
    </row>
    <row r="24" spans="1:11" ht="15.6">
      <c r="A24" s="28" t="str">
        <v>Kohls - Warminster</v>
      </c>
      <c r="B24" s="29" t="str">
        <v>PA</v>
      </c>
      <c r="C24" s="24"/>
      <c r="D24" s="13"/>
      <c r="E24" s="13" t="str">
        <f t="shared" si="0"/>
        <v/>
      </c>
      <c r="F24" s="14"/>
      <c r="G24" s="15"/>
      <c r="H24" s="15" t="str">
        <f t="shared" si="4"/>
        <v/>
      </c>
      <c r="I24" s="16" t="str">
        <f t="shared" si="2"/>
        <v/>
      </c>
      <c r="J24" s="41"/>
      <c r="K24" s="41"/>
    </row>
    <row r="25" spans="1:11" ht="15.6">
      <c r="A25" s="30" t="str">
        <v xml:space="preserve">Kohls - Waterbury </v>
      </c>
      <c r="B25" s="31" t="str">
        <v>CT</v>
      </c>
      <c r="C25" s="11"/>
      <c r="D25" s="18"/>
      <c r="E25" s="18" t="str">
        <f t="shared" si="0"/>
        <v/>
      </c>
      <c r="F25" s="19"/>
      <c r="G25" s="20"/>
      <c r="H25" s="20" t="str">
        <f t="shared" si="4"/>
        <v/>
      </c>
      <c r="I25" s="19" t="str">
        <f t="shared" si="2"/>
        <v/>
      </c>
      <c r="J25" s="42"/>
      <c r="K25" s="43"/>
    </row>
    <row r="26" spans="1:11" ht="15.6">
      <c r="A26" s="28" t="str">
        <v>Mojave Water Agency - Headquarters</v>
      </c>
      <c r="B26" s="29" t="str">
        <v>CA</v>
      </c>
      <c r="C26" s="24"/>
      <c r="D26" s="13"/>
      <c r="E26" s="13" t="str">
        <f t="shared" ref="E26:E68" si="5">IF(AND(ISNUMBER(C26),ISNUMBER(D26)), C26-D26, "")</f>
        <v/>
      </c>
      <c r="F26" s="14"/>
      <c r="G26" s="15"/>
      <c r="H26" s="15" t="str">
        <f t="shared" ref="H26:H68" si="6">IF(AND(ISNUMBER(C26),ISNUMBER(G26)), C26-G26, "")</f>
        <v/>
      </c>
      <c r="I26" s="16" t="str">
        <f t="shared" si="2"/>
        <v/>
      </c>
      <c r="J26" s="41"/>
      <c r="K26" s="41"/>
    </row>
    <row r="27" spans="1:11" ht="15.6">
      <c r="A27" s="30" t="str">
        <v>CSU - Bakersfield</v>
      </c>
      <c r="B27" s="31" t="str">
        <v>CA</v>
      </c>
      <c r="C27" s="11"/>
      <c r="D27" s="18"/>
      <c r="E27" s="18" t="str">
        <f t="shared" si="5"/>
        <v/>
      </c>
      <c r="F27" s="19"/>
      <c r="G27" s="20"/>
      <c r="H27" s="20" t="str">
        <f t="shared" si="6"/>
        <v/>
      </c>
      <c r="I27" s="19" t="str">
        <f t="shared" si="2"/>
        <v/>
      </c>
      <c r="J27" s="42"/>
      <c r="K27" s="43"/>
    </row>
    <row r="28" spans="1:11" ht="15.6">
      <c r="A28" s="28" t="str">
        <v>Greenfield USD - Fairfield ES</v>
      </c>
      <c r="B28" s="29" t="str">
        <v>CA</v>
      </c>
      <c r="C28" s="24"/>
      <c r="D28" s="13"/>
      <c r="E28" s="13" t="str">
        <f t="shared" si="5"/>
        <v/>
      </c>
      <c r="F28" s="14"/>
      <c r="G28" s="15"/>
      <c r="H28" s="15" t="str">
        <f t="shared" si="6"/>
        <v/>
      </c>
      <c r="I28" s="16" t="str">
        <f t="shared" si="2"/>
        <v/>
      </c>
      <c r="J28" s="41"/>
      <c r="K28" s="41"/>
    </row>
    <row r="29" spans="1:11" ht="15.6">
      <c r="A29" s="30" t="str">
        <v>Greenfield USD - Granite Point ES</v>
      </c>
      <c r="B29" s="31" t="str">
        <v>CA</v>
      </c>
      <c r="C29" s="11"/>
      <c r="D29" s="18"/>
      <c r="E29" s="18" t="str">
        <f t="shared" si="5"/>
        <v/>
      </c>
      <c r="F29" s="19"/>
      <c r="G29" s="20"/>
      <c r="H29" s="20" t="str">
        <f t="shared" si="6"/>
        <v/>
      </c>
      <c r="I29" s="19" t="str">
        <f t="shared" si="2"/>
        <v/>
      </c>
      <c r="J29" s="42"/>
      <c r="K29" s="43"/>
    </row>
    <row r="30" spans="1:11" ht="15.6">
      <c r="A30" s="28" t="str">
        <v>Greenfield USD - Greenfield MS</v>
      </c>
      <c r="B30" s="29" t="str">
        <v>CA</v>
      </c>
      <c r="C30" s="24"/>
      <c r="D30" s="13"/>
      <c r="E30" s="13" t="str">
        <f t="shared" si="5"/>
        <v/>
      </c>
      <c r="F30" s="14"/>
      <c r="G30" s="15"/>
      <c r="H30" s="15" t="str">
        <f t="shared" si="6"/>
        <v/>
      </c>
      <c r="I30" s="16" t="str">
        <f t="shared" si="2"/>
        <v/>
      </c>
      <c r="J30" s="41"/>
      <c r="K30" s="41"/>
    </row>
    <row r="31" spans="1:11" ht="15.6">
      <c r="A31" s="30" t="str">
        <v>Greenfield USD - Horizon ES</v>
      </c>
      <c r="B31" s="31" t="str">
        <v>CA</v>
      </c>
      <c r="C31" s="11"/>
      <c r="D31" s="18"/>
      <c r="E31" s="18" t="str">
        <f t="shared" si="5"/>
        <v/>
      </c>
      <c r="F31" s="19"/>
      <c r="G31" s="20"/>
      <c r="H31" s="20" t="str">
        <f t="shared" si="6"/>
        <v/>
      </c>
      <c r="I31" s="19" t="str">
        <f t="shared" si="2"/>
        <v/>
      </c>
      <c r="J31" s="42"/>
      <c r="K31" s="43"/>
    </row>
    <row r="32" spans="1:11" ht="15.6">
      <c r="A32" s="28" t="str">
        <v>Greenfield USD - McKee MS</v>
      </c>
      <c r="B32" s="29" t="str">
        <v>CA</v>
      </c>
      <c r="C32" s="24"/>
      <c r="D32" s="13"/>
      <c r="E32" s="13" t="str">
        <f t="shared" si="5"/>
        <v/>
      </c>
      <c r="F32" s="14"/>
      <c r="G32" s="15"/>
      <c r="H32" s="15" t="str">
        <f t="shared" si="6"/>
        <v/>
      </c>
      <c r="I32" s="16" t="str">
        <f t="shared" si="2"/>
        <v/>
      </c>
      <c r="J32" s="41"/>
      <c r="K32" s="41"/>
    </row>
    <row r="33" spans="1:11" ht="15.6">
      <c r="A33" s="30" t="str">
        <v>Greenfield USD - Plantation ES</v>
      </c>
      <c r="B33" s="31" t="str">
        <v>CA</v>
      </c>
      <c r="C33" s="11"/>
      <c r="D33" s="18"/>
      <c r="E33" s="18" t="str">
        <f t="shared" si="5"/>
        <v/>
      </c>
      <c r="F33" s="19"/>
      <c r="G33" s="20"/>
      <c r="H33" s="20" t="str">
        <f t="shared" si="6"/>
        <v/>
      </c>
      <c r="I33" s="19" t="str">
        <f t="shared" si="2"/>
        <v/>
      </c>
      <c r="J33" s="42"/>
      <c r="K33" s="43"/>
    </row>
    <row r="34" spans="1:11" ht="15.6">
      <c r="A34" s="28" t="str">
        <v>Greenfield USD - Planz ES</v>
      </c>
      <c r="B34" s="29" t="str">
        <v>CA</v>
      </c>
      <c r="C34" s="24"/>
      <c r="D34" s="13"/>
      <c r="E34" s="13" t="str">
        <f t="shared" si="5"/>
        <v/>
      </c>
      <c r="F34" s="14"/>
      <c r="G34" s="15"/>
      <c r="H34" s="15" t="str">
        <f t="shared" si="6"/>
        <v/>
      </c>
      <c r="I34" s="16" t="str">
        <f t="shared" si="2"/>
        <v/>
      </c>
      <c r="J34" s="41"/>
      <c r="K34" s="41"/>
    </row>
    <row r="35" spans="1:11" ht="15.6">
      <c r="A35" s="30" t="str">
        <v>Greenfield USD - Raffaello Palla ES</v>
      </c>
      <c r="B35" s="31" t="str">
        <v>CA</v>
      </c>
      <c r="C35" s="11"/>
      <c r="D35" s="18"/>
      <c r="E35" s="18" t="str">
        <f t="shared" si="5"/>
        <v/>
      </c>
      <c r="F35" s="19"/>
      <c r="G35" s="20"/>
      <c r="H35" s="20" t="str">
        <f t="shared" si="6"/>
        <v/>
      </c>
      <c r="I35" s="19" t="str">
        <f t="shared" si="2"/>
        <v/>
      </c>
      <c r="J35" s="42"/>
      <c r="K35" s="43"/>
    </row>
    <row r="36" spans="1:11" ht="15.6">
      <c r="A36" s="28" t="str">
        <v>Greenfield USD - Valle Verde ES</v>
      </c>
      <c r="B36" s="29" t="str">
        <v>CA</v>
      </c>
      <c r="C36" s="24"/>
      <c r="D36" s="13"/>
      <c r="E36" s="13" t="str">
        <f t="shared" si="5"/>
        <v/>
      </c>
      <c r="F36" s="14"/>
      <c r="G36" s="15"/>
      <c r="H36" s="15" t="str">
        <f t="shared" si="6"/>
        <v/>
      </c>
      <c r="I36" s="16" t="str">
        <f t="shared" si="2"/>
        <v/>
      </c>
      <c r="J36" s="41"/>
      <c r="K36" s="41"/>
    </row>
    <row r="37" spans="1:11" ht="15.6">
      <c r="A37" s="30" t="str">
        <v>Greenfield USD - W.A. Kendrick ES</v>
      </c>
      <c r="B37" s="31" t="str">
        <v>CA</v>
      </c>
      <c r="C37" s="11"/>
      <c r="D37" s="18"/>
      <c r="E37" s="18" t="str">
        <f t="shared" si="5"/>
        <v/>
      </c>
      <c r="F37" s="19"/>
      <c r="G37" s="20"/>
      <c r="H37" s="20" t="str">
        <f t="shared" si="6"/>
        <v/>
      </c>
      <c r="I37" s="19" t="str">
        <f t="shared" si="2"/>
        <v/>
      </c>
      <c r="J37" s="42"/>
      <c r="K37" s="43"/>
    </row>
    <row r="38" spans="1:11" ht="15.6">
      <c r="A38" s="28" t="str">
        <v>Muroc Joint USD - Boron HS</v>
      </c>
      <c r="B38" s="29" t="str">
        <v>CA</v>
      </c>
      <c r="C38" s="24"/>
      <c r="D38" s="13"/>
      <c r="E38" s="13" t="str">
        <f t="shared" si="5"/>
        <v/>
      </c>
      <c r="F38" s="14"/>
      <c r="G38" s="15"/>
      <c r="H38" s="15" t="str">
        <f t="shared" si="6"/>
        <v/>
      </c>
      <c r="I38" s="16" t="str">
        <f t="shared" si="2"/>
        <v/>
      </c>
      <c r="J38" s="41"/>
      <c r="K38" s="41"/>
    </row>
    <row r="39" spans="1:11" ht="15.6">
      <c r="A39" s="30" t="str">
        <v>Muroc Joint USD - W. Boron ES</v>
      </c>
      <c r="B39" s="31" t="str">
        <v>CA</v>
      </c>
      <c r="C39" s="11"/>
      <c r="D39" s="18"/>
      <c r="E39" s="18" t="str">
        <f t="shared" si="5"/>
        <v/>
      </c>
      <c r="F39" s="19"/>
      <c r="G39" s="20"/>
      <c r="H39" s="20" t="str">
        <f t="shared" si="6"/>
        <v/>
      </c>
      <c r="I39" s="19" t="str">
        <f t="shared" si="2"/>
        <v/>
      </c>
      <c r="J39" s="42"/>
      <c r="K39" s="43"/>
    </row>
    <row r="40" spans="1:11" ht="15.6">
      <c r="A40" s="28" t="str">
        <v>Colusa - WTP</v>
      </c>
      <c r="B40" s="29" t="str">
        <v>CA</v>
      </c>
      <c r="C40" s="24"/>
      <c r="D40" s="13"/>
      <c r="E40" s="13" t="str">
        <f t="shared" si="5"/>
        <v/>
      </c>
      <c r="F40" s="14"/>
      <c r="G40" s="15"/>
      <c r="H40" s="15" t="str">
        <f t="shared" si="6"/>
        <v/>
      </c>
      <c r="I40" s="16" t="str">
        <f t="shared" si="2"/>
        <v/>
      </c>
      <c r="J40" s="41"/>
      <c r="K40" s="41"/>
    </row>
    <row r="41" spans="1:11" ht="15.6">
      <c r="A41" s="30" t="str">
        <v>CDCR-North Kern State Prision</v>
      </c>
      <c r="B41" s="31" t="str">
        <v>CA</v>
      </c>
      <c r="C41" s="11"/>
      <c r="D41" s="18"/>
      <c r="E41" s="18" t="str">
        <f t="shared" si="5"/>
        <v/>
      </c>
      <c r="F41" s="19"/>
      <c r="G41" s="20"/>
      <c r="H41" s="20" t="str">
        <f t="shared" si="6"/>
        <v/>
      </c>
      <c r="I41" s="19" t="str">
        <f t="shared" si="2"/>
        <v/>
      </c>
      <c r="J41" s="42"/>
      <c r="K41" s="43"/>
    </row>
    <row r="42" spans="1:11" ht="15.6">
      <c r="A42" s="28" t="str">
        <v>Muroc Joint USD - District Office</v>
      </c>
      <c r="B42" s="29" t="str">
        <v>CA</v>
      </c>
      <c r="C42" s="24"/>
      <c r="D42" s="13"/>
      <c r="E42" s="13" t="str">
        <f t="shared" si="5"/>
        <v/>
      </c>
      <c r="F42" s="14"/>
      <c r="G42" s="15"/>
      <c r="H42" s="15" t="str">
        <f t="shared" si="6"/>
        <v/>
      </c>
      <c r="I42" s="16" t="str">
        <f t="shared" si="2"/>
        <v/>
      </c>
      <c r="J42" s="41"/>
      <c r="K42" s="41"/>
    </row>
    <row r="43" spans="1:11" ht="15.6">
      <c r="A43" s="30" t="str">
        <v>Whole Foods - Manhattan Beach</v>
      </c>
      <c r="B43" s="31" t="str">
        <v>CA</v>
      </c>
      <c r="C43" s="11"/>
      <c r="D43" s="18"/>
      <c r="E43" s="18" t="str">
        <f t="shared" si="5"/>
        <v/>
      </c>
      <c r="F43" s="19"/>
      <c r="G43" s="20"/>
      <c r="H43" s="20" t="str">
        <f t="shared" si="6"/>
        <v/>
      </c>
      <c r="I43" s="19" t="str">
        <f t="shared" si="2"/>
        <v/>
      </c>
      <c r="J43" s="42"/>
      <c r="K43" s="43"/>
    </row>
    <row r="44" spans="1:11" ht="15.6">
      <c r="A44" s="28" t="str">
        <v>Pioneer USD - Frontier ES</v>
      </c>
      <c r="B44" s="29" t="str">
        <v>CA</v>
      </c>
      <c r="C44" s="24"/>
      <c r="D44" s="13"/>
      <c r="E44" s="13" t="str">
        <f t="shared" si="5"/>
        <v/>
      </c>
      <c r="F44" s="14"/>
      <c r="G44" s="15"/>
      <c r="H44" s="15" t="str">
        <f t="shared" si="6"/>
        <v/>
      </c>
      <c r="I44" s="16" t="str">
        <f t="shared" si="2"/>
        <v/>
      </c>
      <c r="J44" s="41"/>
      <c r="K44" s="41"/>
    </row>
    <row r="45" spans="1:11" ht="15.6">
      <c r="A45" s="30" t="str">
        <v>Pioneer USD - Pioneer ES</v>
      </c>
      <c r="B45" s="31" t="str">
        <v>CA</v>
      </c>
      <c r="C45" s="11"/>
      <c r="D45" s="18"/>
      <c r="E45" s="18" t="str">
        <f t="shared" si="5"/>
        <v/>
      </c>
      <c r="F45" s="19"/>
      <c r="G45" s="20"/>
      <c r="H45" s="20" t="str">
        <f t="shared" si="6"/>
        <v/>
      </c>
      <c r="I45" s="19" t="str">
        <f t="shared" si="2"/>
        <v/>
      </c>
      <c r="J45" s="42"/>
      <c r="K45" s="43"/>
    </row>
    <row r="46" spans="1:11" ht="15.6">
      <c r="A46" s="28" t="str">
        <v>Pioneer USD - Pioneer MS</v>
      </c>
      <c r="B46" s="29" t="str">
        <v>CA</v>
      </c>
      <c r="C46" s="24"/>
      <c r="D46" s="13"/>
      <c r="E46" s="13" t="str">
        <f t="shared" si="5"/>
        <v/>
      </c>
      <c r="F46" s="14"/>
      <c r="G46" s="15"/>
      <c r="H46" s="15" t="str">
        <f t="shared" si="6"/>
        <v/>
      </c>
      <c r="I46" s="16" t="str">
        <f t="shared" si="2"/>
        <v/>
      </c>
      <c r="J46" s="41"/>
      <c r="K46" s="41"/>
    </row>
    <row r="47" spans="1:11" ht="15.6">
      <c r="A47" s="30" t="str">
        <v>Kingsburg Joint UHSD - Kingsburg HS</v>
      </c>
      <c r="B47" s="31" t="str">
        <v>CA</v>
      </c>
      <c r="C47" s="11"/>
      <c r="D47" s="18"/>
      <c r="E47" s="18" t="str">
        <f t="shared" si="5"/>
        <v/>
      </c>
      <c r="F47" s="19"/>
      <c r="G47" s="20"/>
      <c r="H47" s="20" t="str">
        <f t="shared" si="6"/>
        <v/>
      </c>
      <c r="I47" s="19" t="str">
        <f t="shared" si="2"/>
        <v/>
      </c>
      <c r="J47" s="42"/>
      <c r="K47" s="43"/>
    </row>
    <row r="48" spans="1:11" ht="15.6">
      <c r="A48" s="28" t="str">
        <v>CADRB</v>
      </c>
      <c r="B48" s="29" t="str">
        <v>CA</v>
      </c>
      <c r="C48" s="24"/>
      <c r="D48" s="13"/>
      <c r="E48" s="13" t="str">
        <f t="shared" si="5"/>
        <v/>
      </c>
      <c r="F48" s="14"/>
      <c r="G48" s="15"/>
      <c r="H48" s="15" t="str">
        <f t="shared" si="6"/>
        <v/>
      </c>
      <c r="I48" s="16" t="str">
        <f t="shared" si="2"/>
        <v/>
      </c>
      <c r="J48" s="41"/>
      <c r="K48" s="41"/>
    </row>
    <row r="49" spans="1:11" ht="15.6">
      <c r="A49" s="30" t="str">
        <v>CDCR-CA State Prison LA County</v>
      </c>
      <c r="B49" s="31" t="str">
        <v>CA</v>
      </c>
      <c r="C49" s="11"/>
      <c r="D49" s="18"/>
      <c r="E49" s="18" t="str">
        <f t="shared" si="5"/>
        <v/>
      </c>
      <c r="F49" s="19"/>
      <c r="G49" s="20"/>
      <c r="H49" s="20" t="str">
        <f t="shared" si="6"/>
        <v/>
      </c>
      <c r="I49" s="19" t="str">
        <f t="shared" si="2"/>
        <v/>
      </c>
      <c r="J49" s="42"/>
      <c r="K49" s="43"/>
    </row>
    <row r="50" spans="1:11" ht="15.6">
      <c r="A50" s="28" t="str">
        <v>Central USD Akers ES</v>
      </c>
      <c r="B50" s="29" t="str">
        <v>CA</v>
      </c>
      <c r="C50" s="24"/>
      <c r="D50" s="13"/>
      <c r="E50" s="13" t="str">
        <f t="shared" si="5"/>
        <v/>
      </c>
      <c r="F50" s="14"/>
      <c r="G50" s="15"/>
      <c r="H50" s="15" t="str">
        <f t="shared" si="6"/>
        <v/>
      </c>
      <c r="I50" s="16" t="str">
        <f t="shared" si="2"/>
        <v/>
      </c>
      <c r="J50" s="41"/>
      <c r="K50" s="41"/>
    </row>
    <row r="51" spans="1:11" ht="15.6">
      <c r="A51" s="30" t="str">
        <v>CUSD - District Office</v>
      </c>
      <c r="B51" s="31" t="str">
        <v>CA</v>
      </c>
      <c r="C51" s="11"/>
      <c r="D51" s="18"/>
      <c r="E51" s="18" t="str">
        <f t="shared" si="5"/>
        <v/>
      </c>
      <c r="F51" s="19"/>
      <c r="G51" s="20"/>
      <c r="H51" s="20" t="str">
        <f t="shared" si="6"/>
        <v/>
      </c>
      <c r="I51" s="19" t="str">
        <f t="shared" si="2"/>
        <v/>
      </c>
      <c r="J51" s="42"/>
      <c r="K51" s="43"/>
    </row>
    <row r="52" spans="1:11" ht="15.6">
      <c r="A52" s="28" t="str">
        <v>Parlier - WTP</v>
      </c>
      <c r="B52" s="29" t="str">
        <v>CA</v>
      </c>
      <c r="C52" s="24"/>
      <c r="D52" s="13"/>
      <c r="E52" s="13" t="str">
        <f t="shared" si="5"/>
        <v/>
      </c>
      <c r="F52" s="14"/>
      <c r="G52" s="15"/>
      <c r="H52" s="15" t="str">
        <f t="shared" si="6"/>
        <v/>
      </c>
      <c r="I52" s="16" t="str">
        <f t="shared" si="2"/>
        <v/>
      </c>
      <c r="J52" s="41"/>
      <c r="K52" s="41"/>
    </row>
    <row r="53" spans="1:11" ht="15.6">
      <c r="A53" s="30" t="str">
        <v>Snowline SD - Quail Valley MS</v>
      </c>
      <c r="B53" s="31" t="str">
        <v>CA</v>
      </c>
      <c r="C53" s="11"/>
      <c r="D53" s="18"/>
      <c r="E53" s="18" t="str">
        <f t="shared" si="5"/>
        <v/>
      </c>
      <c r="F53" s="19"/>
      <c r="G53" s="20"/>
      <c r="H53" s="20" t="str">
        <f t="shared" si="6"/>
        <v/>
      </c>
      <c r="I53" s="19" t="str">
        <f t="shared" si="2"/>
        <v/>
      </c>
      <c r="J53" s="42"/>
      <c r="K53" s="43"/>
    </row>
    <row r="54" spans="1:11" ht="15.6">
      <c r="A54" s="28" t="str">
        <v>Snowline SD - Serrano HS - Middle Lot</v>
      </c>
      <c r="B54" s="29" t="str">
        <v>CA</v>
      </c>
      <c r="C54" s="24"/>
      <c r="D54" s="13"/>
      <c r="E54" s="13" t="str">
        <f t="shared" si="5"/>
        <v/>
      </c>
      <c r="F54" s="14"/>
      <c r="G54" s="15"/>
      <c r="H54" s="15" t="str">
        <f t="shared" si="6"/>
        <v/>
      </c>
      <c r="I54" s="16" t="str">
        <f t="shared" si="2"/>
        <v/>
      </c>
      <c r="J54" s="41"/>
      <c r="K54" s="41"/>
    </row>
    <row r="55" spans="1:11" ht="15.6">
      <c r="A55" s="30" t="str">
        <v>Snowline SD - Pinon Hills ES</v>
      </c>
      <c r="B55" s="31" t="str">
        <v>CA</v>
      </c>
      <c r="C55" s="11"/>
      <c r="D55" s="18"/>
      <c r="E55" s="18" t="str">
        <f t="shared" si="5"/>
        <v/>
      </c>
      <c r="F55" s="19"/>
      <c r="G55" s="20"/>
      <c r="H55" s="20" t="str">
        <f t="shared" si="6"/>
        <v/>
      </c>
      <c r="I55" s="19" t="str">
        <f t="shared" si="2"/>
        <v/>
      </c>
      <c r="J55" s="42"/>
      <c r="K55" s="43"/>
    </row>
    <row r="56" spans="1:11" ht="15.6">
      <c r="A56" s="28" t="str">
        <v>Ramona - Santa Maria WTP</v>
      </c>
      <c r="B56" s="29" t="str">
        <v>CA</v>
      </c>
      <c r="C56" s="24"/>
      <c r="D56" s="13"/>
      <c r="E56" s="13" t="str">
        <f t="shared" si="5"/>
        <v/>
      </c>
      <c r="F56" s="14"/>
      <c r="G56" s="15"/>
      <c r="H56" s="15" t="str">
        <f t="shared" si="6"/>
        <v/>
      </c>
      <c r="I56" s="16" t="str">
        <f t="shared" si="2"/>
        <v/>
      </c>
      <c r="J56" s="41"/>
      <c r="K56" s="41"/>
    </row>
    <row r="57" spans="1:11" ht="15.6">
      <c r="A57" s="30" t="str">
        <v>Kohls - Redding</v>
      </c>
      <c r="B57" s="31" t="str">
        <v>CA</v>
      </c>
      <c r="C57" s="11"/>
      <c r="D57" s="18"/>
      <c r="E57" s="18" t="str">
        <f t="shared" si="5"/>
        <v/>
      </c>
      <c r="F57" s="19"/>
      <c r="G57" s="20"/>
      <c r="H57" s="20" t="str">
        <f t="shared" si="6"/>
        <v/>
      </c>
      <c r="I57" s="19" t="str">
        <f t="shared" si="2"/>
        <v/>
      </c>
      <c r="J57" s="42"/>
      <c r="K57" s="43"/>
    </row>
    <row r="58" spans="1:11" ht="15.6">
      <c r="A58" s="28" t="str">
        <v>Kohls - Salinas</v>
      </c>
      <c r="B58" s="29" t="str">
        <v>CA</v>
      </c>
      <c r="C58" s="24"/>
      <c r="D58" s="13"/>
      <c r="E58" s="13" t="str">
        <f t="shared" si="5"/>
        <v/>
      </c>
      <c r="F58" s="14"/>
      <c r="G58" s="15"/>
      <c r="H58" s="15" t="str">
        <f t="shared" si="6"/>
        <v/>
      </c>
      <c r="I58" s="16" t="str">
        <f t="shared" si="2"/>
        <v/>
      </c>
      <c r="J58" s="41"/>
      <c r="K58" s="41"/>
    </row>
    <row r="59" spans="1:11" ht="15.6">
      <c r="A59" s="30" t="str">
        <v>Kohls - San Bernardino - Central</v>
      </c>
      <c r="B59" s="31" t="str">
        <v>CA</v>
      </c>
      <c r="C59" s="11"/>
      <c r="D59" s="18"/>
      <c r="E59" s="18" t="str">
        <f t="shared" si="5"/>
        <v/>
      </c>
      <c r="F59" s="19"/>
      <c r="G59" s="20"/>
      <c r="H59" s="20" t="str">
        <f t="shared" si="6"/>
        <v/>
      </c>
      <c r="I59" s="19" t="str">
        <f t="shared" si="2"/>
        <v/>
      </c>
      <c r="J59" s="42"/>
      <c r="K59" s="43"/>
    </row>
    <row r="60" spans="1:11" ht="15.6">
      <c r="A60" s="28" t="str">
        <v>Kohls - Sonora</v>
      </c>
      <c r="B60" s="29" t="str">
        <v>CA</v>
      </c>
      <c r="C60" s="24"/>
      <c r="D60" s="13"/>
      <c r="E60" s="13" t="str">
        <f t="shared" si="5"/>
        <v/>
      </c>
      <c r="F60" s="14"/>
      <c r="G60" s="15"/>
      <c r="H60" s="15" t="str">
        <f t="shared" si="6"/>
        <v/>
      </c>
      <c r="I60" s="16" t="str">
        <f t="shared" si="2"/>
        <v/>
      </c>
      <c r="J60" s="41"/>
      <c r="K60" s="41"/>
    </row>
    <row r="61" spans="1:11" ht="15.6">
      <c r="A61" s="30" t="str">
        <v>CUSD - Stratford ES</v>
      </c>
      <c r="B61" s="31" t="str">
        <v>CA</v>
      </c>
      <c r="C61" s="11"/>
      <c r="D61" s="18"/>
      <c r="E61" s="18" t="str">
        <f t="shared" si="5"/>
        <v/>
      </c>
      <c r="F61" s="19"/>
      <c r="G61" s="20"/>
      <c r="H61" s="20" t="str">
        <f t="shared" si="6"/>
        <v/>
      </c>
      <c r="I61" s="19" t="str">
        <f t="shared" si="2"/>
        <v/>
      </c>
      <c r="J61" s="42"/>
      <c r="K61" s="43"/>
    </row>
    <row r="62" spans="1:11" ht="15.6">
      <c r="A62" s="28" t="str">
        <v>Taft - City Hall</v>
      </c>
      <c r="B62" s="29" t="str">
        <v>CA</v>
      </c>
      <c r="C62" s="24"/>
      <c r="D62" s="13"/>
      <c r="E62" s="13" t="str">
        <f t="shared" si="5"/>
        <v/>
      </c>
      <c r="F62" s="14"/>
      <c r="G62" s="15"/>
      <c r="H62" s="15" t="str">
        <f t="shared" si="6"/>
        <v/>
      </c>
      <c r="I62" s="16" t="str">
        <f t="shared" si="2"/>
        <v/>
      </c>
      <c r="J62" s="41"/>
      <c r="K62" s="41"/>
    </row>
    <row r="63" spans="1:11" ht="15.6">
      <c r="A63" s="30" t="str">
        <v>Taft - Federal Prison</v>
      </c>
      <c r="B63" s="31" t="str">
        <v>CA</v>
      </c>
      <c r="C63" s="11"/>
      <c r="D63" s="18"/>
      <c r="E63" s="18" t="str">
        <f t="shared" si="5"/>
        <v/>
      </c>
      <c r="F63" s="19"/>
      <c r="G63" s="20"/>
      <c r="H63" s="20" t="str">
        <f t="shared" si="6"/>
        <v/>
      </c>
      <c r="I63" s="19" t="str">
        <f t="shared" si="2"/>
        <v/>
      </c>
      <c r="J63" s="42"/>
      <c r="K63" s="43"/>
    </row>
    <row r="64" spans="1:11" ht="15.6">
      <c r="A64" s="28" t="str">
        <v>Taft - Police Department</v>
      </c>
      <c r="B64" s="29" t="str">
        <v>CA</v>
      </c>
      <c r="C64" s="24"/>
      <c r="D64" s="13"/>
      <c r="E64" s="13" t="str">
        <f t="shared" si="5"/>
        <v/>
      </c>
      <c r="F64" s="14"/>
      <c r="G64" s="15"/>
      <c r="H64" s="15" t="str">
        <f t="shared" si="6"/>
        <v/>
      </c>
      <c r="I64" s="16" t="str">
        <f t="shared" si="2"/>
        <v/>
      </c>
      <c r="J64" s="41"/>
      <c r="K64" s="41"/>
    </row>
    <row r="65" spans="1:11" ht="15.6">
      <c r="A65" s="30" t="str">
        <v>Taft - WTP</v>
      </c>
      <c r="B65" s="31" t="str">
        <v>CA</v>
      </c>
      <c r="C65" s="11"/>
      <c r="D65" s="18"/>
      <c r="E65" s="18" t="str">
        <f t="shared" si="5"/>
        <v/>
      </c>
      <c r="F65" s="19"/>
      <c r="G65" s="20"/>
      <c r="H65" s="20" t="str">
        <f t="shared" si="6"/>
        <v/>
      </c>
      <c r="I65" s="19" t="str">
        <f t="shared" si="2"/>
        <v/>
      </c>
      <c r="J65" s="42"/>
      <c r="K65" s="43"/>
    </row>
    <row r="66" spans="1:11" ht="15.6">
      <c r="A66" s="28" t="str">
        <v>CDCR - CA Correctional Institution</v>
      </c>
      <c r="B66" s="29" t="str">
        <v>CA</v>
      </c>
      <c r="C66" s="24"/>
      <c r="D66" s="13"/>
      <c r="E66" s="13" t="str">
        <f t="shared" si="5"/>
        <v/>
      </c>
      <c r="F66" s="14"/>
      <c r="G66" s="15"/>
      <c r="H66" s="15" t="str">
        <f t="shared" si="6"/>
        <v/>
      </c>
      <c r="I66" s="16" t="str">
        <f t="shared" si="2"/>
        <v/>
      </c>
      <c r="J66" s="41"/>
      <c r="K66" s="41"/>
    </row>
    <row r="67" spans="1:11" ht="15.6">
      <c r="A67" s="30" t="str">
        <v>CDCR - CA Correctional Institution II</v>
      </c>
      <c r="B67" s="31" t="str">
        <v>CA</v>
      </c>
      <c r="C67" s="11"/>
      <c r="D67" s="18"/>
      <c r="E67" s="18" t="str">
        <f t="shared" si="5"/>
        <v/>
      </c>
      <c r="F67" s="19"/>
      <c r="G67" s="20"/>
      <c r="H67" s="20" t="str">
        <f t="shared" si="6"/>
        <v/>
      </c>
      <c r="I67" s="19" t="str">
        <f t="shared" si="2"/>
        <v/>
      </c>
      <c r="J67" s="42"/>
      <c r="K67" s="43"/>
    </row>
    <row r="68" spans="1:11" ht="15.6">
      <c r="A68" s="28" t="str">
        <v>Snowline SD - Vista Verde ES</v>
      </c>
      <c r="B68" s="29" t="str">
        <v>CA</v>
      </c>
      <c r="C68" s="24"/>
      <c r="D68" s="13"/>
      <c r="E68" s="13" t="str">
        <f t="shared" si="5"/>
        <v/>
      </c>
      <c r="F68" s="14"/>
      <c r="G68" s="15"/>
      <c r="H68" s="15" t="str">
        <f t="shared" si="6"/>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6" priority="3" stopIfTrue="1" operator="lessThanOrEqual">
      <formula>-0.1</formula>
    </cfRule>
    <cfRule type="expression" dxfId="35" priority="4">
      <formula>AND(ISNUMBER(F2), F2&gt;=0.1)</formula>
    </cfRule>
  </conditionalFormatting>
  <conditionalFormatting sqref="F4:F100 I4:I100">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42"/>
  <sheetViews>
    <sheetView zoomScale="85" zoomScaleNormal="85" workbookViewId="0">
      <pane xSplit="2" ySplit="3" topLeftCell="C16"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11" ht="19.5" customHeight="1">
      <c r="A1" s="121" t="str" cm="1">
        <f t="array" ref="A1">portfolio</f>
        <v>Silicon Ranch</v>
      </c>
      <c r="B1" s="121"/>
      <c r="C1" s="121"/>
      <c r="D1" s="122" t="s">
        <v>331</v>
      </c>
      <c r="E1" s="122"/>
      <c r="F1" s="122"/>
      <c r="G1" s="120" t="s">
        <v>332</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57"/>
      <c r="K4" s="57"/>
    </row>
    <row r="5" spans="1:11"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59"/>
      <c r="K5" s="59"/>
    </row>
    <row r="6" spans="1:11" ht="15.6">
      <c r="A6" s="28" t="str">
        <v>Kohls - Bensalem</v>
      </c>
      <c r="B6" s="29" t="str">
        <v>PA</v>
      </c>
      <c r="C6" s="24"/>
      <c r="D6" s="13"/>
      <c r="E6" s="13" t="str">
        <f t="shared" si="0"/>
        <v/>
      </c>
      <c r="F6" s="14" t="str">
        <f t="shared" ref="F6:F17" si="3">IFERROR(E6/D6, "")</f>
        <v/>
      </c>
      <c r="G6" s="15"/>
      <c r="H6" s="15" t="str">
        <f t="shared" si="1"/>
        <v/>
      </c>
      <c r="I6" s="16" t="str">
        <f t="shared" si="2"/>
        <v/>
      </c>
      <c r="J6" s="57"/>
      <c r="K6" s="57"/>
    </row>
    <row r="7" spans="1:11" ht="15.6">
      <c r="A7" s="30" t="str">
        <v>Kohls - Brick</v>
      </c>
      <c r="B7" s="31" t="str">
        <v>NJ</v>
      </c>
      <c r="C7" s="11"/>
      <c r="D7" s="18"/>
      <c r="E7" s="18" t="str">
        <f t="shared" si="0"/>
        <v/>
      </c>
      <c r="F7" s="19" t="str">
        <f t="shared" si="3"/>
        <v/>
      </c>
      <c r="G7" s="20"/>
      <c r="H7" s="20" t="str">
        <f t="shared" si="1"/>
        <v/>
      </c>
      <c r="I7" s="19" t="str">
        <f t="shared" si="2"/>
        <v/>
      </c>
      <c r="J7" s="59"/>
      <c r="K7" s="60"/>
    </row>
    <row r="8" spans="1:11" ht="15.6">
      <c r="A8" s="28" t="str">
        <v>Kohls - Buffalo</v>
      </c>
      <c r="B8" s="29" t="str">
        <v>NY</v>
      </c>
      <c r="C8" s="24"/>
      <c r="D8" s="13"/>
      <c r="E8" s="13" t="str">
        <f t="shared" si="0"/>
        <v/>
      </c>
      <c r="F8" s="14" t="str">
        <f t="shared" si="3"/>
        <v/>
      </c>
      <c r="G8" s="15"/>
      <c r="H8" s="15" t="str">
        <f t="shared" si="1"/>
        <v/>
      </c>
      <c r="I8" s="16" t="str">
        <f t="shared" si="2"/>
        <v/>
      </c>
      <c r="J8" s="57"/>
      <c r="K8" s="57"/>
    </row>
    <row r="9" spans="1:11" ht="15.6">
      <c r="A9" s="30" t="str">
        <v>Kohls - Canton</v>
      </c>
      <c r="B9" s="31" t="str">
        <v>CT</v>
      </c>
      <c r="C9" s="11"/>
      <c r="D9" s="18"/>
      <c r="E9" s="18" t="str">
        <f t="shared" si="0"/>
        <v/>
      </c>
      <c r="F9" s="19" t="str">
        <f t="shared" si="3"/>
        <v/>
      </c>
      <c r="G9" s="20"/>
      <c r="H9" s="20" t="str">
        <f t="shared" si="1"/>
        <v/>
      </c>
      <c r="I9" s="19" t="str">
        <f t="shared" si="2"/>
        <v/>
      </c>
      <c r="J9" s="59"/>
      <c r="K9" s="60"/>
    </row>
    <row r="10" spans="1:11" ht="15.6">
      <c r="A10" s="28" t="str">
        <v>Kohls - East Amherst</v>
      </c>
      <c r="B10" s="29" t="str">
        <v>NY</v>
      </c>
      <c r="C10" s="24"/>
      <c r="D10" s="13"/>
      <c r="E10" s="13" t="str">
        <f t="shared" si="0"/>
        <v/>
      </c>
      <c r="F10" s="14" t="str">
        <f t="shared" si="3"/>
        <v/>
      </c>
      <c r="G10" s="15"/>
      <c r="H10" s="15" t="str">
        <f t="shared" si="1"/>
        <v/>
      </c>
      <c r="I10" s="16" t="str">
        <f t="shared" si="2"/>
        <v/>
      </c>
      <c r="J10" s="57"/>
      <c r="K10" s="57"/>
    </row>
    <row r="11" spans="1:11" ht="15.6">
      <c r="A11" s="30" t="str">
        <v>Kohls - East Brunswick</v>
      </c>
      <c r="B11" s="31" t="str">
        <v>NJ</v>
      </c>
      <c r="C11" s="11"/>
      <c r="D11" s="18"/>
      <c r="E11" s="18" t="str">
        <f t="shared" si="0"/>
        <v/>
      </c>
      <c r="F11" s="19" t="str">
        <f t="shared" si="3"/>
        <v/>
      </c>
      <c r="G11" s="20"/>
      <c r="H11" s="20" t="str">
        <f t="shared" si="1"/>
        <v/>
      </c>
      <c r="I11" s="19" t="str">
        <f t="shared" si="2"/>
        <v/>
      </c>
      <c r="J11" s="59"/>
      <c r="K11" s="60"/>
    </row>
    <row r="12" spans="1:11" ht="15.6">
      <c r="A12" s="28" t="str">
        <v>Kohls - Edgewood</v>
      </c>
      <c r="B12" s="29" t="str">
        <v>MD</v>
      </c>
      <c r="C12" s="24"/>
      <c r="D12" s="13"/>
      <c r="E12" s="13" t="str">
        <f t="shared" si="0"/>
        <v/>
      </c>
      <c r="F12" s="14" t="str">
        <f t="shared" si="3"/>
        <v/>
      </c>
      <c r="G12" s="15"/>
      <c r="H12" s="15" t="str">
        <f t="shared" si="1"/>
        <v/>
      </c>
      <c r="I12" s="16" t="str">
        <f t="shared" si="2"/>
        <v/>
      </c>
      <c r="J12" s="57"/>
      <c r="K12" s="57"/>
    </row>
    <row r="13" spans="1:11" ht="15.6">
      <c r="A13" s="30" t="str">
        <v>Kohls - Granite Run</v>
      </c>
      <c r="B13" s="31" t="str">
        <v>PA</v>
      </c>
      <c r="C13" s="11"/>
      <c r="D13" s="18"/>
      <c r="E13" s="18" t="str">
        <f t="shared" si="0"/>
        <v/>
      </c>
      <c r="F13" s="19" t="str">
        <f t="shared" si="3"/>
        <v/>
      </c>
      <c r="G13" s="20"/>
      <c r="H13" s="20" t="str">
        <f t="shared" si="1"/>
        <v/>
      </c>
      <c r="I13" s="19" t="str">
        <f t="shared" si="2"/>
        <v/>
      </c>
      <c r="J13" s="59"/>
      <c r="K13" s="60"/>
    </row>
    <row r="14" spans="1:11" ht="15.6">
      <c r="A14" s="28" t="str">
        <v>Kohls - Greece</v>
      </c>
      <c r="B14" s="29" t="str">
        <v>NY</v>
      </c>
      <c r="C14" s="24"/>
      <c r="D14" s="13"/>
      <c r="E14" s="13" t="str">
        <f t="shared" si="0"/>
        <v/>
      </c>
      <c r="F14" s="14" t="str">
        <f t="shared" si="3"/>
        <v/>
      </c>
      <c r="G14" s="15"/>
      <c r="H14" s="15" t="str">
        <f t="shared" si="1"/>
        <v/>
      </c>
      <c r="I14" s="16" t="str">
        <f t="shared" si="2"/>
        <v/>
      </c>
      <c r="J14" s="57"/>
      <c r="K14" s="57"/>
    </row>
    <row r="15" spans="1:11" ht="15.6">
      <c r="A15" s="30" t="str">
        <v>Kohls - Hanover</v>
      </c>
      <c r="B15" s="31" t="str">
        <v>PA</v>
      </c>
      <c r="C15" s="11"/>
      <c r="D15" s="18"/>
      <c r="E15" s="18" t="str">
        <f t="shared" si="0"/>
        <v/>
      </c>
      <c r="F15" s="19" t="str">
        <f t="shared" si="3"/>
        <v/>
      </c>
      <c r="G15" s="20"/>
      <c r="H15" s="20" t="str">
        <f t="shared" si="1"/>
        <v/>
      </c>
      <c r="I15" s="19" t="str">
        <f t="shared" si="2"/>
        <v/>
      </c>
      <c r="J15" s="59"/>
      <c r="K15" s="60"/>
    </row>
    <row r="16" spans="1:11" ht="15.6">
      <c r="A16" s="28" t="str">
        <v>Kohls - Horsehead</v>
      </c>
      <c r="B16" s="29" t="str">
        <v>NY</v>
      </c>
      <c r="C16" s="24"/>
      <c r="D16" s="13"/>
      <c r="E16" s="13" t="str">
        <f t="shared" si="0"/>
        <v/>
      </c>
      <c r="F16" s="14" t="str">
        <f t="shared" si="3"/>
        <v/>
      </c>
      <c r="G16" s="15"/>
      <c r="H16" s="15" t="str">
        <f t="shared" si="1"/>
        <v/>
      </c>
      <c r="I16" s="16" t="str">
        <f t="shared" si="2"/>
        <v/>
      </c>
      <c r="J16" s="57"/>
      <c r="K16" s="57"/>
    </row>
    <row r="17" spans="1:11" ht="15.6">
      <c r="A17" s="30" t="str">
        <v>Kohls - Hudson</v>
      </c>
      <c r="B17" s="31" t="str">
        <v>NY</v>
      </c>
      <c r="C17" s="11"/>
      <c r="D17" s="18"/>
      <c r="E17" s="18" t="str">
        <f t="shared" si="0"/>
        <v/>
      </c>
      <c r="F17" s="19" t="str">
        <f t="shared" si="3"/>
        <v/>
      </c>
      <c r="G17" s="20"/>
      <c r="H17" s="20" t="str">
        <f t="shared" si="1"/>
        <v/>
      </c>
      <c r="I17" s="19" t="str">
        <f t="shared" si="2"/>
        <v/>
      </c>
      <c r="J17" s="59"/>
      <c r="K17" s="59"/>
    </row>
    <row r="18" spans="1:11" ht="12.75" customHeight="1">
      <c r="A18" s="32" t="str">
        <v>Kohls - Ithaca</v>
      </c>
      <c r="B18" s="29" t="str">
        <v>NY</v>
      </c>
      <c r="C18" s="24"/>
      <c r="D18" s="13"/>
      <c r="E18" s="13" t="str">
        <f t="shared" si="0"/>
        <v/>
      </c>
      <c r="F18" s="14"/>
      <c r="G18" s="15"/>
      <c r="H18" s="15" t="str">
        <f t="shared" si="1"/>
        <v/>
      </c>
      <c r="I18" s="16" t="str">
        <f t="shared" si="2"/>
        <v/>
      </c>
      <c r="J18" s="57"/>
      <c r="K18" s="57"/>
    </row>
    <row r="19" spans="1:11" ht="15.6">
      <c r="A19" s="30" t="str">
        <v>Kohls - Kingston</v>
      </c>
      <c r="B19" s="31" t="str">
        <v>NY</v>
      </c>
      <c r="C19" s="11"/>
      <c r="D19" s="18"/>
      <c r="E19" s="18" t="str">
        <f t="shared" si="0"/>
        <v/>
      </c>
      <c r="F19" s="19"/>
      <c r="G19" s="20"/>
      <c r="H19" s="20" t="str">
        <f t="shared" si="1"/>
        <v/>
      </c>
      <c r="I19" s="19" t="str">
        <f t="shared" si="2"/>
        <v/>
      </c>
      <c r="J19" s="59"/>
      <c r="K19" s="59"/>
    </row>
    <row r="20" spans="1:11" ht="15.6">
      <c r="A20" s="28" t="str">
        <v>Kohls - Mechanicsburg</v>
      </c>
      <c r="B20" s="29" t="str">
        <v>PA</v>
      </c>
      <c r="C20" s="24"/>
      <c r="D20" s="13"/>
      <c r="E20" s="13" t="str">
        <f t="shared" si="0"/>
        <v/>
      </c>
      <c r="F20" s="14"/>
      <c r="G20" s="15"/>
      <c r="H20" s="15" t="str">
        <f t="shared" si="1"/>
        <v/>
      </c>
      <c r="I20" s="16" t="str">
        <f t="shared" si="2"/>
        <v/>
      </c>
      <c r="J20" s="57"/>
      <c r="K20" s="57"/>
    </row>
    <row r="21" spans="1:11" ht="69" customHeight="1">
      <c r="A21" s="30" t="str">
        <v>Kohls - Middletown</v>
      </c>
      <c r="B21" s="31" t="str">
        <v>NJ</v>
      </c>
      <c r="C21" s="11"/>
      <c r="D21" s="18"/>
      <c r="E21" s="18" t="str">
        <f t="shared" si="0"/>
        <v/>
      </c>
      <c r="F21" s="19"/>
      <c r="G21" s="20"/>
      <c r="H21" s="20" t="str">
        <f t="shared" si="1"/>
        <v/>
      </c>
      <c r="I21" s="19" t="str">
        <f t="shared" si="2"/>
        <v/>
      </c>
      <c r="J21" s="55"/>
      <c r="K21" s="58"/>
    </row>
    <row r="22" spans="1:11" ht="15.6">
      <c r="A22" s="28" t="str">
        <v>Kohls - North Amherst</v>
      </c>
      <c r="B22" s="29" t="str">
        <v>NY</v>
      </c>
      <c r="C22" s="24"/>
      <c r="D22" s="13"/>
      <c r="E22" s="13" t="str">
        <f t="shared" si="0"/>
        <v/>
      </c>
      <c r="F22" s="14"/>
      <c r="G22" s="15"/>
      <c r="H22" s="15" t="str">
        <f t="shared" si="1"/>
        <v/>
      </c>
      <c r="I22" s="16" t="str">
        <f t="shared" si="2"/>
        <v/>
      </c>
      <c r="J22" s="57"/>
      <c r="K22" s="57"/>
    </row>
    <row r="23" spans="1:11" ht="15.6">
      <c r="A23" s="30" t="str">
        <v>Kohls - Staten Island</v>
      </c>
      <c r="B23" s="31" t="str">
        <v>NY</v>
      </c>
      <c r="C23" s="11"/>
      <c r="D23" s="18"/>
      <c r="E23" s="18" t="str">
        <f t="shared" si="0"/>
        <v/>
      </c>
      <c r="F23" s="19"/>
      <c r="G23" s="20"/>
      <c r="H23" s="20" t="str">
        <f t="shared" si="1"/>
        <v/>
      </c>
      <c r="I23" s="19" t="str">
        <f t="shared" si="2"/>
        <v/>
      </c>
      <c r="J23" s="59"/>
      <c r="K23" s="60"/>
    </row>
    <row r="24" spans="1:11" ht="15.6">
      <c r="A24" s="28" t="str">
        <v>Kohls - Warminster</v>
      </c>
      <c r="B24" s="29" t="str">
        <v>PA</v>
      </c>
      <c r="C24" s="24"/>
      <c r="D24" s="13"/>
      <c r="E24" s="13" t="str">
        <f t="shared" si="0"/>
        <v/>
      </c>
      <c r="F24" s="14"/>
      <c r="G24" s="15"/>
      <c r="H24" s="15" t="str">
        <f t="shared" si="1"/>
        <v/>
      </c>
      <c r="I24" s="16" t="str">
        <f t="shared" si="2"/>
        <v/>
      </c>
      <c r="J24" s="57"/>
      <c r="K24" s="57"/>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ref="E26:E68" si="4">IF(AND(ISNUMBER(C26),ISNUMBER(D26)), C26-D26, "")</f>
        <v/>
      </c>
      <c r="F26" s="14"/>
      <c r="G26" s="15"/>
      <c r="H26" s="15" t="str">
        <f t="shared" ref="H26:H68" si="5">IF(AND(ISNUMBER(C26),ISNUMBER(G26)), C26-G26, "")</f>
        <v/>
      </c>
      <c r="I26" s="16" t="str">
        <f t="shared" si="2"/>
        <v/>
      </c>
      <c r="J26" s="57"/>
      <c r="K26" s="57"/>
    </row>
    <row r="27" spans="1:11" ht="15.6">
      <c r="A27" s="30" t="str">
        <v>CSU - Bakersfield</v>
      </c>
      <c r="B27" s="31" t="str">
        <v>CA</v>
      </c>
      <c r="C27" s="11"/>
      <c r="D27" s="18"/>
      <c r="E27" s="18" t="str">
        <f t="shared" si="4"/>
        <v/>
      </c>
      <c r="F27" s="19"/>
      <c r="G27" s="20"/>
      <c r="H27" s="20" t="str">
        <f t="shared" si="5"/>
        <v/>
      </c>
      <c r="I27" s="19" t="str">
        <f t="shared" si="2"/>
        <v/>
      </c>
      <c r="J27" s="42"/>
      <c r="K27" s="43"/>
    </row>
    <row r="28" spans="1:11" ht="15.6">
      <c r="A28" s="28" t="str">
        <v>Greenfield USD - Fairfield ES</v>
      </c>
      <c r="B28" s="29" t="str">
        <v>CA</v>
      </c>
      <c r="C28" s="24"/>
      <c r="D28" s="13"/>
      <c r="E28" s="13" t="str">
        <f t="shared" si="4"/>
        <v/>
      </c>
      <c r="F28" s="14"/>
      <c r="G28" s="15"/>
      <c r="H28" s="15" t="str">
        <f t="shared" si="5"/>
        <v/>
      </c>
      <c r="I28" s="16" t="str">
        <f t="shared" si="2"/>
        <v/>
      </c>
      <c r="J28" s="57"/>
      <c r="K28" s="57"/>
    </row>
    <row r="29" spans="1:11" ht="15.6">
      <c r="A29" s="30" t="str">
        <v>Greenfield USD - Granite Point ES</v>
      </c>
      <c r="B29" s="31" t="str">
        <v>CA</v>
      </c>
      <c r="C29" s="11"/>
      <c r="D29" s="18"/>
      <c r="E29" s="18" t="str">
        <f t="shared" si="4"/>
        <v/>
      </c>
      <c r="F29" s="19"/>
      <c r="G29" s="20"/>
      <c r="H29" s="20" t="str">
        <f t="shared" si="5"/>
        <v/>
      </c>
      <c r="I29" s="19" t="str">
        <f t="shared" si="2"/>
        <v/>
      </c>
      <c r="J29" s="42"/>
      <c r="K29" s="43"/>
    </row>
    <row r="30" spans="1:11" ht="15.6">
      <c r="A30" s="28" t="str">
        <v>Greenfield USD - Greenfield MS</v>
      </c>
      <c r="B30" s="29" t="str">
        <v>CA</v>
      </c>
      <c r="C30" s="24"/>
      <c r="D30" s="13"/>
      <c r="E30" s="13" t="str">
        <f t="shared" si="4"/>
        <v/>
      </c>
      <c r="F30" s="14"/>
      <c r="G30" s="15"/>
      <c r="H30" s="15" t="str">
        <f t="shared" si="5"/>
        <v/>
      </c>
      <c r="I30" s="16" t="str">
        <f t="shared" si="2"/>
        <v/>
      </c>
      <c r="J30" s="57"/>
      <c r="K30" s="57"/>
    </row>
    <row r="31" spans="1:11" ht="15.6">
      <c r="A31" s="30" t="str">
        <v>Greenfield USD - Horizon ES</v>
      </c>
      <c r="B31" s="31" t="str">
        <v>CA</v>
      </c>
      <c r="C31" s="11"/>
      <c r="D31" s="18"/>
      <c r="E31" s="18" t="str">
        <f t="shared" si="4"/>
        <v/>
      </c>
      <c r="F31" s="19"/>
      <c r="G31" s="20"/>
      <c r="H31" s="20" t="str">
        <f t="shared" si="5"/>
        <v/>
      </c>
      <c r="I31" s="19" t="str">
        <f t="shared" si="2"/>
        <v/>
      </c>
      <c r="J31" s="42"/>
      <c r="K31" s="43"/>
    </row>
    <row r="32" spans="1:11" ht="15.6">
      <c r="A32" s="28" t="str">
        <v>Greenfield USD - McKee MS</v>
      </c>
      <c r="B32" s="29" t="str">
        <v>CA</v>
      </c>
      <c r="C32" s="24"/>
      <c r="D32" s="13"/>
      <c r="E32" s="13" t="str">
        <f t="shared" si="4"/>
        <v/>
      </c>
      <c r="F32" s="14"/>
      <c r="G32" s="15"/>
      <c r="H32" s="15" t="str">
        <f t="shared" si="5"/>
        <v/>
      </c>
      <c r="I32" s="16" t="str">
        <f t="shared" si="2"/>
        <v/>
      </c>
      <c r="J32" s="57"/>
      <c r="K32" s="57"/>
    </row>
    <row r="33" spans="1:11" ht="15.6">
      <c r="A33" s="30" t="str">
        <v>Greenfield USD - Plantation ES</v>
      </c>
      <c r="B33" s="31" t="str">
        <v>CA</v>
      </c>
      <c r="C33" s="11"/>
      <c r="D33" s="18"/>
      <c r="E33" s="18" t="str">
        <f t="shared" si="4"/>
        <v/>
      </c>
      <c r="F33" s="19"/>
      <c r="G33" s="20"/>
      <c r="H33" s="20" t="str">
        <f t="shared" si="5"/>
        <v/>
      </c>
      <c r="I33" s="19" t="str">
        <f t="shared" si="2"/>
        <v/>
      </c>
      <c r="J33" s="42"/>
      <c r="K33" s="43"/>
    </row>
    <row r="34" spans="1:11" ht="15.6">
      <c r="A34" s="28" t="str">
        <v>Greenfield USD - Planz ES</v>
      </c>
      <c r="B34" s="29" t="str">
        <v>CA</v>
      </c>
      <c r="C34" s="24"/>
      <c r="D34" s="13"/>
      <c r="E34" s="13" t="str">
        <f t="shared" si="4"/>
        <v/>
      </c>
      <c r="F34" s="14"/>
      <c r="G34" s="15"/>
      <c r="H34" s="15" t="str">
        <f t="shared" si="5"/>
        <v/>
      </c>
      <c r="I34" s="16" t="str">
        <f t="shared" si="2"/>
        <v/>
      </c>
      <c r="J34" s="57"/>
      <c r="K34" s="57"/>
    </row>
    <row r="35" spans="1:11" ht="15.6">
      <c r="A35" s="30" t="str">
        <v>Greenfield USD - Raffaello Palla ES</v>
      </c>
      <c r="B35" s="31" t="str">
        <v>CA</v>
      </c>
      <c r="C35" s="11"/>
      <c r="D35" s="18"/>
      <c r="E35" s="18" t="str">
        <f t="shared" si="4"/>
        <v/>
      </c>
      <c r="F35" s="19"/>
      <c r="G35" s="20"/>
      <c r="H35" s="20" t="str">
        <f t="shared" si="5"/>
        <v/>
      </c>
      <c r="I35" s="19" t="str">
        <f t="shared" si="2"/>
        <v/>
      </c>
      <c r="J35" s="42"/>
      <c r="K35" s="43"/>
    </row>
    <row r="36" spans="1:11" ht="15.6">
      <c r="A36" s="28" t="str">
        <v>Greenfield USD - Valle Verde ES</v>
      </c>
      <c r="B36" s="29" t="str">
        <v>CA</v>
      </c>
      <c r="C36" s="24"/>
      <c r="D36" s="13"/>
      <c r="E36" s="13" t="str">
        <f t="shared" si="4"/>
        <v/>
      </c>
      <c r="F36" s="14"/>
      <c r="G36" s="15"/>
      <c r="H36" s="15" t="str">
        <f t="shared" si="5"/>
        <v/>
      </c>
      <c r="I36" s="16" t="str">
        <f t="shared" si="2"/>
        <v/>
      </c>
      <c r="J36" s="57"/>
      <c r="K36" s="57"/>
    </row>
    <row r="37" spans="1:11" ht="15.6">
      <c r="A37" s="30" t="str">
        <v>Greenfield USD - W.A. Kendrick ES</v>
      </c>
      <c r="B37" s="31" t="str">
        <v>CA</v>
      </c>
      <c r="C37" s="11"/>
      <c r="D37" s="18"/>
      <c r="E37" s="18" t="str">
        <f t="shared" si="4"/>
        <v/>
      </c>
      <c r="F37" s="19"/>
      <c r="G37" s="20"/>
      <c r="H37" s="20" t="str">
        <f t="shared" si="5"/>
        <v/>
      </c>
      <c r="I37" s="19" t="str">
        <f t="shared" si="2"/>
        <v/>
      </c>
      <c r="J37" s="42"/>
      <c r="K37" s="43"/>
    </row>
    <row r="38" spans="1:11" ht="15.6">
      <c r="A38" s="28" t="str">
        <v>Muroc Joint USD - Boron HS</v>
      </c>
      <c r="B38" s="29" t="str">
        <v>CA</v>
      </c>
      <c r="C38" s="24"/>
      <c r="D38" s="13"/>
      <c r="E38" s="13" t="str">
        <f t="shared" si="4"/>
        <v/>
      </c>
      <c r="F38" s="14"/>
      <c r="G38" s="15"/>
      <c r="H38" s="15" t="str">
        <f t="shared" si="5"/>
        <v/>
      </c>
      <c r="I38" s="16" t="str">
        <f t="shared" si="2"/>
        <v/>
      </c>
      <c r="J38" s="57"/>
      <c r="K38" s="57"/>
    </row>
    <row r="39" spans="1:11" ht="15.6">
      <c r="A39" s="30" t="str">
        <v>Muroc Joint USD - W. Boron ES</v>
      </c>
      <c r="B39" s="31" t="str">
        <v>CA</v>
      </c>
      <c r="C39" s="11"/>
      <c r="D39" s="18"/>
      <c r="E39" s="18" t="str">
        <f t="shared" si="4"/>
        <v/>
      </c>
      <c r="F39" s="19"/>
      <c r="G39" s="20"/>
      <c r="H39" s="20" t="str">
        <f t="shared" si="5"/>
        <v/>
      </c>
      <c r="I39" s="19" t="str">
        <f t="shared" si="2"/>
        <v/>
      </c>
      <c r="J39" s="42"/>
      <c r="K39" s="43"/>
    </row>
    <row r="40" spans="1:11" ht="15.6">
      <c r="A40" s="28" t="str">
        <v>Colusa - WTP</v>
      </c>
      <c r="B40" s="29" t="str">
        <v>CA</v>
      </c>
      <c r="C40" s="24"/>
      <c r="D40" s="13"/>
      <c r="E40" s="13" t="str">
        <f t="shared" si="4"/>
        <v/>
      </c>
      <c r="F40" s="14"/>
      <c r="G40" s="15"/>
      <c r="H40" s="15" t="str">
        <f t="shared" si="5"/>
        <v/>
      </c>
      <c r="I40" s="16" t="str">
        <f t="shared" si="2"/>
        <v/>
      </c>
      <c r="J40" s="57"/>
      <c r="K40" s="57"/>
    </row>
    <row r="41" spans="1:11" ht="15.6">
      <c r="A41" s="30" t="str">
        <v>CDCR-North Kern State Prision</v>
      </c>
      <c r="B41" s="31" t="str">
        <v>CA</v>
      </c>
      <c r="C41" s="11"/>
      <c r="D41" s="18"/>
      <c r="E41" s="18" t="str">
        <f t="shared" si="4"/>
        <v/>
      </c>
      <c r="F41" s="19"/>
      <c r="G41" s="20"/>
      <c r="H41" s="20" t="str">
        <f t="shared" si="5"/>
        <v/>
      </c>
      <c r="I41" s="19" t="str">
        <f t="shared" si="2"/>
        <v/>
      </c>
      <c r="J41" s="42"/>
      <c r="K41" s="43"/>
    </row>
    <row r="42" spans="1:11" ht="15.6">
      <c r="A42" s="28" t="str">
        <v>Muroc Joint USD - District Office</v>
      </c>
      <c r="B42" s="29" t="str">
        <v>CA</v>
      </c>
      <c r="C42" s="24"/>
      <c r="D42" s="13"/>
      <c r="E42" s="13" t="str">
        <f t="shared" si="4"/>
        <v/>
      </c>
      <c r="F42" s="14"/>
      <c r="G42" s="15"/>
      <c r="H42" s="15" t="str">
        <f t="shared" si="5"/>
        <v/>
      </c>
      <c r="I42" s="16" t="str">
        <f t="shared" si="2"/>
        <v/>
      </c>
      <c r="J42" s="57"/>
      <c r="K42" s="57"/>
    </row>
    <row r="43" spans="1:11" ht="15.6">
      <c r="A43" s="30" t="str">
        <v>Whole Foods - Manhattan Beach</v>
      </c>
      <c r="B43" s="31" t="str">
        <v>CA</v>
      </c>
      <c r="C43" s="11"/>
      <c r="D43" s="18"/>
      <c r="E43" s="18" t="str">
        <f t="shared" si="4"/>
        <v/>
      </c>
      <c r="F43" s="19"/>
      <c r="G43" s="20"/>
      <c r="H43" s="20" t="str">
        <f t="shared" si="5"/>
        <v/>
      </c>
      <c r="I43" s="19" t="str">
        <f t="shared" si="2"/>
        <v/>
      </c>
      <c r="J43" s="42"/>
      <c r="K43" s="43"/>
    </row>
    <row r="44" spans="1:11" ht="15.6">
      <c r="A44" s="28" t="str">
        <v>Pioneer USD - Frontier ES</v>
      </c>
      <c r="B44" s="29" t="str">
        <v>CA</v>
      </c>
      <c r="C44" s="24"/>
      <c r="D44" s="13"/>
      <c r="E44" s="13" t="str">
        <f t="shared" si="4"/>
        <v/>
      </c>
      <c r="F44" s="14"/>
      <c r="G44" s="15"/>
      <c r="H44" s="15" t="str">
        <f t="shared" si="5"/>
        <v/>
      </c>
      <c r="I44" s="16" t="str">
        <f t="shared" si="2"/>
        <v/>
      </c>
      <c r="J44" s="57"/>
      <c r="K44" s="57"/>
    </row>
    <row r="45" spans="1:11" ht="15.6">
      <c r="A45" s="30" t="str">
        <v>Pioneer USD - Pioneer ES</v>
      </c>
      <c r="B45" s="31" t="str">
        <v>CA</v>
      </c>
      <c r="C45" s="11"/>
      <c r="D45" s="18"/>
      <c r="E45" s="18" t="str">
        <f t="shared" si="4"/>
        <v/>
      </c>
      <c r="F45" s="19"/>
      <c r="G45" s="20"/>
      <c r="H45" s="20" t="str">
        <f t="shared" si="5"/>
        <v/>
      </c>
      <c r="I45" s="19" t="str">
        <f t="shared" si="2"/>
        <v/>
      </c>
      <c r="J45" s="42"/>
      <c r="K45" s="43"/>
    </row>
    <row r="46" spans="1:11" ht="15.6">
      <c r="A46" s="28" t="str">
        <v>Pioneer USD - Pioneer MS</v>
      </c>
      <c r="B46" s="29" t="str">
        <v>CA</v>
      </c>
      <c r="C46" s="24"/>
      <c r="D46" s="13"/>
      <c r="E46" s="13" t="str">
        <f t="shared" si="4"/>
        <v/>
      </c>
      <c r="F46" s="14"/>
      <c r="G46" s="15"/>
      <c r="H46" s="15" t="str">
        <f t="shared" si="5"/>
        <v/>
      </c>
      <c r="I46" s="16" t="str">
        <f t="shared" si="2"/>
        <v/>
      </c>
      <c r="J46" s="57"/>
      <c r="K46" s="57"/>
    </row>
    <row r="47" spans="1:11" ht="15.6">
      <c r="A47" s="30" t="str">
        <v>Kingsburg Joint UHSD - Kingsburg HS</v>
      </c>
      <c r="B47" s="31" t="str">
        <v>CA</v>
      </c>
      <c r="C47" s="11"/>
      <c r="D47" s="18"/>
      <c r="E47" s="18" t="str">
        <f t="shared" si="4"/>
        <v/>
      </c>
      <c r="F47" s="19"/>
      <c r="G47" s="20"/>
      <c r="H47" s="20" t="str">
        <f t="shared" si="5"/>
        <v/>
      </c>
      <c r="I47" s="19" t="str">
        <f t="shared" si="2"/>
        <v/>
      </c>
      <c r="J47" s="42"/>
      <c r="K47" s="43"/>
    </row>
    <row r="48" spans="1:11" ht="15.6">
      <c r="A48" s="28" t="str">
        <v>CADRB</v>
      </c>
      <c r="B48" s="29" t="str">
        <v>CA</v>
      </c>
      <c r="C48" s="24"/>
      <c r="D48" s="13"/>
      <c r="E48" s="13" t="str">
        <f t="shared" si="4"/>
        <v/>
      </c>
      <c r="F48" s="14"/>
      <c r="G48" s="15"/>
      <c r="H48" s="15" t="str">
        <f t="shared" si="5"/>
        <v/>
      </c>
      <c r="I48" s="16" t="str">
        <f t="shared" si="2"/>
        <v/>
      </c>
      <c r="J48" s="57"/>
      <c r="K48" s="57"/>
    </row>
    <row r="49" spans="1:11" ht="15.6">
      <c r="A49" s="30" t="str">
        <v>CDCR-CA State Prison LA County</v>
      </c>
      <c r="B49" s="31" t="str">
        <v>CA</v>
      </c>
      <c r="C49" s="11"/>
      <c r="D49" s="18"/>
      <c r="E49" s="18" t="str">
        <f t="shared" si="4"/>
        <v/>
      </c>
      <c r="F49" s="19"/>
      <c r="G49" s="20"/>
      <c r="H49" s="20" t="str">
        <f t="shared" si="5"/>
        <v/>
      </c>
      <c r="I49" s="19" t="str">
        <f t="shared" si="2"/>
        <v/>
      </c>
      <c r="J49" s="42"/>
      <c r="K49" s="43"/>
    </row>
    <row r="50" spans="1:11" ht="15.6">
      <c r="A50" s="28" t="str">
        <v>Central USD Akers ES</v>
      </c>
      <c r="B50" s="29" t="str">
        <v>CA</v>
      </c>
      <c r="C50" s="24"/>
      <c r="D50" s="13"/>
      <c r="E50" s="13" t="str">
        <f t="shared" si="4"/>
        <v/>
      </c>
      <c r="F50" s="14"/>
      <c r="G50" s="15"/>
      <c r="H50" s="15" t="str">
        <f t="shared" si="5"/>
        <v/>
      </c>
      <c r="I50" s="16" t="str">
        <f t="shared" si="2"/>
        <v/>
      </c>
      <c r="J50" s="57"/>
      <c r="K50" s="57"/>
    </row>
    <row r="51" spans="1:11" ht="15.6">
      <c r="A51" s="30" t="str">
        <v>CUSD - District Office</v>
      </c>
      <c r="B51" s="31" t="str">
        <v>CA</v>
      </c>
      <c r="C51" s="11"/>
      <c r="D51" s="18"/>
      <c r="E51" s="18" t="str">
        <f t="shared" si="4"/>
        <v/>
      </c>
      <c r="F51" s="19"/>
      <c r="G51" s="20"/>
      <c r="H51" s="20" t="str">
        <f t="shared" si="5"/>
        <v/>
      </c>
      <c r="I51" s="19" t="str">
        <f t="shared" si="2"/>
        <v/>
      </c>
      <c r="J51" s="42"/>
      <c r="K51" s="43"/>
    </row>
    <row r="52" spans="1:11" ht="15.6">
      <c r="A52" s="28" t="str">
        <v>Parlier - WTP</v>
      </c>
      <c r="B52" s="29" t="str">
        <v>CA</v>
      </c>
      <c r="C52" s="24"/>
      <c r="D52" s="13"/>
      <c r="E52" s="13" t="str">
        <f t="shared" si="4"/>
        <v/>
      </c>
      <c r="F52" s="14"/>
      <c r="G52" s="15"/>
      <c r="H52" s="15" t="str">
        <f t="shared" si="5"/>
        <v/>
      </c>
      <c r="I52" s="16" t="str">
        <f t="shared" si="2"/>
        <v/>
      </c>
      <c r="J52" s="57"/>
      <c r="K52" s="57"/>
    </row>
    <row r="53" spans="1:11" ht="15.6">
      <c r="A53" s="30" t="str">
        <v>Snowline SD - Quail Valley MS</v>
      </c>
      <c r="B53" s="31" t="str">
        <v>CA</v>
      </c>
      <c r="C53" s="11"/>
      <c r="D53" s="18"/>
      <c r="E53" s="18" t="str">
        <f t="shared" si="4"/>
        <v/>
      </c>
      <c r="F53" s="19"/>
      <c r="G53" s="20"/>
      <c r="H53" s="20" t="str">
        <f t="shared" si="5"/>
        <v/>
      </c>
      <c r="I53" s="19" t="str">
        <f t="shared" si="2"/>
        <v/>
      </c>
      <c r="J53" s="42"/>
      <c r="K53" s="43"/>
    </row>
    <row r="54" spans="1:11" ht="15.6">
      <c r="A54" s="28" t="str">
        <v>Snowline SD - Serrano HS - Middle Lot</v>
      </c>
      <c r="B54" s="29" t="str">
        <v>CA</v>
      </c>
      <c r="C54" s="24"/>
      <c r="D54" s="13"/>
      <c r="E54" s="13" t="str">
        <f t="shared" si="4"/>
        <v/>
      </c>
      <c r="F54" s="14"/>
      <c r="G54" s="15"/>
      <c r="H54" s="15" t="str">
        <f t="shared" si="5"/>
        <v/>
      </c>
      <c r="I54" s="16" t="str">
        <f t="shared" si="2"/>
        <v/>
      </c>
      <c r="J54" s="57"/>
      <c r="K54" s="57"/>
    </row>
    <row r="55" spans="1:11" ht="15.6">
      <c r="A55" s="30" t="str">
        <v>Snowline SD - Pinon Hills ES</v>
      </c>
      <c r="B55" s="31" t="str">
        <v>CA</v>
      </c>
      <c r="C55" s="11"/>
      <c r="D55" s="18"/>
      <c r="E55" s="18" t="str">
        <f t="shared" si="4"/>
        <v/>
      </c>
      <c r="F55" s="19"/>
      <c r="G55" s="20"/>
      <c r="H55" s="20" t="str">
        <f t="shared" si="5"/>
        <v/>
      </c>
      <c r="I55" s="19" t="str">
        <f t="shared" si="2"/>
        <v/>
      </c>
      <c r="J55" s="42"/>
      <c r="K55" s="43"/>
    </row>
    <row r="56" spans="1:11" ht="15.6">
      <c r="A56" s="28" t="str">
        <v>Ramona - Santa Maria WTP</v>
      </c>
      <c r="B56" s="29" t="str">
        <v>CA</v>
      </c>
      <c r="C56" s="24"/>
      <c r="D56" s="13"/>
      <c r="E56" s="13" t="str">
        <f t="shared" si="4"/>
        <v/>
      </c>
      <c r="F56" s="14"/>
      <c r="G56" s="15"/>
      <c r="H56" s="15" t="str">
        <f t="shared" si="5"/>
        <v/>
      </c>
      <c r="I56" s="16" t="str">
        <f t="shared" si="2"/>
        <v/>
      </c>
      <c r="J56" s="57"/>
      <c r="K56" s="57"/>
    </row>
    <row r="57" spans="1:11" ht="15.6">
      <c r="A57" s="30" t="str">
        <v>Kohls - Redding</v>
      </c>
      <c r="B57" s="31" t="str">
        <v>CA</v>
      </c>
      <c r="C57" s="11"/>
      <c r="D57" s="18"/>
      <c r="E57" s="18" t="str">
        <f t="shared" si="4"/>
        <v/>
      </c>
      <c r="F57" s="19"/>
      <c r="G57" s="20"/>
      <c r="H57" s="20" t="str">
        <f t="shared" si="5"/>
        <v/>
      </c>
      <c r="I57" s="19" t="str">
        <f t="shared" si="2"/>
        <v/>
      </c>
      <c r="J57" s="42"/>
      <c r="K57" s="43"/>
    </row>
    <row r="58" spans="1:11" ht="15.6">
      <c r="A58" s="28" t="str">
        <v>Kohls - Salinas</v>
      </c>
      <c r="B58" s="29" t="str">
        <v>CA</v>
      </c>
      <c r="C58" s="24"/>
      <c r="D58" s="13"/>
      <c r="E58" s="13" t="str">
        <f t="shared" si="4"/>
        <v/>
      </c>
      <c r="F58" s="14"/>
      <c r="G58" s="15"/>
      <c r="H58" s="15" t="str">
        <f t="shared" si="5"/>
        <v/>
      </c>
      <c r="I58" s="16" t="str">
        <f t="shared" si="2"/>
        <v/>
      </c>
      <c r="J58" s="57"/>
      <c r="K58" s="57"/>
    </row>
    <row r="59" spans="1:11" ht="15.6">
      <c r="A59" s="30" t="str">
        <v>Kohls - San Bernardino - Central</v>
      </c>
      <c r="B59" s="31" t="str">
        <v>CA</v>
      </c>
      <c r="C59" s="11"/>
      <c r="D59" s="18"/>
      <c r="E59" s="18" t="str">
        <f t="shared" si="4"/>
        <v/>
      </c>
      <c r="F59" s="19"/>
      <c r="G59" s="20"/>
      <c r="H59" s="20" t="str">
        <f t="shared" si="5"/>
        <v/>
      </c>
      <c r="I59" s="19" t="str">
        <f t="shared" si="2"/>
        <v/>
      </c>
      <c r="J59" s="42"/>
      <c r="K59" s="43"/>
    </row>
    <row r="60" spans="1:11" ht="15.6">
      <c r="A60" s="28" t="str">
        <v>Kohls - Sonora</v>
      </c>
      <c r="B60" s="29" t="str">
        <v>CA</v>
      </c>
      <c r="C60" s="24"/>
      <c r="D60" s="13"/>
      <c r="E60" s="13" t="str">
        <f t="shared" si="4"/>
        <v/>
      </c>
      <c r="F60" s="14"/>
      <c r="G60" s="15"/>
      <c r="H60" s="15" t="str">
        <f t="shared" si="5"/>
        <v/>
      </c>
      <c r="I60" s="16" t="str">
        <f t="shared" si="2"/>
        <v/>
      </c>
      <c r="J60" s="57"/>
      <c r="K60" s="57"/>
    </row>
    <row r="61" spans="1:11" ht="15.6">
      <c r="A61" s="30" t="str">
        <v>CUSD - Stratford ES</v>
      </c>
      <c r="B61" s="31" t="str">
        <v>CA</v>
      </c>
      <c r="C61" s="11"/>
      <c r="D61" s="18"/>
      <c r="E61" s="18" t="str">
        <f t="shared" si="4"/>
        <v/>
      </c>
      <c r="F61" s="19"/>
      <c r="G61" s="20"/>
      <c r="H61" s="20" t="str">
        <f t="shared" si="5"/>
        <v/>
      </c>
      <c r="I61" s="19" t="str">
        <f t="shared" si="2"/>
        <v/>
      </c>
      <c r="J61" s="42"/>
      <c r="K61" s="43"/>
    </row>
    <row r="62" spans="1:11" ht="15.6">
      <c r="A62" s="28" t="str">
        <v>Taft - City Hall</v>
      </c>
      <c r="B62" s="29" t="str">
        <v>CA</v>
      </c>
      <c r="C62" s="24"/>
      <c r="D62" s="13"/>
      <c r="E62" s="13" t="str">
        <f t="shared" si="4"/>
        <v/>
      </c>
      <c r="F62" s="14"/>
      <c r="G62" s="15"/>
      <c r="H62" s="15" t="str">
        <f t="shared" si="5"/>
        <v/>
      </c>
      <c r="I62" s="16" t="str">
        <f t="shared" si="2"/>
        <v/>
      </c>
      <c r="J62" s="57"/>
      <c r="K62" s="57"/>
    </row>
    <row r="63" spans="1:11" ht="15.6">
      <c r="A63" s="30" t="str">
        <v>Taft - Federal Prison</v>
      </c>
      <c r="B63" s="31" t="str">
        <v>CA</v>
      </c>
      <c r="C63" s="11"/>
      <c r="D63" s="18"/>
      <c r="E63" s="18" t="str">
        <f t="shared" si="4"/>
        <v/>
      </c>
      <c r="F63" s="19"/>
      <c r="G63" s="20"/>
      <c r="H63" s="20" t="str">
        <f t="shared" si="5"/>
        <v/>
      </c>
      <c r="I63" s="19" t="str">
        <f t="shared" si="2"/>
        <v/>
      </c>
      <c r="J63" s="42"/>
      <c r="K63" s="43"/>
    </row>
    <row r="64" spans="1:11" ht="15.6">
      <c r="A64" s="28" t="str">
        <v>Taft - Police Department</v>
      </c>
      <c r="B64" s="29" t="str">
        <v>CA</v>
      </c>
      <c r="C64" s="24"/>
      <c r="D64" s="13"/>
      <c r="E64" s="13" t="str">
        <f t="shared" si="4"/>
        <v/>
      </c>
      <c r="F64" s="14"/>
      <c r="G64" s="15"/>
      <c r="H64" s="15" t="str">
        <f t="shared" si="5"/>
        <v/>
      </c>
      <c r="I64" s="16" t="str">
        <f t="shared" si="2"/>
        <v/>
      </c>
      <c r="J64" s="57"/>
      <c r="K64" s="57"/>
    </row>
    <row r="65" spans="1:11" ht="15.6">
      <c r="A65" s="30" t="str">
        <v>Taft - WTP</v>
      </c>
      <c r="B65" s="31" t="str">
        <v>CA</v>
      </c>
      <c r="C65" s="11"/>
      <c r="D65" s="18"/>
      <c r="E65" s="18" t="str">
        <f t="shared" si="4"/>
        <v/>
      </c>
      <c r="F65" s="19"/>
      <c r="G65" s="20"/>
      <c r="H65" s="20" t="str">
        <f t="shared" si="5"/>
        <v/>
      </c>
      <c r="I65" s="19" t="str">
        <f t="shared" si="2"/>
        <v/>
      </c>
      <c r="J65" s="42"/>
      <c r="K65" s="43"/>
    </row>
    <row r="66" spans="1:11" ht="15.6">
      <c r="A66" s="28" t="str">
        <v>CDCR - CA Correctional Institution</v>
      </c>
      <c r="B66" s="29" t="str">
        <v>CA</v>
      </c>
      <c r="C66" s="24"/>
      <c r="D66" s="13"/>
      <c r="E66" s="13" t="str">
        <f t="shared" si="4"/>
        <v/>
      </c>
      <c r="F66" s="14"/>
      <c r="G66" s="15"/>
      <c r="H66" s="15" t="str">
        <f t="shared" si="5"/>
        <v/>
      </c>
      <c r="I66" s="16" t="str">
        <f t="shared" si="2"/>
        <v/>
      </c>
      <c r="J66" s="57"/>
      <c r="K66" s="57"/>
    </row>
    <row r="67" spans="1:11" ht="15.6">
      <c r="A67" s="30" t="str">
        <v>CDCR - CA Correctional Institution II</v>
      </c>
      <c r="B67" s="31" t="str">
        <v>CA</v>
      </c>
      <c r="C67" s="11"/>
      <c r="D67" s="18"/>
      <c r="E67" s="18" t="str">
        <f t="shared" si="4"/>
        <v/>
      </c>
      <c r="F67" s="19"/>
      <c r="G67" s="20"/>
      <c r="H67" s="20" t="str">
        <f t="shared" si="5"/>
        <v/>
      </c>
      <c r="I67" s="19" t="str">
        <f t="shared" si="2"/>
        <v/>
      </c>
      <c r="J67" s="42"/>
      <c r="K67" s="43"/>
    </row>
    <row r="68" spans="1:11" ht="15.6">
      <c r="A68" s="28" t="str">
        <v>Snowline SD - Vista Verde ES</v>
      </c>
      <c r="B68" s="29" t="str">
        <v>CA</v>
      </c>
      <c r="C68" s="24"/>
      <c r="D68" s="13"/>
      <c r="E68" s="13" t="str">
        <f t="shared" si="4"/>
        <v/>
      </c>
      <c r="F68" s="14"/>
      <c r="G68" s="15"/>
      <c r="H68" s="15" t="str">
        <f t="shared" si="5"/>
        <v/>
      </c>
      <c r="I68" s="16" t="str">
        <f t="shared" si="2"/>
        <v/>
      </c>
      <c r="J68" s="57"/>
      <c r="K68" s="57"/>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2"/>
  <sheetViews>
    <sheetView zoomScale="80" zoomScaleNormal="80" workbookViewId="0">
      <pane xSplit="2" ySplit="3" topLeftCell="C4"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333</v>
      </c>
      <c r="E1" s="122"/>
      <c r="F1" s="122"/>
      <c r="G1" s="120" t="s">
        <v>334</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25"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42"/>
      <c r="K7" s="43"/>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42"/>
      <c r="K15" s="4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54"/>
      <c r="K17" s="43"/>
    </row>
    <row r="18" spans="1:11" ht="12.75" customHeight="1">
      <c r="A18" s="32" t="str">
        <v>Kohls - Ithaca</v>
      </c>
      <c r="B18" s="29" t="str">
        <v>NY</v>
      </c>
      <c r="C18" s="24"/>
      <c r="D18" s="13"/>
      <c r="E18" s="13" t="str">
        <f t="shared" si="0"/>
        <v/>
      </c>
      <c r="F18" s="14" t="str">
        <f t="shared" si="3"/>
        <v/>
      </c>
      <c r="G18" s="15"/>
      <c r="H18" s="15" t="str">
        <f t="shared" si="1"/>
        <v/>
      </c>
      <c r="I18" s="16" t="str">
        <f t="shared" si="2"/>
        <v/>
      </c>
      <c r="J18" s="41"/>
      <c r="K18" s="41"/>
    </row>
    <row r="19" spans="1:11" ht="15.6">
      <c r="A19" s="30" t="str">
        <v>Kohls - Kingston</v>
      </c>
      <c r="B19" s="31" t="str">
        <v>NY</v>
      </c>
      <c r="C19" s="11"/>
      <c r="D19" s="18"/>
      <c r="E19" s="18" t="str">
        <f t="shared" si="0"/>
        <v/>
      </c>
      <c r="F19" s="19" t="str">
        <f t="shared" si="3"/>
        <v/>
      </c>
      <c r="G19" s="20"/>
      <c r="H19" s="20" t="str">
        <f t="shared" si="1"/>
        <v/>
      </c>
      <c r="I19" s="19" t="str">
        <f t="shared" si="2"/>
        <v/>
      </c>
      <c r="J19" s="42"/>
      <c r="K19" s="42"/>
    </row>
    <row r="20" spans="1:11" ht="15.6">
      <c r="A20" s="28" t="str">
        <v>Kohls - Mechanicsburg</v>
      </c>
      <c r="B20" s="29" t="str">
        <v>PA</v>
      </c>
      <c r="C20" s="24"/>
      <c r="D20" s="13"/>
      <c r="E20" s="13" t="str">
        <f t="shared" si="0"/>
        <v/>
      </c>
      <c r="F20" s="14" t="str">
        <f t="shared" si="3"/>
        <v/>
      </c>
      <c r="G20" s="15"/>
      <c r="H20" s="15" t="str">
        <f t="shared" si="1"/>
        <v/>
      </c>
      <c r="I20" s="16" t="str">
        <f t="shared" si="2"/>
        <v/>
      </c>
      <c r="J20" s="41"/>
      <c r="K20" s="41"/>
    </row>
    <row r="21" spans="1:11" ht="15.6">
      <c r="A21" s="30" t="str">
        <v>Kohls - Middletown</v>
      </c>
      <c r="B21" s="31" t="str">
        <v>NJ</v>
      </c>
      <c r="C21" s="11"/>
      <c r="D21" s="18"/>
      <c r="E21" s="18" t="str">
        <f t="shared" si="0"/>
        <v/>
      </c>
      <c r="F21" s="19" t="str">
        <f t="shared" si="3"/>
        <v/>
      </c>
      <c r="G21" s="20"/>
      <c r="H21" s="20" t="str">
        <f t="shared" si="1"/>
        <v/>
      </c>
      <c r="I21" s="19" t="str">
        <f t="shared" si="2"/>
        <v/>
      </c>
      <c r="J21" s="42"/>
      <c r="K21" s="43"/>
    </row>
    <row r="22" spans="1:11" ht="15.6">
      <c r="A22" s="28" t="str">
        <v>Kohls - North Amherst</v>
      </c>
      <c r="B22" s="29" t="str">
        <v>NY</v>
      </c>
      <c r="C22" s="24"/>
      <c r="D22" s="13"/>
      <c r="E22" s="13" t="str">
        <f t="shared" si="0"/>
        <v/>
      </c>
      <c r="F22" s="14" t="str">
        <f t="shared" si="3"/>
        <v/>
      </c>
      <c r="G22" s="15"/>
      <c r="H22" s="15" t="str">
        <f t="shared" si="1"/>
        <v/>
      </c>
      <c r="I22" s="16" t="str">
        <f t="shared" si="2"/>
        <v/>
      </c>
      <c r="J22" s="41"/>
      <c r="K22" s="41"/>
    </row>
    <row r="23" spans="1:11" ht="15.6">
      <c r="A23" s="30" t="str">
        <v>Kohls - Staten Island</v>
      </c>
      <c r="B23" s="31" t="str">
        <v>NY</v>
      </c>
      <c r="C23" s="11"/>
      <c r="D23" s="18"/>
      <c r="E23" s="18" t="str">
        <f t="shared" si="0"/>
        <v/>
      </c>
      <c r="F23" s="19" t="str">
        <f t="shared" si="3"/>
        <v/>
      </c>
      <c r="G23" s="20"/>
      <c r="H23" s="20" t="str">
        <f t="shared" si="1"/>
        <v/>
      </c>
      <c r="I23" s="19" t="str">
        <f t="shared" si="2"/>
        <v/>
      </c>
      <c r="J23" s="42"/>
      <c r="K23" s="61"/>
    </row>
    <row r="24" spans="1:11" ht="15.6">
      <c r="A24" s="28" t="str">
        <v>Kohls - Warminster</v>
      </c>
      <c r="B24" s="29" t="str">
        <v>PA</v>
      </c>
      <c r="C24" s="24"/>
      <c r="D24" s="13"/>
      <c r="E24" s="13" t="str">
        <f t="shared" si="0"/>
        <v/>
      </c>
      <c r="F24" s="14" t="str">
        <f t="shared" si="3"/>
        <v/>
      </c>
      <c r="G24" s="15"/>
      <c r="H24" s="15" t="str">
        <f t="shared" si="1"/>
        <v/>
      </c>
      <c r="I24" s="16" t="str">
        <f t="shared" si="2"/>
        <v/>
      </c>
      <c r="J24" s="41"/>
      <c r="K24" s="41"/>
    </row>
    <row r="25" spans="1:11" ht="15.6">
      <c r="A25" s="30" t="str">
        <v xml:space="preserve">Kohls - Waterbury </v>
      </c>
      <c r="B25" s="31" t="str">
        <v>CT</v>
      </c>
      <c r="C25" s="11"/>
      <c r="D25" s="18"/>
      <c r="E25" s="18" t="str">
        <f t="shared" si="0"/>
        <v/>
      </c>
      <c r="F25" s="19" t="str">
        <f t="shared" si="3"/>
        <v/>
      </c>
      <c r="G25" s="20"/>
      <c r="H25" s="20" t="str">
        <f t="shared" si="1"/>
        <v/>
      </c>
      <c r="I25" s="19" t="str">
        <f t="shared" si="2"/>
        <v/>
      </c>
      <c r="J25" s="42"/>
      <c r="K25" s="43"/>
    </row>
    <row r="26" spans="1:11" ht="15.6">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41"/>
    </row>
    <row r="27" spans="1:11" ht="15.6">
      <c r="A27" s="30" t="str">
        <v>CSU - Bakersfield</v>
      </c>
      <c r="B27" s="31" t="str">
        <v>CA</v>
      </c>
      <c r="C27" s="11"/>
      <c r="D27" s="18"/>
      <c r="E27" s="18" t="str">
        <f t="shared" si="4"/>
        <v/>
      </c>
      <c r="F27" s="19" t="str">
        <f t="shared" si="5"/>
        <v/>
      </c>
      <c r="G27" s="20"/>
      <c r="H27" s="20" t="str">
        <f t="shared" si="6"/>
        <v/>
      </c>
      <c r="I27" s="19" t="str">
        <f t="shared" si="2"/>
        <v/>
      </c>
      <c r="J27" s="42"/>
      <c r="K27" s="43"/>
    </row>
    <row r="28" spans="1:11" ht="15.6">
      <c r="A28" s="28" t="str">
        <v>Greenfield USD - Fairfield ES</v>
      </c>
      <c r="B28" s="29" t="str">
        <v>CA</v>
      </c>
      <c r="C28" s="24"/>
      <c r="D28" s="13"/>
      <c r="E28" s="13" t="str">
        <f t="shared" si="4"/>
        <v/>
      </c>
      <c r="F28" s="14" t="str">
        <f t="shared" si="5"/>
        <v/>
      </c>
      <c r="G28" s="15"/>
      <c r="H28" s="15" t="str">
        <f t="shared" si="6"/>
        <v/>
      </c>
      <c r="I28" s="16" t="str">
        <f t="shared" si="2"/>
        <v/>
      </c>
      <c r="J28" s="41"/>
      <c r="K28" s="41"/>
    </row>
    <row r="29" spans="1:11" ht="15.6">
      <c r="A29" s="30" t="str">
        <v>Greenfield USD - Granite Point ES</v>
      </c>
      <c r="B29" s="31" t="str">
        <v>CA</v>
      </c>
      <c r="C29" s="11"/>
      <c r="D29" s="18"/>
      <c r="E29" s="18" t="str">
        <f t="shared" si="4"/>
        <v/>
      </c>
      <c r="F29" s="19" t="str">
        <f t="shared" si="5"/>
        <v/>
      </c>
      <c r="G29" s="20"/>
      <c r="H29" s="20" t="str">
        <f t="shared" si="6"/>
        <v/>
      </c>
      <c r="I29" s="19" t="str">
        <f t="shared" si="2"/>
        <v/>
      </c>
      <c r="J29" s="42"/>
      <c r="K29" s="43"/>
    </row>
    <row r="30" spans="1:11" ht="15.6">
      <c r="A30" s="28" t="str">
        <v>Greenfield USD - Greenfield MS</v>
      </c>
      <c r="B30" s="29" t="str">
        <v>CA</v>
      </c>
      <c r="C30" s="24"/>
      <c r="D30" s="13"/>
      <c r="E30" s="13" t="str">
        <f t="shared" si="4"/>
        <v/>
      </c>
      <c r="F30" s="14" t="str">
        <f t="shared" si="5"/>
        <v/>
      </c>
      <c r="G30" s="15"/>
      <c r="H30" s="15" t="str">
        <f t="shared" si="6"/>
        <v/>
      </c>
      <c r="I30" s="16" t="str">
        <f t="shared" si="2"/>
        <v/>
      </c>
      <c r="J30" s="41"/>
      <c r="K30" s="41"/>
    </row>
    <row r="31" spans="1:11" ht="15.6">
      <c r="A31" s="30" t="str">
        <v>Greenfield USD - Horizon ES</v>
      </c>
      <c r="B31" s="31" t="str">
        <v>CA</v>
      </c>
      <c r="C31" s="11"/>
      <c r="D31" s="18"/>
      <c r="E31" s="18" t="str">
        <f t="shared" si="4"/>
        <v/>
      </c>
      <c r="F31" s="19" t="str">
        <f t="shared" si="5"/>
        <v/>
      </c>
      <c r="G31" s="20"/>
      <c r="H31" s="20" t="str">
        <f t="shared" si="6"/>
        <v/>
      </c>
      <c r="I31" s="19" t="str">
        <f t="shared" si="2"/>
        <v/>
      </c>
      <c r="J31" s="42"/>
      <c r="K31" s="43"/>
    </row>
    <row r="32" spans="1:11" ht="15.6">
      <c r="A32" s="28" t="str">
        <v>Greenfield USD - McKee MS</v>
      </c>
      <c r="B32" s="29" t="str">
        <v>CA</v>
      </c>
      <c r="C32" s="24"/>
      <c r="D32" s="13"/>
      <c r="E32" s="13" t="str">
        <f t="shared" si="4"/>
        <v/>
      </c>
      <c r="F32" s="14" t="str">
        <f t="shared" si="5"/>
        <v/>
      </c>
      <c r="G32" s="15"/>
      <c r="H32" s="15" t="str">
        <f t="shared" si="6"/>
        <v/>
      </c>
      <c r="I32" s="16" t="str">
        <f t="shared" si="2"/>
        <v/>
      </c>
      <c r="J32" s="41"/>
      <c r="K32" s="41"/>
    </row>
    <row r="33" spans="1:11" ht="15.6">
      <c r="A33" s="30" t="str">
        <v>Greenfield USD - Plantation ES</v>
      </c>
      <c r="B33" s="31" t="str">
        <v>CA</v>
      </c>
      <c r="C33" s="11"/>
      <c r="D33" s="18"/>
      <c r="E33" s="18" t="str">
        <f t="shared" si="4"/>
        <v/>
      </c>
      <c r="F33" s="19" t="str">
        <f t="shared" si="5"/>
        <v/>
      </c>
      <c r="G33" s="20"/>
      <c r="H33" s="20" t="str">
        <f t="shared" si="6"/>
        <v/>
      </c>
      <c r="I33" s="19" t="str">
        <f t="shared" si="2"/>
        <v/>
      </c>
      <c r="J33" s="42"/>
      <c r="K33" s="43"/>
    </row>
    <row r="34" spans="1:11" ht="15.6">
      <c r="A34" s="28" t="str">
        <v>Greenfield USD - Planz ES</v>
      </c>
      <c r="B34" s="29" t="str">
        <v>CA</v>
      </c>
      <c r="C34" s="24"/>
      <c r="D34" s="13"/>
      <c r="E34" s="13" t="str">
        <f t="shared" si="4"/>
        <v/>
      </c>
      <c r="F34" s="14" t="str">
        <f t="shared" si="5"/>
        <v/>
      </c>
      <c r="G34" s="15"/>
      <c r="H34" s="15" t="str">
        <f t="shared" si="6"/>
        <v/>
      </c>
      <c r="I34" s="16" t="str">
        <f t="shared" si="2"/>
        <v/>
      </c>
      <c r="J34" s="41"/>
      <c r="K34" s="41"/>
    </row>
    <row r="35" spans="1:11" ht="15.6">
      <c r="A35" s="30" t="str">
        <v>Greenfield USD - Raffaello Palla ES</v>
      </c>
      <c r="B35" s="31" t="str">
        <v>CA</v>
      </c>
      <c r="C35" s="11"/>
      <c r="D35" s="18"/>
      <c r="E35" s="18" t="str">
        <f t="shared" si="4"/>
        <v/>
      </c>
      <c r="F35" s="19" t="str">
        <f t="shared" si="5"/>
        <v/>
      </c>
      <c r="G35" s="20"/>
      <c r="H35" s="20" t="str">
        <f t="shared" si="6"/>
        <v/>
      </c>
      <c r="I35" s="19" t="str">
        <f t="shared" si="2"/>
        <v/>
      </c>
      <c r="J35" s="42"/>
      <c r="K35" s="43"/>
    </row>
    <row r="36" spans="1:11" ht="15.6">
      <c r="A36" s="28" t="str">
        <v>Greenfield USD - Valle Verde ES</v>
      </c>
      <c r="B36" s="29" t="str">
        <v>CA</v>
      </c>
      <c r="C36" s="24"/>
      <c r="D36" s="13"/>
      <c r="E36" s="13" t="str">
        <f t="shared" si="4"/>
        <v/>
      </c>
      <c r="F36" s="14" t="str">
        <f t="shared" si="5"/>
        <v/>
      </c>
      <c r="G36" s="15"/>
      <c r="H36" s="15" t="str">
        <f t="shared" si="6"/>
        <v/>
      </c>
      <c r="I36" s="16" t="str">
        <f t="shared" si="2"/>
        <v/>
      </c>
      <c r="J36" s="41"/>
      <c r="K36" s="41"/>
    </row>
    <row r="37" spans="1:11" ht="15.6">
      <c r="A37" s="30" t="str">
        <v>Greenfield USD - W.A. Kendrick ES</v>
      </c>
      <c r="B37" s="31" t="str">
        <v>CA</v>
      </c>
      <c r="C37" s="11"/>
      <c r="D37" s="18"/>
      <c r="E37" s="18" t="str">
        <f t="shared" si="4"/>
        <v/>
      </c>
      <c r="F37" s="19" t="str">
        <f t="shared" si="5"/>
        <v/>
      </c>
      <c r="G37" s="20"/>
      <c r="H37" s="20" t="str">
        <f t="shared" si="6"/>
        <v/>
      </c>
      <c r="I37" s="19" t="str">
        <f t="shared" si="2"/>
        <v/>
      </c>
      <c r="J37" s="42"/>
      <c r="K37" s="43"/>
    </row>
    <row r="38" spans="1:11" ht="15.6">
      <c r="A38" s="28" t="str">
        <v>Muroc Joint USD - Boron HS</v>
      </c>
      <c r="B38" s="29" t="str">
        <v>CA</v>
      </c>
      <c r="C38" s="24"/>
      <c r="D38" s="13"/>
      <c r="E38" s="13" t="str">
        <f t="shared" si="4"/>
        <v/>
      </c>
      <c r="F38" s="14" t="str">
        <f t="shared" si="5"/>
        <v/>
      </c>
      <c r="G38" s="15"/>
      <c r="H38" s="15" t="str">
        <f t="shared" si="6"/>
        <v/>
      </c>
      <c r="I38" s="16" t="str">
        <f t="shared" si="2"/>
        <v/>
      </c>
      <c r="J38" s="41"/>
      <c r="K38" s="41"/>
    </row>
    <row r="39" spans="1:11" ht="15.6">
      <c r="A39" s="30" t="str">
        <v>Muroc Joint USD - W. Boron ES</v>
      </c>
      <c r="B39" s="31" t="str">
        <v>CA</v>
      </c>
      <c r="C39" s="11"/>
      <c r="D39" s="18"/>
      <c r="E39" s="18" t="str">
        <f t="shared" si="4"/>
        <v/>
      </c>
      <c r="F39" s="19" t="str">
        <f t="shared" si="5"/>
        <v/>
      </c>
      <c r="G39" s="20"/>
      <c r="H39" s="20" t="str">
        <f t="shared" si="6"/>
        <v/>
      </c>
      <c r="I39" s="19" t="str">
        <f t="shared" si="2"/>
        <v/>
      </c>
      <c r="J39" s="42"/>
      <c r="K39" s="43"/>
    </row>
    <row r="40" spans="1:11" ht="15.6">
      <c r="A40" s="28" t="str">
        <v>Colusa - WTP</v>
      </c>
      <c r="B40" s="29" t="str">
        <v>CA</v>
      </c>
      <c r="C40" s="24"/>
      <c r="D40" s="13"/>
      <c r="E40" s="13" t="str">
        <f t="shared" si="4"/>
        <v/>
      </c>
      <c r="F40" s="14" t="str">
        <f t="shared" si="5"/>
        <v/>
      </c>
      <c r="G40" s="15"/>
      <c r="H40" s="15" t="str">
        <f t="shared" si="6"/>
        <v/>
      </c>
      <c r="I40" s="16" t="str">
        <f t="shared" si="2"/>
        <v/>
      </c>
      <c r="J40" s="41"/>
      <c r="K40" s="41"/>
    </row>
    <row r="41" spans="1:11" ht="15.6">
      <c r="A41" s="30" t="str">
        <v>CDCR-North Kern State Prision</v>
      </c>
      <c r="B41" s="31" t="str">
        <v>CA</v>
      </c>
      <c r="C41" s="11"/>
      <c r="D41" s="18"/>
      <c r="E41" s="18" t="str">
        <f t="shared" si="4"/>
        <v/>
      </c>
      <c r="F41" s="19" t="str">
        <f t="shared" si="5"/>
        <v/>
      </c>
      <c r="G41" s="20"/>
      <c r="H41" s="20" t="str">
        <f t="shared" si="6"/>
        <v/>
      </c>
      <c r="I41" s="19" t="str">
        <f t="shared" si="2"/>
        <v/>
      </c>
      <c r="J41" s="42"/>
      <c r="K41" s="43"/>
    </row>
    <row r="42" spans="1:11" ht="15.6">
      <c r="A42" s="28" t="str">
        <v>Muroc Joint USD - District Office</v>
      </c>
      <c r="B42" s="29" t="str">
        <v>CA</v>
      </c>
      <c r="C42" s="24"/>
      <c r="D42" s="13"/>
      <c r="E42" s="13" t="str">
        <f t="shared" si="4"/>
        <v/>
      </c>
      <c r="F42" s="14" t="str">
        <f t="shared" si="5"/>
        <v/>
      </c>
      <c r="G42" s="15"/>
      <c r="H42" s="15" t="str">
        <f t="shared" si="6"/>
        <v/>
      </c>
      <c r="I42" s="16" t="str">
        <f t="shared" si="2"/>
        <v/>
      </c>
      <c r="J42" s="41"/>
      <c r="K42" s="41"/>
    </row>
    <row r="43" spans="1:11" ht="15.6">
      <c r="A43" s="30" t="str">
        <v>Whole Foods - Manhattan Beach</v>
      </c>
      <c r="B43" s="31" t="str">
        <v>CA</v>
      </c>
      <c r="C43" s="11"/>
      <c r="D43" s="18"/>
      <c r="E43" s="18" t="str">
        <f t="shared" si="4"/>
        <v/>
      </c>
      <c r="F43" s="19" t="str">
        <f t="shared" si="5"/>
        <v/>
      </c>
      <c r="G43" s="20"/>
      <c r="H43" s="20" t="str">
        <f t="shared" si="6"/>
        <v/>
      </c>
      <c r="I43" s="19" t="str">
        <f t="shared" si="2"/>
        <v/>
      </c>
      <c r="J43" s="42"/>
      <c r="K43" s="43"/>
    </row>
    <row r="44" spans="1:11" ht="15.6">
      <c r="A44" s="28" t="str">
        <v>Pioneer USD - Frontier ES</v>
      </c>
      <c r="B44" s="29" t="str">
        <v>CA</v>
      </c>
      <c r="C44" s="24"/>
      <c r="D44" s="13"/>
      <c r="E44" s="13" t="str">
        <f t="shared" si="4"/>
        <v/>
      </c>
      <c r="F44" s="14" t="str">
        <f t="shared" si="5"/>
        <v/>
      </c>
      <c r="G44" s="15"/>
      <c r="H44" s="15" t="str">
        <f t="shared" si="6"/>
        <v/>
      </c>
      <c r="I44" s="16" t="str">
        <f t="shared" si="2"/>
        <v/>
      </c>
      <c r="J44" s="41"/>
      <c r="K44" s="41"/>
    </row>
    <row r="45" spans="1:11" ht="15.6">
      <c r="A45" s="30" t="str">
        <v>Pioneer USD - Pioneer ES</v>
      </c>
      <c r="B45" s="31" t="str">
        <v>CA</v>
      </c>
      <c r="C45" s="11"/>
      <c r="D45" s="18"/>
      <c r="E45" s="18" t="str">
        <f t="shared" si="4"/>
        <v/>
      </c>
      <c r="F45" s="19" t="str">
        <f t="shared" si="5"/>
        <v/>
      </c>
      <c r="G45" s="20"/>
      <c r="H45" s="20" t="str">
        <f t="shared" si="6"/>
        <v/>
      </c>
      <c r="I45" s="19" t="str">
        <f t="shared" si="2"/>
        <v/>
      </c>
      <c r="J45" s="42"/>
      <c r="K45" s="43"/>
    </row>
    <row r="46" spans="1:11" ht="15.6">
      <c r="A46" s="28" t="str">
        <v>Pioneer USD - Pioneer MS</v>
      </c>
      <c r="B46" s="29" t="str">
        <v>CA</v>
      </c>
      <c r="C46" s="24"/>
      <c r="D46" s="13"/>
      <c r="E46" s="13" t="str">
        <f t="shared" si="4"/>
        <v/>
      </c>
      <c r="F46" s="14" t="str">
        <f t="shared" si="5"/>
        <v/>
      </c>
      <c r="G46" s="15"/>
      <c r="H46" s="15" t="str">
        <f t="shared" si="6"/>
        <v/>
      </c>
      <c r="I46" s="16" t="str">
        <f t="shared" si="2"/>
        <v/>
      </c>
      <c r="J46" s="41"/>
      <c r="K46" s="41"/>
    </row>
    <row r="47" spans="1:11" ht="15.6">
      <c r="A47" s="30" t="str">
        <v>Kingsburg Joint UHSD - Kingsburg HS</v>
      </c>
      <c r="B47" s="31" t="str">
        <v>CA</v>
      </c>
      <c r="C47" s="11"/>
      <c r="D47" s="18"/>
      <c r="E47" s="18" t="str">
        <f t="shared" si="4"/>
        <v/>
      </c>
      <c r="F47" s="19" t="str">
        <f t="shared" si="5"/>
        <v/>
      </c>
      <c r="G47" s="20"/>
      <c r="H47" s="20" t="str">
        <f t="shared" si="6"/>
        <v/>
      </c>
      <c r="I47" s="19" t="str">
        <f t="shared" si="2"/>
        <v/>
      </c>
      <c r="J47" s="42"/>
      <c r="K47" s="43"/>
    </row>
    <row r="48" spans="1:11" ht="15.6">
      <c r="A48" s="28" t="str">
        <v>CADRB</v>
      </c>
      <c r="B48" s="29" t="str">
        <v>CA</v>
      </c>
      <c r="C48" s="24"/>
      <c r="D48" s="13"/>
      <c r="E48" s="13" t="str">
        <f t="shared" si="4"/>
        <v/>
      </c>
      <c r="F48" s="14" t="str">
        <f t="shared" si="5"/>
        <v/>
      </c>
      <c r="G48" s="15"/>
      <c r="H48" s="15" t="str">
        <f t="shared" si="6"/>
        <v/>
      </c>
      <c r="I48" s="16" t="str">
        <f t="shared" si="2"/>
        <v/>
      </c>
      <c r="J48" s="41"/>
      <c r="K48" s="41"/>
    </row>
    <row r="49" spans="1:11" ht="15.6">
      <c r="A49" s="30" t="str">
        <v>CDCR-CA State Prison LA County</v>
      </c>
      <c r="B49" s="31" t="str">
        <v>CA</v>
      </c>
      <c r="C49" s="11"/>
      <c r="D49" s="18"/>
      <c r="E49" s="18" t="str">
        <f t="shared" si="4"/>
        <v/>
      </c>
      <c r="F49" s="19" t="str">
        <f t="shared" si="5"/>
        <v/>
      </c>
      <c r="G49" s="20"/>
      <c r="H49" s="20" t="str">
        <f t="shared" si="6"/>
        <v/>
      </c>
      <c r="I49" s="19" t="str">
        <f t="shared" si="2"/>
        <v/>
      </c>
      <c r="J49" s="42"/>
      <c r="K49" s="43"/>
    </row>
    <row r="50" spans="1:11" ht="15.6">
      <c r="A50" s="28" t="str">
        <v>Central USD Akers ES</v>
      </c>
      <c r="B50" s="29" t="str">
        <v>CA</v>
      </c>
      <c r="C50" s="24"/>
      <c r="D50" s="13"/>
      <c r="E50" s="13" t="str">
        <f t="shared" si="4"/>
        <v/>
      </c>
      <c r="F50" s="14" t="str">
        <f t="shared" si="5"/>
        <v/>
      </c>
      <c r="G50" s="15"/>
      <c r="H50" s="15" t="str">
        <f t="shared" si="6"/>
        <v/>
      </c>
      <c r="I50" s="16" t="str">
        <f t="shared" si="2"/>
        <v/>
      </c>
      <c r="J50" s="41"/>
      <c r="K50" s="41"/>
    </row>
    <row r="51" spans="1:11" ht="15.6">
      <c r="A51" s="30" t="str">
        <v>CUSD - District Office</v>
      </c>
      <c r="B51" s="31" t="str">
        <v>CA</v>
      </c>
      <c r="C51" s="11"/>
      <c r="D51" s="18"/>
      <c r="E51" s="18" t="str">
        <f t="shared" si="4"/>
        <v/>
      </c>
      <c r="F51" s="19" t="str">
        <f t="shared" si="5"/>
        <v/>
      </c>
      <c r="G51" s="20"/>
      <c r="H51" s="20" t="str">
        <f t="shared" si="6"/>
        <v/>
      </c>
      <c r="I51" s="19" t="str">
        <f t="shared" si="2"/>
        <v/>
      </c>
      <c r="J51" s="42"/>
      <c r="K51" s="43"/>
    </row>
    <row r="52" spans="1:11" ht="15.6">
      <c r="A52" s="28" t="str">
        <v>Parlier - WTP</v>
      </c>
      <c r="B52" s="29" t="str">
        <v>CA</v>
      </c>
      <c r="C52" s="24"/>
      <c r="D52" s="13"/>
      <c r="E52" s="13" t="str">
        <f t="shared" si="4"/>
        <v/>
      </c>
      <c r="F52" s="14" t="str">
        <f t="shared" si="5"/>
        <v/>
      </c>
      <c r="G52" s="15"/>
      <c r="H52" s="15" t="str">
        <f t="shared" si="6"/>
        <v/>
      </c>
      <c r="I52" s="16" t="str">
        <f t="shared" si="2"/>
        <v/>
      </c>
      <c r="J52" s="41"/>
      <c r="K52" s="41"/>
    </row>
    <row r="53" spans="1:11" ht="15.6">
      <c r="A53" s="30" t="str">
        <v>Snowline SD - Quail Valley MS</v>
      </c>
      <c r="B53" s="31" t="str">
        <v>CA</v>
      </c>
      <c r="C53" s="11"/>
      <c r="D53" s="18"/>
      <c r="E53" s="18" t="str">
        <f t="shared" si="4"/>
        <v/>
      </c>
      <c r="F53" s="19" t="str">
        <f t="shared" si="5"/>
        <v/>
      </c>
      <c r="G53" s="20"/>
      <c r="H53" s="20" t="str">
        <f t="shared" si="6"/>
        <v/>
      </c>
      <c r="I53" s="19" t="str">
        <f t="shared" si="2"/>
        <v/>
      </c>
      <c r="J53" s="42"/>
      <c r="K53" s="43"/>
    </row>
    <row r="54" spans="1:11" ht="15.6">
      <c r="A54" s="28" t="str">
        <v>Snowline SD - Serrano HS - Middle Lot</v>
      </c>
      <c r="B54" s="29" t="str">
        <v>CA</v>
      </c>
      <c r="C54" s="24"/>
      <c r="D54" s="13"/>
      <c r="E54" s="13" t="str">
        <f t="shared" si="4"/>
        <v/>
      </c>
      <c r="F54" s="14" t="str">
        <f t="shared" si="5"/>
        <v/>
      </c>
      <c r="G54" s="15"/>
      <c r="H54" s="15" t="str">
        <f t="shared" si="6"/>
        <v/>
      </c>
      <c r="I54" s="16" t="str">
        <f t="shared" si="2"/>
        <v/>
      </c>
      <c r="J54" s="41"/>
      <c r="K54" s="41"/>
    </row>
    <row r="55" spans="1:11" ht="15.6">
      <c r="A55" s="30" t="str">
        <v>Snowline SD - Pinon Hills ES</v>
      </c>
      <c r="B55" s="31" t="str">
        <v>CA</v>
      </c>
      <c r="C55" s="11"/>
      <c r="D55" s="18"/>
      <c r="E55" s="18" t="str">
        <f t="shared" si="4"/>
        <v/>
      </c>
      <c r="F55" s="19" t="str">
        <f t="shared" si="5"/>
        <v/>
      </c>
      <c r="G55" s="20"/>
      <c r="H55" s="20" t="str">
        <f t="shared" si="6"/>
        <v/>
      </c>
      <c r="I55" s="19" t="str">
        <f t="shared" si="2"/>
        <v/>
      </c>
      <c r="J55" s="42"/>
      <c r="K55" s="43"/>
    </row>
    <row r="56" spans="1:11" ht="15.6">
      <c r="A56" s="28" t="str">
        <v>Ramona - Santa Maria WTP</v>
      </c>
      <c r="B56" s="29" t="str">
        <v>CA</v>
      </c>
      <c r="C56" s="24"/>
      <c r="D56" s="13"/>
      <c r="E56" s="13" t="str">
        <f t="shared" si="4"/>
        <v/>
      </c>
      <c r="F56" s="14" t="str">
        <f t="shared" si="5"/>
        <v/>
      </c>
      <c r="G56" s="15"/>
      <c r="H56" s="15" t="str">
        <f t="shared" si="6"/>
        <v/>
      </c>
      <c r="I56" s="16" t="str">
        <f t="shared" si="2"/>
        <v/>
      </c>
      <c r="J56" s="41"/>
      <c r="K56" s="41"/>
    </row>
    <row r="57" spans="1:11" ht="15.6">
      <c r="A57" s="30" t="str">
        <v>Kohls - Redding</v>
      </c>
      <c r="B57" s="31" t="str">
        <v>CA</v>
      </c>
      <c r="C57" s="11"/>
      <c r="D57" s="18"/>
      <c r="E57" s="18" t="str">
        <f t="shared" si="4"/>
        <v/>
      </c>
      <c r="F57" s="19" t="str">
        <f t="shared" si="5"/>
        <v/>
      </c>
      <c r="G57" s="20"/>
      <c r="H57" s="20" t="str">
        <f t="shared" si="6"/>
        <v/>
      </c>
      <c r="I57" s="19" t="str">
        <f t="shared" si="2"/>
        <v/>
      </c>
      <c r="J57" s="42"/>
      <c r="K57" s="43"/>
    </row>
    <row r="58" spans="1:11" ht="15.6">
      <c r="A58" s="28" t="str">
        <v>Kohls - Salinas</v>
      </c>
      <c r="B58" s="29" t="str">
        <v>CA</v>
      </c>
      <c r="C58" s="24"/>
      <c r="D58" s="13"/>
      <c r="E58" s="13" t="str">
        <f t="shared" si="4"/>
        <v/>
      </c>
      <c r="F58" s="14" t="str">
        <f t="shared" si="5"/>
        <v/>
      </c>
      <c r="G58" s="15"/>
      <c r="H58" s="15" t="str">
        <f t="shared" si="6"/>
        <v/>
      </c>
      <c r="I58" s="16" t="str">
        <f t="shared" si="2"/>
        <v/>
      </c>
      <c r="J58" s="41"/>
      <c r="K58" s="41"/>
    </row>
    <row r="59" spans="1:11" ht="15.6">
      <c r="A59" s="30" t="str">
        <v>Kohls - San Bernardino - Central</v>
      </c>
      <c r="B59" s="31" t="str">
        <v>CA</v>
      </c>
      <c r="C59" s="11"/>
      <c r="D59" s="18"/>
      <c r="E59" s="18" t="str">
        <f t="shared" si="4"/>
        <v/>
      </c>
      <c r="F59" s="19" t="str">
        <f t="shared" si="5"/>
        <v/>
      </c>
      <c r="G59" s="20"/>
      <c r="H59" s="20" t="str">
        <f t="shared" si="6"/>
        <v/>
      </c>
      <c r="I59" s="19" t="str">
        <f t="shared" si="2"/>
        <v/>
      </c>
      <c r="J59" s="42"/>
      <c r="K59" s="43"/>
    </row>
    <row r="60" spans="1:11" ht="15.6">
      <c r="A60" s="28" t="str">
        <v>Kohls - Sonora</v>
      </c>
      <c r="B60" s="29" t="str">
        <v>CA</v>
      </c>
      <c r="C60" s="24"/>
      <c r="D60" s="13"/>
      <c r="E60" s="13" t="str">
        <f t="shared" si="4"/>
        <v/>
      </c>
      <c r="F60" s="14" t="str">
        <f t="shared" si="5"/>
        <v/>
      </c>
      <c r="G60" s="15"/>
      <c r="H60" s="15" t="str">
        <f t="shared" si="6"/>
        <v/>
      </c>
      <c r="I60" s="16" t="str">
        <f t="shared" si="2"/>
        <v/>
      </c>
      <c r="J60" s="41"/>
      <c r="K60" s="41"/>
    </row>
    <row r="61" spans="1:11" ht="15.6">
      <c r="A61" s="30" t="str">
        <v>CUSD - Stratford ES</v>
      </c>
      <c r="B61" s="31" t="str">
        <v>CA</v>
      </c>
      <c r="C61" s="11"/>
      <c r="D61" s="18"/>
      <c r="E61" s="18" t="str">
        <f t="shared" si="4"/>
        <v/>
      </c>
      <c r="F61" s="19" t="str">
        <f t="shared" si="5"/>
        <v/>
      </c>
      <c r="G61" s="20"/>
      <c r="H61" s="20" t="str">
        <f t="shared" si="6"/>
        <v/>
      </c>
      <c r="I61" s="19" t="str">
        <f t="shared" si="2"/>
        <v/>
      </c>
      <c r="J61" s="42"/>
      <c r="K61" s="43"/>
    </row>
    <row r="62" spans="1:11" ht="15.6">
      <c r="A62" s="28" t="str">
        <v>Taft - City Hall</v>
      </c>
      <c r="B62" s="29" t="str">
        <v>CA</v>
      </c>
      <c r="C62" s="24"/>
      <c r="D62" s="13"/>
      <c r="E62" s="13" t="str">
        <f t="shared" si="4"/>
        <v/>
      </c>
      <c r="F62" s="14" t="str">
        <f t="shared" si="5"/>
        <v/>
      </c>
      <c r="G62" s="15"/>
      <c r="H62" s="15" t="str">
        <f t="shared" si="6"/>
        <v/>
      </c>
      <c r="I62" s="16" t="str">
        <f t="shared" si="2"/>
        <v/>
      </c>
      <c r="J62" s="41"/>
      <c r="K62" s="41"/>
    </row>
    <row r="63" spans="1:11" ht="15.6">
      <c r="A63" s="30" t="str">
        <v>Taft - Federal Prison</v>
      </c>
      <c r="B63" s="31" t="str">
        <v>CA</v>
      </c>
      <c r="C63" s="11"/>
      <c r="D63" s="18"/>
      <c r="E63" s="18" t="str">
        <f t="shared" si="4"/>
        <v/>
      </c>
      <c r="F63" s="19" t="str">
        <f t="shared" si="5"/>
        <v/>
      </c>
      <c r="G63" s="20"/>
      <c r="H63" s="20" t="str">
        <f t="shared" si="6"/>
        <v/>
      </c>
      <c r="I63" s="19" t="str">
        <f t="shared" si="2"/>
        <v/>
      </c>
      <c r="J63" s="42"/>
      <c r="K63" s="43"/>
    </row>
    <row r="64" spans="1:11" ht="15.6">
      <c r="A64" s="28" t="str">
        <v>Taft - Police Department</v>
      </c>
      <c r="B64" s="29" t="str">
        <v>CA</v>
      </c>
      <c r="C64" s="24"/>
      <c r="D64" s="13"/>
      <c r="E64" s="13" t="str">
        <f t="shared" si="4"/>
        <v/>
      </c>
      <c r="F64" s="14" t="str">
        <f t="shared" si="5"/>
        <v/>
      </c>
      <c r="G64" s="15"/>
      <c r="H64" s="15" t="str">
        <f t="shared" si="6"/>
        <v/>
      </c>
      <c r="I64" s="16" t="str">
        <f t="shared" si="2"/>
        <v/>
      </c>
      <c r="J64" s="41"/>
      <c r="K64" s="41"/>
    </row>
    <row r="65" spans="1:11" ht="15.6">
      <c r="A65" s="30" t="str">
        <v>Taft - WTP</v>
      </c>
      <c r="B65" s="31" t="str">
        <v>CA</v>
      </c>
      <c r="C65" s="11"/>
      <c r="D65" s="18"/>
      <c r="E65" s="18" t="str">
        <f t="shared" si="4"/>
        <v/>
      </c>
      <c r="F65" s="19" t="str">
        <f t="shared" si="5"/>
        <v/>
      </c>
      <c r="G65" s="20"/>
      <c r="H65" s="20" t="str">
        <f t="shared" si="6"/>
        <v/>
      </c>
      <c r="I65" s="19" t="str">
        <f t="shared" si="2"/>
        <v/>
      </c>
      <c r="J65" s="42"/>
      <c r="K65" s="43"/>
    </row>
    <row r="66" spans="1:11" ht="15.6">
      <c r="A66" s="28" t="str">
        <v>CDCR - CA Correctional Institution</v>
      </c>
      <c r="B66" s="29" t="str">
        <v>CA</v>
      </c>
      <c r="C66" s="24"/>
      <c r="D66" s="13"/>
      <c r="E66" s="13" t="str">
        <f t="shared" si="4"/>
        <v/>
      </c>
      <c r="F66" s="14" t="str">
        <f t="shared" si="5"/>
        <v/>
      </c>
      <c r="G66" s="15"/>
      <c r="H66" s="15" t="str">
        <f t="shared" si="6"/>
        <v/>
      </c>
      <c r="I66" s="16" t="str">
        <f t="shared" si="2"/>
        <v/>
      </c>
      <c r="J66" s="41"/>
      <c r="K66" s="41"/>
    </row>
    <row r="67" spans="1:11" ht="15.6">
      <c r="A67" s="30" t="str">
        <v>CDCR - CA Correctional Institution II</v>
      </c>
      <c r="B67" s="31" t="str">
        <v>CA</v>
      </c>
      <c r="C67" s="11"/>
      <c r="D67" s="18"/>
      <c r="E67" s="18" t="str">
        <f t="shared" si="4"/>
        <v/>
      </c>
      <c r="F67" s="19" t="str">
        <f t="shared" si="5"/>
        <v/>
      </c>
      <c r="G67" s="20"/>
      <c r="H67" s="20" t="str">
        <f t="shared" si="6"/>
        <v/>
      </c>
      <c r="I67" s="19" t="str">
        <f t="shared" si="2"/>
        <v/>
      </c>
      <c r="J67" s="42"/>
      <c r="K67" s="43"/>
    </row>
    <row r="68" spans="1:11" ht="15.6">
      <c r="A68" s="28" t="str">
        <v>Snowline SD - Vista Verde ES</v>
      </c>
      <c r="B68" s="29" t="str">
        <v>CA</v>
      </c>
      <c r="C68" s="24"/>
      <c r="D68" s="13"/>
      <c r="E68" s="13" t="str">
        <f t="shared" si="4"/>
        <v/>
      </c>
      <c r="F68" s="14" t="str">
        <f t="shared" si="5"/>
        <v/>
      </c>
      <c r="G68" s="15"/>
      <c r="H68" s="15" t="str">
        <f t="shared" si="6"/>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85" zoomScaleNormal="80" workbookViewId="0">
      <pane xSplit="2" ySplit="3" topLeftCell="G7"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335</v>
      </c>
      <c r="E1" s="122"/>
      <c r="F1" s="122"/>
      <c r="G1" s="120" t="s">
        <v>336</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tr" cm="1">
        <f t="array" ref="A3">portfolio</f>
        <v>Silicon Ranch</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11" ht="15.6">
      <c r="A5" s="30" t="str">
        <v>Kohls - Auburn</v>
      </c>
      <c r="B5" s="31" t="str">
        <v>NY</v>
      </c>
      <c r="C5" s="11"/>
      <c r="D5" s="18"/>
      <c r="E5" s="18" t="str">
        <f t="shared" si="0"/>
        <v/>
      </c>
      <c r="F5" s="19" t="str">
        <f t="shared" si="1"/>
        <v/>
      </c>
      <c r="G5" s="20"/>
      <c r="H5" s="20" t="str">
        <f t="shared" si="2"/>
        <v/>
      </c>
      <c r="I5" s="19" t="str">
        <f t="shared" si="3"/>
        <v/>
      </c>
      <c r="J5" s="42"/>
      <c r="K5" s="42"/>
    </row>
    <row r="6" spans="1:11" ht="15.6">
      <c r="A6" s="28" t="str">
        <v>Kohls - Bensalem</v>
      </c>
      <c r="B6" s="29" t="str">
        <v>PA</v>
      </c>
      <c r="C6" s="24"/>
      <c r="D6" s="13"/>
      <c r="E6" s="13" t="str">
        <f t="shared" si="0"/>
        <v/>
      </c>
      <c r="F6" s="14" t="str">
        <f t="shared" si="1"/>
        <v/>
      </c>
      <c r="G6" s="15"/>
      <c r="H6" s="15" t="str">
        <f t="shared" si="2"/>
        <v/>
      </c>
      <c r="I6" s="16" t="str">
        <f t="shared" si="3"/>
        <v/>
      </c>
      <c r="J6" s="41"/>
      <c r="K6" s="41"/>
    </row>
    <row r="7" spans="1:11" ht="15.6">
      <c r="A7" s="30" t="str">
        <v>Kohls - Brick</v>
      </c>
      <c r="B7" s="31" t="str">
        <v>NJ</v>
      </c>
      <c r="C7" s="11"/>
      <c r="D7" s="18"/>
      <c r="E7" s="18" t="str">
        <f t="shared" si="0"/>
        <v/>
      </c>
      <c r="F7" s="19" t="str">
        <f t="shared" si="1"/>
        <v/>
      </c>
      <c r="G7" s="20"/>
      <c r="H7" s="20" t="str">
        <f t="shared" si="2"/>
        <v/>
      </c>
      <c r="I7" s="19" t="str">
        <f t="shared" si="3"/>
        <v/>
      </c>
      <c r="J7" s="42"/>
      <c r="K7" s="43"/>
    </row>
    <row r="8" spans="1:11" ht="15.6">
      <c r="A8" s="28" t="str">
        <v>Kohls - Buffalo</v>
      </c>
      <c r="B8" s="29" t="str">
        <v>NY</v>
      </c>
      <c r="C8" s="24"/>
      <c r="D8" s="13"/>
      <c r="E8" s="13" t="str">
        <f t="shared" si="0"/>
        <v/>
      </c>
      <c r="F8" s="14" t="str">
        <f t="shared" si="1"/>
        <v/>
      </c>
      <c r="G8" s="15"/>
      <c r="H8" s="15" t="str">
        <f t="shared" si="2"/>
        <v/>
      </c>
      <c r="I8" s="16" t="str">
        <f t="shared" si="3"/>
        <v/>
      </c>
      <c r="J8" s="41"/>
      <c r="K8" s="41"/>
    </row>
    <row r="9" spans="1:11" ht="15.6">
      <c r="A9" s="30" t="str">
        <v>Kohls - Canton</v>
      </c>
      <c r="B9" s="31" t="str">
        <v>CT</v>
      </c>
      <c r="C9" s="11"/>
      <c r="D9" s="18"/>
      <c r="E9" s="18" t="str">
        <f t="shared" si="0"/>
        <v/>
      </c>
      <c r="F9" s="19" t="str">
        <f t="shared" si="1"/>
        <v/>
      </c>
      <c r="G9" s="20"/>
      <c r="H9" s="20" t="str">
        <f t="shared" si="2"/>
        <v/>
      </c>
      <c r="I9" s="19" t="str">
        <f t="shared" si="3"/>
        <v/>
      </c>
      <c r="J9" s="42"/>
      <c r="K9" s="43"/>
    </row>
    <row r="10" spans="1:11" ht="15.6">
      <c r="A10" s="28" t="str">
        <v>Kohls - East Amherst</v>
      </c>
      <c r="B10" s="29" t="str">
        <v>NY</v>
      </c>
      <c r="C10" s="24"/>
      <c r="D10" s="13"/>
      <c r="E10" s="13" t="str">
        <f t="shared" si="0"/>
        <v/>
      </c>
      <c r="F10" s="14" t="str">
        <f t="shared" si="1"/>
        <v/>
      </c>
      <c r="G10" s="15"/>
      <c r="H10" s="15" t="str">
        <f t="shared" si="2"/>
        <v/>
      </c>
      <c r="I10" s="16" t="str">
        <f t="shared" si="3"/>
        <v/>
      </c>
      <c r="J10" s="41"/>
      <c r="K10" s="41"/>
    </row>
    <row r="11" spans="1:11" ht="15.6">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8" si="6">IFERROR(H11/G11, "")</f>
        <v/>
      </c>
      <c r="J11" s="42"/>
      <c r="K11" s="43"/>
    </row>
    <row r="12" spans="1:11" ht="15.6">
      <c r="A12" s="28" t="str">
        <v>Kohls - Edgewood</v>
      </c>
      <c r="B12" s="29" t="str">
        <v>MD</v>
      </c>
      <c r="C12" s="24"/>
      <c r="D12" s="13"/>
      <c r="E12" s="13" t="str">
        <f t="shared" si="4"/>
        <v/>
      </c>
      <c r="F12" s="14" t="str">
        <f t="shared" ref="F12:F17" si="7">IFERROR(E12/D12, "")</f>
        <v/>
      </c>
      <c r="G12" s="15"/>
      <c r="H12" s="15" t="str">
        <f t="shared" si="5"/>
        <v/>
      </c>
      <c r="I12" s="16" t="str">
        <f t="shared" si="6"/>
        <v/>
      </c>
      <c r="J12" s="41"/>
      <c r="K12" s="41"/>
    </row>
    <row r="13" spans="1:11" ht="15.6">
      <c r="A13" s="30" t="str">
        <v>Kohls - Granite Run</v>
      </c>
      <c r="B13" s="31" t="str">
        <v>PA</v>
      </c>
      <c r="C13" s="11"/>
      <c r="D13" s="18"/>
      <c r="E13" s="18" t="str">
        <f t="shared" si="4"/>
        <v/>
      </c>
      <c r="F13" s="19" t="str">
        <f t="shared" si="7"/>
        <v/>
      </c>
      <c r="G13" s="20"/>
      <c r="H13" s="20" t="str">
        <f t="shared" si="5"/>
        <v/>
      </c>
      <c r="I13" s="19" t="str">
        <f t="shared" si="6"/>
        <v/>
      </c>
      <c r="J13" s="42"/>
      <c r="K13" s="43"/>
    </row>
    <row r="14" spans="1:11" ht="15.6">
      <c r="A14" s="28" t="str">
        <v>Kohls - Greece</v>
      </c>
      <c r="B14" s="29" t="str">
        <v>NY</v>
      </c>
      <c r="C14" s="24"/>
      <c r="D14" s="13"/>
      <c r="E14" s="13" t="str">
        <f t="shared" si="4"/>
        <v/>
      </c>
      <c r="F14" s="14" t="str">
        <f t="shared" si="7"/>
        <v/>
      </c>
      <c r="G14" s="15"/>
      <c r="H14" s="15" t="str">
        <f t="shared" si="5"/>
        <v/>
      </c>
      <c r="I14" s="16" t="str">
        <f t="shared" si="6"/>
        <v/>
      </c>
      <c r="J14" s="41"/>
      <c r="K14" s="41"/>
    </row>
    <row r="15" spans="1:11" ht="15.6">
      <c r="A15" s="30" t="str">
        <v>Kohls - Hanover</v>
      </c>
      <c r="B15" s="31" t="str">
        <v>PA</v>
      </c>
      <c r="C15" s="11"/>
      <c r="D15" s="18"/>
      <c r="E15" s="18" t="str">
        <f t="shared" si="4"/>
        <v/>
      </c>
      <c r="F15" s="19" t="str">
        <f t="shared" si="7"/>
        <v/>
      </c>
      <c r="G15" s="20"/>
      <c r="H15" s="20" t="str">
        <f t="shared" si="5"/>
        <v/>
      </c>
      <c r="I15" s="19" t="str">
        <f t="shared" si="6"/>
        <v/>
      </c>
      <c r="J15" s="55"/>
      <c r="K15" s="55"/>
    </row>
    <row r="16" spans="1:11" ht="15.6">
      <c r="A16" s="28" t="str">
        <v>Kohls - Horsehead</v>
      </c>
      <c r="B16" s="29" t="str">
        <v>NY</v>
      </c>
      <c r="C16" s="24"/>
      <c r="D16" s="13"/>
      <c r="E16" s="13" t="str">
        <f t="shared" si="4"/>
        <v/>
      </c>
      <c r="F16" s="14" t="str">
        <f t="shared" si="7"/>
        <v/>
      </c>
      <c r="G16" s="15"/>
      <c r="H16" s="15" t="str">
        <f t="shared" si="5"/>
        <v/>
      </c>
      <c r="I16" s="16" t="str">
        <f t="shared" si="6"/>
        <v/>
      </c>
      <c r="J16" s="41"/>
      <c r="K16" s="41"/>
    </row>
    <row r="17" spans="1:11" ht="15.6">
      <c r="A17" s="30" t="str">
        <v>Kohls - Hudson</v>
      </c>
      <c r="B17" s="31" t="str">
        <v>NY</v>
      </c>
      <c r="C17" s="11"/>
      <c r="D17" s="18"/>
      <c r="E17" s="18" t="str">
        <f t="shared" si="4"/>
        <v/>
      </c>
      <c r="F17" s="19" t="str">
        <f t="shared" si="7"/>
        <v/>
      </c>
      <c r="G17" s="20"/>
      <c r="H17" s="20" t="str">
        <f t="shared" si="5"/>
        <v/>
      </c>
      <c r="I17" s="19" t="str">
        <f t="shared" si="6"/>
        <v/>
      </c>
      <c r="J17" s="42"/>
      <c r="K17" s="55"/>
    </row>
    <row r="18" spans="1:11" ht="12.75" customHeight="1">
      <c r="A18" s="32" t="str">
        <v>Kohls - Ithaca</v>
      </c>
      <c r="B18" s="29" t="str">
        <v>NY</v>
      </c>
      <c r="C18" s="24"/>
      <c r="D18" s="13"/>
      <c r="E18" s="13" t="str">
        <f t="shared" ref="E18:E68" si="8">IF(AND(ISNUMBER(C18),ISNUMBER(D18)), C18-D18, "")</f>
        <v/>
      </c>
      <c r="F18" s="14" t="str">
        <f t="shared" ref="F18:F68" si="9">IFERROR(E18/D18, "")</f>
        <v/>
      </c>
      <c r="G18" s="15"/>
      <c r="H18" s="15" t="str">
        <f t="shared" ref="H18:H68" si="10">IF(AND(ISNUMBER(C18),ISNUMBER(G18)), C18-G18, "")</f>
        <v/>
      </c>
      <c r="I18" s="16" t="str">
        <f t="shared" si="6"/>
        <v/>
      </c>
      <c r="J18" s="41"/>
      <c r="K18" s="41"/>
    </row>
    <row r="19" spans="1:11" ht="15.6">
      <c r="A19" s="30" t="str">
        <v>Kohls - Kingston</v>
      </c>
      <c r="B19" s="31" t="str">
        <v>NY</v>
      </c>
      <c r="C19" s="11"/>
      <c r="D19" s="18"/>
      <c r="E19" s="18" t="str">
        <f t="shared" si="8"/>
        <v/>
      </c>
      <c r="F19" s="19" t="str">
        <f t="shared" si="9"/>
        <v/>
      </c>
      <c r="G19" s="20"/>
      <c r="H19" s="20" t="str">
        <f t="shared" si="10"/>
        <v/>
      </c>
      <c r="I19" s="19" t="str">
        <f t="shared" si="6"/>
        <v/>
      </c>
      <c r="J19" s="42"/>
      <c r="K19" s="42"/>
    </row>
    <row r="20" spans="1:11" ht="15.6">
      <c r="A20" s="28" t="str">
        <v>Kohls - Mechanicsburg</v>
      </c>
      <c r="B20" s="29" t="str">
        <v>PA</v>
      </c>
      <c r="C20" s="24"/>
      <c r="D20" s="13"/>
      <c r="E20" s="13" t="str">
        <f t="shared" si="8"/>
        <v/>
      </c>
      <c r="F20" s="14" t="str">
        <f t="shared" si="9"/>
        <v/>
      </c>
      <c r="G20" s="15"/>
      <c r="H20" s="15" t="str">
        <f t="shared" si="10"/>
        <v/>
      </c>
      <c r="I20" s="16" t="str">
        <f t="shared" si="6"/>
        <v/>
      </c>
      <c r="J20" s="41"/>
      <c r="K20" s="41"/>
    </row>
    <row r="21" spans="1:11" ht="15.6">
      <c r="A21" s="30" t="str">
        <v>Kohls - Middletown</v>
      </c>
      <c r="B21" s="31" t="str">
        <v>NJ</v>
      </c>
      <c r="C21" s="11"/>
      <c r="D21" s="18"/>
      <c r="E21" s="18" t="str">
        <f t="shared" si="8"/>
        <v/>
      </c>
      <c r="F21" s="19" t="str">
        <f t="shared" si="9"/>
        <v/>
      </c>
      <c r="G21" s="20"/>
      <c r="H21" s="20" t="str">
        <f t="shared" si="10"/>
        <v/>
      </c>
      <c r="I21" s="19" t="str">
        <f t="shared" si="6"/>
        <v/>
      </c>
      <c r="J21" s="42"/>
      <c r="K21" s="43"/>
    </row>
    <row r="22" spans="1:11" ht="15.6">
      <c r="A22" s="28" t="str">
        <v>Kohls - North Amherst</v>
      </c>
      <c r="B22" s="29" t="str">
        <v>NY</v>
      </c>
      <c r="C22" s="24"/>
      <c r="D22" s="13"/>
      <c r="E22" s="13" t="str">
        <f t="shared" si="8"/>
        <v/>
      </c>
      <c r="F22" s="14" t="str">
        <f t="shared" si="9"/>
        <v/>
      </c>
      <c r="G22" s="15"/>
      <c r="H22" s="15" t="str">
        <f t="shared" si="10"/>
        <v/>
      </c>
      <c r="I22" s="16" t="str">
        <f t="shared" si="6"/>
        <v/>
      </c>
      <c r="J22" s="41"/>
      <c r="K22" s="41"/>
    </row>
    <row r="23" spans="1:11" ht="15.6">
      <c r="A23" s="30" t="str">
        <v>Kohls - Staten Island</v>
      </c>
      <c r="B23" s="31" t="str">
        <v>NY</v>
      </c>
      <c r="C23" s="11"/>
      <c r="D23" s="18"/>
      <c r="E23" s="18" t="str">
        <f t="shared" si="8"/>
        <v/>
      </c>
      <c r="F23" s="19" t="str">
        <f t="shared" si="9"/>
        <v/>
      </c>
      <c r="G23" s="20"/>
      <c r="H23" s="20" t="str">
        <f t="shared" si="10"/>
        <v/>
      </c>
      <c r="I23" s="19" t="str">
        <f t="shared" si="6"/>
        <v/>
      </c>
      <c r="J23" s="42"/>
      <c r="K23" s="43"/>
    </row>
    <row r="24" spans="1:11" ht="15.6">
      <c r="A24" s="28" t="str">
        <v>Kohls - Warminster</v>
      </c>
      <c r="B24" s="29" t="str">
        <v>PA</v>
      </c>
      <c r="C24" s="24"/>
      <c r="D24" s="13"/>
      <c r="E24" s="13" t="str">
        <f t="shared" si="8"/>
        <v/>
      </c>
      <c r="F24" s="14" t="str">
        <f t="shared" si="9"/>
        <v/>
      </c>
      <c r="G24" s="15"/>
      <c r="H24" s="15" t="str">
        <f t="shared" si="10"/>
        <v/>
      </c>
      <c r="I24" s="16" t="str">
        <f t="shared" si="6"/>
        <v/>
      </c>
      <c r="J24" s="41"/>
      <c r="K24" s="41"/>
    </row>
    <row r="25" spans="1:11" ht="15.6">
      <c r="A25" s="30" t="str">
        <v xml:space="preserve">Kohls - Waterbury </v>
      </c>
      <c r="B25" s="31" t="str">
        <v>CT</v>
      </c>
      <c r="C25" s="11"/>
      <c r="D25" s="18"/>
      <c r="E25" s="18" t="str">
        <f t="shared" si="8"/>
        <v/>
      </c>
      <c r="F25" s="19" t="str">
        <f t="shared" si="9"/>
        <v/>
      </c>
      <c r="G25" s="20"/>
      <c r="H25" s="20" t="str">
        <f t="shared" si="10"/>
        <v/>
      </c>
      <c r="I25" s="19" t="str">
        <f t="shared" si="6"/>
        <v/>
      </c>
      <c r="J25" s="42"/>
      <c r="K25" s="43"/>
    </row>
    <row r="26" spans="1:11" ht="15.6">
      <c r="A26" s="28" t="str">
        <v>Mojave Water Agency - Headquarters</v>
      </c>
      <c r="B26" s="29" t="str">
        <v>CA</v>
      </c>
      <c r="C26" s="24"/>
      <c r="D26" s="13"/>
      <c r="E26" s="13" t="str">
        <f t="shared" si="8"/>
        <v/>
      </c>
      <c r="F26" s="14" t="str">
        <f t="shared" si="9"/>
        <v/>
      </c>
      <c r="G26" s="15"/>
      <c r="H26" s="15" t="str">
        <f t="shared" si="10"/>
        <v/>
      </c>
      <c r="I26" s="16" t="str">
        <f t="shared" si="6"/>
        <v/>
      </c>
      <c r="J26" s="41"/>
      <c r="K26" s="41"/>
    </row>
    <row r="27" spans="1:11" ht="15.6">
      <c r="A27" s="30" t="str">
        <v>CSU - Bakersfield</v>
      </c>
      <c r="B27" s="31" t="str">
        <v>CA</v>
      </c>
      <c r="C27" s="11"/>
      <c r="D27" s="18"/>
      <c r="E27" s="18" t="str">
        <f t="shared" si="8"/>
        <v/>
      </c>
      <c r="F27" s="19" t="str">
        <f t="shared" si="9"/>
        <v/>
      </c>
      <c r="G27" s="20"/>
      <c r="H27" s="20" t="str">
        <f t="shared" si="10"/>
        <v/>
      </c>
      <c r="I27" s="19" t="str">
        <f t="shared" si="6"/>
        <v/>
      </c>
      <c r="J27" s="42"/>
      <c r="K27" s="43"/>
    </row>
    <row r="28" spans="1:11" ht="15.6">
      <c r="A28" s="28" t="str">
        <v>Greenfield USD - Fairfield ES</v>
      </c>
      <c r="B28" s="29" t="str">
        <v>CA</v>
      </c>
      <c r="C28" s="24"/>
      <c r="D28" s="13"/>
      <c r="E28" s="13" t="str">
        <f t="shared" si="8"/>
        <v/>
      </c>
      <c r="F28" s="14" t="str">
        <f t="shared" si="9"/>
        <v/>
      </c>
      <c r="G28" s="15"/>
      <c r="H28" s="15" t="str">
        <f t="shared" si="10"/>
        <v/>
      </c>
      <c r="I28" s="16" t="str">
        <f t="shared" si="6"/>
        <v/>
      </c>
      <c r="J28" s="41"/>
      <c r="K28" s="41"/>
    </row>
    <row r="29" spans="1:11" ht="15.6">
      <c r="A29" s="30" t="str">
        <v>Greenfield USD - Granite Point ES</v>
      </c>
      <c r="B29" s="31" t="str">
        <v>CA</v>
      </c>
      <c r="C29" s="11"/>
      <c r="D29" s="18"/>
      <c r="E29" s="18" t="str">
        <f t="shared" si="8"/>
        <v/>
      </c>
      <c r="F29" s="19" t="str">
        <f t="shared" si="9"/>
        <v/>
      </c>
      <c r="G29" s="20"/>
      <c r="H29" s="20" t="str">
        <f t="shared" si="10"/>
        <v/>
      </c>
      <c r="I29" s="19" t="str">
        <f t="shared" si="6"/>
        <v/>
      </c>
      <c r="J29" s="42"/>
      <c r="K29" s="42"/>
    </row>
    <row r="30" spans="1:11" ht="15.6">
      <c r="A30" s="28" t="str">
        <v>Greenfield USD - Greenfield MS</v>
      </c>
      <c r="B30" s="29" t="str">
        <v>CA</v>
      </c>
      <c r="C30" s="24"/>
      <c r="D30" s="13"/>
      <c r="E30" s="13" t="str">
        <f t="shared" si="8"/>
        <v/>
      </c>
      <c r="F30" s="14" t="str">
        <f t="shared" si="9"/>
        <v/>
      </c>
      <c r="G30" s="15"/>
      <c r="H30" s="15" t="str">
        <f t="shared" si="10"/>
        <v/>
      </c>
      <c r="I30" s="16" t="str">
        <f t="shared" si="6"/>
        <v/>
      </c>
      <c r="J30" s="41"/>
      <c r="K30" s="41"/>
    </row>
    <row r="31" spans="1:11" ht="15.6">
      <c r="A31" s="30" t="str">
        <v>Greenfield USD - Horizon ES</v>
      </c>
      <c r="B31" s="31" t="str">
        <v>CA</v>
      </c>
      <c r="C31" s="11"/>
      <c r="D31" s="18"/>
      <c r="E31" s="18" t="str">
        <f t="shared" si="8"/>
        <v/>
      </c>
      <c r="F31" s="19" t="str">
        <f t="shared" si="9"/>
        <v/>
      </c>
      <c r="G31" s="20"/>
      <c r="H31" s="20" t="str">
        <f t="shared" si="10"/>
        <v/>
      </c>
      <c r="I31" s="19" t="str">
        <f t="shared" si="6"/>
        <v/>
      </c>
      <c r="J31" s="42"/>
      <c r="K31" s="55"/>
    </row>
    <row r="32" spans="1:11" ht="15.6">
      <c r="A32" s="28" t="str">
        <v>Greenfield USD - McKee MS</v>
      </c>
      <c r="B32" s="29" t="str">
        <v>CA</v>
      </c>
      <c r="C32" s="24"/>
      <c r="D32" s="13"/>
      <c r="E32" s="13" t="str">
        <f t="shared" si="8"/>
        <v/>
      </c>
      <c r="F32" s="14" t="str">
        <f t="shared" si="9"/>
        <v/>
      </c>
      <c r="G32" s="15"/>
      <c r="H32" s="15" t="str">
        <f t="shared" si="10"/>
        <v/>
      </c>
      <c r="I32" s="16" t="str">
        <f t="shared" si="6"/>
        <v/>
      </c>
      <c r="J32" s="41"/>
      <c r="K32" s="41"/>
    </row>
    <row r="33" spans="1:11" ht="15.6">
      <c r="A33" s="30" t="str">
        <v>Greenfield USD - Plantation ES</v>
      </c>
      <c r="B33" s="31" t="str">
        <v>CA</v>
      </c>
      <c r="C33" s="11"/>
      <c r="D33" s="18"/>
      <c r="E33" s="18" t="str">
        <f t="shared" si="8"/>
        <v/>
      </c>
      <c r="F33" s="19" t="str">
        <f t="shared" si="9"/>
        <v/>
      </c>
      <c r="G33" s="20"/>
      <c r="H33" s="20" t="str">
        <f t="shared" si="10"/>
        <v/>
      </c>
      <c r="I33" s="19" t="str">
        <f t="shared" si="6"/>
        <v/>
      </c>
      <c r="J33" s="42"/>
      <c r="K33" s="43"/>
    </row>
    <row r="34" spans="1:11" ht="15.6">
      <c r="A34" s="28" t="str">
        <v>Greenfield USD - Planz ES</v>
      </c>
      <c r="B34" s="29" t="str">
        <v>CA</v>
      </c>
      <c r="C34" s="24"/>
      <c r="D34" s="13"/>
      <c r="E34" s="13" t="str">
        <f t="shared" si="8"/>
        <v/>
      </c>
      <c r="F34" s="14" t="str">
        <f t="shared" si="9"/>
        <v/>
      </c>
      <c r="G34" s="15"/>
      <c r="H34" s="15" t="str">
        <f t="shared" si="10"/>
        <v/>
      </c>
      <c r="I34" s="16" t="str">
        <f t="shared" si="6"/>
        <v/>
      </c>
      <c r="J34" s="41"/>
      <c r="K34" s="41"/>
    </row>
    <row r="35" spans="1:11" ht="15.6">
      <c r="A35" s="30" t="str">
        <v>Greenfield USD - Raffaello Palla ES</v>
      </c>
      <c r="B35" s="31" t="str">
        <v>CA</v>
      </c>
      <c r="C35" s="11"/>
      <c r="D35" s="18"/>
      <c r="E35" s="18" t="str">
        <f t="shared" si="8"/>
        <v/>
      </c>
      <c r="F35" s="19" t="str">
        <f t="shared" si="9"/>
        <v/>
      </c>
      <c r="G35" s="20"/>
      <c r="H35" s="20" t="str">
        <f t="shared" si="10"/>
        <v/>
      </c>
      <c r="I35" s="19" t="str">
        <f t="shared" si="6"/>
        <v/>
      </c>
      <c r="J35" s="42"/>
      <c r="K35" s="43"/>
    </row>
    <row r="36" spans="1:11" ht="15.6">
      <c r="A36" s="28" t="str">
        <v>Greenfield USD - Valle Verde ES</v>
      </c>
      <c r="B36" s="29" t="str">
        <v>CA</v>
      </c>
      <c r="C36" s="24"/>
      <c r="D36" s="13"/>
      <c r="E36" s="13" t="str">
        <f t="shared" si="8"/>
        <v/>
      </c>
      <c r="F36" s="14" t="str">
        <f t="shared" si="9"/>
        <v/>
      </c>
      <c r="G36" s="15"/>
      <c r="H36" s="15" t="str">
        <f t="shared" si="10"/>
        <v/>
      </c>
      <c r="I36" s="16" t="str">
        <f t="shared" si="6"/>
        <v/>
      </c>
      <c r="J36" s="41"/>
      <c r="K36" s="41"/>
    </row>
    <row r="37" spans="1:11" ht="15.6">
      <c r="A37" s="30" t="str">
        <v>Greenfield USD - W.A. Kendrick ES</v>
      </c>
      <c r="B37" s="31" t="str">
        <v>CA</v>
      </c>
      <c r="C37" s="11"/>
      <c r="D37" s="18"/>
      <c r="E37" s="18" t="str">
        <f t="shared" si="8"/>
        <v/>
      </c>
      <c r="F37" s="19" t="str">
        <f t="shared" si="9"/>
        <v/>
      </c>
      <c r="G37" s="20"/>
      <c r="H37" s="20" t="str">
        <f t="shared" si="10"/>
        <v/>
      </c>
      <c r="I37" s="19" t="str">
        <f t="shared" si="6"/>
        <v/>
      </c>
      <c r="J37" s="42"/>
      <c r="K37" s="43"/>
    </row>
    <row r="38" spans="1:11" ht="15.6">
      <c r="A38" s="28" t="str">
        <v>Muroc Joint USD - Boron HS</v>
      </c>
      <c r="B38" s="29" t="str">
        <v>CA</v>
      </c>
      <c r="C38" s="24"/>
      <c r="D38" s="13"/>
      <c r="E38" s="13" t="str">
        <f t="shared" si="8"/>
        <v/>
      </c>
      <c r="F38" s="14" t="str">
        <f t="shared" si="9"/>
        <v/>
      </c>
      <c r="G38" s="15"/>
      <c r="H38" s="15" t="str">
        <f t="shared" si="10"/>
        <v/>
      </c>
      <c r="I38" s="16" t="str">
        <f t="shared" si="6"/>
        <v/>
      </c>
      <c r="J38" s="41"/>
      <c r="K38" s="41"/>
    </row>
    <row r="39" spans="1:11" ht="15.6">
      <c r="A39" s="30" t="str">
        <v>Muroc Joint USD - W. Boron ES</v>
      </c>
      <c r="B39" s="31" t="str">
        <v>CA</v>
      </c>
      <c r="C39" s="11"/>
      <c r="D39" s="18"/>
      <c r="E39" s="18" t="str">
        <f t="shared" si="8"/>
        <v/>
      </c>
      <c r="F39" s="19" t="str">
        <f t="shared" si="9"/>
        <v/>
      </c>
      <c r="G39" s="20"/>
      <c r="H39" s="20" t="str">
        <f t="shared" si="10"/>
        <v/>
      </c>
      <c r="I39" s="19" t="str">
        <f t="shared" si="6"/>
        <v/>
      </c>
      <c r="J39" s="42"/>
      <c r="K39" s="43"/>
    </row>
    <row r="40" spans="1:11" ht="15.6">
      <c r="A40" s="28" t="str">
        <v>Colusa - WTP</v>
      </c>
      <c r="B40" s="29" t="str">
        <v>CA</v>
      </c>
      <c r="C40" s="24"/>
      <c r="D40" s="13"/>
      <c r="E40" s="13" t="str">
        <f t="shared" si="8"/>
        <v/>
      </c>
      <c r="F40" s="14" t="str">
        <f t="shared" si="9"/>
        <v/>
      </c>
      <c r="G40" s="15"/>
      <c r="H40" s="15" t="str">
        <f t="shared" si="10"/>
        <v/>
      </c>
      <c r="I40" s="16" t="str">
        <f t="shared" si="6"/>
        <v/>
      </c>
      <c r="J40" s="41"/>
      <c r="K40" s="41"/>
    </row>
    <row r="41" spans="1:11" ht="15.6">
      <c r="A41" s="30" t="str">
        <v>CDCR-North Kern State Prision</v>
      </c>
      <c r="B41" s="31" t="str">
        <v>CA</v>
      </c>
      <c r="C41" s="11"/>
      <c r="D41" s="18"/>
      <c r="E41" s="18" t="str">
        <f t="shared" si="8"/>
        <v/>
      </c>
      <c r="F41" s="19" t="str">
        <f t="shared" si="9"/>
        <v/>
      </c>
      <c r="G41" s="20"/>
      <c r="H41" s="20" t="str">
        <f t="shared" si="10"/>
        <v/>
      </c>
      <c r="I41" s="19" t="str">
        <f t="shared" si="6"/>
        <v/>
      </c>
      <c r="J41" s="42"/>
      <c r="K41" s="43"/>
    </row>
    <row r="42" spans="1:11" ht="15.6">
      <c r="A42" s="28" t="str">
        <v>Muroc Joint USD - District Office</v>
      </c>
      <c r="B42" s="29" t="str">
        <v>CA</v>
      </c>
      <c r="C42" s="24"/>
      <c r="D42" s="13"/>
      <c r="E42" s="13" t="str">
        <f t="shared" si="8"/>
        <v/>
      </c>
      <c r="F42" s="14" t="str">
        <f t="shared" si="9"/>
        <v/>
      </c>
      <c r="G42" s="15"/>
      <c r="H42" s="15" t="str">
        <f t="shared" si="10"/>
        <v/>
      </c>
      <c r="I42" s="16" t="str">
        <f t="shared" si="6"/>
        <v/>
      </c>
      <c r="J42" s="41"/>
      <c r="K42" s="41"/>
    </row>
    <row r="43" spans="1:11" ht="15.6">
      <c r="A43" s="30" t="str">
        <v>Whole Foods - Manhattan Beach</v>
      </c>
      <c r="B43" s="31" t="str">
        <v>CA</v>
      </c>
      <c r="C43" s="11"/>
      <c r="D43" s="18"/>
      <c r="E43" s="18" t="str">
        <f t="shared" si="8"/>
        <v/>
      </c>
      <c r="F43" s="19" t="str">
        <f t="shared" si="9"/>
        <v/>
      </c>
      <c r="G43" s="20"/>
      <c r="H43" s="20" t="str">
        <f t="shared" si="10"/>
        <v/>
      </c>
      <c r="I43" s="19" t="str">
        <f t="shared" si="6"/>
        <v/>
      </c>
      <c r="J43" s="42"/>
      <c r="K43" s="43"/>
    </row>
    <row r="44" spans="1:11" ht="15.6">
      <c r="A44" s="28" t="str">
        <v>Pioneer USD - Frontier ES</v>
      </c>
      <c r="B44" s="29" t="str">
        <v>CA</v>
      </c>
      <c r="C44" s="24"/>
      <c r="D44" s="13"/>
      <c r="E44" s="13" t="str">
        <f t="shared" si="8"/>
        <v/>
      </c>
      <c r="F44" s="14" t="str">
        <f t="shared" si="9"/>
        <v/>
      </c>
      <c r="G44" s="15"/>
      <c r="H44" s="15" t="str">
        <f t="shared" si="10"/>
        <v/>
      </c>
      <c r="I44" s="16" t="str">
        <f t="shared" si="6"/>
        <v/>
      </c>
      <c r="J44" s="41"/>
      <c r="K44" s="41"/>
    </row>
    <row r="45" spans="1:11" ht="15.6">
      <c r="A45" s="30" t="str">
        <v>Pioneer USD - Pioneer ES</v>
      </c>
      <c r="B45" s="31" t="str">
        <v>CA</v>
      </c>
      <c r="C45" s="11"/>
      <c r="D45" s="18"/>
      <c r="E45" s="18" t="str">
        <f t="shared" si="8"/>
        <v/>
      </c>
      <c r="F45" s="19" t="str">
        <f t="shared" si="9"/>
        <v/>
      </c>
      <c r="G45" s="20"/>
      <c r="H45" s="20" t="str">
        <f t="shared" si="10"/>
        <v/>
      </c>
      <c r="I45" s="19" t="str">
        <f t="shared" si="6"/>
        <v/>
      </c>
      <c r="J45" s="42"/>
      <c r="K45" s="43"/>
    </row>
    <row r="46" spans="1:11" ht="15.6">
      <c r="A46" s="28" t="str">
        <v>Pioneer USD - Pioneer MS</v>
      </c>
      <c r="B46" s="29" t="str">
        <v>CA</v>
      </c>
      <c r="C46" s="24"/>
      <c r="D46" s="13"/>
      <c r="E46" s="13" t="str">
        <f t="shared" si="8"/>
        <v/>
      </c>
      <c r="F46" s="14" t="str">
        <f t="shared" si="9"/>
        <v/>
      </c>
      <c r="G46" s="15"/>
      <c r="H46" s="15" t="str">
        <f t="shared" si="10"/>
        <v/>
      </c>
      <c r="I46" s="16" t="str">
        <f t="shared" si="6"/>
        <v/>
      </c>
      <c r="J46" s="41"/>
      <c r="K46" s="41"/>
    </row>
    <row r="47" spans="1:11" ht="15.6">
      <c r="A47" s="30" t="str">
        <v>Kingsburg Joint UHSD - Kingsburg HS</v>
      </c>
      <c r="B47" s="31" t="str">
        <v>CA</v>
      </c>
      <c r="C47" s="11"/>
      <c r="D47" s="18"/>
      <c r="E47" s="18" t="str">
        <f t="shared" si="8"/>
        <v/>
      </c>
      <c r="F47" s="19" t="str">
        <f t="shared" si="9"/>
        <v/>
      </c>
      <c r="G47" s="20"/>
      <c r="H47" s="20" t="str">
        <f t="shared" si="10"/>
        <v/>
      </c>
      <c r="I47" s="19" t="str">
        <f t="shared" si="6"/>
        <v/>
      </c>
      <c r="J47" s="42"/>
      <c r="K47" s="43"/>
    </row>
    <row r="48" spans="1:11" ht="15.6">
      <c r="A48" s="28" t="str">
        <v>CADRB</v>
      </c>
      <c r="B48" s="29" t="str">
        <v>CA</v>
      </c>
      <c r="C48" s="24"/>
      <c r="D48" s="13"/>
      <c r="E48" s="13" t="str">
        <f t="shared" si="8"/>
        <v/>
      </c>
      <c r="F48" s="14" t="str">
        <f t="shared" si="9"/>
        <v/>
      </c>
      <c r="G48" s="15"/>
      <c r="H48" s="15" t="str">
        <f t="shared" si="10"/>
        <v/>
      </c>
      <c r="I48" s="16" t="str">
        <f t="shared" si="6"/>
        <v/>
      </c>
      <c r="J48" s="41"/>
      <c r="K48" s="41"/>
    </row>
    <row r="49" spans="1:11" ht="15.6">
      <c r="A49" s="30" t="str">
        <v>CDCR-CA State Prison LA County</v>
      </c>
      <c r="B49" s="31" t="str">
        <v>CA</v>
      </c>
      <c r="C49" s="11"/>
      <c r="D49" s="18"/>
      <c r="E49" s="18" t="str">
        <f t="shared" si="8"/>
        <v/>
      </c>
      <c r="F49" s="19" t="str">
        <f t="shared" si="9"/>
        <v/>
      </c>
      <c r="G49" s="20"/>
      <c r="H49" s="20" t="str">
        <f t="shared" si="10"/>
        <v/>
      </c>
      <c r="I49" s="19" t="str">
        <f t="shared" si="6"/>
        <v/>
      </c>
      <c r="J49" s="42"/>
      <c r="K49" s="43"/>
    </row>
    <row r="50" spans="1:11" ht="15.6">
      <c r="A50" s="28" t="str">
        <v>Central USD Akers ES</v>
      </c>
      <c r="B50" s="29" t="str">
        <v>CA</v>
      </c>
      <c r="C50" s="24"/>
      <c r="D50" s="13"/>
      <c r="E50" s="13" t="str">
        <f t="shared" si="8"/>
        <v/>
      </c>
      <c r="F50" s="14" t="str">
        <f t="shared" si="9"/>
        <v/>
      </c>
      <c r="G50" s="15"/>
      <c r="H50" s="15" t="str">
        <f t="shared" si="10"/>
        <v/>
      </c>
      <c r="I50" s="16" t="str">
        <f t="shared" si="6"/>
        <v/>
      </c>
      <c r="J50" s="41"/>
      <c r="K50" s="41"/>
    </row>
    <row r="51" spans="1:11" ht="15.6">
      <c r="A51" s="30" t="str">
        <v>CUSD - District Office</v>
      </c>
      <c r="B51" s="31" t="str">
        <v>CA</v>
      </c>
      <c r="C51" s="11"/>
      <c r="D51" s="18"/>
      <c r="E51" s="18" t="str">
        <f t="shared" si="8"/>
        <v/>
      </c>
      <c r="F51" s="19" t="str">
        <f t="shared" si="9"/>
        <v/>
      </c>
      <c r="G51" s="20"/>
      <c r="H51" s="20" t="str">
        <f t="shared" si="10"/>
        <v/>
      </c>
      <c r="I51" s="19" t="str">
        <f t="shared" si="6"/>
        <v/>
      </c>
      <c r="J51" s="42"/>
      <c r="K51" s="43"/>
    </row>
    <row r="52" spans="1:11" ht="15.6">
      <c r="A52" s="28" t="str">
        <v>Parlier - WTP</v>
      </c>
      <c r="B52" s="29" t="str">
        <v>CA</v>
      </c>
      <c r="C52" s="24"/>
      <c r="D52" s="13"/>
      <c r="E52" s="13" t="str">
        <f t="shared" si="8"/>
        <v/>
      </c>
      <c r="F52" s="14" t="str">
        <f t="shared" si="9"/>
        <v/>
      </c>
      <c r="G52" s="15"/>
      <c r="H52" s="15" t="str">
        <f t="shared" si="10"/>
        <v/>
      </c>
      <c r="I52" s="16" t="str">
        <f t="shared" si="6"/>
        <v/>
      </c>
      <c r="J52" s="41"/>
      <c r="K52" s="41"/>
    </row>
    <row r="53" spans="1:11" ht="15.6">
      <c r="A53" s="30" t="str">
        <v>Snowline SD - Quail Valley MS</v>
      </c>
      <c r="B53" s="31" t="str">
        <v>CA</v>
      </c>
      <c r="C53" s="11"/>
      <c r="D53" s="18"/>
      <c r="E53" s="18" t="str">
        <f t="shared" si="8"/>
        <v/>
      </c>
      <c r="F53" s="19" t="str">
        <f t="shared" si="9"/>
        <v/>
      </c>
      <c r="G53" s="20"/>
      <c r="H53" s="20" t="str">
        <f t="shared" si="10"/>
        <v/>
      </c>
      <c r="I53" s="19" t="str">
        <f t="shared" si="6"/>
        <v/>
      </c>
      <c r="J53" s="42"/>
      <c r="K53" s="43"/>
    </row>
    <row r="54" spans="1:11" ht="15.6">
      <c r="A54" s="28" t="str">
        <v>Snowline SD - Serrano HS - Middle Lot</v>
      </c>
      <c r="B54" s="29" t="str">
        <v>CA</v>
      </c>
      <c r="C54" s="24"/>
      <c r="D54" s="13"/>
      <c r="E54" s="13" t="str">
        <f t="shared" si="8"/>
        <v/>
      </c>
      <c r="F54" s="14" t="str">
        <f t="shared" si="9"/>
        <v/>
      </c>
      <c r="G54" s="15"/>
      <c r="H54" s="15" t="str">
        <f t="shared" si="10"/>
        <v/>
      </c>
      <c r="I54" s="16" t="str">
        <f t="shared" si="6"/>
        <v/>
      </c>
      <c r="J54" s="41"/>
      <c r="K54" s="41"/>
    </row>
    <row r="55" spans="1:11" ht="15.6">
      <c r="A55" s="30" t="str">
        <v>Snowline SD - Pinon Hills ES</v>
      </c>
      <c r="B55" s="31" t="str">
        <v>CA</v>
      </c>
      <c r="C55" s="11"/>
      <c r="D55" s="18"/>
      <c r="E55" s="18" t="str">
        <f t="shared" si="8"/>
        <v/>
      </c>
      <c r="F55" s="19" t="str">
        <f t="shared" si="9"/>
        <v/>
      </c>
      <c r="G55" s="20"/>
      <c r="H55" s="20" t="str">
        <f t="shared" si="10"/>
        <v/>
      </c>
      <c r="I55" s="19" t="str">
        <f t="shared" si="6"/>
        <v/>
      </c>
      <c r="K55" s="43"/>
    </row>
    <row r="56" spans="1:11" ht="15.6">
      <c r="A56" s="28" t="str">
        <v>Ramona - Santa Maria WTP</v>
      </c>
      <c r="B56" s="29" t="str">
        <v>CA</v>
      </c>
      <c r="C56" s="24"/>
      <c r="D56" s="13"/>
      <c r="E56" s="13" t="str">
        <f t="shared" si="8"/>
        <v/>
      </c>
      <c r="F56" s="14" t="str">
        <f t="shared" si="9"/>
        <v/>
      </c>
      <c r="G56" s="15"/>
      <c r="H56" s="15" t="str">
        <f t="shared" si="10"/>
        <v/>
      </c>
      <c r="I56" s="16" t="str">
        <f t="shared" si="6"/>
        <v/>
      </c>
      <c r="J56" s="41"/>
      <c r="K56" s="41"/>
    </row>
    <row r="57" spans="1:11" ht="15.6">
      <c r="A57" s="30" t="str">
        <v>Kohls - Redding</v>
      </c>
      <c r="B57" s="31" t="str">
        <v>CA</v>
      </c>
      <c r="C57" s="11"/>
      <c r="D57" s="18"/>
      <c r="E57" s="18" t="str">
        <f t="shared" si="8"/>
        <v/>
      </c>
      <c r="F57" s="19" t="str">
        <f t="shared" si="9"/>
        <v/>
      </c>
      <c r="G57" s="20"/>
      <c r="H57" s="20" t="str">
        <f t="shared" si="10"/>
        <v/>
      </c>
      <c r="I57" s="19" t="str">
        <f t="shared" si="6"/>
        <v/>
      </c>
      <c r="J57" s="42"/>
      <c r="K57" s="43"/>
    </row>
    <row r="58" spans="1:11" ht="15.6">
      <c r="A58" s="28" t="str">
        <v>Kohls - Salinas</v>
      </c>
      <c r="B58" s="29" t="str">
        <v>CA</v>
      </c>
      <c r="C58" s="24"/>
      <c r="D58" s="13"/>
      <c r="E58" s="13" t="str">
        <f t="shared" si="8"/>
        <v/>
      </c>
      <c r="F58" s="14" t="str">
        <f t="shared" si="9"/>
        <v/>
      </c>
      <c r="G58" s="15"/>
      <c r="H58" s="15" t="str">
        <f t="shared" si="10"/>
        <v/>
      </c>
      <c r="I58" s="16" t="str">
        <f t="shared" si="6"/>
        <v/>
      </c>
      <c r="J58" s="41"/>
      <c r="K58" s="41"/>
    </row>
    <row r="59" spans="1:11" ht="15.6">
      <c r="A59" s="30" t="str">
        <v>Kohls - San Bernardino - Central</v>
      </c>
      <c r="B59" s="31" t="str">
        <v>CA</v>
      </c>
      <c r="C59" s="11"/>
      <c r="D59" s="18"/>
      <c r="E59" s="18" t="str">
        <f t="shared" si="8"/>
        <v/>
      </c>
      <c r="F59" s="19" t="str">
        <f t="shared" si="9"/>
        <v/>
      </c>
      <c r="G59" s="20"/>
      <c r="H59" s="20" t="str">
        <f t="shared" si="10"/>
        <v/>
      </c>
      <c r="I59" s="19" t="str">
        <f t="shared" si="6"/>
        <v/>
      </c>
      <c r="J59" s="42"/>
      <c r="K59" s="43"/>
    </row>
    <row r="60" spans="1:11" ht="15.6">
      <c r="A60" s="28" t="str">
        <v>Kohls - Sonora</v>
      </c>
      <c r="B60" s="29" t="str">
        <v>CA</v>
      </c>
      <c r="C60" s="24"/>
      <c r="D60" s="13"/>
      <c r="E60" s="13" t="str">
        <f t="shared" si="8"/>
        <v/>
      </c>
      <c r="F60" s="14" t="str">
        <f t="shared" si="9"/>
        <v/>
      </c>
      <c r="G60" s="15"/>
      <c r="H60" s="15" t="str">
        <f t="shared" si="10"/>
        <v/>
      </c>
      <c r="I60" s="16" t="str">
        <f t="shared" si="6"/>
        <v/>
      </c>
      <c r="J60" s="41"/>
      <c r="K60" s="41"/>
    </row>
    <row r="61" spans="1:11" ht="15.6">
      <c r="A61" s="30" t="str">
        <v>CUSD - Stratford ES</v>
      </c>
      <c r="B61" s="31" t="str">
        <v>CA</v>
      </c>
      <c r="C61" s="11"/>
      <c r="D61" s="18"/>
      <c r="E61" s="18" t="str">
        <f t="shared" si="8"/>
        <v/>
      </c>
      <c r="F61" s="19" t="str">
        <f t="shared" si="9"/>
        <v/>
      </c>
      <c r="G61" s="20"/>
      <c r="H61" s="20" t="str">
        <f t="shared" si="10"/>
        <v/>
      </c>
      <c r="I61" s="19" t="str">
        <f t="shared" si="6"/>
        <v/>
      </c>
      <c r="J61" s="42"/>
      <c r="K61" s="43"/>
    </row>
    <row r="62" spans="1:11" ht="15.6">
      <c r="A62" s="28" t="str">
        <v>Taft - City Hall</v>
      </c>
      <c r="B62" s="29" t="str">
        <v>CA</v>
      </c>
      <c r="C62" s="24"/>
      <c r="D62" s="13"/>
      <c r="E62" s="13" t="str">
        <f t="shared" si="8"/>
        <v/>
      </c>
      <c r="F62" s="14" t="str">
        <f t="shared" si="9"/>
        <v/>
      </c>
      <c r="G62" s="15"/>
      <c r="H62" s="15" t="str">
        <f t="shared" si="10"/>
        <v/>
      </c>
      <c r="I62" s="16" t="str">
        <f t="shared" si="6"/>
        <v/>
      </c>
      <c r="J62" s="41"/>
      <c r="K62" s="41"/>
    </row>
    <row r="63" spans="1:11" ht="15.6">
      <c r="A63" s="30" t="str">
        <v>Taft - Federal Prison</v>
      </c>
      <c r="B63" s="31" t="str">
        <v>CA</v>
      </c>
      <c r="C63" s="11"/>
      <c r="D63" s="18"/>
      <c r="E63" s="18" t="str">
        <f t="shared" si="8"/>
        <v/>
      </c>
      <c r="F63" s="19" t="str">
        <f t="shared" si="9"/>
        <v/>
      </c>
      <c r="G63" s="20"/>
      <c r="H63" s="20" t="str">
        <f t="shared" si="10"/>
        <v/>
      </c>
      <c r="I63" s="19" t="str">
        <f t="shared" si="6"/>
        <v/>
      </c>
      <c r="J63" s="42"/>
      <c r="K63" s="43"/>
    </row>
    <row r="64" spans="1:11" ht="15.6">
      <c r="A64" s="28" t="str">
        <v>Taft - Police Department</v>
      </c>
      <c r="B64" s="29" t="str">
        <v>CA</v>
      </c>
      <c r="C64" s="24"/>
      <c r="D64" s="13"/>
      <c r="E64" s="13" t="str">
        <f t="shared" si="8"/>
        <v/>
      </c>
      <c r="F64" s="14" t="str">
        <f t="shared" si="9"/>
        <v/>
      </c>
      <c r="G64" s="15"/>
      <c r="H64" s="15" t="str">
        <f t="shared" si="10"/>
        <v/>
      </c>
      <c r="I64" s="16" t="str">
        <f t="shared" si="6"/>
        <v/>
      </c>
      <c r="J64" s="41"/>
      <c r="K64" s="41"/>
    </row>
    <row r="65" spans="1:11" ht="15.6">
      <c r="A65" s="30" t="str">
        <v>Taft - WTP</v>
      </c>
      <c r="B65" s="31" t="str">
        <v>CA</v>
      </c>
      <c r="C65" s="11"/>
      <c r="D65" s="18"/>
      <c r="E65" s="18" t="str">
        <f t="shared" si="8"/>
        <v/>
      </c>
      <c r="F65" s="19" t="str">
        <f t="shared" si="9"/>
        <v/>
      </c>
      <c r="G65" s="20"/>
      <c r="H65" s="20" t="str">
        <f t="shared" si="10"/>
        <v/>
      </c>
      <c r="I65" s="19" t="str">
        <f t="shared" si="6"/>
        <v/>
      </c>
      <c r="J65" s="42"/>
      <c r="K65" s="43"/>
    </row>
    <row r="66" spans="1:11" ht="15.6">
      <c r="A66" s="28" t="str">
        <v>CDCR - CA Correctional Institution</v>
      </c>
      <c r="B66" s="29" t="str">
        <v>CA</v>
      </c>
      <c r="C66" s="24"/>
      <c r="D66" s="13"/>
      <c r="E66" s="13" t="str">
        <f t="shared" si="8"/>
        <v/>
      </c>
      <c r="F66" s="14" t="str">
        <f t="shared" si="9"/>
        <v/>
      </c>
      <c r="G66" s="15"/>
      <c r="H66" s="15" t="str">
        <f t="shared" si="10"/>
        <v/>
      </c>
      <c r="I66" s="16" t="str">
        <f t="shared" si="6"/>
        <v/>
      </c>
      <c r="J66" s="41"/>
      <c r="K66" s="41"/>
    </row>
    <row r="67" spans="1:11" ht="15.6">
      <c r="A67" s="30" t="str">
        <v>CDCR - CA Correctional Institution II</v>
      </c>
      <c r="B67" s="31" t="str">
        <v>CA</v>
      </c>
      <c r="C67" s="11"/>
      <c r="D67" s="18"/>
      <c r="E67" s="18" t="str">
        <f t="shared" si="8"/>
        <v/>
      </c>
      <c r="F67" s="19" t="str">
        <f t="shared" si="9"/>
        <v/>
      </c>
      <c r="G67" s="20"/>
      <c r="H67" s="20" t="str">
        <f t="shared" si="10"/>
        <v/>
      </c>
      <c r="I67" s="19" t="str">
        <f t="shared" si="6"/>
        <v/>
      </c>
      <c r="J67" s="42"/>
      <c r="K67" s="58"/>
    </row>
    <row r="68" spans="1:11" ht="15.6">
      <c r="A68" s="28" t="str">
        <v>Snowline SD - Vista Verde ES</v>
      </c>
      <c r="B68" s="29" t="str">
        <v>CA</v>
      </c>
      <c r="C68" s="24"/>
      <c r="D68" s="13"/>
      <c r="E68" s="13" t="str">
        <f t="shared" si="8"/>
        <v/>
      </c>
      <c r="F68" s="14" t="str">
        <f t="shared" si="9"/>
        <v/>
      </c>
      <c r="G68" s="15"/>
      <c r="H68" s="15" t="str">
        <f t="shared" si="10"/>
        <v/>
      </c>
      <c r="I68" s="16" t="str">
        <f t="shared" si="6"/>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4"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76"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337</v>
      </c>
      <c r="E1" s="122"/>
      <c r="F1" s="122"/>
      <c r="G1" s="120" t="s">
        <v>338</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1"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72"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73"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6">
      <c r="A6" s="28" t="str">
        <v>Kohls - Bensalem</v>
      </c>
      <c r="B6" s="72" t="str">
        <v>PA</v>
      </c>
      <c r="C6" s="24"/>
      <c r="D6" s="13"/>
      <c r="E6" s="13" t="str">
        <f t="shared" si="0"/>
        <v/>
      </c>
      <c r="F6" s="14" t="str">
        <f t="shared" ref="F6:F16" si="3">IFERROR(E6/D6, "")</f>
        <v/>
      </c>
      <c r="G6" s="15"/>
      <c r="H6" s="15" t="str">
        <f t="shared" si="1"/>
        <v/>
      </c>
      <c r="I6" s="16" t="str">
        <f t="shared" si="2"/>
        <v/>
      </c>
      <c r="J6" s="41"/>
      <c r="K6" s="41"/>
    </row>
    <row r="7" spans="1:11" ht="15.6">
      <c r="A7" s="30" t="str">
        <v>Kohls - Brick</v>
      </c>
      <c r="B7" s="73" t="str">
        <v>NJ</v>
      </c>
      <c r="C7" s="11"/>
      <c r="D7" s="18"/>
      <c r="E7" s="18" t="str">
        <f t="shared" si="0"/>
        <v/>
      </c>
      <c r="F7" s="19" t="str">
        <f t="shared" si="3"/>
        <v/>
      </c>
      <c r="G7" s="20"/>
      <c r="H7" s="20" t="str">
        <f t="shared" si="1"/>
        <v/>
      </c>
      <c r="I7" s="19" t="str">
        <f t="shared" si="2"/>
        <v/>
      </c>
      <c r="J7" s="42"/>
      <c r="K7" s="43"/>
    </row>
    <row r="8" spans="1:11" ht="15.6">
      <c r="A8" s="28" t="str">
        <v>Kohls - Buffalo</v>
      </c>
      <c r="B8" s="72" t="str">
        <v>NY</v>
      </c>
      <c r="C8" s="24"/>
      <c r="D8" s="13"/>
      <c r="E8" s="13" t="str">
        <f t="shared" si="0"/>
        <v/>
      </c>
      <c r="F8" s="14" t="str">
        <f t="shared" si="3"/>
        <v/>
      </c>
      <c r="G8" s="15"/>
      <c r="H8" s="15" t="str">
        <f t="shared" si="1"/>
        <v/>
      </c>
      <c r="I8" s="16" t="str">
        <f t="shared" si="2"/>
        <v/>
      </c>
      <c r="J8" s="41"/>
      <c r="K8" s="41"/>
    </row>
    <row r="9" spans="1:11" ht="15.6">
      <c r="A9" s="30" t="str">
        <v>Kohls - Canton</v>
      </c>
      <c r="B9" s="73" t="str">
        <v>CT</v>
      </c>
      <c r="C9" s="11"/>
      <c r="D9" s="18"/>
      <c r="E9" s="18" t="str">
        <f t="shared" si="0"/>
        <v/>
      </c>
      <c r="F9" s="19" t="str">
        <f t="shared" si="3"/>
        <v/>
      </c>
      <c r="G9" s="20"/>
      <c r="H9" s="20" t="str">
        <f t="shared" si="1"/>
        <v/>
      </c>
      <c r="I9" s="19" t="str">
        <f t="shared" si="2"/>
        <v/>
      </c>
      <c r="J9" s="42"/>
      <c r="K9" s="43"/>
    </row>
    <row r="10" spans="1:11" ht="15.6">
      <c r="A10" s="28" t="str">
        <v>Kohls - East Amherst</v>
      </c>
      <c r="B10" s="72"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73" t="str">
        <v>NJ</v>
      </c>
      <c r="C11" s="11"/>
      <c r="D11" s="18"/>
      <c r="E11" s="18" t="str">
        <f t="shared" si="0"/>
        <v/>
      </c>
      <c r="F11" s="19" t="str">
        <f t="shared" si="3"/>
        <v/>
      </c>
      <c r="G11" s="20"/>
      <c r="H11" s="20" t="str">
        <f t="shared" si="1"/>
        <v/>
      </c>
      <c r="I11" s="19" t="str">
        <f t="shared" si="2"/>
        <v/>
      </c>
      <c r="J11" s="42"/>
      <c r="K11" s="43"/>
    </row>
    <row r="12" spans="1:11" ht="15.6">
      <c r="A12" s="28" t="str">
        <v>Kohls - Edgewood</v>
      </c>
      <c r="B12" s="72" t="str">
        <v>MD</v>
      </c>
      <c r="C12" s="24"/>
      <c r="D12" s="13"/>
      <c r="E12" s="13" t="str">
        <f t="shared" si="0"/>
        <v/>
      </c>
      <c r="F12" s="14" t="str">
        <f t="shared" si="3"/>
        <v/>
      </c>
      <c r="G12" s="15"/>
      <c r="H12" s="15" t="str">
        <f t="shared" si="1"/>
        <v/>
      </c>
      <c r="I12" s="16" t="str">
        <f t="shared" si="2"/>
        <v/>
      </c>
      <c r="J12" s="41"/>
      <c r="K12" s="41"/>
    </row>
    <row r="13" spans="1:11" ht="15.6">
      <c r="A13" s="30" t="str">
        <v>Kohls - Granite Run</v>
      </c>
      <c r="B13" s="73" t="str">
        <v>PA</v>
      </c>
      <c r="C13" s="11"/>
      <c r="D13" s="18"/>
      <c r="E13" s="18" t="str">
        <f t="shared" si="0"/>
        <v/>
      </c>
      <c r="F13" s="19" t="str">
        <f t="shared" si="3"/>
        <v/>
      </c>
      <c r="G13" s="20"/>
      <c r="H13" s="20" t="str">
        <f t="shared" si="1"/>
        <v/>
      </c>
      <c r="I13" s="19" t="str">
        <f t="shared" si="2"/>
        <v/>
      </c>
      <c r="J13" s="42"/>
      <c r="K13" s="43"/>
    </row>
    <row r="14" spans="1:11" ht="15.6">
      <c r="A14" s="28" t="str">
        <v>Kohls - Greece</v>
      </c>
      <c r="B14" s="72" t="str">
        <v>NY</v>
      </c>
      <c r="C14" s="24"/>
      <c r="D14" s="13"/>
      <c r="E14" s="13" t="str">
        <f t="shared" si="0"/>
        <v/>
      </c>
      <c r="F14" s="14" t="str">
        <f t="shared" si="3"/>
        <v/>
      </c>
      <c r="G14" s="15"/>
      <c r="H14" s="15" t="str">
        <f t="shared" si="1"/>
        <v/>
      </c>
      <c r="I14" s="16" t="str">
        <f t="shared" si="2"/>
        <v/>
      </c>
      <c r="J14" s="41"/>
      <c r="K14" s="41"/>
    </row>
    <row r="15" spans="1:11" ht="15.6">
      <c r="A15" s="30" t="str">
        <v>Kohls - Hanover</v>
      </c>
      <c r="B15" s="73" t="str">
        <v>PA</v>
      </c>
      <c r="C15" s="11"/>
      <c r="D15" s="18"/>
      <c r="E15" s="18" t="str">
        <f t="shared" si="0"/>
        <v/>
      </c>
      <c r="F15" s="19" t="str">
        <f t="shared" si="3"/>
        <v/>
      </c>
      <c r="G15" s="20"/>
      <c r="H15" s="20" t="str">
        <f t="shared" si="1"/>
        <v/>
      </c>
      <c r="I15" s="19" t="str">
        <f t="shared" si="2"/>
        <v/>
      </c>
      <c r="J15" s="42"/>
      <c r="K15" s="43"/>
    </row>
    <row r="16" spans="1:11" ht="15.6">
      <c r="A16" s="28" t="str">
        <v>Kohls - Horsehead</v>
      </c>
      <c r="B16" s="72" t="str">
        <v>NY</v>
      </c>
      <c r="C16" s="24"/>
      <c r="D16" s="13"/>
      <c r="E16" s="13" t="str">
        <f t="shared" si="0"/>
        <v/>
      </c>
      <c r="F16" s="14" t="str">
        <f t="shared" si="3"/>
        <v/>
      </c>
      <c r="G16" s="15"/>
      <c r="H16" s="15" t="str">
        <f t="shared" si="1"/>
        <v/>
      </c>
      <c r="I16" s="16" t="str">
        <f t="shared" si="2"/>
        <v/>
      </c>
      <c r="J16" s="41"/>
      <c r="K16" s="41"/>
    </row>
    <row r="17" spans="1:11" ht="15.6">
      <c r="A17" s="30" t="str">
        <v>Kohls - Hudson</v>
      </c>
      <c r="B17" s="73" t="str">
        <v>NY</v>
      </c>
      <c r="C17" s="11"/>
      <c r="D17" s="18"/>
      <c r="E17" s="18" t="str">
        <f t="shared" si="0"/>
        <v/>
      </c>
      <c r="F17" s="63" t="str">
        <f>IFERROR(E17/D17, "")</f>
        <v/>
      </c>
      <c r="G17" s="20"/>
      <c r="H17" s="20" t="str">
        <f t="shared" si="1"/>
        <v/>
      </c>
      <c r="I17" s="19" t="str">
        <f t="shared" si="2"/>
        <v/>
      </c>
      <c r="J17" s="42"/>
      <c r="K17" s="43"/>
    </row>
    <row r="18" spans="1:11" ht="12.75" customHeight="1">
      <c r="A18" s="28" t="str">
        <v>Kohls - Ithaca</v>
      </c>
      <c r="B18" s="72" t="str">
        <v>NY</v>
      </c>
      <c r="C18" s="24"/>
      <c r="D18" s="13"/>
      <c r="E18" s="13" t="str">
        <f>IF(AND(ISNUMBER(C18),ISNUMBER(D18)), C18-D18, "")</f>
        <v/>
      </c>
      <c r="F18" s="14" t="str">
        <f>IFERROR(E18/D18, "")</f>
        <v/>
      </c>
      <c r="G18" s="15"/>
      <c r="H18" s="64" t="str">
        <f>IF(AND(ISNUMBER(C18),ISNUMBER(G18)), C18-G18, "")</f>
        <v/>
      </c>
      <c r="I18" s="16" t="str">
        <f t="shared" si="2"/>
        <v/>
      </c>
      <c r="J18" s="41"/>
      <c r="K18" s="41"/>
    </row>
    <row r="19" spans="1:11" ht="12.75" customHeight="1">
      <c r="A19" s="30" t="str">
        <v>Kohls - Kingston</v>
      </c>
      <c r="B19" s="73" t="str">
        <v>NY</v>
      </c>
      <c r="C19" s="11"/>
      <c r="D19" s="18"/>
      <c r="E19" s="18" t="str">
        <f t="shared" ref="E19:E20" si="4">IF(AND(ISNUMBER(C19),ISNUMBER(D19)), C19-D19, "")</f>
        <v/>
      </c>
      <c r="F19" s="63"/>
      <c r="G19" s="63"/>
      <c r="H19" s="20" t="str">
        <f t="shared" ref="H19:H20" si="5">IF(AND(ISNUMBER(C19),ISNUMBER(G19)), C19-G19, "")</f>
        <v/>
      </c>
      <c r="I19" s="19" t="str">
        <f t="shared" si="2"/>
        <v/>
      </c>
      <c r="J19" s="42"/>
      <c r="K19" s="43"/>
    </row>
    <row r="20" spans="1:11" ht="12.75" customHeight="1">
      <c r="A20" s="28" t="str">
        <v>Kohls - Mechanicsburg</v>
      </c>
      <c r="B20" s="72" t="str">
        <v>PA</v>
      </c>
      <c r="C20" s="24"/>
      <c r="D20" s="13"/>
      <c r="E20" s="13" t="str">
        <f t="shared" si="4"/>
        <v/>
      </c>
      <c r="F20" s="14"/>
      <c r="G20" s="15"/>
      <c r="H20" s="64" t="str">
        <f t="shared" si="5"/>
        <v/>
      </c>
      <c r="I20" s="16" t="str">
        <f t="shared" si="2"/>
        <v/>
      </c>
      <c r="J20" s="41"/>
      <c r="K20" s="41"/>
    </row>
    <row r="21" spans="1:11" ht="15.6">
      <c r="A21" s="30" t="str">
        <v>Kohls - Middletown</v>
      </c>
      <c r="B21" s="73" t="str">
        <v>NJ</v>
      </c>
      <c r="C21" s="67"/>
      <c r="D21" s="18"/>
      <c r="E21" s="18" t="str">
        <f t="shared" ref="E21:E68" si="6">IF(AND(ISNUMBER(C21),ISNUMBER(D21)), C21-D21, "")</f>
        <v/>
      </c>
      <c r="F21" s="63" t="str">
        <f t="shared" ref="F21:F68" si="7">IFERROR(E21/D21, "")</f>
        <v/>
      </c>
      <c r="G21" s="20"/>
      <c r="H21" s="63" t="str">
        <f t="shared" ref="H21:H27" si="8">IF(AND(ISNUMBER(C21),ISNUMBER(G21)), C21-G21, "")</f>
        <v/>
      </c>
      <c r="I21" s="19" t="str">
        <f t="shared" si="2"/>
        <v/>
      </c>
      <c r="J21" s="42"/>
      <c r="K21" s="43"/>
    </row>
    <row r="22" spans="1:11" ht="15.6">
      <c r="A22" s="28" t="str">
        <v>Kohls - North Amherst</v>
      </c>
      <c r="B22" s="72" t="str">
        <v>NY</v>
      </c>
      <c r="C22" s="24"/>
      <c r="D22" s="13"/>
      <c r="E22" s="13" t="str">
        <f t="shared" si="6"/>
        <v/>
      </c>
      <c r="F22" s="14" t="str">
        <f t="shared" si="7"/>
        <v/>
      </c>
      <c r="G22" s="15"/>
      <c r="H22" s="64" t="str">
        <f t="shared" si="8"/>
        <v/>
      </c>
      <c r="I22" s="16" t="str">
        <f t="shared" si="2"/>
        <v/>
      </c>
      <c r="J22" s="41"/>
      <c r="K22" s="41"/>
    </row>
    <row r="23" spans="1:11" ht="15.6">
      <c r="A23" s="30" t="str">
        <v>Kohls - Staten Island</v>
      </c>
      <c r="B23" s="73" t="str">
        <v>NY</v>
      </c>
      <c r="C23" s="11"/>
      <c r="D23" s="18"/>
      <c r="E23" s="18" t="str">
        <f t="shared" si="6"/>
        <v/>
      </c>
      <c r="F23" s="63" t="str">
        <f t="shared" si="7"/>
        <v/>
      </c>
      <c r="G23" s="20"/>
      <c r="H23" s="20" t="str">
        <f t="shared" si="8"/>
        <v/>
      </c>
      <c r="I23" s="19" t="str">
        <f t="shared" si="2"/>
        <v/>
      </c>
      <c r="J23" s="42"/>
      <c r="K23" s="43"/>
    </row>
    <row r="24" spans="1:11" ht="15.6">
      <c r="A24" s="28" t="str">
        <v>Kohls - Warminster</v>
      </c>
      <c r="B24" s="72" t="str">
        <v>PA</v>
      </c>
      <c r="C24" s="24"/>
      <c r="D24" s="13"/>
      <c r="E24" s="13" t="str">
        <f t="shared" si="6"/>
        <v/>
      </c>
      <c r="F24" s="14" t="str">
        <f t="shared" si="7"/>
        <v/>
      </c>
      <c r="G24" s="15"/>
      <c r="H24" s="64" t="str">
        <f t="shared" si="8"/>
        <v/>
      </c>
      <c r="I24" s="16" t="str">
        <f t="shared" si="2"/>
        <v/>
      </c>
      <c r="J24" s="41"/>
      <c r="K24" s="41"/>
    </row>
    <row r="25" spans="1:11" ht="15.6">
      <c r="A25" s="30" t="str">
        <v xml:space="preserve">Kohls - Waterbury </v>
      </c>
      <c r="B25" s="73" t="str">
        <v>CT</v>
      </c>
      <c r="C25" s="11"/>
      <c r="D25" s="18"/>
      <c r="E25" s="18" t="str">
        <f t="shared" si="6"/>
        <v/>
      </c>
      <c r="F25" s="63" t="str">
        <f t="shared" si="7"/>
        <v/>
      </c>
      <c r="H25" s="20" t="str">
        <f t="shared" si="8"/>
        <v/>
      </c>
      <c r="I25" s="19" t="str">
        <f t="shared" si="2"/>
        <v/>
      </c>
      <c r="J25" s="42"/>
      <c r="K25" s="43"/>
    </row>
    <row r="26" spans="1:11" ht="15.6">
      <c r="A26" s="28" t="str">
        <v>Mojave Water Agency - Headquarters</v>
      </c>
      <c r="B26" s="72" t="str">
        <v>CA</v>
      </c>
      <c r="C26" s="24"/>
      <c r="D26" s="13"/>
      <c r="E26" s="13" t="str">
        <f t="shared" si="6"/>
        <v/>
      </c>
      <c r="F26" s="14" t="str">
        <f t="shared" si="7"/>
        <v/>
      </c>
      <c r="G26" s="15"/>
      <c r="H26" s="64" t="str">
        <f t="shared" si="8"/>
        <v/>
      </c>
      <c r="I26" s="16" t="str">
        <f t="shared" si="2"/>
        <v/>
      </c>
      <c r="J26" s="41"/>
      <c r="K26" s="41"/>
    </row>
    <row r="27" spans="1:11" ht="15.6">
      <c r="A27" s="30" t="str">
        <v>CSU - Bakersfield</v>
      </c>
      <c r="B27" s="73" t="str">
        <v>CA</v>
      </c>
      <c r="C27" s="11"/>
      <c r="D27" s="18"/>
      <c r="E27" s="18" t="str">
        <f t="shared" si="6"/>
        <v/>
      </c>
      <c r="F27" s="63" t="str">
        <f t="shared" si="7"/>
        <v/>
      </c>
      <c r="G27" s="20"/>
      <c r="H27" s="20" t="str">
        <f t="shared" si="8"/>
        <v/>
      </c>
      <c r="I27" s="19" t="str">
        <f t="shared" si="2"/>
        <v/>
      </c>
      <c r="J27" s="42"/>
      <c r="K27" s="43"/>
    </row>
    <row r="28" spans="1:11" ht="15.6">
      <c r="A28" s="28" t="str">
        <v>Greenfield USD - Fairfield ES</v>
      </c>
      <c r="B28" s="72" t="str">
        <v>CA</v>
      </c>
      <c r="C28" s="24"/>
      <c r="D28" s="13"/>
      <c r="E28" s="13" t="str">
        <f t="shared" si="6"/>
        <v/>
      </c>
      <c r="F28" s="14" t="str">
        <f t="shared" si="7"/>
        <v/>
      </c>
      <c r="G28" s="15"/>
      <c r="H28" s="15" t="str">
        <f t="shared" ref="H28:H29" si="9">IF(AND(ISNUMBER(C28),ISNUMBER(G28)), C28-G28, "")</f>
        <v/>
      </c>
      <c r="I28" s="16" t="str">
        <f t="shared" si="2"/>
        <v/>
      </c>
      <c r="J28" s="41"/>
      <c r="K28" s="41"/>
    </row>
    <row r="29" spans="1:11" ht="15.6">
      <c r="A29" s="30" t="str">
        <v>Greenfield USD - Granite Point ES</v>
      </c>
      <c r="B29" s="73" t="str">
        <v>CA</v>
      </c>
      <c r="C29" s="11"/>
      <c r="D29" s="18"/>
      <c r="E29" s="18" t="str">
        <f t="shared" si="6"/>
        <v/>
      </c>
      <c r="F29" s="63" t="str">
        <f t="shared" si="7"/>
        <v/>
      </c>
      <c r="G29" s="20"/>
      <c r="H29" s="20" t="str">
        <f t="shared" si="9"/>
        <v/>
      </c>
      <c r="I29" s="19" t="str">
        <f t="shared" si="2"/>
        <v/>
      </c>
      <c r="J29" s="42"/>
      <c r="K29" s="43"/>
    </row>
    <row r="30" spans="1:11" ht="15.6">
      <c r="A30" s="28" t="str">
        <v>Greenfield USD - Greenfield MS</v>
      </c>
      <c r="B30" s="72" t="str">
        <v>CA</v>
      </c>
      <c r="C30" s="24"/>
      <c r="D30" s="13"/>
      <c r="E30" s="13" t="str">
        <f t="shared" si="6"/>
        <v/>
      </c>
      <c r="F30" s="14" t="str">
        <f t="shared" si="7"/>
        <v/>
      </c>
      <c r="G30" s="15"/>
      <c r="H30" s="64" t="str">
        <f t="shared" ref="H30:H56" si="10">IF(AND(ISNUMBER(C30),ISNUMBER(G30)), C30-G30, "")</f>
        <v/>
      </c>
      <c r="I30" s="16" t="str">
        <f t="shared" si="2"/>
        <v/>
      </c>
      <c r="J30" s="41"/>
      <c r="K30" s="41"/>
    </row>
    <row r="31" spans="1:11" ht="15.6">
      <c r="A31" s="30" t="str">
        <v>Greenfield USD - Horizon ES</v>
      </c>
      <c r="B31" s="73" t="str">
        <v>CA</v>
      </c>
      <c r="C31" s="11"/>
      <c r="D31" s="18"/>
      <c r="E31" s="18" t="str">
        <f t="shared" si="6"/>
        <v/>
      </c>
      <c r="F31" s="63" t="str">
        <f t="shared" si="7"/>
        <v/>
      </c>
      <c r="G31" s="20"/>
      <c r="H31" s="20" t="str">
        <f t="shared" si="10"/>
        <v/>
      </c>
      <c r="I31" s="19" t="str">
        <f t="shared" si="2"/>
        <v/>
      </c>
      <c r="J31" s="54"/>
      <c r="K31" s="61"/>
    </row>
    <row r="32" spans="1:11" ht="15.6">
      <c r="A32" s="28" t="str">
        <v>Greenfield USD - McKee MS</v>
      </c>
      <c r="B32" s="72" t="str">
        <v>CA</v>
      </c>
      <c r="C32" s="24"/>
      <c r="D32" s="13"/>
      <c r="E32" s="13" t="str">
        <f t="shared" si="6"/>
        <v/>
      </c>
      <c r="F32" s="14" t="str">
        <f t="shared" si="7"/>
        <v/>
      </c>
      <c r="G32" s="15"/>
      <c r="H32" s="64" t="str">
        <f t="shared" si="10"/>
        <v/>
      </c>
      <c r="I32" s="16" t="str">
        <f t="shared" si="2"/>
        <v/>
      </c>
      <c r="J32" s="41"/>
      <c r="K32" s="41"/>
    </row>
    <row r="33" spans="1:11" ht="15.6">
      <c r="A33" s="30" t="str">
        <v>Greenfield USD - Plantation ES</v>
      </c>
      <c r="B33" s="73" t="str">
        <v>CA</v>
      </c>
      <c r="C33" s="11"/>
      <c r="D33" s="18"/>
      <c r="E33" s="18" t="str">
        <f t="shared" si="6"/>
        <v/>
      </c>
      <c r="F33" s="63" t="str">
        <f t="shared" si="7"/>
        <v/>
      </c>
      <c r="G33" s="63"/>
      <c r="H33" s="20" t="str">
        <f t="shared" si="10"/>
        <v/>
      </c>
      <c r="I33" s="19" t="str">
        <f t="shared" si="2"/>
        <v/>
      </c>
      <c r="J33" s="42"/>
      <c r="K33" s="58"/>
    </row>
    <row r="34" spans="1:11" ht="15.6">
      <c r="A34" s="28" t="str">
        <v>Greenfield USD - Planz ES</v>
      </c>
      <c r="B34" s="72" t="str">
        <v>CA</v>
      </c>
      <c r="C34" s="24"/>
      <c r="D34" s="13"/>
      <c r="E34" s="13" t="str">
        <f t="shared" si="6"/>
        <v/>
      </c>
      <c r="F34" s="14" t="str">
        <f t="shared" si="7"/>
        <v/>
      </c>
      <c r="G34" s="15"/>
      <c r="H34" s="64" t="str">
        <f t="shared" si="10"/>
        <v/>
      </c>
      <c r="I34" s="16" t="str">
        <f t="shared" si="2"/>
        <v/>
      </c>
      <c r="J34" s="41"/>
      <c r="K34" s="41"/>
    </row>
    <row r="35" spans="1:11" ht="14.45">
      <c r="A35" s="63" t="str">
        <v>Greenfield USD - Raffaello Palla ES</v>
      </c>
      <c r="B35" s="74" t="str">
        <v>CA</v>
      </c>
      <c r="C35" s="63"/>
      <c r="D35" s="63"/>
      <c r="E35" s="63" t="str">
        <f t="shared" si="6"/>
        <v/>
      </c>
      <c r="F35" s="63" t="str">
        <f t="shared" si="7"/>
        <v/>
      </c>
      <c r="G35" s="63"/>
      <c r="H35" s="63" t="str">
        <f t="shared" si="10"/>
        <v/>
      </c>
      <c r="I35" s="19" t="str">
        <f t="shared" si="2"/>
        <v/>
      </c>
      <c r="J35" s="63"/>
      <c r="K35" s="63"/>
    </row>
    <row r="36" spans="1:11" ht="15.6">
      <c r="A36" s="28" t="str">
        <v>Greenfield USD - Valle Verde ES</v>
      </c>
      <c r="B36" s="72" t="str">
        <v>CA</v>
      </c>
      <c r="C36" s="24"/>
      <c r="D36" s="13"/>
      <c r="E36" s="13" t="str">
        <f t="shared" si="6"/>
        <v/>
      </c>
      <c r="F36" s="14" t="str">
        <f t="shared" si="7"/>
        <v/>
      </c>
      <c r="G36" s="15"/>
      <c r="H36" s="64" t="str">
        <f t="shared" si="10"/>
        <v/>
      </c>
      <c r="I36" s="16" t="str">
        <f t="shared" si="2"/>
        <v/>
      </c>
      <c r="J36" s="41"/>
      <c r="K36" s="41"/>
    </row>
    <row r="37" spans="1:11" ht="14.45">
      <c r="A37" s="63" t="str">
        <v>Greenfield USD - W.A. Kendrick ES</v>
      </c>
      <c r="B37" s="74" t="str">
        <v>CA</v>
      </c>
      <c r="C37" s="63"/>
      <c r="D37" s="63"/>
      <c r="E37" s="63" t="str">
        <f t="shared" si="6"/>
        <v/>
      </c>
      <c r="F37" s="63" t="str">
        <f t="shared" si="7"/>
        <v/>
      </c>
      <c r="G37" s="20"/>
      <c r="H37" s="63" t="str">
        <f t="shared" si="10"/>
        <v/>
      </c>
      <c r="I37" s="19" t="str">
        <f t="shared" si="2"/>
        <v/>
      </c>
      <c r="J37" s="63"/>
      <c r="K37" s="63"/>
    </row>
    <row r="38" spans="1:11" ht="15.6">
      <c r="A38" s="28" t="str">
        <v>Muroc Joint USD - Boron HS</v>
      </c>
      <c r="B38" s="72" t="str">
        <v>CA</v>
      </c>
      <c r="C38" s="24"/>
      <c r="D38" s="13"/>
      <c r="E38" s="13" t="str">
        <f t="shared" si="6"/>
        <v/>
      </c>
      <c r="F38" s="14" t="str">
        <f t="shared" si="7"/>
        <v/>
      </c>
      <c r="G38" s="15"/>
      <c r="H38" s="64" t="str">
        <f t="shared" si="10"/>
        <v/>
      </c>
      <c r="I38" s="16" t="str">
        <f t="shared" si="2"/>
        <v/>
      </c>
      <c r="J38" s="66"/>
      <c r="K38" s="41"/>
    </row>
    <row r="39" spans="1:11" ht="15.6">
      <c r="A39" s="30" t="str">
        <v>Muroc Joint USD - W. Boron ES</v>
      </c>
      <c r="B39" s="73" t="str">
        <v>CA</v>
      </c>
      <c r="C39" s="11"/>
      <c r="D39" s="18"/>
      <c r="E39" s="18" t="str">
        <f t="shared" si="6"/>
        <v/>
      </c>
      <c r="F39" s="63" t="str">
        <f t="shared" si="7"/>
        <v/>
      </c>
      <c r="G39" s="77"/>
      <c r="H39" s="20" t="str">
        <f t="shared" si="10"/>
        <v/>
      </c>
      <c r="I39" s="19" t="str">
        <f t="shared" si="2"/>
        <v/>
      </c>
      <c r="J39" s="42"/>
      <c r="K39" s="43"/>
    </row>
    <row r="40" spans="1:11" ht="15.6">
      <c r="A40" s="28" t="str">
        <v>Colusa - WTP</v>
      </c>
      <c r="B40" s="72" t="str">
        <v>CA</v>
      </c>
      <c r="C40" s="24"/>
      <c r="D40" s="13"/>
      <c r="E40" s="13" t="str">
        <f t="shared" si="6"/>
        <v/>
      </c>
      <c r="F40" s="14" t="str">
        <f t="shared" si="7"/>
        <v/>
      </c>
      <c r="G40" s="15"/>
      <c r="H40" s="64" t="str">
        <f t="shared" si="10"/>
        <v/>
      </c>
      <c r="I40" s="16" t="str">
        <f t="shared" si="2"/>
        <v/>
      </c>
      <c r="J40" s="41"/>
      <c r="K40" s="41"/>
    </row>
    <row r="41" spans="1:11" ht="15.6">
      <c r="A41" s="30" t="str">
        <v>CDCR-North Kern State Prision</v>
      </c>
      <c r="B41" s="73" t="str">
        <v>CA</v>
      </c>
      <c r="C41" s="11"/>
      <c r="D41" s="18"/>
      <c r="E41" s="18" t="str">
        <f t="shared" si="6"/>
        <v/>
      </c>
      <c r="F41" s="63" t="str">
        <f t="shared" si="7"/>
        <v/>
      </c>
      <c r="G41" s="20"/>
      <c r="H41" s="20" t="str">
        <f t="shared" si="10"/>
        <v/>
      </c>
      <c r="I41" s="19" t="str">
        <f t="shared" si="2"/>
        <v/>
      </c>
      <c r="J41" s="42"/>
      <c r="K41" s="43"/>
    </row>
    <row r="42" spans="1:11" ht="15.6">
      <c r="A42" s="28" t="str">
        <v>Muroc Joint USD - District Office</v>
      </c>
      <c r="B42" s="72" t="str">
        <v>CA</v>
      </c>
      <c r="C42" s="24"/>
      <c r="D42" s="13"/>
      <c r="E42" s="13" t="str">
        <f t="shared" si="6"/>
        <v/>
      </c>
      <c r="F42" s="14" t="str">
        <f t="shared" si="7"/>
        <v/>
      </c>
      <c r="G42" s="15"/>
      <c r="H42" s="64" t="str">
        <f t="shared" si="10"/>
        <v/>
      </c>
      <c r="I42" s="16" t="str">
        <f t="shared" si="2"/>
        <v/>
      </c>
      <c r="J42" s="41"/>
      <c r="K42" s="41"/>
    </row>
    <row r="43" spans="1:11" ht="15.6">
      <c r="A43" s="30" t="str">
        <v>Whole Foods - Manhattan Beach</v>
      </c>
      <c r="B43" s="73" t="str">
        <v>CA</v>
      </c>
      <c r="C43" s="11"/>
      <c r="D43" s="18"/>
      <c r="E43" s="18" t="str">
        <f t="shared" si="6"/>
        <v/>
      </c>
      <c r="F43" s="63" t="str">
        <f t="shared" si="7"/>
        <v/>
      </c>
      <c r="G43" s="20"/>
      <c r="H43" s="20" t="str">
        <f t="shared" si="10"/>
        <v/>
      </c>
      <c r="I43" s="19" t="str">
        <f t="shared" si="2"/>
        <v/>
      </c>
      <c r="J43" s="42"/>
      <c r="K43" s="42"/>
    </row>
    <row r="44" spans="1:11" ht="15.6">
      <c r="A44" s="28" t="str">
        <v>Pioneer USD - Frontier ES</v>
      </c>
      <c r="B44" s="72" t="str">
        <v>CA</v>
      </c>
      <c r="C44" s="24"/>
      <c r="D44" s="13"/>
      <c r="E44" s="13" t="str">
        <f t="shared" si="6"/>
        <v/>
      </c>
      <c r="F44" s="14" t="str">
        <f t="shared" si="7"/>
        <v/>
      </c>
      <c r="G44" s="15"/>
      <c r="H44" s="64" t="str">
        <f t="shared" si="10"/>
        <v/>
      </c>
      <c r="I44" s="16" t="str">
        <f t="shared" si="2"/>
        <v/>
      </c>
      <c r="J44" s="41"/>
      <c r="K44" s="41"/>
    </row>
    <row r="45" spans="1:11" ht="15.6">
      <c r="A45" s="30" t="str">
        <v>Pioneer USD - Pioneer ES</v>
      </c>
      <c r="B45" s="73" t="str">
        <v>CA</v>
      </c>
      <c r="C45" s="11"/>
      <c r="D45" s="18"/>
      <c r="E45" s="18" t="str">
        <f t="shared" si="6"/>
        <v/>
      </c>
      <c r="F45" s="63" t="str">
        <f t="shared" si="7"/>
        <v/>
      </c>
      <c r="G45" s="20"/>
      <c r="H45" s="20" t="str">
        <f t="shared" si="10"/>
        <v/>
      </c>
      <c r="I45" s="19" t="str">
        <f t="shared" si="2"/>
        <v/>
      </c>
      <c r="J45" s="42"/>
      <c r="K45" s="42"/>
    </row>
    <row r="46" spans="1:11" ht="15.6">
      <c r="A46" s="28" t="str">
        <v>Pioneer USD - Pioneer MS</v>
      </c>
      <c r="B46" s="72" t="str">
        <v>CA</v>
      </c>
      <c r="C46" s="24"/>
      <c r="D46" s="13"/>
      <c r="E46" s="13" t="str">
        <f t="shared" si="6"/>
        <v/>
      </c>
      <c r="F46" s="14" t="str">
        <f t="shared" si="7"/>
        <v/>
      </c>
      <c r="G46" s="15"/>
      <c r="H46" s="64" t="str">
        <f t="shared" si="10"/>
        <v/>
      </c>
      <c r="I46" s="16" t="str">
        <f t="shared" si="2"/>
        <v/>
      </c>
      <c r="J46" s="41"/>
      <c r="K46" s="41"/>
    </row>
    <row r="47" spans="1:11" ht="15.6">
      <c r="A47" s="30" t="str">
        <v>Kingsburg Joint UHSD - Kingsburg HS</v>
      </c>
      <c r="B47" s="73" t="str">
        <v>CA</v>
      </c>
      <c r="C47" s="11"/>
      <c r="D47" s="18"/>
      <c r="E47" s="18" t="str">
        <f t="shared" si="6"/>
        <v/>
      </c>
      <c r="F47" s="63" t="str">
        <f t="shared" si="7"/>
        <v/>
      </c>
      <c r="G47" s="20"/>
      <c r="H47" s="20" t="str">
        <f t="shared" si="10"/>
        <v/>
      </c>
      <c r="I47" s="19" t="str">
        <f t="shared" si="2"/>
        <v/>
      </c>
      <c r="J47" s="42"/>
      <c r="K47" s="61"/>
    </row>
    <row r="48" spans="1:11" ht="15.6">
      <c r="A48" s="28" t="str">
        <v>CADRB</v>
      </c>
      <c r="B48" s="72" t="str">
        <v>CA</v>
      </c>
      <c r="C48" s="24"/>
      <c r="D48" s="13"/>
      <c r="E48" s="13" t="str">
        <f t="shared" si="6"/>
        <v/>
      </c>
      <c r="F48" s="14" t="str">
        <f t="shared" si="7"/>
        <v/>
      </c>
      <c r="G48" s="15"/>
      <c r="H48" s="64" t="str">
        <f t="shared" si="10"/>
        <v/>
      </c>
      <c r="I48" s="16" t="str">
        <f t="shared" si="2"/>
        <v/>
      </c>
      <c r="J48" s="41"/>
      <c r="K48" s="41"/>
    </row>
    <row r="49" spans="1:11" ht="15.6">
      <c r="A49" s="30" t="str">
        <v>CDCR-CA State Prison LA County</v>
      </c>
      <c r="B49" s="73" t="str">
        <v>CA</v>
      </c>
      <c r="C49" s="11"/>
      <c r="D49" s="18"/>
      <c r="E49" s="18" t="str">
        <f t="shared" si="6"/>
        <v/>
      </c>
      <c r="F49" s="63" t="str">
        <f t="shared" si="7"/>
        <v/>
      </c>
      <c r="G49" s="20"/>
      <c r="H49" s="20" t="str">
        <f t="shared" si="10"/>
        <v/>
      </c>
      <c r="I49" s="19" t="str">
        <f t="shared" si="2"/>
        <v/>
      </c>
      <c r="J49" s="42"/>
      <c r="K49" s="43"/>
    </row>
    <row r="50" spans="1:11" ht="15.6">
      <c r="A50" s="28" t="str">
        <v>Central USD Akers ES</v>
      </c>
      <c r="B50" s="72" t="str">
        <v>CA</v>
      </c>
      <c r="C50" s="24"/>
      <c r="D50" s="13"/>
      <c r="E50" s="13" t="str">
        <f t="shared" si="6"/>
        <v/>
      </c>
      <c r="F50" s="14" t="str">
        <f t="shared" si="7"/>
        <v/>
      </c>
      <c r="G50" s="15"/>
      <c r="H50" s="64" t="str">
        <f t="shared" si="10"/>
        <v/>
      </c>
      <c r="I50" s="16" t="str">
        <f t="shared" si="2"/>
        <v/>
      </c>
      <c r="J50" s="41"/>
      <c r="K50" s="41"/>
    </row>
    <row r="51" spans="1:11" ht="15.6">
      <c r="A51" s="30" t="str">
        <v>CUSD - District Office</v>
      </c>
      <c r="B51" s="73" t="str">
        <v>CA</v>
      </c>
      <c r="C51" s="11"/>
      <c r="D51" s="18"/>
      <c r="E51" s="18" t="str">
        <f t="shared" si="6"/>
        <v/>
      </c>
      <c r="F51" s="63" t="str">
        <f t="shared" si="7"/>
        <v/>
      </c>
      <c r="G51" s="20"/>
      <c r="H51" s="20" t="str">
        <f t="shared" si="10"/>
        <v/>
      </c>
      <c r="I51" s="19" t="str">
        <f t="shared" si="2"/>
        <v/>
      </c>
      <c r="J51" s="42"/>
      <c r="K51" s="43"/>
    </row>
    <row r="52" spans="1:11" ht="15.6">
      <c r="A52" s="28" t="str">
        <v>Parlier - WTP</v>
      </c>
      <c r="B52" s="72" t="str">
        <v>CA</v>
      </c>
      <c r="C52" s="24"/>
      <c r="D52" s="13"/>
      <c r="E52" s="13" t="str">
        <f t="shared" si="6"/>
        <v/>
      </c>
      <c r="F52" s="14" t="str">
        <f t="shared" si="7"/>
        <v/>
      </c>
      <c r="G52" s="15"/>
      <c r="H52" s="64" t="str">
        <f t="shared" si="10"/>
        <v/>
      </c>
      <c r="I52" s="16" t="str">
        <f t="shared" si="2"/>
        <v/>
      </c>
      <c r="J52" s="41"/>
      <c r="K52" s="41"/>
    </row>
    <row r="53" spans="1:11" ht="15.6">
      <c r="A53" s="30" t="str">
        <v>Snowline SD - Quail Valley MS</v>
      </c>
      <c r="B53" s="73" t="str">
        <v>CA</v>
      </c>
      <c r="C53" s="11"/>
      <c r="D53" s="18"/>
      <c r="E53" s="18" t="str">
        <f t="shared" si="6"/>
        <v/>
      </c>
      <c r="F53" s="63" t="str">
        <f t="shared" si="7"/>
        <v/>
      </c>
      <c r="G53" s="20"/>
      <c r="H53" s="20" t="str">
        <f t="shared" si="10"/>
        <v/>
      </c>
      <c r="I53" s="19" t="str">
        <f t="shared" si="2"/>
        <v/>
      </c>
      <c r="J53" s="42"/>
      <c r="K53" s="43"/>
    </row>
    <row r="54" spans="1:11" ht="14.45">
      <c r="A54" s="29" t="str">
        <v>Snowline SD - Serrano HS - Middle Lot</v>
      </c>
      <c r="B54" s="72" t="str">
        <v>CA</v>
      </c>
      <c r="C54" s="65"/>
      <c r="D54" s="13"/>
      <c r="E54" s="13" t="str">
        <f t="shared" si="6"/>
        <v/>
      </c>
      <c r="F54" s="13" t="str">
        <f t="shared" si="7"/>
        <v/>
      </c>
      <c r="G54" s="64"/>
      <c r="H54" s="64" t="str">
        <f t="shared" si="10"/>
        <v/>
      </c>
      <c r="I54" s="16" t="str">
        <f t="shared" si="2"/>
        <v/>
      </c>
      <c r="J54" s="66"/>
      <c r="K54" s="66"/>
    </row>
    <row r="55" spans="1:11" ht="15.6">
      <c r="A55" s="30" t="str">
        <v>Snowline SD - Pinon Hills ES</v>
      </c>
      <c r="B55" s="73" t="str">
        <v>CA</v>
      </c>
      <c r="C55" s="11"/>
      <c r="D55" s="18"/>
      <c r="E55" s="18" t="str">
        <f t="shared" si="6"/>
        <v/>
      </c>
      <c r="F55" s="63" t="str">
        <f t="shared" si="7"/>
        <v/>
      </c>
      <c r="G55" s="20"/>
      <c r="H55" s="20" t="str">
        <f t="shared" si="10"/>
        <v/>
      </c>
      <c r="I55" s="19" t="str">
        <f t="shared" si="2"/>
        <v/>
      </c>
      <c r="J55" s="42"/>
      <c r="K55" s="43"/>
    </row>
    <row r="56" spans="1:11" ht="15.6">
      <c r="A56" s="28" t="str">
        <v>Ramona - Santa Maria WTP</v>
      </c>
      <c r="B56" s="72" t="str">
        <v>CA</v>
      </c>
      <c r="C56" s="24"/>
      <c r="D56" s="13"/>
      <c r="E56" s="13" t="str">
        <f t="shared" si="6"/>
        <v/>
      </c>
      <c r="F56" s="14" t="str">
        <f t="shared" si="7"/>
        <v/>
      </c>
      <c r="G56" s="15"/>
      <c r="H56" s="64" t="str">
        <f t="shared" si="10"/>
        <v/>
      </c>
      <c r="I56" s="16" t="str">
        <f t="shared" si="2"/>
        <v/>
      </c>
      <c r="J56" s="41"/>
      <c r="K56" s="41"/>
    </row>
    <row r="57" spans="1:11" ht="15.6">
      <c r="A57" s="30" t="str">
        <v>Kohls - Redding</v>
      </c>
      <c r="B57" s="73" t="str">
        <v>CA</v>
      </c>
      <c r="C57" s="11"/>
      <c r="D57" s="18"/>
      <c r="E57" s="18" t="str">
        <f t="shared" si="6"/>
        <v/>
      </c>
      <c r="F57" s="63" t="str">
        <f t="shared" si="7"/>
        <v/>
      </c>
      <c r="G57" s="20"/>
      <c r="H57" s="20" t="str">
        <f t="shared" ref="H57:H58" si="11">IF(AND(ISNUMBER(C57),ISNUMBER(G57)), C57-G57, "")</f>
        <v/>
      </c>
      <c r="I57" s="19" t="str">
        <f t="shared" si="2"/>
        <v/>
      </c>
      <c r="J57" s="42"/>
      <c r="K57" s="42"/>
    </row>
    <row r="58" spans="1:11" ht="15.6">
      <c r="A58" s="28" t="str">
        <v>Kohls - Salinas</v>
      </c>
      <c r="B58" s="72" t="str">
        <v>CA</v>
      </c>
      <c r="C58" s="24"/>
      <c r="D58" s="13"/>
      <c r="E58" s="13" t="str">
        <f t="shared" si="6"/>
        <v/>
      </c>
      <c r="F58" s="14" t="str">
        <f t="shared" si="7"/>
        <v/>
      </c>
      <c r="G58" s="15"/>
      <c r="H58" s="64" t="str">
        <f t="shared" si="11"/>
        <v/>
      </c>
      <c r="I58" s="16" t="str">
        <f t="shared" si="2"/>
        <v/>
      </c>
      <c r="J58" s="41"/>
      <c r="K58" s="41"/>
    </row>
    <row r="59" spans="1:11" ht="15.6">
      <c r="A59" s="30" t="str">
        <v>Kohls - San Bernardino - Central</v>
      </c>
      <c r="B59" s="73" t="str">
        <v>CA</v>
      </c>
      <c r="C59" s="11"/>
      <c r="D59" s="18"/>
      <c r="E59" s="18" t="str">
        <f t="shared" si="6"/>
        <v/>
      </c>
      <c r="F59" s="63" t="str">
        <f t="shared" si="7"/>
        <v/>
      </c>
      <c r="G59" s="20"/>
      <c r="H59" s="20" t="str">
        <f t="shared" ref="H59:H68" si="12">IF(AND(ISNUMBER(C59),ISNUMBER(G59)), C59-G59, "")</f>
        <v/>
      </c>
      <c r="I59" s="19" t="str">
        <f t="shared" si="2"/>
        <v/>
      </c>
      <c r="J59" s="42"/>
      <c r="K59" s="43"/>
    </row>
    <row r="60" spans="1:11" ht="15.6">
      <c r="A60" s="28" t="str">
        <v>Kohls - Sonora</v>
      </c>
      <c r="B60" s="72" t="str">
        <v>CA</v>
      </c>
      <c r="C60" s="24"/>
      <c r="D60" s="13"/>
      <c r="E60" s="13" t="str">
        <f t="shared" si="6"/>
        <v/>
      </c>
      <c r="F60" s="14" t="str">
        <f t="shared" si="7"/>
        <v/>
      </c>
      <c r="G60" s="15"/>
      <c r="H60" s="64" t="str">
        <f t="shared" si="12"/>
        <v/>
      </c>
      <c r="I60" s="16" t="str">
        <f t="shared" si="2"/>
        <v/>
      </c>
      <c r="J60" s="41"/>
      <c r="K60" s="41"/>
    </row>
    <row r="61" spans="1:11" ht="15.6">
      <c r="A61" s="30" t="str">
        <v>CUSD - Stratford ES</v>
      </c>
      <c r="B61" s="73" t="str">
        <v>CA</v>
      </c>
      <c r="C61" s="11"/>
      <c r="D61" s="18"/>
      <c r="E61" s="18" t="str">
        <f t="shared" si="6"/>
        <v/>
      </c>
      <c r="F61" s="63" t="str">
        <f t="shared" si="7"/>
        <v/>
      </c>
      <c r="G61" s="20"/>
      <c r="H61" s="20" t="str">
        <f t="shared" si="12"/>
        <v/>
      </c>
      <c r="I61" s="19" t="str">
        <f t="shared" si="2"/>
        <v/>
      </c>
      <c r="J61" s="42"/>
      <c r="K61" s="43"/>
    </row>
    <row r="62" spans="1:11" ht="15.6">
      <c r="A62" s="28" t="str">
        <v>Taft - City Hall</v>
      </c>
      <c r="B62" s="72" t="str">
        <v>CA</v>
      </c>
      <c r="C62" s="24"/>
      <c r="D62" s="13"/>
      <c r="E62" s="13" t="str">
        <f t="shared" si="6"/>
        <v/>
      </c>
      <c r="F62" s="14" t="str">
        <f t="shared" si="7"/>
        <v/>
      </c>
      <c r="G62" s="15"/>
      <c r="H62" s="64" t="str">
        <f t="shared" si="12"/>
        <v/>
      </c>
      <c r="I62" s="16" t="str">
        <f t="shared" si="2"/>
        <v/>
      </c>
      <c r="J62" s="41"/>
      <c r="K62" s="41"/>
    </row>
    <row r="63" spans="1:11" ht="15.6">
      <c r="A63" s="30" t="str">
        <v>Taft - Federal Prison</v>
      </c>
      <c r="B63" s="73" t="str">
        <v>CA</v>
      </c>
      <c r="C63" s="11"/>
      <c r="D63" s="18"/>
      <c r="E63" s="18" t="str">
        <f t="shared" si="6"/>
        <v/>
      </c>
      <c r="F63" s="63" t="str">
        <f t="shared" si="7"/>
        <v/>
      </c>
      <c r="G63" s="63"/>
      <c r="H63" s="20" t="str">
        <f t="shared" si="12"/>
        <v/>
      </c>
      <c r="I63" s="19" t="str">
        <f t="shared" si="2"/>
        <v/>
      </c>
      <c r="J63" s="42"/>
      <c r="K63" s="43"/>
    </row>
    <row r="64" spans="1:11" ht="15.6">
      <c r="A64" s="28" t="str">
        <v>Taft - Police Department</v>
      </c>
      <c r="B64" s="72" t="str">
        <v>CA</v>
      </c>
      <c r="C64" s="24"/>
      <c r="D64" s="13"/>
      <c r="E64" s="13" t="str">
        <f t="shared" si="6"/>
        <v/>
      </c>
      <c r="F64" s="14" t="str">
        <f t="shared" si="7"/>
        <v/>
      </c>
      <c r="G64" s="15"/>
      <c r="H64" s="64" t="str">
        <f t="shared" si="12"/>
        <v/>
      </c>
      <c r="I64" s="16" t="str">
        <f t="shared" si="2"/>
        <v/>
      </c>
      <c r="J64" s="41"/>
      <c r="K64" s="41"/>
    </row>
    <row r="65" spans="1:11" ht="14.45">
      <c r="A65" s="68" t="str">
        <v>Taft - WTP</v>
      </c>
      <c r="B65" s="74" t="str">
        <v>CA</v>
      </c>
      <c r="C65" s="63"/>
      <c r="D65" s="63"/>
      <c r="E65" s="63" t="str">
        <f t="shared" si="6"/>
        <v/>
      </c>
      <c r="F65" s="63" t="str">
        <f t="shared" si="7"/>
        <v/>
      </c>
      <c r="G65" s="63"/>
      <c r="H65" s="63" t="str">
        <f t="shared" si="12"/>
        <v/>
      </c>
      <c r="I65" s="19" t="str">
        <f t="shared" si="2"/>
        <v/>
      </c>
      <c r="J65" s="63"/>
      <c r="K65" s="63"/>
    </row>
    <row r="66" spans="1:11" ht="15.6">
      <c r="A66" s="28" t="str">
        <v>CDCR - CA Correctional Institution</v>
      </c>
      <c r="B66" s="72" t="str">
        <v>CA</v>
      </c>
      <c r="C66" s="24"/>
      <c r="D66" s="13"/>
      <c r="E66" s="13" t="str">
        <f t="shared" si="6"/>
        <v/>
      </c>
      <c r="F66" s="14" t="str">
        <f t="shared" si="7"/>
        <v/>
      </c>
      <c r="G66" s="15"/>
      <c r="H66" s="64" t="str">
        <f t="shared" si="12"/>
        <v/>
      </c>
      <c r="I66" s="16" t="str">
        <f t="shared" si="2"/>
        <v/>
      </c>
      <c r="J66" s="41"/>
      <c r="K66" s="41"/>
    </row>
    <row r="67" spans="1:11" ht="14.45">
      <c r="A67" s="63" t="str">
        <v>CDCR - CA Correctional Institution II</v>
      </c>
      <c r="B67" s="74" t="str">
        <v>CA</v>
      </c>
      <c r="C67" s="63"/>
      <c r="D67" s="63"/>
      <c r="E67" s="63" t="str">
        <f t="shared" si="6"/>
        <v/>
      </c>
      <c r="F67" s="63" t="str">
        <f t="shared" si="7"/>
        <v/>
      </c>
      <c r="G67" s="63"/>
      <c r="H67" s="63" t="str">
        <f t="shared" si="12"/>
        <v/>
      </c>
      <c r="I67" s="19" t="str">
        <f t="shared" si="2"/>
        <v/>
      </c>
      <c r="J67" s="69"/>
      <c r="K67" s="70"/>
    </row>
    <row r="68" spans="1:11" ht="15.6">
      <c r="A68" s="28" t="str">
        <v>Snowline SD - Vista Verde ES</v>
      </c>
      <c r="B68" s="72" t="str">
        <v>CA</v>
      </c>
      <c r="C68" s="24"/>
      <c r="D68" s="13"/>
      <c r="E68" s="13" t="str">
        <f t="shared" si="6"/>
        <v/>
      </c>
      <c r="F68" s="62" t="str">
        <f t="shared" si="7"/>
        <v/>
      </c>
      <c r="G68" s="15"/>
      <c r="H68" s="64" t="str">
        <f t="shared" si="12"/>
        <v/>
      </c>
      <c r="I68" s="16" t="str">
        <f t="shared" si="2"/>
        <v/>
      </c>
      <c r="J68" s="41"/>
      <c r="K68" s="41"/>
    </row>
    <row r="69" spans="1:11" ht="14.45">
      <c r="A69" s="21" t="str">
        <v>North Stonington</v>
      </c>
      <c r="B69" s="75" t="str">
        <v>CT</v>
      </c>
      <c r="C69" s="21"/>
      <c r="D69" s="21"/>
      <c r="E69" s="21"/>
      <c r="F69" s="22"/>
      <c r="G69" s="21"/>
      <c r="H69" s="21"/>
      <c r="I69" s="22"/>
      <c r="J69" s="21"/>
      <c r="K69" s="21"/>
    </row>
    <row r="70" spans="1:11" ht="14.45">
      <c r="A70" s="21"/>
      <c r="B70" s="75"/>
      <c r="C70" s="21"/>
      <c r="D70" s="21"/>
      <c r="E70" s="21"/>
      <c r="F70" s="22"/>
      <c r="G70" s="21"/>
      <c r="H70" s="21"/>
      <c r="I70" s="22"/>
      <c r="J70" s="21"/>
      <c r="K70" s="21"/>
    </row>
    <row r="71" spans="1:11" ht="14.45">
      <c r="A71" s="21"/>
      <c r="B71" s="75"/>
      <c r="C71" s="21"/>
      <c r="D71" s="21"/>
      <c r="E71" s="21"/>
      <c r="F71" s="22"/>
      <c r="G71" s="21"/>
      <c r="H71" s="21"/>
      <c r="I71" s="22"/>
      <c r="J71" s="21"/>
      <c r="K71" s="21"/>
    </row>
    <row r="72" spans="1:11" ht="14.45">
      <c r="A72" s="21"/>
      <c r="B72" s="75"/>
      <c r="C72" s="21"/>
      <c r="D72" s="21"/>
      <c r="E72" s="21"/>
      <c r="F72" s="22"/>
      <c r="G72" s="21"/>
      <c r="H72" s="21"/>
      <c r="I72" s="22"/>
      <c r="J72" s="21"/>
      <c r="K72" s="21"/>
    </row>
    <row r="73" spans="1:11" ht="14.45">
      <c r="A73" s="21"/>
      <c r="B73" s="75"/>
      <c r="C73" s="21"/>
      <c r="D73" s="21"/>
      <c r="E73" s="21"/>
      <c r="F73" s="22"/>
      <c r="G73" s="21"/>
      <c r="H73" s="21"/>
      <c r="I73" s="22"/>
      <c r="J73" s="21"/>
      <c r="K73" s="21"/>
    </row>
    <row r="74" spans="1:11" ht="14.45">
      <c r="A74" s="21"/>
      <c r="B74" s="75"/>
      <c r="C74" s="21"/>
      <c r="D74" s="21"/>
      <c r="E74" s="21"/>
      <c r="F74" s="22"/>
      <c r="G74" s="21"/>
      <c r="H74" s="21"/>
      <c r="I74" s="22"/>
      <c r="J74" s="21"/>
      <c r="K74" s="21"/>
    </row>
    <row r="75" spans="1:11" ht="14.45">
      <c r="A75" s="21"/>
      <c r="B75" s="75"/>
      <c r="C75" s="21"/>
      <c r="D75" s="21"/>
      <c r="E75" s="21"/>
      <c r="F75" s="22"/>
      <c r="G75" s="21"/>
      <c r="H75" s="21"/>
      <c r="I75" s="22"/>
      <c r="J75" s="21"/>
      <c r="K75" s="21"/>
    </row>
    <row r="76" spans="1:11" ht="14.45">
      <c r="A76" s="21"/>
      <c r="B76" s="75"/>
      <c r="C76" s="21"/>
      <c r="D76" s="21"/>
      <c r="E76" s="21"/>
      <c r="F76" s="22"/>
      <c r="G76" s="21"/>
      <c r="H76" s="21"/>
      <c r="I76" s="22"/>
      <c r="J76" s="21"/>
      <c r="K76" s="21"/>
    </row>
    <row r="77" spans="1:11" ht="14.45">
      <c r="A77" s="21"/>
      <c r="B77" s="75"/>
      <c r="C77" s="21"/>
      <c r="D77" s="21"/>
      <c r="E77" s="21"/>
      <c r="F77" s="22"/>
      <c r="G77" s="21"/>
      <c r="H77" s="21"/>
      <c r="I77" s="22"/>
      <c r="J77" s="21"/>
      <c r="K77" s="21"/>
    </row>
    <row r="78" spans="1:11" ht="14.45">
      <c r="A78" s="21"/>
      <c r="B78" s="75"/>
      <c r="C78" s="21"/>
      <c r="D78" s="21"/>
      <c r="E78" s="21"/>
      <c r="F78" s="22"/>
      <c r="G78" s="21"/>
      <c r="H78" s="21"/>
      <c r="I78" s="22"/>
      <c r="J78" s="21"/>
      <c r="K78" s="21"/>
    </row>
    <row r="79" spans="1:11" ht="14.45">
      <c r="A79" s="21"/>
      <c r="B79" s="75"/>
      <c r="C79" s="21"/>
      <c r="D79" s="21"/>
      <c r="E79" s="21"/>
      <c r="F79" s="22"/>
      <c r="G79" s="21"/>
      <c r="H79" s="21"/>
      <c r="I79" s="22"/>
      <c r="J79" s="21"/>
      <c r="K79" s="21"/>
    </row>
    <row r="80" spans="1:11" ht="14.45">
      <c r="A80" s="21"/>
      <c r="B80" s="75"/>
      <c r="C80" s="21"/>
      <c r="D80" s="21"/>
      <c r="E80" s="21"/>
      <c r="F80" s="22"/>
      <c r="G80" s="21"/>
      <c r="H80" s="21"/>
      <c r="I80" s="22"/>
      <c r="J80" s="21"/>
      <c r="K80" s="21"/>
    </row>
    <row r="81" spans="1:11" ht="14.45">
      <c r="A81" s="21"/>
      <c r="B81" s="75"/>
      <c r="C81" s="21"/>
      <c r="D81" s="21"/>
      <c r="E81" s="21"/>
      <c r="F81" s="22"/>
      <c r="G81" s="21"/>
      <c r="H81" s="21"/>
      <c r="I81" s="22"/>
      <c r="J81" s="21"/>
      <c r="K81" s="21"/>
    </row>
    <row r="82" spans="1:11" ht="14.45">
      <c r="A82" s="21"/>
      <c r="B82" s="75"/>
      <c r="C82" s="21"/>
      <c r="D82" s="21"/>
      <c r="E82" s="21"/>
      <c r="F82" s="22"/>
      <c r="G82" s="21"/>
      <c r="H82" s="21"/>
      <c r="I82" s="22"/>
      <c r="J82" s="21"/>
      <c r="K82" s="21"/>
    </row>
    <row r="83" spans="1:11" ht="14.45">
      <c r="A83" s="21"/>
      <c r="B83" s="75"/>
      <c r="C83" s="21"/>
      <c r="D83" s="21"/>
      <c r="E83" s="21"/>
      <c r="F83" s="22"/>
      <c r="G83" s="21"/>
      <c r="H83" s="21"/>
      <c r="I83" s="22"/>
      <c r="J83" s="21"/>
      <c r="K83" s="21"/>
    </row>
    <row r="84" spans="1:11" ht="14.45">
      <c r="A84" s="21"/>
      <c r="B84" s="75"/>
      <c r="C84" s="21"/>
      <c r="D84" s="21"/>
      <c r="E84" s="21"/>
      <c r="F84" s="22"/>
      <c r="G84" s="21"/>
      <c r="H84" s="21"/>
      <c r="I84" s="22"/>
      <c r="J84" s="21"/>
      <c r="K84" s="21"/>
    </row>
    <row r="85" spans="1:11" ht="14.45">
      <c r="A85" s="21"/>
      <c r="B85" s="75"/>
      <c r="C85" s="21"/>
      <c r="D85" s="21"/>
      <c r="E85" s="21"/>
      <c r="F85" s="22"/>
      <c r="G85" s="21"/>
      <c r="H85" s="21"/>
      <c r="I85" s="22"/>
      <c r="J85" s="21"/>
      <c r="K85" s="21"/>
    </row>
    <row r="86" spans="1:11" ht="14.45">
      <c r="A86" s="21"/>
      <c r="B86" s="75"/>
      <c r="C86" s="21"/>
      <c r="D86" s="21"/>
      <c r="E86" s="21"/>
      <c r="F86" s="22"/>
      <c r="G86" s="21"/>
      <c r="H86" s="21"/>
      <c r="I86" s="22"/>
      <c r="J86" s="21"/>
      <c r="K86" s="21"/>
    </row>
    <row r="87" spans="1:11" ht="14.45">
      <c r="A87" s="21"/>
      <c r="B87" s="75"/>
      <c r="C87" s="21"/>
      <c r="D87" s="21"/>
      <c r="E87" s="21"/>
      <c r="F87" s="22"/>
      <c r="G87" s="21"/>
      <c r="H87" s="21"/>
      <c r="I87" s="22"/>
      <c r="J87" s="21"/>
      <c r="K87" s="21"/>
    </row>
    <row r="88" spans="1:11" ht="14.45">
      <c r="A88" s="21"/>
      <c r="B88" s="75"/>
      <c r="C88" s="21"/>
      <c r="D88" s="21"/>
      <c r="E88" s="21"/>
      <c r="F88" s="22"/>
      <c r="G88" s="21"/>
      <c r="H88" s="21"/>
      <c r="I88" s="22"/>
      <c r="J88" s="21"/>
      <c r="K88" s="21"/>
    </row>
    <row r="89" spans="1:11" ht="14.45">
      <c r="A89" s="21"/>
      <c r="B89" s="75"/>
      <c r="C89" s="21"/>
      <c r="D89" s="21"/>
      <c r="E89" s="21"/>
      <c r="F89" s="22"/>
      <c r="G89" s="21"/>
      <c r="H89" s="21"/>
      <c r="I89" s="22"/>
      <c r="J89" s="21"/>
      <c r="K89" s="21"/>
    </row>
    <row r="90" spans="1:11" ht="14.45">
      <c r="A90" s="21"/>
      <c r="B90" s="75"/>
      <c r="C90" s="21"/>
      <c r="D90" s="21"/>
      <c r="E90" s="21"/>
      <c r="F90" s="22"/>
      <c r="G90" s="21"/>
      <c r="H90" s="21"/>
      <c r="I90" s="22"/>
      <c r="J90" s="21"/>
      <c r="K90" s="21"/>
    </row>
    <row r="91" spans="1:11" ht="14.45">
      <c r="A91" s="21"/>
      <c r="B91" s="75"/>
      <c r="C91" s="21"/>
      <c r="D91" s="21"/>
      <c r="E91" s="21"/>
      <c r="F91" s="22"/>
      <c r="G91" s="21"/>
      <c r="H91" s="21"/>
      <c r="I91" s="22"/>
      <c r="J91" s="21"/>
      <c r="K91" s="21"/>
    </row>
    <row r="92" spans="1:11" ht="14.45">
      <c r="A92" s="21"/>
      <c r="B92" s="75"/>
      <c r="C92" s="21"/>
      <c r="D92" s="21"/>
      <c r="E92" s="21"/>
      <c r="F92" s="22"/>
      <c r="G92" s="21"/>
      <c r="H92" s="21"/>
      <c r="I92" s="22"/>
      <c r="J92" s="21"/>
      <c r="K92" s="21"/>
    </row>
    <row r="93" spans="1:11" ht="14.45">
      <c r="A93" s="21"/>
      <c r="B93" s="75"/>
      <c r="C93" s="21"/>
      <c r="D93" s="21"/>
      <c r="E93" s="21"/>
      <c r="F93" s="22"/>
      <c r="G93" s="21"/>
      <c r="H93" s="21"/>
      <c r="I93" s="22"/>
      <c r="J93" s="21"/>
      <c r="K93" s="21"/>
    </row>
    <row r="94" spans="1:11" ht="14.45">
      <c r="A94" s="21"/>
      <c r="B94" s="75"/>
      <c r="C94" s="21"/>
      <c r="D94" s="21"/>
      <c r="E94" s="21"/>
      <c r="F94" s="22"/>
      <c r="G94" s="21"/>
      <c r="H94" s="21"/>
      <c r="I94" s="22"/>
      <c r="J94" s="21"/>
      <c r="K94" s="21"/>
    </row>
    <row r="95" spans="1:11" ht="14.45">
      <c r="A95" s="21"/>
      <c r="B95" s="75"/>
      <c r="C95" s="21"/>
      <c r="D95" s="21"/>
      <c r="E95" s="21"/>
      <c r="F95" s="22"/>
      <c r="G95" s="21"/>
      <c r="H95" s="21"/>
      <c r="I95" s="22"/>
      <c r="J95" s="21"/>
      <c r="K95" s="21"/>
    </row>
    <row r="96" spans="1:11" ht="14.45">
      <c r="A96" s="21"/>
      <c r="B96" s="75"/>
      <c r="C96" s="21"/>
      <c r="D96" s="21"/>
      <c r="E96" s="21"/>
      <c r="F96" s="22"/>
      <c r="G96" s="21"/>
      <c r="H96" s="21"/>
      <c r="I96" s="22"/>
      <c r="J96" s="21"/>
      <c r="K96" s="21"/>
    </row>
    <row r="97" spans="1:11" ht="14.45">
      <c r="A97" s="21"/>
      <c r="B97" s="75"/>
      <c r="C97" s="21"/>
      <c r="D97" s="21"/>
      <c r="E97" s="21"/>
      <c r="F97" s="22"/>
      <c r="G97" s="21"/>
      <c r="H97" s="21"/>
      <c r="I97" s="22"/>
      <c r="J97" s="21"/>
      <c r="K97" s="21"/>
    </row>
    <row r="98" spans="1:11" ht="14.45">
      <c r="A98" s="21"/>
      <c r="B98" s="75"/>
      <c r="C98" s="21"/>
      <c r="D98" s="21"/>
      <c r="E98" s="21"/>
      <c r="F98" s="22"/>
      <c r="G98" s="21"/>
      <c r="H98" s="21"/>
      <c r="I98" s="22"/>
      <c r="J98" s="21"/>
      <c r="K98" s="21"/>
    </row>
    <row r="99" spans="1:11" ht="14.45">
      <c r="A99" s="21"/>
      <c r="B99" s="75"/>
      <c r="C99" s="21"/>
      <c r="D99" s="21"/>
      <c r="E99" s="21"/>
      <c r="F99" s="22"/>
      <c r="G99" s="21"/>
      <c r="H99" s="21"/>
      <c r="I99" s="22"/>
      <c r="J99" s="21"/>
      <c r="K99" s="21"/>
    </row>
    <row r="100" spans="1:11" ht="14.45">
      <c r="A100" s="21"/>
      <c r="B100" s="75"/>
      <c r="C100" s="21"/>
      <c r="D100" s="21"/>
      <c r="E100" s="21"/>
      <c r="F100" s="22"/>
      <c r="G100" s="21"/>
      <c r="H100" s="21"/>
      <c r="I100" s="22"/>
      <c r="J100" s="21"/>
      <c r="K100" s="21"/>
    </row>
    <row r="101" spans="1:11" ht="14.45">
      <c r="A101" s="21"/>
      <c r="B101" s="75"/>
      <c r="C101" s="21"/>
      <c r="D101" s="21"/>
      <c r="E101" s="21"/>
      <c r="F101" s="22"/>
      <c r="G101" s="21"/>
      <c r="H101" s="21"/>
      <c r="I101" s="22"/>
      <c r="J101" s="21"/>
      <c r="K101" s="21"/>
    </row>
    <row r="102" spans="1:11" ht="14.45">
      <c r="A102" s="21"/>
      <c r="B102" s="75"/>
      <c r="C102" s="21"/>
      <c r="D102" s="21"/>
      <c r="E102" s="21"/>
      <c r="F102" s="22"/>
      <c r="G102" s="21"/>
      <c r="H102" s="21"/>
      <c r="I102" s="22"/>
      <c r="J102" s="21"/>
      <c r="K102" s="21"/>
    </row>
    <row r="103" spans="1:11" ht="14.45">
      <c r="A103" s="21"/>
      <c r="B103" s="75"/>
      <c r="C103" s="21"/>
      <c r="D103" s="21"/>
      <c r="E103" s="21"/>
      <c r="F103" s="22"/>
      <c r="G103" s="21"/>
      <c r="H103" s="21"/>
      <c r="I103" s="22"/>
      <c r="J103" s="21"/>
      <c r="K103" s="21"/>
    </row>
    <row r="104" spans="1:11" ht="14.45">
      <c r="A104" s="21"/>
      <c r="B104" s="75"/>
      <c r="C104" s="21"/>
      <c r="D104" s="21"/>
      <c r="E104" s="21"/>
      <c r="F104" s="22"/>
      <c r="G104" s="21"/>
      <c r="H104" s="21"/>
      <c r="I104" s="22"/>
      <c r="J104" s="21"/>
      <c r="K104" s="21"/>
    </row>
    <row r="105" spans="1:11" ht="14.45">
      <c r="A105" s="21"/>
      <c r="B105" s="75"/>
      <c r="C105" s="21"/>
      <c r="D105" s="21"/>
      <c r="E105" s="21"/>
      <c r="F105" s="22"/>
      <c r="G105" s="21"/>
      <c r="H105" s="21"/>
      <c r="I105" s="22"/>
      <c r="J105" s="21"/>
      <c r="K105" s="21"/>
    </row>
    <row r="106" spans="1:11" ht="14.45">
      <c r="A106" s="21"/>
      <c r="B106" s="75"/>
      <c r="C106" s="21"/>
      <c r="D106" s="21"/>
      <c r="E106" s="21"/>
      <c r="F106" s="22"/>
      <c r="G106" s="21"/>
      <c r="H106" s="21"/>
      <c r="I106" s="22"/>
      <c r="J106" s="21"/>
      <c r="K106" s="21"/>
    </row>
    <row r="107" spans="1:11" ht="14.45">
      <c r="A107" s="21"/>
      <c r="B107" s="75"/>
      <c r="C107" s="21"/>
      <c r="D107" s="21"/>
      <c r="E107" s="21"/>
      <c r="F107" s="22"/>
      <c r="G107" s="21"/>
      <c r="H107" s="21"/>
      <c r="I107" s="22"/>
      <c r="J107" s="21"/>
      <c r="K107" s="21"/>
    </row>
    <row r="108" spans="1:11" ht="14.45">
      <c r="A108" s="21"/>
      <c r="B108" s="75"/>
      <c r="C108" s="21"/>
      <c r="D108" s="21"/>
      <c r="E108" s="21"/>
      <c r="F108" s="22"/>
      <c r="G108" s="21"/>
      <c r="H108" s="21"/>
      <c r="I108" s="22"/>
      <c r="J108" s="21"/>
      <c r="K108" s="21"/>
    </row>
    <row r="109" spans="1:11" ht="14.45">
      <c r="A109" s="21"/>
      <c r="B109" s="75"/>
      <c r="C109" s="21"/>
      <c r="D109" s="21"/>
      <c r="E109" s="21"/>
      <c r="F109" s="22"/>
      <c r="G109" s="21"/>
      <c r="H109" s="21"/>
      <c r="I109" s="22"/>
      <c r="J109" s="21"/>
      <c r="K109" s="21"/>
    </row>
    <row r="110" spans="1:11" ht="14.45">
      <c r="A110" s="21"/>
      <c r="B110" s="75"/>
      <c r="C110" s="21"/>
      <c r="D110" s="21"/>
      <c r="E110" s="21"/>
      <c r="F110" s="22"/>
      <c r="G110" s="21"/>
      <c r="H110" s="21"/>
      <c r="I110" s="22"/>
      <c r="J110" s="21"/>
      <c r="K110" s="21"/>
    </row>
    <row r="111" spans="1:11" ht="14.45">
      <c r="A111" s="21"/>
      <c r="B111" s="75"/>
      <c r="C111" s="21"/>
      <c r="D111" s="21"/>
      <c r="E111" s="21"/>
      <c r="F111" s="22"/>
      <c r="G111" s="21"/>
      <c r="H111" s="21"/>
      <c r="I111" s="22"/>
      <c r="J111" s="21"/>
      <c r="K111" s="21"/>
    </row>
    <row r="112" spans="1:11" ht="14.45">
      <c r="A112" s="21"/>
      <c r="B112" s="75"/>
      <c r="C112" s="21"/>
      <c r="D112" s="21"/>
      <c r="E112" s="21"/>
      <c r="F112" s="22"/>
      <c r="G112" s="21"/>
      <c r="H112" s="21"/>
      <c r="I112" s="22"/>
      <c r="J112" s="21"/>
      <c r="K112" s="21"/>
    </row>
    <row r="113" spans="1:11" ht="14.45">
      <c r="A113" s="21"/>
      <c r="B113" s="75"/>
      <c r="C113" s="21"/>
      <c r="D113" s="21"/>
      <c r="E113" s="21"/>
      <c r="F113" s="22"/>
      <c r="G113" s="21"/>
      <c r="H113" s="21"/>
      <c r="I113" s="22"/>
      <c r="J113" s="21"/>
      <c r="K113" s="21"/>
    </row>
    <row r="114" spans="1:11" ht="14.45">
      <c r="A114" s="21"/>
      <c r="B114" s="75"/>
      <c r="C114" s="21"/>
      <c r="D114" s="21"/>
      <c r="E114" s="21"/>
      <c r="F114" s="22"/>
      <c r="G114" s="21"/>
      <c r="H114" s="21"/>
      <c r="I114" s="22"/>
      <c r="J114" s="21"/>
      <c r="K114" s="21"/>
    </row>
    <row r="115" spans="1:11" ht="14.45">
      <c r="A115" s="21"/>
      <c r="B115" s="75"/>
      <c r="C115" s="21"/>
      <c r="D115" s="21"/>
      <c r="E115" s="21"/>
      <c r="F115" s="22"/>
      <c r="G115" s="21"/>
      <c r="H115" s="21"/>
      <c r="I115" s="22"/>
      <c r="J115" s="21"/>
      <c r="K115" s="21"/>
    </row>
    <row r="116" spans="1:11" ht="14.45">
      <c r="A116" s="21"/>
      <c r="B116" s="75"/>
      <c r="C116" s="21"/>
      <c r="D116" s="21"/>
      <c r="E116" s="21"/>
      <c r="F116" s="22"/>
      <c r="G116" s="21"/>
      <c r="H116" s="21"/>
      <c r="I116" s="22"/>
      <c r="J116" s="21"/>
      <c r="K116" s="21"/>
    </row>
    <row r="117" spans="1:11" ht="14.45">
      <c r="A117" s="21"/>
      <c r="B117" s="75"/>
      <c r="C117" s="21"/>
      <c r="D117" s="21"/>
      <c r="E117" s="21"/>
      <c r="F117" s="22"/>
      <c r="G117" s="21"/>
      <c r="H117" s="21"/>
      <c r="I117" s="22"/>
      <c r="J117" s="21"/>
      <c r="K117" s="21"/>
    </row>
    <row r="118" spans="1:11" ht="14.45">
      <c r="A118" s="21"/>
      <c r="B118" s="75"/>
      <c r="C118" s="21"/>
      <c r="D118" s="21"/>
      <c r="E118" s="21"/>
      <c r="F118" s="22"/>
      <c r="G118" s="21"/>
      <c r="H118" s="21"/>
      <c r="I118" s="22"/>
      <c r="J118" s="21"/>
      <c r="K118" s="21"/>
    </row>
    <row r="119" spans="1:11" ht="14.45">
      <c r="A119" s="21"/>
      <c r="B119" s="75"/>
      <c r="C119" s="21"/>
      <c r="D119" s="21"/>
      <c r="E119" s="21"/>
      <c r="F119" s="22"/>
      <c r="G119" s="21"/>
      <c r="H119" s="21"/>
      <c r="I119" s="22"/>
      <c r="J119" s="21"/>
      <c r="K119" s="21"/>
    </row>
    <row r="120" spans="1:11" ht="14.45">
      <c r="A120" s="21"/>
      <c r="B120" s="75"/>
      <c r="C120" s="21"/>
      <c r="D120" s="21"/>
      <c r="E120" s="21"/>
      <c r="F120" s="22"/>
      <c r="G120" s="21"/>
      <c r="H120" s="21"/>
      <c r="I120" s="22"/>
      <c r="J120" s="21"/>
      <c r="K120" s="21"/>
    </row>
    <row r="121" spans="1:11" ht="14.45">
      <c r="A121" s="21"/>
      <c r="B121" s="75"/>
      <c r="C121" s="21"/>
      <c r="D121" s="21"/>
      <c r="E121" s="21"/>
      <c r="F121" s="22"/>
      <c r="G121" s="21"/>
      <c r="H121" s="21"/>
      <c r="I121" s="22"/>
      <c r="J121" s="21"/>
      <c r="K121" s="21"/>
    </row>
    <row r="122" spans="1:11" ht="14.45">
      <c r="A122" s="21"/>
      <c r="B122" s="75"/>
      <c r="C122" s="21"/>
      <c r="D122" s="21"/>
      <c r="E122" s="21"/>
      <c r="F122" s="22"/>
      <c r="G122" s="21"/>
      <c r="H122" s="21"/>
      <c r="I122" s="22"/>
      <c r="J122" s="21"/>
      <c r="K122" s="21"/>
    </row>
    <row r="123" spans="1:11" ht="14.45">
      <c r="A123" s="21"/>
      <c r="B123" s="75"/>
      <c r="C123" s="21"/>
      <c r="D123" s="21"/>
      <c r="E123" s="21"/>
      <c r="F123" s="22"/>
      <c r="G123" s="21"/>
      <c r="H123" s="21"/>
      <c r="I123" s="22"/>
      <c r="J123" s="21"/>
      <c r="K123" s="21"/>
    </row>
    <row r="124" spans="1:11" ht="14.45">
      <c r="A124" s="21"/>
      <c r="B124" s="75"/>
      <c r="C124" s="21"/>
      <c r="D124" s="21"/>
      <c r="E124" s="21"/>
      <c r="F124" s="22"/>
      <c r="G124" s="21"/>
      <c r="H124" s="21"/>
      <c r="I124" s="22"/>
      <c r="J124" s="21"/>
      <c r="K124" s="21"/>
    </row>
    <row r="125" spans="1:11" ht="14.45">
      <c r="A125" s="21"/>
      <c r="B125" s="75"/>
      <c r="C125" s="21"/>
      <c r="D125" s="21"/>
      <c r="E125" s="21"/>
      <c r="F125" s="22"/>
      <c r="G125" s="21"/>
      <c r="H125" s="21"/>
      <c r="I125" s="22"/>
      <c r="J125" s="21"/>
      <c r="K125" s="21"/>
    </row>
    <row r="126" spans="1:11" ht="14.45">
      <c r="A126" s="21"/>
      <c r="B126" s="75"/>
      <c r="C126" s="21"/>
      <c r="D126" s="21"/>
      <c r="E126" s="21"/>
      <c r="F126" s="22"/>
      <c r="G126" s="21"/>
      <c r="H126" s="21"/>
      <c r="I126" s="22"/>
      <c r="J126" s="21"/>
      <c r="K126" s="21"/>
    </row>
    <row r="127" spans="1:11" ht="14.45">
      <c r="A127" s="21"/>
      <c r="B127" s="75"/>
      <c r="C127" s="21"/>
      <c r="D127" s="21"/>
      <c r="E127" s="21"/>
      <c r="F127" s="22"/>
      <c r="G127" s="21"/>
      <c r="H127" s="21"/>
      <c r="I127" s="22"/>
      <c r="J127" s="21"/>
      <c r="K127" s="21"/>
    </row>
    <row r="128" spans="1:11" ht="14.45">
      <c r="A128" s="21"/>
      <c r="B128" s="75"/>
      <c r="C128" s="21"/>
      <c r="D128" s="21"/>
      <c r="E128" s="21"/>
      <c r="F128" s="22"/>
      <c r="G128" s="21"/>
      <c r="H128" s="21"/>
      <c r="I128" s="22"/>
      <c r="J128" s="21"/>
      <c r="K128" s="21"/>
    </row>
    <row r="129" spans="1:11" ht="14.45">
      <c r="A129" s="21"/>
      <c r="B129" s="75"/>
      <c r="C129" s="21"/>
      <c r="D129" s="21"/>
      <c r="E129" s="21"/>
      <c r="F129" s="22"/>
      <c r="G129" s="21"/>
      <c r="H129" s="21"/>
      <c r="I129" s="22"/>
      <c r="J129" s="21"/>
      <c r="K129" s="21"/>
    </row>
    <row r="130" spans="1:11" ht="14.45">
      <c r="A130" s="21"/>
      <c r="B130" s="75"/>
      <c r="C130" s="21"/>
      <c r="D130" s="21"/>
      <c r="E130" s="21"/>
      <c r="F130" s="22"/>
      <c r="G130" s="21"/>
      <c r="H130" s="21"/>
      <c r="I130" s="22"/>
      <c r="J130" s="21"/>
      <c r="K130" s="21"/>
    </row>
    <row r="131" spans="1:11" ht="14.45">
      <c r="A131" s="21"/>
      <c r="B131" s="75"/>
      <c r="C131" s="21"/>
      <c r="D131" s="21"/>
      <c r="E131" s="21"/>
      <c r="F131" s="22"/>
      <c r="G131" s="21"/>
      <c r="H131" s="21"/>
      <c r="I131" s="22"/>
      <c r="J131" s="21"/>
      <c r="K131" s="21"/>
    </row>
    <row r="132" spans="1:11" ht="14.45">
      <c r="A132" s="21"/>
      <c r="B132" s="75"/>
      <c r="C132" s="21"/>
      <c r="D132" s="21"/>
      <c r="E132" s="21"/>
      <c r="F132" s="22"/>
      <c r="G132" s="21"/>
      <c r="H132" s="21"/>
      <c r="I132" s="22"/>
      <c r="J132" s="21"/>
      <c r="K132" s="21"/>
    </row>
    <row r="133" spans="1:11" ht="14.45">
      <c r="A133" s="21"/>
      <c r="B133" s="75"/>
      <c r="C133" s="21"/>
      <c r="D133" s="21"/>
      <c r="E133" s="21"/>
      <c r="F133" s="22"/>
      <c r="G133" s="21"/>
      <c r="H133" s="21"/>
      <c r="I133" s="22"/>
      <c r="J133" s="21"/>
      <c r="K133" s="21"/>
    </row>
    <row r="134" spans="1:11" ht="14.45">
      <c r="A134" s="21"/>
      <c r="B134" s="75"/>
      <c r="C134" s="21"/>
      <c r="D134" s="21"/>
      <c r="E134" s="21"/>
      <c r="F134" s="22"/>
      <c r="G134" s="21"/>
      <c r="H134" s="21"/>
      <c r="I134" s="22"/>
      <c r="J134" s="21"/>
      <c r="K134" s="21"/>
    </row>
    <row r="135" spans="1:11" ht="14.45">
      <c r="A135" s="21"/>
      <c r="B135" s="75"/>
      <c r="C135" s="21"/>
      <c r="D135" s="21"/>
      <c r="E135" s="21"/>
      <c r="F135" s="22"/>
      <c r="G135" s="21"/>
      <c r="H135" s="21"/>
      <c r="I135" s="22"/>
      <c r="J135" s="21"/>
      <c r="K135" s="21"/>
    </row>
    <row r="136" spans="1:11" ht="14.45">
      <c r="A136" s="21"/>
      <c r="B136" s="75"/>
      <c r="C136" s="21"/>
      <c r="D136" s="21"/>
      <c r="E136" s="21"/>
      <c r="F136" s="22"/>
      <c r="G136" s="21"/>
      <c r="H136" s="21"/>
      <c r="I136" s="22"/>
      <c r="J136" s="21"/>
      <c r="K136" s="21"/>
    </row>
    <row r="137" spans="1:11" ht="14.45">
      <c r="A137" s="21"/>
      <c r="B137" s="75"/>
      <c r="C137" s="21"/>
      <c r="D137" s="21"/>
      <c r="E137" s="21"/>
      <c r="F137" s="22"/>
      <c r="G137" s="21"/>
      <c r="H137" s="21"/>
      <c r="I137" s="22"/>
      <c r="J137" s="21"/>
      <c r="K137" s="21"/>
    </row>
    <row r="138" spans="1:11" ht="14.45">
      <c r="A138" s="21"/>
      <c r="B138" s="75"/>
      <c r="C138" s="21"/>
      <c r="D138" s="21"/>
      <c r="E138" s="21"/>
      <c r="F138" s="22"/>
      <c r="G138" s="21"/>
      <c r="H138" s="21"/>
      <c r="I138" s="22"/>
      <c r="J138" s="21"/>
      <c r="K138" s="21"/>
    </row>
    <row r="139" spans="1:11" ht="14.45">
      <c r="A139" s="21"/>
      <c r="B139" s="75"/>
      <c r="C139" s="21"/>
      <c r="D139" s="21"/>
      <c r="E139" s="21"/>
      <c r="F139" s="22"/>
      <c r="G139" s="21"/>
      <c r="H139" s="21"/>
      <c r="I139" s="22"/>
      <c r="J139" s="21"/>
      <c r="K139" s="21"/>
    </row>
    <row r="140" spans="1:11" ht="14.45">
      <c r="A140" s="21"/>
      <c r="B140" s="75"/>
      <c r="C140" s="21"/>
      <c r="D140" s="21"/>
      <c r="E140" s="21"/>
      <c r="F140" s="22"/>
      <c r="G140" s="21"/>
      <c r="H140" s="21"/>
      <c r="I140" s="22"/>
      <c r="J140" s="21"/>
      <c r="K140" s="21"/>
    </row>
    <row r="141" spans="1:11" ht="14.45">
      <c r="A141" s="21"/>
      <c r="B141" s="75"/>
      <c r="C141" s="21"/>
      <c r="D141" s="21"/>
      <c r="E141" s="21"/>
      <c r="F141" s="22"/>
      <c r="G141" s="21"/>
      <c r="H141" s="21"/>
      <c r="I141" s="22"/>
      <c r="J141" s="21"/>
      <c r="K141" s="21"/>
    </row>
    <row r="142" spans="1:11" ht="14.45">
      <c r="A142" s="21"/>
      <c r="B142" s="75"/>
      <c r="C142" s="21"/>
      <c r="D142" s="21"/>
      <c r="E142" s="21"/>
      <c r="F142" s="22"/>
      <c r="G142" s="21"/>
      <c r="H142" s="21"/>
      <c r="I142" s="22"/>
      <c r="J142" s="21"/>
      <c r="K142" s="21"/>
    </row>
    <row r="143" spans="1:11" ht="14.45">
      <c r="A143" s="21"/>
      <c r="B143" s="75"/>
      <c r="C143" s="21"/>
      <c r="D143" s="21"/>
      <c r="E143" s="21"/>
      <c r="F143" s="22"/>
      <c r="G143" s="21"/>
      <c r="H143" s="21"/>
      <c r="I143" s="22"/>
      <c r="J143" s="21"/>
      <c r="K143" s="21"/>
    </row>
    <row r="144" spans="1:11" ht="14.45">
      <c r="A144" s="21"/>
      <c r="B144" s="75"/>
      <c r="C144" s="21"/>
      <c r="D144" s="21"/>
      <c r="E144" s="21"/>
      <c r="F144" s="22"/>
      <c r="G144" s="21"/>
      <c r="H144" s="21"/>
      <c r="I144" s="22"/>
      <c r="J144" s="21"/>
      <c r="K144" s="21"/>
    </row>
    <row r="145" spans="1:11" ht="14.45">
      <c r="A145" s="21"/>
      <c r="B145" s="75"/>
      <c r="C145" s="21"/>
      <c r="D145" s="21"/>
      <c r="E145" s="21"/>
      <c r="F145" s="22"/>
      <c r="G145" s="21"/>
      <c r="H145" s="21"/>
      <c r="I145" s="22"/>
      <c r="J145" s="21"/>
      <c r="K145" s="21"/>
    </row>
    <row r="146" spans="1:11" ht="14.45">
      <c r="A146" s="21"/>
      <c r="B146" s="75"/>
      <c r="C146" s="21"/>
      <c r="D146" s="21"/>
      <c r="E146" s="21"/>
      <c r="F146" s="22"/>
      <c r="G146" s="21"/>
      <c r="H146" s="21"/>
      <c r="I146" s="22"/>
      <c r="J146" s="21"/>
      <c r="K146" s="21"/>
    </row>
    <row r="147" spans="1:11" ht="14.45">
      <c r="A147" s="21"/>
      <c r="B147" s="75"/>
      <c r="C147" s="21"/>
      <c r="D147" s="21"/>
      <c r="E147" s="21"/>
      <c r="F147" s="22"/>
      <c r="G147" s="21"/>
      <c r="H147" s="21"/>
      <c r="I147" s="22"/>
      <c r="J147" s="21"/>
      <c r="K147" s="21"/>
    </row>
    <row r="148" spans="1:11" ht="14.45">
      <c r="A148" s="21"/>
      <c r="B148" s="75"/>
      <c r="C148" s="21"/>
      <c r="D148" s="21"/>
      <c r="E148" s="21"/>
      <c r="F148" s="22"/>
      <c r="G148" s="21"/>
      <c r="H148" s="21"/>
      <c r="I148" s="22"/>
      <c r="J148" s="21"/>
      <c r="K148" s="21"/>
    </row>
    <row r="149" spans="1:11" ht="14.45">
      <c r="A149" s="21"/>
      <c r="B149" s="75"/>
      <c r="C149" s="21"/>
      <c r="D149" s="21"/>
      <c r="E149" s="21"/>
      <c r="F149" s="22"/>
      <c r="G149" s="21"/>
      <c r="H149" s="21"/>
      <c r="I149" s="22"/>
      <c r="J149" s="21"/>
      <c r="K149" s="21"/>
    </row>
    <row r="150" spans="1:11" ht="14.45">
      <c r="A150" s="21"/>
      <c r="B150" s="75"/>
      <c r="C150" s="21"/>
      <c r="D150" s="21"/>
      <c r="E150" s="21"/>
      <c r="F150" s="22"/>
      <c r="G150" s="21"/>
      <c r="H150" s="21"/>
      <c r="I150" s="22"/>
      <c r="J150" s="21"/>
      <c r="K150" s="21"/>
    </row>
    <row r="151" spans="1:11" ht="14.45">
      <c r="A151" s="21"/>
      <c r="B151" s="75"/>
      <c r="C151" s="21"/>
      <c r="D151" s="21"/>
      <c r="E151" s="21"/>
      <c r="F151" s="22"/>
      <c r="G151" s="21"/>
      <c r="H151" s="21"/>
      <c r="I151" s="22"/>
      <c r="J151" s="21"/>
      <c r="K151" s="21"/>
    </row>
    <row r="152" spans="1:11" ht="14.45">
      <c r="A152" s="21"/>
      <c r="B152" s="75"/>
      <c r="C152" s="21"/>
      <c r="D152" s="21"/>
      <c r="E152" s="21"/>
      <c r="F152" s="22"/>
      <c r="G152" s="21"/>
      <c r="H152" s="21"/>
      <c r="I152" s="22"/>
      <c r="J152" s="21"/>
      <c r="K152" s="21"/>
    </row>
    <row r="153" spans="1:11" ht="14.45">
      <c r="A153" s="21"/>
      <c r="B153" s="75"/>
      <c r="C153" s="21"/>
      <c r="D153" s="21"/>
      <c r="E153" s="21"/>
      <c r="F153" s="22"/>
      <c r="G153" s="21"/>
      <c r="H153" s="21"/>
      <c r="I153" s="22"/>
      <c r="J153" s="21"/>
      <c r="K153" s="21"/>
    </row>
    <row r="154" spans="1:11" ht="14.45">
      <c r="A154" s="21"/>
      <c r="B154" s="75"/>
      <c r="C154" s="21"/>
      <c r="D154" s="21"/>
      <c r="E154" s="21"/>
      <c r="F154" s="22"/>
      <c r="G154" s="21"/>
      <c r="H154" s="21"/>
      <c r="I154" s="22"/>
      <c r="J154" s="21"/>
      <c r="K154" s="21"/>
    </row>
    <row r="155" spans="1:11" ht="14.45">
      <c r="A155" s="21"/>
      <c r="B155" s="75"/>
      <c r="C155" s="21"/>
      <c r="D155" s="21"/>
      <c r="E155" s="21"/>
      <c r="F155" s="22"/>
      <c r="G155" s="21"/>
      <c r="H155" s="21"/>
      <c r="I155" s="22"/>
      <c r="J155" s="21"/>
      <c r="K155" s="21"/>
    </row>
    <row r="156" spans="1:11" ht="14.45">
      <c r="A156" s="21"/>
      <c r="B156" s="75"/>
      <c r="C156" s="21"/>
      <c r="D156" s="21"/>
      <c r="E156" s="21"/>
      <c r="F156" s="22"/>
      <c r="G156" s="21"/>
      <c r="H156" s="21"/>
      <c r="I156" s="22"/>
      <c r="J156" s="21"/>
      <c r="K156" s="21"/>
    </row>
    <row r="157" spans="1:11" ht="14.45">
      <c r="A157" s="21"/>
      <c r="B157" s="75"/>
      <c r="C157" s="21"/>
      <c r="D157" s="21"/>
      <c r="E157" s="21"/>
      <c r="F157" s="22"/>
      <c r="G157" s="21"/>
      <c r="H157" s="21"/>
      <c r="I157" s="22"/>
      <c r="J157" s="21"/>
      <c r="K157" s="21"/>
    </row>
    <row r="158" spans="1:11" ht="14.45">
      <c r="A158" s="21"/>
      <c r="B158" s="75"/>
      <c r="C158" s="21"/>
      <c r="D158" s="21"/>
      <c r="E158" s="21"/>
      <c r="F158" s="22"/>
      <c r="G158" s="21"/>
      <c r="H158" s="21"/>
      <c r="I158" s="22"/>
      <c r="J158" s="21"/>
      <c r="K158" s="21"/>
    </row>
    <row r="159" spans="1:11" ht="14.45">
      <c r="A159" s="21"/>
      <c r="B159" s="75"/>
      <c r="C159" s="21"/>
      <c r="D159" s="21"/>
      <c r="E159" s="21"/>
      <c r="F159" s="22"/>
      <c r="G159" s="21"/>
      <c r="H159" s="21"/>
      <c r="I159" s="22"/>
      <c r="J159" s="21"/>
      <c r="K159" s="21"/>
    </row>
    <row r="160" spans="1:11" ht="14.45">
      <c r="A160" s="21"/>
      <c r="B160" s="75"/>
      <c r="C160" s="21"/>
      <c r="D160" s="21"/>
      <c r="E160" s="21"/>
      <c r="F160" s="22"/>
      <c r="G160" s="21"/>
      <c r="H160" s="21"/>
      <c r="I160" s="22"/>
      <c r="J160" s="21"/>
      <c r="K160" s="21"/>
    </row>
    <row r="161" spans="1:11" ht="14.45">
      <c r="A161" s="21"/>
      <c r="B161" s="75"/>
      <c r="C161" s="21"/>
      <c r="D161" s="21"/>
      <c r="E161" s="21"/>
      <c r="F161" s="22"/>
      <c r="G161" s="21"/>
      <c r="H161" s="21"/>
      <c r="I161" s="22"/>
      <c r="J161" s="21"/>
      <c r="K161" s="21"/>
    </row>
    <row r="162" spans="1:11" ht="14.45">
      <c r="A162" s="21"/>
      <c r="B162" s="75"/>
      <c r="C162" s="21"/>
      <c r="D162" s="21"/>
      <c r="E162" s="21"/>
      <c r="F162" s="22"/>
      <c r="G162" s="21"/>
      <c r="H162" s="21"/>
      <c r="I162" s="22"/>
      <c r="J162" s="21"/>
      <c r="K162" s="21"/>
    </row>
    <row r="163" spans="1:11" ht="14.45">
      <c r="A163" s="21"/>
      <c r="B163" s="75"/>
      <c r="C163" s="21"/>
      <c r="D163" s="21"/>
      <c r="E163" s="21"/>
      <c r="F163" s="22"/>
      <c r="G163" s="21"/>
      <c r="H163" s="21"/>
      <c r="I163" s="22"/>
      <c r="J163" s="21"/>
      <c r="K163" s="21"/>
    </row>
    <row r="164" spans="1:11" ht="14.45">
      <c r="A164" s="21"/>
      <c r="B164" s="75"/>
      <c r="C164" s="21"/>
      <c r="D164" s="21"/>
      <c r="E164" s="21"/>
      <c r="F164" s="22"/>
      <c r="G164" s="21"/>
      <c r="H164" s="21"/>
      <c r="I164" s="22"/>
      <c r="J164" s="21"/>
      <c r="K164" s="21"/>
    </row>
    <row r="165" spans="1:11" ht="14.45">
      <c r="A165" s="21"/>
      <c r="B165" s="75"/>
      <c r="C165" s="21"/>
      <c r="D165" s="21"/>
      <c r="E165" s="21"/>
      <c r="F165" s="22"/>
      <c r="G165" s="21"/>
      <c r="H165" s="21"/>
      <c r="I165" s="22"/>
      <c r="J165" s="21"/>
      <c r="K165" s="21"/>
    </row>
    <row r="166" spans="1:11" ht="14.45">
      <c r="A166" s="21"/>
      <c r="B166" s="75"/>
      <c r="C166" s="21"/>
      <c r="D166" s="21"/>
      <c r="E166" s="21"/>
      <c r="F166" s="22"/>
      <c r="G166" s="21"/>
      <c r="H166" s="21"/>
      <c r="I166" s="22"/>
      <c r="J166" s="21"/>
      <c r="K166" s="21"/>
    </row>
    <row r="167" spans="1:11" ht="14.45">
      <c r="A167" s="21"/>
      <c r="B167" s="75"/>
      <c r="C167" s="21"/>
      <c r="D167" s="21"/>
      <c r="E167" s="21"/>
      <c r="F167" s="22"/>
      <c r="G167" s="21"/>
      <c r="H167" s="21"/>
      <c r="I167" s="22"/>
      <c r="J167" s="21"/>
      <c r="K167" s="21"/>
    </row>
    <row r="168" spans="1:11" ht="14.45">
      <c r="A168" s="21"/>
      <c r="B168" s="75"/>
      <c r="C168" s="21"/>
      <c r="D168" s="21"/>
      <c r="E168" s="21"/>
      <c r="F168" s="22"/>
      <c r="G168" s="21"/>
      <c r="H168" s="21"/>
      <c r="I168" s="22"/>
      <c r="J168" s="21"/>
      <c r="K168" s="21"/>
    </row>
    <row r="169" spans="1:11" ht="14.45">
      <c r="A169" s="21"/>
      <c r="B169" s="75"/>
      <c r="C169" s="21"/>
      <c r="D169" s="21"/>
      <c r="E169" s="21"/>
      <c r="F169" s="22"/>
      <c r="G169" s="21"/>
      <c r="H169" s="21"/>
      <c r="I169" s="22"/>
      <c r="J169" s="21"/>
      <c r="K169" s="21"/>
    </row>
    <row r="170" spans="1:11" ht="14.45">
      <c r="A170" s="21"/>
      <c r="B170" s="75"/>
      <c r="C170" s="21"/>
      <c r="D170" s="21"/>
      <c r="E170" s="21"/>
      <c r="F170" s="22"/>
      <c r="G170" s="21"/>
      <c r="H170" s="21"/>
      <c r="I170" s="22"/>
      <c r="J170" s="21"/>
      <c r="K170" s="21"/>
    </row>
    <row r="171" spans="1:11" ht="14.45">
      <c r="A171" s="21"/>
      <c r="B171" s="75"/>
      <c r="C171" s="21"/>
      <c r="D171" s="21"/>
      <c r="E171" s="21"/>
      <c r="F171" s="22"/>
      <c r="G171" s="21"/>
      <c r="H171" s="21"/>
      <c r="I171" s="22"/>
      <c r="J171" s="21"/>
      <c r="K171" s="21"/>
    </row>
    <row r="172" spans="1:11" ht="14.45">
      <c r="A172" s="21"/>
      <c r="B172" s="75"/>
      <c r="C172" s="21"/>
      <c r="D172" s="21"/>
      <c r="E172" s="21"/>
      <c r="F172" s="22"/>
      <c r="G172" s="21"/>
      <c r="H172" s="21"/>
      <c r="I172" s="22"/>
      <c r="J172" s="21"/>
      <c r="K172" s="21"/>
    </row>
    <row r="173" spans="1:11" ht="14.45">
      <c r="A173" s="21"/>
      <c r="B173" s="75"/>
      <c r="C173" s="21"/>
      <c r="D173" s="21"/>
      <c r="E173" s="21"/>
      <c r="F173" s="22"/>
      <c r="G173" s="21"/>
      <c r="H173" s="21"/>
      <c r="I173" s="22"/>
      <c r="J173" s="21"/>
      <c r="K173" s="21"/>
    </row>
    <row r="174" spans="1:11" ht="14.45">
      <c r="A174" s="21"/>
      <c r="B174" s="75"/>
      <c r="C174" s="21"/>
      <c r="D174" s="21"/>
      <c r="E174" s="21"/>
      <c r="F174" s="22"/>
      <c r="G174" s="21"/>
      <c r="H174" s="21"/>
      <c r="I174" s="22"/>
      <c r="J174" s="21"/>
      <c r="K174" s="21"/>
    </row>
    <row r="175" spans="1:11" ht="14.45">
      <c r="A175" s="21"/>
      <c r="B175" s="75"/>
      <c r="C175" s="21"/>
      <c r="D175" s="21"/>
      <c r="E175" s="21"/>
      <c r="F175" s="22"/>
      <c r="G175" s="21"/>
      <c r="H175" s="21"/>
      <c r="I175" s="22"/>
      <c r="J175" s="21"/>
      <c r="K175" s="21"/>
    </row>
    <row r="176" spans="1:11" ht="14.45">
      <c r="A176" s="21"/>
      <c r="B176" s="75"/>
      <c r="C176" s="21"/>
      <c r="D176" s="21"/>
      <c r="E176" s="21"/>
      <c r="F176" s="22"/>
      <c r="G176" s="21"/>
      <c r="H176" s="21"/>
      <c r="I176" s="22"/>
      <c r="J176" s="21"/>
      <c r="K176" s="21"/>
    </row>
    <row r="177" spans="1:11" ht="14.45">
      <c r="A177" s="21"/>
      <c r="B177" s="75"/>
      <c r="C177" s="21"/>
      <c r="D177" s="21"/>
      <c r="E177" s="21"/>
      <c r="F177" s="22"/>
      <c r="G177" s="21"/>
      <c r="H177" s="21"/>
      <c r="I177" s="22"/>
      <c r="J177" s="21"/>
      <c r="K177" s="21"/>
    </row>
    <row r="178" spans="1:11" ht="14.45">
      <c r="A178" s="21"/>
      <c r="B178" s="75"/>
      <c r="C178" s="21"/>
      <c r="D178" s="21"/>
      <c r="E178" s="21"/>
      <c r="F178" s="22"/>
      <c r="G178" s="21"/>
      <c r="H178" s="21"/>
      <c r="I178" s="22"/>
      <c r="J178" s="21"/>
      <c r="K178" s="21"/>
    </row>
    <row r="179" spans="1:11" ht="14.45">
      <c r="A179" s="21"/>
      <c r="B179" s="75"/>
      <c r="C179" s="21"/>
      <c r="D179" s="21"/>
      <c r="E179" s="21"/>
      <c r="F179" s="22"/>
      <c r="G179" s="21"/>
      <c r="H179" s="21"/>
      <c r="I179" s="22"/>
      <c r="J179" s="21"/>
      <c r="K179" s="21"/>
    </row>
    <row r="180" spans="1:11" ht="14.45">
      <c r="A180" s="21"/>
      <c r="B180" s="75"/>
      <c r="C180" s="21"/>
      <c r="D180" s="21"/>
      <c r="E180" s="21"/>
      <c r="F180" s="22"/>
      <c r="G180" s="21"/>
      <c r="H180" s="21"/>
      <c r="I180" s="22"/>
      <c r="J180" s="21"/>
      <c r="K180" s="21"/>
    </row>
    <row r="181" spans="1:11" ht="14.45">
      <c r="A181" s="21"/>
      <c r="B181" s="75"/>
      <c r="C181" s="21"/>
      <c r="D181" s="21"/>
      <c r="E181" s="21"/>
      <c r="F181" s="22"/>
      <c r="G181" s="21"/>
      <c r="H181" s="21"/>
      <c r="I181" s="22"/>
      <c r="J181" s="21"/>
      <c r="K181" s="21"/>
    </row>
    <row r="182" spans="1:11" ht="14.45">
      <c r="A182" s="21"/>
      <c r="B182" s="75"/>
      <c r="C182" s="21"/>
      <c r="D182" s="21"/>
      <c r="E182" s="21"/>
      <c r="F182" s="22"/>
      <c r="G182" s="21"/>
      <c r="H182" s="21"/>
      <c r="I182" s="22"/>
      <c r="J182" s="21"/>
      <c r="K182" s="21"/>
    </row>
    <row r="183" spans="1:11" ht="14.45">
      <c r="A183" s="21"/>
      <c r="B183" s="75"/>
      <c r="C183" s="21"/>
      <c r="D183" s="21"/>
      <c r="E183" s="21"/>
      <c r="F183" s="22"/>
      <c r="G183" s="21"/>
      <c r="H183" s="21"/>
      <c r="I183" s="22"/>
      <c r="J183" s="21"/>
      <c r="K183" s="21"/>
    </row>
    <row r="184" spans="1:11" ht="14.45">
      <c r="A184" s="21"/>
      <c r="B184" s="75"/>
      <c r="C184" s="21"/>
      <c r="D184" s="21"/>
      <c r="E184" s="21"/>
      <c r="F184" s="22"/>
      <c r="G184" s="21"/>
      <c r="H184" s="21"/>
      <c r="I184" s="22"/>
      <c r="J184" s="21"/>
      <c r="K184" s="21"/>
    </row>
    <row r="185" spans="1:11" ht="14.45">
      <c r="A185" s="21"/>
      <c r="B185" s="75"/>
      <c r="C185" s="21"/>
      <c r="D185" s="21"/>
      <c r="E185" s="21"/>
      <c r="F185" s="22"/>
      <c r="G185" s="21"/>
      <c r="H185" s="21"/>
      <c r="I185" s="22"/>
      <c r="J185" s="21"/>
      <c r="K185" s="21"/>
    </row>
    <row r="186" spans="1:11" ht="14.45">
      <c r="A186" s="21"/>
      <c r="B186" s="75"/>
      <c r="C186" s="21"/>
      <c r="D186" s="21"/>
      <c r="E186" s="21"/>
      <c r="F186" s="22"/>
      <c r="G186" s="21"/>
      <c r="H186" s="21"/>
      <c r="I186" s="22"/>
      <c r="J186" s="21"/>
      <c r="K186" s="21"/>
    </row>
    <row r="187" spans="1:11" ht="14.45">
      <c r="A187" s="21"/>
      <c r="B187" s="75"/>
      <c r="C187" s="21"/>
      <c r="D187" s="21"/>
      <c r="E187" s="21"/>
      <c r="F187" s="22"/>
      <c r="G187" s="21"/>
      <c r="H187" s="21"/>
      <c r="I187" s="22"/>
      <c r="J187" s="21"/>
      <c r="K187" s="21"/>
    </row>
    <row r="188" spans="1:11" ht="14.45">
      <c r="A188" s="21"/>
      <c r="B188" s="75"/>
      <c r="C188" s="21"/>
      <c r="D188" s="21"/>
      <c r="E188" s="21"/>
      <c r="F188" s="22"/>
      <c r="G188" s="21"/>
      <c r="H188" s="21"/>
      <c r="I188" s="22"/>
      <c r="J188" s="21"/>
      <c r="K188" s="21"/>
    </row>
    <row r="189" spans="1:11" ht="14.45">
      <c r="A189" s="21"/>
      <c r="B189" s="75"/>
      <c r="C189" s="21"/>
      <c r="D189" s="21"/>
      <c r="E189" s="21"/>
      <c r="F189" s="22"/>
      <c r="G189" s="21"/>
      <c r="H189" s="21"/>
      <c r="I189" s="22"/>
      <c r="J189" s="21"/>
      <c r="K189" s="21"/>
    </row>
    <row r="190" spans="1:11" ht="14.45">
      <c r="A190" s="21"/>
      <c r="B190" s="75"/>
      <c r="C190" s="21"/>
      <c r="D190" s="21"/>
      <c r="E190" s="21"/>
      <c r="F190" s="22"/>
      <c r="G190" s="21"/>
      <c r="H190" s="21"/>
      <c r="I190" s="22"/>
      <c r="J190" s="21"/>
      <c r="K190" s="21"/>
    </row>
    <row r="191" spans="1:11" ht="14.45">
      <c r="A191" s="21"/>
      <c r="B191" s="75"/>
      <c r="C191" s="21"/>
      <c r="D191" s="21"/>
      <c r="E191" s="21"/>
      <c r="F191" s="22"/>
      <c r="G191" s="21"/>
      <c r="H191" s="21"/>
      <c r="I191" s="22"/>
      <c r="J191" s="21"/>
      <c r="K191" s="21"/>
    </row>
    <row r="192" spans="1:11" ht="14.45">
      <c r="A192" s="21"/>
      <c r="B192" s="75"/>
      <c r="C192" s="21"/>
      <c r="D192" s="21"/>
      <c r="E192" s="21"/>
      <c r="F192" s="22"/>
      <c r="G192" s="21"/>
      <c r="H192" s="21"/>
      <c r="I192" s="22"/>
      <c r="J192" s="21"/>
      <c r="K192" s="21"/>
    </row>
    <row r="193" spans="1:11" ht="14.45">
      <c r="A193" s="21"/>
      <c r="B193" s="75"/>
      <c r="C193" s="21"/>
      <c r="D193" s="21"/>
      <c r="E193" s="21"/>
      <c r="F193" s="22"/>
      <c r="G193" s="21"/>
      <c r="H193" s="21"/>
      <c r="I193" s="22"/>
      <c r="J193" s="21"/>
      <c r="K193" s="21"/>
    </row>
    <row r="194" spans="1:11" ht="14.45">
      <c r="A194" s="21"/>
      <c r="B194" s="75"/>
      <c r="C194" s="21"/>
      <c r="D194" s="21"/>
      <c r="E194" s="21"/>
      <c r="F194" s="22"/>
      <c r="G194" s="21"/>
      <c r="H194" s="21"/>
      <c r="I194" s="22"/>
      <c r="J194" s="21"/>
      <c r="K194" s="21"/>
    </row>
    <row r="195" spans="1:11" ht="14.45">
      <c r="A195" s="21"/>
      <c r="B195" s="75"/>
      <c r="C195" s="21"/>
      <c r="D195" s="21"/>
      <c r="E195" s="21"/>
      <c r="F195" s="22"/>
      <c r="G195" s="21"/>
      <c r="H195" s="21"/>
      <c r="I195" s="22"/>
      <c r="J195" s="21"/>
      <c r="K195" s="21"/>
    </row>
    <row r="196" spans="1:11" ht="14.45">
      <c r="A196" s="21"/>
      <c r="B196" s="75"/>
      <c r="C196" s="21"/>
      <c r="D196" s="21"/>
      <c r="E196" s="21"/>
      <c r="F196" s="22"/>
      <c r="G196" s="21"/>
      <c r="H196" s="21"/>
      <c r="I196" s="22"/>
      <c r="J196" s="21"/>
      <c r="K196" s="21"/>
    </row>
    <row r="197" spans="1:11" ht="14.45">
      <c r="A197" s="21"/>
      <c r="B197" s="75"/>
      <c r="C197" s="21"/>
      <c r="D197" s="21"/>
      <c r="E197" s="21"/>
      <c r="F197" s="22"/>
      <c r="G197" s="21"/>
      <c r="H197" s="21"/>
      <c r="I197" s="22"/>
      <c r="J197" s="21"/>
      <c r="K197" s="21"/>
    </row>
    <row r="198" spans="1:11" ht="14.45">
      <c r="A198" s="21"/>
      <c r="B198" s="75"/>
      <c r="C198" s="21"/>
      <c r="D198" s="21"/>
      <c r="E198" s="21"/>
      <c r="F198" s="22"/>
      <c r="G198" s="21"/>
      <c r="H198" s="21"/>
      <c r="I198" s="22"/>
      <c r="J198" s="21"/>
      <c r="K198" s="21"/>
    </row>
    <row r="199" spans="1:11" ht="14.45">
      <c r="A199" s="21"/>
      <c r="B199" s="75"/>
      <c r="C199" s="21"/>
      <c r="D199" s="21"/>
      <c r="E199" s="21"/>
      <c r="F199" s="22"/>
      <c r="G199" s="21"/>
      <c r="H199" s="21"/>
      <c r="I199" s="22"/>
      <c r="J199" s="21"/>
      <c r="K199" s="21"/>
    </row>
    <row r="200" spans="1:11" ht="14.45">
      <c r="A200" s="21"/>
      <c r="B200" s="75"/>
      <c r="C200" s="21"/>
      <c r="D200" s="21"/>
      <c r="E200" s="21"/>
      <c r="F200" s="22"/>
      <c r="G200" s="21"/>
      <c r="H200" s="21"/>
      <c r="I200" s="22"/>
      <c r="J200" s="21"/>
      <c r="K200" s="21"/>
    </row>
    <row r="201" spans="1:11" ht="14.45">
      <c r="A201" s="21"/>
      <c r="B201" s="75"/>
      <c r="C201" s="21"/>
      <c r="D201" s="21"/>
      <c r="E201" s="21"/>
      <c r="F201" s="22"/>
      <c r="G201" s="21"/>
      <c r="H201" s="21"/>
      <c r="I201" s="22"/>
      <c r="J201" s="21"/>
      <c r="K201" s="21"/>
    </row>
    <row r="202" spans="1:11" ht="14.45">
      <c r="A202" s="21"/>
      <c r="B202" s="75"/>
      <c r="C202" s="21"/>
      <c r="D202" s="21"/>
      <c r="E202" s="21"/>
      <c r="F202" s="22"/>
      <c r="G202" s="21"/>
      <c r="H202" s="21"/>
      <c r="I202" s="22"/>
      <c r="J202" s="21"/>
      <c r="K202" s="21"/>
    </row>
    <row r="203" spans="1:11" ht="14.45">
      <c r="A203" s="21"/>
      <c r="B203" s="75"/>
      <c r="C203" s="21"/>
      <c r="D203" s="21"/>
      <c r="E203" s="21"/>
      <c r="F203" s="22"/>
      <c r="G203" s="21"/>
      <c r="H203" s="21"/>
      <c r="I203" s="22"/>
      <c r="J203" s="21"/>
      <c r="K203" s="21"/>
    </row>
    <row r="204" spans="1:11" ht="14.45">
      <c r="A204" s="21"/>
      <c r="B204" s="75"/>
      <c r="C204" s="21"/>
      <c r="D204" s="21"/>
      <c r="E204" s="21"/>
      <c r="F204" s="22"/>
      <c r="G204" s="21"/>
      <c r="H204" s="21"/>
      <c r="I204" s="22"/>
      <c r="J204" s="21"/>
      <c r="K204" s="21"/>
    </row>
    <row r="205" spans="1:11" ht="14.45">
      <c r="A205" s="21"/>
      <c r="B205" s="75"/>
      <c r="C205" s="21"/>
      <c r="D205" s="21"/>
      <c r="E205" s="21"/>
      <c r="F205" s="22"/>
      <c r="G205" s="21"/>
      <c r="H205" s="21"/>
      <c r="I205" s="22"/>
      <c r="J205" s="21"/>
      <c r="K205" s="21"/>
    </row>
    <row r="206" spans="1:11" ht="14.45">
      <c r="A206" s="21"/>
      <c r="B206" s="75"/>
      <c r="C206" s="21"/>
      <c r="D206" s="21"/>
      <c r="E206" s="21"/>
      <c r="F206" s="22"/>
      <c r="G206" s="21"/>
      <c r="H206" s="21"/>
      <c r="I206" s="22"/>
      <c r="J206" s="21"/>
      <c r="K206" s="21"/>
    </row>
    <row r="207" spans="1:11" ht="14.45">
      <c r="A207" s="21"/>
      <c r="B207" s="75"/>
      <c r="C207" s="21"/>
      <c r="D207" s="21"/>
      <c r="E207" s="21"/>
      <c r="F207" s="22"/>
      <c r="G207" s="21"/>
      <c r="H207" s="21"/>
      <c r="I207" s="22"/>
      <c r="J207" s="21"/>
      <c r="K207" s="21"/>
    </row>
    <row r="208" spans="1:11" ht="14.45">
      <c r="A208" s="21"/>
      <c r="B208" s="75"/>
      <c r="C208" s="21"/>
      <c r="D208" s="21"/>
      <c r="E208" s="21"/>
      <c r="F208" s="22"/>
      <c r="G208" s="21"/>
      <c r="H208" s="21"/>
      <c r="I208" s="22"/>
      <c r="J208" s="21"/>
      <c r="K208" s="21"/>
    </row>
    <row r="209" spans="1:11" ht="14.45">
      <c r="A209" s="21"/>
      <c r="B209" s="75"/>
      <c r="C209" s="21"/>
      <c r="D209" s="21"/>
      <c r="E209" s="21"/>
      <c r="F209" s="22"/>
      <c r="G209" s="21"/>
      <c r="H209" s="21"/>
      <c r="I209" s="22"/>
      <c r="J209" s="21"/>
      <c r="K209" s="21"/>
    </row>
    <row r="210" spans="1:11" ht="14.45">
      <c r="A210" s="21"/>
      <c r="B210" s="75"/>
      <c r="C210" s="21"/>
      <c r="D210" s="21"/>
      <c r="E210" s="21"/>
      <c r="F210" s="22"/>
      <c r="G210" s="21"/>
      <c r="H210" s="21"/>
      <c r="I210" s="22"/>
      <c r="J210" s="21"/>
      <c r="K210" s="21"/>
    </row>
    <row r="211" spans="1:11" ht="14.45">
      <c r="A211" s="21"/>
      <c r="B211" s="75"/>
      <c r="C211" s="21"/>
      <c r="D211" s="21"/>
      <c r="E211" s="21"/>
      <c r="F211" s="22"/>
      <c r="G211" s="21"/>
      <c r="H211" s="21"/>
      <c r="I211" s="22"/>
      <c r="J211" s="21"/>
      <c r="K211" s="21"/>
    </row>
    <row r="212" spans="1:11" ht="14.45">
      <c r="A212" s="21"/>
      <c r="B212" s="75"/>
      <c r="C212" s="21"/>
      <c r="D212" s="21"/>
      <c r="E212" s="21"/>
      <c r="F212" s="22"/>
      <c r="G212" s="21"/>
      <c r="H212" s="21"/>
      <c r="I212" s="22"/>
      <c r="J212" s="21"/>
      <c r="K212" s="21"/>
    </row>
    <row r="213" spans="1:11" ht="14.45">
      <c r="A213" s="21"/>
      <c r="B213" s="75"/>
      <c r="C213" s="21"/>
      <c r="D213" s="21"/>
      <c r="E213" s="21"/>
      <c r="F213" s="22"/>
      <c r="G213" s="21"/>
      <c r="H213" s="21"/>
      <c r="I213" s="22"/>
      <c r="J213" s="21"/>
      <c r="K213" s="21"/>
    </row>
    <row r="214" spans="1:11" ht="14.45">
      <c r="A214" s="21"/>
      <c r="B214" s="75"/>
      <c r="C214" s="21"/>
      <c r="D214" s="21"/>
      <c r="E214" s="21"/>
      <c r="F214" s="22"/>
      <c r="G214" s="21"/>
      <c r="H214" s="21"/>
      <c r="I214" s="22"/>
      <c r="J214" s="21"/>
      <c r="K214" s="21"/>
    </row>
    <row r="215" spans="1:11" ht="14.45">
      <c r="A215" s="21"/>
      <c r="B215" s="75"/>
      <c r="C215" s="21"/>
      <c r="D215" s="21"/>
      <c r="E215" s="21"/>
      <c r="F215" s="22"/>
      <c r="G215" s="21"/>
      <c r="H215" s="21"/>
      <c r="I215" s="22"/>
      <c r="J215" s="21"/>
      <c r="K215" s="21"/>
    </row>
    <row r="216" spans="1:11" ht="14.45">
      <c r="A216" s="21"/>
      <c r="B216" s="75"/>
      <c r="C216" s="21"/>
      <c r="D216" s="21"/>
      <c r="E216" s="21"/>
      <c r="F216" s="22"/>
      <c r="G216" s="21"/>
      <c r="H216" s="21"/>
      <c r="I216" s="22"/>
      <c r="J216" s="21"/>
      <c r="K216" s="21"/>
    </row>
    <row r="217" spans="1:11" ht="14.45">
      <c r="A217" s="21"/>
      <c r="B217" s="75"/>
      <c r="C217" s="21"/>
      <c r="D217" s="21"/>
      <c r="E217" s="21"/>
      <c r="F217" s="22"/>
      <c r="G217" s="21"/>
      <c r="H217" s="21"/>
      <c r="I217" s="22"/>
      <c r="J217" s="21"/>
      <c r="K217" s="21"/>
    </row>
    <row r="218" spans="1:11" ht="14.45">
      <c r="A218" s="21"/>
      <c r="B218" s="75"/>
      <c r="C218" s="21"/>
      <c r="D218" s="21"/>
      <c r="E218" s="21"/>
      <c r="F218" s="22"/>
      <c r="G218" s="21"/>
      <c r="H218" s="21"/>
      <c r="I218" s="22"/>
      <c r="J218" s="21"/>
      <c r="K218" s="21"/>
    </row>
    <row r="219" spans="1:11" ht="14.45">
      <c r="A219" s="21"/>
      <c r="B219" s="75"/>
      <c r="C219" s="21"/>
      <c r="D219" s="21"/>
      <c r="E219" s="21"/>
      <c r="F219" s="22"/>
      <c r="G219" s="21"/>
      <c r="H219" s="21"/>
      <c r="I219" s="22"/>
      <c r="J219" s="21"/>
      <c r="K219" s="21"/>
    </row>
    <row r="220" spans="1:11" ht="14.45">
      <c r="A220" s="21"/>
      <c r="B220" s="75"/>
      <c r="C220" s="21"/>
      <c r="D220" s="21"/>
      <c r="E220" s="21"/>
      <c r="F220" s="22"/>
      <c r="G220" s="21"/>
      <c r="H220" s="21"/>
      <c r="I220" s="22"/>
      <c r="J220" s="21"/>
      <c r="K220" s="21"/>
    </row>
    <row r="221" spans="1:11" ht="14.45">
      <c r="A221" s="21"/>
      <c r="B221" s="75"/>
      <c r="C221" s="21"/>
      <c r="D221" s="21"/>
      <c r="E221" s="21"/>
      <c r="F221" s="22"/>
      <c r="G221" s="21"/>
      <c r="H221" s="21"/>
      <c r="I221" s="22"/>
      <c r="J221" s="21"/>
      <c r="K221" s="21"/>
    </row>
    <row r="222" spans="1:11" ht="14.45">
      <c r="A222" s="21"/>
      <c r="B222" s="75"/>
      <c r="C222" s="21"/>
      <c r="D222" s="21"/>
      <c r="E222" s="21"/>
      <c r="F222" s="22"/>
      <c r="G222" s="21"/>
      <c r="H222" s="21"/>
      <c r="I222" s="22"/>
      <c r="J222" s="21"/>
      <c r="K222" s="21"/>
    </row>
    <row r="223" spans="1:11" ht="14.45">
      <c r="A223" s="21"/>
      <c r="B223" s="75"/>
      <c r="C223" s="21"/>
      <c r="D223" s="21"/>
      <c r="E223" s="21"/>
      <c r="F223" s="22"/>
      <c r="G223" s="21"/>
      <c r="H223" s="21"/>
      <c r="I223" s="22"/>
      <c r="J223" s="21"/>
      <c r="K223" s="21"/>
    </row>
    <row r="224" spans="1:11" ht="14.45">
      <c r="A224" s="21"/>
      <c r="B224" s="75"/>
      <c r="C224" s="21"/>
      <c r="D224" s="21"/>
      <c r="E224" s="21"/>
      <c r="F224" s="22"/>
      <c r="G224" s="21"/>
      <c r="H224" s="21"/>
      <c r="I224" s="22"/>
      <c r="J224" s="21"/>
      <c r="K224" s="21"/>
    </row>
    <row r="225" spans="1:11" ht="14.45">
      <c r="A225" s="21"/>
      <c r="B225" s="75"/>
      <c r="C225" s="21"/>
      <c r="D225" s="21"/>
      <c r="E225" s="21"/>
      <c r="F225" s="22"/>
      <c r="G225" s="21"/>
      <c r="H225" s="21"/>
      <c r="I225" s="22"/>
      <c r="J225" s="21"/>
      <c r="K225" s="21"/>
    </row>
    <row r="226" spans="1:11" ht="14.45">
      <c r="A226" s="21"/>
      <c r="B226" s="75"/>
      <c r="C226" s="21"/>
      <c r="D226" s="21"/>
      <c r="E226" s="21"/>
      <c r="F226" s="22"/>
      <c r="G226" s="21"/>
      <c r="H226" s="21"/>
      <c r="I226" s="22"/>
      <c r="J226" s="21"/>
      <c r="K226" s="21"/>
    </row>
    <row r="227" spans="1:11" ht="14.45">
      <c r="A227" s="21"/>
      <c r="B227" s="75"/>
      <c r="C227" s="21"/>
      <c r="D227" s="21"/>
      <c r="E227" s="21"/>
      <c r="F227" s="22"/>
      <c r="G227" s="21"/>
      <c r="H227" s="21"/>
      <c r="I227" s="22"/>
      <c r="J227" s="21"/>
      <c r="K227" s="21"/>
    </row>
    <row r="228" spans="1:11" ht="14.45">
      <c r="A228" s="21"/>
      <c r="B228" s="75"/>
      <c r="C228" s="21"/>
      <c r="D228" s="21"/>
      <c r="E228" s="21"/>
      <c r="F228" s="22"/>
      <c r="G228" s="21"/>
      <c r="H228" s="21"/>
      <c r="I228" s="22"/>
      <c r="J228" s="21"/>
      <c r="K228" s="21"/>
    </row>
    <row r="229" spans="1:11" ht="14.45">
      <c r="A229" s="21"/>
      <c r="B229" s="75"/>
      <c r="C229" s="21"/>
      <c r="D229" s="21"/>
      <c r="E229" s="21"/>
      <c r="F229" s="22"/>
      <c r="G229" s="21"/>
      <c r="H229" s="21"/>
      <c r="I229" s="22"/>
      <c r="J229" s="21"/>
      <c r="K229" s="21"/>
    </row>
    <row r="230" spans="1:11" ht="14.45">
      <c r="A230" s="21"/>
      <c r="B230" s="75"/>
      <c r="C230" s="21"/>
      <c r="D230" s="21"/>
      <c r="E230" s="21"/>
      <c r="F230" s="22"/>
      <c r="G230" s="21"/>
      <c r="H230" s="21"/>
      <c r="I230" s="22"/>
      <c r="J230" s="21"/>
      <c r="K230" s="21"/>
    </row>
    <row r="231" spans="1:11" ht="14.45">
      <c r="A231" s="21"/>
      <c r="B231" s="75"/>
      <c r="C231" s="21"/>
      <c r="D231" s="21"/>
      <c r="E231" s="21"/>
      <c r="F231" s="22"/>
      <c r="G231" s="21"/>
      <c r="H231" s="21"/>
      <c r="I231" s="22"/>
      <c r="J231" s="21"/>
      <c r="K231" s="21"/>
    </row>
    <row r="232" spans="1:11" ht="14.45">
      <c r="A232" s="21"/>
      <c r="B232" s="75"/>
      <c r="C232" s="21"/>
      <c r="D232" s="21"/>
      <c r="E232" s="21"/>
      <c r="F232" s="22"/>
      <c r="G232" s="21"/>
      <c r="H232" s="21"/>
      <c r="I232" s="22"/>
      <c r="J232" s="21"/>
      <c r="K232" s="21"/>
    </row>
    <row r="233" spans="1:11" ht="14.45">
      <c r="A233" s="21"/>
      <c r="B233" s="75"/>
      <c r="C233" s="21"/>
      <c r="D233" s="21"/>
      <c r="E233" s="21"/>
      <c r="F233" s="22"/>
      <c r="G233" s="21"/>
      <c r="H233" s="21"/>
      <c r="I233" s="22"/>
      <c r="J233" s="21"/>
      <c r="K233" s="21"/>
    </row>
    <row r="234" spans="1:11" ht="14.45">
      <c r="A234" s="21"/>
      <c r="B234" s="75"/>
      <c r="C234" s="21"/>
      <c r="D234" s="21"/>
      <c r="E234" s="21"/>
      <c r="F234" s="22"/>
      <c r="G234" s="21"/>
      <c r="H234" s="21"/>
      <c r="I234" s="22"/>
      <c r="J234" s="21"/>
      <c r="K234" s="21"/>
    </row>
    <row r="235" spans="1:11" ht="14.45">
      <c r="A235" s="21"/>
      <c r="B235" s="75"/>
      <c r="C235" s="21"/>
      <c r="D235" s="21"/>
      <c r="E235" s="21"/>
      <c r="F235" s="22"/>
      <c r="G235" s="21"/>
      <c r="H235" s="21"/>
      <c r="I235" s="22"/>
      <c r="J235" s="21"/>
      <c r="K235" s="21"/>
    </row>
    <row r="236" spans="1:11" ht="14.45">
      <c r="A236" s="21"/>
      <c r="B236" s="75"/>
      <c r="C236" s="21"/>
      <c r="D236" s="21"/>
      <c r="E236" s="21"/>
      <c r="F236" s="22"/>
      <c r="G236" s="21"/>
      <c r="H236" s="21"/>
      <c r="I236" s="22"/>
      <c r="J236" s="21"/>
      <c r="K236" s="21"/>
    </row>
    <row r="237" spans="1:11" ht="14.45">
      <c r="A237" s="21"/>
      <c r="B237" s="75"/>
      <c r="C237" s="21"/>
      <c r="D237" s="21"/>
      <c r="E237" s="21"/>
      <c r="F237" s="22"/>
      <c r="G237" s="21"/>
      <c r="H237" s="21"/>
      <c r="I237" s="22"/>
      <c r="J237" s="21"/>
      <c r="K237" s="21"/>
    </row>
    <row r="238" spans="1:11" ht="14.45">
      <c r="A238" s="21"/>
      <c r="B238" s="75"/>
      <c r="C238" s="21"/>
      <c r="D238" s="21"/>
      <c r="E238" s="21"/>
      <c r="F238" s="22"/>
      <c r="G238" s="21"/>
      <c r="H238" s="21"/>
      <c r="I238" s="22"/>
      <c r="J238" s="21"/>
      <c r="K238" s="21"/>
    </row>
    <row r="239" spans="1:11" ht="14.45">
      <c r="A239" s="21"/>
      <c r="B239" s="75"/>
      <c r="C239" s="21"/>
      <c r="D239" s="21"/>
      <c r="E239" s="21"/>
      <c r="F239" s="22"/>
      <c r="G239" s="21"/>
      <c r="H239" s="21"/>
      <c r="I239" s="22"/>
      <c r="J239" s="21"/>
      <c r="K239" s="21"/>
    </row>
    <row r="240" spans="1:11" ht="14.45">
      <c r="A240" s="21"/>
      <c r="B240" s="75"/>
      <c r="C240" s="21"/>
      <c r="D240" s="21"/>
      <c r="E240" s="21"/>
      <c r="F240" s="22"/>
      <c r="G240" s="21"/>
      <c r="H240" s="21"/>
      <c r="I240" s="22"/>
      <c r="J240" s="21"/>
      <c r="K240" s="21"/>
    </row>
    <row r="241" spans="1:11" ht="14.45">
      <c r="A241" s="21"/>
      <c r="B241" s="75"/>
      <c r="C241" s="21"/>
      <c r="D241" s="21"/>
      <c r="E241" s="21"/>
      <c r="F241" s="22"/>
      <c r="G241" s="21"/>
      <c r="H241" s="21"/>
      <c r="I241" s="22"/>
      <c r="J241" s="21"/>
      <c r="K241" s="21"/>
    </row>
    <row r="242" spans="1:11" ht="14.45">
      <c r="A242" s="21"/>
      <c r="B242" s="75"/>
      <c r="C242" s="21"/>
      <c r="D242" s="21"/>
      <c r="E242" s="21"/>
      <c r="F242" s="22"/>
      <c r="G242" s="21"/>
      <c r="H242" s="21"/>
      <c r="I242" s="22"/>
      <c r="J242" s="21"/>
      <c r="K242" s="21"/>
    </row>
    <row r="243" spans="1:11" ht="14.45">
      <c r="A243" s="21"/>
      <c r="B243" s="75"/>
      <c r="C243" s="21"/>
      <c r="D243" s="21"/>
      <c r="E243" s="21"/>
      <c r="F243" s="22"/>
      <c r="G243" s="21"/>
      <c r="H243" s="21"/>
      <c r="I243" s="22"/>
      <c r="J243" s="21"/>
      <c r="K243" s="21"/>
    </row>
    <row r="244" spans="1:11" ht="14.45">
      <c r="A244" s="21"/>
      <c r="B244" s="75"/>
      <c r="C244" s="21"/>
      <c r="D244" s="21"/>
      <c r="E244" s="21"/>
      <c r="F244" s="22"/>
      <c r="G244" s="21"/>
      <c r="H244" s="21"/>
      <c r="I244" s="22"/>
      <c r="J244" s="21"/>
      <c r="K244" s="21"/>
    </row>
    <row r="245" spans="1:11" ht="14.45">
      <c r="A245" s="21"/>
      <c r="B245" s="75"/>
      <c r="C245" s="21"/>
      <c r="D245" s="21"/>
      <c r="E245" s="21"/>
      <c r="F245" s="22"/>
      <c r="G245" s="21"/>
      <c r="H245" s="21"/>
      <c r="I245" s="22"/>
      <c r="J245" s="21"/>
      <c r="K245" s="21"/>
    </row>
    <row r="246" spans="1:11" ht="14.45">
      <c r="A246" s="21"/>
      <c r="B246" s="75"/>
      <c r="C246" s="21"/>
      <c r="D246" s="21"/>
      <c r="E246" s="21"/>
      <c r="F246" s="22"/>
      <c r="G246" s="21"/>
      <c r="H246" s="21"/>
      <c r="I246" s="22"/>
      <c r="J246" s="21"/>
      <c r="K246" s="21"/>
    </row>
    <row r="247" spans="1:11" ht="14.45">
      <c r="A247" s="21"/>
      <c r="B247" s="75"/>
      <c r="C247" s="21"/>
      <c r="D247" s="21"/>
      <c r="E247" s="21"/>
      <c r="F247" s="22"/>
      <c r="G247" s="21"/>
      <c r="H247" s="21"/>
      <c r="I247" s="22"/>
      <c r="J247" s="21"/>
      <c r="K247" s="21"/>
    </row>
    <row r="248" spans="1:11" ht="14.45">
      <c r="A248" s="21"/>
      <c r="B248" s="75"/>
      <c r="C248" s="21"/>
      <c r="D248" s="21"/>
      <c r="E248" s="21"/>
      <c r="F248" s="22"/>
      <c r="G248" s="21"/>
      <c r="H248" s="21"/>
      <c r="I248" s="22"/>
      <c r="J248" s="21"/>
      <c r="K248" s="21"/>
    </row>
    <row r="249" spans="1:11" ht="14.45">
      <c r="A249" s="21"/>
      <c r="B249" s="75"/>
      <c r="C249" s="21"/>
      <c r="D249" s="21"/>
      <c r="E249" s="21"/>
      <c r="F249" s="22"/>
      <c r="G249" s="21"/>
      <c r="H249" s="21"/>
      <c r="I249" s="22"/>
      <c r="J249" s="21"/>
      <c r="K249" s="21"/>
    </row>
    <row r="250" spans="1:11" ht="14.45">
      <c r="A250" s="21"/>
      <c r="B250" s="75"/>
      <c r="C250" s="21"/>
      <c r="D250" s="21"/>
      <c r="E250" s="21"/>
      <c r="F250" s="22"/>
      <c r="G250" s="21"/>
      <c r="H250" s="21"/>
      <c r="I250" s="22"/>
      <c r="J250" s="21"/>
      <c r="K250" s="21"/>
    </row>
    <row r="251" spans="1:11" ht="14.45">
      <c r="A251" s="21"/>
      <c r="B251" s="75"/>
      <c r="C251" s="21"/>
      <c r="D251" s="21"/>
      <c r="E251" s="21"/>
      <c r="F251" s="22"/>
      <c r="G251" s="21"/>
      <c r="H251" s="21"/>
      <c r="I251" s="22"/>
      <c r="J251" s="21"/>
      <c r="K251" s="21"/>
    </row>
    <row r="252" spans="1:11" ht="14.45">
      <c r="A252" s="21"/>
      <c r="B252" s="75"/>
      <c r="C252" s="21"/>
      <c r="D252" s="21"/>
      <c r="E252" s="21"/>
      <c r="F252" s="22"/>
      <c r="G252" s="21"/>
      <c r="H252" s="21"/>
      <c r="I252" s="22"/>
      <c r="J252" s="21"/>
      <c r="K252" s="21"/>
    </row>
    <row r="253" spans="1:11" ht="14.45">
      <c r="A253" s="21"/>
      <c r="B253" s="75"/>
      <c r="C253" s="21"/>
      <c r="D253" s="21"/>
      <c r="E253" s="21"/>
      <c r="F253" s="22"/>
      <c r="G253" s="21"/>
      <c r="H253" s="21"/>
      <c r="I253" s="22"/>
      <c r="J253" s="21"/>
      <c r="K253" s="21"/>
    </row>
    <row r="254" spans="1:11" ht="14.45">
      <c r="A254" s="21"/>
      <c r="B254" s="75"/>
      <c r="C254" s="21"/>
      <c r="D254" s="21"/>
      <c r="E254" s="21"/>
      <c r="F254" s="22"/>
      <c r="G254" s="21"/>
      <c r="H254" s="21"/>
      <c r="I254" s="22"/>
      <c r="J254" s="21"/>
      <c r="K254" s="21"/>
    </row>
    <row r="255" spans="1:11" ht="14.45">
      <c r="A255" s="21"/>
      <c r="B255" s="75"/>
      <c r="C255" s="21"/>
      <c r="D255" s="21"/>
      <c r="E255" s="21"/>
      <c r="F255" s="22"/>
      <c r="G255" s="21"/>
      <c r="H255" s="21"/>
      <c r="I255" s="22"/>
      <c r="J255" s="21"/>
      <c r="K255" s="21"/>
    </row>
    <row r="256" spans="1:11" ht="14.45">
      <c r="A256" s="21"/>
      <c r="B256" s="75"/>
      <c r="C256" s="21"/>
      <c r="D256" s="21"/>
      <c r="E256" s="21"/>
      <c r="F256" s="22"/>
      <c r="G256" s="21"/>
      <c r="H256" s="21"/>
      <c r="I256" s="22"/>
      <c r="J256" s="21"/>
      <c r="K256" s="21"/>
    </row>
    <row r="257" spans="1:11" ht="14.45">
      <c r="A257" s="21"/>
      <c r="B257" s="75"/>
      <c r="C257" s="21"/>
      <c r="D257" s="21"/>
      <c r="E257" s="21"/>
      <c r="F257" s="22"/>
      <c r="G257" s="21"/>
      <c r="H257" s="21"/>
      <c r="I257" s="22"/>
      <c r="J257" s="21"/>
      <c r="K257" s="21"/>
    </row>
    <row r="258" spans="1:11" ht="14.45">
      <c r="A258" s="21"/>
      <c r="B258" s="75"/>
      <c r="C258" s="21"/>
      <c r="D258" s="21"/>
      <c r="E258" s="21"/>
      <c r="F258" s="22"/>
      <c r="G258" s="21"/>
      <c r="H258" s="21"/>
      <c r="I258" s="22"/>
      <c r="J258" s="21"/>
      <c r="K258" s="21"/>
    </row>
    <row r="259" spans="1:11" ht="14.45">
      <c r="A259" s="21"/>
      <c r="B259" s="75"/>
      <c r="C259" s="21"/>
      <c r="D259" s="21"/>
      <c r="E259" s="21"/>
      <c r="F259" s="22"/>
      <c r="G259" s="21"/>
      <c r="H259" s="21"/>
      <c r="I259" s="22"/>
      <c r="J259" s="21"/>
      <c r="K259" s="21"/>
    </row>
    <row r="260" spans="1:11" ht="14.45">
      <c r="A260" s="21"/>
      <c r="B260" s="75"/>
      <c r="C260" s="21"/>
      <c r="D260" s="21"/>
      <c r="E260" s="21"/>
      <c r="F260" s="22"/>
      <c r="G260" s="21"/>
      <c r="H260" s="21"/>
      <c r="I260" s="22"/>
      <c r="J260" s="21"/>
      <c r="K260" s="21"/>
    </row>
    <row r="261" spans="1:11" ht="14.45">
      <c r="A261" s="21"/>
      <c r="B261" s="75"/>
      <c r="C261" s="21"/>
      <c r="D261" s="21"/>
      <c r="E261" s="21"/>
      <c r="F261" s="22"/>
      <c r="G261" s="21"/>
      <c r="H261" s="21"/>
      <c r="I261" s="22"/>
      <c r="J261" s="21"/>
      <c r="K261" s="21"/>
    </row>
    <row r="262" spans="1:11" ht="14.45">
      <c r="A262" s="21"/>
      <c r="B262" s="75"/>
      <c r="C262" s="21"/>
      <c r="D262" s="21"/>
      <c r="E262" s="21"/>
      <c r="F262" s="22"/>
      <c r="G262" s="21"/>
      <c r="H262" s="21"/>
      <c r="I262" s="22"/>
      <c r="J262" s="21"/>
      <c r="K262" s="21"/>
    </row>
    <row r="263" spans="1:11" ht="14.45">
      <c r="A263" s="21"/>
      <c r="B263" s="75"/>
      <c r="C263" s="21"/>
      <c r="D263" s="21"/>
      <c r="E263" s="21"/>
      <c r="F263" s="22"/>
      <c r="G263" s="21"/>
      <c r="H263" s="21"/>
      <c r="I263" s="22"/>
      <c r="J263" s="21"/>
      <c r="K263" s="21"/>
    </row>
    <row r="264" spans="1:11" ht="14.45">
      <c r="A264" s="21"/>
      <c r="B264" s="75"/>
      <c r="C264" s="21"/>
      <c r="D264" s="21"/>
      <c r="E264" s="21"/>
      <c r="F264" s="22"/>
      <c r="G264" s="21"/>
      <c r="H264" s="21"/>
      <c r="I264" s="22"/>
      <c r="J264" s="21"/>
      <c r="K264" s="21"/>
    </row>
    <row r="265" spans="1:11" ht="14.45">
      <c r="A265" s="21"/>
      <c r="B265" s="75"/>
      <c r="C265" s="21"/>
      <c r="D265" s="21"/>
      <c r="E265" s="21"/>
      <c r="F265" s="22"/>
      <c r="G265" s="21"/>
      <c r="H265" s="21"/>
      <c r="I265" s="22"/>
      <c r="J265" s="21"/>
      <c r="K265" s="21"/>
    </row>
    <row r="266" spans="1:11" ht="14.45">
      <c r="A266" s="21"/>
      <c r="B266" s="75"/>
      <c r="C266" s="21"/>
      <c r="D266" s="21"/>
      <c r="E266" s="21"/>
      <c r="F266" s="22"/>
      <c r="G266" s="21"/>
      <c r="H266" s="21"/>
      <c r="I266" s="22"/>
      <c r="J266" s="21"/>
      <c r="K266" s="21"/>
    </row>
    <row r="267" spans="1:11" ht="14.45">
      <c r="A267" s="21"/>
      <c r="B267" s="75"/>
      <c r="C267" s="21"/>
      <c r="D267" s="21"/>
      <c r="E267" s="21"/>
      <c r="F267" s="22"/>
      <c r="G267" s="21"/>
      <c r="H267" s="21"/>
      <c r="I267" s="22"/>
      <c r="J267" s="21"/>
      <c r="K267" s="21"/>
    </row>
    <row r="268" spans="1:11" ht="14.45">
      <c r="A268" s="21"/>
      <c r="B268" s="75"/>
      <c r="C268" s="21"/>
      <c r="D268" s="21"/>
      <c r="E268" s="21"/>
      <c r="F268" s="22"/>
      <c r="G268" s="21"/>
      <c r="H268" s="21"/>
      <c r="I268" s="22"/>
      <c r="J268" s="21"/>
      <c r="K268" s="21"/>
    </row>
    <row r="269" spans="1:11" ht="14.45">
      <c r="A269" s="21"/>
      <c r="B269" s="75"/>
      <c r="C269" s="21"/>
      <c r="D269" s="21"/>
      <c r="E269" s="21"/>
      <c r="F269" s="22"/>
      <c r="G269" s="21"/>
      <c r="H269" s="21"/>
      <c r="I269" s="22"/>
      <c r="J269" s="21"/>
      <c r="K269" s="21"/>
    </row>
    <row r="270" spans="1:11" ht="14.45">
      <c r="A270" s="21"/>
      <c r="B270" s="75"/>
      <c r="C270" s="21"/>
      <c r="D270" s="21"/>
      <c r="E270" s="21"/>
      <c r="F270" s="22"/>
      <c r="G270" s="21"/>
      <c r="H270" s="21"/>
      <c r="I270" s="22"/>
      <c r="J270" s="21"/>
      <c r="K270" s="21"/>
    </row>
    <row r="271" spans="1:11" ht="14.45">
      <c r="A271" s="21"/>
      <c r="B271" s="75"/>
      <c r="C271" s="21"/>
      <c r="D271" s="21"/>
      <c r="E271" s="21"/>
      <c r="F271" s="22"/>
      <c r="G271" s="21"/>
      <c r="H271" s="21"/>
      <c r="I271" s="22"/>
      <c r="J271" s="21"/>
      <c r="K271" s="21"/>
    </row>
    <row r="272" spans="1:11" ht="14.45">
      <c r="A272" s="21"/>
      <c r="B272" s="75"/>
      <c r="C272" s="21"/>
      <c r="D272" s="21"/>
      <c r="E272" s="21"/>
      <c r="F272" s="22"/>
      <c r="G272" s="21"/>
      <c r="H272" s="21"/>
      <c r="I272" s="22"/>
      <c r="J272" s="21"/>
      <c r="K272" s="21"/>
    </row>
    <row r="273" spans="1:11" ht="14.45">
      <c r="A273" s="21"/>
      <c r="B273" s="75"/>
      <c r="C273" s="21"/>
      <c r="D273" s="21"/>
      <c r="E273" s="21"/>
      <c r="F273" s="22"/>
      <c r="G273" s="21"/>
      <c r="H273" s="21"/>
      <c r="I273" s="22"/>
      <c r="J273" s="21"/>
      <c r="K273" s="21"/>
    </row>
    <row r="274" spans="1:11" ht="14.45">
      <c r="A274" s="21"/>
      <c r="B274" s="75"/>
      <c r="C274" s="21"/>
      <c r="D274" s="21"/>
      <c r="E274" s="21"/>
      <c r="F274" s="22"/>
      <c r="G274" s="21"/>
      <c r="H274" s="21"/>
      <c r="I274" s="22"/>
      <c r="J274" s="21"/>
      <c r="K274" s="21"/>
    </row>
    <row r="275" spans="1:11" ht="14.45">
      <c r="A275" s="21"/>
      <c r="B275" s="75"/>
      <c r="C275" s="21"/>
      <c r="D275" s="21"/>
      <c r="E275" s="21"/>
      <c r="F275" s="22"/>
      <c r="G275" s="21"/>
      <c r="H275" s="21"/>
      <c r="I275" s="22"/>
      <c r="J275" s="21"/>
      <c r="K275" s="21"/>
    </row>
    <row r="276" spans="1:11" ht="14.45">
      <c r="A276" s="21"/>
      <c r="B276" s="75"/>
      <c r="C276" s="21"/>
      <c r="D276" s="21"/>
      <c r="E276" s="21"/>
      <c r="F276" s="22"/>
      <c r="G276" s="21"/>
      <c r="H276" s="21"/>
      <c r="I276" s="22"/>
      <c r="J276" s="21"/>
      <c r="K276" s="21"/>
    </row>
    <row r="277" spans="1:11" ht="14.45">
      <c r="A277" s="21"/>
      <c r="B277" s="75"/>
      <c r="C277" s="21"/>
      <c r="D277" s="21"/>
      <c r="E277" s="21"/>
      <c r="F277" s="22"/>
      <c r="G277" s="21"/>
      <c r="H277" s="21"/>
      <c r="I277" s="22"/>
      <c r="J277" s="21"/>
      <c r="K277" s="21"/>
    </row>
    <row r="278" spans="1:11" ht="14.45">
      <c r="A278" s="21"/>
      <c r="B278" s="75"/>
      <c r="C278" s="21"/>
      <c r="D278" s="21"/>
      <c r="E278" s="21"/>
      <c r="F278" s="22"/>
      <c r="G278" s="21"/>
      <c r="H278" s="21"/>
      <c r="I278" s="22"/>
      <c r="J278" s="21"/>
      <c r="K278" s="21"/>
    </row>
    <row r="279" spans="1:11" ht="14.45">
      <c r="A279" s="21"/>
      <c r="B279" s="75"/>
      <c r="C279" s="21"/>
      <c r="D279" s="21"/>
      <c r="E279" s="21"/>
      <c r="F279" s="22"/>
      <c r="G279" s="21"/>
      <c r="H279" s="21"/>
      <c r="I279" s="22"/>
      <c r="J279" s="21"/>
      <c r="K279" s="21"/>
    </row>
    <row r="280" spans="1:11" ht="14.45">
      <c r="A280" s="21"/>
      <c r="B280" s="75"/>
      <c r="C280" s="21"/>
      <c r="D280" s="21"/>
      <c r="E280" s="21"/>
      <c r="F280" s="22"/>
      <c r="G280" s="21"/>
      <c r="H280" s="21"/>
      <c r="I280" s="22"/>
      <c r="J280" s="21"/>
      <c r="K280" s="21"/>
    </row>
    <row r="281" spans="1:11" ht="14.45">
      <c r="A281" s="21"/>
      <c r="B281" s="75"/>
      <c r="C281" s="21"/>
      <c r="D281" s="21"/>
      <c r="E281" s="21"/>
      <c r="F281" s="22"/>
      <c r="G281" s="21"/>
      <c r="H281" s="21"/>
      <c r="I281" s="22"/>
      <c r="J281" s="21"/>
      <c r="K281" s="21"/>
    </row>
    <row r="282" spans="1:11" ht="14.45">
      <c r="A282" s="21"/>
      <c r="B282" s="75"/>
      <c r="C282" s="21"/>
      <c r="D282" s="21"/>
      <c r="E282" s="21"/>
      <c r="F282" s="22"/>
      <c r="G282" s="21"/>
      <c r="H282" s="21"/>
      <c r="I282" s="22"/>
      <c r="J282" s="21"/>
      <c r="K282" s="21"/>
    </row>
    <row r="283" spans="1:11" ht="14.45">
      <c r="A283" s="21"/>
      <c r="B283" s="75"/>
      <c r="C283" s="21"/>
      <c r="D283" s="21"/>
      <c r="E283" s="21"/>
      <c r="F283" s="22"/>
      <c r="G283" s="21"/>
      <c r="H283" s="21"/>
      <c r="I283" s="22"/>
      <c r="J283" s="21"/>
      <c r="K283" s="21"/>
    </row>
    <row r="284" spans="1:11" ht="14.45">
      <c r="A284" s="21"/>
      <c r="B284" s="75"/>
      <c r="C284" s="21"/>
      <c r="D284" s="21"/>
      <c r="E284" s="21"/>
      <c r="F284" s="22"/>
      <c r="G284" s="21"/>
      <c r="H284" s="21"/>
      <c r="I284" s="22"/>
      <c r="J284" s="21"/>
      <c r="K284" s="21"/>
    </row>
    <row r="285" spans="1:11" ht="14.45">
      <c r="A285" s="21"/>
      <c r="B285" s="75"/>
      <c r="C285" s="21"/>
      <c r="D285" s="21"/>
      <c r="E285" s="21"/>
      <c r="F285" s="22"/>
      <c r="G285" s="21"/>
      <c r="H285" s="21"/>
      <c r="I285" s="22"/>
      <c r="J285" s="21"/>
      <c r="K285" s="21"/>
    </row>
    <row r="286" spans="1:11" ht="14.45">
      <c r="A286" s="21"/>
      <c r="B286" s="75"/>
      <c r="C286" s="21"/>
      <c r="D286" s="21"/>
      <c r="E286" s="21"/>
      <c r="F286" s="22"/>
      <c r="G286" s="21"/>
      <c r="H286" s="21"/>
      <c r="I286" s="22"/>
      <c r="J286" s="21"/>
      <c r="K286" s="21"/>
    </row>
    <row r="287" spans="1:11" ht="14.45">
      <c r="A287" s="21"/>
      <c r="B287" s="75"/>
      <c r="C287" s="21"/>
      <c r="D287" s="21"/>
      <c r="E287" s="21"/>
      <c r="F287" s="22"/>
      <c r="G287" s="21"/>
      <c r="H287" s="21"/>
      <c r="I287" s="22"/>
      <c r="J287" s="21"/>
      <c r="K287" s="21"/>
    </row>
    <row r="288" spans="1:11" ht="14.45">
      <c r="A288" s="21"/>
      <c r="B288" s="75"/>
      <c r="C288" s="21"/>
      <c r="D288" s="21"/>
      <c r="E288" s="21"/>
      <c r="F288" s="22"/>
      <c r="G288" s="21"/>
      <c r="H288" s="21"/>
      <c r="I288" s="22"/>
      <c r="J288" s="21"/>
      <c r="K288" s="21"/>
    </row>
    <row r="289" spans="1:11" ht="14.45">
      <c r="A289" s="21"/>
      <c r="B289" s="75"/>
      <c r="C289" s="21"/>
      <c r="D289" s="21"/>
      <c r="E289" s="21"/>
      <c r="F289" s="22"/>
      <c r="G289" s="21"/>
      <c r="H289" s="21"/>
      <c r="I289" s="22"/>
      <c r="J289" s="21"/>
      <c r="K289" s="21"/>
    </row>
    <row r="290" spans="1:11" ht="14.45">
      <c r="A290" s="21"/>
      <c r="B290" s="75"/>
      <c r="C290" s="21"/>
      <c r="D290" s="21"/>
      <c r="E290" s="21"/>
      <c r="F290" s="22"/>
      <c r="G290" s="21"/>
      <c r="H290" s="21"/>
      <c r="I290" s="22"/>
      <c r="J290" s="21"/>
      <c r="K290" s="21"/>
    </row>
    <row r="291" spans="1:11" ht="14.45">
      <c r="A291" s="21"/>
      <c r="B291" s="75"/>
      <c r="C291" s="21"/>
      <c r="D291" s="21"/>
      <c r="E291" s="21"/>
      <c r="F291" s="22"/>
      <c r="G291" s="21"/>
      <c r="H291" s="21"/>
      <c r="I291" s="22"/>
      <c r="J291" s="21"/>
      <c r="K291" s="21"/>
    </row>
    <row r="292" spans="1:11" ht="14.45">
      <c r="A292" s="21"/>
      <c r="B292" s="75"/>
      <c r="C292" s="21"/>
      <c r="D292" s="21"/>
      <c r="E292" s="21"/>
      <c r="F292" s="22"/>
      <c r="G292" s="21"/>
      <c r="H292" s="21"/>
      <c r="I292" s="22"/>
      <c r="J292" s="21"/>
      <c r="K292" s="21"/>
    </row>
    <row r="293" spans="1:11" ht="14.45">
      <c r="A293" s="21"/>
      <c r="B293" s="75"/>
      <c r="C293" s="21"/>
      <c r="D293" s="21"/>
      <c r="E293" s="21"/>
      <c r="F293" s="22"/>
      <c r="G293" s="21"/>
      <c r="H293" s="21"/>
      <c r="I293" s="22"/>
      <c r="J293" s="21"/>
      <c r="K293" s="21"/>
    </row>
    <row r="294" spans="1:11" ht="14.45">
      <c r="A294" s="21"/>
      <c r="B294" s="75"/>
      <c r="C294" s="21"/>
      <c r="D294" s="21"/>
      <c r="E294" s="21"/>
      <c r="F294" s="22"/>
      <c r="G294" s="21"/>
      <c r="H294" s="21"/>
      <c r="I294" s="22"/>
      <c r="J294" s="21"/>
      <c r="K294" s="21"/>
    </row>
    <row r="295" spans="1:11" ht="14.45">
      <c r="A295" s="21"/>
      <c r="B295" s="75"/>
      <c r="C295" s="21"/>
      <c r="D295" s="21"/>
      <c r="E295" s="21"/>
      <c r="F295" s="22"/>
      <c r="G295" s="21"/>
      <c r="H295" s="21"/>
      <c r="I295" s="22"/>
      <c r="J295" s="21"/>
      <c r="K295" s="21"/>
    </row>
    <row r="296" spans="1:11" ht="14.45">
      <c r="A296" s="21"/>
      <c r="B296" s="75"/>
      <c r="C296" s="21"/>
      <c r="D296" s="21"/>
      <c r="E296" s="21"/>
      <c r="F296" s="22"/>
      <c r="G296" s="21"/>
      <c r="H296" s="21"/>
      <c r="I296" s="22"/>
      <c r="J296" s="21"/>
      <c r="K296" s="21"/>
    </row>
    <row r="297" spans="1:11" ht="14.45">
      <c r="A297" s="21"/>
      <c r="B297" s="75"/>
      <c r="C297" s="21"/>
      <c r="D297" s="21"/>
      <c r="E297" s="21"/>
      <c r="F297" s="22"/>
      <c r="G297" s="21"/>
      <c r="H297" s="21"/>
      <c r="I297" s="22"/>
      <c r="J297" s="21"/>
      <c r="K297" s="21"/>
    </row>
    <row r="298" spans="1:11" ht="14.45">
      <c r="A298" s="21"/>
      <c r="B298" s="75"/>
      <c r="C298" s="21"/>
      <c r="D298" s="21"/>
      <c r="E298" s="21"/>
      <c r="F298" s="22"/>
      <c r="G298" s="21"/>
      <c r="H298" s="21"/>
      <c r="I298" s="22"/>
      <c r="J298" s="21"/>
      <c r="K298" s="21"/>
    </row>
    <row r="299" spans="1:11" ht="14.45">
      <c r="A299" s="21"/>
      <c r="B299" s="75"/>
      <c r="C299" s="21"/>
      <c r="D299" s="21"/>
      <c r="E299" s="21"/>
      <c r="F299" s="22"/>
      <c r="G299" s="21"/>
      <c r="H299" s="21"/>
      <c r="I299" s="22"/>
      <c r="J299" s="21"/>
      <c r="K299" s="21"/>
    </row>
    <row r="300" spans="1:11" ht="14.45">
      <c r="A300" s="21"/>
      <c r="B300" s="75"/>
      <c r="C300" s="21"/>
      <c r="D300" s="21"/>
      <c r="E300" s="21"/>
      <c r="F300" s="22"/>
      <c r="G300" s="21"/>
      <c r="H300" s="21"/>
      <c r="I300" s="22"/>
      <c r="J300" s="21"/>
      <c r="K300" s="21"/>
    </row>
    <row r="301" spans="1:11" ht="14.45">
      <c r="A301" s="21"/>
      <c r="B301" s="75"/>
      <c r="C301" s="21"/>
      <c r="D301" s="21"/>
      <c r="E301" s="21"/>
      <c r="F301" s="22"/>
      <c r="G301" s="21"/>
      <c r="H301" s="21"/>
      <c r="I301" s="22"/>
      <c r="J301" s="21"/>
      <c r="K301" s="21"/>
    </row>
    <row r="302" spans="1:11" ht="14.45">
      <c r="A302" s="21"/>
      <c r="B302" s="75"/>
      <c r="C302" s="21"/>
      <c r="D302" s="21"/>
      <c r="E302" s="21"/>
      <c r="F302" s="22"/>
      <c r="G302" s="21"/>
      <c r="H302" s="21"/>
      <c r="I302" s="22"/>
      <c r="J302" s="21"/>
      <c r="K302" s="21"/>
    </row>
    <row r="303" spans="1:11" ht="14.45">
      <c r="A303" s="21"/>
      <c r="B303" s="75"/>
      <c r="C303" s="21"/>
      <c r="D303" s="21"/>
      <c r="E303" s="21"/>
      <c r="F303" s="22"/>
      <c r="G303" s="21"/>
      <c r="H303" s="21"/>
      <c r="I303" s="22"/>
      <c r="J303" s="21"/>
      <c r="K303" s="21"/>
    </row>
    <row r="304" spans="1:11" ht="14.45">
      <c r="A304" s="21"/>
      <c r="B304" s="75"/>
      <c r="C304" s="21"/>
      <c r="D304" s="21"/>
      <c r="E304" s="21"/>
      <c r="F304" s="22"/>
      <c r="G304" s="21"/>
      <c r="H304" s="21"/>
      <c r="I304" s="22"/>
      <c r="J304" s="21"/>
      <c r="K304" s="21"/>
    </row>
    <row r="305" spans="1:11" ht="14.45">
      <c r="A305" s="21"/>
      <c r="B305" s="75"/>
      <c r="C305" s="21"/>
      <c r="D305" s="21"/>
      <c r="E305" s="21"/>
      <c r="F305" s="22"/>
      <c r="G305" s="21"/>
      <c r="H305" s="21"/>
      <c r="I305" s="22"/>
      <c r="J305" s="21"/>
      <c r="K305" s="21"/>
    </row>
    <row r="306" spans="1:11" ht="14.45">
      <c r="A306" s="21"/>
      <c r="B306" s="75"/>
      <c r="C306" s="21"/>
      <c r="D306" s="21"/>
      <c r="E306" s="21"/>
      <c r="F306" s="22"/>
      <c r="G306" s="21"/>
      <c r="H306" s="21"/>
      <c r="I306" s="22"/>
      <c r="J306" s="21"/>
      <c r="K306" s="21"/>
    </row>
    <row r="307" spans="1:11" ht="14.45">
      <c r="A307" s="21"/>
      <c r="B307" s="75"/>
      <c r="C307" s="21"/>
      <c r="D307" s="21"/>
      <c r="E307" s="21"/>
      <c r="F307" s="22"/>
      <c r="G307" s="21"/>
      <c r="H307" s="21"/>
      <c r="I307" s="22"/>
      <c r="J307" s="21"/>
      <c r="K307" s="21"/>
    </row>
    <row r="308" spans="1:11" ht="14.45">
      <c r="A308" s="21"/>
      <c r="B308" s="75"/>
      <c r="C308" s="21"/>
      <c r="D308" s="21"/>
      <c r="E308" s="21"/>
      <c r="F308" s="22"/>
      <c r="G308" s="21"/>
      <c r="H308" s="21"/>
      <c r="I308" s="22"/>
      <c r="J308" s="21"/>
      <c r="K308" s="21"/>
    </row>
    <row r="309" spans="1:11" ht="14.45">
      <c r="A309" s="21"/>
      <c r="B309" s="75"/>
      <c r="C309" s="21"/>
      <c r="D309" s="21"/>
      <c r="E309" s="21"/>
      <c r="F309" s="22"/>
      <c r="G309" s="21"/>
      <c r="H309" s="21"/>
      <c r="I309" s="22"/>
      <c r="J309" s="21"/>
      <c r="K309" s="21"/>
    </row>
    <row r="310" spans="1:11" ht="14.45">
      <c r="A310" s="21"/>
      <c r="B310" s="75"/>
      <c r="C310" s="21"/>
      <c r="D310" s="21"/>
      <c r="E310" s="21"/>
      <c r="F310" s="22"/>
      <c r="G310" s="21"/>
      <c r="H310" s="21"/>
      <c r="I310" s="22"/>
      <c r="J310" s="21"/>
      <c r="K310" s="21"/>
    </row>
    <row r="311" spans="1:11" ht="14.45">
      <c r="A311" s="21"/>
      <c r="B311" s="75"/>
      <c r="C311" s="21"/>
      <c r="D311" s="21"/>
      <c r="E311" s="21"/>
      <c r="F311" s="22"/>
      <c r="G311" s="21"/>
      <c r="H311" s="21"/>
      <c r="I311" s="22"/>
      <c r="J311" s="21"/>
      <c r="K311" s="21"/>
    </row>
    <row r="312" spans="1:11" ht="14.45">
      <c r="A312" s="21"/>
      <c r="B312" s="75"/>
      <c r="C312" s="21"/>
      <c r="D312" s="21"/>
      <c r="E312" s="21"/>
      <c r="F312" s="22"/>
      <c r="G312" s="21"/>
      <c r="H312" s="21"/>
      <c r="I312" s="22"/>
      <c r="J312" s="21"/>
      <c r="K312" s="21"/>
    </row>
    <row r="313" spans="1:11" ht="14.45">
      <c r="A313" s="21"/>
      <c r="B313" s="75"/>
      <c r="C313" s="21"/>
      <c r="D313" s="21"/>
      <c r="E313" s="21"/>
      <c r="F313" s="22"/>
      <c r="G313" s="21"/>
      <c r="H313" s="21"/>
      <c r="I313" s="22"/>
      <c r="J313" s="21"/>
      <c r="K313" s="21"/>
    </row>
    <row r="314" spans="1:11" ht="14.45">
      <c r="A314" s="21"/>
      <c r="B314" s="75"/>
      <c r="C314" s="21"/>
      <c r="D314" s="21"/>
      <c r="E314" s="21"/>
      <c r="F314" s="22"/>
      <c r="G314" s="21"/>
      <c r="H314" s="21"/>
      <c r="I314" s="22"/>
      <c r="J314" s="21"/>
      <c r="K314" s="21"/>
    </row>
    <row r="315" spans="1:11" ht="14.45">
      <c r="A315" s="21"/>
      <c r="B315" s="75"/>
      <c r="C315" s="21"/>
      <c r="D315" s="21"/>
      <c r="E315" s="21"/>
      <c r="F315" s="22"/>
      <c r="G315" s="21"/>
      <c r="H315" s="21"/>
      <c r="I315" s="22"/>
      <c r="J315" s="21"/>
      <c r="K315" s="21"/>
    </row>
    <row r="316" spans="1:11" ht="14.45">
      <c r="A316" s="21"/>
      <c r="B316" s="75"/>
      <c r="C316" s="21"/>
      <c r="D316" s="21"/>
      <c r="E316" s="21"/>
      <c r="F316" s="22"/>
      <c r="G316" s="21"/>
      <c r="H316" s="21"/>
      <c r="I316" s="22"/>
      <c r="J316" s="21"/>
      <c r="K316" s="21"/>
    </row>
    <row r="317" spans="1:11" ht="14.45">
      <c r="A317" s="21"/>
      <c r="B317" s="75"/>
      <c r="C317" s="21"/>
      <c r="D317" s="21"/>
      <c r="E317" s="21"/>
      <c r="F317" s="22"/>
      <c r="G317" s="21"/>
      <c r="H317" s="21"/>
      <c r="I317" s="22"/>
      <c r="J317" s="21"/>
      <c r="K317" s="21"/>
    </row>
    <row r="318" spans="1:11" ht="14.45">
      <c r="A318" s="21"/>
      <c r="B318" s="75"/>
      <c r="C318" s="21"/>
      <c r="D318" s="21"/>
      <c r="E318" s="21"/>
      <c r="F318" s="22"/>
      <c r="G318" s="21"/>
      <c r="H318" s="21"/>
      <c r="I318" s="22"/>
      <c r="J318" s="21"/>
      <c r="K318" s="21"/>
    </row>
    <row r="319" spans="1:11" ht="14.45">
      <c r="A319" s="21"/>
      <c r="B319" s="75"/>
      <c r="C319" s="21"/>
      <c r="D319" s="21"/>
      <c r="E319" s="21"/>
      <c r="F319" s="22"/>
      <c r="G319" s="21"/>
      <c r="H319" s="21"/>
      <c r="I319" s="22"/>
      <c r="J319" s="21"/>
      <c r="K319" s="21"/>
    </row>
    <row r="320" spans="1:11" ht="14.45">
      <c r="A320" s="21"/>
      <c r="B320" s="75"/>
      <c r="C320" s="21"/>
      <c r="D320" s="21"/>
      <c r="E320" s="21"/>
      <c r="F320" s="22"/>
      <c r="G320" s="21"/>
      <c r="H320" s="21"/>
      <c r="I320" s="22"/>
      <c r="J320" s="21"/>
      <c r="K320" s="21"/>
    </row>
    <row r="321" spans="1:11" ht="14.45">
      <c r="A321" s="21"/>
      <c r="B321" s="75"/>
      <c r="C321" s="21"/>
      <c r="D321" s="21"/>
      <c r="E321" s="21"/>
      <c r="F321" s="22"/>
      <c r="G321" s="21"/>
      <c r="H321" s="21"/>
      <c r="I321" s="22"/>
      <c r="J321" s="21"/>
      <c r="K321" s="21"/>
    </row>
    <row r="322" spans="1:11" ht="14.45">
      <c r="A322" s="21"/>
      <c r="B322" s="75"/>
      <c r="C322" s="21"/>
      <c r="D322" s="21"/>
      <c r="E322" s="21"/>
      <c r="F322" s="22"/>
      <c r="G322" s="21"/>
      <c r="H322" s="21"/>
      <c r="I322" s="22"/>
      <c r="J322" s="21"/>
      <c r="K322" s="21"/>
    </row>
    <row r="323" spans="1:11" ht="14.45">
      <c r="A323" s="21"/>
      <c r="B323" s="75"/>
      <c r="C323" s="21"/>
      <c r="D323" s="21"/>
      <c r="E323" s="21"/>
      <c r="F323" s="22"/>
      <c r="G323" s="21"/>
      <c r="H323" s="21"/>
      <c r="I323" s="22"/>
      <c r="J323" s="21"/>
      <c r="K323" s="21"/>
    </row>
    <row r="324" spans="1:11" ht="14.45">
      <c r="A324" s="21"/>
      <c r="B324" s="75"/>
      <c r="C324" s="21"/>
      <c r="D324" s="21"/>
      <c r="E324" s="21"/>
      <c r="F324" s="22"/>
      <c r="G324" s="21"/>
      <c r="H324" s="21"/>
      <c r="I324" s="22"/>
      <c r="J324" s="21"/>
      <c r="K324" s="21"/>
    </row>
    <row r="325" spans="1:11" ht="14.45">
      <c r="A325" s="21"/>
      <c r="B325" s="75"/>
      <c r="C325" s="21"/>
      <c r="D325" s="21"/>
      <c r="E325" s="21"/>
      <c r="F325" s="22"/>
      <c r="G325" s="21"/>
      <c r="H325" s="21"/>
      <c r="I325" s="22"/>
      <c r="J325" s="21"/>
      <c r="K325" s="21"/>
    </row>
    <row r="326" spans="1:11" ht="14.45">
      <c r="A326" s="21"/>
      <c r="B326" s="75"/>
      <c r="C326" s="21"/>
      <c r="D326" s="21"/>
      <c r="E326" s="21"/>
      <c r="F326" s="22"/>
      <c r="G326" s="21"/>
      <c r="H326" s="21"/>
      <c r="I326" s="22"/>
      <c r="J326" s="21"/>
      <c r="K326" s="21"/>
    </row>
    <row r="327" spans="1:11" ht="14.45">
      <c r="A327" s="21"/>
      <c r="B327" s="75"/>
      <c r="C327" s="21"/>
      <c r="D327" s="21"/>
      <c r="E327" s="21"/>
      <c r="F327" s="22"/>
      <c r="G327" s="21"/>
      <c r="H327" s="21"/>
      <c r="I327" s="22"/>
      <c r="J327" s="21"/>
      <c r="K327" s="21"/>
    </row>
    <row r="328" spans="1:11" ht="14.45">
      <c r="A328" s="21"/>
      <c r="B328" s="75"/>
      <c r="C328" s="21"/>
      <c r="D328" s="21"/>
      <c r="E328" s="21"/>
      <c r="F328" s="22"/>
      <c r="G328" s="21"/>
      <c r="H328" s="21"/>
      <c r="I328" s="22"/>
      <c r="J328" s="21"/>
      <c r="K328" s="21"/>
    </row>
    <row r="329" spans="1:11" ht="14.45">
      <c r="A329" s="21"/>
      <c r="B329" s="75"/>
      <c r="C329" s="21"/>
      <c r="D329" s="21"/>
      <c r="E329" s="21"/>
      <c r="F329" s="22"/>
      <c r="G329" s="21"/>
      <c r="H329" s="21"/>
      <c r="I329" s="22"/>
      <c r="J329" s="21"/>
      <c r="K329" s="21"/>
    </row>
    <row r="330" spans="1:11" ht="14.45">
      <c r="A330" s="21"/>
      <c r="B330" s="75"/>
      <c r="C330" s="21"/>
      <c r="D330" s="21"/>
      <c r="E330" s="21"/>
      <c r="F330" s="22"/>
      <c r="G330" s="21"/>
      <c r="H330" s="21"/>
      <c r="I330" s="22"/>
      <c r="J330" s="21"/>
      <c r="K330" s="21"/>
    </row>
    <row r="331" spans="1:11" ht="14.45">
      <c r="A331" s="21"/>
      <c r="B331" s="75"/>
      <c r="C331" s="21"/>
      <c r="D331" s="21"/>
      <c r="E331" s="21"/>
      <c r="F331" s="22"/>
      <c r="G331" s="21"/>
      <c r="H331" s="21"/>
      <c r="I331" s="22"/>
      <c r="J331" s="21"/>
      <c r="K331" s="21"/>
    </row>
    <row r="332" spans="1:11" ht="14.45">
      <c r="A332" s="21"/>
      <c r="B332" s="75"/>
      <c r="C332" s="21"/>
      <c r="D332" s="21"/>
      <c r="E332" s="21"/>
      <c r="F332" s="22"/>
      <c r="G332" s="21"/>
      <c r="H332" s="21"/>
      <c r="I332" s="22"/>
      <c r="J332" s="21"/>
      <c r="K332" s="21"/>
    </row>
    <row r="333" spans="1:11" ht="14.45">
      <c r="A333" s="21"/>
      <c r="B333" s="75"/>
      <c r="C333" s="21"/>
      <c r="D333" s="21"/>
      <c r="E333" s="21"/>
      <c r="F333" s="22"/>
      <c r="G333" s="21"/>
      <c r="H333" s="21"/>
      <c r="I333" s="22"/>
      <c r="J333" s="21"/>
      <c r="K333" s="21"/>
    </row>
    <row r="334" spans="1:11" ht="14.45">
      <c r="A334" s="21"/>
      <c r="B334" s="75"/>
      <c r="C334" s="21"/>
      <c r="D334" s="21"/>
      <c r="E334" s="21"/>
      <c r="F334" s="22"/>
      <c r="G334" s="21"/>
      <c r="H334" s="21"/>
      <c r="I334" s="22"/>
      <c r="J334" s="21"/>
      <c r="K334" s="21"/>
    </row>
    <row r="335" spans="1:11" ht="14.45">
      <c r="A335" s="21"/>
      <c r="B335" s="75"/>
      <c r="C335" s="21"/>
      <c r="D335" s="21"/>
      <c r="E335" s="21"/>
      <c r="F335" s="22"/>
      <c r="G335" s="21"/>
      <c r="H335" s="21"/>
      <c r="I335" s="22"/>
      <c r="J335" s="21"/>
      <c r="K335" s="21"/>
    </row>
    <row r="336" spans="1:11" ht="14.45">
      <c r="A336" s="21"/>
      <c r="B336" s="75"/>
      <c r="C336" s="21"/>
      <c r="D336" s="21"/>
      <c r="E336" s="21"/>
      <c r="F336" s="22"/>
      <c r="G336" s="21"/>
      <c r="H336" s="21"/>
      <c r="I336" s="22"/>
      <c r="J336" s="21"/>
      <c r="K336" s="21"/>
    </row>
    <row r="337" spans="1:11" ht="14.45">
      <c r="A337" s="21"/>
      <c r="B337" s="75"/>
      <c r="C337" s="21"/>
      <c r="D337" s="21"/>
      <c r="E337" s="21"/>
      <c r="F337" s="22"/>
      <c r="G337" s="21"/>
      <c r="H337" s="21"/>
      <c r="I337" s="22"/>
      <c r="J337" s="21"/>
      <c r="K337" s="21"/>
    </row>
    <row r="338" spans="1:11" ht="14.45">
      <c r="A338" s="21"/>
      <c r="B338" s="75"/>
      <c r="C338" s="21"/>
      <c r="D338" s="21"/>
      <c r="E338" s="21"/>
      <c r="F338" s="22"/>
      <c r="G338" s="21"/>
      <c r="H338" s="21"/>
      <c r="I338" s="22"/>
      <c r="J338" s="21"/>
      <c r="K338" s="21"/>
    </row>
    <row r="339" spans="1:11" ht="14.45">
      <c r="A339" s="21"/>
      <c r="B339" s="75"/>
      <c r="C339" s="21"/>
      <c r="D339" s="21"/>
      <c r="E339" s="21"/>
      <c r="F339" s="22"/>
      <c r="G339" s="21"/>
      <c r="H339" s="21"/>
      <c r="I339" s="22"/>
      <c r="J339" s="21"/>
      <c r="K339" s="21"/>
    </row>
    <row r="340" spans="1:11" ht="14.45">
      <c r="A340" s="21"/>
      <c r="B340" s="75"/>
      <c r="C340" s="21"/>
      <c r="D340" s="21"/>
      <c r="E340" s="21"/>
      <c r="F340" s="22"/>
      <c r="G340" s="21"/>
      <c r="H340" s="21"/>
      <c r="I340" s="22"/>
      <c r="J340" s="21"/>
      <c r="K340" s="21"/>
    </row>
    <row r="341" spans="1:11" ht="14.45">
      <c r="A341" s="21"/>
      <c r="B341" s="75"/>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J63"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339</v>
      </c>
      <c r="E1" s="122"/>
      <c r="F1" s="122"/>
      <c r="G1" s="120" t="s">
        <v>340</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4"/>
      <c r="K7" s="54"/>
    </row>
    <row r="8" spans="1:11" ht="15.6">
      <c r="A8" s="28" t="str">
        <v>Kohls - Buffalo</v>
      </c>
      <c r="B8" s="29" t="str">
        <v>NY</v>
      </c>
      <c r="C8" s="24"/>
      <c r="D8" s="13"/>
      <c r="E8" s="13" t="str">
        <f t="shared" si="0"/>
        <v/>
      </c>
      <c r="F8" s="14" t="str">
        <f t="shared" si="3"/>
        <v/>
      </c>
      <c r="G8" s="15"/>
      <c r="H8" s="15" t="str">
        <f t="shared" si="1"/>
        <v/>
      </c>
      <c r="I8" s="16" t="str">
        <f t="shared" si="2"/>
        <v/>
      </c>
      <c r="J8" s="41"/>
      <c r="K8" s="41"/>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4"/>
      <c r="K15" s="54"/>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42"/>
      <c r="K21" s="43"/>
    </row>
    <row r="22" spans="1:11" ht="15.6">
      <c r="A22" s="28" t="str">
        <v>Kohls - North Amherst</v>
      </c>
      <c r="B22" s="29" t="str">
        <v>NY</v>
      </c>
      <c r="C22" s="24"/>
      <c r="D22" s="13"/>
      <c r="E22" s="13" t="str">
        <f t="shared" si="0"/>
        <v/>
      </c>
      <c r="F22" s="14"/>
      <c r="G22" s="15"/>
      <c r="H22" s="15" t="str">
        <f t="shared" si="1"/>
        <v/>
      </c>
      <c r="I22" s="16" t="str">
        <f t="shared" si="2"/>
        <v/>
      </c>
      <c r="J22" s="41"/>
      <c r="K22" s="41"/>
    </row>
    <row r="23" spans="1:11" ht="15.6">
      <c r="A23" s="30" t="str">
        <v>Kohls - Staten Island</v>
      </c>
      <c r="B23" s="31" t="str">
        <v>NY</v>
      </c>
      <c r="C23" s="11"/>
      <c r="D23" s="18"/>
      <c r="E23" s="18" t="str">
        <f t="shared" si="0"/>
        <v/>
      </c>
      <c r="F23" s="19"/>
      <c r="G23" s="20"/>
      <c r="H23" s="20" t="str">
        <f t="shared" si="1"/>
        <v/>
      </c>
      <c r="I23" s="19" t="str">
        <f t="shared" si="2"/>
        <v/>
      </c>
      <c r="J23" s="42"/>
      <c r="K23" s="42"/>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54"/>
      <c r="K31" s="54"/>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54"/>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78"/>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41"/>
    </row>
    <row r="41" spans="1:11" ht="15.6">
      <c r="A41" s="30" t="str">
        <v>CDCR-North Kern State Prision</v>
      </c>
      <c r="B41" s="31" t="str">
        <v>CA</v>
      </c>
      <c r="C41" s="11"/>
      <c r="D41" s="18"/>
      <c r="E41" s="18" t="str">
        <f t="shared" si="0"/>
        <v/>
      </c>
      <c r="F41" s="19"/>
      <c r="G41" s="20"/>
      <c r="H41" s="20" t="str">
        <f t="shared" si="1"/>
        <v/>
      </c>
      <c r="I41" s="19" t="str">
        <f t="shared" si="2"/>
        <v/>
      </c>
      <c r="J41" s="42"/>
      <c r="K41" s="80"/>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4"/>
      <c r="K43" s="54"/>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42"/>
      <c r="K45" s="42"/>
    </row>
    <row r="46" spans="1:11" ht="15.6">
      <c r="A46" s="28" t="str">
        <v>Pioneer USD - Pioneer MS</v>
      </c>
      <c r="B46" s="29" t="str">
        <v>CA</v>
      </c>
      <c r="C46" s="24"/>
      <c r="D46" s="13"/>
      <c r="E46" s="13" t="str">
        <f t="shared" si="0"/>
        <v/>
      </c>
      <c r="F46" s="14"/>
      <c r="G46" s="15"/>
      <c r="H46" s="15" t="str">
        <f t="shared" si="1"/>
        <v/>
      </c>
      <c r="I46" s="16" t="str">
        <f t="shared" si="2"/>
        <v/>
      </c>
      <c r="J46" s="41"/>
      <c r="K46" s="41"/>
    </row>
    <row r="47" spans="1:11" ht="15.6">
      <c r="A47" s="30" t="str">
        <v>Kingsburg Joint UHSD - Kingsburg HS</v>
      </c>
      <c r="B47" s="31" t="str">
        <v>CA</v>
      </c>
      <c r="C47" s="11"/>
      <c r="D47" s="18"/>
      <c r="E47" s="18" t="str">
        <f t="shared" si="0"/>
        <v/>
      </c>
      <c r="F47" s="19"/>
      <c r="G47" s="20"/>
      <c r="H47" s="20" t="str">
        <f t="shared" si="1"/>
        <v/>
      </c>
      <c r="I47" s="19" t="str">
        <f t="shared" si="2"/>
        <v/>
      </c>
      <c r="J47" s="42"/>
      <c r="K47" s="54"/>
    </row>
    <row r="48" spans="1:11" ht="15.6">
      <c r="A48" s="28" t="str">
        <v>CADRB</v>
      </c>
      <c r="B48" s="29" t="str">
        <v>CA</v>
      </c>
      <c r="C48" s="24"/>
      <c r="D48" s="13"/>
      <c r="E48" s="13" t="str">
        <f t="shared" si="0"/>
        <v/>
      </c>
      <c r="F48" s="14"/>
      <c r="G48" s="15"/>
      <c r="H48" s="15" t="str">
        <f t="shared" si="1"/>
        <v/>
      </c>
      <c r="I48" s="16" t="str">
        <f t="shared" si="2"/>
        <v/>
      </c>
      <c r="J48" s="41"/>
      <c r="K48" s="4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43"/>
    </row>
    <row r="52" spans="1:11" ht="15.6">
      <c r="A52" s="28" t="str">
        <v>Parlier - WTP</v>
      </c>
      <c r="B52" s="29" t="str">
        <v>CA</v>
      </c>
      <c r="C52" s="24"/>
      <c r="D52" s="13"/>
      <c r="E52" s="13" t="str">
        <f t="shared" si="0"/>
        <v/>
      </c>
      <c r="F52" s="14"/>
      <c r="G52" s="15"/>
      <c r="H52" s="15" t="str">
        <f t="shared" si="1"/>
        <v/>
      </c>
      <c r="I52" s="16" t="str">
        <f t="shared" si="2"/>
        <v/>
      </c>
      <c r="J52" s="41"/>
      <c r="K52" s="41"/>
    </row>
    <row r="53" spans="1:11" ht="15.6">
      <c r="A53" s="30" t="str">
        <v>Snowline SD - Quail Valley MS</v>
      </c>
      <c r="B53" s="31" t="str">
        <v>CA</v>
      </c>
      <c r="C53" s="11"/>
      <c r="D53" s="18"/>
      <c r="E53" s="18" t="str">
        <f t="shared" si="0"/>
        <v/>
      </c>
      <c r="F53" s="19"/>
      <c r="G53" s="20"/>
      <c r="H53" s="20" t="str">
        <f t="shared" si="1"/>
        <v/>
      </c>
      <c r="I53" s="19" t="str">
        <f t="shared" si="2"/>
        <v/>
      </c>
      <c r="J53" s="42"/>
      <c r="K53" s="43"/>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42"/>
      <c r="K55" s="43"/>
    </row>
    <row r="56" spans="1:11" ht="15.6">
      <c r="A56" s="28" t="str">
        <v>Ramona - Santa Maria WTP</v>
      </c>
      <c r="B56" s="29" t="str">
        <v>CA</v>
      </c>
      <c r="C56" s="24"/>
      <c r="D56" s="13"/>
      <c r="E56" s="13" t="str">
        <f t="shared" si="0"/>
        <v/>
      </c>
      <c r="F56" s="14"/>
      <c r="G56" s="15"/>
      <c r="H56" s="15" t="str">
        <f t="shared" si="1"/>
        <v/>
      </c>
      <c r="I56" s="16" t="str">
        <f t="shared" si="2"/>
        <v/>
      </c>
      <c r="J56" s="41"/>
      <c r="K56" s="41"/>
    </row>
    <row r="57" spans="1:11" ht="15.6">
      <c r="A57" s="30" t="str">
        <v>Kohls - Redding</v>
      </c>
      <c r="B57" s="31" t="str">
        <v>CA</v>
      </c>
      <c r="C57" s="11"/>
      <c r="D57" s="18"/>
      <c r="E57" s="18" t="str">
        <f t="shared" si="0"/>
        <v/>
      </c>
      <c r="F57" s="19"/>
      <c r="G57" s="20"/>
      <c r="H57" s="20" t="str">
        <f t="shared" si="1"/>
        <v/>
      </c>
      <c r="I57" s="19" t="str">
        <f t="shared" si="2"/>
        <v/>
      </c>
      <c r="J57" s="42"/>
      <c r="K57" s="54"/>
    </row>
    <row r="58" spans="1:11" ht="15.6">
      <c r="A58" s="28" t="str">
        <v>Kohls - Salinas</v>
      </c>
      <c r="B58" s="29" t="str">
        <v>CA</v>
      </c>
      <c r="C58" s="24"/>
      <c r="D58" s="13"/>
      <c r="E58" s="13" t="str">
        <f t="shared" si="0"/>
        <v/>
      </c>
      <c r="F58" s="14"/>
      <c r="G58" s="15"/>
      <c r="H58" s="15" t="str">
        <f t="shared" si="1"/>
        <v/>
      </c>
      <c r="I58" s="16" t="str">
        <f t="shared" si="2"/>
        <v/>
      </c>
      <c r="J58" s="41"/>
      <c r="K58" s="4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41"/>
      <c r="K60" s="41"/>
    </row>
    <row r="61" spans="1:11" ht="15.6">
      <c r="A61" s="30" t="str">
        <v>CUSD - Stratford ES</v>
      </c>
      <c r="B61" s="31" t="str">
        <v>CA</v>
      </c>
      <c r="C61" s="11"/>
      <c r="D61" s="18"/>
      <c r="E61" s="18" t="str">
        <f t="shared" si="0"/>
        <v/>
      </c>
      <c r="F61" s="19"/>
      <c r="G61" s="20"/>
      <c r="H61" s="20" t="str">
        <f t="shared" si="1"/>
        <v/>
      </c>
      <c r="I61" s="19" t="str">
        <f t="shared" si="2"/>
        <v/>
      </c>
      <c r="J61" s="42"/>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79"/>
      <c r="K65" s="54"/>
    </row>
    <row r="66" spans="1:11" ht="15.6">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1"/>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J4" activePane="bottomRight" state="frozen"/>
      <selection pane="bottomRight" activeCell="J66" sqref="J66"/>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1" t="str" cm="1">
        <f t="array" ref="A1">portfolio</f>
        <v>Silicon Ranch</v>
      </c>
      <c r="B1" s="121"/>
      <c r="C1" s="121"/>
      <c r="D1" s="122" t="s">
        <v>341</v>
      </c>
      <c r="E1" s="122"/>
      <c r="F1" s="122"/>
      <c r="G1" s="120" t="s">
        <v>342</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1"/>
      <c r="K4" s="81"/>
    </row>
    <row r="5" spans="1:11" ht="15.6">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24"/>
      <c r="K5" s="124"/>
    </row>
    <row r="6" spans="1:11" ht="15.6">
      <c r="A6" s="28" t="str">
        <v>Kohls - Bensalem</v>
      </c>
      <c r="B6" s="29" t="str">
        <v>PA</v>
      </c>
      <c r="C6" s="24"/>
      <c r="D6" s="13"/>
      <c r="E6" s="13" t="str">
        <f t="shared" si="0"/>
        <v/>
      </c>
      <c r="F6" s="14" t="str">
        <f t="shared" ref="F6:F17" si="3">IFERROR(E6/D6, "")</f>
        <v/>
      </c>
      <c r="G6" s="15"/>
      <c r="H6" s="15" t="str">
        <f t="shared" si="1"/>
        <v/>
      </c>
      <c r="I6" s="16" t="str">
        <f t="shared" si="2"/>
        <v/>
      </c>
      <c r="J6" s="81"/>
      <c r="K6" s="81"/>
    </row>
    <row r="7" spans="1:11" ht="15.6">
      <c r="A7" s="30" t="str">
        <v>Kohls - Brick</v>
      </c>
      <c r="B7" s="31" t="str">
        <v>NJ</v>
      </c>
      <c r="C7" s="11"/>
      <c r="D7" s="18"/>
      <c r="E7" s="18" t="str">
        <f t="shared" si="0"/>
        <v/>
      </c>
      <c r="F7" s="19" t="str">
        <f t="shared" si="3"/>
        <v/>
      </c>
      <c r="G7" s="20"/>
      <c r="H7" s="20" t="str">
        <f t="shared" si="1"/>
        <v/>
      </c>
      <c r="I7" s="19" t="str">
        <f t="shared" si="2"/>
        <v/>
      </c>
      <c r="J7" s="124"/>
      <c r="K7" s="82"/>
    </row>
    <row r="8" spans="1:11" ht="15.6">
      <c r="A8" s="28" t="str">
        <v>Kohls - Buffalo</v>
      </c>
      <c r="B8" s="29" t="str">
        <v>NY</v>
      </c>
      <c r="C8" s="24"/>
      <c r="D8" s="13"/>
      <c r="E8" s="13" t="str">
        <f t="shared" si="0"/>
        <v/>
      </c>
      <c r="F8" s="14" t="str">
        <f t="shared" si="3"/>
        <v/>
      </c>
      <c r="G8" s="15"/>
      <c r="H8" s="15" t="str">
        <f t="shared" si="1"/>
        <v/>
      </c>
      <c r="I8" s="16" t="str">
        <f t="shared" si="2"/>
        <v/>
      </c>
      <c r="J8" s="81"/>
      <c r="K8" s="81"/>
    </row>
    <row r="9" spans="1:11" ht="15.6">
      <c r="A9" s="30" t="str">
        <v>Kohls - Canton</v>
      </c>
      <c r="B9" s="31" t="str">
        <v>CT</v>
      </c>
      <c r="C9" s="11"/>
      <c r="D9" s="18"/>
      <c r="E9" s="18" t="str">
        <f t="shared" si="0"/>
        <v/>
      </c>
      <c r="F9" s="19" t="str">
        <f t="shared" si="3"/>
        <v/>
      </c>
      <c r="G9" s="20"/>
      <c r="H9" s="20" t="str">
        <f t="shared" si="1"/>
        <v/>
      </c>
      <c r="I9" s="19" t="str">
        <f t="shared" si="2"/>
        <v/>
      </c>
      <c r="J9" s="124"/>
      <c r="K9" s="82"/>
    </row>
    <row r="10" spans="1:11" ht="15.6">
      <c r="A10" s="28" t="str">
        <v>Kohls - East Amherst</v>
      </c>
      <c r="B10" s="29" t="str">
        <v>NY</v>
      </c>
      <c r="C10" s="24"/>
      <c r="D10" s="13"/>
      <c r="E10" s="13" t="str">
        <f t="shared" si="0"/>
        <v/>
      </c>
      <c r="F10" s="14" t="str">
        <f t="shared" si="3"/>
        <v/>
      </c>
      <c r="G10" s="15"/>
      <c r="H10" s="15" t="str">
        <f t="shared" si="1"/>
        <v/>
      </c>
      <c r="I10" s="16" t="str">
        <f t="shared" si="2"/>
        <v/>
      </c>
      <c r="J10" s="81"/>
      <c r="K10" s="81"/>
    </row>
    <row r="11" spans="1:11" ht="15.6">
      <c r="A11" s="30" t="str">
        <v>Kohls - East Brunswick</v>
      </c>
      <c r="B11" s="31" t="str">
        <v>NJ</v>
      </c>
      <c r="C11" s="11"/>
      <c r="D11" s="18"/>
      <c r="E11" s="18" t="str">
        <f t="shared" si="0"/>
        <v/>
      </c>
      <c r="F11" s="19" t="str">
        <f t="shared" si="3"/>
        <v/>
      </c>
      <c r="G11" s="20"/>
      <c r="H11" s="20" t="str">
        <f t="shared" si="1"/>
        <v/>
      </c>
      <c r="I11" s="19" t="str">
        <f t="shared" si="2"/>
        <v/>
      </c>
      <c r="J11" s="124"/>
      <c r="K11" s="82"/>
    </row>
    <row r="12" spans="1:11" ht="15.6">
      <c r="A12" s="28" t="str">
        <v>Kohls - Edgewood</v>
      </c>
      <c r="B12" s="29" t="str">
        <v>MD</v>
      </c>
      <c r="C12" s="24"/>
      <c r="D12" s="13"/>
      <c r="E12" s="13" t="str">
        <f t="shared" si="0"/>
        <v/>
      </c>
      <c r="F12" s="14" t="str">
        <f t="shared" si="3"/>
        <v/>
      </c>
      <c r="G12" s="15"/>
      <c r="H12" s="15" t="str">
        <f t="shared" si="1"/>
        <v/>
      </c>
      <c r="I12" s="16" t="str">
        <f t="shared" si="2"/>
        <v/>
      </c>
      <c r="J12" s="81"/>
      <c r="K12" s="81"/>
    </row>
    <row r="13" spans="1:11" ht="15.6">
      <c r="A13" s="30" t="str">
        <v>Kohls - Granite Run</v>
      </c>
      <c r="B13" s="31" t="str">
        <v>PA</v>
      </c>
      <c r="C13" s="11"/>
      <c r="D13" s="18"/>
      <c r="E13" s="18" t="str">
        <f t="shared" si="0"/>
        <v/>
      </c>
      <c r="F13" s="19" t="str">
        <f t="shared" si="3"/>
        <v/>
      </c>
      <c r="G13" s="20"/>
      <c r="H13" s="20" t="str">
        <f t="shared" si="1"/>
        <v/>
      </c>
      <c r="I13" s="19" t="str">
        <f t="shared" si="2"/>
        <v/>
      </c>
      <c r="J13" s="124"/>
      <c r="K13" s="82"/>
    </row>
    <row r="14" spans="1:11" ht="39" customHeight="1">
      <c r="A14" s="28" t="str">
        <v>Kohls - Greece</v>
      </c>
      <c r="B14" s="29" t="str">
        <v>NY</v>
      </c>
      <c r="C14" s="24"/>
      <c r="D14" s="13"/>
      <c r="E14" s="13" t="str">
        <f t="shared" si="0"/>
        <v/>
      </c>
      <c r="F14" s="14" t="str">
        <f t="shared" si="3"/>
        <v/>
      </c>
      <c r="G14" s="15"/>
      <c r="H14" s="15" t="str">
        <f t="shared" si="1"/>
        <v/>
      </c>
      <c r="I14" s="16" t="str">
        <f t="shared" si="2"/>
        <v/>
      </c>
      <c r="J14" s="81"/>
      <c r="K14" s="81"/>
    </row>
    <row r="15" spans="1:11" ht="31.5" customHeight="1">
      <c r="A15" s="30" t="str">
        <v>Kohls - Hanover</v>
      </c>
      <c r="B15" s="31" t="str">
        <v>PA</v>
      </c>
      <c r="C15" s="11"/>
      <c r="D15" s="18"/>
      <c r="E15" s="18" t="str">
        <f t="shared" si="0"/>
        <v/>
      </c>
      <c r="F15" s="19" t="str">
        <f t="shared" si="3"/>
        <v/>
      </c>
      <c r="G15" s="20"/>
      <c r="H15" s="20" t="str">
        <f t="shared" si="1"/>
        <v/>
      </c>
      <c r="I15" s="19" t="str">
        <f t="shared" si="2"/>
        <v/>
      </c>
      <c r="J15" s="124"/>
      <c r="K15" s="124"/>
    </row>
    <row r="16" spans="1:11" ht="15.6">
      <c r="A16" s="28" t="str">
        <v>Kohls - Horsehead</v>
      </c>
      <c r="B16" s="29" t="str">
        <v>NY</v>
      </c>
      <c r="C16" s="24"/>
      <c r="D16" s="13"/>
      <c r="E16" s="13" t="str">
        <f t="shared" si="0"/>
        <v/>
      </c>
      <c r="F16" s="14" t="str">
        <f t="shared" si="3"/>
        <v/>
      </c>
      <c r="G16" s="15"/>
      <c r="H16" s="15" t="str">
        <f t="shared" si="1"/>
        <v/>
      </c>
      <c r="I16" s="16" t="str">
        <f t="shared" si="2"/>
        <v/>
      </c>
      <c r="J16" s="81"/>
      <c r="K16" s="81"/>
    </row>
    <row r="17" spans="1:11" ht="15.6">
      <c r="A17" s="30" t="str">
        <v>Kohls - Hudson</v>
      </c>
      <c r="B17" s="31" t="str">
        <v>NY</v>
      </c>
      <c r="C17" s="11"/>
      <c r="D17" s="18"/>
      <c r="E17" s="18" t="str">
        <f t="shared" si="0"/>
        <v/>
      </c>
      <c r="F17" s="19" t="str">
        <f t="shared" si="3"/>
        <v/>
      </c>
      <c r="G17" s="20"/>
      <c r="H17" s="20" t="str">
        <f t="shared" si="1"/>
        <v/>
      </c>
      <c r="I17" s="19" t="str">
        <f t="shared" si="2"/>
        <v/>
      </c>
      <c r="J17" s="124"/>
      <c r="K17" s="82"/>
    </row>
    <row r="18" spans="1:11" ht="12.75" customHeight="1">
      <c r="A18" s="32" t="str">
        <v>Kohls - Ithaca</v>
      </c>
      <c r="B18" s="29" t="str">
        <v>NY</v>
      </c>
      <c r="C18" s="24"/>
      <c r="D18" s="13"/>
      <c r="E18" s="13" t="str">
        <f t="shared" si="0"/>
        <v/>
      </c>
      <c r="F18" s="14"/>
      <c r="G18" s="15"/>
      <c r="H18" s="15" t="str">
        <f t="shared" si="1"/>
        <v/>
      </c>
      <c r="I18" s="16" t="str">
        <f t="shared" si="2"/>
        <v/>
      </c>
      <c r="J18" s="81"/>
      <c r="K18" s="81"/>
    </row>
    <row r="19" spans="1:11" ht="15.6">
      <c r="A19" s="30" t="str">
        <v>Kohls - Kingston</v>
      </c>
      <c r="B19" s="31" t="str">
        <v>NY</v>
      </c>
      <c r="C19" s="11"/>
      <c r="D19" s="18"/>
      <c r="E19" s="18" t="str">
        <f t="shared" si="0"/>
        <v/>
      </c>
      <c r="F19" s="19"/>
      <c r="G19" s="20"/>
      <c r="H19" s="20" t="str">
        <f t="shared" si="1"/>
        <v/>
      </c>
      <c r="I19" s="19" t="str">
        <f t="shared" si="2"/>
        <v/>
      </c>
      <c r="J19" s="124"/>
      <c r="K19" s="124"/>
    </row>
    <row r="20" spans="1:11" ht="15.6">
      <c r="A20" s="28" t="str">
        <v>Kohls - Mechanicsburg</v>
      </c>
      <c r="B20" s="29" t="str">
        <v>PA</v>
      </c>
      <c r="C20" s="24"/>
      <c r="D20" s="13"/>
      <c r="E20" s="13" t="str">
        <f t="shared" si="0"/>
        <v/>
      </c>
      <c r="F20" s="14"/>
      <c r="G20" s="15"/>
      <c r="H20" s="15" t="str">
        <f t="shared" si="1"/>
        <v/>
      </c>
      <c r="I20" s="16" t="str">
        <f t="shared" si="2"/>
        <v/>
      </c>
      <c r="J20" s="81"/>
      <c r="K20" s="81"/>
    </row>
    <row r="21" spans="1:11" ht="15.6">
      <c r="A21" s="30" t="str">
        <v>Kohls - Middletown</v>
      </c>
      <c r="B21" s="31" t="str">
        <v>NJ</v>
      </c>
      <c r="C21" s="11"/>
      <c r="D21" s="18"/>
      <c r="E21" s="18" t="str">
        <f t="shared" si="0"/>
        <v/>
      </c>
      <c r="F21" s="19"/>
      <c r="G21" s="20"/>
      <c r="H21" s="20" t="str">
        <f t="shared" si="1"/>
        <v/>
      </c>
      <c r="I21" s="19" t="str">
        <f t="shared" si="2"/>
        <v/>
      </c>
      <c r="J21" s="124"/>
      <c r="K21" s="82"/>
    </row>
    <row r="22" spans="1:11" ht="34.5" customHeight="1">
      <c r="A22" s="28" t="str">
        <v>Kohls - North Amherst</v>
      </c>
      <c r="B22" s="29" t="str">
        <v>NY</v>
      </c>
      <c r="C22" s="24"/>
      <c r="D22" s="13"/>
      <c r="E22" s="13" t="str">
        <f t="shared" si="0"/>
        <v/>
      </c>
      <c r="F22" s="14"/>
      <c r="G22" s="15"/>
      <c r="H22" s="15" t="str">
        <f t="shared" si="1"/>
        <v/>
      </c>
      <c r="I22" s="16" t="str">
        <f t="shared" si="2"/>
        <v/>
      </c>
      <c r="J22" s="88"/>
      <c r="K22" s="81"/>
    </row>
    <row r="23" spans="1:11" ht="15.6">
      <c r="A23" s="30" t="str">
        <v>Kohls - Staten Island</v>
      </c>
      <c r="B23" s="31" t="str">
        <v>NY</v>
      </c>
      <c r="C23" s="11"/>
      <c r="D23" s="18"/>
      <c r="E23" s="18" t="str">
        <f t="shared" si="0"/>
        <v/>
      </c>
      <c r="F23" s="19"/>
      <c r="G23" s="20"/>
      <c r="H23" s="20" t="str">
        <f t="shared" si="1"/>
        <v/>
      </c>
      <c r="I23" s="19" t="str">
        <f t="shared" si="2"/>
        <v/>
      </c>
      <c r="J23" s="90"/>
      <c r="K23" s="124"/>
    </row>
    <row r="24" spans="1:11" ht="15.6">
      <c r="A24" s="28" t="str">
        <v>Kohls - Warminster</v>
      </c>
      <c r="B24" s="29" t="str">
        <v>PA</v>
      </c>
      <c r="C24" s="24"/>
      <c r="D24" s="13"/>
      <c r="E24" s="13" t="str">
        <f t="shared" si="0"/>
        <v/>
      </c>
      <c r="F24" s="14"/>
      <c r="G24" s="15"/>
      <c r="H24" s="15" t="str">
        <f t="shared" si="1"/>
        <v/>
      </c>
      <c r="I24" s="16" t="str">
        <f t="shared" si="2"/>
        <v/>
      </c>
      <c r="J24" s="81"/>
      <c r="K24" s="81"/>
    </row>
    <row r="25" spans="1:11" ht="15.6">
      <c r="A25" s="30" t="str">
        <v xml:space="preserve">Kohls - Waterbury </v>
      </c>
      <c r="B25" s="31" t="str">
        <v>CT</v>
      </c>
      <c r="C25" s="11"/>
      <c r="D25" s="18"/>
      <c r="E25" s="18" t="str">
        <f t="shared" si="0"/>
        <v/>
      </c>
      <c r="F25" s="19"/>
      <c r="G25" s="20"/>
      <c r="H25" s="20" t="str">
        <f t="shared" si="1"/>
        <v/>
      </c>
      <c r="I25" s="19" t="str">
        <f t="shared" si="2"/>
        <v/>
      </c>
      <c r="J25" s="124"/>
      <c r="K25" s="82"/>
    </row>
    <row r="26" spans="1:11" ht="15.6">
      <c r="A26" s="28" t="str">
        <v>Mojave Water Agency - Headquarters</v>
      </c>
      <c r="B26" s="29" t="str">
        <v>CA</v>
      </c>
      <c r="C26" s="24"/>
      <c r="D26" s="13"/>
      <c r="E26" s="13" t="str">
        <f t="shared" si="0"/>
        <v/>
      </c>
      <c r="F26" s="14"/>
      <c r="G26" s="15"/>
      <c r="H26" s="15" t="str">
        <f t="shared" si="1"/>
        <v/>
      </c>
      <c r="I26" s="16" t="str">
        <f t="shared" si="2"/>
        <v/>
      </c>
      <c r="J26" s="81"/>
      <c r="K26" s="81"/>
    </row>
    <row r="27" spans="1:11" ht="15.6">
      <c r="A27" s="30" t="str">
        <v>CSU - Bakersfield</v>
      </c>
      <c r="B27" s="31" t="str">
        <v>CA</v>
      </c>
      <c r="C27" s="11"/>
      <c r="D27" s="18"/>
      <c r="E27" s="18" t="str">
        <f t="shared" si="0"/>
        <v/>
      </c>
      <c r="F27" s="19"/>
      <c r="G27" s="20"/>
      <c r="H27" s="20" t="str">
        <f t="shared" si="1"/>
        <v/>
      </c>
      <c r="I27" s="19" t="str">
        <f t="shared" si="2"/>
        <v/>
      </c>
      <c r="J27" s="124"/>
      <c r="K27" s="83"/>
    </row>
    <row r="28" spans="1:11" ht="15.6">
      <c r="A28" s="28" t="str">
        <v>Greenfield USD - Fairfield ES</v>
      </c>
      <c r="B28" s="29" t="str">
        <v>CA</v>
      </c>
      <c r="C28" s="24"/>
      <c r="D28" s="13"/>
      <c r="E28" s="13" t="str">
        <f t="shared" si="0"/>
        <v/>
      </c>
      <c r="F28" s="14"/>
      <c r="G28" s="15"/>
      <c r="H28" s="15" t="str">
        <f t="shared" si="1"/>
        <v/>
      </c>
      <c r="I28" s="16" t="str">
        <f t="shared" si="2"/>
        <v/>
      </c>
      <c r="J28" s="81"/>
      <c r="K28" s="81"/>
    </row>
    <row r="29" spans="1:11" ht="15.6">
      <c r="A29" s="30" t="str">
        <v>Greenfield USD - Granite Point ES</v>
      </c>
      <c r="B29" s="31" t="str">
        <v>CA</v>
      </c>
      <c r="C29" s="11"/>
      <c r="D29" s="18"/>
      <c r="E29" s="18" t="str">
        <f t="shared" si="0"/>
        <v/>
      </c>
      <c r="F29" s="19"/>
      <c r="G29" s="20"/>
      <c r="H29" s="20" t="str">
        <f t="shared" si="1"/>
        <v/>
      </c>
      <c r="I29" s="19" t="str">
        <f t="shared" si="2"/>
        <v/>
      </c>
      <c r="J29" s="84"/>
      <c r="K29" s="82"/>
    </row>
    <row r="30" spans="1:11" ht="15.6">
      <c r="A30" s="28" t="str">
        <v>Greenfield USD - Greenfield MS</v>
      </c>
      <c r="B30" s="29" t="str">
        <v>CA</v>
      </c>
      <c r="C30" s="24"/>
      <c r="D30" s="13"/>
      <c r="E30" s="13" t="str">
        <f t="shared" si="0"/>
        <v/>
      </c>
      <c r="F30" s="14"/>
      <c r="G30" s="15"/>
      <c r="H30" s="15" t="str">
        <f t="shared" si="1"/>
        <v/>
      </c>
      <c r="I30" s="16" t="str">
        <f t="shared" si="2"/>
        <v/>
      </c>
      <c r="J30" s="81"/>
      <c r="K30" s="81"/>
    </row>
    <row r="31" spans="1:11" ht="15.6">
      <c r="A31" s="30" t="str">
        <v>Greenfield USD - Horizon ES</v>
      </c>
      <c r="B31" s="31" t="str">
        <v>CA</v>
      </c>
      <c r="C31" s="11"/>
      <c r="D31" s="18"/>
      <c r="E31" s="18" t="str">
        <f t="shared" si="0"/>
        <v/>
      </c>
      <c r="F31" s="19"/>
      <c r="G31" s="20"/>
      <c r="H31" s="20" t="str">
        <f t="shared" si="1"/>
        <v/>
      </c>
      <c r="I31" s="19" t="str">
        <f t="shared" si="2"/>
        <v/>
      </c>
      <c r="J31" s="90"/>
      <c r="K31" s="124"/>
    </row>
    <row r="32" spans="1:11" ht="15.6">
      <c r="A32" s="28" t="str">
        <v>Greenfield USD - McKee MS</v>
      </c>
      <c r="B32" s="29" t="str">
        <v>CA</v>
      </c>
      <c r="C32" s="24"/>
      <c r="D32" s="13"/>
      <c r="E32" s="13" t="str">
        <f t="shared" si="0"/>
        <v/>
      </c>
      <c r="F32" s="14"/>
      <c r="G32" s="15"/>
      <c r="H32" s="15" t="str">
        <f t="shared" si="1"/>
        <v/>
      </c>
      <c r="I32" s="16" t="str">
        <f t="shared" si="2"/>
        <v/>
      </c>
      <c r="J32" s="81"/>
      <c r="K32" s="81"/>
    </row>
    <row r="33" spans="1:11" ht="15.6">
      <c r="A33" s="30" t="str">
        <v>Greenfield USD - Plantation ES</v>
      </c>
      <c r="B33" s="31" t="str">
        <v>CA</v>
      </c>
      <c r="C33" s="11"/>
      <c r="D33" s="18"/>
      <c r="E33" s="18" t="str">
        <f t="shared" si="0"/>
        <v/>
      </c>
      <c r="F33" s="19"/>
      <c r="G33" s="20"/>
      <c r="H33" s="20" t="str">
        <f t="shared" si="1"/>
        <v/>
      </c>
      <c r="I33" s="19" t="str">
        <f t="shared" si="2"/>
        <v/>
      </c>
      <c r="J33" s="124"/>
      <c r="K33" s="124"/>
    </row>
    <row r="34" spans="1:11" ht="15.6">
      <c r="A34" s="28" t="str">
        <v>Greenfield USD - Planz ES</v>
      </c>
      <c r="B34" s="29" t="str">
        <v>CA</v>
      </c>
      <c r="C34" s="24"/>
      <c r="D34" s="13"/>
      <c r="E34" s="13" t="str">
        <f t="shared" si="0"/>
        <v/>
      </c>
      <c r="F34" s="14"/>
      <c r="G34" s="15"/>
      <c r="H34" s="15" t="str">
        <f t="shared" si="1"/>
        <v/>
      </c>
      <c r="I34" s="16" t="str">
        <f t="shared" si="2"/>
        <v/>
      </c>
      <c r="J34" s="81"/>
      <c r="K34" s="81"/>
    </row>
    <row r="35" spans="1:11" ht="15.6">
      <c r="A35" s="30" t="str">
        <v>Greenfield USD - Raffaello Palla ES</v>
      </c>
      <c r="B35" s="31" t="str">
        <v>CA</v>
      </c>
      <c r="C35" s="11"/>
      <c r="D35" s="18"/>
      <c r="E35" s="18" t="str">
        <f t="shared" si="0"/>
        <v/>
      </c>
      <c r="F35" s="19"/>
      <c r="G35" s="20"/>
      <c r="H35" s="20" t="str">
        <f t="shared" si="1"/>
        <v/>
      </c>
      <c r="I35" s="19" t="str">
        <f t="shared" si="2"/>
        <v/>
      </c>
      <c r="J35" s="124"/>
      <c r="K35" s="82"/>
    </row>
    <row r="36" spans="1:11" ht="15.6">
      <c r="A36" s="28" t="str">
        <v>Greenfield USD - Valle Verde ES</v>
      </c>
      <c r="B36" s="29" t="str">
        <v>CA</v>
      </c>
      <c r="C36" s="24"/>
      <c r="D36" s="13"/>
      <c r="E36" s="13" t="str">
        <f t="shared" si="0"/>
        <v/>
      </c>
      <c r="F36" s="14"/>
      <c r="G36" s="15"/>
      <c r="H36" s="15" t="str">
        <f t="shared" si="1"/>
        <v/>
      </c>
      <c r="I36" s="16" t="str">
        <f t="shared" si="2"/>
        <v/>
      </c>
      <c r="J36" s="81"/>
      <c r="K36" s="81"/>
    </row>
    <row r="37" spans="1:11" ht="15.6">
      <c r="A37" s="30" t="str">
        <v>Greenfield USD - W.A. Kendrick ES</v>
      </c>
      <c r="B37" s="31" t="str">
        <v>CA</v>
      </c>
      <c r="C37" s="11"/>
      <c r="D37" s="18"/>
      <c r="E37" s="18" t="str">
        <f t="shared" si="0"/>
        <v/>
      </c>
      <c r="F37" s="19"/>
      <c r="G37" s="20"/>
      <c r="H37" s="20" t="str">
        <f t="shared" si="1"/>
        <v/>
      </c>
      <c r="I37" s="19" t="str">
        <f t="shared" si="2"/>
        <v/>
      </c>
      <c r="J37" s="124"/>
      <c r="K37" s="82"/>
    </row>
    <row r="38" spans="1:11" ht="51" customHeight="1">
      <c r="A38" s="28" t="str">
        <v>Muroc Joint USD - Boron HS</v>
      </c>
      <c r="B38" s="29" t="str">
        <v>CA</v>
      </c>
      <c r="C38" s="24"/>
      <c r="D38" s="13"/>
      <c r="E38" s="13" t="str">
        <f t="shared" si="0"/>
        <v/>
      </c>
      <c r="F38" s="14"/>
      <c r="G38" s="15"/>
      <c r="H38" s="15" t="str">
        <f t="shared" si="1"/>
        <v/>
      </c>
      <c r="I38" s="16" t="str">
        <f t="shared" si="2"/>
        <v/>
      </c>
      <c r="J38" s="81"/>
      <c r="K38" s="81"/>
    </row>
    <row r="39" spans="1:11" ht="15.6">
      <c r="A39" s="30" t="str">
        <v>Muroc Joint USD - W. Boron ES</v>
      </c>
      <c r="B39" s="31" t="str">
        <v>CA</v>
      </c>
      <c r="C39" s="11"/>
      <c r="D39" s="18"/>
      <c r="E39" s="18" t="str">
        <f t="shared" si="0"/>
        <v/>
      </c>
      <c r="F39" s="19"/>
      <c r="G39" s="20"/>
      <c r="H39" s="20" t="str">
        <f t="shared" si="1"/>
        <v/>
      </c>
      <c r="I39" s="19" t="str">
        <f t="shared" si="2"/>
        <v/>
      </c>
      <c r="J39" s="124"/>
      <c r="K39" s="82"/>
    </row>
    <row r="40" spans="1:11" ht="15.6">
      <c r="A40" s="28" t="str">
        <v>Colusa - WTP</v>
      </c>
      <c r="B40" s="29" t="str">
        <v>CA</v>
      </c>
      <c r="C40" s="24"/>
      <c r="D40" s="13"/>
      <c r="E40" s="13" t="str">
        <f t="shared" si="0"/>
        <v/>
      </c>
      <c r="F40" s="14"/>
      <c r="G40" s="15"/>
      <c r="H40" s="15" t="str">
        <f t="shared" si="1"/>
        <v/>
      </c>
      <c r="I40" s="16" t="str">
        <f t="shared" si="2"/>
        <v/>
      </c>
      <c r="J40" s="85"/>
      <c r="K40" s="81"/>
    </row>
    <row r="41" spans="1:11" ht="15.6">
      <c r="A41" s="30" t="str">
        <v>CDCR-North Kern State Prision</v>
      </c>
      <c r="B41" s="31" t="str">
        <v>CA</v>
      </c>
      <c r="C41" s="11"/>
      <c r="D41" s="18"/>
      <c r="E41" s="18" t="str">
        <f t="shared" si="0"/>
        <v/>
      </c>
      <c r="F41" s="19"/>
      <c r="G41" s="20"/>
      <c r="H41" s="20" t="str">
        <f t="shared" si="1"/>
        <v/>
      </c>
      <c r="I41" s="19" t="str">
        <f t="shared" si="2"/>
        <v/>
      </c>
      <c r="J41" s="124"/>
      <c r="K41" s="86"/>
    </row>
    <row r="42" spans="1:11" ht="15.6">
      <c r="A42" s="28" t="str">
        <v>Muroc Joint USD - District Office</v>
      </c>
      <c r="B42" s="29" t="str">
        <v>CA</v>
      </c>
      <c r="C42" s="24"/>
      <c r="D42" s="13"/>
      <c r="E42" s="13" t="str">
        <f t="shared" si="0"/>
        <v/>
      </c>
      <c r="F42" s="14"/>
      <c r="G42" s="15"/>
      <c r="H42" s="15" t="str">
        <f t="shared" si="1"/>
        <v/>
      </c>
      <c r="I42" s="16" t="str">
        <f t="shared" si="2"/>
        <v/>
      </c>
      <c r="J42" s="81"/>
      <c r="K42" s="81"/>
    </row>
    <row r="43" spans="1:11" ht="15.6">
      <c r="A43" s="30" t="str">
        <v>Whole Foods - Manhattan Beach</v>
      </c>
      <c r="B43" s="31" t="str">
        <v>CA</v>
      </c>
      <c r="C43" s="11"/>
      <c r="D43" s="18"/>
      <c r="E43" s="18" t="str">
        <f t="shared" si="0"/>
        <v/>
      </c>
      <c r="F43" s="19"/>
      <c r="H43" s="20" t="str">
        <f t="shared" si="1"/>
        <v/>
      </c>
      <c r="I43" s="19" t="str">
        <f t="shared" si="2"/>
        <v/>
      </c>
      <c r="J43" s="90"/>
      <c r="K43" s="90"/>
    </row>
    <row r="44" spans="1:11" ht="15.6">
      <c r="A44" s="28" t="str">
        <v>Pioneer USD - Frontier ES</v>
      </c>
      <c r="B44" s="29" t="str">
        <v>CA</v>
      </c>
      <c r="C44" s="24"/>
      <c r="D44" s="13"/>
      <c r="E44" s="13" t="str">
        <f t="shared" si="0"/>
        <v/>
      </c>
      <c r="F44" s="14"/>
      <c r="G44" s="15"/>
      <c r="H44" s="15" t="str">
        <f t="shared" si="1"/>
        <v/>
      </c>
      <c r="I44" s="16" t="str">
        <f t="shared" si="2"/>
        <v/>
      </c>
      <c r="J44" s="88"/>
      <c r="K44" s="88"/>
    </row>
    <row r="45" spans="1:11" ht="51.75" customHeight="1">
      <c r="A45" s="30" t="str">
        <v>Pioneer USD - Pioneer ES</v>
      </c>
      <c r="B45" s="31" t="str">
        <v>CA</v>
      </c>
      <c r="C45" s="11"/>
      <c r="D45" s="18"/>
      <c r="E45" s="18" t="str">
        <f t="shared" si="0"/>
        <v/>
      </c>
      <c r="F45" s="19"/>
      <c r="G45" s="20"/>
      <c r="H45" s="20" t="str">
        <f t="shared" si="1"/>
        <v/>
      </c>
      <c r="I45" s="19" t="str">
        <f t="shared" si="2"/>
        <v/>
      </c>
      <c r="J45" s="124"/>
      <c r="K45" s="124"/>
    </row>
    <row r="46" spans="1:11" ht="15.6">
      <c r="A46" s="28" t="str">
        <v>Pioneer USD - Pioneer MS</v>
      </c>
      <c r="B46" s="29" t="str">
        <v>CA</v>
      </c>
      <c r="C46" s="24"/>
      <c r="D46" s="13"/>
      <c r="E46" s="13" t="str">
        <f t="shared" si="0"/>
        <v/>
      </c>
      <c r="F46" s="14"/>
      <c r="G46" s="15"/>
      <c r="H46" s="15" t="str">
        <f t="shared" si="1"/>
        <v/>
      </c>
      <c r="I46" s="16" t="str">
        <f t="shared" si="2"/>
        <v/>
      </c>
      <c r="J46" s="81"/>
      <c r="K46" s="81"/>
    </row>
    <row r="47" spans="1:11" ht="15.6">
      <c r="A47" s="30" t="str">
        <v>Kingsburg Joint UHSD - Kingsburg HS</v>
      </c>
      <c r="B47" s="31" t="str">
        <v>CA</v>
      </c>
      <c r="C47" s="11"/>
      <c r="D47" s="18"/>
      <c r="E47" s="18" t="str">
        <f t="shared" si="0"/>
        <v/>
      </c>
      <c r="F47" s="19"/>
      <c r="G47" s="20"/>
      <c r="H47" s="20" t="str">
        <f t="shared" si="1"/>
        <v/>
      </c>
      <c r="I47" s="19" t="str">
        <f t="shared" si="2"/>
        <v/>
      </c>
      <c r="J47" s="124"/>
      <c r="K47" s="124"/>
    </row>
    <row r="48" spans="1:11" ht="15.6">
      <c r="A48" s="28" t="str">
        <v>CADRB</v>
      </c>
      <c r="B48" s="29" t="str">
        <v>CA</v>
      </c>
      <c r="C48" s="24"/>
      <c r="D48" s="13"/>
      <c r="E48" s="13" t="str">
        <f t="shared" si="0"/>
        <v/>
      </c>
      <c r="F48" s="14"/>
      <c r="G48" s="15"/>
      <c r="H48" s="15" t="str">
        <f t="shared" si="1"/>
        <v/>
      </c>
      <c r="I48" s="16" t="str">
        <f t="shared" si="2"/>
        <v/>
      </c>
      <c r="J48" s="81"/>
      <c r="K48" s="81"/>
    </row>
    <row r="49" spans="1:11" ht="15.6">
      <c r="A49" s="30" t="str">
        <v>CDCR-CA State Prison LA County</v>
      </c>
      <c r="B49" s="31" t="str">
        <v>CA</v>
      </c>
      <c r="C49" s="11"/>
      <c r="D49" s="18"/>
      <c r="E49" s="18" t="str">
        <f t="shared" si="0"/>
        <v/>
      </c>
      <c r="F49" s="19"/>
      <c r="G49" s="20"/>
      <c r="H49" s="20" t="str">
        <f t="shared" si="1"/>
        <v/>
      </c>
      <c r="I49" s="19" t="str">
        <f t="shared" si="2"/>
        <v/>
      </c>
      <c r="J49" s="124"/>
      <c r="K49" s="82"/>
    </row>
    <row r="50" spans="1:11" ht="15.6">
      <c r="A50" s="28" t="str">
        <v>Central USD Akers ES</v>
      </c>
      <c r="B50" s="29" t="str">
        <v>CA</v>
      </c>
      <c r="C50" s="24"/>
      <c r="D50" s="13"/>
      <c r="E50" s="13" t="str">
        <f t="shared" si="0"/>
        <v/>
      </c>
      <c r="F50" s="14"/>
      <c r="G50" s="15"/>
      <c r="H50" s="15" t="str">
        <f t="shared" si="1"/>
        <v/>
      </c>
      <c r="I50" s="16" t="str">
        <f t="shared" si="2"/>
        <v/>
      </c>
      <c r="J50" s="81"/>
      <c r="K50" s="81"/>
    </row>
    <row r="51" spans="1:11" ht="15.6">
      <c r="A51" s="30" t="str">
        <v>CUSD - District Office</v>
      </c>
      <c r="B51" s="31" t="str">
        <v>CA</v>
      </c>
      <c r="C51" s="11"/>
      <c r="D51" s="18"/>
      <c r="E51" s="18" t="str">
        <f t="shared" si="0"/>
        <v/>
      </c>
      <c r="F51" s="19"/>
      <c r="G51" s="20"/>
      <c r="H51" s="20" t="str">
        <f t="shared" si="1"/>
        <v/>
      </c>
      <c r="I51" s="19" t="str">
        <f t="shared" si="2"/>
        <v/>
      </c>
      <c r="J51" s="124"/>
      <c r="K51" s="124"/>
    </row>
    <row r="52" spans="1:11" ht="15.6">
      <c r="A52" s="28" t="str">
        <v>Parlier - WTP</v>
      </c>
      <c r="B52" s="29" t="str">
        <v>CA</v>
      </c>
      <c r="C52" s="24"/>
      <c r="D52" s="13"/>
      <c r="E52" s="13" t="str">
        <f t="shared" si="0"/>
        <v/>
      </c>
      <c r="F52" s="14"/>
      <c r="G52" s="15"/>
      <c r="H52" s="15" t="str">
        <f t="shared" si="1"/>
        <v/>
      </c>
      <c r="I52" s="16" t="str">
        <f t="shared" si="2"/>
        <v/>
      </c>
      <c r="J52" s="81"/>
      <c r="K52" s="81"/>
    </row>
    <row r="53" spans="1:11" ht="15.6">
      <c r="A53" s="30" t="str">
        <v>Snowline SD - Quail Valley MS</v>
      </c>
      <c r="B53" s="31" t="str">
        <v>CA</v>
      </c>
      <c r="C53" s="11"/>
      <c r="D53" s="18"/>
      <c r="E53" s="18" t="str">
        <f t="shared" si="0"/>
        <v/>
      </c>
      <c r="F53" s="19"/>
      <c r="G53" s="20"/>
      <c r="H53" s="20" t="str">
        <f t="shared" si="1"/>
        <v/>
      </c>
      <c r="I53" s="19" t="str">
        <f t="shared" si="2"/>
        <v/>
      </c>
      <c r="J53" s="124"/>
      <c r="K53" s="87"/>
    </row>
    <row r="54" spans="1:11" ht="15.6">
      <c r="A54" s="28" t="str">
        <v>Snowline SD - Serrano HS - Middle Lot</v>
      </c>
      <c r="B54" s="29" t="str">
        <v>CA</v>
      </c>
      <c r="C54" s="24"/>
      <c r="D54" s="13"/>
      <c r="E54" s="13" t="str">
        <f t="shared" si="0"/>
        <v/>
      </c>
      <c r="F54" s="14"/>
      <c r="G54" s="15"/>
      <c r="H54" s="15" t="str">
        <f t="shared" si="1"/>
        <v/>
      </c>
      <c r="I54" s="16" t="str">
        <f t="shared" si="2"/>
        <v/>
      </c>
      <c r="J54" s="81"/>
      <c r="K54" s="81"/>
    </row>
    <row r="55" spans="1:11" ht="15.6">
      <c r="A55" s="30" t="str">
        <v>Snowline SD - Pinon Hills ES</v>
      </c>
      <c r="B55" s="31" t="str">
        <v>CA</v>
      </c>
      <c r="C55" s="11"/>
      <c r="D55" s="18"/>
      <c r="E55" s="18" t="str">
        <f t="shared" si="0"/>
        <v/>
      </c>
      <c r="F55" s="19"/>
      <c r="G55" s="20"/>
      <c r="H55" s="20" t="str">
        <f t="shared" si="1"/>
        <v/>
      </c>
      <c r="I55" s="19" t="str">
        <f t="shared" si="2"/>
        <v/>
      </c>
      <c r="J55" s="124"/>
      <c r="K55" s="124"/>
    </row>
    <row r="56" spans="1:11" ht="15.6">
      <c r="A56" s="28" t="str">
        <v>Ramona - Santa Maria WTP</v>
      </c>
      <c r="B56" s="29" t="str">
        <v>CA</v>
      </c>
      <c r="C56" s="24"/>
      <c r="D56" s="13"/>
      <c r="E56" s="13" t="str">
        <f t="shared" si="0"/>
        <v/>
      </c>
      <c r="F56" s="14"/>
      <c r="G56" s="15"/>
      <c r="H56" s="15" t="str">
        <f t="shared" si="1"/>
        <v/>
      </c>
      <c r="I56" s="16" t="str">
        <f t="shared" si="2"/>
        <v/>
      </c>
      <c r="J56" s="85"/>
      <c r="K56" s="81"/>
    </row>
    <row r="57" spans="1:11" ht="15.6">
      <c r="A57" s="30" t="str">
        <v>Kohls - Redding</v>
      </c>
      <c r="B57" s="31" t="str">
        <v>CA</v>
      </c>
      <c r="C57" s="11"/>
      <c r="D57" s="18"/>
      <c r="E57" s="18" t="str">
        <f t="shared" si="0"/>
        <v/>
      </c>
      <c r="F57" s="19"/>
      <c r="G57" s="20"/>
      <c r="H57" s="20" t="str">
        <f t="shared" si="1"/>
        <v/>
      </c>
      <c r="I57" s="19" t="str">
        <f t="shared" si="2"/>
        <v/>
      </c>
      <c r="J57" s="124"/>
      <c r="K57" s="124"/>
    </row>
    <row r="58" spans="1:11" ht="15.6">
      <c r="A58" s="28" t="str">
        <v>Kohls - Salinas</v>
      </c>
      <c r="B58" s="29" t="str">
        <v>CA</v>
      </c>
      <c r="C58" s="24"/>
      <c r="D58" s="13"/>
      <c r="E58" s="13" t="str">
        <f t="shared" si="0"/>
        <v/>
      </c>
      <c r="F58" s="14"/>
      <c r="G58" s="15"/>
      <c r="H58" s="15" t="str">
        <f t="shared" si="1"/>
        <v/>
      </c>
      <c r="I58" s="16" t="str">
        <f t="shared" si="2"/>
        <v/>
      </c>
      <c r="J58" s="81"/>
      <c r="K58" s="81"/>
    </row>
    <row r="59" spans="1:11" ht="15.6">
      <c r="A59" s="30" t="str">
        <v>Kohls - San Bernardino - Central</v>
      </c>
      <c r="B59" s="31" t="str">
        <v>CA</v>
      </c>
      <c r="C59" s="11"/>
      <c r="D59" s="18"/>
      <c r="E59" s="18" t="str">
        <f t="shared" si="0"/>
        <v/>
      </c>
      <c r="F59" s="19"/>
      <c r="G59" s="20"/>
      <c r="H59" s="20" t="str">
        <f t="shared" si="1"/>
        <v/>
      </c>
      <c r="I59" s="19" t="str">
        <f t="shared" si="2"/>
        <v/>
      </c>
      <c r="J59" s="124"/>
      <c r="K59" s="82"/>
    </row>
    <row r="60" spans="1:11" ht="15.6">
      <c r="A60" s="28" t="str">
        <v>Kohls - Sonora</v>
      </c>
      <c r="B60" s="29" t="str">
        <v>CA</v>
      </c>
      <c r="C60" s="24"/>
      <c r="D60" s="13"/>
      <c r="E60" s="13" t="str">
        <f t="shared" si="0"/>
        <v/>
      </c>
      <c r="F60" s="14"/>
      <c r="G60" s="15"/>
      <c r="H60" s="15" t="str">
        <f t="shared" si="1"/>
        <v/>
      </c>
      <c r="I60" s="16" t="str">
        <f t="shared" si="2"/>
        <v/>
      </c>
      <c r="J60" s="81"/>
      <c r="K60" s="81"/>
    </row>
    <row r="61" spans="1:11" ht="15.6">
      <c r="A61" s="30" t="str">
        <v>CUSD - Stratford ES</v>
      </c>
      <c r="B61" s="31" t="str">
        <v>CA</v>
      </c>
      <c r="C61" s="11"/>
      <c r="D61" s="18"/>
      <c r="E61" s="18" t="str">
        <f t="shared" si="0"/>
        <v/>
      </c>
      <c r="F61" s="19"/>
      <c r="G61" s="20"/>
      <c r="H61" s="20" t="str">
        <f t="shared" si="1"/>
        <v/>
      </c>
      <c r="I61" s="19" t="str">
        <f t="shared" si="2"/>
        <v/>
      </c>
      <c r="J61" s="124"/>
      <c r="K61" s="82"/>
    </row>
    <row r="62" spans="1:11" ht="15.6">
      <c r="A62" s="28" t="str">
        <v>Taft - City Hall</v>
      </c>
      <c r="B62" s="29" t="str">
        <v>CA</v>
      </c>
      <c r="C62" s="24"/>
      <c r="D62" s="13"/>
      <c r="E62" s="13" t="str">
        <f t="shared" si="0"/>
        <v/>
      </c>
      <c r="F62" s="14"/>
      <c r="G62" s="15"/>
      <c r="H62" s="15" t="str">
        <f t="shared" si="1"/>
        <v/>
      </c>
      <c r="I62" s="16" t="str">
        <f t="shared" si="2"/>
        <v/>
      </c>
      <c r="J62" s="81"/>
      <c r="K62" s="81"/>
    </row>
    <row r="63" spans="1:11" ht="15.6">
      <c r="A63" s="30" t="str">
        <v>Taft - Federal Prison</v>
      </c>
      <c r="B63" s="31" t="str">
        <v>CA</v>
      </c>
      <c r="C63" s="11"/>
      <c r="D63" s="18"/>
      <c r="E63" s="18" t="str">
        <f t="shared" si="0"/>
        <v/>
      </c>
      <c r="F63" s="19"/>
      <c r="G63" s="20"/>
      <c r="H63" s="20" t="str">
        <f t="shared" si="1"/>
        <v/>
      </c>
      <c r="I63" s="19" t="str">
        <f t="shared" si="2"/>
        <v/>
      </c>
      <c r="J63" s="124"/>
      <c r="K63" s="82"/>
    </row>
    <row r="64" spans="1:11" ht="15.6">
      <c r="A64" s="28" t="str">
        <v>Taft - Police Department</v>
      </c>
      <c r="B64" s="29" t="str">
        <v>CA</v>
      </c>
      <c r="C64" s="24"/>
      <c r="D64" s="13"/>
      <c r="E64" s="13" t="str">
        <f t="shared" si="0"/>
        <v/>
      </c>
      <c r="F64" s="14"/>
      <c r="G64" s="15"/>
      <c r="H64" s="15" t="str">
        <f t="shared" si="1"/>
        <v/>
      </c>
      <c r="I64" s="16" t="str">
        <f t="shared" si="2"/>
        <v/>
      </c>
      <c r="J64" s="81"/>
      <c r="K64" s="81"/>
    </row>
    <row r="65" spans="1:11" ht="15.6">
      <c r="A65" s="30" t="str">
        <v>Taft - WTP</v>
      </c>
      <c r="B65" s="31" t="str">
        <v>CA</v>
      </c>
      <c r="C65" s="11"/>
      <c r="D65" s="18"/>
      <c r="E65" s="18" t="str">
        <f t="shared" si="0"/>
        <v/>
      </c>
      <c r="F65" s="19"/>
      <c r="G65" s="20"/>
      <c r="H65" s="20" t="str">
        <f t="shared" si="1"/>
        <v/>
      </c>
      <c r="I65" s="19" t="str">
        <f t="shared" si="2"/>
        <v/>
      </c>
      <c r="J65" s="124"/>
      <c r="K65" s="86"/>
    </row>
    <row r="66" spans="1:11" ht="15.6">
      <c r="A66" s="28" t="str">
        <v>CDCR - CA Correctional Institution</v>
      </c>
      <c r="B66" s="29" t="str">
        <v>CA</v>
      </c>
      <c r="C66" s="24"/>
      <c r="D66" s="13"/>
      <c r="E66" s="13" t="str">
        <f t="shared" si="0"/>
        <v/>
      </c>
      <c r="F66" s="14"/>
      <c r="G66" s="15"/>
      <c r="H66" s="15" t="str">
        <f t="shared" si="1"/>
        <v/>
      </c>
      <c r="I66" s="16" t="str">
        <f t="shared" si="2"/>
        <v/>
      </c>
      <c r="J66" s="81"/>
      <c r="K66" s="81"/>
    </row>
    <row r="67" spans="1:11" ht="15.6">
      <c r="A67" s="30" t="str">
        <v>CDCR - CA Correctional Institution II</v>
      </c>
      <c r="B67" s="31" t="str">
        <v>CA</v>
      </c>
      <c r="C67" s="11"/>
      <c r="D67" s="18"/>
      <c r="E67" s="18" t="str">
        <f t="shared" si="0"/>
        <v/>
      </c>
      <c r="F67" s="19"/>
      <c r="G67" s="20"/>
      <c r="H67" s="20" t="str">
        <f t="shared" si="1"/>
        <v/>
      </c>
      <c r="I67" s="19" t="str">
        <f t="shared" si="2"/>
        <v/>
      </c>
      <c r="J67" s="90"/>
      <c r="K67" s="91"/>
    </row>
    <row r="68" spans="1:11" ht="15.6">
      <c r="A68" s="28" t="str">
        <v>Snowline SD - Vista Verde ES</v>
      </c>
      <c r="B68" s="29" t="str">
        <v>CA</v>
      </c>
      <c r="C68" s="24"/>
      <c r="D68" s="13"/>
      <c r="E68" s="13" t="str">
        <f t="shared" si="0"/>
        <v/>
      </c>
      <c r="F68" s="14"/>
      <c r="G68" s="15"/>
      <c r="H68" s="15" t="str">
        <f t="shared" si="1"/>
        <v/>
      </c>
      <c r="I68" s="16" t="str">
        <f t="shared" si="2"/>
        <v/>
      </c>
      <c r="J68" s="81"/>
      <c r="K68" s="8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4" activePane="bottomRight" state="frozen"/>
      <selection pane="bottomRight" activeCell="J12" sqref="J12"/>
      <selection pane="bottomLeft" activeCell="J66" sqref="J66"/>
      <selection pane="topRight" activeCell="J66" sqref="J6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1" t="str" cm="1">
        <f t="array" ref="A1">portfolio</f>
        <v>Silicon Ranch</v>
      </c>
      <c r="B1" s="121"/>
      <c r="C1" s="121"/>
      <c r="D1" s="122" t="s">
        <v>343</v>
      </c>
      <c r="E1" s="122"/>
      <c r="F1" s="122"/>
      <c r="G1" s="120" t="s">
        <v>344</v>
      </c>
      <c r="H1" s="120"/>
      <c r="I1" s="120"/>
      <c r="J1" s="4"/>
      <c r="K1" s="4"/>
    </row>
    <row r="2" spans="1:11" ht="19.5" customHeight="1">
      <c r="A2" s="123" t="s">
        <v>2</v>
      </c>
      <c r="B2" s="123"/>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6">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6">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6">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6">
      <c r="A7" s="30" t="str">
        <v>Kohls - Brick</v>
      </c>
      <c r="B7" s="31" t="str">
        <v>NJ</v>
      </c>
      <c r="C7" s="11"/>
      <c r="D7" s="18"/>
      <c r="E7" s="18" t="str">
        <f t="shared" si="0"/>
        <v/>
      </c>
      <c r="F7" s="19" t="str">
        <f t="shared" si="3"/>
        <v/>
      </c>
      <c r="G7" s="20"/>
      <c r="H7" s="20" t="str">
        <f t="shared" si="1"/>
        <v/>
      </c>
      <c r="I7" s="19" t="str">
        <f t="shared" si="2"/>
        <v/>
      </c>
      <c r="J7" s="55"/>
      <c r="K7" s="55"/>
    </row>
    <row r="8" spans="1:11" ht="15.6">
      <c r="A8" s="28" t="str">
        <v>Kohls - Buffalo</v>
      </c>
      <c r="B8" s="29" t="str">
        <v>NY</v>
      </c>
      <c r="C8" s="24"/>
      <c r="D8" s="13"/>
      <c r="E8" s="13" t="str">
        <f t="shared" si="0"/>
        <v/>
      </c>
      <c r="F8" s="14" t="str">
        <f t="shared" si="3"/>
        <v/>
      </c>
      <c r="G8" s="15"/>
      <c r="H8" s="15" t="str">
        <f t="shared" si="1"/>
        <v/>
      </c>
      <c r="I8" s="16" t="str">
        <f t="shared" si="2"/>
        <v/>
      </c>
      <c r="J8" s="57"/>
      <c r="K8" s="57"/>
    </row>
    <row r="9" spans="1:11" ht="15.6">
      <c r="A9" s="30" t="str">
        <v>Kohls - Canton</v>
      </c>
      <c r="B9" s="31" t="str">
        <v>CT</v>
      </c>
      <c r="C9" s="11"/>
      <c r="D9" s="18"/>
      <c r="E9" s="18" t="str">
        <f t="shared" si="0"/>
        <v/>
      </c>
      <c r="F9" s="19" t="str">
        <f t="shared" si="3"/>
        <v/>
      </c>
      <c r="G9" s="20"/>
      <c r="H9" s="20" t="str">
        <f t="shared" si="1"/>
        <v/>
      </c>
      <c r="I9" s="19" t="str">
        <f t="shared" si="2"/>
        <v/>
      </c>
      <c r="J9" s="42"/>
      <c r="K9" s="43"/>
    </row>
    <row r="10" spans="1:11" ht="15.6">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6">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6">
      <c r="A12" s="28" t="str">
        <v>Kohls - Edgewood</v>
      </c>
      <c r="B12" s="29" t="str">
        <v>MD</v>
      </c>
      <c r="C12" s="24"/>
      <c r="D12" s="13"/>
      <c r="E12" s="13" t="str">
        <f t="shared" si="0"/>
        <v/>
      </c>
      <c r="F12" s="14" t="str">
        <f t="shared" si="3"/>
        <v/>
      </c>
      <c r="G12" s="15"/>
      <c r="H12" s="15" t="str">
        <f t="shared" si="1"/>
        <v/>
      </c>
      <c r="I12" s="16" t="str">
        <f t="shared" si="2"/>
        <v/>
      </c>
      <c r="J12" s="41" t="s">
        <v>345</v>
      </c>
      <c r="K12" s="41"/>
    </row>
    <row r="13" spans="1:11" ht="15.6">
      <c r="A13" s="30" t="str">
        <v>Kohls - Granite Run</v>
      </c>
      <c r="B13" s="31" t="str">
        <v>PA</v>
      </c>
      <c r="C13" s="11"/>
      <c r="D13" s="18"/>
      <c r="E13" s="18" t="str">
        <f t="shared" si="0"/>
        <v/>
      </c>
      <c r="F13" s="19" t="str">
        <f t="shared" si="3"/>
        <v/>
      </c>
      <c r="G13" s="20"/>
      <c r="H13" s="20" t="str">
        <f t="shared" si="1"/>
        <v/>
      </c>
      <c r="I13" s="19" t="str">
        <f t="shared" si="2"/>
        <v/>
      </c>
      <c r="J13" s="42"/>
      <c r="K13" s="43"/>
    </row>
    <row r="14" spans="1:11" ht="15.6">
      <c r="A14" s="28" t="str">
        <v>Kohls - Greece</v>
      </c>
      <c r="B14" s="29" t="str">
        <v>NY</v>
      </c>
      <c r="C14" s="24"/>
      <c r="D14" s="13"/>
      <c r="E14" s="13" t="str">
        <f t="shared" si="0"/>
        <v/>
      </c>
      <c r="F14" s="14" t="str">
        <f t="shared" si="3"/>
        <v/>
      </c>
      <c r="G14" s="15"/>
      <c r="H14" s="15" t="str">
        <f t="shared" si="1"/>
        <v/>
      </c>
      <c r="I14" s="16" t="str">
        <f t="shared" si="2"/>
        <v/>
      </c>
      <c r="J14" s="41"/>
      <c r="K14" s="41"/>
    </row>
    <row r="15" spans="1:11" ht="15.6">
      <c r="A15" s="30" t="str">
        <v>Kohls - Hanover</v>
      </c>
      <c r="B15" s="31" t="str">
        <v>PA</v>
      </c>
      <c r="C15" s="11"/>
      <c r="D15" s="18"/>
      <c r="E15" s="18" t="str">
        <f t="shared" si="0"/>
        <v/>
      </c>
      <c r="F15" s="19" t="str">
        <f t="shared" si="3"/>
        <v/>
      </c>
      <c r="G15" s="20"/>
      <c r="H15" s="20" t="str">
        <f t="shared" si="1"/>
        <v/>
      </c>
      <c r="I15" s="19" t="str">
        <f t="shared" si="2"/>
        <v/>
      </c>
      <c r="J15" s="55"/>
      <c r="K15" s="93"/>
    </row>
    <row r="16" spans="1:11" ht="15.6">
      <c r="A16" s="28" t="str">
        <v>Kohls - Horsehead</v>
      </c>
      <c r="B16" s="29" t="str">
        <v>NY</v>
      </c>
      <c r="C16" s="24"/>
      <c r="D16" s="13"/>
      <c r="E16" s="13" t="str">
        <f t="shared" si="0"/>
        <v/>
      </c>
      <c r="F16" s="14" t="str">
        <f t="shared" si="3"/>
        <v/>
      </c>
      <c r="G16" s="15"/>
      <c r="H16" s="15" t="str">
        <f t="shared" si="1"/>
        <v/>
      </c>
      <c r="I16" s="16" t="str">
        <f t="shared" si="2"/>
        <v/>
      </c>
      <c r="J16" s="41"/>
      <c r="K16" s="41"/>
    </row>
    <row r="17" spans="1:11" ht="15.6">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6">
      <c r="A19" s="30" t="str">
        <v>Kohls - Kingston</v>
      </c>
      <c r="B19" s="31" t="str">
        <v>NY</v>
      </c>
      <c r="C19" s="11"/>
      <c r="D19" s="18"/>
      <c r="E19" s="18" t="str">
        <f t="shared" si="0"/>
        <v/>
      </c>
      <c r="F19" s="19"/>
      <c r="G19" s="20"/>
      <c r="H19" s="20" t="str">
        <f t="shared" si="1"/>
        <v/>
      </c>
      <c r="I19" s="19" t="str">
        <f t="shared" si="2"/>
        <v/>
      </c>
      <c r="J19" s="42"/>
      <c r="K19" s="42"/>
    </row>
    <row r="20" spans="1:11" ht="15.6">
      <c r="A20" s="28" t="str">
        <v>Kohls - Mechanicsburg</v>
      </c>
      <c r="B20" s="29" t="str">
        <v>PA</v>
      </c>
      <c r="C20" s="24"/>
      <c r="D20" s="13"/>
      <c r="E20" s="13" t="str">
        <f t="shared" si="0"/>
        <v/>
      </c>
      <c r="F20" s="14"/>
      <c r="G20" s="15"/>
      <c r="H20" s="15" t="str">
        <f t="shared" si="1"/>
        <v/>
      </c>
      <c r="I20" s="16" t="str">
        <f t="shared" si="2"/>
        <v/>
      </c>
      <c r="J20" s="41"/>
      <c r="K20" s="41"/>
    </row>
    <row r="21" spans="1:11" ht="15.6">
      <c r="A21" s="30" t="str">
        <v>Kohls - Middletown</v>
      </c>
      <c r="B21" s="31" t="str">
        <v>NJ</v>
      </c>
      <c r="C21" s="11"/>
      <c r="D21" s="18"/>
      <c r="E21" s="18" t="str">
        <f t="shared" si="0"/>
        <v/>
      </c>
      <c r="F21" s="19"/>
      <c r="G21" s="20"/>
      <c r="H21" s="20" t="str">
        <f t="shared" si="1"/>
        <v/>
      </c>
      <c r="I21" s="19" t="str">
        <f t="shared" si="2"/>
        <v/>
      </c>
      <c r="J21" s="55"/>
      <c r="K21" s="55"/>
    </row>
    <row r="22" spans="1:11" ht="15.6">
      <c r="A22" s="28" t="str">
        <v>Kohls - North Amherst</v>
      </c>
      <c r="B22" s="29" t="str">
        <v>NY</v>
      </c>
      <c r="C22" s="24"/>
      <c r="D22" s="13"/>
      <c r="E22" s="13" t="str">
        <f t="shared" si="0"/>
        <v/>
      </c>
      <c r="F22" s="14"/>
      <c r="G22" s="15"/>
      <c r="H22" s="15" t="str">
        <f t="shared" si="1"/>
        <v/>
      </c>
      <c r="I22" s="16" t="str">
        <f t="shared" si="2"/>
        <v/>
      </c>
      <c r="J22" s="41"/>
      <c r="K22" s="81"/>
    </row>
    <row r="23" spans="1:11" ht="15.6">
      <c r="A23" s="30" t="str">
        <v>Kohls - Staten Island</v>
      </c>
      <c r="B23" s="31" t="str">
        <v>NY</v>
      </c>
      <c r="C23" s="11"/>
      <c r="D23" s="18"/>
      <c r="E23" s="18" t="str">
        <f t="shared" si="0"/>
        <v/>
      </c>
      <c r="F23" s="19"/>
      <c r="G23" s="20"/>
      <c r="H23" s="20" t="str">
        <f t="shared" si="1"/>
        <v/>
      </c>
      <c r="I23" s="19" t="str">
        <f t="shared" si="2"/>
        <v/>
      </c>
      <c r="J23" s="42"/>
      <c r="K23" s="124"/>
    </row>
    <row r="24" spans="1:11" ht="15.6">
      <c r="A24" s="28" t="str">
        <v>Kohls - Warminster</v>
      </c>
      <c r="B24" s="29" t="str">
        <v>PA</v>
      </c>
      <c r="C24" s="24"/>
      <c r="D24" s="13"/>
      <c r="E24" s="13" t="str">
        <f t="shared" si="0"/>
        <v/>
      </c>
      <c r="F24" s="14"/>
      <c r="G24" s="15"/>
      <c r="H24" s="15" t="str">
        <f t="shared" si="1"/>
        <v/>
      </c>
      <c r="I24" s="16" t="str">
        <f t="shared" si="2"/>
        <v/>
      </c>
      <c r="J24" s="41"/>
      <c r="K24" s="41"/>
    </row>
    <row r="25" spans="1:11" ht="15.6">
      <c r="A25" s="30" t="str">
        <v xml:space="preserve">Kohls - Waterbury </v>
      </c>
      <c r="B25" s="31" t="str">
        <v>CT</v>
      </c>
      <c r="C25" s="11"/>
      <c r="D25" s="18"/>
      <c r="E25" s="18" t="str">
        <f t="shared" si="0"/>
        <v/>
      </c>
      <c r="F25" s="19"/>
      <c r="G25" s="20"/>
      <c r="H25" s="20" t="str">
        <f t="shared" si="1"/>
        <v/>
      </c>
      <c r="I25" s="19" t="str">
        <f t="shared" si="2"/>
        <v/>
      </c>
      <c r="J25" s="42"/>
      <c r="K25" s="43"/>
    </row>
    <row r="26" spans="1:11" ht="15.6">
      <c r="A26" s="28" t="str">
        <v>Mojave Water Agency - Headquarters</v>
      </c>
      <c r="B26" s="29" t="str">
        <v>CA</v>
      </c>
      <c r="C26" s="24"/>
      <c r="D26" s="13"/>
      <c r="E26" s="13" t="str">
        <f t="shared" si="0"/>
        <v/>
      </c>
      <c r="F26" s="14"/>
      <c r="G26" s="15"/>
      <c r="H26" s="15" t="str">
        <f t="shared" si="1"/>
        <v/>
      </c>
      <c r="I26" s="16" t="str">
        <f t="shared" si="2"/>
        <v/>
      </c>
      <c r="J26" s="41"/>
      <c r="K26" s="41"/>
    </row>
    <row r="27" spans="1:11" ht="15.6">
      <c r="A27" s="30" t="str">
        <v>CSU - Bakersfield</v>
      </c>
      <c r="B27" s="31" t="str">
        <v>CA</v>
      </c>
      <c r="C27" s="11"/>
      <c r="D27" s="18"/>
      <c r="E27" s="18" t="str">
        <f t="shared" si="0"/>
        <v/>
      </c>
      <c r="F27" s="19"/>
      <c r="G27" s="20"/>
      <c r="H27" s="20" t="str">
        <f t="shared" si="1"/>
        <v/>
      </c>
      <c r="I27" s="19" t="str">
        <f t="shared" si="2"/>
        <v/>
      </c>
      <c r="J27" s="42"/>
      <c r="K27" s="43"/>
    </row>
    <row r="28" spans="1:11" ht="15.6">
      <c r="A28" s="28" t="str">
        <v>Greenfield USD - Fairfield ES</v>
      </c>
      <c r="B28" s="29" t="str">
        <v>CA</v>
      </c>
      <c r="C28" s="24"/>
      <c r="D28" s="13"/>
      <c r="E28" s="13" t="str">
        <f t="shared" si="0"/>
        <v/>
      </c>
      <c r="F28" s="14"/>
      <c r="G28" s="15"/>
      <c r="H28" s="15" t="str">
        <f t="shared" si="1"/>
        <v/>
      </c>
      <c r="I28" s="16" t="str">
        <f t="shared" si="2"/>
        <v/>
      </c>
      <c r="J28" s="41"/>
      <c r="K28" s="41"/>
    </row>
    <row r="29" spans="1:11" ht="15.6">
      <c r="A29" s="30" t="str">
        <v>Greenfield USD - Granite Point ES</v>
      </c>
      <c r="B29" s="31" t="str">
        <v>CA</v>
      </c>
      <c r="C29" s="11"/>
      <c r="D29" s="18"/>
      <c r="E29" s="18" t="str">
        <f t="shared" si="0"/>
        <v/>
      </c>
      <c r="F29" s="19"/>
      <c r="G29" s="20"/>
      <c r="H29" s="20" t="str">
        <f t="shared" si="1"/>
        <v/>
      </c>
      <c r="I29" s="19" t="str">
        <f t="shared" si="2"/>
        <v/>
      </c>
      <c r="J29" s="42"/>
      <c r="K29" s="43"/>
    </row>
    <row r="30" spans="1:11" ht="15.6">
      <c r="A30" s="28" t="str">
        <v>Greenfield USD - Greenfield MS</v>
      </c>
      <c r="B30" s="29" t="str">
        <v>CA</v>
      </c>
      <c r="C30" s="24"/>
      <c r="D30" s="13"/>
      <c r="E30" s="13" t="str">
        <f t="shared" si="0"/>
        <v/>
      </c>
      <c r="F30" s="14"/>
      <c r="G30" s="15"/>
      <c r="H30" s="15" t="str">
        <f t="shared" si="1"/>
        <v/>
      </c>
      <c r="I30" s="16" t="str">
        <f t="shared" si="2"/>
        <v/>
      </c>
      <c r="J30" s="41"/>
      <c r="K30" s="41"/>
    </row>
    <row r="31" spans="1:11" ht="15.6">
      <c r="A31" s="30" t="str">
        <v>Greenfield USD - Horizon ES</v>
      </c>
      <c r="B31" s="31" t="str">
        <v>CA</v>
      </c>
      <c r="C31" s="11"/>
      <c r="D31" s="18"/>
      <c r="E31" s="18" t="str">
        <f t="shared" si="0"/>
        <v/>
      </c>
      <c r="F31" s="19"/>
      <c r="G31" s="20"/>
      <c r="H31" s="20" t="str">
        <f t="shared" si="1"/>
        <v/>
      </c>
      <c r="I31" s="19" t="str">
        <f t="shared" si="2"/>
        <v/>
      </c>
      <c r="J31" s="42"/>
      <c r="K31" s="55"/>
    </row>
    <row r="32" spans="1:11" ht="15.6">
      <c r="A32" s="28" t="str">
        <v>Greenfield USD - McKee MS</v>
      </c>
      <c r="B32" s="29" t="str">
        <v>CA</v>
      </c>
      <c r="C32" s="24"/>
      <c r="D32" s="13"/>
      <c r="E32" s="13" t="str">
        <f t="shared" si="0"/>
        <v/>
      </c>
      <c r="F32" s="14"/>
      <c r="G32" s="15"/>
      <c r="H32" s="15" t="str">
        <f t="shared" si="1"/>
        <v/>
      </c>
      <c r="I32" s="16" t="str">
        <f t="shared" si="2"/>
        <v/>
      </c>
      <c r="J32" s="41"/>
      <c r="K32" s="41"/>
    </row>
    <row r="33" spans="1:11" ht="15.6">
      <c r="A33" s="30" t="str">
        <v>Greenfield USD - Plantation ES</v>
      </c>
      <c r="B33" s="31" t="str">
        <v>CA</v>
      </c>
      <c r="C33" s="11"/>
      <c r="D33" s="18"/>
      <c r="E33" s="18" t="str">
        <f t="shared" si="0"/>
        <v/>
      </c>
      <c r="F33" s="19"/>
      <c r="G33" s="20"/>
      <c r="H33" s="20" t="str">
        <f t="shared" si="1"/>
        <v/>
      </c>
      <c r="I33" s="19" t="str">
        <f t="shared" si="2"/>
        <v/>
      </c>
      <c r="J33" s="42"/>
      <c r="K33" s="43"/>
    </row>
    <row r="34" spans="1:11" ht="15.6">
      <c r="A34" s="28" t="str">
        <v>Greenfield USD - Planz ES</v>
      </c>
      <c r="B34" s="29" t="str">
        <v>CA</v>
      </c>
      <c r="C34" s="24"/>
      <c r="D34" s="13"/>
      <c r="E34" s="13" t="str">
        <f t="shared" si="0"/>
        <v/>
      </c>
      <c r="F34" s="14"/>
      <c r="G34" s="15"/>
      <c r="H34" s="15" t="str">
        <f t="shared" si="1"/>
        <v/>
      </c>
      <c r="I34" s="16" t="str">
        <f t="shared" si="2"/>
        <v/>
      </c>
      <c r="J34" s="41"/>
      <c r="K34" s="41"/>
    </row>
    <row r="35" spans="1:11" ht="15.6">
      <c r="A35" s="30" t="str">
        <v>Greenfield USD - Raffaello Palla ES</v>
      </c>
      <c r="B35" s="31" t="str">
        <v>CA</v>
      </c>
      <c r="C35" s="11"/>
      <c r="D35" s="18"/>
      <c r="E35" s="18" t="str">
        <f t="shared" si="0"/>
        <v/>
      </c>
      <c r="F35" s="19"/>
      <c r="G35" s="20"/>
      <c r="H35" s="20" t="str">
        <f t="shared" si="1"/>
        <v/>
      </c>
      <c r="I35" s="19" t="str">
        <f t="shared" si="2"/>
        <v/>
      </c>
      <c r="J35" s="42"/>
      <c r="K35" s="43"/>
    </row>
    <row r="36" spans="1:11" ht="15.6">
      <c r="A36" s="28" t="str">
        <v>Greenfield USD - Valle Verde ES</v>
      </c>
      <c r="B36" s="29" t="str">
        <v>CA</v>
      </c>
      <c r="C36" s="24"/>
      <c r="D36" s="13"/>
      <c r="E36" s="13" t="str">
        <f t="shared" si="0"/>
        <v/>
      </c>
      <c r="F36" s="14"/>
      <c r="G36" s="15"/>
      <c r="H36" s="15" t="str">
        <f t="shared" si="1"/>
        <v/>
      </c>
      <c r="I36" s="16" t="str">
        <f t="shared" si="2"/>
        <v/>
      </c>
      <c r="J36" s="41"/>
      <c r="K36" s="41"/>
    </row>
    <row r="37" spans="1:11" ht="15.6">
      <c r="A37" s="30" t="str">
        <v>Greenfield USD - W.A. Kendrick ES</v>
      </c>
      <c r="B37" s="31" t="str">
        <v>CA</v>
      </c>
      <c r="C37" s="11"/>
      <c r="D37" s="18"/>
      <c r="E37" s="18" t="str">
        <f t="shared" si="0"/>
        <v/>
      </c>
      <c r="F37" s="19"/>
      <c r="G37" s="20"/>
      <c r="H37" s="20" t="str">
        <f t="shared" si="1"/>
        <v/>
      </c>
      <c r="I37" s="19" t="str">
        <f t="shared" si="2"/>
        <v/>
      </c>
      <c r="J37" s="42"/>
      <c r="K37" s="43"/>
    </row>
    <row r="38" spans="1:11" ht="15.6">
      <c r="A38" s="28" t="str">
        <v>Muroc Joint USD - Boron HS</v>
      </c>
      <c r="B38" s="29" t="str">
        <v>CA</v>
      </c>
      <c r="C38" s="24"/>
      <c r="D38" s="13"/>
      <c r="E38" s="13" t="str">
        <f t="shared" si="0"/>
        <v/>
      </c>
      <c r="F38" s="14"/>
      <c r="G38" s="15"/>
      <c r="H38" s="15" t="str">
        <f t="shared" si="1"/>
        <v/>
      </c>
      <c r="I38" s="16" t="str">
        <f t="shared" si="2"/>
        <v/>
      </c>
      <c r="J38" s="41"/>
      <c r="K38" s="41"/>
    </row>
    <row r="39" spans="1:11" ht="15.6">
      <c r="A39" s="30" t="str">
        <v>Muroc Joint USD - W. Boron ES</v>
      </c>
      <c r="B39" s="31" t="str">
        <v>CA</v>
      </c>
      <c r="C39" s="11"/>
      <c r="D39" s="18"/>
      <c r="E39" s="18" t="str">
        <f t="shared" si="0"/>
        <v/>
      </c>
      <c r="F39" s="19"/>
      <c r="G39" s="20"/>
      <c r="H39" s="20" t="str">
        <f t="shared" si="1"/>
        <v/>
      </c>
      <c r="I39" s="19" t="str">
        <f t="shared" si="2"/>
        <v/>
      </c>
      <c r="J39" s="42"/>
      <c r="K39" s="43"/>
    </row>
    <row r="40" spans="1:11" ht="15.6">
      <c r="A40" s="28" t="str">
        <v>Colusa - WTP</v>
      </c>
      <c r="B40" s="29" t="str">
        <v>CA</v>
      </c>
      <c r="C40" s="24"/>
      <c r="D40" s="13"/>
      <c r="E40" s="13" t="str">
        <f t="shared" si="0"/>
        <v/>
      </c>
      <c r="F40" s="14"/>
      <c r="G40" s="15"/>
      <c r="H40" s="15" t="str">
        <f t="shared" si="1"/>
        <v/>
      </c>
      <c r="I40" s="16" t="str">
        <f t="shared" si="2"/>
        <v/>
      </c>
      <c r="J40" s="41"/>
      <c r="K40" s="81"/>
    </row>
    <row r="41" spans="1:11" ht="15.6">
      <c r="A41" s="30" t="str">
        <v>CDCR-North Kern State Prision</v>
      </c>
      <c r="B41" s="31" t="str">
        <v>CA</v>
      </c>
      <c r="C41" s="11"/>
      <c r="D41" s="18"/>
      <c r="E41" s="18" t="str">
        <f t="shared" si="0"/>
        <v/>
      </c>
      <c r="F41" s="19"/>
      <c r="G41" s="20"/>
      <c r="H41" s="20" t="str">
        <f t="shared" si="1"/>
        <v/>
      </c>
      <c r="I41" s="19" t="str">
        <f t="shared" si="2"/>
        <v/>
      </c>
      <c r="J41" s="55"/>
      <c r="K41" s="55"/>
    </row>
    <row r="42" spans="1:11" ht="15.6">
      <c r="A42" s="28" t="str">
        <v>Muroc Joint USD - District Office</v>
      </c>
      <c r="B42" s="29" t="str">
        <v>CA</v>
      </c>
      <c r="C42" s="24"/>
      <c r="D42" s="13"/>
      <c r="E42" s="13" t="str">
        <f t="shared" si="0"/>
        <v/>
      </c>
      <c r="F42" s="14"/>
      <c r="G42" s="15"/>
      <c r="H42" s="15" t="str">
        <f t="shared" si="1"/>
        <v/>
      </c>
      <c r="I42" s="16" t="str">
        <f t="shared" si="2"/>
        <v/>
      </c>
      <c r="J42" s="41"/>
      <c r="K42" s="41"/>
    </row>
    <row r="43" spans="1:11" ht="15.6">
      <c r="A43" s="30" t="str">
        <v>Whole Foods - Manhattan Beach</v>
      </c>
      <c r="B43" s="31" t="str">
        <v>CA</v>
      </c>
      <c r="C43" s="11"/>
      <c r="D43" s="18"/>
      <c r="E43" s="18" t="str">
        <f t="shared" si="0"/>
        <v/>
      </c>
      <c r="F43" s="19"/>
      <c r="G43" s="20"/>
      <c r="H43" s="20" t="str">
        <f t="shared" si="1"/>
        <v/>
      </c>
      <c r="I43" s="19" t="str">
        <f t="shared" si="2"/>
        <v/>
      </c>
      <c r="J43" s="55"/>
      <c r="K43" s="55"/>
    </row>
    <row r="44" spans="1:11" ht="15.6">
      <c r="A44" s="28" t="str">
        <v>Pioneer USD - Frontier ES</v>
      </c>
      <c r="B44" s="29" t="str">
        <v>CA</v>
      </c>
      <c r="C44" s="24"/>
      <c r="D44" s="13"/>
      <c r="E44" s="13" t="str">
        <f t="shared" si="0"/>
        <v/>
      </c>
      <c r="F44" s="14"/>
      <c r="G44" s="15"/>
      <c r="H44" s="15" t="str">
        <f t="shared" si="1"/>
        <v/>
      </c>
      <c r="I44" s="16" t="str">
        <f t="shared" si="2"/>
        <v/>
      </c>
      <c r="J44" s="41"/>
      <c r="K44" s="41"/>
    </row>
    <row r="45" spans="1:11" ht="15.6">
      <c r="A45" s="30" t="str">
        <v>Pioneer USD - Pioneer ES</v>
      </c>
      <c r="B45" s="31" t="str">
        <v>CA</v>
      </c>
      <c r="C45" s="11"/>
      <c r="D45" s="18"/>
      <c r="E45" s="18" t="str">
        <f t="shared" si="0"/>
        <v/>
      </c>
      <c r="F45" s="19"/>
      <c r="G45" s="20"/>
      <c r="H45" s="20" t="str">
        <f t="shared" si="1"/>
        <v/>
      </c>
      <c r="I45" s="19" t="str">
        <f t="shared" si="2"/>
        <v/>
      </c>
      <c r="J45" s="124"/>
      <c r="K45" s="124"/>
    </row>
    <row r="46" spans="1:11" ht="15.6">
      <c r="A46" s="28" t="str">
        <v>Pioneer USD - Pioneer MS</v>
      </c>
      <c r="B46" s="29" t="str">
        <v>CA</v>
      </c>
      <c r="C46" s="24"/>
      <c r="D46" s="13"/>
      <c r="E46" s="13" t="str">
        <f t="shared" si="0"/>
        <v/>
      </c>
      <c r="F46" s="14"/>
      <c r="G46" s="15"/>
      <c r="H46" s="15" t="str">
        <f t="shared" si="1"/>
        <v/>
      </c>
      <c r="I46" s="16" t="str">
        <f t="shared" si="2"/>
        <v/>
      </c>
      <c r="J46" s="81"/>
      <c r="K46" s="81"/>
    </row>
    <row r="47" spans="1:11" ht="15.6">
      <c r="A47" s="30" t="str">
        <v>Kingsburg Joint UHSD - Kingsburg HS</v>
      </c>
      <c r="B47" s="31" t="str">
        <v>CA</v>
      </c>
      <c r="C47" s="11"/>
      <c r="D47" s="18"/>
      <c r="E47" s="18" t="str">
        <f t="shared" si="0"/>
        <v/>
      </c>
      <c r="F47" s="19"/>
      <c r="G47" s="20"/>
      <c r="H47" s="20" t="str">
        <f t="shared" si="1"/>
        <v/>
      </c>
      <c r="I47" s="19" t="str">
        <f t="shared" si="2"/>
        <v/>
      </c>
      <c r="J47" s="124"/>
      <c r="K47" s="124"/>
    </row>
    <row r="48" spans="1:11" ht="15.6">
      <c r="A48" s="28" t="str">
        <v>CADRB</v>
      </c>
      <c r="B48" s="29" t="str">
        <v>CA</v>
      </c>
      <c r="C48" s="24"/>
      <c r="D48" s="13"/>
      <c r="E48" s="13" t="str">
        <f t="shared" si="0"/>
        <v/>
      </c>
      <c r="F48" s="14"/>
      <c r="G48" s="15"/>
      <c r="H48" s="15" t="str">
        <f t="shared" si="1"/>
        <v/>
      </c>
      <c r="I48" s="16" t="str">
        <f t="shared" si="2"/>
        <v/>
      </c>
      <c r="J48" s="81"/>
      <c r="K48" s="81"/>
    </row>
    <row r="49" spans="1:11" ht="15.6">
      <c r="A49" s="30" t="str">
        <v>CDCR-CA State Prison LA County</v>
      </c>
      <c r="B49" s="31" t="str">
        <v>CA</v>
      </c>
      <c r="C49" s="11"/>
      <c r="D49" s="18"/>
      <c r="E49" s="18" t="str">
        <f t="shared" si="0"/>
        <v/>
      </c>
      <c r="F49" s="19"/>
      <c r="G49" s="20"/>
      <c r="H49" s="20" t="str">
        <f t="shared" si="1"/>
        <v/>
      </c>
      <c r="I49" s="19" t="str">
        <f t="shared" si="2"/>
        <v/>
      </c>
      <c r="J49" s="42"/>
      <c r="K49" s="43"/>
    </row>
    <row r="50" spans="1:11" ht="15.6">
      <c r="A50" s="28" t="str">
        <v>Central USD Akers ES</v>
      </c>
      <c r="B50" s="29" t="str">
        <v>CA</v>
      </c>
      <c r="C50" s="24"/>
      <c r="D50" s="13"/>
      <c r="E50" s="13" t="str">
        <f t="shared" si="0"/>
        <v/>
      </c>
      <c r="F50" s="14"/>
      <c r="G50" s="15"/>
      <c r="H50" s="15" t="str">
        <f t="shared" si="1"/>
        <v/>
      </c>
      <c r="I50" s="16" t="str">
        <f t="shared" si="2"/>
        <v/>
      </c>
      <c r="J50" s="41"/>
      <c r="K50" s="41"/>
    </row>
    <row r="51" spans="1:11" ht="15.6">
      <c r="A51" s="30" t="str">
        <v>CUSD - District Office</v>
      </c>
      <c r="B51" s="31" t="str">
        <v>CA</v>
      </c>
      <c r="C51" s="11"/>
      <c r="D51" s="18"/>
      <c r="E51" s="18" t="str">
        <f t="shared" si="0"/>
        <v/>
      </c>
      <c r="F51" s="19"/>
      <c r="G51" s="20"/>
      <c r="H51" s="20" t="str">
        <f t="shared" si="1"/>
        <v/>
      </c>
      <c r="I51" s="19" t="str">
        <f t="shared" si="2"/>
        <v/>
      </c>
      <c r="J51" s="42"/>
      <c r="K51" s="124"/>
    </row>
    <row r="52" spans="1:11" ht="15.6">
      <c r="A52" s="28" t="str">
        <v>Parlier - WTP</v>
      </c>
      <c r="B52" s="29" t="str">
        <v>CA</v>
      </c>
      <c r="C52" s="24"/>
      <c r="D52" s="13"/>
      <c r="E52" s="13" t="str">
        <f t="shared" si="0"/>
        <v/>
      </c>
      <c r="F52" s="14"/>
      <c r="G52" s="15"/>
      <c r="H52" s="15" t="str">
        <f t="shared" si="1"/>
        <v/>
      </c>
      <c r="I52" s="16" t="str">
        <f t="shared" si="2"/>
        <v/>
      </c>
      <c r="J52" s="57"/>
      <c r="K52" s="81"/>
    </row>
    <row r="53" spans="1:11" ht="15.6">
      <c r="A53" s="30" t="str">
        <v>Snowline SD - Quail Valley MS</v>
      </c>
      <c r="B53" s="31" t="str">
        <v>CA</v>
      </c>
      <c r="C53" s="11"/>
      <c r="D53" s="18"/>
      <c r="E53" s="18" t="str">
        <f t="shared" si="0"/>
        <v/>
      </c>
      <c r="F53" s="19"/>
      <c r="G53" s="20"/>
      <c r="H53" s="20" t="str">
        <f t="shared" si="1"/>
        <v/>
      </c>
      <c r="I53" s="19" t="str">
        <f t="shared" si="2"/>
        <v/>
      </c>
      <c r="J53" s="124"/>
      <c r="K53" s="89"/>
    </row>
    <row r="54" spans="1:11" ht="15.6">
      <c r="A54" s="28" t="str">
        <v>Snowline SD - Serrano HS - Middle Lot</v>
      </c>
      <c r="B54" s="29" t="str">
        <v>CA</v>
      </c>
      <c r="C54" s="24"/>
      <c r="D54" s="13"/>
      <c r="E54" s="13" t="str">
        <f t="shared" si="0"/>
        <v/>
      </c>
      <c r="F54" s="14"/>
      <c r="G54" s="15"/>
      <c r="H54" s="15" t="str">
        <f t="shared" si="1"/>
        <v/>
      </c>
      <c r="I54" s="16" t="str">
        <f t="shared" si="2"/>
        <v/>
      </c>
      <c r="J54" s="41"/>
      <c r="K54" s="41"/>
    </row>
    <row r="55" spans="1:11" ht="15.6">
      <c r="A55" s="30" t="str">
        <v>Snowline SD - Pinon Hills ES</v>
      </c>
      <c r="B55" s="31" t="str">
        <v>CA</v>
      </c>
      <c r="C55" s="11"/>
      <c r="D55" s="18"/>
      <c r="E55" s="18" t="str">
        <f t="shared" si="0"/>
        <v/>
      </c>
      <c r="F55" s="19"/>
      <c r="G55" s="20"/>
      <c r="H55" s="20" t="str">
        <f t="shared" si="1"/>
        <v/>
      </c>
      <c r="I55" s="19" t="str">
        <f t="shared" si="2"/>
        <v/>
      </c>
      <c r="J55" s="124"/>
      <c r="K55" s="124"/>
    </row>
    <row r="56" spans="1:11" ht="15.6">
      <c r="A56" s="28" t="str">
        <v>Ramona - Santa Maria WTP</v>
      </c>
      <c r="B56" s="29" t="str">
        <v>CA</v>
      </c>
      <c r="C56" s="24"/>
      <c r="D56" s="13"/>
      <c r="E56" s="13" t="str">
        <f t="shared" si="0"/>
        <v/>
      </c>
      <c r="F56" s="14"/>
      <c r="G56" s="15"/>
      <c r="H56" s="15" t="str">
        <f t="shared" si="1"/>
        <v/>
      </c>
      <c r="I56" s="16" t="str">
        <f t="shared" si="2"/>
        <v/>
      </c>
      <c r="J56" s="57"/>
      <c r="K56" s="57"/>
    </row>
    <row r="57" spans="1:11" ht="15.6">
      <c r="A57" s="30" t="str">
        <v>Kohls - Redding</v>
      </c>
      <c r="B57" s="31" t="str">
        <v>CA</v>
      </c>
      <c r="C57" s="11"/>
      <c r="D57" s="18"/>
      <c r="E57" s="18" t="str">
        <f t="shared" si="0"/>
        <v/>
      </c>
      <c r="F57" s="19"/>
      <c r="G57" s="20"/>
      <c r="H57" s="20" t="str">
        <f t="shared" si="1"/>
        <v/>
      </c>
      <c r="I57" s="19" t="str">
        <f t="shared" si="2"/>
        <v/>
      </c>
      <c r="J57" s="55"/>
      <c r="K57" s="55"/>
    </row>
    <row r="58" spans="1:11" ht="15.6">
      <c r="A58" s="28" t="str">
        <v>Kohls - Salinas</v>
      </c>
      <c r="B58" s="29" t="str">
        <v>CA</v>
      </c>
      <c r="C58" s="24"/>
      <c r="D58" s="13"/>
      <c r="E58" s="13" t="str">
        <f t="shared" si="0"/>
        <v/>
      </c>
      <c r="F58" s="14"/>
      <c r="G58" s="15"/>
      <c r="H58" s="15" t="str">
        <f t="shared" si="1"/>
        <v/>
      </c>
      <c r="I58" s="16" t="str">
        <f t="shared" si="2"/>
        <v/>
      </c>
      <c r="J58" s="81"/>
      <c r="K58" s="81"/>
    </row>
    <row r="59" spans="1:11" ht="15.6">
      <c r="A59" s="30" t="str">
        <v>Kohls - San Bernardino - Central</v>
      </c>
      <c r="B59" s="31" t="str">
        <v>CA</v>
      </c>
      <c r="C59" s="11"/>
      <c r="D59" s="18"/>
      <c r="E59" s="18" t="str">
        <f t="shared" si="0"/>
        <v/>
      </c>
      <c r="F59" s="19"/>
      <c r="G59" s="20"/>
      <c r="H59" s="20" t="str">
        <f t="shared" si="1"/>
        <v/>
      </c>
      <c r="I59" s="19" t="str">
        <f t="shared" si="2"/>
        <v/>
      </c>
      <c r="J59" s="42"/>
      <c r="K59" s="43"/>
    </row>
    <row r="60" spans="1:11" ht="15.6">
      <c r="A60" s="28" t="str">
        <v>Kohls - Sonora</v>
      </c>
      <c r="B60" s="29" t="str">
        <v>CA</v>
      </c>
      <c r="C60" s="24"/>
      <c r="D60" s="13"/>
      <c r="E60" s="13" t="str">
        <f t="shared" si="0"/>
        <v/>
      </c>
      <c r="F60" s="14"/>
      <c r="G60" s="15"/>
      <c r="H60" s="15" t="str">
        <f t="shared" si="1"/>
        <v/>
      </c>
      <c r="I60" s="16" t="str">
        <f t="shared" si="2"/>
        <v/>
      </c>
      <c r="J60" s="81"/>
      <c r="K60" s="81"/>
    </row>
    <row r="61" spans="1:11" ht="15.6">
      <c r="A61" s="30" t="str">
        <v>CUSD - Stratford ES</v>
      </c>
      <c r="B61" s="31" t="str">
        <v>CA</v>
      </c>
      <c r="C61" s="11"/>
      <c r="D61" s="18"/>
      <c r="E61" s="18" t="str">
        <f t="shared" si="0"/>
        <v/>
      </c>
      <c r="F61" s="19"/>
      <c r="G61" s="92"/>
      <c r="H61" s="20" t="str">
        <f t="shared" si="1"/>
        <v/>
      </c>
      <c r="I61" s="19" t="str">
        <f t="shared" si="2"/>
        <v/>
      </c>
      <c r="J61" s="55"/>
      <c r="K61" s="43"/>
    </row>
    <row r="62" spans="1:11" ht="15.6">
      <c r="A62" s="28" t="str">
        <v>Taft - City Hall</v>
      </c>
      <c r="B62" s="29" t="str">
        <v>CA</v>
      </c>
      <c r="C62" s="24"/>
      <c r="D62" s="13"/>
      <c r="E62" s="13" t="str">
        <f t="shared" si="0"/>
        <v/>
      </c>
      <c r="F62" s="14"/>
      <c r="G62" s="15"/>
      <c r="H62" s="15" t="str">
        <f t="shared" si="1"/>
        <v/>
      </c>
      <c r="I62" s="16" t="str">
        <f t="shared" si="2"/>
        <v/>
      </c>
      <c r="J62" s="41"/>
      <c r="K62" s="41"/>
    </row>
    <row r="63" spans="1:11" ht="15.6">
      <c r="A63" s="30" t="str">
        <v>Taft - Federal Prison</v>
      </c>
      <c r="B63" s="31" t="str">
        <v>CA</v>
      </c>
      <c r="C63" s="11"/>
      <c r="D63" s="18"/>
      <c r="E63" s="18" t="str">
        <f t="shared" si="0"/>
        <v/>
      </c>
      <c r="F63" s="19"/>
      <c r="G63" s="20"/>
      <c r="H63" s="20" t="str">
        <f t="shared" si="1"/>
        <v/>
      </c>
      <c r="I63" s="19" t="str">
        <f t="shared" si="2"/>
        <v/>
      </c>
      <c r="J63" s="42"/>
      <c r="K63" s="43"/>
    </row>
    <row r="64" spans="1:11" ht="15.6">
      <c r="A64" s="28" t="str">
        <v>Taft - Police Department</v>
      </c>
      <c r="B64" s="29" t="str">
        <v>CA</v>
      </c>
      <c r="C64" s="24"/>
      <c r="D64" s="13"/>
      <c r="E64" s="13" t="str">
        <f t="shared" si="0"/>
        <v/>
      </c>
      <c r="F64" s="14"/>
      <c r="G64" s="15"/>
      <c r="H64" s="15" t="str">
        <f t="shared" si="1"/>
        <v/>
      </c>
      <c r="I64" s="16" t="str">
        <f t="shared" si="2"/>
        <v/>
      </c>
      <c r="J64" s="41"/>
      <c r="K64" s="41"/>
    </row>
    <row r="65" spans="1:11" ht="15.6">
      <c r="A65" s="30" t="str">
        <v>Taft - WTP</v>
      </c>
      <c r="B65" s="31" t="str">
        <v>CA</v>
      </c>
      <c r="C65" s="11"/>
      <c r="D65" s="18"/>
      <c r="E65" s="18" t="str">
        <f t="shared" si="0"/>
        <v/>
      </c>
      <c r="F65" s="19"/>
      <c r="G65" s="20"/>
      <c r="H65" s="20" t="str">
        <f t="shared" si="1"/>
        <v/>
      </c>
      <c r="I65" s="19" t="str">
        <f t="shared" si="2"/>
        <v/>
      </c>
      <c r="J65" s="55"/>
      <c r="K65" s="55"/>
    </row>
    <row r="66" spans="1:11" ht="15.6">
      <c r="A66" s="28" t="str">
        <v>CDCR - CA Correctional Institution</v>
      </c>
      <c r="B66" s="29" t="str">
        <v>CA</v>
      </c>
      <c r="C66" s="24"/>
      <c r="D66" s="13"/>
      <c r="E66" s="13" t="str">
        <f t="shared" si="0"/>
        <v/>
      </c>
      <c r="F66" s="14"/>
      <c r="G66" s="15"/>
      <c r="H66" s="15" t="str">
        <f t="shared" si="1"/>
        <v/>
      </c>
      <c r="I66" s="16" t="str">
        <f t="shared" si="2"/>
        <v/>
      </c>
      <c r="J66" s="57"/>
      <c r="K66" s="57"/>
    </row>
    <row r="67" spans="1:11" ht="15.6">
      <c r="A67" s="30" t="str">
        <v>CDCR - CA Correctional Institution II</v>
      </c>
      <c r="B67" s="31" t="str">
        <v>CA</v>
      </c>
      <c r="C67" s="11"/>
      <c r="D67" s="18"/>
      <c r="E67" s="18" t="str">
        <f t="shared" si="0"/>
        <v/>
      </c>
      <c r="F67" s="19"/>
      <c r="G67" s="20"/>
      <c r="H67" s="20" t="str">
        <f t="shared" si="1"/>
        <v/>
      </c>
      <c r="I67" s="19" t="str">
        <f t="shared" si="2"/>
        <v/>
      </c>
      <c r="J67" s="55"/>
      <c r="K67" s="55"/>
    </row>
    <row r="68" spans="1:11" ht="15.6">
      <c r="A68" s="28" t="str">
        <v>Snowline SD - Vista Verde ES</v>
      </c>
      <c r="B68" s="29" t="str">
        <v>CA</v>
      </c>
      <c r="C68" s="24"/>
      <c r="D68" s="13"/>
      <c r="E68" s="13" t="str">
        <f t="shared" si="0"/>
        <v/>
      </c>
      <c r="F68" s="14"/>
      <c r="G68" s="15"/>
      <c r="H68" s="15" t="str">
        <f t="shared" si="1"/>
        <v/>
      </c>
      <c r="I68" s="16" t="str">
        <f t="shared" si="2"/>
        <v/>
      </c>
      <c r="J68" s="41"/>
      <c r="K68" s="41"/>
    </row>
    <row r="69" spans="1:11" ht="14.45">
      <c r="A69" s="21" t="str">
        <v>North Stonington</v>
      </c>
      <c r="B69" s="33" t="str">
        <v>CT</v>
      </c>
      <c r="C69" s="21"/>
      <c r="D69" s="21"/>
      <c r="E69" s="21"/>
      <c r="F69" s="22"/>
      <c r="G69" s="21"/>
      <c r="H69" s="21"/>
      <c r="I69" s="22"/>
      <c r="J69" s="21"/>
      <c r="K69" s="21"/>
    </row>
    <row r="70" spans="1:11" ht="14.45">
      <c r="A70" s="21"/>
      <c r="B70" s="33"/>
      <c r="C70" s="21"/>
      <c r="D70" s="21"/>
      <c r="E70" s="21"/>
      <c r="F70" s="22"/>
      <c r="G70" s="21"/>
      <c r="H70" s="21"/>
      <c r="I70" s="22"/>
      <c r="J70" s="21"/>
      <c r="K70" s="21"/>
    </row>
    <row r="71" spans="1:11" ht="14.45">
      <c r="A71" s="21"/>
      <c r="B71" s="33"/>
      <c r="C71" s="21"/>
      <c r="D71" s="21"/>
      <c r="E71" s="21"/>
      <c r="F71" s="22"/>
      <c r="G71" s="21"/>
      <c r="H71" s="21"/>
      <c r="I71" s="22"/>
      <c r="J71" s="21"/>
      <c r="K71" s="21"/>
    </row>
    <row r="72" spans="1:11" ht="14.45">
      <c r="A72" s="21"/>
      <c r="B72" s="33"/>
      <c r="C72" s="21"/>
      <c r="D72" s="21"/>
      <c r="E72" s="21"/>
      <c r="F72" s="22"/>
      <c r="G72" s="21"/>
      <c r="H72" s="21"/>
      <c r="I72" s="22"/>
      <c r="J72" s="21"/>
      <c r="K72" s="21"/>
    </row>
    <row r="73" spans="1:11" ht="14.45">
      <c r="A73" s="21"/>
      <c r="B73" s="33"/>
      <c r="C73" s="21"/>
      <c r="D73" s="21"/>
      <c r="E73" s="21"/>
      <c r="F73" s="22"/>
      <c r="G73" s="21"/>
      <c r="H73" s="21"/>
      <c r="I73" s="22"/>
      <c r="J73" s="21"/>
      <c r="K73" s="21"/>
    </row>
    <row r="74" spans="1:11" ht="14.45">
      <c r="A74" s="21"/>
      <c r="B74" s="33"/>
      <c r="C74" s="21"/>
      <c r="D74" s="21"/>
      <c r="E74" s="21"/>
      <c r="F74" s="22"/>
      <c r="G74" s="21"/>
      <c r="H74" s="21"/>
      <c r="I74" s="22"/>
      <c r="J74" s="21"/>
      <c r="K74" s="21"/>
    </row>
    <row r="75" spans="1:11" ht="14.45">
      <c r="A75" s="21"/>
      <c r="B75" s="33"/>
      <c r="C75" s="21"/>
      <c r="D75" s="21"/>
      <c r="E75" s="21"/>
      <c r="F75" s="22"/>
      <c r="G75" s="21"/>
      <c r="H75" s="21"/>
      <c r="I75" s="22"/>
      <c r="J75" s="21"/>
      <c r="K75" s="21"/>
    </row>
    <row r="76" spans="1:11" ht="14.45">
      <c r="A76" s="21"/>
      <c r="B76" s="33"/>
      <c r="C76" s="21"/>
      <c r="D76" s="21"/>
      <c r="E76" s="21"/>
      <c r="F76" s="22"/>
      <c r="G76" s="21"/>
      <c r="H76" s="21"/>
      <c r="I76" s="22"/>
      <c r="J76" s="21"/>
      <c r="K76" s="21"/>
    </row>
    <row r="77" spans="1:11" ht="14.45">
      <c r="A77" s="21"/>
      <c r="B77" s="33"/>
      <c r="C77" s="21"/>
      <c r="D77" s="21"/>
      <c r="E77" s="21"/>
      <c r="F77" s="22"/>
      <c r="G77" s="21"/>
      <c r="H77" s="21"/>
      <c r="I77" s="22"/>
      <c r="J77" s="21"/>
      <c r="K77" s="21"/>
    </row>
    <row r="78" spans="1:11" ht="14.45">
      <c r="A78" s="21"/>
      <c r="B78" s="33"/>
      <c r="C78" s="21"/>
      <c r="D78" s="21"/>
      <c r="E78" s="21"/>
      <c r="F78" s="22"/>
      <c r="G78" s="21"/>
      <c r="H78" s="21"/>
      <c r="I78" s="22"/>
      <c r="J78" s="21"/>
      <c r="K78" s="21"/>
    </row>
    <row r="79" spans="1:11" ht="14.45">
      <c r="A79" s="21"/>
      <c r="B79" s="33"/>
      <c r="C79" s="21"/>
      <c r="D79" s="21"/>
      <c r="E79" s="21"/>
      <c r="F79" s="22"/>
      <c r="G79" s="21"/>
      <c r="H79" s="21"/>
      <c r="I79" s="22"/>
      <c r="J79" s="21"/>
      <c r="K79" s="21"/>
    </row>
    <row r="80" spans="1:11" ht="14.45">
      <c r="A80" s="21"/>
      <c r="B80" s="33"/>
      <c r="C80" s="21"/>
      <c r="D80" s="21"/>
      <c r="E80" s="21"/>
      <c r="F80" s="22"/>
      <c r="G80" s="21"/>
      <c r="H80" s="21"/>
      <c r="I80" s="22"/>
      <c r="J80" s="21"/>
      <c r="K80" s="21"/>
    </row>
    <row r="81" spans="1:11" ht="14.45">
      <c r="A81" s="21"/>
      <c r="B81" s="33"/>
      <c r="C81" s="21"/>
      <c r="D81" s="21"/>
      <c r="E81" s="21"/>
      <c r="F81" s="22"/>
      <c r="G81" s="21"/>
      <c r="H81" s="21"/>
      <c r="I81" s="22"/>
      <c r="J81" s="21"/>
      <c r="K81" s="21"/>
    </row>
    <row r="82" spans="1:11" ht="14.45">
      <c r="A82" s="21"/>
      <c r="B82" s="33"/>
      <c r="C82" s="21"/>
      <c r="D82" s="21"/>
      <c r="E82" s="21"/>
      <c r="F82" s="22"/>
      <c r="G82" s="21"/>
      <c r="H82" s="21"/>
      <c r="I82" s="22"/>
      <c r="J82" s="21"/>
      <c r="K82" s="21"/>
    </row>
    <row r="83" spans="1:11" ht="14.45">
      <c r="A83" s="21"/>
      <c r="B83" s="33"/>
      <c r="C83" s="21"/>
      <c r="D83" s="21"/>
      <c r="E83" s="21"/>
      <c r="F83" s="22"/>
      <c r="G83" s="21"/>
      <c r="H83" s="21"/>
      <c r="I83" s="22"/>
      <c r="J83" s="21"/>
      <c r="K83" s="21"/>
    </row>
    <row r="84" spans="1:11" ht="14.45">
      <c r="A84" s="21"/>
      <c r="B84" s="33"/>
      <c r="C84" s="21"/>
      <c r="D84" s="21"/>
      <c r="E84" s="21"/>
      <c r="F84" s="22"/>
      <c r="G84" s="21"/>
      <c r="H84" s="21"/>
      <c r="I84" s="22"/>
      <c r="J84" s="21"/>
      <c r="K84" s="21"/>
    </row>
    <row r="85" spans="1:11" ht="14.45">
      <c r="A85" s="21"/>
      <c r="B85" s="33"/>
      <c r="C85" s="21"/>
      <c r="D85" s="21"/>
      <c r="E85" s="21"/>
      <c r="F85" s="22"/>
      <c r="G85" s="21"/>
      <c r="H85" s="21"/>
      <c r="I85" s="22"/>
      <c r="J85" s="21"/>
      <c r="K85" s="21"/>
    </row>
    <row r="86" spans="1:11" ht="14.45">
      <c r="A86" s="21"/>
      <c r="B86" s="33"/>
      <c r="C86" s="21"/>
      <c r="D86" s="21"/>
      <c r="E86" s="21"/>
      <c r="F86" s="22"/>
      <c r="G86" s="21"/>
      <c r="H86" s="21"/>
      <c r="I86" s="22"/>
      <c r="J86" s="21"/>
      <c r="K86" s="21"/>
    </row>
    <row r="87" spans="1:11" ht="14.45">
      <c r="A87" s="21"/>
      <c r="B87" s="33"/>
      <c r="C87" s="21"/>
      <c r="D87" s="21"/>
      <c r="E87" s="21"/>
      <c r="F87" s="22"/>
      <c r="G87" s="21"/>
      <c r="H87" s="21"/>
      <c r="I87" s="22"/>
      <c r="J87" s="21"/>
      <c r="K87" s="21"/>
    </row>
    <row r="88" spans="1:11" ht="14.45">
      <c r="A88" s="21"/>
      <c r="B88" s="33"/>
      <c r="C88" s="21"/>
      <c r="D88" s="21"/>
      <c r="E88" s="21"/>
      <c r="F88" s="22"/>
      <c r="G88" s="21"/>
      <c r="H88" s="21"/>
      <c r="I88" s="22"/>
      <c r="J88" s="21"/>
      <c r="K88" s="21"/>
    </row>
    <row r="89" spans="1:11" ht="14.45">
      <c r="A89" s="21"/>
      <c r="B89" s="33"/>
      <c r="C89" s="21"/>
      <c r="D89" s="21"/>
      <c r="E89" s="21"/>
      <c r="F89" s="22"/>
      <c r="G89" s="21"/>
      <c r="H89" s="21"/>
      <c r="I89" s="22"/>
      <c r="J89" s="21"/>
      <c r="K89" s="21"/>
    </row>
    <row r="90" spans="1:11" ht="14.45">
      <c r="A90" s="21"/>
      <c r="B90" s="33"/>
      <c r="C90" s="21"/>
      <c r="D90" s="21"/>
      <c r="E90" s="21"/>
      <c r="F90" s="22"/>
      <c r="G90" s="21"/>
      <c r="H90" s="21"/>
      <c r="I90" s="22"/>
      <c r="J90" s="21"/>
      <c r="K90" s="21"/>
    </row>
    <row r="91" spans="1:11" ht="14.45">
      <c r="A91" s="21"/>
      <c r="B91" s="33"/>
      <c r="C91" s="21"/>
      <c r="D91" s="21"/>
      <c r="E91" s="21"/>
      <c r="F91" s="22"/>
      <c r="G91" s="21"/>
      <c r="H91" s="21"/>
      <c r="I91" s="22"/>
      <c r="J91" s="21"/>
      <c r="K91" s="21"/>
    </row>
    <row r="92" spans="1:11" ht="14.45">
      <c r="A92" s="21"/>
      <c r="B92" s="33"/>
      <c r="C92" s="21"/>
      <c r="D92" s="21"/>
      <c r="E92" s="21"/>
      <c r="F92" s="22"/>
      <c r="G92" s="21"/>
      <c r="H92" s="21"/>
      <c r="I92" s="22"/>
      <c r="J92" s="21"/>
      <c r="K92" s="21"/>
    </row>
    <row r="93" spans="1:11" ht="14.45">
      <c r="A93" s="21"/>
      <c r="B93" s="33"/>
      <c r="C93" s="21"/>
      <c r="D93" s="21"/>
      <c r="E93" s="21"/>
      <c r="F93" s="22"/>
      <c r="G93" s="21"/>
      <c r="H93" s="21"/>
      <c r="I93" s="22"/>
      <c r="J93" s="21"/>
      <c r="K93" s="21"/>
    </row>
    <row r="94" spans="1:11" ht="14.45">
      <c r="A94" s="21"/>
      <c r="B94" s="33"/>
      <c r="C94" s="21"/>
      <c r="D94" s="21"/>
      <c r="E94" s="21"/>
      <c r="F94" s="22"/>
      <c r="G94" s="21"/>
      <c r="H94" s="21"/>
      <c r="I94" s="22"/>
      <c r="J94" s="21"/>
      <c r="K94" s="21"/>
    </row>
    <row r="95" spans="1:11" ht="14.45">
      <c r="A95" s="21"/>
      <c r="B95" s="33"/>
      <c r="C95" s="21"/>
      <c r="D95" s="21"/>
      <c r="E95" s="21"/>
      <c r="F95" s="22"/>
      <c r="G95" s="21"/>
      <c r="H95" s="21"/>
      <c r="I95" s="22"/>
      <c r="J95" s="21"/>
      <c r="K95" s="21"/>
    </row>
    <row r="96" spans="1:11" ht="14.45">
      <c r="A96" s="21"/>
      <c r="B96" s="33"/>
      <c r="C96" s="21"/>
      <c r="D96" s="21"/>
      <c r="E96" s="21"/>
      <c r="F96" s="22"/>
      <c r="G96" s="21"/>
      <c r="H96" s="21"/>
      <c r="I96" s="22"/>
      <c r="J96" s="21"/>
      <c r="K96" s="21"/>
    </row>
    <row r="97" spans="1:11" ht="14.45">
      <c r="A97" s="21"/>
      <c r="B97" s="33"/>
      <c r="C97" s="21"/>
      <c r="D97" s="21"/>
      <c r="E97" s="21"/>
      <c r="F97" s="22"/>
      <c r="G97" s="21"/>
      <c r="H97" s="21"/>
      <c r="I97" s="22"/>
      <c r="J97" s="21"/>
      <c r="K97" s="21"/>
    </row>
    <row r="98" spans="1:11" ht="14.45">
      <c r="A98" s="21"/>
      <c r="B98" s="33"/>
      <c r="C98" s="21"/>
      <c r="D98" s="21"/>
      <c r="E98" s="21"/>
      <c r="F98" s="22"/>
      <c r="G98" s="21"/>
      <c r="H98" s="21"/>
      <c r="I98" s="22"/>
      <c r="J98" s="21"/>
      <c r="K98" s="21"/>
    </row>
    <row r="99" spans="1:11" ht="14.45">
      <c r="A99" s="21"/>
      <c r="B99" s="33"/>
      <c r="C99" s="21"/>
      <c r="D99" s="21"/>
      <c r="E99" s="21"/>
      <c r="F99" s="22"/>
      <c r="G99" s="21"/>
      <c r="H99" s="21"/>
      <c r="I99" s="22"/>
      <c r="J99" s="21"/>
      <c r="K99" s="21"/>
    </row>
    <row r="100" spans="1:11" ht="14.45">
      <c r="A100" s="21"/>
      <c r="B100" s="33"/>
      <c r="C100" s="21"/>
      <c r="D100" s="21"/>
      <c r="E100" s="21"/>
      <c r="F100" s="22"/>
      <c r="G100" s="21"/>
      <c r="H100" s="21"/>
      <c r="I100" s="22"/>
      <c r="J100" s="21"/>
      <c r="K100" s="21"/>
    </row>
    <row r="101" spans="1:11" ht="14.45">
      <c r="A101" s="21"/>
      <c r="B101" s="33"/>
      <c r="C101" s="21"/>
      <c r="D101" s="21"/>
      <c r="E101" s="21"/>
      <c r="F101" s="22"/>
      <c r="G101" s="21"/>
      <c r="H101" s="21"/>
      <c r="I101" s="22"/>
      <c r="J101" s="21"/>
      <c r="K101" s="21"/>
    </row>
    <row r="102" spans="1:11" ht="14.45">
      <c r="A102" s="21"/>
      <c r="B102" s="33"/>
      <c r="C102" s="21"/>
      <c r="D102" s="21"/>
      <c r="E102" s="21"/>
      <c r="F102" s="22"/>
      <c r="G102" s="21"/>
      <c r="H102" s="21"/>
      <c r="I102" s="22"/>
      <c r="J102" s="21"/>
      <c r="K102" s="21"/>
    </row>
    <row r="103" spans="1:11" ht="14.45">
      <c r="A103" s="21"/>
      <c r="B103" s="33"/>
      <c r="C103" s="21"/>
      <c r="D103" s="21"/>
      <c r="E103" s="21"/>
      <c r="F103" s="22"/>
      <c r="G103" s="21"/>
      <c r="H103" s="21"/>
      <c r="I103" s="22"/>
      <c r="J103" s="21"/>
      <c r="K103" s="21"/>
    </row>
    <row r="104" spans="1:11" ht="14.45">
      <c r="A104" s="21"/>
      <c r="B104" s="33"/>
      <c r="C104" s="21"/>
      <c r="D104" s="21"/>
      <c r="E104" s="21"/>
      <c r="F104" s="22"/>
      <c r="G104" s="21"/>
      <c r="H104" s="21"/>
      <c r="I104" s="22"/>
      <c r="J104" s="21"/>
      <c r="K104" s="21"/>
    </row>
    <row r="105" spans="1:11" ht="14.45">
      <c r="A105" s="21"/>
      <c r="B105" s="33"/>
      <c r="C105" s="21"/>
      <c r="D105" s="21"/>
      <c r="E105" s="21"/>
      <c r="F105" s="22"/>
      <c r="G105" s="21"/>
      <c r="H105" s="21"/>
      <c r="I105" s="22"/>
      <c r="J105" s="21"/>
      <c r="K105" s="21"/>
    </row>
    <row r="106" spans="1:11" ht="14.45">
      <c r="A106" s="21"/>
      <c r="B106" s="33"/>
      <c r="C106" s="21"/>
      <c r="D106" s="21"/>
      <c r="E106" s="21"/>
      <c r="F106" s="22"/>
      <c r="G106" s="21"/>
      <c r="H106" s="21"/>
      <c r="I106" s="22"/>
      <c r="J106" s="21"/>
      <c r="K106" s="21"/>
    </row>
    <row r="107" spans="1:11" ht="14.45">
      <c r="A107" s="21"/>
      <c r="B107" s="33"/>
      <c r="C107" s="21"/>
      <c r="D107" s="21"/>
      <c r="E107" s="21"/>
      <c r="F107" s="22"/>
      <c r="G107" s="21"/>
      <c r="H107" s="21"/>
      <c r="I107" s="22"/>
      <c r="J107" s="21"/>
      <c r="K107" s="21"/>
    </row>
    <row r="108" spans="1:11" ht="14.45">
      <c r="A108" s="21"/>
      <c r="B108" s="33"/>
      <c r="C108" s="21"/>
      <c r="D108" s="21"/>
      <c r="E108" s="21"/>
      <c r="F108" s="22"/>
      <c r="G108" s="21"/>
      <c r="H108" s="21"/>
      <c r="I108" s="22"/>
      <c r="J108" s="21"/>
      <c r="K108" s="21"/>
    </row>
    <row r="109" spans="1:11" ht="14.45">
      <c r="A109" s="21"/>
      <c r="B109" s="33"/>
      <c r="C109" s="21"/>
      <c r="D109" s="21"/>
      <c r="E109" s="21"/>
      <c r="F109" s="22"/>
      <c r="G109" s="21"/>
      <c r="H109" s="21"/>
      <c r="I109" s="22"/>
      <c r="J109" s="21"/>
      <c r="K109" s="21"/>
    </row>
    <row r="110" spans="1:11" ht="14.45">
      <c r="A110" s="21"/>
      <c r="B110" s="33"/>
      <c r="C110" s="21"/>
      <c r="D110" s="21"/>
      <c r="E110" s="21"/>
      <c r="F110" s="22"/>
      <c r="G110" s="21"/>
      <c r="H110" s="21"/>
      <c r="I110" s="22"/>
      <c r="J110" s="21"/>
      <c r="K110" s="21"/>
    </row>
    <row r="111" spans="1:11" ht="14.45">
      <c r="A111" s="21"/>
      <c r="B111" s="33"/>
      <c r="C111" s="21"/>
      <c r="D111" s="21"/>
      <c r="E111" s="21"/>
      <c r="F111" s="22"/>
      <c r="G111" s="21"/>
      <c r="H111" s="21"/>
      <c r="I111" s="22"/>
      <c r="J111" s="21"/>
      <c r="K111" s="21"/>
    </row>
    <row r="112" spans="1:11" ht="14.45">
      <c r="A112" s="21"/>
      <c r="B112" s="33"/>
      <c r="C112" s="21"/>
      <c r="D112" s="21"/>
      <c r="E112" s="21"/>
      <c r="F112" s="22"/>
      <c r="G112" s="21"/>
      <c r="H112" s="21"/>
      <c r="I112" s="22"/>
      <c r="J112" s="21"/>
      <c r="K112" s="21"/>
    </row>
    <row r="113" spans="1:11" ht="14.45">
      <c r="A113" s="21"/>
      <c r="B113" s="33"/>
      <c r="C113" s="21"/>
      <c r="D113" s="21"/>
      <c r="E113" s="21"/>
      <c r="F113" s="22"/>
      <c r="G113" s="21"/>
      <c r="H113" s="21"/>
      <c r="I113" s="22"/>
      <c r="J113" s="21"/>
      <c r="K113" s="21"/>
    </row>
    <row r="114" spans="1:11" ht="14.45">
      <c r="A114" s="21"/>
      <c r="B114" s="33"/>
      <c r="C114" s="21"/>
      <c r="D114" s="21"/>
      <c r="E114" s="21"/>
      <c r="F114" s="22"/>
      <c r="G114" s="21"/>
      <c r="H114" s="21"/>
      <c r="I114" s="22"/>
      <c r="J114" s="21"/>
      <c r="K114" s="21"/>
    </row>
    <row r="115" spans="1:11" ht="14.45">
      <c r="A115" s="21"/>
      <c r="B115" s="33"/>
      <c r="C115" s="21"/>
      <c r="D115" s="21"/>
      <c r="E115" s="21"/>
      <c r="F115" s="22"/>
      <c r="G115" s="21"/>
      <c r="H115" s="21"/>
      <c r="I115" s="22"/>
      <c r="J115" s="21"/>
      <c r="K115" s="21"/>
    </row>
    <row r="116" spans="1:11" ht="14.45">
      <c r="A116" s="21"/>
      <c r="B116" s="33"/>
      <c r="C116" s="21"/>
      <c r="D116" s="21"/>
      <c r="E116" s="21"/>
      <c r="F116" s="22"/>
      <c r="G116" s="21"/>
      <c r="H116" s="21"/>
      <c r="I116" s="22"/>
      <c r="J116" s="21"/>
      <c r="K116" s="21"/>
    </row>
    <row r="117" spans="1:11" ht="14.45">
      <c r="A117" s="21"/>
      <c r="B117" s="33"/>
      <c r="C117" s="21"/>
      <c r="D117" s="21"/>
      <c r="E117" s="21"/>
      <c r="F117" s="22"/>
      <c r="G117" s="21"/>
      <c r="H117" s="21"/>
      <c r="I117" s="22"/>
      <c r="J117" s="21"/>
      <c r="K117" s="21"/>
    </row>
    <row r="118" spans="1:11" ht="14.45">
      <c r="A118" s="21"/>
      <c r="B118" s="33"/>
      <c r="C118" s="21"/>
      <c r="D118" s="21"/>
      <c r="E118" s="21"/>
      <c r="F118" s="22"/>
      <c r="G118" s="21"/>
      <c r="H118" s="21"/>
      <c r="I118" s="22"/>
      <c r="J118" s="21"/>
      <c r="K118" s="21"/>
    </row>
    <row r="119" spans="1:11" ht="14.45">
      <c r="A119" s="21"/>
      <c r="B119" s="33"/>
      <c r="C119" s="21"/>
      <c r="D119" s="21"/>
      <c r="E119" s="21"/>
      <c r="F119" s="22"/>
      <c r="G119" s="21"/>
      <c r="H119" s="21"/>
      <c r="I119" s="22"/>
      <c r="J119" s="21"/>
      <c r="K119" s="21"/>
    </row>
    <row r="120" spans="1:11" ht="14.45">
      <c r="A120" s="21"/>
      <c r="B120" s="33"/>
      <c r="C120" s="21"/>
      <c r="D120" s="21"/>
      <c r="E120" s="21"/>
      <c r="F120" s="22"/>
      <c r="G120" s="21"/>
      <c r="H120" s="21"/>
      <c r="I120" s="22"/>
      <c r="J120" s="21"/>
      <c r="K120" s="21"/>
    </row>
    <row r="121" spans="1:11" ht="14.45">
      <c r="A121" s="21"/>
      <c r="B121" s="33"/>
      <c r="C121" s="21"/>
      <c r="D121" s="21"/>
      <c r="E121" s="21"/>
      <c r="F121" s="22"/>
      <c r="G121" s="21"/>
      <c r="H121" s="21"/>
      <c r="I121" s="22"/>
      <c r="J121" s="21"/>
      <c r="K121" s="21"/>
    </row>
    <row r="122" spans="1:11" ht="14.45">
      <c r="A122" s="21"/>
      <c r="B122" s="33"/>
      <c r="C122" s="21"/>
      <c r="D122" s="21"/>
      <c r="E122" s="21"/>
      <c r="F122" s="22"/>
      <c r="G122" s="21"/>
      <c r="H122" s="21"/>
      <c r="I122" s="22"/>
      <c r="J122" s="21"/>
      <c r="K122" s="21"/>
    </row>
    <row r="123" spans="1:11" ht="14.45">
      <c r="A123" s="21"/>
      <c r="B123" s="33"/>
      <c r="C123" s="21"/>
      <c r="D123" s="21"/>
      <c r="E123" s="21"/>
      <c r="F123" s="22"/>
      <c r="G123" s="21"/>
      <c r="H123" s="21"/>
      <c r="I123" s="22"/>
      <c r="J123" s="21"/>
      <c r="K123" s="21"/>
    </row>
    <row r="124" spans="1:11" ht="14.45">
      <c r="A124" s="21"/>
      <c r="B124" s="33"/>
      <c r="C124" s="21"/>
      <c r="D124" s="21"/>
      <c r="E124" s="21"/>
      <c r="F124" s="22"/>
      <c r="G124" s="21"/>
      <c r="H124" s="21"/>
      <c r="I124" s="22"/>
      <c r="J124" s="21"/>
      <c r="K124" s="21"/>
    </row>
    <row r="125" spans="1:11" ht="14.45">
      <c r="A125" s="21"/>
      <c r="B125" s="33"/>
      <c r="C125" s="21"/>
      <c r="D125" s="21"/>
      <c r="E125" s="21"/>
      <c r="F125" s="22"/>
      <c r="G125" s="21"/>
      <c r="H125" s="21"/>
      <c r="I125" s="22"/>
      <c r="J125" s="21"/>
      <c r="K125" s="21"/>
    </row>
    <row r="126" spans="1:11" ht="14.45">
      <c r="A126" s="21"/>
      <c r="B126" s="33"/>
      <c r="C126" s="21"/>
      <c r="D126" s="21"/>
      <c r="E126" s="21"/>
      <c r="F126" s="22"/>
      <c r="G126" s="21"/>
      <c r="H126" s="21"/>
      <c r="I126" s="22"/>
      <c r="J126" s="21"/>
      <c r="K126" s="21"/>
    </row>
    <row r="127" spans="1:11" ht="14.45">
      <c r="A127" s="21"/>
      <c r="B127" s="33"/>
      <c r="C127" s="21"/>
      <c r="D127" s="21"/>
      <c r="E127" s="21"/>
      <c r="F127" s="22"/>
      <c r="G127" s="21"/>
      <c r="H127" s="21"/>
      <c r="I127" s="22"/>
      <c r="J127" s="21"/>
      <c r="K127" s="21"/>
    </row>
    <row r="128" spans="1:11" ht="14.45">
      <c r="A128" s="21"/>
      <c r="B128" s="33"/>
      <c r="C128" s="21"/>
      <c r="D128" s="21"/>
      <c r="E128" s="21"/>
      <c r="F128" s="22"/>
      <c r="G128" s="21"/>
      <c r="H128" s="21"/>
      <c r="I128" s="22"/>
      <c r="J128" s="21"/>
      <c r="K128" s="21"/>
    </row>
    <row r="129" spans="1:11" ht="14.45">
      <c r="A129" s="21"/>
      <c r="B129" s="33"/>
      <c r="C129" s="21"/>
      <c r="D129" s="21"/>
      <c r="E129" s="21"/>
      <c r="F129" s="22"/>
      <c r="G129" s="21"/>
      <c r="H129" s="21"/>
      <c r="I129" s="22"/>
      <c r="J129" s="21"/>
      <c r="K129" s="21"/>
    </row>
    <row r="130" spans="1:11" ht="14.45">
      <c r="A130" s="21"/>
      <c r="B130" s="33"/>
      <c r="C130" s="21"/>
      <c r="D130" s="21"/>
      <c r="E130" s="21"/>
      <c r="F130" s="22"/>
      <c r="G130" s="21"/>
      <c r="H130" s="21"/>
      <c r="I130" s="22"/>
      <c r="J130" s="21"/>
      <c r="K130" s="21"/>
    </row>
    <row r="131" spans="1:11" ht="14.45">
      <c r="A131" s="21"/>
      <c r="B131" s="33"/>
      <c r="C131" s="21"/>
      <c r="D131" s="21"/>
      <c r="E131" s="21"/>
      <c r="F131" s="22"/>
      <c r="G131" s="21"/>
      <c r="H131" s="21"/>
      <c r="I131" s="22"/>
      <c r="J131" s="21"/>
      <c r="K131" s="21"/>
    </row>
    <row r="132" spans="1:11" ht="14.45">
      <c r="A132" s="21"/>
      <c r="B132" s="33"/>
      <c r="C132" s="21"/>
      <c r="D132" s="21"/>
      <c r="E132" s="21"/>
      <c r="F132" s="22"/>
      <c r="G132" s="21"/>
      <c r="H132" s="21"/>
      <c r="I132" s="22"/>
      <c r="J132" s="21"/>
      <c r="K132" s="21"/>
    </row>
    <row r="133" spans="1:11" ht="14.45">
      <c r="A133" s="21"/>
      <c r="B133" s="33"/>
      <c r="C133" s="21"/>
      <c r="D133" s="21"/>
      <c r="E133" s="21"/>
      <c r="F133" s="22"/>
      <c r="G133" s="21"/>
      <c r="H133" s="21"/>
      <c r="I133" s="22"/>
      <c r="J133" s="21"/>
      <c r="K133" s="21"/>
    </row>
    <row r="134" spans="1:11" ht="14.45">
      <c r="A134" s="21"/>
      <c r="B134" s="33"/>
      <c r="C134" s="21"/>
      <c r="D134" s="21"/>
      <c r="E134" s="21"/>
      <c r="F134" s="22"/>
      <c r="G134" s="21"/>
      <c r="H134" s="21"/>
      <c r="I134" s="22"/>
      <c r="J134" s="21"/>
      <c r="K134" s="21"/>
    </row>
    <row r="135" spans="1:11" ht="14.45">
      <c r="A135" s="21"/>
      <c r="B135" s="33"/>
      <c r="C135" s="21"/>
      <c r="D135" s="21"/>
      <c r="E135" s="21"/>
      <c r="F135" s="22"/>
      <c r="G135" s="21"/>
      <c r="H135" s="21"/>
      <c r="I135" s="22"/>
      <c r="J135" s="21"/>
      <c r="K135" s="21"/>
    </row>
    <row r="136" spans="1:11" ht="14.45">
      <c r="A136" s="21"/>
      <c r="B136" s="33"/>
      <c r="C136" s="21"/>
      <c r="D136" s="21"/>
      <c r="E136" s="21"/>
      <c r="F136" s="22"/>
      <c r="G136" s="21"/>
      <c r="H136" s="21"/>
      <c r="I136" s="22"/>
      <c r="J136" s="21"/>
      <c r="K136" s="21"/>
    </row>
    <row r="137" spans="1:11" ht="14.45">
      <c r="A137" s="21"/>
      <c r="B137" s="33"/>
      <c r="C137" s="21"/>
      <c r="D137" s="21"/>
      <c r="E137" s="21"/>
      <c r="F137" s="22"/>
      <c r="G137" s="21"/>
      <c r="H137" s="21"/>
      <c r="I137" s="22"/>
      <c r="J137" s="21"/>
      <c r="K137" s="21"/>
    </row>
    <row r="138" spans="1:11" ht="14.45">
      <c r="A138" s="21"/>
      <c r="B138" s="33"/>
      <c r="C138" s="21"/>
      <c r="D138" s="21"/>
      <c r="E138" s="21"/>
      <c r="F138" s="22"/>
      <c r="G138" s="21"/>
      <c r="H138" s="21"/>
      <c r="I138" s="22"/>
      <c r="J138" s="21"/>
      <c r="K138" s="21"/>
    </row>
    <row r="139" spans="1:11" ht="14.45">
      <c r="A139" s="21"/>
      <c r="B139" s="33"/>
      <c r="C139" s="21"/>
      <c r="D139" s="21"/>
      <c r="E139" s="21"/>
      <c r="F139" s="22"/>
      <c r="G139" s="21"/>
      <c r="H139" s="21"/>
      <c r="I139" s="22"/>
      <c r="J139" s="21"/>
      <c r="K139" s="21"/>
    </row>
    <row r="140" spans="1:11" ht="14.45">
      <c r="A140" s="21"/>
      <c r="B140" s="33"/>
      <c r="C140" s="21"/>
      <c r="D140" s="21"/>
      <c r="E140" s="21"/>
      <c r="F140" s="22"/>
      <c r="G140" s="21"/>
      <c r="H140" s="21"/>
      <c r="I140" s="22"/>
      <c r="J140" s="21"/>
      <c r="K140" s="21"/>
    </row>
    <row r="141" spans="1:11" ht="14.45">
      <c r="A141" s="21"/>
      <c r="B141" s="33"/>
      <c r="C141" s="21"/>
      <c r="D141" s="21"/>
      <c r="E141" s="21"/>
      <c r="F141" s="22"/>
      <c r="G141" s="21"/>
      <c r="H141" s="21"/>
      <c r="I141" s="22"/>
      <c r="J141" s="21"/>
      <c r="K141" s="21"/>
    </row>
    <row r="142" spans="1:11" ht="14.45">
      <c r="A142" s="21"/>
      <c r="B142" s="33"/>
      <c r="C142" s="21"/>
      <c r="D142" s="21"/>
      <c r="E142" s="21"/>
      <c r="F142" s="22"/>
      <c r="G142" s="21"/>
      <c r="H142" s="21"/>
      <c r="I142" s="22"/>
      <c r="J142" s="21"/>
      <c r="K142" s="21"/>
    </row>
    <row r="143" spans="1:11" ht="14.45">
      <c r="A143" s="21"/>
      <c r="B143" s="33"/>
      <c r="C143" s="21"/>
      <c r="D143" s="21"/>
      <c r="E143" s="21"/>
      <c r="F143" s="22"/>
      <c r="G143" s="21"/>
      <c r="H143" s="21"/>
      <c r="I143" s="22"/>
      <c r="J143" s="21"/>
      <c r="K143" s="21"/>
    </row>
    <row r="144" spans="1:11" ht="14.45">
      <c r="A144" s="21"/>
      <c r="B144" s="33"/>
      <c r="C144" s="21"/>
      <c r="D144" s="21"/>
      <c r="E144" s="21"/>
      <c r="F144" s="22"/>
      <c r="G144" s="21"/>
      <c r="H144" s="21"/>
      <c r="I144" s="22"/>
      <c r="J144" s="21"/>
      <c r="K144" s="21"/>
    </row>
    <row r="145" spans="1:11" ht="14.45">
      <c r="A145" s="21"/>
      <c r="B145" s="33"/>
      <c r="C145" s="21"/>
      <c r="D145" s="21"/>
      <c r="E145" s="21"/>
      <c r="F145" s="22"/>
      <c r="G145" s="21"/>
      <c r="H145" s="21"/>
      <c r="I145" s="22"/>
      <c r="J145" s="21"/>
      <c r="K145" s="21"/>
    </row>
    <row r="146" spans="1:11" ht="14.45">
      <c r="A146" s="21"/>
      <c r="B146" s="33"/>
      <c r="C146" s="21"/>
      <c r="D146" s="21"/>
      <c r="E146" s="21"/>
      <c r="F146" s="22"/>
      <c r="G146" s="21"/>
      <c r="H146" s="21"/>
      <c r="I146" s="22"/>
      <c r="J146" s="21"/>
      <c r="K146" s="21"/>
    </row>
    <row r="147" spans="1:11" ht="14.45">
      <c r="A147" s="21"/>
      <c r="B147" s="33"/>
      <c r="C147" s="21"/>
      <c r="D147" s="21"/>
      <c r="E147" s="21"/>
      <c r="F147" s="22"/>
      <c r="G147" s="21"/>
      <c r="H147" s="21"/>
      <c r="I147" s="22"/>
      <c r="J147" s="21"/>
      <c r="K147" s="21"/>
    </row>
    <row r="148" spans="1:11" ht="14.45">
      <c r="A148" s="21"/>
      <c r="B148" s="33"/>
      <c r="C148" s="21"/>
      <c r="D148" s="21"/>
      <c r="E148" s="21"/>
      <c r="F148" s="22"/>
      <c r="G148" s="21"/>
      <c r="H148" s="21"/>
      <c r="I148" s="22"/>
      <c r="J148" s="21"/>
      <c r="K148" s="21"/>
    </row>
    <row r="149" spans="1:11" ht="14.45">
      <c r="A149" s="21"/>
      <c r="B149" s="33"/>
      <c r="C149" s="21"/>
      <c r="D149" s="21"/>
      <c r="E149" s="21"/>
      <c r="F149" s="22"/>
      <c r="G149" s="21"/>
      <c r="H149" s="21"/>
      <c r="I149" s="22"/>
      <c r="J149" s="21"/>
      <c r="K149" s="21"/>
    </row>
    <row r="150" spans="1:11" ht="14.45">
      <c r="A150" s="21"/>
      <c r="B150" s="33"/>
      <c r="C150" s="21"/>
      <c r="D150" s="21"/>
      <c r="E150" s="21"/>
      <c r="F150" s="22"/>
      <c r="G150" s="21"/>
      <c r="H150" s="21"/>
      <c r="I150" s="22"/>
      <c r="J150" s="21"/>
      <c r="K150" s="21"/>
    </row>
    <row r="151" spans="1:11" ht="14.45">
      <c r="A151" s="21"/>
      <c r="B151" s="33"/>
      <c r="C151" s="21"/>
      <c r="D151" s="21"/>
      <c r="E151" s="21"/>
      <c r="F151" s="22"/>
      <c r="G151" s="21"/>
      <c r="H151" s="21"/>
      <c r="I151" s="22"/>
      <c r="J151" s="21"/>
      <c r="K151" s="21"/>
    </row>
    <row r="152" spans="1:11" ht="14.45">
      <c r="A152" s="21"/>
      <c r="B152" s="33"/>
      <c r="C152" s="21"/>
      <c r="D152" s="21"/>
      <c r="E152" s="21"/>
      <c r="F152" s="22"/>
      <c r="G152" s="21"/>
      <c r="H152" s="21"/>
      <c r="I152" s="22"/>
      <c r="J152" s="21"/>
      <c r="K152" s="21"/>
    </row>
    <row r="153" spans="1:11" ht="14.45">
      <c r="A153" s="21"/>
      <c r="B153" s="33"/>
      <c r="C153" s="21"/>
      <c r="D153" s="21"/>
      <c r="E153" s="21"/>
      <c r="F153" s="22"/>
      <c r="G153" s="21"/>
      <c r="H153" s="21"/>
      <c r="I153" s="22"/>
      <c r="J153" s="21"/>
      <c r="K153" s="21"/>
    </row>
    <row r="154" spans="1:11" ht="14.45">
      <c r="A154" s="21"/>
      <c r="B154" s="33"/>
      <c r="C154" s="21"/>
      <c r="D154" s="21"/>
      <c r="E154" s="21"/>
      <c r="F154" s="22"/>
      <c r="G154" s="21"/>
      <c r="H154" s="21"/>
      <c r="I154" s="22"/>
      <c r="J154" s="21"/>
      <c r="K154" s="21"/>
    </row>
    <row r="155" spans="1:11" ht="14.45">
      <c r="A155" s="21"/>
      <c r="B155" s="33"/>
      <c r="C155" s="21"/>
      <c r="D155" s="21"/>
      <c r="E155" s="21"/>
      <c r="F155" s="22"/>
      <c r="G155" s="21"/>
      <c r="H155" s="21"/>
      <c r="I155" s="22"/>
      <c r="J155" s="21"/>
      <c r="K155" s="21"/>
    </row>
    <row r="156" spans="1:11" ht="14.45">
      <c r="A156" s="21"/>
      <c r="B156" s="33"/>
      <c r="C156" s="21"/>
      <c r="D156" s="21"/>
      <c r="E156" s="21"/>
      <c r="F156" s="22"/>
      <c r="G156" s="21"/>
      <c r="H156" s="21"/>
      <c r="I156" s="22"/>
      <c r="J156" s="21"/>
      <c r="K156" s="21"/>
    </row>
    <row r="157" spans="1:11" ht="14.45">
      <c r="A157" s="21"/>
      <c r="B157" s="33"/>
      <c r="C157" s="21"/>
      <c r="D157" s="21"/>
      <c r="E157" s="21"/>
      <c r="F157" s="22"/>
      <c r="G157" s="21"/>
      <c r="H157" s="21"/>
      <c r="I157" s="22"/>
      <c r="J157" s="21"/>
      <c r="K157" s="21"/>
    </row>
    <row r="158" spans="1:11" ht="14.45">
      <c r="A158" s="21"/>
      <c r="B158" s="33"/>
      <c r="C158" s="21"/>
      <c r="D158" s="21"/>
      <c r="E158" s="21"/>
      <c r="F158" s="22"/>
      <c r="G158" s="21"/>
      <c r="H158" s="21"/>
      <c r="I158" s="22"/>
      <c r="J158" s="21"/>
      <c r="K158" s="21"/>
    </row>
    <row r="159" spans="1:11" ht="14.45">
      <c r="A159" s="21"/>
      <c r="B159" s="33"/>
      <c r="C159" s="21"/>
      <c r="D159" s="21"/>
      <c r="E159" s="21"/>
      <c r="F159" s="22"/>
      <c r="G159" s="21"/>
      <c r="H159" s="21"/>
      <c r="I159" s="22"/>
      <c r="J159" s="21"/>
      <c r="K159" s="21"/>
    </row>
    <row r="160" spans="1:11" ht="14.45">
      <c r="A160" s="21"/>
      <c r="B160" s="33"/>
      <c r="C160" s="21"/>
      <c r="D160" s="21"/>
      <c r="E160" s="21"/>
      <c r="F160" s="22"/>
      <c r="G160" s="21"/>
      <c r="H160" s="21"/>
      <c r="I160" s="22"/>
      <c r="J160" s="21"/>
      <c r="K160" s="21"/>
    </row>
    <row r="161" spans="1:11" ht="14.45">
      <c r="A161" s="21"/>
      <c r="B161" s="33"/>
      <c r="C161" s="21"/>
      <c r="D161" s="21"/>
      <c r="E161" s="21"/>
      <c r="F161" s="22"/>
      <c r="G161" s="21"/>
      <c r="H161" s="21"/>
      <c r="I161" s="22"/>
      <c r="J161" s="21"/>
      <c r="K161" s="21"/>
    </row>
    <row r="162" spans="1:11" ht="14.45">
      <c r="A162" s="21"/>
      <c r="B162" s="33"/>
      <c r="C162" s="21"/>
      <c r="D162" s="21"/>
      <c r="E162" s="21"/>
      <c r="F162" s="22"/>
      <c r="G162" s="21"/>
      <c r="H162" s="21"/>
      <c r="I162" s="22"/>
      <c r="J162" s="21"/>
      <c r="K162" s="21"/>
    </row>
    <row r="163" spans="1:11" ht="14.45">
      <c r="A163" s="21"/>
      <c r="B163" s="33"/>
      <c r="C163" s="21"/>
      <c r="D163" s="21"/>
      <c r="E163" s="21"/>
      <c r="F163" s="22"/>
      <c r="G163" s="21"/>
      <c r="H163" s="21"/>
      <c r="I163" s="22"/>
      <c r="J163" s="21"/>
      <c r="K163" s="21"/>
    </row>
    <row r="164" spans="1:11" ht="14.45">
      <c r="A164" s="21"/>
      <c r="B164" s="33"/>
      <c r="C164" s="21"/>
      <c r="D164" s="21"/>
      <c r="E164" s="21"/>
      <c r="F164" s="22"/>
      <c r="G164" s="21"/>
      <c r="H164" s="21"/>
      <c r="I164" s="22"/>
      <c r="J164" s="21"/>
      <c r="K164" s="21"/>
    </row>
    <row r="165" spans="1:11" ht="14.45">
      <c r="A165" s="21"/>
      <c r="B165" s="33"/>
      <c r="C165" s="21"/>
      <c r="D165" s="21"/>
      <c r="E165" s="21"/>
      <c r="F165" s="22"/>
      <c r="G165" s="21"/>
      <c r="H165" s="21"/>
      <c r="I165" s="22"/>
      <c r="J165" s="21"/>
      <c r="K165" s="21"/>
    </row>
    <row r="166" spans="1:11" ht="14.45">
      <c r="A166" s="21"/>
      <c r="B166" s="33"/>
      <c r="C166" s="21"/>
      <c r="D166" s="21"/>
      <c r="E166" s="21"/>
      <c r="F166" s="22"/>
      <c r="G166" s="21"/>
      <c r="H166" s="21"/>
      <c r="I166" s="22"/>
      <c r="J166" s="21"/>
      <c r="K166" s="21"/>
    </row>
    <row r="167" spans="1:11" ht="14.45">
      <c r="A167" s="21"/>
      <c r="B167" s="33"/>
      <c r="C167" s="21"/>
      <c r="D167" s="21"/>
      <c r="E167" s="21"/>
      <c r="F167" s="22"/>
      <c r="G167" s="21"/>
      <c r="H167" s="21"/>
      <c r="I167" s="22"/>
      <c r="J167" s="21"/>
      <c r="K167" s="21"/>
    </row>
    <row r="168" spans="1:11" ht="14.45">
      <c r="A168" s="21"/>
      <c r="B168" s="33"/>
      <c r="C168" s="21"/>
      <c r="D168" s="21"/>
      <c r="E168" s="21"/>
      <c r="F168" s="22"/>
      <c r="G168" s="21"/>
      <c r="H168" s="21"/>
      <c r="I168" s="22"/>
      <c r="J168" s="21"/>
      <c r="K168" s="21"/>
    </row>
    <row r="169" spans="1:11" ht="14.45">
      <c r="A169" s="21"/>
      <c r="B169" s="33"/>
      <c r="C169" s="21"/>
      <c r="D169" s="21"/>
      <c r="E169" s="21"/>
      <c r="F169" s="22"/>
      <c r="G169" s="21"/>
      <c r="H169" s="21"/>
      <c r="I169" s="22"/>
      <c r="J169" s="21"/>
      <c r="K169" s="21"/>
    </row>
    <row r="170" spans="1:11" ht="14.45">
      <c r="A170" s="21"/>
      <c r="B170" s="33"/>
      <c r="C170" s="21"/>
      <c r="D170" s="21"/>
      <c r="E170" s="21"/>
      <c r="F170" s="22"/>
      <c r="G170" s="21"/>
      <c r="H170" s="21"/>
      <c r="I170" s="22"/>
      <c r="J170" s="21"/>
      <c r="K170" s="21"/>
    </row>
    <row r="171" spans="1:11" ht="14.45">
      <c r="A171" s="21"/>
      <c r="B171" s="33"/>
      <c r="C171" s="21"/>
      <c r="D171" s="21"/>
      <c r="E171" s="21"/>
      <c r="F171" s="22"/>
      <c r="G171" s="21"/>
      <c r="H171" s="21"/>
      <c r="I171" s="22"/>
      <c r="J171" s="21"/>
      <c r="K171" s="21"/>
    </row>
    <row r="172" spans="1:11" ht="14.45">
      <c r="A172" s="21"/>
      <c r="B172" s="33"/>
      <c r="C172" s="21"/>
      <c r="D172" s="21"/>
      <c r="E172" s="21"/>
      <c r="F172" s="22"/>
      <c r="G172" s="21"/>
      <c r="H172" s="21"/>
      <c r="I172" s="22"/>
      <c r="J172" s="21"/>
      <c r="K172" s="21"/>
    </row>
    <row r="173" spans="1:11" ht="14.45">
      <c r="A173" s="21"/>
      <c r="B173" s="33"/>
      <c r="C173" s="21"/>
      <c r="D173" s="21"/>
      <c r="E173" s="21"/>
      <c r="F173" s="22"/>
      <c r="G173" s="21"/>
      <c r="H173" s="21"/>
      <c r="I173" s="22"/>
      <c r="J173" s="21"/>
      <c r="K173" s="21"/>
    </row>
    <row r="174" spans="1:11" ht="14.45">
      <c r="A174" s="21"/>
      <c r="B174" s="33"/>
      <c r="C174" s="21"/>
      <c r="D174" s="21"/>
      <c r="E174" s="21"/>
      <c r="F174" s="22"/>
      <c r="G174" s="21"/>
      <c r="H174" s="21"/>
      <c r="I174" s="22"/>
      <c r="J174" s="21"/>
      <c r="K174" s="21"/>
    </row>
    <row r="175" spans="1:11" ht="14.45">
      <c r="A175" s="21"/>
      <c r="B175" s="33"/>
      <c r="C175" s="21"/>
      <c r="D175" s="21"/>
      <c r="E175" s="21"/>
      <c r="F175" s="22"/>
      <c r="G175" s="21"/>
      <c r="H175" s="21"/>
      <c r="I175" s="22"/>
      <c r="J175" s="21"/>
      <c r="K175" s="21"/>
    </row>
    <row r="176" spans="1:11" ht="14.45">
      <c r="A176" s="21"/>
      <c r="B176" s="33"/>
      <c r="C176" s="21"/>
      <c r="D176" s="21"/>
      <c r="E176" s="21"/>
      <c r="F176" s="22"/>
      <c r="G176" s="21"/>
      <c r="H176" s="21"/>
      <c r="I176" s="22"/>
      <c r="J176" s="21"/>
      <c r="K176" s="21"/>
    </row>
    <row r="177" spans="1:11" ht="14.45">
      <c r="A177" s="21"/>
      <c r="B177" s="33"/>
      <c r="C177" s="21"/>
      <c r="D177" s="21"/>
      <c r="E177" s="21"/>
      <c r="F177" s="22"/>
      <c r="G177" s="21"/>
      <c r="H177" s="21"/>
      <c r="I177" s="22"/>
      <c r="J177" s="21"/>
      <c r="K177" s="21"/>
    </row>
    <row r="178" spans="1:11" ht="14.45">
      <c r="A178" s="21"/>
      <c r="B178" s="33"/>
      <c r="C178" s="21"/>
      <c r="D178" s="21"/>
      <c r="E178" s="21"/>
      <c r="F178" s="22"/>
      <c r="G178" s="21"/>
      <c r="H178" s="21"/>
      <c r="I178" s="22"/>
      <c r="J178" s="21"/>
      <c r="K178" s="21"/>
    </row>
    <row r="179" spans="1:11" ht="14.45">
      <c r="A179" s="21"/>
      <c r="B179" s="33"/>
      <c r="C179" s="21"/>
      <c r="D179" s="21"/>
      <c r="E179" s="21"/>
      <c r="F179" s="22"/>
      <c r="G179" s="21"/>
      <c r="H179" s="21"/>
      <c r="I179" s="22"/>
      <c r="J179" s="21"/>
      <c r="K179" s="21"/>
    </row>
    <row r="180" spans="1:11" ht="14.45">
      <c r="A180" s="21"/>
      <c r="B180" s="33"/>
      <c r="C180" s="21"/>
      <c r="D180" s="21"/>
      <c r="E180" s="21"/>
      <c r="F180" s="22"/>
      <c r="G180" s="21"/>
      <c r="H180" s="21"/>
      <c r="I180" s="22"/>
      <c r="J180" s="21"/>
      <c r="K180" s="21"/>
    </row>
    <row r="181" spans="1:11" ht="14.45">
      <c r="A181" s="21"/>
      <c r="B181" s="33"/>
      <c r="C181" s="21"/>
      <c r="D181" s="21"/>
      <c r="E181" s="21"/>
      <c r="F181" s="22"/>
      <c r="G181" s="21"/>
      <c r="H181" s="21"/>
      <c r="I181" s="22"/>
      <c r="J181" s="21"/>
      <c r="K181" s="21"/>
    </row>
    <row r="182" spans="1:11" ht="14.45">
      <c r="A182" s="21"/>
      <c r="B182" s="33"/>
      <c r="C182" s="21"/>
      <c r="D182" s="21"/>
      <c r="E182" s="21"/>
      <c r="F182" s="22"/>
      <c r="G182" s="21"/>
      <c r="H182" s="21"/>
      <c r="I182" s="22"/>
      <c r="J182" s="21"/>
      <c r="K182" s="21"/>
    </row>
    <row r="183" spans="1:11" ht="14.45">
      <c r="A183" s="21"/>
      <c r="B183" s="33"/>
      <c r="C183" s="21"/>
      <c r="D183" s="21"/>
      <c r="E183" s="21"/>
      <c r="F183" s="22"/>
      <c r="G183" s="21"/>
      <c r="H183" s="21"/>
      <c r="I183" s="22"/>
      <c r="J183" s="21"/>
      <c r="K183" s="21"/>
    </row>
    <row r="184" spans="1:11" ht="14.45">
      <c r="A184" s="21"/>
      <c r="B184" s="33"/>
      <c r="C184" s="21"/>
      <c r="D184" s="21"/>
      <c r="E184" s="21"/>
      <c r="F184" s="22"/>
      <c r="G184" s="21"/>
      <c r="H184" s="21"/>
      <c r="I184" s="22"/>
      <c r="J184" s="21"/>
      <c r="K184" s="21"/>
    </row>
    <row r="185" spans="1:11" ht="14.45">
      <c r="A185" s="21"/>
      <c r="B185" s="33"/>
      <c r="C185" s="21"/>
      <c r="D185" s="21"/>
      <c r="E185" s="21"/>
      <c r="F185" s="22"/>
      <c r="G185" s="21"/>
      <c r="H185" s="21"/>
      <c r="I185" s="22"/>
      <c r="J185" s="21"/>
      <c r="K185" s="21"/>
    </row>
    <row r="186" spans="1:11" ht="14.45">
      <c r="A186" s="21"/>
      <c r="B186" s="33"/>
      <c r="C186" s="21"/>
      <c r="D186" s="21"/>
      <c r="E186" s="21"/>
      <c r="F186" s="22"/>
      <c r="G186" s="21"/>
      <c r="H186" s="21"/>
      <c r="I186" s="22"/>
      <c r="J186" s="21"/>
      <c r="K186" s="21"/>
    </row>
    <row r="187" spans="1:11" ht="14.45">
      <c r="A187" s="21"/>
      <c r="B187" s="33"/>
      <c r="C187" s="21"/>
      <c r="D187" s="21"/>
      <c r="E187" s="21"/>
      <c r="F187" s="22"/>
      <c r="G187" s="21"/>
      <c r="H187" s="21"/>
      <c r="I187" s="22"/>
      <c r="J187" s="21"/>
      <c r="K187" s="21"/>
    </row>
    <row r="188" spans="1:11" ht="14.45">
      <c r="A188" s="21"/>
      <c r="B188" s="33"/>
      <c r="C188" s="21"/>
      <c r="D188" s="21"/>
      <c r="E188" s="21"/>
      <c r="F188" s="22"/>
      <c r="G188" s="21"/>
      <c r="H188" s="21"/>
      <c r="I188" s="22"/>
      <c r="J188" s="21"/>
      <c r="K188" s="21"/>
    </row>
    <row r="189" spans="1:11" ht="14.45">
      <c r="A189" s="21"/>
      <c r="B189" s="33"/>
      <c r="C189" s="21"/>
      <c r="D189" s="21"/>
      <c r="E189" s="21"/>
      <c r="F189" s="22"/>
      <c r="G189" s="21"/>
      <c r="H189" s="21"/>
      <c r="I189" s="22"/>
      <c r="J189" s="21"/>
      <c r="K189" s="21"/>
    </row>
    <row r="190" spans="1:11" ht="14.45">
      <c r="A190" s="21"/>
      <c r="B190" s="33"/>
      <c r="C190" s="21"/>
      <c r="D190" s="21"/>
      <c r="E190" s="21"/>
      <c r="F190" s="22"/>
      <c r="G190" s="21"/>
      <c r="H190" s="21"/>
      <c r="I190" s="22"/>
      <c r="J190" s="21"/>
      <c r="K190" s="21"/>
    </row>
    <row r="191" spans="1:11" ht="14.45">
      <c r="A191" s="21"/>
      <c r="B191" s="33"/>
      <c r="C191" s="21"/>
      <c r="D191" s="21"/>
      <c r="E191" s="21"/>
      <c r="F191" s="22"/>
      <c r="G191" s="21"/>
      <c r="H191" s="21"/>
      <c r="I191" s="22"/>
      <c r="J191" s="21"/>
      <c r="K191" s="21"/>
    </row>
    <row r="192" spans="1:11" ht="14.45">
      <c r="A192" s="21"/>
      <c r="B192" s="33"/>
      <c r="C192" s="21"/>
      <c r="D192" s="21"/>
      <c r="E192" s="21"/>
      <c r="F192" s="22"/>
      <c r="G192" s="21"/>
      <c r="H192" s="21"/>
      <c r="I192" s="22"/>
      <c r="J192" s="21"/>
      <c r="K192" s="21"/>
    </row>
    <row r="193" spans="1:11" ht="14.45">
      <c r="A193" s="21"/>
      <c r="B193" s="33"/>
      <c r="C193" s="21"/>
      <c r="D193" s="21"/>
      <c r="E193" s="21"/>
      <c r="F193" s="22"/>
      <c r="G193" s="21"/>
      <c r="H193" s="21"/>
      <c r="I193" s="22"/>
      <c r="J193" s="21"/>
      <c r="K193" s="21"/>
    </row>
    <row r="194" spans="1:11" ht="14.45">
      <c r="A194" s="21"/>
      <c r="B194" s="33"/>
      <c r="C194" s="21"/>
      <c r="D194" s="21"/>
      <c r="E194" s="21"/>
      <c r="F194" s="22"/>
      <c r="G194" s="21"/>
      <c r="H194" s="21"/>
      <c r="I194" s="22"/>
      <c r="J194" s="21"/>
      <c r="K194" s="21"/>
    </row>
    <row r="195" spans="1:11" ht="14.45">
      <c r="A195" s="21"/>
      <c r="B195" s="33"/>
      <c r="C195" s="21"/>
      <c r="D195" s="21"/>
      <c r="E195" s="21"/>
      <c r="F195" s="22"/>
      <c r="G195" s="21"/>
      <c r="H195" s="21"/>
      <c r="I195" s="22"/>
      <c r="J195" s="21"/>
      <c r="K195" s="21"/>
    </row>
    <row r="196" spans="1:11" ht="14.45">
      <c r="A196" s="21"/>
      <c r="B196" s="33"/>
      <c r="C196" s="21"/>
      <c r="D196" s="21"/>
      <c r="E196" s="21"/>
      <c r="F196" s="22"/>
      <c r="G196" s="21"/>
      <c r="H196" s="21"/>
      <c r="I196" s="22"/>
      <c r="J196" s="21"/>
      <c r="K196" s="21"/>
    </row>
    <row r="197" spans="1:11" ht="14.45">
      <c r="A197" s="21"/>
      <c r="B197" s="33"/>
      <c r="C197" s="21"/>
      <c r="D197" s="21"/>
      <c r="E197" s="21"/>
      <c r="F197" s="22"/>
      <c r="G197" s="21"/>
      <c r="H197" s="21"/>
      <c r="I197" s="22"/>
      <c r="J197" s="21"/>
      <c r="K197" s="21"/>
    </row>
    <row r="198" spans="1:11" ht="14.45">
      <c r="A198" s="21"/>
      <c r="B198" s="33"/>
      <c r="C198" s="21"/>
      <c r="D198" s="21"/>
      <c r="E198" s="21"/>
      <c r="F198" s="22"/>
      <c r="G198" s="21"/>
      <c r="H198" s="21"/>
      <c r="I198" s="22"/>
      <c r="J198" s="21"/>
      <c r="K198" s="21"/>
    </row>
    <row r="199" spans="1:11" ht="14.45">
      <c r="A199" s="21"/>
      <c r="B199" s="33"/>
      <c r="C199" s="21"/>
      <c r="D199" s="21"/>
      <c r="E199" s="21"/>
      <c r="F199" s="22"/>
      <c r="G199" s="21"/>
      <c r="H199" s="21"/>
      <c r="I199" s="22"/>
      <c r="J199" s="21"/>
      <c r="K199" s="21"/>
    </row>
    <row r="200" spans="1:11" ht="14.45">
      <c r="A200" s="21"/>
      <c r="B200" s="33"/>
      <c r="C200" s="21"/>
      <c r="D200" s="21"/>
      <c r="E200" s="21"/>
      <c r="F200" s="22"/>
      <c r="G200" s="21"/>
      <c r="H200" s="21"/>
      <c r="I200" s="22"/>
      <c r="J200" s="21"/>
      <c r="K200" s="21"/>
    </row>
    <row r="201" spans="1:11" ht="14.45">
      <c r="A201" s="21"/>
      <c r="B201" s="33"/>
      <c r="C201" s="21"/>
      <c r="D201" s="21"/>
      <c r="E201" s="21"/>
      <c r="F201" s="22"/>
      <c r="G201" s="21"/>
      <c r="H201" s="21"/>
      <c r="I201" s="22"/>
      <c r="J201" s="21"/>
      <c r="K201" s="21"/>
    </row>
    <row r="202" spans="1:11" ht="14.45">
      <c r="A202" s="21"/>
      <c r="B202" s="33"/>
      <c r="C202" s="21"/>
      <c r="D202" s="21"/>
      <c r="E202" s="21"/>
      <c r="F202" s="22"/>
      <c r="G202" s="21"/>
      <c r="H202" s="21"/>
      <c r="I202" s="22"/>
      <c r="J202" s="21"/>
      <c r="K202" s="21"/>
    </row>
    <row r="203" spans="1:11" ht="14.45">
      <c r="A203" s="21"/>
      <c r="B203" s="33"/>
      <c r="C203" s="21"/>
      <c r="D203" s="21"/>
      <c r="E203" s="21"/>
      <c r="F203" s="22"/>
      <c r="G203" s="21"/>
      <c r="H203" s="21"/>
      <c r="I203" s="22"/>
      <c r="J203" s="21"/>
      <c r="K203" s="21"/>
    </row>
    <row r="204" spans="1:11" ht="14.45">
      <c r="A204" s="21"/>
      <c r="B204" s="33"/>
      <c r="C204" s="21"/>
      <c r="D204" s="21"/>
      <c r="E204" s="21"/>
      <c r="F204" s="22"/>
      <c r="G204" s="21"/>
      <c r="H204" s="21"/>
      <c r="I204" s="22"/>
      <c r="J204" s="21"/>
      <c r="K204" s="21"/>
    </row>
    <row r="205" spans="1:11" ht="14.45">
      <c r="A205" s="21"/>
      <c r="B205" s="33"/>
      <c r="C205" s="21"/>
      <c r="D205" s="21"/>
      <c r="E205" s="21"/>
      <c r="F205" s="22"/>
      <c r="G205" s="21"/>
      <c r="H205" s="21"/>
      <c r="I205" s="22"/>
      <c r="J205" s="21"/>
      <c r="K205" s="21"/>
    </row>
    <row r="206" spans="1:11" ht="14.45">
      <c r="A206" s="21"/>
      <c r="B206" s="33"/>
      <c r="C206" s="21"/>
      <c r="D206" s="21"/>
      <c r="E206" s="21"/>
      <c r="F206" s="22"/>
      <c r="G206" s="21"/>
      <c r="H206" s="21"/>
      <c r="I206" s="22"/>
      <c r="J206" s="21"/>
      <c r="K206" s="21"/>
    </row>
    <row r="207" spans="1:11" ht="14.45">
      <c r="A207" s="21"/>
      <c r="B207" s="33"/>
      <c r="C207" s="21"/>
      <c r="D207" s="21"/>
      <c r="E207" s="21"/>
      <c r="F207" s="22"/>
      <c r="G207" s="21"/>
      <c r="H207" s="21"/>
      <c r="I207" s="22"/>
      <c r="J207" s="21"/>
      <c r="K207" s="21"/>
    </row>
    <row r="208" spans="1:11" ht="14.45">
      <c r="A208" s="21"/>
      <c r="B208" s="33"/>
      <c r="C208" s="21"/>
      <c r="D208" s="21"/>
      <c r="E208" s="21"/>
      <c r="F208" s="22"/>
      <c r="G208" s="21"/>
      <c r="H208" s="21"/>
      <c r="I208" s="22"/>
      <c r="J208" s="21"/>
      <c r="K208" s="21"/>
    </row>
    <row r="209" spans="1:11" ht="14.45">
      <c r="A209" s="21"/>
      <c r="B209" s="33"/>
      <c r="C209" s="21"/>
      <c r="D209" s="21"/>
      <c r="E209" s="21"/>
      <c r="F209" s="22"/>
      <c r="G209" s="21"/>
      <c r="H209" s="21"/>
      <c r="I209" s="22"/>
      <c r="J209" s="21"/>
      <c r="K209" s="21"/>
    </row>
    <row r="210" spans="1:11" ht="14.45">
      <c r="A210" s="21"/>
      <c r="B210" s="33"/>
      <c r="C210" s="21"/>
      <c r="D210" s="21"/>
      <c r="E210" s="21"/>
      <c r="F210" s="22"/>
      <c r="G210" s="21"/>
      <c r="H210" s="21"/>
      <c r="I210" s="22"/>
      <c r="J210" s="21"/>
      <c r="K210" s="21"/>
    </row>
    <row r="211" spans="1:11" ht="14.45">
      <c r="A211" s="21"/>
      <c r="B211" s="33"/>
      <c r="C211" s="21"/>
      <c r="D211" s="21"/>
      <c r="E211" s="21"/>
      <c r="F211" s="22"/>
      <c r="G211" s="21"/>
      <c r="H211" s="21"/>
      <c r="I211" s="22"/>
      <c r="J211" s="21"/>
      <c r="K211" s="21"/>
    </row>
    <row r="212" spans="1:11" ht="14.45">
      <c r="A212" s="21"/>
      <c r="B212" s="33"/>
      <c r="C212" s="21"/>
      <c r="D212" s="21"/>
      <c r="E212" s="21"/>
      <c r="F212" s="22"/>
      <c r="G212" s="21"/>
      <c r="H212" s="21"/>
      <c r="I212" s="22"/>
      <c r="J212" s="21"/>
      <c r="K212" s="21"/>
    </row>
    <row r="213" spans="1:11" ht="14.45">
      <c r="A213" s="21"/>
      <c r="B213" s="33"/>
      <c r="C213" s="21"/>
      <c r="D213" s="21"/>
      <c r="E213" s="21"/>
      <c r="F213" s="22"/>
      <c r="G213" s="21"/>
      <c r="H213" s="21"/>
      <c r="I213" s="22"/>
      <c r="J213" s="21"/>
      <c r="K213" s="21"/>
    </row>
    <row r="214" spans="1:11" ht="14.45">
      <c r="A214" s="21"/>
      <c r="B214" s="33"/>
      <c r="C214" s="21"/>
      <c r="D214" s="21"/>
      <c r="E214" s="21"/>
      <c r="F214" s="22"/>
      <c r="G214" s="21"/>
      <c r="H214" s="21"/>
      <c r="I214" s="22"/>
      <c r="J214" s="21"/>
      <c r="K214" s="21"/>
    </row>
    <row r="215" spans="1:11" ht="14.45">
      <c r="A215" s="21"/>
      <c r="B215" s="33"/>
      <c r="C215" s="21"/>
      <c r="D215" s="21"/>
      <c r="E215" s="21"/>
      <c r="F215" s="22"/>
      <c r="G215" s="21"/>
      <c r="H215" s="21"/>
      <c r="I215" s="22"/>
      <c r="J215" s="21"/>
      <c r="K215" s="21"/>
    </row>
    <row r="216" spans="1:11" ht="14.45">
      <c r="A216" s="21"/>
      <c r="B216" s="33"/>
      <c r="C216" s="21"/>
      <c r="D216" s="21"/>
      <c r="E216" s="21"/>
      <c r="F216" s="22"/>
      <c r="G216" s="21"/>
      <c r="H216" s="21"/>
      <c r="I216" s="22"/>
      <c r="J216" s="21"/>
      <c r="K216" s="21"/>
    </row>
    <row r="217" spans="1:11" ht="14.45">
      <c r="A217" s="21"/>
      <c r="B217" s="33"/>
      <c r="C217" s="21"/>
      <c r="D217" s="21"/>
      <c r="E217" s="21"/>
      <c r="F217" s="22"/>
      <c r="G217" s="21"/>
      <c r="H217" s="21"/>
      <c r="I217" s="22"/>
      <c r="J217" s="21"/>
      <c r="K217" s="21"/>
    </row>
    <row r="218" spans="1:11" ht="14.45">
      <c r="A218" s="21"/>
      <c r="B218" s="33"/>
      <c r="C218" s="21"/>
      <c r="D218" s="21"/>
      <c r="E218" s="21"/>
      <c r="F218" s="22"/>
      <c r="G218" s="21"/>
      <c r="H218" s="21"/>
      <c r="I218" s="22"/>
      <c r="J218" s="21"/>
      <c r="K218" s="21"/>
    </row>
    <row r="219" spans="1:11" ht="14.45">
      <c r="A219" s="21"/>
      <c r="B219" s="33"/>
      <c r="C219" s="21"/>
      <c r="D219" s="21"/>
      <c r="E219" s="21"/>
      <c r="F219" s="22"/>
      <c r="G219" s="21"/>
      <c r="H219" s="21"/>
      <c r="I219" s="22"/>
      <c r="J219" s="21"/>
      <c r="K219" s="21"/>
    </row>
    <row r="220" spans="1:11" ht="14.45">
      <c r="A220" s="21"/>
      <c r="B220" s="33"/>
      <c r="C220" s="21"/>
      <c r="D220" s="21"/>
      <c r="E220" s="21"/>
      <c r="F220" s="22"/>
      <c r="G220" s="21"/>
      <c r="H220" s="21"/>
      <c r="I220" s="22"/>
      <c r="J220" s="21"/>
      <c r="K220" s="21"/>
    </row>
    <row r="221" spans="1:11" ht="14.45">
      <c r="A221" s="21"/>
      <c r="B221" s="33"/>
      <c r="C221" s="21"/>
      <c r="D221" s="21"/>
      <c r="E221" s="21"/>
      <c r="F221" s="22"/>
      <c r="G221" s="21"/>
      <c r="H221" s="21"/>
      <c r="I221" s="22"/>
      <c r="J221" s="21"/>
      <c r="K221" s="21"/>
    </row>
    <row r="222" spans="1:11" ht="14.45">
      <c r="A222" s="21"/>
      <c r="B222" s="33"/>
      <c r="C222" s="21"/>
      <c r="D222" s="21"/>
      <c r="E222" s="21"/>
      <c r="F222" s="22"/>
      <c r="G222" s="21"/>
      <c r="H222" s="21"/>
      <c r="I222" s="22"/>
      <c r="J222" s="21"/>
      <c r="K222" s="21"/>
    </row>
    <row r="223" spans="1:11" ht="14.45">
      <c r="A223" s="21"/>
      <c r="B223" s="33"/>
      <c r="C223" s="21"/>
      <c r="D223" s="21"/>
      <c r="E223" s="21"/>
      <c r="F223" s="22"/>
      <c r="G223" s="21"/>
      <c r="H223" s="21"/>
      <c r="I223" s="22"/>
      <c r="J223" s="21"/>
      <c r="K223" s="21"/>
    </row>
    <row r="224" spans="1:11" ht="14.45">
      <c r="A224" s="21"/>
      <c r="B224" s="33"/>
      <c r="C224" s="21"/>
      <c r="D224" s="21"/>
      <c r="E224" s="21"/>
      <c r="F224" s="22"/>
      <c r="G224" s="21"/>
      <c r="H224" s="21"/>
      <c r="I224" s="22"/>
      <c r="J224" s="21"/>
      <c r="K224" s="21"/>
    </row>
    <row r="225" spans="1:11" ht="14.45">
      <c r="A225" s="21"/>
      <c r="B225" s="33"/>
      <c r="C225" s="21"/>
      <c r="D225" s="21"/>
      <c r="E225" s="21"/>
      <c r="F225" s="22"/>
      <c r="G225" s="21"/>
      <c r="H225" s="21"/>
      <c r="I225" s="22"/>
      <c r="J225" s="21"/>
      <c r="K225" s="21"/>
    </row>
    <row r="226" spans="1:11" ht="14.45">
      <c r="A226" s="21"/>
      <c r="B226" s="33"/>
      <c r="C226" s="21"/>
      <c r="D226" s="21"/>
      <c r="E226" s="21"/>
      <c r="F226" s="22"/>
      <c r="G226" s="21"/>
      <c r="H226" s="21"/>
      <c r="I226" s="22"/>
      <c r="J226" s="21"/>
      <c r="K226" s="21"/>
    </row>
    <row r="227" spans="1:11" ht="14.45">
      <c r="A227" s="21"/>
      <c r="B227" s="33"/>
      <c r="C227" s="21"/>
      <c r="D227" s="21"/>
      <c r="E227" s="21"/>
      <c r="F227" s="22"/>
      <c r="G227" s="21"/>
      <c r="H227" s="21"/>
      <c r="I227" s="22"/>
      <c r="J227" s="21"/>
      <c r="K227" s="21"/>
    </row>
    <row r="228" spans="1:11" ht="14.45">
      <c r="A228" s="21"/>
      <c r="B228" s="33"/>
      <c r="C228" s="21"/>
      <c r="D228" s="21"/>
      <c r="E228" s="21"/>
      <c r="F228" s="22"/>
      <c r="G228" s="21"/>
      <c r="H228" s="21"/>
      <c r="I228" s="22"/>
      <c r="J228" s="21"/>
      <c r="K228" s="21"/>
    </row>
    <row r="229" spans="1:11" ht="14.45">
      <c r="A229" s="21"/>
      <c r="B229" s="33"/>
      <c r="C229" s="21"/>
      <c r="D229" s="21"/>
      <c r="E229" s="21"/>
      <c r="F229" s="22"/>
      <c r="G229" s="21"/>
      <c r="H229" s="21"/>
      <c r="I229" s="22"/>
      <c r="J229" s="21"/>
      <c r="K229" s="21"/>
    </row>
    <row r="230" spans="1:11" ht="14.45">
      <c r="A230" s="21"/>
      <c r="B230" s="33"/>
      <c r="C230" s="21"/>
      <c r="D230" s="21"/>
      <c r="E230" s="21"/>
      <c r="F230" s="22"/>
      <c r="G230" s="21"/>
      <c r="H230" s="21"/>
      <c r="I230" s="22"/>
      <c r="J230" s="21"/>
      <c r="K230" s="21"/>
    </row>
    <row r="231" spans="1:11" ht="14.45">
      <c r="A231" s="21"/>
      <c r="B231" s="33"/>
      <c r="C231" s="21"/>
      <c r="D231" s="21"/>
      <c r="E231" s="21"/>
      <c r="F231" s="22"/>
      <c r="G231" s="21"/>
      <c r="H231" s="21"/>
      <c r="I231" s="22"/>
      <c r="J231" s="21"/>
      <c r="K231" s="21"/>
    </row>
    <row r="232" spans="1:11" ht="14.45">
      <c r="A232" s="21"/>
      <c r="B232" s="33"/>
      <c r="C232" s="21"/>
      <c r="D232" s="21"/>
      <c r="E232" s="21"/>
      <c r="F232" s="22"/>
      <c r="G232" s="21"/>
      <c r="H232" s="21"/>
      <c r="I232" s="22"/>
      <c r="J232" s="21"/>
      <c r="K232" s="21"/>
    </row>
    <row r="233" spans="1:11" ht="14.45">
      <c r="A233" s="21"/>
      <c r="B233" s="33"/>
      <c r="C233" s="21"/>
      <c r="D233" s="21"/>
      <c r="E233" s="21"/>
      <c r="F233" s="22"/>
      <c r="G233" s="21"/>
      <c r="H233" s="21"/>
      <c r="I233" s="22"/>
      <c r="J233" s="21"/>
      <c r="K233" s="21"/>
    </row>
    <row r="234" spans="1:11" ht="14.45">
      <c r="A234" s="21"/>
      <c r="B234" s="33"/>
      <c r="C234" s="21"/>
      <c r="D234" s="21"/>
      <c r="E234" s="21"/>
      <c r="F234" s="22"/>
      <c r="G234" s="21"/>
      <c r="H234" s="21"/>
      <c r="I234" s="22"/>
      <c r="J234" s="21"/>
      <c r="K234" s="21"/>
    </row>
    <row r="235" spans="1:11" ht="14.45">
      <c r="A235" s="21"/>
      <c r="B235" s="33"/>
      <c r="C235" s="21"/>
      <c r="D235" s="21"/>
      <c r="E235" s="21"/>
      <c r="F235" s="22"/>
      <c r="G235" s="21"/>
      <c r="H235" s="21"/>
      <c r="I235" s="22"/>
      <c r="J235" s="21"/>
      <c r="K235" s="21"/>
    </row>
    <row r="236" spans="1:11" ht="14.45">
      <c r="A236" s="21"/>
      <c r="B236" s="33"/>
      <c r="C236" s="21"/>
      <c r="D236" s="21"/>
      <c r="E236" s="21"/>
      <c r="F236" s="22"/>
      <c r="G236" s="21"/>
      <c r="H236" s="21"/>
      <c r="I236" s="22"/>
      <c r="J236" s="21"/>
      <c r="K236" s="21"/>
    </row>
    <row r="237" spans="1:11" ht="14.45">
      <c r="A237" s="21"/>
      <c r="B237" s="33"/>
      <c r="C237" s="21"/>
      <c r="D237" s="21"/>
      <c r="E237" s="21"/>
      <c r="F237" s="22"/>
      <c r="G237" s="21"/>
      <c r="H237" s="21"/>
      <c r="I237" s="22"/>
      <c r="J237" s="21"/>
      <c r="K237" s="21"/>
    </row>
    <row r="238" spans="1:11" ht="14.45">
      <c r="A238" s="21"/>
      <c r="B238" s="33"/>
      <c r="C238" s="21"/>
      <c r="D238" s="21"/>
      <c r="E238" s="21"/>
      <c r="F238" s="22"/>
      <c r="G238" s="21"/>
      <c r="H238" s="21"/>
      <c r="I238" s="22"/>
      <c r="J238" s="21"/>
      <c r="K238" s="21"/>
    </row>
    <row r="239" spans="1:11" ht="14.45">
      <c r="A239" s="21"/>
      <c r="B239" s="33"/>
      <c r="C239" s="21"/>
      <c r="D239" s="21"/>
      <c r="E239" s="21"/>
      <c r="F239" s="22"/>
      <c r="G239" s="21"/>
      <c r="H239" s="21"/>
      <c r="I239" s="22"/>
      <c r="J239" s="21"/>
      <c r="K239" s="21"/>
    </row>
    <row r="240" spans="1:11" ht="14.45">
      <c r="A240" s="21"/>
      <c r="B240" s="33"/>
      <c r="C240" s="21"/>
      <c r="D240" s="21"/>
      <c r="E240" s="21"/>
      <c r="F240" s="22"/>
      <c r="G240" s="21"/>
      <c r="H240" s="21"/>
      <c r="I240" s="22"/>
      <c r="J240" s="21"/>
      <c r="K240" s="21"/>
    </row>
    <row r="241" spans="1:11" ht="14.45">
      <c r="A241" s="21"/>
      <c r="B241" s="33"/>
      <c r="C241" s="21"/>
      <c r="D241" s="21"/>
      <c r="E241" s="21"/>
      <c r="F241" s="22"/>
      <c r="G241" s="21"/>
      <c r="H241" s="21"/>
      <c r="I241" s="22"/>
      <c r="J241" s="21"/>
      <c r="K241" s="21"/>
    </row>
    <row r="242" spans="1:11" ht="14.45">
      <c r="A242" s="21"/>
      <c r="B242" s="33"/>
      <c r="C242" s="21"/>
      <c r="D242" s="21"/>
      <c r="E242" s="21"/>
      <c r="F242" s="22"/>
      <c r="G242" s="21"/>
      <c r="H242" s="21"/>
      <c r="I242" s="22"/>
      <c r="J242" s="21"/>
      <c r="K242" s="21"/>
    </row>
    <row r="243" spans="1:11" ht="14.45">
      <c r="A243" s="21"/>
      <c r="B243" s="33"/>
      <c r="C243" s="21"/>
      <c r="D243" s="21"/>
      <c r="E243" s="21"/>
      <c r="F243" s="22"/>
      <c r="G243" s="21"/>
      <c r="H243" s="21"/>
      <c r="I243" s="22"/>
      <c r="J243" s="21"/>
      <c r="K243" s="21"/>
    </row>
    <row r="244" spans="1:11" ht="14.45">
      <c r="A244" s="21"/>
      <c r="B244" s="33"/>
      <c r="C244" s="21"/>
      <c r="D244" s="21"/>
      <c r="E244" s="21"/>
      <c r="F244" s="22"/>
      <c r="G244" s="21"/>
      <c r="H244" s="21"/>
      <c r="I244" s="22"/>
      <c r="J244" s="21"/>
      <c r="K244" s="21"/>
    </row>
    <row r="245" spans="1:11" ht="14.45">
      <c r="A245" s="21"/>
      <c r="B245" s="33"/>
      <c r="C245" s="21"/>
      <c r="D245" s="21"/>
      <c r="E245" s="21"/>
      <c r="F245" s="22"/>
      <c r="G245" s="21"/>
      <c r="H245" s="21"/>
      <c r="I245" s="22"/>
      <c r="J245" s="21"/>
      <c r="K245" s="21"/>
    </row>
    <row r="246" spans="1:11" ht="14.45">
      <c r="A246" s="21"/>
      <c r="B246" s="33"/>
      <c r="C246" s="21"/>
      <c r="D246" s="21"/>
      <c r="E246" s="21"/>
      <c r="F246" s="22"/>
      <c r="G246" s="21"/>
      <c r="H246" s="21"/>
      <c r="I246" s="22"/>
      <c r="J246" s="21"/>
      <c r="K246" s="21"/>
    </row>
    <row r="247" spans="1:11" ht="14.45">
      <c r="A247" s="21"/>
      <c r="B247" s="33"/>
      <c r="C247" s="21"/>
      <c r="D247" s="21"/>
      <c r="E247" s="21"/>
      <c r="F247" s="22"/>
      <c r="G247" s="21"/>
      <c r="H247" s="21"/>
      <c r="I247" s="22"/>
      <c r="J247" s="21"/>
      <c r="K247" s="21"/>
    </row>
    <row r="248" spans="1:11" ht="14.45">
      <c r="A248" s="21"/>
      <c r="B248" s="33"/>
      <c r="C248" s="21"/>
      <c r="D248" s="21"/>
      <c r="E248" s="21"/>
      <c r="F248" s="22"/>
      <c r="G248" s="21"/>
      <c r="H248" s="21"/>
      <c r="I248" s="22"/>
      <c r="J248" s="21"/>
      <c r="K248" s="21"/>
    </row>
    <row r="249" spans="1:11" ht="14.45">
      <c r="A249" s="21"/>
      <c r="B249" s="33"/>
      <c r="C249" s="21"/>
      <c r="D249" s="21"/>
      <c r="E249" s="21"/>
      <c r="F249" s="22"/>
      <c r="G249" s="21"/>
      <c r="H249" s="21"/>
      <c r="I249" s="22"/>
      <c r="J249" s="21"/>
      <c r="K249" s="21"/>
    </row>
    <row r="250" spans="1:11" ht="14.45">
      <c r="A250" s="21"/>
      <c r="B250" s="33"/>
      <c r="C250" s="21"/>
      <c r="D250" s="21"/>
      <c r="E250" s="21"/>
      <c r="F250" s="22"/>
      <c r="G250" s="21"/>
      <c r="H250" s="21"/>
      <c r="I250" s="22"/>
      <c r="J250" s="21"/>
      <c r="K250" s="21"/>
    </row>
    <row r="251" spans="1:11" ht="14.45">
      <c r="A251" s="21"/>
      <c r="B251" s="33"/>
      <c r="C251" s="21"/>
      <c r="D251" s="21"/>
      <c r="E251" s="21"/>
      <c r="F251" s="22"/>
      <c r="G251" s="21"/>
      <c r="H251" s="21"/>
      <c r="I251" s="22"/>
      <c r="J251" s="21"/>
      <c r="K251" s="21"/>
    </row>
    <row r="252" spans="1:11" ht="14.45">
      <c r="A252" s="21"/>
      <c r="B252" s="33"/>
      <c r="C252" s="21"/>
      <c r="D252" s="21"/>
      <c r="E252" s="21"/>
      <c r="F252" s="22"/>
      <c r="G252" s="21"/>
      <c r="H252" s="21"/>
      <c r="I252" s="22"/>
      <c r="J252" s="21"/>
      <c r="K252" s="21"/>
    </row>
    <row r="253" spans="1:11" ht="14.45">
      <c r="A253" s="21"/>
      <c r="B253" s="33"/>
      <c r="C253" s="21"/>
      <c r="D253" s="21"/>
      <c r="E253" s="21"/>
      <c r="F253" s="22"/>
      <c r="G253" s="21"/>
      <c r="H253" s="21"/>
      <c r="I253" s="22"/>
      <c r="J253" s="21"/>
      <c r="K253" s="21"/>
    </row>
    <row r="254" spans="1:11" ht="14.45">
      <c r="A254" s="21"/>
      <c r="B254" s="33"/>
      <c r="C254" s="21"/>
      <c r="D254" s="21"/>
      <c r="E254" s="21"/>
      <c r="F254" s="22"/>
      <c r="G254" s="21"/>
      <c r="H254" s="21"/>
      <c r="I254" s="22"/>
      <c r="J254" s="21"/>
      <c r="K254" s="21"/>
    </row>
    <row r="255" spans="1:11" ht="14.45">
      <c r="A255" s="21"/>
      <c r="B255" s="33"/>
      <c r="C255" s="21"/>
      <c r="D255" s="21"/>
      <c r="E255" s="21"/>
      <c r="F255" s="22"/>
      <c r="G255" s="21"/>
      <c r="H255" s="21"/>
      <c r="I255" s="22"/>
      <c r="J255" s="21"/>
      <c r="K255" s="21"/>
    </row>
    <row r="256" spans="1:11" ht="14.45">
      <c r="A256" s="21"/>
      <c r="B256" s="33"/>
      <c r="C256" s="21"/>
      <c r="D256" s="21"/>
      <c r="E256" s="21"/>
      <c r="F256" s="22"/>
      <c r="G256" s="21"/>
      <c r="H256" s="21"/>
      <c r="I256" s="22"/>
      <c r="J256" s="21"/>
      <c r="K256" s="21"/>
    </row>
    <row r="257" spans="1:11" ht="14.45">
      <c r="A257" s="21"/>
      <c r="B257" s="33"/>
      <c r="C257" s="21"/>
      <c r="D257" s="21"/>
      <c r="E257" s="21"/>
      <c r="F257" s="22"/>
      <c r="G257" s="21"/>
      <c r="H257" s="21"/>
      <c r="I257" s="22"/>
      <c r="J257" s="21"/>
      <c r="K257" s="21"/>
    </row>
    <row r="258" spans="1:11" ht="14.45">
      <c r="A258" s="21"/>
      <c r="B258" s="33"/>
      <c r="C258" s="21"/>
      <c r="D258" s="21"/>
      <c r="E258" s="21"/>
      <c r="F258" s="22"/>
      <c r="G258" s="21"/>
      <c r="H258" s="21"/>
      <c r="I258" s="22"/>
      <c r="J258" s="21"/>
      <c r="K258" s="21"/>
    </row>
    <row r="259" spans="1:11" ht="14.45">
      <c r="A259" s="21"/>
      <c r="B259" s="33"/>
      <c r="C259" s="21"/>
      <c r="D259" s="21"/>
      <c r="E259" s="21"/>
      <c r="F259" s="22"/>
      <c r="G259" s="21"/>
      <c r="H259" s="21"/>
      <c r="I259" s="22"/>
      <c r="J259" s="21"/>
      <c r="K259" s="21"/>
    </row>
    <row r="260" spans="1:11" ht="14.45">
      <c r="A260" s="21"/>
      <c r="B260" s="33"/>
      <c r="C260" s="21"/>
      <c r="D260" s="21"/>
      <c r="E260" s="21"/>
      <c r="F260" s="22"/>
      <c r="G260" s="21"/>
      <c r="H260" s="21"/>
      <c r="I260" s="22"/>
      <c r="J260" s="21"/>
      <c r="K260" s="21"/>
    </row>
    <row r="261" spans="1:11" ht="14.45">
      <c r="A261" s="21"/>
      <c r="B261" s="33"/>
      <c r="C261" s="21"/>
      <c r="D261" s="21"/>
      <c r="E261" s="21"/>
      <c r="F261" s="22"/>
      <c r="G261" s="21"/>
      <c r="H261" s="21"/>
      <c r="I261" s="22"/>
      <c r="J261" s="21"/>
      <c r="K261" s="21"/>
    </row>
    <row r="262" spans="1:11" ht="14.45">
      <c r="A262" s="21"/>
      <c r="B262" s="33"/>
      <c r="C262" s="21"/>
      <c r="D262" s="21"/>
      <c r="E262" s="21"/>
      <c r="F262" s="22"/>
      <c r="G262" s="21"/>
      <c r="H262" s="21"/>
      <c r="I262" s="22"/>
      <c r="J262" s="21"/>
      <c r="K262" s="21"/>
    </row>
    <row r="263" spans="1:11" ht="14.45">
      <c r="A263" s="21"/>
      <c r="B263" s="33"/>
      <c r="C263" s="21"/>
      <c r="D263" s="21"/>
      <c r="E263" s="21"/>
      <c r="F263" s="22"/>
      <c r="G263" s="21"/>
      <c r="H263" s="21"/>
      <c r="I263" s="22"/>
      <c r="J263" s="21"/>
      <c r="K263" s="21"/>
    </row>
    <row r="264" spans="1:11" ht="14.45">
      <c r="A264" s="21"/>
      <c r="B264" s="33"/>
      <c r="C264" s="21"/>
      <c r="D264" s="21"/>
      <c r="E264" s="21"/>
      <c r="F264" s="22"/>
      <c r="G264" s="21"/>
      <c r="H264" s="21"/>
      <c r="I264" s="22"/>
      <c r="J264" s="21"/>
      <c r="K264" s="21"/>
    </row>
    <row r="265" spans="1:11" ht="14.45">
      <c r="A265" s="21"/>
      <c r="B265" s="33"/>
      <c r="C265" s="21"/>
      <c r="D265" s="21"/>
      <c r="E265" s="21"/>
      <c r="F265" s="22"/>
      <c r="G265" s="21"/>
      <c r="H265" s="21"/>
      <c r="I265" s="22"/>
      <c r="J265" s="21"/>
      <c r="K265" s="21"/>
    </row>
    <row r="266" spans="1:11" ht="14.45">
      <c r="A266" s="21"/>
      <c r="B266" s="33"/>
      <c r="C266" s="21"/>
      <c r="D266" s="21"/>
      <c r="E266" s="21"/>
      <c r="F266" s="22"/>
      <c r="G266" s="21"/>
      <c r="H266" s="21"/>
      <c r="I266" s="22"/>
      <c r="J266" s="21"/>
      <c r="K266" s="21"/>
    </row>
    <row r="267" spans="1:11" ht="14.45">
      <c r="A267" s="21"/>
      <c r="B267" s="33"/>
      <c r="C267" s="21"/>
      <c r="D267" s="21"/>
      <c r="E267" s="21"/>
      <c r="F267" s="22"/>
      <c r="G267" s="21"/>
      <c r="H267" s="21"/>
      <c r="I267" s="22"/>
      <c r="J267" s="21"/>
      <c r="K267" s="21"/>
    </row>
    <row r="268" spans="1:11" ht="14.45">
      <c r="A268" s="21"/>
      <c r="B268" s="33"/>
      <c r="C268" s="21"/>
      <c r="D268" s="21"/>
      <c r="E268" s="21"/>
      <c r="F268" s="22"/>
      <c r="G268" s="21"/>
      <c r="H268" s="21"/>
      <c r="I268" s="22"/>
      <c r="J268" s="21"/>
      <c r="K268" s="21"/>
    </row>
    <row r="269" spans="1:11" ht="14.45">
      <c r="A269" s="21"/>
      <c r="B269" s="33"/>
      <c r="C269" s="21"/>
      <c r="D269" s="21"/>
      <c r="E269" s="21"/>
      <c r="F269" s="22"/>
      <c r="G269" s="21"/>
      <c r="H269" s="21"/>
      <c r="I269" s="22"/>
      <c r="J269" s="21"/>
      <c r="K269" s="21"/>
    </row>
    <row r="270" spans="1:11" ht="14.45">
      <c r="A270" s="21"/>
      <c r="B270" s="33"/>
      <c r="C270" s="21"/>
      <c r="D270" s="21"/>
      <c r="E270" s="21"/>
      <c r="F270" s="22"/>
      <c r="G270" s="21"/>
      <c r="H270" s="21"/>
      <c r="I270" s="22"/>
      <c r="J270" s="21"/>
      <c r="K270" s="21"/>
    </row>
    <row r="271" spans="1:11" ht="14.45">
      <c r="A271" s="21"/>
      <c r="B271" s="33"/>
      <c r="C271" s="21"/>
      <c r="D271" s="21"/>
      <c r="E271" s="21"/>
      <c r="F271" s="22"/>
      <c r="G271" s="21"/>
      <c r="H271" s="21"/>
      <c r="I271" s="22"/>
      <c r="J271" s="21"/>
      <c r="K271" s="21"/>
    </row>
    <row r="272" spans="1:11" ht="14.45">
      <c r="A272" s="21"/>
      <c r="B272" s="33"/>
      <c r="C272" s="21"/>
      <c r="D272" s="21"/>
      <c r="E272" s="21"/>
      <c r="F272" s="22"/>
      <c r="G272" s="21"/>
      <c r="H272" s="21"/>
      <c r="I272" s="22"/>
      <c r="J272" s="21"/>
      <c r="K272" s="21"/>
    </row>
    <row r="273" spans="1:11" ht="14.45">
      <c r="A273" s="21"/>
      <c r="B273" s="33"/>
      <c r="C273" s="21"/>
      <c r="D273" s="21"/>
      <c r="E273" s="21"/>
      <c r="F273" s="22"/>
      <c r="G273" s="21"/>
      <c r="H273" s="21"/>
      <c r="I273" s="22"/>
      <c r="J273" s="21"/>
      <c r="K273" s="21"/>
    </row>
    <row r="274" spans="1:11" ht="14.45">
      <c r="A274" s="21"/>
      <c r="B274" s="33"/>
      <c r="C274" s="21"/>
      <c r="D274" s="21"/>
      <c r="E274" s="21"/>
      <c r="F274" s="22"/>
      <c r="G274" s="21"/>
      <c r="H274" s="21"/>
      <c r="I274" s="22"/>
      <c r="J274" s="21"/>
      <c r="K274" s="21"/>
    </row>
    <row r="275" spans="1:11" ht="14.45">
      <c r="A275" s="21"/>
      <c r="B275" s="33"/>
      <c r="C275" s="21"/>
      <c r="D275" s="21"/>
      <c r="E275" s="21"/>
      <c r="F275" s="22"/>
      <c r="G275" s="21"/>
      <c r="H275" s="21"/>
      <c r="I275" s="22"/>
      <c r="J275" s="21"/>
      <c r="K275" s="21"/>
    </row>
    <row r="276" spans="1:11" ht="14.45">
      <c r="A276" s="21"/>
      <c r="B276" s="33"/>
      <c r="C276" s="21"/>
      <c r="D276" s="21"/>
      <c r="E276" s="21"/>
      <c r="F276" s="22"/>
      <c r="G276" s="21"/>
      <c r="H276" s="21"/>
      <c r="I276" s="22"/>
      <c r="J276" s="21"/>
      <c r="K276" s="21"/>
    </row>
    <row r="277" spans="1:11" ht="14.45">
      <c r="A277" s="21"/>
      <c r="B277" s="33"/>
      <c r="C277" s="21"/>
      <c r="D277" s="21"/>
      <c r="E277" s="21"/>
      <c r="F277" s="22"/>
      <c r="G277" s="21"/>
      <c r="H277" s="21"/>
      <c r="I277" s="22"/>
      <c r="J277" s="21"/>
      <c r="K277" s="21"/>
    </row>
    <row r="278" spans="1:11" ht="14.45">
      <c r="A278" s="21"/>
      <c r="B278" s="33"/>
      <c r="C278" s="21"/>
      <c r="D278" s="21"/>
      <c r="E278" s="21"/>
      <c r="F278" s="22"/>
      <c r="G278" s="21"/>
      <c r="H278" s="21"/>
      <c r="I278" s="22"/>
      <c r="J278" s="21"/>
      <c r="K278" s="21"/>
    </row>
    <row r="279" spans="1:11" ht="14.45">
      <c r="A279" s="21"/>
      <c r="B279" s="33"/>
      <c r="C279" s="21"/>
      <c r="D279" s="21"/>
      <c r="E279" s="21"/>
      <c r="F279" s="22"/>
      <c r="G279" s="21"/>
      <c r="H279" s="21"/>
      <c r="I279" s="22"/>
      <c r="J279" s="21"/>
      <c r="K279" s="21"/>
    </row>
    <row r="280" spans="1:11" ht="14.45">
      <c r="A280" s="21"/>
      <c r="B280" s="33"/>
      <c r="C280" s="21"/>
      <c r="D280" s="21"/>
      <c r="E280" s="21"/>
      <c r="F280" s="22"/>
      <c r="G280" s="21"/>
      <c r="H280" s="21"/>
      <c r="I280" s="22"/>
      <c r="J280" s="21"/>
      <c r="K280" s="21"/>
    </row>
    <row r="281" spans="1:11" ht="14.45">
      <c r="A281" s="21"/>
      <c r="B281" s="33"/>
      <c r="C281" s="21"/>
      <c r="D281" s="21"/>
      <c r="E281" s="21"/>
      <c r="F281" s="22"/>
      <c r="G281" s="21"/>
      <c r="H281" s="21"/>
      <c r="I281" s="22"/>
      <c r="J281" s="21"/>
      <c r="K281" s="21"/>
    </row>
    <row r="282" spans="1:11" ht="14.45">
      <c r="A282" s="21"/>
      <c r="B282" s="33"/>
      <c r="C282" s="21"/>
      <c r="D282" s="21"/>
      <c r="E282" s="21"/>
      <c r="F282" s="22"/>
      <c r="G282" s="21"/>
      <c r="H282" s="21"/>
      <c r="I282" s="22"/>
      <c r="J282" s="21"/>
      <c r="K282" s="21"/>
    </row>
    <row r="283" spans="1:11" ht="14.45">
      <c r="A283" s="21"/>
      <c r="B283" s="33"/>
      <c r="C283" s="21"/>
      <c r="D283" s="21"/>
      <c r="E283" s="21"/>
      <c r="F283" s="22"/>
      <c r="G283" s="21"/>
      <c r="H283" s="21"/>
      <c r="I283" s="22"/>
      <c r="J283" s="21"/>
      <c r="K283" s="21"/>
    </row>
    <row r="284" spans="1:11" ht="14.45">
      <c r="A284" s="21"/>
      <c r="B284" s="33"/>
      <c r="C284" s="21"/>
      <c r="D284" s="21"/>
      <c r="E284" s="21"/>
      <c r="F284" s="22"/>
      <c r="G284" s="21"/>
      <c r="H284" s="21"/>
      <c r="I284" s="22"/>
      <c r="J284" s="21"/>
      <c r="K284" s="21"/>
    </row>
    <row r="285" spans="1:11" ht="14.45">
      <c r="A285" s="21"/>
      <c r="B285" s="33"/>
      <c r="C285" s="21"/>
      <c r="D285" s="21"/>
      <c r="E285" s="21"/>
      <c r="F285" s="22"/>
      <c r="G285" s="21"/>
      <c r="H285" s="21"/>
      <c r="I285" s="22"/>
      <c r="J285" s="21"/>
      <c r="K285" s="21"/>
    </row>
    <row r="286" spans="1:11" ht="14.45">
      <c r="A286" s="21"/>
      <c r="B286" s="33"/>
      <c r="C286" s="21"/>
      <c r="D286" s="21"/>
      <c r="E286" s="21"/>
      <c r="F286" s="22"/>
      <c r="G286" s="21"/>
      <c r="H286" s="21"/>
      <c r="I286" s="22"/>
      <c r="J286" s="21"/>
      <c r="K286" s="21"/>
    </row>
    <row r="287" spans="1:11" ht="14.45">
      <c r="A287" s="21"/>
      <c r="B287" s="33"/>
      <c r="C287" s="21"/>
      <c r="D287" s="21"/>
      <c r="E287" s="21"/>
      <c r="F287" s="22"/>
      <c r="G287" s="21"/>
      <c r="H287" s="21"/>
      <c r="I287" s="22"/>
      <c r="J287" s="21"/>
      <c r="K287" s="21"/>
    </row>
    <row r="288" spans="1:11" ht="14.45">
      <c r="A288" s="21"/>
      <c r="B288" s="33"/>
      <c r="C288" s="21"/>
      <c r="D288" s="21"/>
      <c r="E288" s="21"/>
      <c r="F288" s="22"/>
      <c r="G288" s="21"/>
      <c r="H288" s="21"/>
      <c r="I288" s="22"/>
      <c r="J288" s="21"/>
      <c r="K288" s="21"/>
    </row>
    <row r="289" spans="1:11" ht="14.45">
      <c r="A289" s="21"/>
      <c r="B289" s="33"/>
      <c r="C289" s="21"/>
      <c r="D289" s="21"/>
      <c r="E289" s="21"/>
      <c r="F289" s="22"/>
      <c r="G289" s="21"/>
      <c r="H289" s="21"/>
      <c r="I289" s="22"/>
      <c r="J289" s="21"/>
      <c r="K289" s="21"/>
    </row>
    <row r="290" spans="1:11" ht="14.45">
      <c r="A290" s="21"/>
      <c r="B290" s="33"/>
      <c r="C290" s="21"/>
      <c r="D290" s="21"/>
      <c r="E290" s="21"/>
      <c r="F290" s="22"/>
      <c r="G290" s="21"/>
      <c r="H290" s="21"/>
      <c r="I290" s="22"/>
      <c r="J290" s="21"/>
      <c r="K290" s="21"/>
    </row>
    <row r="291" spans="1:11" ht="14.45">
      <c r="A291" s="21"/>
      <c r="B291" s="33"/>
      <c r="C291" s="21"/>
      <c r="D291" s="21"/>
      <c r="E291" s="21"/>
      <c r="F291" s="22"/>
      <c r="G291" s="21"/>
      <c r="H291" s="21"/>
      <c r="I291" s="22"/>
      <c r="J291" s="21"/>
      <c r="K291" s="21"/>
    </row>
    <row r="292" spans="1:11" ht="14.45">
      <c r="A292" s="21"/>
      <c r="B292" s="33"/>
      <c r="C292" s="21"/>
      <c r="D292" s="21"/>
      <c r="E292" s="21"/>
      <c r="F292" s="22"/>
      <c r="G292" s="21"/>
      <c r="H292" s="21"/>
      <c r="I292" s="22"/>
      <c r="J292" s="21"/>
      <c r="K292" s="21"/>
    </row>
    <row r="293" spans="1:11" ht="14.45">
      <c r="A293" s="21"/>
      <c r="B293" s="33"/>
      <c r="C293" s="21"/>
      <c r="D293" s="21"/>
      <c r="E293" s="21"/>
      <c r="F293" s="22"/>
      <c r="G293" s="21"/>
      <c r="H293" s="21"/>
      <c r="I293" s="22"/>
      <c r="J293" s="21"/>
      <c r="K293" s="21"/>
    </row>
    <row r="294" spans="1:11" ht="14.45">
      <c r="A294" s="21"/>
      <c r="B294" s="33"/>
      <c r="C294" s="21"/>
      <c r="D294" s="21"/>
      <c r="E294" s="21"/>
      <c r="F294" s="22"/>
      <c r="G294" s="21"/>
      <c r="H294" s="21"/>
      <c r="I294" s="22"/>
      <c r="J294" s="21"/>
      <c r="K294" s="21"/>
    </row>
    <row r="295" spans="1:11" ht="14.45">
      <c r="A295" s="21"/>
      <c r="B295" s="33"/>
      <c r="C295" s="21"/>
      <c r="D295" s="21"/>
      <c r="E295" s="21"/>
      <c r="F295" s="22"/>
      <c r="G295" s="21"/>
      <c r="H295" s="21"/>
      <c r="I295" s="22"/>
      <c r="J295" s="21"/>
      <c r="K295" s="21"/>
    </row>
    <row r="296" spans="1:11" ht="14.45">
      <c r="A296" s="21"/>
      <c r="B296" s="33"/>
      <c r="C296" s="21"/>
      <c r="D296" s="21"/>
      <c r="E296" s="21"/>
      <c r="F296" s="22"/>
      <c r="G296" s="21"/>
      <c r="H296" s="21"/>
      <c r="I296" s="22"/>
      <c r="J296" s="21"/>
      <c r="K296" s="21"/>
    </row>
    <row r="297" spans="1:11" ht="14.45">
      <c r="A297" s="21"/>
      <c r="B297" s="33"/>
      <c r="C297" s="21"/>
      <c r="D297" s="21"/>
      <c r="E297" s="21"/>
      <c r="F297" s="22"/>
      <c r="G297" s="21"/>
      <c r="H297" s="21"/>
      <c r="I297" s="22"/>
      <c r="J297" s="21"/>
      <c r="K297" s="21"/>
    </row>
    <row r="298" spans="1:11" ht="14.45">
      <c r="A298" s="21"/>
      <c r="B298" s="33"/>
      <c r="C298" s="21"/>
      <c r="D298" s="21"/>
      <c r="E298" s="21"/>
      <c r="F298" s="22"/>
      <c r="G298" s="21"/>
      <c r="H298" s="21"/>
      <c r="I298" s="22"/>
      <c r="J298" s="21"/>
      <c r="K298" s="21"/>
    </row>
    <row r="299" spans="1:11" ht="14.45">
      <c r="A299" s="21"/>
      <c r="B299" s="33"/>
      <c r="C299" s="21"/>
      <c r="D299" s="21"/>
      <c r="E299" s="21"/>
      <c r="F299" s="22"/>
      <c r="G299" s="21"/>
      <c r="H299" s="21"/>
      <c r="I299" s="22"/>
      <c r="J299" s="21"/>
      <c r="K299" s="21"/>
    </row>
    <row r="300" spans="1:11" ht="14.45">
      <c r="A300" s="21"/>
      <c r="B300" s="33"/>
      <c r="C300" s="21"/>
      <c r="D300" s="21"/>
      <c r="E300" s="21"/>
      <c r="F300" s="22"/>
      <c r="G300" s="21"/>
      <c r="H300" s="21"/>
      <c r="I300" s="22"/>
      <c r="J300" s="21"/>
      <c r="K300" s="21"/>
    </row>
    <row r="301" spans="1:11" ht="14.45">
      <c r="A301" s="21"/>
      <c r="B301" s="33"/>
      <c r="C301" s="21"/>
      <c r="D301" s="21"/>
      <c r="E301" s="21"/>
      <c r="F301" s="22"/>
      <c r="G301" s="21"/>
      <c r="H301" s="21"/>
      <c r="I301" s="22"/>
      <c r="J301" s="21"/>
      <c r="K301" s="21"/>
    </row>
    <row r="302" spans="1:11" ht="14.45">
      <c r="A302" s="21"/>
      <c r="B302" s="33"/>
      <c r="C302" s="21"/>
      <c r="D302" s="21"/>
      <c r="E302" s="21"/>
      <c r="F302" s="22"/>
      <c r="G302" s="21"/>
      <c r="H302" s="21"/>
      <c r="I302" s="22"/>
      <c r="J302" s="21"/>
      <c r="K302" s="21"/>
    </row>
    <row r="303" spans="1:11" ht="14.45">
      <c r="A303" s="21"/>
      <c r="B303" s="33"/>
      <c r="C303" s="21"/>
      <c r="D303" s="21"/>
      <c r="E303" s="21"/>
      <c r="F303" s="22"/>
      <c r="G303" s="21"/>
      <c r="H303" s="21"/>
      <c r="I303" s="22"/>
      <c r="J303" s="21"/>
      <c r="K303" s="21"/>
    </row>
    <row r="304" spans="1:11" ht="14.45">
      <c r="A304" s="21"/>
      <c r="B304" s="33"/>
      <c r="C304" s="21"/>
      <c r="D304" s="21"/>
      <c r="E304" s="21"/>
      <c r="F304" s="22"/>
      <c r="G304" s="21"/>
      <c r="H304" s="21"/>
      <c r="I304" s="22"/>
      <c r="J304" s="21"/>
      <c r="K304" s="21"/>
    </row>
    <row r="305" spans="1:11" ht="14.45">
      <c r="A305" s="21"/>
      <c r="B305" s="33"/>
      <c r="C305" s="21"/>
      <c r="D305" s="21"/>
      <c r="E305" s="21"/>
      <c r="F305" s="22"/>
      <c r="G305" s="21"/>
      <c r="H305" s="21"/>
      <c r="I305" s="22"/>
      <c r="J305" s="21"/>
      <c r="K305" s="21"/>
    </row>
    <row r="306" spans="1:11" ht="14.45">
      <c r="A306" s="21"/>
      <c r="B306" s="33"/>
      <c r="C306" s="21"/>
      <c r="D306" s="21"/>
      <c r="E306" s="21"/>
      <c r="F306" s="22"/>
      <c r="G306" s="21"/>
      <c r="H306" s="21"/>
      <c r="I306" s="22"/>
      <c r="J306" s="21"/>
      <c r="K306" s="21"/>
    </row>
    <row r="307" spans="1:11" ht="14.45">
      <c r="A307" s="21"/>
      <c r="B307" s="33"/>
      <c r="C307" s="21"/>
      <c r="D307" s="21"/>
      <c r="E307" s="21"/>
      <c r="F307" s="22"/>
      <c r="G307" s="21"/>
      <c r="H307" s="21"/>
      <c r="I307" s="22"/>
      <c r="J307" s="21"/>
      <c r="K307" s="21"/>
    </row>
    <row r="308" spans="1:11" ht="14.45">
      <c r="A308" s="21"/>
      <c r="B308" s="33"/>
      <c r="C308" s="21"/>
      <c r="D308" s="21"/>
      <c r="E308" s="21"/>
      <c r="F308" s="22"/>
      <c r="G308" s="21"/>
      <c r="H308" s="21"/>
      <c r="I308" s="22"/>
      <c r="J308" s="21"/>
      <c r="K308" s="21"/>
    </row>
    <row r="309" spans="1:11" ht="14.45">
      <c r="A309" s="21"/>
      <c r="B309" s="33"/>
      <c r="C309" s="21"/>
      <c r="D309" s="21"/>
      <c r="E309" s="21"/>
      <c r="F309" s="22"/>
      <c r="G309" s="21"/>
      <c r="H309" s="21"/>
      <c r="I309" s="22"/>
      <c r="J309" s="21"/>
      <c r="K309" s="21"/>
    </row>
    <row r="310" spans="1:11" ht="14.45">
      <c r="A310" s="21"/>
      <c r="B310" s="33"/>
      <c r="C310" s="21"/>
      <c r="D310" s="21"/>
      <c r="E310" s="21"/>
      <c r="F310" s="22"/>
      <c r="G310" s="21"/>
      <c r="H310" s="21"/>
      <c r="I310" s="22"/>
      <c r="J310" s="21"/>
      <c r="K310" s="21"/>
    </row>
    <row r="311" spans="1:11" ht="14.45">
      <c r="A311" s="21"/>
      <c r="B311" s="33"/>
      <c r="C311" s="21"/>
      <c r="D311" s="21"/>
      <c r="E311" s="21"/>
      <c r="F311" s="22"/>
      <c r="G311" s="21"/>
      <c r="H311" s="21"/>
      <c r="I311" s="22"/>
      <c r="J311" s="21"/>
      <c r="K311" s="21"/>
    </row>
    <row r="312" spans="1:11" ht="14.45">
      <c r="A312" s="21"/>
      <c r="B312" s="33"/>
      <c r="C312" s="21"/>
      <c r="D312" s="21"/>
      <c r="E312" s="21"/>
      <c r="F312" s="22"/>
      <c r="G312" s="21"/>
      <c r="H312" s="21"/>
      <c r="I312" s="22"/>
      <c r="J312" s="21"/>
      <c r="K312" s="21"/>
    </row>
    <row r="313" spans="1:11" ht="14.45">
      <c r="A313" s="21"/>
      <c r="B313" s="33"/>
      <c r="C313" s="21"/>
      <c r="D313" s="21"/>
      <c r="E313" s="21"/>
      <c r="F313" s="22"/>
      <c r="G313" s="21"/>
      <c r="H313" s="21"/>
      <c r="I313" s="22"/>
      <c r="J313" s="21"/>
      <c r="K313" s="21"/>
    </row>
    <row r="314" spans="1:11" ht="14.45">
      <c r="A314" s="21"/>
      <c r="B314" s="33"/>
      <c r="C314" s="21"/>
      <c r="D314" s="21"/>
      <c r="E314" s="21"/>
      <c r="F314" s="22"/>
      <c r="G314" s="21"/>
      <c r="H314" s="21"/>
      <c r="I314" s="22"/>
      <c r="J314" s="21"/>
      <c r="K314" s="21"/>
    </row>
    <row r="315" spans="1:11" ht="14.45">
      <c r="A315" s="21"/>
      <c r="B315" s="33"/>
      <c r="C315" s="21"/>
      <c r="D315" s="21"/>
      <c r="E315" s="21"/>
      <c r="F315" s="22"/>
      <c r="G315" s="21"/>
      <c r="H315" s="21"/>
      <c r="I315" s="22"/>
      <c r="J315" s="21"/>
      <c r="K315" s="21"/>
    </row>
    <row r="316" spans="1:11" ht="14.45">
      <c r="A316" s="21"/>
      <c r="B316" s="33"/>
      <c r="C316" s="21"/>
      <c r="D316" s="21"/>
      <c r="E316" s="21"/>
      <c r="F316" s="22"/>
      <c r="G316" s="21"/>
      <c r="H316" s="21"/>
      <c r="I316" s="22"/>
      <c r="J316" s="21"/>
      <c r="K316" s="21"/>
    </row>
    <row r="317" spans="1:11" ht="14.45">
      <c r="A317" s="21"/>
      <c r="B317" s="33"/>
      <c r="C317" s="21"/>
      <c r="D317" s="21"/>
      <c r="E317" s="21"/>
      <c r="F317" s="22"/>
      <c r="G317" s="21"/>
      <c r="H317" s="21"/>
      <c r="I317" s="22"/>
      <c r="J317" s="21"/>
      <c r="K317" s="21"/>
    </row>
    <row r="318" spans="1:11" ht="14.45">
      <c r="A318" s="21"/>
      <c r="B318" s="33"/>
      <c r="C318" s="21"/>
      <c r="D318" s="21"/>
      <c r="E318" s="21"/>
      <c r="F318" s="22"/>
      <c r="G318" s="21"/>
      <c r="H318" s="21"/>
      <c r="I318" s="22"/>
      <c r="J318" s="21"/>
      <c r="K318" s="21"/>
    </row>
    <row r="319" spans="1:11" ht="14.45">
      <c r="A319" s="21"/>
      <c r="B319" s="33"/>
      <c r="C319" s="21"/>
      <c r="D319" s="21"/>
      <c r="E319" s="21"/>
      <c r="F319" s="22"/>
      <c r="G319" s="21"/>
      <c r="H319" s="21"/>
      <c r="I319" s="22"/>
      <c r="J319" s="21"/>
      <c r="K319" s="21"/>
    </row>
    <row r="320" spans="1:11" ht="14.45">
      <c r="A320" s="21"/>
      <c r="B320" s="33"/>
      <c r="C320" s="21"/>
      <c r="D320" s="21"/>
      <c r="E320" s="21"/>
      <c r="F320" s="22"/>
      <c r="G320" s="21"/>
      <c r="H320" s="21"/>
      <c r="I320" s="22"/>
      <c r="J320" s="21"/>
      <c r="K320" s="21"/>
    </row>
    <row r="321" spans="1:11" ht="14.45">
      <c r="A321" s="21"/>
      <c r="B321" s="33"/>
      <c r="C321" s="21"/>
      <c r="D321" s="21"/>
      <c r="E321" s="21"/>
      <c r="F321" s="22"/>
      <c r="G321" s="21"/>
      <c r="H321" s="21"/>
      <c r="I321" s="22"/>
      <c r="J321" s="21"/>
      <c r="K321" s="21"/>
    </row>
    <row r="322" spans="1:11" ht="14.45">
      <c r="A322" s="21"/>
      <c r="B322" s="33"/>
      <c r="C322" s="21"/>
      <c r="D322" s="21"/>
      <c r="E322" s="21"/>
      <c r="F322" s="22"/>
      <c r="G322" s="21"/>
      <c r="H322" s="21"/>
      <c r="I322" s="22"/>
      <c r="J322" s="21"/>
      <c r="K322" s="21"/>
    </row>
    <row r="323" spans="1:11" ht="14.45">
      <c r="A323" s="21"/>
      <c r="B323" s="33"/>
      <c r="C323" s="21"/>
      <c r="D323" s="21"/>
      <c r="E323" s="21"/>
      <c r="F323" s="22"/>
      <c r="G323" s="21"/>
      <c r="H323" s="21"/>
      <c r="I323" s="22"/>
      <c r="J323" s="21"/>
      <c r="K323" s="21"/>
    </row>
    <row r="324" spans="1:11" ht="14.45">
      <c r="A324" s="21"/>
      <c r="B324" s="33"/>
      <c r="C324" s="21"/>
      <c r="D324" s="21"/>
      <c r="E324" s="21"/>
      <c r="F324" s="22"/>
      <c r="G324" s="21"/>
      <c r="H324" s="21"/>
      <c r="I324" s="22"/>
      <c r="J324" s="21"/>
      <c r="K324" s="21"/>
    </row>
    <row r="325" spans="1:11" ht="14.45">
      <c r="A325" s="21"/>
      <c r="B325" s="33"/>
      <c r="C325" s="21"/>
      <c r="D325" s="21"/>
      <c r="E325" s="21"/>
      <c r="F325" s="22"/>
      <c r="G325" s="21"/>
      <c r="H325" s="21"/>
      <c r="I325" s="22"/>
      <c r="J325" s="21"/>
      <c r="K325" s="21"/>
    </row>
    <row r="326" spans="1:11" ht="14.45">
      <c r="A326" s="21"/>
      <c r="B326" s="33"/>
      <c r="C326" s="21"/>
      <c r="D326" s="21"/>
      <c r="E326" s="21"/>
      <c r="F326" s="22"/>
      <c r="G326" s="21"/>
      <c r="H326" s="21"/>
      <c r="I326" s="22"/>
      <c r="J326" s="21"/>
      <c r="K326" s="21"/>
    </row>
    <row r="327" spans="1:11" ht="14.45">
      <c r="A327" s="21"/>
      <c r="B327" s="33"/>
      <c r="C327" s="21"/>
      <c r="D327" s="21"/>
      <c r="E327" s="21"/>
      <c r="F327" s="22"/>
      <c r="G327" s="21"/>
      <c r="H327" s="21"/>
      <c r="I327" s="22"/>
      <c r="J327" s="21"/>
      <c r="K327" s="21"/>
    </row>
    <row r="328" spans="1:11" ht="14.45">
      <c r="A328" s="21"/>
      <c r="B328" s="33"/>
      <c r="C328" s="21"/>
      <c r="D328" s="21"/>
      <c r="E328" s="21"/>
      <c r="F328" s="22"/>
      <c r="G328" s="21"/>
      <c r="H328" s="21"/>
      <c r="I328" s="22"/>
      <c r="J328" s="21"/>
      <c r="K328" s="21"/>
    </row>
    <row r="329" spans="1:11" ht="14.45">
      <c r="A329" s="21"/>
      <c r="B329" s="33"/>
      <c r="C329" s="21"/>
      <c r="D329" s="21"/>
      <c r="E329" s="21"/>
      <c r="F329" s="22"/>
      <c r="G329" s="21"/>
      <c r="H329" s="21"/>
      <c r="I329" s="22"/>
      <c r="J329" s="21"/>
      <c r="K329" s="21"/>
    </row>
    <row r="330" spans="1:11" ht="14.45">
      <c r="A330" s="21"/>
      <c r="B330" s="33"/>
      <c r="C330" s="21"/>
      <c r="D330" s="21"/>
      <c r="E330" s="21"/>
      <c r="F330" s="22"/>
      <c r="G330" s="21"/>
      <c r="H330" s="21"/>
      <c r="I330" s="22"/>
      <c r="J330" s="21"/>
      <c r="K330" s="21"/>
    </row>
    <row r="331" spans="1:11" ht="14.45">
      <c r="A331" s="21"/>
      <c r="B331" s="33"/>
      <c r="C331" s="21"/>
      <c r="D331" s="21"/>
      <c r="E331" s="21"/>
      <c r="F331" s="22"/>
      <c r="G331" s="21"/>
      <c r="H331" s="21"/>
      <c r="I331" s="22"/>
      <c r="J331" s="21"/>
      <c r="K331" s="21"/>
    </row>
    <row r="332" spans="1:11" ht="14.45">
      <c r="A332" s="21"/>
      <c r="B332" s="33"/>
      <c r="C332" s="21"/>
      <c r="D332" s="21"/>
      <c r="E332" s="21"/>
      <c r="F332" s="22"/>
      <c r="G332" s="21"/>
      <c r="H332" s="21"/>
      <c r="I332" s="22"/>
      <c r="J332" s="21"/>
      <c r="K332" s="21"/>
    </row>
    <row r="333" spans="1:11" ht="14.45">
      <c r="A333" s="21"/>
      <c r="B333" s="33"/>
      <c r="C333" s="21"/>
      <c r="D333" s="21"/>
      <c r="E333" s="21"/>
      <c r="F333" s="22"/>
      <c r="G333" s="21"/>
      <c r="H333" s="21"/>
      <c r="I333" s="22"/>
      <c r="J333" s="21"/>
      <c r="K333" s="21"/>
    </row>
    <row r="334" spans="1:11" ht="14.45">
      <c r="A334" s="21"/>
      <c r="B334" s="33"/>
      <c r="C334" s="21"/>
      <c r="D334" s="21"/>
      <c r="E334" s="21"/>
      <c r="F334" s="22"/>
      <c r="G334" s="21"/>
      <c r="H334" s="21"/>
      <c r="I334" s="22"/>
      <c r="J334" s="21"/>
      <c r="K334" s="21"/>
    </row>
    <row r="335" spans="1:11" ht="14.45">
      <c r="A335" s="21"/>
      <c r="B335" s="33"/>
      <c r="C335" s="21"/>
      <c r="D335" s="21"/>
      <c r="E335" s="21"/>
      <c r="F335" s="22"/>
      <c r="G335" s="21"/>
      <c r="H335" s="21"/>
      <c r="I335" s="22"/>
      <c r="J335" s="21"/>
      <c r="K335" s="21"/>
    </row>
    <row r="336" spans="1:11" ht="14.45">
      <c r="A336" s="21"/>
      <c r="B336" s="33"/>
      <c r="C336" s="21"/>
      <c r="D336" s="21"/>
      <c r="E336" s="21"/>
      <c r="F336" s="22"/>
      <c r="G336" s="21"/>
      <c r="H336" s="21"/>
      <c r="I336" s="22"/>
      <c r="J336" s="21"/>
      <c r="K336" s="21"/>
    </row>
    <row r="337" spans="1:11" ht="14.45">
      <c r="A337" s="21"/>
      <c r="B337" s="33"/>
      <c r="C337" s="21"/>
      <c r="D337" s="21"/>
      <c r="E337" s="21"/>
      <c r="F337" s="22"/>
      <c r="G337" s="21"/>
      <c r="H337" s="21"/>
      <c r="I337" s="22"/>
      <c r="J337" s="21"/>
      <c r="K337" s="21"/>
    </row>
    <row r="338" spans="1:11" ht="14.45">
      <c r="A338" s="21"/>
      <c r="B338" s="33"/>
      <c r="C338" s="21"/>
      <c r="D338" s="21"/>
      <c r="E338" s="21"/>
      <c r="F338" s="22"/>
      <c r="G338" s="21"/>
      <c r="H338" s="21"/>
      <c r="I338" s="22"/>
      <c r="J338" s="21"/>
      <c r="K338" s="21"/>
    </row>
    <row r="339" spans="1:11" ht="14.45">
      <c r="A339" s="21"/>
      <c r="B339" s="33"/>
      <c r="C339" s="21"/>
      <c r="D339" s="21"/>
      <c r="E339" s="21"/>
      <c r="F339" s="22"/>
      <c r="G339" s="21"/>
      <c r="H339" s="21"/>
      <c r="I339" s="22"/>
      <c r="J339" s="21"/>
      <c r="K339" s="21"/>
    </row>
    <row r="340" spans="1:11" ht="14.45">
      <c r="A340" s="21"/>
      <c r="B340" s="33"/>
      <c r="C340" s="21"/>
      <c r="D340" s="21"/>
      <c r="E340" s="21"/>
      <c r="F340" s="22"/>
      <c r="G340" s="21"/>
      <c r="H340" s="21"/>
      <c r="I340" s="22"/>
      <c r="J340" s="21"/>
      <c r="K340" s="21"/>
    </row>
    <row r="341" spans="1:11" ht="14.45">
      <c r="A341" s="21"/>
      <c r="B341" s="33"/>
      <c r="C341" s="21"/>
      <c r="D341" s="21"/>
      <c r="E341" s="21"/>
      <c r="F341" s="22"/>
      <c r="G341" s="21"/>
      <c r="H341" s="21"/>
      <c r="I341" s="22"/>
      <c r="J341" s="21"/>
      <c r="K341" s="21"/>
    </row>
    <row r="342" spans="1:11" ht="14.45">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42" activePane="bottomLeft" state="frozen"/>
      <selection pane="bottomLeft" activeCell="B72" sqref="B7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346</v>
      </c>
      <c r="B1" t="s">
        <v>347</v>
      </c>
    </row>
    <row r="3" spans="1:12" ht="13.15">
      <c r="A3" t="s">
        <v>348</v>
      </c>
      <c r="B3" t="s">
        <v>3</v>
      </c>
      <c r="C3" t="s">
        <v>4</v>
      </c>
      <c r="D3" t="s">
        <v>349</v>
      </c>
      <c r="E3" s="2" t="s">
        <v>350</v>
      </c>
    </row>
    <row r="4" spans="1:12" ht="14.45">
      <c r="A4" s="50" t="s">
        <v>351</v>
      </c>
      <c r="B4" t="s">
        <v>352</v>
      </c>
      <c r="C4" s="47" t="s">
        <v>353</v>
      </c>
      <c r="D4" s="46" t="s">
        <v>354</v>
      </c>
      <c r="E4" t="s">
        <v>355</v>
      </c>
      <c r="G4" s="3"/>
    </row>
    <row r="5" spans="1:12" ht="14.45">
      <c r="A5" s="50" t="s">
        <v>356</v>
      </c>
      <c r="B5" t="s">
        <v>357</v>
      </c>
      <c r="C5" s="47" t="s">
        <v>358</v>
      </c>
      <c r="D5" s="46" t="s">
        <v>354</v>
      </c>
      <c r="E5" t="s">
        <v>355</v>
      </c>
      <c r="G5" s="3"/>
    </row>
    <row r="6" spans="1:12" ht="14.45">
      <c r="A6" s="50" t="s">
        <v>359</v>
      </c>
      <c r="B6" t="s">
        <v>360</v>
      </c>
      <c r="C6" s="47" t="s">
        <v>361</v>
      </c>
      <c r="D6" s="46" t="s">
        <v>354</v>
      </c>
      <c r="E6" t="s">
        <v>355</v>
      </c>
      <c r="G6" s="3"/>
    </row>
    <row r="7" spans="1:12" ht="12.75" customHeight="1">
      <c r="A7" s="50" t="s">
        <v>362</v>
      </c>
      <c r="B7" t="s">
        <v>363</v>
      </c>
      <c r="C7" s="47" t="s">
        <v>364</v>
      </c>
      <c r="D7" s="46" t="s">
        <v>354</v>
      </c>
      <c r="E7" t="s">
        <v>355</v>
      </c>
    </row>
    <row r="8" spans="1:12" ht="12.75" customHeight="1">
      <c r="A8" s="50" t="s">
        <v>365</v>
      </c>
      <c r="B8" t="s">
        <v>366</v>
      </c>
      <c r="C8" s="47" t="s">
        <v>358</v>
      </c>
      <c r="D8" s="46" t="s">
        <v>354</v>
      </c>
      <c r="E8" t="s">
        <v>355</v>
      </c>
    </row>
    <row r="9" spans="1:12" ht="12.75" customHeight="1">
      <c r="A9" s="50" t="s">
        <v>367</v>
      </c>
      <c r="B9" t="s">
        <v>368</v>
      </c>
      <c r="C9" s="47" t="s">
        <v>353</v>
      </c>
      <c r="D9" s="46" t="s">
        <v>354</v>
      </c>
      <c r="E9" t="s">
        <v>355</v>
      </c>
    </row>
    <row r="10" spans="1:12" ht="12.75" customHeight="1">
      <c r="A10" s="50" t="s">
        <v>369</v>
      </c>
      <c r="B10" t="s">
        <v>370</v>
      </c>
      <c r="C10" s="47" t="s">
        <v>358</v>
      </c>
      <c r="D10" s="46" t="s">
        <v>354</v>
      </c>
      <c r="E10" t="s">
        <v>355</v>
      </c>
      <c r="K10" s="44"/>
      <c r="L10" s="44"/>
    </row>
    <row r="11" spans="1:12" ht="12.75" customHeight="1">
      <c r="A11" s="50" t="s">
        <v>371</v>
      </c>
      <c r="B11" t="s">
        <v>372</v>
      </c>
      <c r="C11" s="47" t="s">
        <v>364</v>
      </c>
      <c r="D11" s="46" t="s">
        <v>354</v>
      </c>
      <c r="E11" t="s">
        <v>355</v>
      </c>
      <c r="K11" s="44"/>
      <c r="L11" s="44"/>
    </row>
    <row r="12" spans="1:12" ht="12.75" customHeight="1">
      <c r="A12" s="50" t="s">
        <v>373</v>
      </c>
      <c r="B12" t="s">
        <v>374</v>
      </c>
      <c r="C12" s="47" t="s">
        <v>375</v>
      </c>
      <c r="D12" s="46" t="s">
        <v>354</v>
      </c>
      <c r="E12" t="s">
        <v>355</v>
      </c>
      <c r="K12" s="44"/>
      <c r="L12" s="44"/>
    </row>
    <row r="13" spans="1:12" ht="12.75" customHeight="1">
      <c r="A13" s="50" t="s">
        <v>376</v>
      </c>
      <c r="B13" t="s">
        <v>377</v>
      </c>
      <c r="C13" s="47" t="s">
        <v>361</v>
      </c>
      <c r="D13" s="46" t="s">
        <v>354</v>
      </c>
      <c r="E13" t="s">
        <v>355</v>
      </c>
      <c r="K13" s="44"/>
      <c r="L13" s="44"/>
    </row>
    <row r="14" spans="1:12" ht="12.75" customHeight="1">
      <c r="A14" s="50" t="s">
        <v>378</v>
      </c>
      <c r="B14" t="s">
        <v>379</v>
      </c>
      <c r="C14" s="47" t="s">
        <v>358</v>
      </c>
      <c r="D14" s="46" t="s">
        <v>354</v>
      </c>
      <c r="E14" t="s">
        <v>355</v>
      </c>
      <c r="K14" s="44"/>
      <c r="L14" s="44"/>
    </row>
    <row r="15" spans="1:12" ht="12.75" customHeight="1">
      <c r="A15" s="50" t="s">
        <v>380</v>
      </c>
      <c r="B15" t="s">
        <v>381</v>
      </c>
      <c r="C15" s="47" t="s">
        <v>361</v>
      </c>
      <c r="D15" s="46" t="s">
        <v>354</v>
      </c>
      <c r="E15" t="s">
        <v>355</v>
      </c>
      <c r="K15" s="44"/>
      <c r="L15" s="44"/>
    </row>
    <row r="16" spans="1:12" ht="12.75" customHeight="1">
      <c r="A16" s="50" t="s">
        <v>382</v>
      </c>
      <c r="B16" t="s">
        <v>383</v>
      </c>
      <c r="C16" s="47" t="s">
        <v>358</v>
      </c>
      <c r="D16" s="46" t="s">
        <v>354</v>
      </c>
      <c r="E16" t="s">
        <v>355</v>
      </c>
      <c r="K16" s="44"/>
      <c r="L16" s="44"/>
    </row>
    <row r="17" spans="1:12" ht="12.75" customHeight="1">
      <c r="A17" s="50" t="s">
        <v>384</v>
      </c>
      <c r="B17" t="s">
        <v>385</v>
      </c>
      <c r="C17" s="47" t="s">
        <v>358</v>
      </c>
      <c r="D17" s="46" t="s">
        <v>354</v>
      </c>
      <c r="E17" t="s">
        <v>355</v>
      </c>
      <c r="K17" s="44"/>
      <c r="L17" s="44"/>
    </row>
    <row r="18" spans="1:12" ht="12.75" customHeight="1">
      <c r="A18" s="50" t="s">
        <v>386</v>
      </c>
      <c r="B18" t="s">
        <v>387</v>
      </c>
      <c r="C18" s="47" t="s">
        <v>358</v>
      </c>
      <c r="D18" s="46" t="s">
        <v>354</v>
      </c>
      <c r="E18" t="s">
        <v>355</v>
      </c>
      <c r="K18" s="44"/>
      <c r="L18" s="44"/>
    </row>
    <row r="19" spans="1:12" ht="12.75" customHeight="1">
      <c r="A19" s="50" t="s">
        <v>388</v>
      </c>
      <c r="B19" t="s">
        <v>389</v>
      </c>
      <c r="C19" s="47" t="s">
        <v>358</v>
      </c>
      <c r="D19" s="46" t="s">
        <v>354</v>
      </c>
      <c r="E19" t="s">
        <v>355</v>
      </c>
      <c r="K19" s="44"/>
      <c r="L19" s="44"/>
    </row>
    <row r="20" spans="1:12" ht="12.75" customHeight="1">
      <c r="A20" s="50" t="s">
        <v>390</v>
      </c>
      <c r="B20" t="s">
        <v>391</v>
      </c>
      <c r="C20" s="47" t="s">
        <v>361</v>
      </c>
      <c r="D20" s="46" t="s">
        <v>354</v>
      </c>
      <c r="E20" t="s">
        <v>355</v>
      </c>
      <c r="K20" s="44"/>
      <c r="L20" s="44"/>
    </row>
    <row r="21" spans="1:12" ht="12.75" customHeight="1">
      <c r="A21" s="50" t="s">
        <v>392</v>
      </c>
      <c r="B21" t="s">
        <v>393</v>
      </c>
      <c r="C21" s="47" t="s">
        <v>364</v>
      </c>
      <c r="D21" s="46" t="s">
        <v>354</v>
      </c>
      <c r="E21" t="s">
        <v>355</v>
      </c>
      <c r="K21" s="44"/>
      <c r="L21" s="44"/>
    </row>
    <row r="22" spans="1:12" ht="12.75" customHeight="1">
      <c r="A22" s="50" t="s">
        <v>394</v>
      </c>
      <c r="B22" t="s">
        <v>395</v>
      </c>
      <c r="C22" s="47" t="s">
        <v>358</v>
      </c>
      <c r="D22" s="46" t="s">
        <v>354</v>
      </c>
      <c r="E22" t="s">
        <v>355</v>
      </c>
      <c r="K22" s="44"/>
      <c r="L22" s="44"/>
    </row>
    <row r="23" spans="1:12" ht="12.75" customHeight="1">
      <c r="A23" s="50" t="s">
        <v>396</v>
      </c>
      <c r="B23" t="s">
        <v>397</v>
      </c>
      <c r="C23" s="47" t="s">
        <v>358</v>
      </c>
      <c r="D23" s="46" t="s">
        <v>354</v>
      </c>
      <c r="E23" t="s">
        <v>355</v>
      </c>
      <c r="K23" s="44"/>
      <c r="L23" s="44"/>
    </row>
    <row r="24" spans="1:12" ht="12.75" customHeight="1">
      <c r="A24" s="50" t="s">
        <v>398</v>
      </c>
      <c r="B24" t="s">
        <v>399</v>
      </c>
      <c r="C24" s="47" t="s">
        <v>361</v>
      </c>
      <c r="D24" s="46" t="s">
        <v>354</v>
      </c>
      <c r="E24" t="s">
        <v>355</v>
      </c>
      <c r="K24" s="44"/>
      <c r="L24" s="44"/>
    </row>
    <row r="25" spans="1:12" ht="12.75" customHeight="1">
      <c r="A25" s="50" t="s">
        <v>400</v>
      </c>
      <c r="B25" t="s">
        <v>401</v>
      </c>
      <c r="C25" s="47" t="s">
        <v>353</v>
      </c>
      <c r="D25" s="46" t="s">
        <v>354</v>
      </c>
      <c r="E25" t="s">
        <v>355</v>
      </c>
      <c r="K25" s="44"/>
      <c r="L25" s="44"/>
    </row>
    <row r="26" spans="1:12" ht="12.75" customHeight="1">
      <c r="A26" t="s">
        <v>402</v>
      </c>
      <c r="B26" t="s">
        <v>403</v>
      </c>
      <c r="C26" s="47" t="s">
        <v>404</v>
      </c>
      <c r="D26" t="s">
        <v>354</v>
      </c>
      <c r="E26" t="s">
        <v>355</v>
      </c>
      <c r="K26" s="44"/>
      <c r="L26" s="44"/>
    </row>
    <row r="27" spans="1:12" ht="12.75" customHeight="1">
      <c r="A27" t="s">
        <v>405</v>
      </c>
      <c r="B27" t="s">
        <v>406</v>
      </c>
      <c r="C27" s="47" t="s">
        <v>404</v>
      </c>
      <c r="D27" t="s">
        <v>354</v>
      </c>
      <c r="E27" t="s">
        <v>355</v>
      </c>
      <c r="K27" s="44"/>
      <c r="L27" s="44"/>
    </row>
    <row r="28" spans="1:12" ht="12.75" customHeight="1">
      <c r="A28" t="s">
        <v>407</v>
      </c>
      <c r="B28" t="s">
        <v>408</v>
      </c>
      <c r="C28" s="47" t="s">
        <v>404</v>
      </c>
      <c r="D28" t="s">
        <v>354</v>
      </c>
      <c r="E28" t="s">
        <v>355</v>
      </c>
      <c r="K28" s="44"/>
      <c r="L28" s="44"/>
    </row>
    <row r="29" spans="1:12" ht="12.75" customHeight="1">
      <c r="A29" t="s">
        <v>409</v>
      </c>
      <c r="B29" t="s">
        <v>410</v>
      </c>
      <c r="C29" s="47" t="s">
        <v>404</v>
      </c>
      <c r="D29" t="s">
        <v>354</v>
      </c>
      <c r="E29" t="s">
        <v>355</v>
      </c>
      <c r="K29" s="44"/>
      <c r="L29" s="44"/>
    </row>
    <row r="30" spans="1:12" ht="12.75" customHeight="1">
      <c r="A30" t="s">
        <v>411</v>
      </c>
      <c r="B30" t="s">
        <v>412</v>
      </c>
      <c r="C30" s="47" t="s">
        <v>404</v>
      </c>
      <c r="D30" t="s">
        <v>354</v>
      </c>
      <c r="E30" t="s">
        <v>355</v>
      </c>
      <c r="K30" s="44"/>
      <c r="L30" s="44"/>
    </row>
    <row r="31" spans="1:12" ht="12.75" customHeight="1">
      <c r="A31" t="s">
        <v>413</v>
      </c>
      <c r="B31" t="s">
        <v>414</v>
      </c>
      <c r="C31" s="47" t="s">
        <v>404</v>
      </c>
      <c r="D31" t="s">
        <v>354</v>
      </c>
      <c r="E31" t="s">
        <v>355</v>
      </c>
      <c r="K31" s="44"/>
      <c r="L31" s="44"/>
    </row>
    <row r="32" spans="1:12" ht="12.75" customHeight="1">
      <c r="A32" t="s">
        <v>415</v>
      </c>
      <c r="B32" t="s">
        <v>416</v>
      </c>
      <c r="C32" s="47" t="s">
        <v>404</v>
      </c>
      <c r="D32" t="s">
        <v>354</v>
      </c>
      <c r="E32" t="s">
        <v>355</v>
      </c>
    </row>
    <row r="33" spans="1:5" ht="12.75" customHeight="1">
      <c r="A33" t="s">
        <v>417</v>
      </c>
      <c r="B33" t="s">
        <v>418</v>
      </c>
      <c r="C33" s="47" t="s">
        <v>404</v>
      </c>
      <c r="D33" t="s">
        <v>354</v>
      </c>
      <c r="E33" t="s">
        <v>355</v>
      </c>
    </row>
    <row r="34" spans="1:5" ht="12.75" customHeight="1">
      <c r="A34" t="s">
        <v>419</v>
      </c>
      <c r="B34" t="s">
        <v>420</v>
      </c>
      <c r="C34" s="47" t="s">
        <v>404</v>
      </c>
      <c r="D34" t="s">
        <v>354</v>
      </c>
      <c r="E34" t="s">
        <v>355</v>
      </c>
    </row>
    <row r="35" spans="1:5" ht="12.75" customHeight="1">
      <c r="A35" t="s">
        <v>421</v>
      </c>
      <c r="B35" t="s">
        <v>422</v>
      </c>
      <c r="C35" s="47" t="s">
        <v>404</v>
      </c>
      <c r="D35" t="s">
        <v>354</v>
      </c>
      <c r="E35" t="s">
        <v>355</v>
      </c>
    </row>
    <row r="36" spans="1:5" ht="12.75" customHeight="1">
      <c r="A36" t="s">
        <v>423</v>
      </c>
      <c r="B36" t="s">
        <v>424</v>
      </c>
      <c r="C36" s="47" t="s">
        <v>404</v>
      </c>
      <c r="D36" t="s">
        <v>354</v>
      </c>
      <c r="E36" t="s">
        <v>355</v>
      </c>
    </row>
    <row r="37" spans="1:5" ht="12.75" customHeight="1">
      <c r="A37" t="s">
        <v>425</v>
      </c>
      <c r="B37" t="s">
        <v>426</v>
      </c>
      <c r="C37" s="47" t="s">
        <v>404</v>
      </c>
      <c r="D37" t="s">
        <v>354</v>
      </c>
      <c r="E37" t="s">
        <v>355</v>
      </c>
    </row>
    <row r="38" spans="1:5" ht="12.75" customHeight="1">
      <c r="A38" t="s">
        <v>427</v>
      </c>
      <c r="B38" t="s">
        <v>428</v>
      </c>
      <c r="C38" s="47" t="s">
        <v>404</v>
      </c>
      <c r="D38" t="s">
        <v>354</v>
      </c>
      <c r="E38" t="s">
        <v>355</v>
      </c>
    </row>
    <row r="39" spans="1:5" ht="12.75" customHeight="1">
      <c r="A39" t="s">
        <v>429</v>
      </c>
      <c r="B39" t="s">
        <v>430</v>
      </c>
      <c r="C39" s="47" t="s">
        <v>404</v>
      </c>
      <c r="D39" t="s">
        <v>354</v>
      </c>
      <c r="E39" t="s">
        <v>355</v>
      </c>
    </row>
    <row r="40" spans="1:5" ht="12.75" customHeight="1">
      <c r="A40" t="s">
        <v>431</v>
      </c>
      <c r="B40" t="s">
        <v>432</v>
      </c>
      <c r="C40" s="47" t="s">
        <v>404</v>
      </c>
      <c r="D40" t="s">
        <v>354</v>
      </c>
      <c r="E40" t="s">
        <v>355</v>
      </c>
    </row>
    <row r="41" spans="1:5" ht="12.75" customHeight="1">
      <c r="A41" t="s">
        <v>433</v>
      </c>
      <c r="B41" t="s">
        <v>434</v>
      </c>
      <c r="C41" s="47" t="s">
        <v>404</v>
      </c>
      <c r="E41" t="s">
        <v>355</v>
      </c>
    </row>
    <row r="42" spans="1:5" ht="12.75" customHeight="1">
      <c r="A42" t="s">
        <v>435</v>
      </c>
      <c r="B42" t="s">
        <v>436</v>
      </c>
      <c r="C42" s="47" t="s">
        <v>404</v>
      </c>
      <c r="D42" t="s">
        <v>354</v>
      </c>
      <c r="E42" t="s">
        <v>355</v>
      </c>
    </row>
    <row r="43" spans="1:5" ht="12.75" customHeight="1">
      <c r="A43" t="s">
        <v>437</v>
      </c>
      <c r="B43" t="s">
        <v>438</v>
      </c>
      <c r="C43" s="47" t="s">
        <v>404</v>
      </c>
      <c r="D43" t="s">
        <v>354</v>
      </c>
      <c r="E43" t="s">
        <v>355</v>
      </c>
    </row>
    <row r="44" spans="1:5" ht="12.75" customHeight="1">
      <c r="A44" t="s">
        <v>439</v>
      </c>
      <c r="B44" t="s">
        <v>440</v>
      </c>
      <c r="C44" s="47" t="s">
        <v>404</v>
      </c>
      <c r="D44" t="s">
        <v>354</v>
      </c>
      <c r="E44" t="s">
        <v>355</v>
      </c>
    </row>
    <row r="45" spans="1:5" ht="12.75" customHeight="1">
      <c r="A45" t="s">
        <v>441</v>
      </c>
      <c r="B45" t="s">
        <v>442</v>
      </c>
      <c r="C45" s="47" t="s">
        <v>404</v>
      </c>
      <c r="D45" t="s">
        <v>354</v>
      </c>
      <c r="E45" t="s">
        <v>355</v>
      </c>
    </row>
    <row r="46" spans="1:5" ht="12.75" customHeight="1">
      <c r="A46" t="s">
        <v>443</v>
      </c>
      <c r="B46" t="s">
        <v>444</v>
      </c>
      <c r="C46" s="47" t="s">
        <v>404</v>
      </c>
      <c r="D46" t="s">
        <v>354</v>
      </c>
      <c r="E46" t="s">
        <v>355</v>
      </c>
    </row>
    <row r="47" spans="1:5" ht="12.75" customHeight="1">
      <c r="A47" t="s">
        <v>445</v>
      </c>
      <c r="B47" t="s">
        <v>446</v>
      </c>
      <c r="C47" s="47" t="s">
        <v>404</v>
      </c>
      <c r="D47" t="s">
        <v>354</v>
      </c>
      <c r="E47" t="s">
        <v>355</v>
      </c>
    </row>
    <row r="48" spans="1:5" ht="12.75" customHeight="1">
      <c r="A48" t="s">
        <v>447</v>
      </c>
      <c r="B48" t="s">
        <v>447</v>
      </c>
      <c r="C48" s="47" t="s">
        <v>404</v>
      </c>
      <c r="D48" t="s">
        <v>448</v>
      </c>
      <c r="E48" t="s">
        <v>355</v>
      </c>
    </row>
    <row r="49" spans="1:5" ht="12.75" customHeight="1">
      <c r="A49" t="s">
        <v>449</v>
      </c>
      <c r="B49" t="s">
        <v>450</v>
      </c>
      <c r="C49" s="47" t="s">
        <v>404</v>
      </c>
      <c r="E49" t="s">
        <v>355</v>
      </c>
    </row>
    <row r="50" spans="1:5" ht="12.75" customHeight="1">
      <c r="A50" t="s">
        <v>451</v>
      </c>
      <c r="B50" t="s">
        <v>452</v>
      </c>
      <c r="C50" s="47" t="s">
        <v>404</v>
      </c>
      <c r="E50" t="s">
        <v>355</v>
      </c>
    </row>
    <row r="51" spans="1:5" ht="12.75" customHeight="1">
      <c r="A51" t="s">
        <v>453</v>
      </c>
      <c r="B51" t="s">
        <v>454</v>
      </c>
      <c r="C51" s="47" t="s">
        <v>404</v>
      </c>
      <c r="D51" t="s">
        <v>354</v>
      </c>
      <c r="E51" t="s">
        <v>355</v>
      </c>
    </row>
    <row r="52" spans="1:5" ht="12.75" customHeight="1">
      <c r="A52" t="s">
        <v>455</v>
      </c>
      <c r="B52" t="s">
        <v>456</v>
      </c>
      <c r="C52" s="47" t="s">
        <v>404</v>
      </c>
      <c r="E52" t="s">
        <v>355</v>
      </c>
    </row>
    <row r="53" spans="1:5" ht="12.75" customHeight="1">
      <c r="A53" t="s">
        <v>457</v>
      </c>
      <c r="B53" t="s">
        <v>458</v>
      </c>
      <c r="C53" s="47" t="s">
        <v>404</v>
      </c>
      <c r="D53" t="s">
        <v>354</v>
      </c>
      <c r="E53" t="s">
        <v>355</v>
      </c>
    </row>
    <row r="54" spans="1:5" ht="12.75" customHeight="1">
      <c r="A54" t="s">
        <v>459</v>
      </c>
      <c r="B54" t="s">
        <v>460</v>
      </c>
      <c r="C54" s="47" t="s">
        <v>404</v>
      </c>
      <c r="E54" t="s">
        <v>355</v>
      </c>
    </row>
    <row r="55" spans="1:5" ht="12.75" customHeight="1">
      <c r="A55" t="s">
        <v>461</v>
      </c>
      <c r="B55" t="s">
        <v>462</v>
      </c>
      <c r="C55" s="47" t="s">
        <v>404</v>
      </c>
      <c r="D55" t="s">
        <v>354</v>
      </c>
      <c r="E55" t="s">
        <v>355</v>
      </c>
    </row>
    <row r="56" spans="1:5" ht="12.75" customHeight="1">
      <c r="A56" t="s">
        <v>463</v>
      </c>
      <c r="B56" t="s">
        <v>464</v>
      </c>
      <c r="C56" s="47" t="s">
        <v>404</v>
      </c>
      <c r="D56" t="s">
        <v>354</v>
      </c>
      <c r="E56" t="s">
        <v>355</v>
      </c>
    </row>
    <row r="57" spans="1:5" ht="12.75" customHeight="1">
      <c r="A57" t="s">
        <v>465</v>
      </c>
      <c r="B57" t="s">
        <v>466</v>
      </c>
      <c r="C57" s="47" t="s">
        <v>404</v>
      </c>
      <c r="D57" t="s">
        <v>354</v>
      </c>
      <c r="E57" t="s">
        <v>355</v>
      </c>
    </row>
    <row r="58" spans="1:5" ht="12.75" customHeight="1">
      <c r="A58" t="s">
        <v>467</v>
      </c>
      <c r="B58" t="s">
        <v>468</v>
      </c>
      <c r="C58" s="47" t="s">
        <v>404</v>
      </c>
      <c r="D58" t="s">
        <v>354</v>
      </c>
      <c r="E58" t="s">
        <v>355</v>
      </c>
    </row>
    <row r="59" spans="1:5" ht="12.75" customHeight="1">
      <c r="A59" t="s">
        <v>469</v>
      </c>
      <c r="B59" t="s">
        <v>470</v>
      </c>
      <c r="C59" s="47" t="s">
        <v>404</v>
      </c>
      <c r="E59" t="s">
        <v>355</v>
      </c>
    </row>
    <row r="60" spans="1:5" ht="12.75" customHeight="1">
      <c r="A60" t="s">
        <v>471</v>
      </c>
      <c r="B60" t="s">
        <v>472</v>
      </c>
      <c r="C60" s="47" t="s">
        <v>404</v>
      </c>
      <c r="D60" t="s">
        <v>354</v>
      </c>
      <c r="E60" t="s">
        <v>355</v>
      </c>
    </row>
    <row r="61" spans="1:5" ht="12.75" customHeight="1">
      <c r="A61" t="s">
        <v>473</v>
      </c>
      <c r="B61" t="s">
        <v>474</v>
      </c>
      <c r="C61" s="47" t="s">
        <v>404</v>
      </c>
      <c r="D61" t="s">
        <v>354</v>
      </c>
      <c r="E61" t="s">
        <v>355</v>
      </c>
    </row>
    <row r="62" spans="1:5" ht="12.75" customHeight="1">
      <c r="A62" t="s">
        <v>475</v>
      </c>
      <c r="B62" t="s">
        <v>476</v>
      </c>
      <c r="C62" s="47" t="s">
        <v>404</v>
      </c>
      <c r="D62" t="s">
        <v>354</v>
      </c>
      <c r="E62" t="s">
        <v>355</v>
      </c>
    </row>
    <row r="63" spans="1:5" ht="12.75" customHeight="1">
      <c r="A63" t="s">
        <v>477</v>
      </c>
      <c r="B63" t="s">
        <v>478</v>
      </c>
      <c r="C63" s="47" t="s">
        <v>404</v>
      </c>
      <c r="D63" t="s">
        <v>354</v>
      </c>
      <c r="E63" t="s">
        <v>355</v>
      </c>
    </row>
    <row r="64" spans="1:5" ht="12.75" customHeight="1">
      <c r="A64" t="s">
        <v>479</v>
      </c>
      <c r="B64" t="s">
        <v>480</v>
      </c>
      <c r="C64" s="47" t="s">
        <v>404</v>
      </c>
      <c r="D64" t="s">
        <v>354</v>
      </c>
      <c r="E64" t="s">
        <v>355</v>
      </c>
    </row>
    <row r="65" spans="1:5" ht="12.75" customHeight="1">
      <c r="A65" t="s">
        <v>431</v>
      </c>
      <c r="B65" t="s">
        <v>481</v>
      </c>
      <c r="C65" s="47" t="s">
        <v>404</v>
      </c>
      <c r="E65" t="s">
        <v>355</v>
      </c>
    </row>
    <row r="66" spans="1:5" ht="12.75" customHeight="1">
      <c r="A66" t="s">
        <v>482</v>
      </c>
      <c r="B66" t="s">
        <v>483</v>
      </c>
      <c r="C66" s="47" t="s">
        <v>404</v>
      </c>
      <c r="E66" t="s">
        <v>355</v>
      </c>
    </row>
    <row r="67" spans="1:5" ht="12.75" customHeight="1">
      <c r="A67" t="s">
        <v>484</v>
      </c>
      <c r="B67" t="s">
        <v>485</v>
      </c>
      <c r="C67" s="47" t="s">
        <v>404</v>
      </c>
      <c r="E67" t="s">
        <v>355</v>
      </c>
    </row>
    <row r="68" spans="1:5" ht="12.75" customHeight="1">
      <c r="A68" t="s">
        <v>486</v>
      </c>
      <c r="B68" t="s">
        <v>487</v>
      </c>
      <c r="C68" s="47" t="s">
        <v>404</v>
      </c>
      <c r="D68" t="s">
        <v>354</v>
      </c>
      <c r="E68" t="s">
        <v>355</v>
      </c>
    </row>
    <row r="69" spans="1:5" ht="12.75" customHeight="1">
      <c r="A69" s="114" t="s">
        <v>488</v>
      </c>
      <c r="B69" s="115" t="s">
        <v>489</v>
      </c>
      <c r="C69" s="47" t="s">
        <v>353</v>
      </c>
      <c r="E69" t="s">
        <v>355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1954BBA4-0359-438C-B0EC-A756015F7C02}"/>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CB52044A-5C0B-44A2-99D0-C1C315EC302D}"/>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34BBAF6D-3414-4D51-A698-6F1C5B8B63F4}"/>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BE26B669-A686-459C-A5E9-FEC3409C4C81}"/>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98A113BB-8B7A-453C-8BD4-8EFC67FC2D3F}"/>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2025-06-18T23:36:48Z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