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511F22A-24E9-4748-9273-553FBF47DBB8}" xr6:coauthVersionLast="47" xr6:coauthVersionMax="47" xr10:uidLastSave="{00000000-0000-0000-0000-000000000000}"/>
  <bookViews>
    <workbookView xWindow="2868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6" i="34"/>
  <c r="G7" i="1"/>
  <c r="G7" i="34"/>
  <c r="G5" i="1"/>
  <c r="G5" i="34" s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/>
  <c r="F4" i="18"/>
  <c r="B4" i="30" a="1"/>
  <c r="B4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A1" i="18" a="1"/>
  <c r="A1" i="18"/>
  <c r="C7" i="1"/>
  <c r="C7" i="34" s="1"/>
  <c r="C6" i="1"/>
  <c r="C5" i="1"/>
  <c r="C5" i="34" s="1"/>
  <c r="C4" i="1"/>
  <c r="D6" i="1"/>
  <c r="D7" i="1"/>
  <c r="D7" i="34" s="1"/>
  <c r="D5" i="1"/>
  <c r="D4" i="1"/>
  <c r="B4" i="1" a="1"/>
  <c r="B4" i="1"/>
  <c r="A4" i="1" a="1"/>
  <c r="A4" i="1"/>
  <c r="A1" i="1" a="1"/>
  <c r="A1" i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J2" i="27"/>
  <c r="A1" i="27" a="1"/>
  <c r="A1" i="27"/>
  <c r="H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H2" i="19"/>
  <c r="I2" i="19"/>
  <c r="A1" i="19" a="1"/>
  <c r="A1" i="19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E2" i="20"/>
  <c r="F2" i="20"/>
  <c r="A1" i="20" a="1"/>
  <c r="A1" i="20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4" i="18"/>
  <c r="H2" i="28"/>
  <c r="I2" i="28"/>
  <c r="G4" i="34"/>
  <c r="H2" i="26"/>
  <c r="I2" i="26"/>
  <c r="H6" i="29"/>
  <c r="I6" i="29"/>
  <c r="D6" i="34"/>
  <c r="G2" i="30"/>
  <c r="H2" i="33"/>
  <c r="I2" i="33"/>
  <c r="H2" i="32"/>
  <c r="I2" i="32"/>
  <c r="H2" i="31"/>
  <c r="I2" i="31"/>
  <c r="E6" i="29"/>
  <c r="F6" i="29"/>
  <c r="C6" i="34"/>
  <c r="H7" i="29"/>
  <c r="I7" i="29"/>
  <c r="D2" i="29"/>
  <c r="E5" i="29"/>
  <c r="F5" i="29"/>
  <c r="E6" i="18"/>
  <c r="F6" i="18"/>
  <c r="H2" i="21"/>
  <c r="I2" i="21"/>
  <c r="E7" i="18"/>
  <c r="F7" i="18"/>
  <c r="D2" i="18"/>
  <c r="J2" i="21"/>
  <c r="E5" i="30"/>
  <c r="F5" i="30"/>
  <c r="E2" i="28"/>
  <c r="F2" i="28"/>
  <c r="J2" i="20"/>
  <c r="J2" i="19"/>
  <c r="I8" i="29"/>
  <c r="J2" i="26"/>
  <c r="H2" i="20"/>
  <c r="I2" i="20"/>
  <c r="H2" i="27"/>
  <c r="I2" i="27"/>
  <c r="E5" i="18"/>
  <c r="F5" i="18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E7" i="29"/>
  <c r="F7" i="29"/>
  <c r="I6" i="26"/>
  <c r="I8" i="26"/>
  <c r="H4" i="29"/>
  <c r="I4" i="29"/>
  <c r="H5" i="29"/>
  <c r="I5" i="29"/>
  <c r="I7" i="26"/>
  <c r="H6" i="18"/>
  <c r="I6" i="18"/>
  <c r="I4" i="18"/>
  <c r="H7" i="18"/>
  <c r="I7" i="18"/>
  <c r="C4" i="34"/>
  <c r="H5" i="18"/>
  <c r="I5" i="18"/>
  <c r="C2" i="29"/>
  <c r="E2" i="29"/>
  <c r="F2" i="29"/>
  <c r="C2" i="30"/>
  <c r="E4" i="29"/>
  <c r="F4" i="29"/>
  <c r="C2" i="18"/>
  <c r="H4" i="1"/>
  <c r="H6" i="1"/>
  <c r="E2" i="3"/>
  <c r="F2" i="3" s="1"/>
  <c r="E4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6" i="34"/>
  <c r="F6" i="34" s="1"/>
  <c r="I6" i="30"/>
  <c r="H6" i="34"/>
  <c r="I6" i="34" s="1"/>
  <c r="I5" i="30"/>
  <c r="I7" i="30"/>
  <c r="E4" i="34"/>
  <c r="F4" i="34" s="1"/>
  <c r="H4" i="34"/>
  <c r="I4" i="34" s="1"/>
  <c r="H2" i="29"/>
  <c r="I2" i="29"/>
  <c r="H2" i="30"/>
  <c r="I2" i="30"/>
  <c r="E2" i="30"/>
  <c r="F2" i="30"/>
  <c r="H2" i="18"/>
  <c r="I2" i="18"/>
  <c r="E2" i="18"/>
  <c r="F2" i="18"/>
  <c r="E2" i="72"/>
  <c r="F2" i="72" s="1"/>
  <c r="H2" i="72" l="1"/>
  <c r="I2" i="72" s="1"/>
  <c r="E7" i="34"/>
  <c r="F7" i="34" s="1"/>
  <c r="D2" i="1"/>
  <c r="E2" i="4"/>
  <c r="F2" i="4" s="1"/>
  <c r="G2" i="1"/>
  <c r="D5" i="34"/>
  <c r="D2" i="34" s="1"/>
  <c r="E5" i="1"/>
  <c r="F5" i="1" s="1"/>
  <c r="G2" i="34"/>
  <c r="C2" i="1"/>
  <c r="E7" i="1"/>
  <c r="F7" i="1" s="1"/>
  <c r="H2" i="3"/>
  <c r="I2" i="3" s="1"/>
  <c r="H7" i="34"/>
  <c r="I7" i="34" s="1"/>
  <c r="C2" i="34"/>
  <c r="H5" i="1"/>
  <c r="E5" i="34" l="1"/>
  <c r="F5" i="34" s="1"/>
  <c r="E2" i="1"/>
  <c r="F2" i="1" s="1"/>
  <c r="H2" i="1"/>
  <c r="I2" i="1" s="1"/>
  <c r="H5" i="34"/>
  <c r="I5" i="34" s="1"/>
  <c r="H2" i="34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<sst xmlns="http://schemas.openxmlformats.org/spreadsheetml/2006/main" count="289" uniqueCount="72">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</sst>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11" ht="19.5" customHeight="1">
      <c r="A2" s="67" t="s">
        <v>2</v>
      </c>
      <c r="B2" s="67"/>
      <c r="C2" s="6">
        <f>SUM(C4:C92)</f>
        <v>385845.61</v>
      </c>
      <c r="D2" s="6">
        <f>SUM(D4:D92)</f>
        <v>40706.94</v>
      </c>
      <c r="E2" s="6">
        <f>C2-D2</f>
        <v>345138.67</v>
      </c>
      <c r="F2" s="7">
        <f>IFERROR(E2/D2, 0)</f>
        <v>8.4786198618712181</v>
      </c>
      <c r="G2" s="6">
        <f>SUM(G4:G92)</f>
        <v>0</v>
      </c>
      <c r="H2" s="8">
        <f>C2-G2</f>
        <v>385845.61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138663</v>
      </c>
      <c r="D4" s="14">
        <f>SUM('1st Qtr'!D4, '2nd Qtr'!D4, '3rd Qtr'!D4, '4th Qtr'!D4)</f>
        <v>0</v>
      </c>
      <c r="E4" s="14">
        <f>IF(AND(ISNUMBER(C4),ISNUMBER(D4)), C4-D4, "")</f>
        <v>138663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1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156270</v>
      </c>
      <c r="D5" s="20">
        <f>SUM('1st Qtr'!D5, '2nd Qtr'!D5, '3rd Qtr'!D5, '4th Qtr'!D5)</f>
        <v>0</v>
      </c>
      <c r="E5" s="20">
        <f t="shared" ref="E5:E7" si="0">IF(AND(ISNUMBER(C5),ISNUMBER(D5)), C5-D5, "")</f>
        <v>156270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55422.25</v>
      </c>
      <c r="D6" s="14">
        <f>SUM('1st Qtr'!D6, '2nd Qtr'!D6, '3rd Qtr'!D6, '4th Qtr'!D6)</f>
        <v>0</v>
      </c>
      <c r="E6" s="14">
        <f t="shared" si="0"/>
        <v>55422.25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35490.36</v>
      </c>
      <c r="D7" s="20">
        <f>SUM('1st Qtr'!D7, '2nd Qtr'!D7, '3rd Qtr'!D7, '4th Qtr'!D7)</f>
        <v>40706.94</v>
      </c>
      <c r="E7" s="20">
        <f t="shared" si="0"/>
        <v>-5216.5800000000017</v>
      </c>
      <c r="F7" s="21">
        <f t="shared" si="1"/>
        <v>-0.1281496472100335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D13" sqref="D13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11" ht="19.5" customHeight="1">
      <c r="A2" s="67" t="s">
        <v>2</v>
      </c>
      <c r="B2" s="67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B16" sqref="B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46332</v>
      </c>
      <c r="D4" s="14">
        <f>SUM(Apr!D4, May!D4, Jun!D4)</f>
        <v>0</v>
      </c>
      <c r="E4" s="14">
        <f>IF(AND(ISNUMBER(C4),ISNUMBER(D4)), C4-D4, "")</f>
        <v>46332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51606</v>
      </c>
      <c r="D5" s="20">
        <f>SUM(Apr!D5, May!D5, Jun!D5)</f>
        <v>0</v>
      </c>
      <c r="E5" s="20">
        <f t="shared" ref="E5:E7" si="0">IF(AND(ISNUMBER(C5),ISNUMBER(D5)), C5-D5, "")</f>
        <v>51606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18635</v>
      </c>
      <c r="D6" s="14">
        <f>SUM(Apr!D6, May!D6, Jun!D6)</f>
        <v>0</v>
      </c>
      <c r="E6" s="14">
        <f t="shared" si="0"/>
        <v>18635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11473.13</v>
      </c>
      <c r="D7" s="20">
        <f>SUM(Apr!D7, May!D7, Jun!D7)</f>
        <v>13026.05</v>
      </c>
      <c r="E7" s="20">
        <f t="shared" si="0"/>
        <v>-1552.92</v>
      </c>
      <c r="F7" s="21">
        <f t="shared" si="1"/>
        <v>-0.11921649310420275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topLeftCell="C1" zoomScale="120" zoomScaleNormal="120" workbookViewId="0">
      <pane ySplit="3" topLeftCell="A4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9" t="s">
        <v>23</v>
      </c>
      <c r="L4" s="52" t="s">
        <v>24</v>
      </c>
    </row>
    <row r="5" spans="1:12" ht="28.1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4" t="s">
        <v>26</v>
      </c>
      <c r="L5" s="52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9" t="s">
        <v>29</v>
      </c>
    </row>
    <row r="7" spans="1:12" ht="28.1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7" sqref="J7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32</v>
      </c>
      <c r="E1" s="66"/>
      <c r="F1" s="66"/>
      <c r="G1" s="64" t="s">
        <v>33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1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3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4" t="s">
        <v>35</v>
      </c>
    </row>
    <row r="6" spans="1:12" ht="28.9">
      <c r="A6" s="50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3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101" zoomScaleNormal="80" workbookViewId="0">
      <pane ySplit="2" topLeftCell="A3" activePane="bottomLeft" state="frozen"/>
      <selection pane="bottomLeft" activeCell="F20" sqref="F20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37</v>
      </c>
      <c r="E1" s="66"/>
      <c r="F1" s="66"/>
      <c r="G1" s="64" t="s">
        <v>38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6">
        <v>38400.25</v>
      </c>
      <c r="D4" s="14">
        <v>0</v>
      </c>
      <c r="E4" s="14">
        <f>IF(AND(ISNUMBER(C4),ISNUMBER(D4)), C4-D4, "")</f>
        <v>38400.25</v>
      </c>
      <c r="F4" s="58" t="str">
        <f>IFERROR(E4/D4,"")</f>
        <v/>
      </c>
      <c r="G4" s="57">
        <v>0</v>
      </c>
      <c r="H4" s="57">
        <f>IF(AND(ISNUMBER(C4),ISNUMBER(G4)), C4-G4, "")</f>
        <v>38400.25</v>
      </c>
      <c r="I4" s="17" t="str">
        <f>IFERROR(H4/G4,"")</f>
        <v/>
      </c>
      <c r="J4" s="18" t="s">
        <v>22</v>
      </c>
      <c r="K4" s="59" t="s">
        <v>23</v>
      </c>
      <c r="L4" s="60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4" t="s">
        <v>39</v>
      </c>
    </row>
    <row r="6" spans="1:12" ht="28.9">
      <c r="A6" s="30" t="str">
        <v>AZ: Lake Havasu City - City Hall</v>
      </c>
      <c r="B6" s="31" t="str">
        <v>AZ</v>
      </c>
      <c r="C6" s="56">
        <v>15087.75</v>
      </c>
      <c r="D6" s="14">
        <v>0</v>
      </c>
      <c r="E6" s="14">
        <f t="shared" si="0"/>
        <v>15087.75</v>
      </c>
      <c r="F6" s="58" t="str">
        <f t="shared" si="1"/>
        <v/>
      </c>
      <c r="G6" s="57">
        <v>0</v>
      </c>
      <c r="H6" s="57">
        <f t="shared" si="2"/>
        <v>15087.75</v>
      </c>
      <c r="I6" s="17" t="str">
        <f t="shared" si="3"/>
        <v/>
      </c>
      <c r="J6" s="55" t="s">
        <v>34</v>
      </c>
      <c r="K6" s="59" t="s">
        <v>39</v>
      </c>
    </row>
    <row r="7" spans="1:12" ht="34.9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tabSelected="1" workbookViewId="0">
      <pane ySplit="2" topLeftCell="A3" activePane="bottomLeft" state="frozen"/>
      <selection pane="bottomLeft" activeCell="J13" sqref="J13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3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1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9" t="s">
        <v>23</v>
      </c>
      <c r="L4" s="53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4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1" t="s">
        <v>43</v>
      </c>
      <c r="H6" s="16" t="str">
        <f t="shared" si="1"/>
        <v/>
      </c>
      <c r="I6" s="17" t="str">
        <f t="shared" si="2"/>
        <v/>
      </c>
      <c r="J6" s="55" t="s">
        <v>34</v>
      </c>
      <c r="K6" s="54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2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4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46</v>
      </c>
      <c r="E1" s="66"/>
      <c r="F1" s="66"/>
      <c r="G1" s="64" t="s">
        <v>47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9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7"/>
    </row>
    <row r="6" spans="1:11" ht="43.5" customHeight="1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48</v>
      </c>
      <c r="E1" s="66"/>
      <c r="F1" s="66"/>
      <c r="G1" s="64" t="s">
        <v>49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50</v>
      </c>
      <c r="E1" s="66"/>
      <c r="F1" s="66"/>
      <c r="G1" s="64" t="s">
        <v>51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48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54</v>
      </c>
      <c r="E1" s="66"/>
      <c r="F1" s="66"/>
      <c r="G1" s="64" t="s">
        <v>55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56</v>
      </c>
      <c r="E1" s="66"/>
      <c r="F1" s="66"/>
      <c r="G1" s="64" t="s">
        <v>57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9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58</v>
      </c>
      <c r="E1" s="66"/>
      <c r="F1" s="66"/>
      <c r="G1" s="64" t="s">
        <v>59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60</v>
      </c>
      <c r="E1" s="66"/>
      <c r="F1" s="66"/>
      <c r="G1" s="64" t="s">
        <v>61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62</v>
      </c>
      <c r="B1" t="s">
        <v>63</v>
      </c>
    </row>
    <row r="3" spans="1:7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7" ht="14.45">
      <c r="A4" t="s">
        <v>67</v>
      </c>
      <c r="B4" t="s">
        <v>67</v>
      </c>
      <c r="C4" s="4" t="s">
        <v>68</v>
      </c>
      <c r="G4" s="3"/>
    </row>
    <row r="5" spans="1:7" ht="14.45">
      <c r="A5" t="s">
        <v>69</v>
      </c>
      <c r="B5" t="s">
        <v>69</v>
      </c>
      <c r="C5" s="4" t="s">
        <v>68</v>
      </c>
      <c r="G5" s="3"/>
    </row>
    <row r="6" spans="1:7" ht="14.45">
      <c r="A6" t="s">
        <v>70</v>
      </c>
      <c r="B6" t="s">
        <v>70</v>
      </c>
      <c r="C6" s="4" t="s">
        <v>68</v>
      </c>
      <c r="G6" s="3"/>
    </row>
    <row r="7" spans="1:7" ht="12.75" customHeight="1">
      <c r="A7" t="s">
        <v>71</v>
      </c>
      <c r="B7" t="s">
        <v>71</v>
      </c>
      <c r="C7" s="4" t="s">
        <v>68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62F0FBD-001B-42BF-BB2E-421CA34CE61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2025-06-04T19:51:51Z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