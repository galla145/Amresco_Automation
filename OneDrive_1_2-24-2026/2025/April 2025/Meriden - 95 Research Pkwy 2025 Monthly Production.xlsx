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7" documentId="13_ncr:1_{10B79898-BA49-44C0-B29C-397CE9CC1CCF}" xr6:coauthVersionLast="47" xr6:coauthVersionMax="47" xr10:uidLastSave="{22E09D4D-D884-4641-8C01-D5526AF4F2BB}"/>
  <bookViews>
    <workbookView xWindow="-108" yWindow="-108" windowWidth="23256" windowHeight="1389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<sst xmlns="http://schemas.openxmlformats.org/spreadsheetml/2006/main" count="247" uniqueCount="54">
  <si>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</si>
  <si>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</si>
  <si>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</si>
  <si>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</si>
  <si>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</si>
  <si>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</si>
  <si>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</si>
  <si>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</si>
  <si>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</si>
  <si>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</si>
  <si>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</si>
  <si>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</si>
  <si>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</si>
  <si>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</si>
  <si>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</si>
  <si>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</si>
  <si>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</si>
  <si>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</si>
  <si>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</si>
  <si>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</si>
  <si>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</si>
  <si>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</si>
  <si>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</si>
  <si>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</si>
  <si>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 xml:space="preserve">1. Expected and forecasted values are not available. </t>
  </si>
  <si>
    <t>March Actual v. Expected</t>
  </si>
  <si>
    <t>March Actual v. Forecasted</t>
  </si>
  <si>
    <t>N/A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</si>
  <si>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</si>
  <si>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</si>
  <si>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</si>
  <si>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</si>
  <si>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</si>
  <si>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</si>
  <si>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</si>
  <si>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</si>
  <si>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</si>
  <si>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</si>
  <si>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</si>
  <si>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</si>
  <si>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</si>
  <si>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</si>
  <si>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</si>
  <si>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</si>
  <si>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</si>
  <si>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</si>
  <si>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</si>
  <si>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Meriden - 95 Research Pkwy</t>
  </si>
  <si>
    <t>Site DAS Name</t>
  </si>
  <si>
    <t>Update</t>
  </si>
  <si>
    <t>DAS</t>
  </si>
  <si>
    <t>CT</t>
  </si>
  <si>
    <t>AF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</si>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</sst>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Meriden - 95 Research Pkwy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>
      <c r="A2" s="58" t="s">
        <v>2</v>
      </c>
      <c r="B2" s="58"/>
      <c r="C2" s="5">
        <f>SUM(C4:C79)</f>
        <v>57268.990000000005</v>
      </c>
      <c r="D2" s="5">
        <f>SUM(D4:D79)</f>
        <v>0</v>
      </c>
      <c r="E2" s="5">
        <f>C2-D2</f>
        <v>57268.990000000005</v>
      </c>
      <c r="F2" s="6">
        <f>IFERROR(E2/D2, 0)</f>
        <v>0</v>
      </c>
      <c r="G2" s="5">
        <f>SUM(G4:G79)</f>
        <v>0</v>
      </c>
      <c r="H2" s="7">
        <f>C2-G2</f>
        <v>57268.990000000005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Meriden - 95 Research Pkwy</v>
      </c>
      <c r="B4" s="9" t="str" cm="1">
        <f t="array" ref="B4">Sites[State]</f>
        <v>CT</v>
      </c>
      <c r="C4" s="23">
        <f>SUM('1st Qtr'!C4, '2nd Qtr'!C4, '3rd Qtr'!C4, '4th Qtr'!C4)</f>
        <v>57268.990000000005</v>
      </c>
      <c r="D4" s="12">
        <f>SUM('1st Qtr'!D4, '2nd Qtr'!D4, '3rd Qtr'!D4, '4th Qtr'!D4)</f>
        <v>0</v>
      </c>
      <c r="E4" s="12">
        <f>IF(AND(ISNUMBER(C4),ISNUMBER(D4)), C4-D4, "")</f>
        <v>57268.990000000005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7123.99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Meriden - 95 Research Pkwy</v>
      </c>
      <c r="B1" s="56"/>
      <c r="C1" s="56"/>
      <c r="D1" s="57" t="s">
        <v>10</v>
      </c>
      <c r="E1" s="57"/>
      <c r="F1" s="57"/>
      <c r="G1" s="55" t="s">
        <v>11</v>
      </c>
      <c r="H1" s="55"/>
      <c r="I1" s="55"/>
    </row>
    <row r="2" spans="1:9" ht="19.5" customHeight="1">
      <c r="A2" s="58" t="s">
        <v>2</v>
      </c>
      <c r="B2" s="58"/>
      <c r="C2" s="5">
        <f>SUM(C4:C79)</f>
        <v>30267.519999999997</v>
      </c>
      <c r="D2" s="5">
        <f>SUM(D4:D79)</f>
        <v>0</v>
      </c>
      <c r="E2" s="5">
        <f>C2-D2</f>
        <v>30267.519999999997</v>
      </c>
      <c r="F2" s="6">
        <f>IFERROR(E2/D2, 0)</f>
        <v>0</v>
      </c>
      <c r="G2" s="5">
        <f>SUM(G4:G79)</f>
        <v>0</v>
      </c>
      <c r="H2" s="7">
        <f>C2-G2</f>
        <v>30267.519999999997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SUM(Jan!C4, Feb!C4, Mar!C4)</f>
        <v>30267.519999999997</v>
      </c>
      <c r="D4" s="12">
        <f>SUM(Jan!D4, Feb!D4, Mar!D4)</f>
        <v>0</v>
      </c>
      <c r="E4" s="12">
        <f>IF(AND(ISNUMBER(C4),ISNUMBER(D4)), C4-D4, "")</f>
        <v>30267.519999999997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7123.99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Meriden - 95 Research Pkwy</v>
      </c>
      <c r="B1" s="56"/>
      <c r="C1" s="56"/>
      <c r="D1" s="57" t="s">
        <v>12</v>
      </c>
      <c r="E1" s="57"/>
      <c r="F1" s="57"/>
      <c r="G1" s="55" t="s">
        <v>13</v>
      </c>
      <c r="H1" s="55"/>
      <c r="I1" s="55"/>
    </row>
    <row r="2" spans="1:9" ht="19.5" customHeight="1">
      <c r="A2" s="58" t="s">
        <v>2</v>
      </c>
      <c r="B2" s="58"/>
      <c r="C2" s="5">
        <f>SUM(C4:C79)</f>
        <v>27001.470000000005</v>
      </c>
      <c r="D2" s="5">
        <f>SUM(D4:D79)</f>
        <v>0</v>
      </c>
      <c r="E2" s="5">
        <f>C2-D2</f>
        <v>27001.470000000005</v>
      </c>
      <c r="F2" s="6">
        <f>IFERROR(E2/D2, 0)</f>
        <v>0</v>
      </c>
      <c r="G2" s="5">
        <f>SUM(G4:G79)</f>
        <v>0</v>
      </c>
      <c r="H2" s="7">
        <f>C2-G2</f>
        <v>27001.470000000005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SUM(Apr!C4, May!C4, Jun!C4)</f>
        <v>27001.470000000005</v>
      </c>
      <c r="D4" s="12">
        <f>SUM(Apr!D4, May!D4, Jun!D4)</f>
        <v>0</v>
      </c>
      <c r="E4" s="12">
        <f>IF(AND(ISNUMBER(C4),ISNUMBER(D4)), C4-D4, "")</f>
        <v>27001.470000000005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Meriden - 95 Research Pkwy</v>
      </c>
      <c r="B1" s="56"/>
      <c r="C1" s="56"/>
      <c r="D1" s="57" t="s">
        <v>14</v>
      </c>
      <c r="E1" s="57"/>
      <c r="F1" s="57"/>
      <c r="G1" s="55" t="s">
        <v>15</v>
      </c>
      <c r="H1" s="55"/>
      <c r="I1" s="55"/>
    </row>
    <row r="2" spans="1:9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Meriden - 95 Research Pkwy</v>
      </c>
      <c r="B1" s="56"/>
      <c r="C1" s="56"/>
      <c r="D1" s="57" t="s">
        <v>16</v>
      </c>
      <c r="E1" s="57"/>
      <c r="F1" s="57"/>
      <c r="G1" s="55" t="s">
        <v>17</v>
      </c>
      <c r="H1" s="55"/>
      <c r="I1" s="55"/>
    </row>
    <row r="2" spans="1:9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A10" sqref="A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Meriden - 95 Research Pkwy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Meriden - 95 Research Pkwy</v>
      </c>
      <c r="B4" s="27" t="str" cm="1">
        <f t="array" ref="B4">Sites[State]</f>
        <v>CT</v>
      </c>
      <c r="C4" s="50"/>
      <c r="D4" s="51">
        <v>0</v>
      </c>
      <c r="E4" s="12" t="str">
        <f>IF(AND(ISNUMBER(C4),ISNUMBER(D4)), C4-D4, "")</f>
        <v/>
      </c>
      <c r="F4" s="40" t="str">
        <f>IFERROR(E4/D4, "")</f>
        <v/>
      </c>
      <c r="G4" s="53"/>
      <c r="H4" s="14" t="str">
        <f>IF(AND(ISNUMBER(C4),ISNUMBER(G4)), C4-G4, "")</f>
        <v/>
      </c>
      <c r="I4" s="15" t="str">
        <f>IFERROR(H4/G4, "")</f>
        <v/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Meriden - 95 Research Pkwy</v>
      </c>
      <c r="B1" s="56"/>
      <c r="C1" s="56"/>
      <c r="D1" s="57" t="s">
        <v>22</v>
      </c>
      <c r="E1" s="57"/>
      <c r="F1" s="57"/>
      <c r="G1" s="55" t="s">
        <v>23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7123.99</v>
      </c>
      <c r="D2" s="5">
        <f>SUM(D4:D79)</f>
        <v>0</v>
      </c>
      <c r="E2" s="5">
        <f>C2-D2</f>
        <v>7123.99</v>
      </c>
      <c r="F2" s="6">
        <f>IFERROR(E2/D2, 0)</f>
        <v>0</v>
      </c>
      <c r="G2" s="5">
        <f>SUM(G4:G79)</f>
        <v>0</v>
      </c>
      <c r="H2" s="7">
        <f>C2-G2</f>
        <v>7123.99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Meriden - 95 Research Pkwy</v>
      </c>
      <c r="B4" s="27" t="str" cm="1">
        <f t="array" ref="B4">Sites[State]</f>
        <v>CT</v>
      </c>
      <c r="C4" s="23">
        <v>7123.99</v>
      </c>
      <c r="D4" s="12">
        <v>0</v>
      </c>
      <c r="E4" s="12">
        <f>IF(AND(ISNUMBER(C4),ISNUMBER(D4)), C4-D4, "")</f>
        <v>7123.99</v>
      </c>
      <c r="F4" s="13" t="str">
        <f>IFERROR(E4/D4, "")</f>
        <v/>
      </c>
      <c r="G4" s="14">
        <v>0</v>
      </c>
      <c r="H4" s="14">
        <f>IF(AND(ISNUMBER(C4),ISNUMBER(G4)), C4-G4, "")</f>
        <v>7123.99</v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Meriden - 95 Research Pkwy</v>
      </c>
      <c r="B1" s="56"/>
      <c r="C1" s="56"/>
      <c r="D1" s="57" t="s">
        <v>25</v>
      </c>
      <c r="E1" s="57"/>
      <c r="F1" s="57"/>
      <c r="G1" s="55" t="s">
        <v>26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23143.529999999995</v>
      </c>
      <c r="D2" s="5">
        <f>SUM(D4:D79)</f>
        <v>0</v>
      </c>
      <c r="E2" s="5">
        <f>C2-D2</f>
        <v>23143.529999999995</v>
      </c>
      <c r="F2" s="6">
        <f>IFERROR(E2/D2, 0)</f>
        <v>0</v>
      </c>
      <c r="G2" s="5">
        <f>SUM(G4:G79)</f>
        <v>0</v>
      </c>
      <c r="H2" s="7">
        <f>C2-G2</f>
        <v>23143.529999999995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23143.529999999995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J9" sqref="J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Meriden - 95 Research Pkwy</v>
      </c>
      <c r="B1" s="56"/>
      <c r="C1" s="56"/>
      <c r="D1" s="57" t="s">
        <v>28</v>
      </c>
      <c r="E1" s="57"/>
      <c r="F1" s="57"/>
      <c r="G1" s="55" t="s">
        <v>29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27001.470000000005</v>
      </c>
      <c r="D2" s="5">
        <f>SUM(D4:D79)</f>
        <v>0</v>
      </c>
      <c r="E2" s="5">
        <f>C2-D2</f>
        <v>27001.470000000005</v>
      </c>
      <c r="F2" s="6">
        <f>IFERROR(E2/D2, 0)</f>
        <v>0</v>
      </c>
      <c r="G2" s="5">
        <f>SUM(G4:G79)</f>
        <v>0</v>
      </c>
      <c r="H2" s="7">
        <f>C2-G2</f>
        <v>27001.470000000005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customHeight="1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27001.470000000005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D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Meriden - 95 Research Pkwy</v>
      </c>
      <c r="B1" s="56"/>
      <c r="C1" s="56"/>
      <c r="D1" s="57" t="s">
        <v>30</v>
      </c>
      <c r="E1" s="57"/>
      <c r="F1" s="57"/>
      <c r="G1" s="55" t="s">
        <v>31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Meriden - 95 Research Pkwy</v>
      </c>
      <c r="B1" s="56"/>
      <c r="C1" s="56"/>
      <c r="D1" s="57" t="s">
        <v>32</v>
      </c>
      <c r="E1" s="57"/>
      <c r="F1" s="57"/>
      <c r="G1" s="55" t="s">
        <v>33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Meriden - 95 Research Pkwy</v>
      </c>
      <c r="B1" s="56"/>
      <c r="C1" s="56"/>
      <c r="D1" s="57" t="s">
        <v>34</v>
      </c>
      <c r="E1" s="57"/>
      <c r="F1" s="57"/>
      <c r="G1" s="55" t="s">
        <v>35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Meriden - 95 Research Pkwy</v>
      </c>
      <c r="B1" s="56"/>
      <c r="C1" s="56"/>
      <c r="D1" s="57" t="s">
        <v>36</v>
      </c>
      <c r="E1" s="57"/>
      <c r="F1" s="57"/>
      <c r="G1" s="55" t="s">
        <v>37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Meriden - 95 Research Pkwy</v>
      </c>
      <c r="B1" s="56"/>
      <c r="C1" s="56"/>
      <c r="D1" s="57" t="s">
        <v>38</v>
      </c>
      <c r="E1" s="57"/>
      <c r="F1" s="57"/>
      <c r="G1" s="55" t="s">
        <v>39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Meriden - 95 Research Pkwy</v>
      </c>
      <c r="B1" s="56"/>
      <c r="C1" s="56"/>
      <c r="D1" s="57" t="s">
        <v>40</v>
      </c>
      <c r="E1" s="57"/>
      <c r="F1" s="57"/>
      <c r="G1" s="55" t="s">
        <v>41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Meriden - 95 Research Pkwy</v>
      </c>
      <c r="B1" s="56"/>
      <c r="C1" s="56"/>
      <c r="D1" s="57" t="s">
        <v>42</v>
      </c>
      <c r="E1" s="57"/>
      <c r="F1" s="57"/>
      <c r="G1" s="55" t="s">
        <v>43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Meriden - 95 Research Pkwy</v>
      </c>
      <c r="B1" s="56"/>
      <c r="C1" s="56"/>
      <c r="D1" s="57" t="s">
        <v>44</v>
      </c>
      <c r="E1" s="57"/>
      <c r="F1" s="57"/>
      <c r="G1" s="55" t="s">
        <v>45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9" sqref="D9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45" t="s">
        <v>47</v>
      </c>
      <c r="B4" t="s">
        <v>47</v>
      </c>
      <c r="C4" s="43" t="s">
        <v>51</v>
      </c>
      <c r="D4" s="42" t="s">
        <v>52</v>
      </c>
      <c r="E4" t="s">
        <v>53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F54C821C-332B-4350-8272-A2A7D0BAB756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2025-05-11T08:49:38Z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