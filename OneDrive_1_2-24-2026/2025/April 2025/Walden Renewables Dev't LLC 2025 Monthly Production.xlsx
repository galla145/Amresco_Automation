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AA4A4DA-4918-47EC-B517-9060896DF40C}" xr6:coauthVersionLast="47" xr6:coauthVersionMax="47" xr10:uidLastSave="{00000000-0000-0000-0000-000000000000}"/>
  <bookViews>
    <workbookView xWindow="-108" yWindow="-108" windowWidth="23256" windowHeight="1389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F4" i="21" s="1"/>
  <c r="E4" i="20"/>
  <c r="F4" i="20"/>
  <c r="H4" i="20"/>
  <c r="I4" i="20"/>
  <c r="E4" i="72"/>
  <c r="F4" i="72"/>
  <c r="H4" i="72"/>
  <c r="I4" i="72"/>
  <c r="G4" i="30"/>
  <c r="G2" i="30" s="1"/>
  <c r="G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G4" i="34" l="1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<sst xmlns="http://schemas.openxmlformats.org/spreadsheetml/2006/main" count="249" uniqueCount="63">
  <si>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</si>
  <si>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</si>
  <si>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</si>
  <si>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</si>
  <si>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</si>
  <si>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</si>
  <si>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</si>
  <si>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</si>
  <si>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</si>
  <si>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</si>
  <si>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</si>
  <si>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</si>
  <si>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</si>
  <si>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</si>
  <si>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</si>
  <si>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</si>
  <si>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</si>
  <si>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</si>
  <si>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</si>
  <si>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</si>
  <si>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</si>
  <si>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</si>
  <si>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</si>
  <si>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1.Low generation due to weather/snow.</t>
  </si>
  <si>
    <t>February Actual v. Expected</t>
  </si>
  <si>
    <t>February Actual v. Forecasted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</si>
  <si>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</si>
  <si>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</si>
  <si>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</si>
  <si>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 Actual v. Expected</t>
  </si>
  <si>
    <t>March Actual v. Forecasted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</si>
  <si>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</si>
  <si>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</si>
  <si>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 Actual v. Expected</t>
  </si>
  <si>
    <t>April Actual v. Forecasted</t>
  </si>
  <si>
    <t>1. Inverter 32 started late for the production at 12:00pm on 04/22 due to  "Alarm E34 - Insulation fault". Technician was dispatched to the site to replace the 4 solar modules on 04/25. And again inverte 32 tripped offline  from 06:00 to 15:00 on 04/26.</t>
  </si>
  <si>
    <t>1.SR099174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</si>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</sst>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J11" sqref="J11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6">
        <f>SUM(C4:C60)</f>
        <v>2007066</v>
      </c>
      <c r="D2" s="6">
        <f>SUM(D4:D60)</f>
        <v>2668846.2539999997</v>
      </c>
      <c r="E2" s="6">
        <f>C2-D2</f>
        <v>-661780.25399999972</v>
      </c>
      <c r="F2" s="7">
        <f>IFERROR(E2/D2, 0)</f>
        <v>-0.24796492229859254</v>
      </c>
      <c r="G2" s="6">
        <f>SUM(G4:G60)</f>
        <v>2278699.25</v>
      </c>
      <c r="H2" s="8">
        <f>C2-G2</f>
        <v>-271633.25</v>
      </c>
      <c r="I2" s="7">
        <f>IFERROR(H2/G2, 0)</f>
        <v>-0.11920539755301188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2007066</v>
      </c>
      <c r="D4" s="14">
        <f>SUM('1st Qtr'!D4, '2nd Qtr'!D4, '3rd Qtr'!D4, '4th Qtr'!D4)</f>
        <v>2668846.2539999997</v>
      </c>
      <c r="E4" s="14">
        <f>IF(AND(ISNUMBER(C4),ISNUMBER(D4)), C4-D4, "")</f>
        <v>-661780.25399999972</v>
      </c>
      <c r="F4" s="15">
        <f>IFERROR(E4/D4, "")</f>
        <v>-0.24796492229859254</v>
      </c>
      <c r="G4" s="16">
        <f>SUM('1st Qtr'!G4,'2nd Qtr'!G4,'3rd Qtr'!G4,'4th Qtr'!G4)</f>
        <v>2278699.25</v>
      </c>
      <c r="H4" s="16">
        <f>SUM('1st Qtr'!H4, '2nd Qtr'!H4, '3rd Qtr'!H4, '4th Qtr'!H4)</f>
        <v>-271633.25</v>
      </c>
      <c r="I4" s="17">
        <f>IFERROR(H4/G4, "")</f>
        <v>-0.11920539755301188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H4" sqref="H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799664</v>
      </c>
      <c r="D4" s="14">
        <f>SUM(Apr!D4, May!D4, Jun!D4)</f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f>SUM(Apr!G4,May!G4,Jun!G4)</f>
        <v>783489.13</v>
      </c>
      <c r="H4" s="16">
        <f>SUM(Apr!H4, May!H4, Jun!H4)</f>
        <v>16174.869999999995</v>
      </c>
      <c r="I4" s="17">
        <f>IFERROR(H4/G4, "")</f>
        <v>2.0644664208678932E-2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Walden Renewables Dev't LLC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23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pane="bottomLeft" activeCell="H12" sqref="H12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47" t="str" cm="1">
        <f t="array" ref="A1">portfolio</f>
        <v>Walden Renewables Dev't LLC</v>
      </c>
      <c r="B1" s="47"/>
      <c r="C1" s="47"/>
      <c r="D1" s="48" t="s">
        <v>24</v>
      </c>
      <c r="E1" s="48"/>
      <c r="F1" s="48"/>
      <c r="G1" s="46" t="s">
        <v>25</v>
      </c>
      <c r="H1" s="46"/>
      <c r="I1" s="46"/>
      <c r="J1" s="5"/>
      <c r="K1" s="5"/>
    </row>
    <row r="2" spans="1:12" ht="19.5" customHeight="1">
      <c r="A2" s="49" t="s">
        <v>2</v>
      </c>
      <c r="B2" s="49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26</v>
      </c>
      <c r="K4" s="43" t="s">
        <v>27</v>
      </c>
      <c r="L4" s="44" t="s">
        <v>28</v>
      </c>
    </row>
    <row r="5" spans="1:12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29</v>
      </c>
      <c r="E1" s="48"/>
      <c r="F1" s="48"/>
      <c r="G1" s="46" t="s">
        <v>30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7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zoomScale="70" zoomScaleNormal="70" workbookViewId="0">
      <pane ySplit="2" topLeftCell="A3" activePane="bottomLeft" state="frozen"/>
      <selection pane="bottomLeft" activeCell="J31" sqref="J31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33</v>
      </c>
      <c r="E1" s="48"/>
      <c r="F1" s="48"/>
      <c r="G1" s="46" t="s">
        <v>34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>
        <v>799664</v>
      </c>
      <c r="D4" s="14"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v>783489.13</v>
      </c>
      <c r="H4" s="16">
        <f>IF(AND(ISNUMBER(C4),ISNUMBER(G4)), C4-G4, "")</f>
        <v>16174.869999999995</v>
      </c>
      <c r="I4" s="17">
        <f>IFERROR(H4/G4, "")</f>
        <v>2.0644664208678932E-2</v>
      </c>
      <c r="J4" s="18" t="s">
        <v>35</v>
      </c>
      <c r="K4" s="43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9174" xr:uid="{57357E23-1957-458E-9D44-36782D33A96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10" sqref="F10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37</v>
      </c>
      <c r="E1" s="48"/>
      <c r="F1" s="48"/>
      <c r="G1" s="46" t="s">
        <v>38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39</v>
      </c>
      <c r="E1" s="48"/>
      <c r="F1" s="48"/>
      <c r="G1" s="46" t="s">
        <v>40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41</v>
      </c>
      <c r="E1" s="48"/>
      <c r="F1" s="48"/>
      <c r="G1" s="46" t="s">
        <v>42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43</v>
      </c>
      <c r="E1" s="48"/>
      <c r="F1" s="48"/>
      <c r="G1" s="46" t="s">
        <v>44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45</v>
      </c>
      <c r="E1" s="48"/>
      <c r="F1" s="48"/>
      <c r="G1" s="46" t="s">
        <v>46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49</v>
      </c>
      <c r="E1" s="48"/>
      <c r="F1" s="48"/>
      <c r="G1" s="46" t="s">
        <v>50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Walden Renewables Dev't LLC</v>
      </c>
      <c r="B1" s="47"/>
      <c r="C1" s="47"/>
      <c r="D1" s="48" t="s">
        <v>51</v>
      </c>
      <c r="E1" s="48"/>
      <c r="F1" s="48"/>
      <c r="G1" s="46" t="s">
        <v>52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53</v>
      </c>
      <c r="B1" t="s">
        <v>54</v>
      </c>
    </row>
    <row r="3" spans="1:7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7" ht="14.45">
      <c r="A4" t="s">
        <v>58</v>
      </c>
      <c r="B4" t="s">
        <v>59</v>
      </c>
      <c r="C4" s="4" t="s">
        <v>60</v>
      </c>
      <c r="D4" t="s">
        <v>61</v>
      </c>
      <c r="E4" t="s">
        <v>62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84F1B64F-96FE-439A-9808-7B3DD7715F24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2025-06-07T03:41:01Z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