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711026DD-26F2-449C-954E-E1EF1DE91EB6}" xr6:coauthVersionLast="47" xr6:coauthVersionMax="47" xr10:uidLastSave="{00000000-0000-0000-0000-000000000000}"/>
  <bookViews>
    <workbookView xWindow="-108" yWindow="-108" windowWidth="23256" windowHeight="1389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8" l="1"/>
  <c r="I9" i="18"/>
  <c r="I10" i="18"/>
  <c r="H9" i="18"/>
  <c r="H10" i="18"/>
  <c r="G10" i="18"/>
  <c r="D9" i="18"/>
  <c r="E9" i="18" s="1"/>
  <c r="F9" i="18" s="1"/>
  <c r="D10" i="18"/>
  <c r="E10" i="18" s="1"/>
  <c r="F10" i="18" s="1"/>
  <c r="C9" i="18"/>
  <c r="C10" i="18"/>
  <c r="E9" i="21"/>
  <c r="F9" i="21" s="1"/>
  <c r="E10" i="21"/>
  <c r="F10" i="21" s="1"/>
  <c r="I9" i="21"/>
  <c r="I10" i="21"/>
  <c r="H9" i="21"/>
  <c r="H10" i="21"/>
  <c r="I10" i="4"/>
  <c r="H10" i="4"/>
  <c r="H10" i="1" s="1"/>
  <c r="E10" i="4"/>
  <c r="F10" i="4" s="1"/>
  <c r="H9" i="4"/>
  <c r="I9" i="4"/>
  <c r="E9" i="4"/>
  <c r="F9" i="4" s="1"/>
  <c r="G9" i="1"/>
  <c r="G9" i="34" s="1"/>
  <c r="G10" i="1"/>
  <c r="G10" i="34" s="1"/>
  <c r="D9" i="1"/>
  <c r="D9" i="34" s="1"/>
  <c r="D10" i="1"/>
  <c r="C9" i="1"/>
  <c r="C9" i="34" s="1"/>
  <c r="C10" i="1"/>
  <c r="C10" i="34"/>
  <c r="H9" i="3"/>
  <c r="H10" i="3"/>
  <c r="I10" i="3" s="1"/>
  <c r="E9" i="3"/>
  <c r="F9" i="3" s="1"/>
  <c r="E10" i="3"/>
  <c r="F10" i="3" s="1"/>
  <c r="E7" i="3"/>
  <c r="E4" i="3"/>
  <c r="H5" i="3"/>
  <c r="E5" i="3"/>
  <c r="H5" i="33"/>
  <c r="I5" i="33" s="1"/>
  <c r="H6" i="33"/>
  <c r="I6" i="33" s="1"/>
  <c r="H7" i="33"/>
  <c r="I7" i="33" s="1"/>
  <c r="H8" i="33"/>
  <c r="I8" i="33" s="1"/>
  <c r="E5" i="33"/>
  <c r="F5" i="33" s="1"/>
  <c r="E6" i="33"/>
  <c r="F6" i="33" s="1"/>
  <c r="E7" i="33"/>
  <c r="F7" i="33" s="1"/>
  <c r="E8" i="33"/>
  <c r="F8" i="33" s="1"/>
  <c r="D10" i="34" l="1"/>
  <c r="E10" i="34" s="1"/>
  <c r="F10" i="34" s="1"/>
  <c r="I9" i="3"/>
  <c r="H9" i="1"/>
  <c r="H9" i="34" s="1"/>
  <c r="I9" i="1"/>
  <c r="I10" i="1"/>
  <c r="E9" i="1"/>
  <c r="F9" i="1" s="1"/>
  <c r="E10" i="1"/>
  <c r="F10" i="1" s="1"/>
  <c r="H10" i="34"/>
  <c r="I10" i="34" s="1"/>
  <c r="I9" i="34"/>
  <c r="E9" i="34"/>
  <c r="F9" i="34" s="1"/>
  <c r="G6" i="30"/>
  <c r="G7" i="30"/>
  <c r="G8" i="30"/>
  <c r="G5" i="30"/>
  <c r="G4" i="30"/>
  <c r="E5" i="28"/>
  <c r="F5" i="28" s="1"/>
  <c r="E5" i="27"/>
  <c r="G5" i="29"/>
  <c r="G6" i="29"/>
  <c r="G7" i="29"/>
  <c r="G8" i="29"/>
  <c r="G4" i="29"/>
  <c r="E5" i="20"/>
  <c r="G5" i="18"/>
  <c r="G6" i="18"/>
  <c r="G7" i="18"/>
  <c r="G8" i="18"/>
  <c r="G4" i="18"/>
  <c r="E4" i="4"/>
  <c r="F4" i="4" s="1"/>
  <c r="H4" i="4"/>
  <c r="I4" i="4" s="1"/>
  <c r="E5" i="4"/>
  <c r="F5" i="4" s="1"/>
  <c r="H5" i="4"/>
  <c r="I5" i="4" s="1"/>
  <c r="E6" i="4"/>
  <c r="F6" i="4" s="1"/>
  <c r="H6" i="4"/>
  <c r="I6" i="4" s="1"/>
  <c r="E7" i="4"/>
  <c r="F7" i="4" s="1"/>
  <c r="H7" i="4"/>
  <c r="I7" i="4" s="1"/>
  <c r="E8" i="4"/>
  <c r="F8" i="4" s="1"/>
  <c r="H8" i="4"/>
  <c r="I8" i="4" s="1"/>
  <c r="E8" i="72" l="1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H4" i="3"/>
  <c r="I4" i="3" s="1"/>
  <c r="F5" i="3"/>
  <c r="I5" i="3"/>
  <c r="E6" i="3"/>
  <c r="F6" i="3" s="1"/>
  <c r="H6" i="3"/>
  <c r="I6" i="3" s="1"/>
  <c r="F7" i="3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F5" i="27"/>
  <c r="H4" i="27"/>
  <c r="I4" i="27" s="1"/>
  <c r="E4" i="27"/>
  <c r="F4" i="27" s="1"/>
  <c r="G2" i="27"/>
  <c r="D2" i="27"/>
  <c r="C2" i="27"/>
  <c r="A1" i="27" a="1"/>
  <c r="A1" i="27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E5" i="1" l="1"/>
  <c r="E7" i="1"/>
  <c r="C5" i="34"/>
  <c r="D5" i="34"/>
  <c r="C6" i="34"/>
  <c r="D6" i="34"/>
  <c r="C7" i="34"/>
  <c r="D7" i="34"/>
  <c r="D8" i="34"/>
  <c r="C8" i="34"/>
  <c r="H6" i="29"/>
  <c r="I6" i="29" s="1"/>
  <c r="E7" i="18"/>
  <c r="F7" i="18" s="1"/>
  <c r="D4" i="34"/>
  <c r="D2" i="18"/>
  <c r="E8" i="30"/>
  <c r="F8" i="30" s="1"/>
  <c r="H6" i="30"/>
  <c r="H7" i="29"/>
  <c r="I7" i="29" s="1"/>
  <c r="E4" i="18"/>
  <c r="F4" i="18" s="1"/>
  <c r="E8" i="18"/>
  <c r="F8" i="18" s="1"/>
  <c r="E8" i="29"/>
  <c r="F8" i="29" s="1"/>
  <c r="E4" i="30"/>
  <c r="F4" i="30" s="1"/>
  <c r="D2" i="29"/>
  <c r="E5" i="18"/>
  <c r="F5" i="18" s="1"/>
  <c r="E5" i="29"/>
  <c r="F5" i="29" s="1"/>
  <c r="E5" i="30"/>
  <c r="F5" i="30" s="1"/>
  <c r="E6" i="18"/>
  <c r="F6" i="18" s="1"/>
  <c r="E6" i="29"/>
  <c r="F6" i="29" s="1"/>
  <c r="E6" i="30"/>
  <c r="F6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F7" i="1"/>
  <c r="G2" i="1"/>
  <c r="E8" i="1"/>
  <c r="F8" i="1" s="1"/>
  <c r="F5" i="1"/>
  <c r="E6" i="1"/>
  <c r="F6" i="1" s="1"/>
  <c r="H4" i="30"/>
  <c r="I4" i="30" s="1"/>
  <c r="E7" i="30"/>
  <c r="F7" i="30" s="1"/>
  <c r="H7" i="30"/>
  <c r="H5" i="30"/>
  <c r="H8" i="30"/>
  <c r="E7" i="29"/>
  <c r="F7" i="29" s="1"/>
  <c r="H8" i="29"/>
  <c r="I8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E7" i="34"/>
  <c r="F7" i="34" s="1"/>
  <c r="E6" i="34"/>
  <c r="F6" i="34" s="1"/>
  <c r="D2" i="34"/>
  <c r="E8" i="34"/>
  <c r="F8" i="34" s="1"/>
  <c r="I5" i="30"/>
  <c r="H5" i="34"/>
  <c r="I5" i="34" s="1"/>
  <c r="I8" i="30"/>
  <c r="H8" i="34"/>
  <c r="I8" i="34" s="1"/>
  <c r="I7" i="30"/>
  <c r="H7" i="34"/>
  <c r="I7" i="34" s="1"/>
  <c r="I6" i="30"/>
  <c r="H6" i="34"/>
  <c r="I6" i="34" s="1"/>
  <c r="E2" i="29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tc={7BB2A71C-CBAD-4408-9EE1-62BBFD951367}</author>
  </authors>
  <commentList>
    <comment ref="C4" authorId="0" shapeId="0" xr:uid="{7BB2A71C-CBAD-4408-9EE1-62BBFD951367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meter M1 is reporting negative values from 01/03  we have consider M0 production as total site production.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tc={5CF80EFB-3480-4514-AD5C-993C4EDB9A6C}</author>
  </authors>
  <commentList>
    <comment ref="C4" authorId="0" shapeId="0" xr:uid="{5CF80EFB-3480-4514-AD5C-993C4EDB9A6C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meter M1 is reporting negative values from 01/03  we have consider M0 production as total site production.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<sst xmlns="http://schemas.openxmlformats.org/spreadsheetml/2006/main" count="334" uniqueCount="101">
  <si>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</si>
  <si>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</si>
  <si>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</si>
  <si>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</si>
  <si>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</si>
  <si>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</si>
  <si>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</si>
  <si>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</si>
  <si>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</si>
  <si>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</si>
  <si>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</si>
  <si>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</si>
  <si>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</si>
  <si>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</si>
  <si>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</si>
  <si>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</si>
  <si>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</si>
  <si>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</si>
  <si>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</si>
  <si>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</si>
  <si>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</si>
  <si>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</si>
  <si>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</si>
  <si>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CSS resolved the DAS issues on 01/03, and M0 started reporting the production on 01/03. However, M1 is reporting negative values. As per the drawings, the site capacity is 365 kW, but meter M0 is reporting 295 kW, and M1 is reporting -295 kW. We have consider M0 production as total site production. Reached out to AE #557940</t>
  </si>
  <si>
    <t>1.SR094989, SR096863</t>
  </si>
  <si>
    <t>SR096863</t>
  </si>
  <si>
    <t>1. Site is dealing with utility-related issue throughout the month, and the EPC team is currently addressing the issue.</t>
  </si>
  <si>
    <t>1. SR093414</t>
  </si>
  <si>
    <t>1.Utility company has shut down site since 06/11/24.</t>
  </si>
  <si>
    <t>1.SR086098</t>
  </si>
  <si>
    <t>1.Site tripped offline at 2:30AM on 01/21 due to Phase A voltage missing Fault and back online at 10AM on 01/30.</t>
  </si>
  <si>
    <t>1.SR095756</t>
  </si>
  <si>
    <t>February Actual v. Expected</t>
  </si>
  <si>
    <t>February Actual v. Forecasted</t>
  </si>
  <si>
    <t xml:space="preserve">1.M1 meter is reporting negative values from 01/03 and through out the Month. AE says likely an onsite issue and to swap CT lead polarity. 
2.Site stopped communicating from 02/26 due to some DAS equipment was RMA'd. CSS is about to do capacity test at site after DAS issues resolved.
3. Expected and forecasted data are unavailable. </t>
  </si>
  <si>
    <t>1.SR096863
2.SR094989, SR097768</t>
  </si>
  <si>
    <t>SR094989</t>
  </si>
  <si>
    <t>SR097768</t>
  </si>
  <si>
    <t>1.SR093413</t>
  </si>
  <si>
    <t>1.SR093414</t>
  </si>
  <si>
    <t>1.Utility company has shut down site since 06/11/24 due to the solar causing an issue with the grid.</t>
  </si>
  <si>
    <t>1. Site was tripped offline at 12:15AM on 02/22 due to Phase A voltage missing fault and back online at 11:45AM on 02/28.</t>
  </si>
  <si>
    <t>1.SR097638</t>
  </si>
  <si>
    <t xml:space="preserve">1. Expected and forecasted data are unavailable. </t>
  </si>
  <si>
    <t xml:space="preserve">1. Forecasted data was very low and expected data are unavailable. </t>
  </si>
  <si>
    <t>March Actual v. Expected</t>
  </si>
  <si>
    <t>March Actual v. Forecasted</t>
  </si>
  <si>
    <t>1.Site communications are back at 11:45AM on 03/25 after RMA installation.
2. We don't have expected and forecasted energy values for this site.</t>
  </si>
  <si>
    <t>1.SR094989,SR097768</t>
  </si>
  <si>
    <t>1.The site is dealing with utility-related issues due to damaged CTs and PTs in their metering bank, as has been the case throughout the month. The EPC team is currently addressing the issue.</t>
  </si>
  <si>
    <t>1.SR098409,SR093413</t>
  </si>
  <si>
    <t>SR093413</t>
  </si>
  <si>
    <t>1.SR098411,SR093414</t>
  </si>
  <si>
    <t>SR093414</t>
  </si>
  <si>
    <t>1.The site  communication was back at 10:15AM and again stopped communication  on 03/04 at 15:00 due to an issue with the MV breaker on the skid. The team is currently working with SMA to resolve the issue and is testing the IKI relay. Additionally, a single-phase witness test under load with the utility is pending prior to re-energization.
2.Utility company has shut down site since 06/11/24 due to the solar causing an issue with the grid.</t>
  </si>
  <si>
    <t>1.SR098408
2.SR086098</t>
  </si>
  <si>
    <t>SR086098</t>
  </si>
  <si>
    <t>1.Site tripped offline 18:15 on 03/05 and back online at 12:45 on 03/14.</t>
  </si>
  <si>
    <t>1. The forecasted values have been updated by AE, but they appear to be low.</t>
  </si>
  <si>
    <t>April Actual v. Expected</t>
  </si>
  <si>
    <t>April Actual v. Forecasted</t>
  </si>
  <si>
    <t>1. SR098409</t>
  </si>
  <si>
    <t>1. SR098411</t>
  </si>
  <si>
    <t xml:space="preserve">1.SR098408
2.SR086098
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</si>
  <si>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</si>
  <si>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</si>
  <si>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</si>
  <si>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</si>
  <si>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</si>
  <si>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</si>
  <si>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</si>
  <si>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</si>
  <si>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</si>
  <si>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</si>
  <si>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</si>
  <si>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</si>
  <si>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</si>
  <si>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</si>
  <si>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</si>
  <si>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</si>
  <si>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</si>
  <si>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Luminance</t>
  </si>
  <si>
    <t>Site DAS Name</t>
  </si>
  <si>
    <t>Update</t>
  </si>
  <si>
    <t>DAS</t>
  </si>
  <si>
    <t>DC-23-0001 - Raymond Elementary Redev</t>
  </si>
  <si>
    <t xml:space="preserve">Raymond Ed Re-Development - DC-23-0001 </t>
  </si>
  <si>
    <t>DC</t>
  </si>
  <si>
    <t>AEF</t>
  </si>
  <si>
    <t>PowerTrack</t>
  </si>
  <si>
    <t>NJ-22-C893 - CS Energy - Berkeley I</t>
  </si>
  <si>
    <t>Berkeley - NJ-22-C893 Berkeley I</t>
  </si>
  <si>
    <t>NJ</t>
  </si>
  <si>
    <t>NJ-22-C894 - CS Energy - Berkeley II</t>
  </si>
  <si>
    <t>Berkeley - NJ-22-C894 Berkeley II</t>
  </si>
  <si>
    <t>Southampton - BEMS East NJ-22-C897</t>
  </si>
  <si>
    <t xml:space="preserve"> BEMS Landfill East</t>
  </si>
  <si>
    <t>NJ-22-C898 - BEMS Landfill West</t>
  </si>
  <si>
    <t>Southampton - BEMS West NJ-22-C898</t>
  </si>
  <si>
    <t>Lakewood Twp - Emergency Services Dev  - NJ-23-0008</t>
  </si>
  <si>
    <t>Lakewood Township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</si>
</sst>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u/>
      <sz val="10"/>
      <color theme="10"/>
      <name val="Arial"/>
    </font>
    <font>
      <sz val="11"/>
      <color rgb="FF242424"/>
      <name val="Aptos Narrow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9" fillId="0" borderId="0" applyNumberFormat="0" applyFill="0" applyBorder="0" applyAlignment="0" applyProtection="0"/>
  </cellStyleXfs>
  <cellXfs count="88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1" fillId="38" borderId="1" xfId="2" applyNumberFormat="1" applyFont="1" applyFill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3" fontId="31" fillId="0" borderId="1" xfId="1" applyNumberFormat="1" applyFont="1" applyFill="1" applyBorder="1" applyAlignment="1">
      <alignment horizontal="right" vertical="center" wrapText="1"/>
    </xf>
    <xf numFmtId="49" fontId="36" fillId="38" borderId="1" xfId="2" applyNumberFormat="1" applyFont="1" applyFill="1" applyBorder="1" applyAlignment="1">
      <alignment horizontal="left" vertical="top" wrapText="1"/>
    </xf>
    <xf numFmtId="3" fontId="37" fillId="0" borderId="0" xfId="0" applyNumberFormat="1" applyFont="1" applyAlignment="1">
      <alignment vertical="center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164" fontId="29" fillId="0" borderId="1" xfId="1" applyNumberFormat="1" applyFont="1" applyBorder="1" applyAlignment="1">
      <alignment horizontal="center" vertical="center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  <xf numFmtId="0" fontId="38" fillId="0" borderId="0" xfId="0" applyFont="1"/>
    <xf numFmtId="49" fontId="39" fillId="38" borderId="1" xfId="45" applyNumberFormat="1" applyFill="1" applyBorder="1" applyAlignment="1">
      <alignment vertical="top" wrapText="1"/>
    </xf>
    <xf numFmtId="49" fontId="39" fillId="0" borderId="1" xfId="45" applyNumberFormat="1" applyBorder="1" applyAlignment="1">
      <alignment vertical="center" wrapText="1"/>
    </xf>
    <xf numFmtId="0" fontId="39" fillId="0" borderId="0" xfId="45" applyAlignment="1">
      <alignment horizontal="left" vertical="top"/>
    </xf>
    <xf numFmtId="0" fontId="23" fillId="0" borderId="0" xfId="43" applyFont="1" applyAlignment="1">
      <alignment horizontal="left" wrapText="1"/>
    </xf>
    <xf numFmtId="0" fontId="23" fillId="0" borderId="0" xfId="43" applyFont="1"/>
    <xf numFmtId="0" fontId="40" fillId="0" borderId="0" xfId="0" applyFont="1"/>
    <xf numFmtId="49" fontId="39" fillId="0" borderId="1" xfId="45" applyNumberFormat="1" applyBorder="1" applyAlignment="1">
      <alignment vertical="top" wrapText="1"/>
    </xf>
    <xf numFmtId="0" fontId="39" fillId="0" borderId="0" xfId="45" applyAlignment="1">
      <alignment vertical="top"/>
    </xf>
    <xf numFmtId="3" fontId="31" fillId="4" borderId="1" xfId="1" applyNumberFormat="1" applyFont="1" applyFill="1" applyBorder="1" applyAlignment="1">
      <alignment horizontal="right" vertical="center"/>
    </xf>
    <xf numFmtId="3" fontId="31" fillId="0" borderId="1" xfId="1" applyNumberFormat="1" applyFont="1" applyFill="1" applyBorder="1" applyAlignment="1">
      <alignment horizontal="right" vertical="center"/>
    </xf>
    <xf numFmtId="49" fontId="39" fillId="38" borderId="1" xfId="45" applyNumberFormat="1" applyFill="1" applyBorder="1" applyAlignment="1">
      <alignment horizontal="left" vertical="top" wrapText="1"/>
    </xf>
    <xf numFmtId="0" fontId="39" fillId="0" borderId="0" xfId="45"/>
    <xf numFmtId="49" fontId="39" fillId="0" borderId="1" xfId="45" applyNumberFormat="1" applyBorder="1" applyAlignment="1">
      <alignment horizontal="left" vertical="top" wrapText="1"/>
    </xf>
    <xf numFmtId="49" fontId="39" fillId="38" borderId="1" xfId="45" applyNumberFormat="1" applyFill="1" applyBorder="1" applyAlignment="1">
      <alignment horizontal="left" wrapText="1"/>
    </xf>
    <xf numFmtId="0" fontId="28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39" fillId="0" borderId="0" xfId="45" applyAlignment="1">
      <alignment horizontal="center"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1FAD546F-6650-49CB-A3F7-5B2091D330FB}" userId="S::kusumapotlada@amgsol.com::a4794fd0-fb2a-418d-b379-bb3c7e6c0e3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0" totalsRowShown="0">
  <autoFilter ref="A3:E1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02-14T04:58:58.71" personId="{1FAD546F-6650-49CB-A3F7-5B2091D330FB}" id="{7BB2A71C-CBAD-4408-9EE1-62BBFD951367}">
    <text>Since meter M1 is reporting negative values from 01/03  we have consider M0 production as total site production.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5-03-11T03:11:31.17" personId="{1FAD546F-6650-49CB-A3F7-5B2091D330FB}" id="{5CF80EFB-3480-4514-AD5C-993C4EDB9A6C}">
    <text>Since meter M1 is reporting negative values from 01/03  we have consider M0 production as total site production.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us3.assetplanner.com/service_request?ID=093414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6863" TargetMode="External"/><Relationship Id="rId1" Type="http://schemas.openxmlformats.org/officeDocument/2006/relationships/hyperlink" Target="https://us3.assetplanner.com/service_request?ID=094989" TargetMode="External"/><Relationship Id="rId6" Type="http://schemas.openxmlformats.org/officeDocument/2006/relationships/hyperlink" Target="https://us3.assetplanner.com/service_request?ID=095756" TargetMode="External"/><Relationship Id="rId5" Type="http://schemas.openxmlformats.org/officeDocument/2006/relationships/hyperlink" Target="https://us3.assetplanner.com/service_request?ID=086098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us3.assetplanner.com/service_request?ID=093414" TargetMode="External"/><Relationship Id="rId9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s://us3.assetplanner.com/service_request?ID=097768" TargetMode="External"/><Relationship Id="rId7" Type="http://schemas.openxmlformats.org/officeDocument/2006/relationships/hyperlink" Target="https://us3.assetplanner.com/service_request?ID=097638" TargetMode="External"/><Relationship Id="rId2" Type="http://schemas.openxmlformats.org/officeDocument/2006/relationships/hyperlink" Target="https://us3.assetplanner.com/service_request?ID=094989" TargetMode="External"/><Relationship Id="rId1" Type="http://schemas.openxmlformats.org/officeDocument/2006/relationships/hyperlink" Target="https://us3.assetplanner.com/service_request?ID=096863" TargetMode="External"/><Relationship Id="rId6" Type="http://schemas.openxmlformats.org/officeDocument/2006/relationships/hyperlink" Target="https://us3.assetplanner.com/service_request?ID=086098" TargetMode="External"/><Relationship Id="rId5" Type="http://schemas.openxmlformats.org/officeDocument/2006/relationships/hyperlink" Target="https://us3.assetplanner.com/service_request?ID=093414" TargetMode="External"/><Relationship Id="rId10" Type="http://schemas.microsoft.com/office/2017/10/relationships/threadedComment" Target="../threadedComments/threadedComment2.xml"/><Relationship Id="rId4" Type="http://schemas.openxmlformats.org/officeDocument/2006/relationships/hyperlink" Target="https://us3.assetplanner.com/service_request?ID=093413" TargetMode="External"/><Relationship Id="rId9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86098" TargetMode="External"/><Relationship Id="rId3" Type="http://schemas.openxmlformats.org/officeDocument/2006/relationships/hyperlink" Target="https://us3.assetplanner.com/service_request?ID=098409" TargetMode="External"/><Relationship Id="rId7" Type="http://schemas.openxmlformats.org/officeDocument/2006/relationships/hyperlink" Target="https://us3.assetplanner.com/service_request?ID=098408" TargetMode="External"/><Relationship Id="rId2" Type="http://schemas.openxmlformats.org/officeDocument/2006/relationships/hyperlink" Target="https://us3.assetplanner.com/service_request?ID=097768" TargetMode="External"/><Relationship Id="rId1" Type="http://schemas.openxmlformats.org/officeDocument/2006/relationships/hyperlink" Target="https://us3.assetplanner.com/service_request?ID=094989" TargetMode="External"/><Relationship Id="rId6" Type="http://schemas.openxmlformats.org/officeDocument/2006/relationships/hyperlink" Target="https://us3.assetplanner.com/service_request?ID=093414" TargetMode="External"/><Relationship Id="rId5" Type="http://schemas.openxmlformats.org/officeDocument/2006/relationships/hyperlink" Target="https://us3.assetplanner.com/service_request?ID=098411" TargetMode="External"/><Relationship Id="rId4" Type="http://schemas.openxmlformats.org/officeDocument/2006/relationships/hyperlink" Target="https://us3.assetplanner.com/service_request?ID=093413" TargetMode="External"/><Relationship Id="rId9" Type="http://schemas.openxmlformats.org/officeDocument/2006/relationships/hyperlink" Target="https://us3.assetplanner.com/service_request?ID=09763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408" TargetMode="External"/><Relationship Id="rId2" Type="http://schemas.openxmlformats.org/officeDocument/2006/relationships/hyperlink" Target="https://us3.assetplanner.com/service_request?ID=098411" TargetMode="External"/><Relationship Id="rId1" Type="http://schemas.openxmlformats.org/officeDocument/2006/relationships/hyperlink" Target="https://us3.assetplanner.com/service_request?ID=098409" TargetMode="External"/><Relationship Id="rId4" Type="http://schemas.openxmlformats.org/officeDocument/2006/relationships/hyperlink" Target="https://us3.assetplanner.com/service_request?ID=086098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G19" sqref="G19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5" t="str" cm="1">
        <f t="array" ref="A1">portfolio</f>
        <v>Luminance</v>
      </c>
      <c r="B1" s="85"/>
      <c r="C1" s="85"/>
      <c r="D1" s="86" t="s">
        <v>0</v>
      </c>
      <c r="E1" s="86"/>
      <c r="F1" s="86"/>
      <c r="G1" s="84" t="s">
        <v>1</v>
      </c>
      <c r="H1" s="84"/>
      <c r="I1" s="84"/>
    </row>
    <row r="2" spans="1:9" ht="19.5" customHeight="1">
      <c r="A2" s="87" t="s">
        <v>2</v>
      </c>
      <c r="B2" s="87"/>
      <c r="C2" s="5">
        <f>SUM(C4:C80)</f>
        <v>2380745.3917128947</v>
      </c>
      <c r="D2" s="5">
        <f>SUM(D4:D80)</f>
        <v>2340773.4362000003</v>
      </c>
      <c r="E2" s="5">
        <f>C2-D2</f>
        <v>39971.955512894318</v>
      </c>
      <c r="F2" s="6">
        <f>IFERROR(E2/D2, 0)</f>
        <v>1.7076388041118832E-2</v>
      </c>
      <c r="G2" s="5">
        <f>SUM(G4:G80)</f>
        <v>8782440.5</v>
      </c>
      <c r="H2" s="7">
        <f>C2-G2</f>
        <v>-6401695.1082871053</v>
      </c>
      <c r="I2" s="6">
        <f>IFERROR(H2/G2, 0)</f>
        <v>-0.72891983820295803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27" t="str" cm="1">
        <f t="array" ref="A4:A10">Sites[Site]</f>
        <v xml:space="preserve">Raymond Ed Re-Development - DC-23-0001 </v>
      </c>
      <c r="B4" s="28" t="str" cm="1">
        <f t="array" ref="B4:B10">Sites[State]</f>
        <v>DC</v>
      </c>
      <c r="C4" s="29">
        <f>SUM('1st Qtr'!C4, '2nd Qtr'!C4, '3rd Qtr'!C4, '4th Qtr'!C4)</f>
        <v>170095.3504302176</v>
      </c>
      <c r="D4" s="30">
        <f>SUM('1st Qtr'!D4, '2nd Qtr'!D4, '3rd Qtr'!D4, '4th Qtr'!D4)</f>
        <v>57596.35</v>
      </c>
      <c r="E4" s="30">
        <f>IF(AND(ISNUMBER(C4),ISNUMBER(D4)), C4-D4, "")</f>
        <v>112499.00043021759</v>
      </c>
      <c r="F4" s="31">
        <f>IFERROR(E4/D4, "")</f>
        <v>1.953231418835006</v>
      </c>
      <c r="G4" s="32">
        <f>SUM('1st Qtr'!G4, '2nd Qtr'!G4, '3rd Qtr'!G4, '4th Qtr'!G4)</f>
        <v>56794.59</v>
      </c>
      <c r="H4" s="32">
        <f>SUM('1st Qtr'!H4, '2nd Qtr'!H4, '3rd Qtr'!H4, '4th Qtr'!H4)</f>
        <v>-2591.489999999998</v>
      </c>
      <c r="I4" s="33">
        <f>IFERROR(H4/G4, "")</f>
        <v>-4.5629169961434672E-2</v>
      </c>
    </row>
    <row r="5" spans="1:9" ht="15.6">
      <c r="A5" s="34" t="str">
        <v>Berkeley - NJ-22-C893 Berkeley I</v>
      </c>
      <c r="B5" s="35" t="str">
        <v>NJ</v>
      </c>
      <c r="C5" s="36">
        <f>SUM('1st Qtr'!C5, '2nd Qtr'!C5, '3rd Qtr'!C5, '4th Qtr'!C5)</f>
        <v>0</v>
      </c>
      <c r="D5" s="36">
        <f>SUM('1st Qtr'!D5, '2nd Qtr'!D5, '3rd Qtr'!D5, '4th Qtr'!D5)</f>
        <v>32042.456200000001</v>
      </c>
      <c r="E5" s="37">
        <f t="shared" ref="E5:E10" si="0">IF(AND(ISNUMBER(C5),ISNUMBER(D5)), C5-D5, "")</f>
        <v>-32042.456200000001</v>
      </c>
      <c r="F5" s="38">
        <f>IFERROR(E5/D5, "")</f>
        <v>-1</v>
      </c>
      <c r="G5" s="39">
        <f>SUM('1st Qtr'!G5, '2nd Qtr'!G5, '3rd Qtr'!G5, '4th Qtr'!G5)</f>
        <v>2171655.21</v>
      </c>
      <c r="H5" s="39">
        <f>SUM('1st Qtr'!H5, '2nd Qtr'!H5, '3rd Qtr'!H5, '4th Qtr'!H5)</f>
        <v>-2171655.21</v>
      </c>
      <c r="I5" s="38">
        <f>IFERROR(H5/G5, "")</f>
        <v>-1</v>
      </c>
    </row>
    <row r="6" spans="1:9" ht="15.6">
      <c r="A6" s="27" t="str">
        <v>Berkeley - NJ-22-C894 Berkeley II</v>
      </c>
      <c r="B6" s="28" t="str">
        <v>NJ</v>
      </c>
      <c r="C6" s="29">
        <f>SUM('1st Qtr'!C6, '2nd Qtr'!C6, '3rd Qtr'!C6, '4th Qtr'!C6)</f>
        <v>109808.105457546</v>
      </c>
      <c r="D6" s="30">
        <f>SUM('1st Qtr'!D6, '2nd Qtr'!D6, '3rd Qtr'!D6, '4th Qtr'!D6)</f>
        <v>271422.90000000002</v>
      </c>
      <c r="E6" s="30">
        <f t="shared" si="0"/>
        <v>-161614.79454245401</v>
      </c>
      <c r="F6" s="31">
        <f t="shared" ref="F6:F10" si="1">IFERROR(E6/D6, "")</f>
        <v>-0.59543536872700864</v>
      </c>
      <c r="G6" s="32">
        <f>SUM('1st Qtr'!G6, '2nd Qtr'!G6, '3rd Qtr'!G6, '4th Qtr'!G6)</f>
        <v>2157145</v>
      </c>
      <c r="H6" s="32">
        <f>SUM('1st Qtr'!H6, '2nd Qtr'!H6, '3rd Qtr'!H6, '4th Qtr'!H6)</f>
        <v>-2047336.894542454</v>
      </c>
      <c r="I6" s="33">
        <f t="shared" ref="I6:I10" si="2">IFERROR(H6/G6, "")</f>
        <v>-0.94909563081872295</v>
      </c>
    </row>
    <row r="7" spans="1:9" ht="15.6">
      <c r="A7" s="34" t="str">
        <v xml:space="preserve"> BEMS Landfill East</v>
      </c>
      <c r="B7" s="35" t="str">
        <v>NJ</v>
      </c>
      <c r="C7" s="36">
        <f>SUM('1st Qtr'!C7, '2nd Qtr'!C7, '3rd Qtr'!C7, '4th Qtr'!C7)</f>
        <v>0</v>
      </c>
      <c r="D7" s="36">
        <f>SUM('1st Qtr'!D7, '2nd Qtr'!D7, '3rd Qtr'!D7, '4th Qtr'!D7)</f>
        <v>25314.63</v>
      </c>
      <c r="E7" s="37">
        <f t="shared" si="0"/>
        <v>-25314.63</v>
      </c>
      <c r="F7" s="38">
        <f t="shared" si="1"/>
        <v>-1</v>
      </c>
      <c r="G7" s="39">
        <f>SUM('1st Qtr'!G7, '2nd Qtr'!G7, '3rd Qtr'!G7, '4th Qtr'!G7)</f>
        <v>2205625.7000000002</v>
      </c>
      <c r="H7" s="39">
        <f>SUM('1st Qtr'!H7, '2nd Qtr'!H7, '3rd Qtr'!H7, '4th Qtr'!H7)</f>
        <v>-2205625.7000000002</v>
      </c>
      <c r="I7" s="38">
        <f t="shared" si="2"/>
        <v>-1</v>
      </c>
    </row>
    <row r="8" spans="1:9" ht="16.5" customHeight="1">
      <c r="A8" s="27" t="str">
        <v>Southampton - BEMS West NJ-22-C898</v>
      </c>
      <c r="B8" s="28" t="str">
        <v>NJ</v>
      </c>
      <c r="C8" s="29">
        <f>SUM('1st Qtr'!C8, '2nd Qtr'!C8, '3rd Qtr'!C8, '4th Qtr'!C8)</f>
        <v>1679017</v>
      </c>
      <c r="D8" s="30">
        <f>SUM('1st Qtr'!D8, '2nd Qtr'!D8, '3rd Qtr'!D8, '4th Qtr'!D8)</f>
        <v>1954397.1</v>
      </c>
      <c r="E8" s="30">
        <f t="shared" si="0"/>
        <v>-275380.10000000009</v>
      </c>
      <c r="F8" s="31">
        <f t="shared" si="1"/>
        <v>-0.14090283903921064</v>
      </c>
      <c r="G8" s="32">
        <f>SUM('1st Qtr'!G8, '2nd Qtr'!G8, '3rd Qtr'!G8, '4th Qtr'!G8)</f>
        <v>2011254</v>
      </c>
      <c r="H8" s="32">
        <f>SUM('1st Qtr'!H8, '2nd Qtr'!H8, '3rd Qtr'!H8, '4th Qtr'!H8)</f>
        <v>-332237</v>
      </c>
      <c r="I8" s="33">
        <f t="shared" si="2"/>
        <v>-0.1651889816005338</v>
      </c>
    </row>
    <row r="9" spans="1:9" ht="15.6">
      <c r="A9" s="34" t="str">
        <v>Lakewood Twp - Emergency Services Dev  - NJ-23-0008</v>
      </c>
      <c r="B9" s="35" t="str">
        <v>NJ</v>
      </c>
      <c r="C9" s="36">
        <f>SUM('1st Qtr'!C9, '2nd Qtr'!C9, '3rd Qtr'!C9, '4th Qtr'!C9)</f>
        <v>22515.804644855132</v>
      </c>
      <c r="D9" s="36">
        <f>SUM('1st Qtr'!D9, '2nd Qtr'!D9, '3rd Qtr'!D9, '4th Qtr'!D9)</f>
        <v>0</v>
      </c>
      <c r="E9" s="37">
        <f t="shared" si="0"/>
        <v>22515.804644855132</v>
      </c>
      <c r="F9" s="38" t="str">
        <f t="shared" si="1"/>
        <v/>
      </c>
      <c r="G9" s="39">
        <f>SUM('1st Qtr'!G9, '2nd Qtr'!G9, '3rd Qtr'!G9, '4th Qtr'!G9)</f>
        <v>0</v>
      </c>
      <c r="H9" s="39">
        <f>SUM('1st Qtr'!H9, '2nd Qtr'!H9, '3rd Qtr'!H9, '4th Qtr'!H9)</f>
        <v>0</v>
      </c>
      <c r="I9" s="38" t="str">
        <f t="shared" si="2"/>
        <v/>
      </c>
    </row>
    <row r="10" spans="1:9" ht="16.5" customHeight="1">
      <c r="A10" s="27" t="str">
        <v>Lakewood Township - Public Works</v>
      </c>
      <c r="B10" s="28" t="str">
        <v>NJ</v>
      </c>
      <c r="C10" s="29">
        <f>SUM('1st Qtr'!C10, '2nd Qtr'!C10, '3rd Qtr'!C10, '4th Qtr'!C10)</f>
        <v>399309.13118027605</v>
      </c>
      <c r="D10" s="30">
        <f>SUM('1st Qtr'!D10, '2nd Qtr'!D10, '3rd Qtr'!D10, '4th Qtr'!D10)</f>
        <v>0</v>
      </c>
      <c r="E10" s="30">
        <f t="shared" si="0"/>
        <v>399309.13118027605</v>
      </c>
      <c r="F10" s="31" t="str">
        <f t="shared" si="1"/>
        <v/>
      </c>
      <c r="G10" s="32">
        <f>SUM('1st Qtr'!G10, '2nd Qtr'!G10, '3rd Qtr'!G10, '4th Qtr'!G10)</f>
        <v>179966</v>
      </c>
      <c r="H10" s="32">
        <f>SUM('1st Qtr'!H10, '2nd Qtr'!H10, '3rd Qtr'!H10, '4th Qtr'!H10)</f>
        <v>219343.13118027602</v>
      </c>
      <c r="I10" s="33">
        <f t="shared" si="2"/>
        <v>1.2188031693779715</v>
      </c>
    </row>
    <row r="11" spans="1:9" ht="13.9">
      <c r="A11" s="9"/>
      <c r="B11" s="9"/>
      <c r="C11" s="9"/>
      <c r="D11" s="9"/>
      <c r="E11" s="9"/>
      <c r="F11" s="9"/>
      <c r="G11" s="9"/>
      <c r="H11" s="9"/>
      <c r="I11" s="9"/>
    </row>
    <row r="12" spans="1:9" ht="13.9">
      <c r="A12" s="9"/>
      <c r="B12" s="9"/>
      <c r="C12" s="9"/>
      <c r="D12" s="9"/>
      <c r="E12" s="9"/>
      <c r="F12" s="9"/>
      <c r="G12" s="9"/>
      <c r="H12" s="9"/>
      <c r="I12" s="9"/>
    </row>
    <row r="13" spans="1:9" ht="13.9">
      <c r="A13" s="9"/>
      <c r="B13" s="9"/>
      <c r="C13" s="9"/>
      <c r="D13" s="9"/>
      <c r="E13" s="9"/>
      <c r="F13" s="10"/>
      <c r="G13" s="9"/>
      <c r="H13" s="9"/>
      <c r="I13" s="10"/>
    </row>
    <row r="14" spans="1:9" ht="13.9">
      <c r="A14" s="9"/>
      <c r="B14" s="9"/>
      <c r="C14" s="9"/>
      <c r="D14" s="9"/>
      <c r="E14" s="9"/>
      <c r="F14" s="10"/>
      <c r="G14" s="9"/>
      <c r="H14" s="9"/>
      <c r="I14" s="10"/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G6" sqref="G6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5" t="str" cm="1">
        <f t="array" ref="A1">portfolio</f>
        <v>Luminance</v>
      </c>
      <c r="B1" s="85"/>
      <c r="C1" s="85"/>
      <c r="D1" s="86" t="s">
        <v>10</v>
      </c>
      <c r="E1" s="86"/>
      <c r="F1" s="86"/>
      <c r="G1" s="84" t="s">
        <v>11</v>
      </c>
      <c r="H1" s="84"/>
      <c r="I1" s="84"/>
    </row>
    <row r="2" spans="1:9" ht="19.5" customHeight="1">
      <c r="A2" s="87" t="s">
        <v>2</v>
      </c>
      <c r="B2" s="87"/>
      <c r="C2" s="5">
        <f>SUM(C4:C80)</f>
        <v>1526713.3764137428</v>
      </c>
      <c r="D2" s="5">
        <f>SUM(D4:D80)</f>
        <v>1623475.4861999999</v>
      </c>
      <c r="E2" s="5">
        <f>C2-D2</f>
        <v>-96762.109786257148</v>
      </c>
      <c r="F2" s="6">
        <f>IFERROR(E2/D2, 0)</f>
        <v>-5.9601829906741684E-2</v>
      </c>
      <c r="G2" s="5">
        <f>SUM(G4:G80)</f>
        <v>5982362.5099999998</v>
      </c>
      <c r="H2" s="7">
        <f>C2-G2</f>
        <v>-4455649.1335862568</v>
      </c>
      <c r="I2" s="6">
        <f>IFERROR(H2/G2, 0)</f>
        <v>-0.74479758224920023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10">Sites[Site]</f>
        <v xml:space="preserve">Raymond Ed Re-Development - DC-23-0001 </v>
      </c>
      <c r="B4" s="28" t="str" cm="1">
        <f t="array" ref="B4:B10">Sites[State]</f>
        <v>DC</v>
      </c>
      <c r="C4" s="29">
        <f>SUM(Jan!C4, Feb!C4, Mar!C4)</f>
        <v>115892.25043021759</v>
      </c>
      <c r="D4" s="30">
        <f>SUM(Jan!D4, Feb!D4, Mar!D4)</f>
        <v>0</v>
      </c>
      <c r="E4" s="30">
        <f>IF(AND(ISNUMBER(C4),ISNUMBER(D4)), C4-D4, "")</f>
        <v>115892.25043021759</v>
      </c>
      <c r="F4" s="31" t="str">
        <f>IFERROR(E4/D4, "")</f>
        <v/>
      </c>
      <c r="G4" s="32">
        <f>SUM(Jan!G4, Feb!G4, Mar!G4)</f>
        <v>0</v>
      </c>
      <c r="H4" s="32">
        <f>SUM(Jan!H4, Feb!H4, Mar!H4)</f>
        <v>0</v>
      </c>
      <c r="I4" s="33" t="str">
        <f>IFERROR(H4/G4, "")</f>
        <v/>
      </c>
    </row>
    <row r="5" spans="1:9" ht="15.6">
      <c r="A5" s="49" t="str">
        <v>Berkeley - NJ-22-C893 Berkeley I</v>
      </c>
      <c r="B5" s="35" t="str">
        <v>NJ</v>
      </c>
      <c r="C5" s="36">
        <f>SUM(Jan!C5, Feb!C5, Mar!C5)</f>
        <v>0</v>
      </c>
      <c r="D5" s="37">
        <f>SUM(Jan!D5, Feb!D5, Mar!D5)</f>
        <v>32042.456200000001</v>
      </c>
      <c r="E5" s="37">
        <f>IF(AND(ISNUMBER(C5),ISNUMBER(D5)), C5-D5, "")</f>
        <v>-32042.456200000001</v>
      </c>
      <c r="F5" s="38">
        <f>IFERROR(E5/D5, "")</f>
        <v>-1</v>
      </c>
      <c r="G5" s="39">
        <f>SUM(Jan!G5, Feb!G5, Mar!G5)</f>
        <v>1495580.21</v>
      </c>
      <c r="H5" s="39">
        <f>SUM(Jan!H5, Feb!H5, Mar!H5)</f>
        <v>-1495580.21</v>
      </c>
      <c r="I5" s="38">
        <f>IFERROR(H5/G5, "")</f>
        <v>-1</v>
      </c>
    </row>
    <row r="6" spans="1:9" ht="15.6">
      <c r="A6" s="48" t="str">
        <v>Berkeley - NJ-22-C894 Berkeley II</v>
      </c>
      <c r="B6" s="28" t="str">
        <v>NJ</v>
      </c>
      <c r="C6" s="29">
        <f>SUM(Jan!C6, Feb!C6, Mar!C6)</f>
        <v>109808.105457546</v>
      </c>
      <c r="D6" s="30">
        <f>SUM(Jan!D6, Feb!D6, Mar!D6)</f>
        <v>271422.90000000002</v>
      </c>
      <c r="E6" s="30">
        <f t="shared" ref="E6:E10" si="0">IF(AND(ISNUMBER(C6),ISNUMBER(D6)), C6-D6, "")</f>
        <v>-161614.79454245401</v>
      </c>
      <c r="F6" s="31">
        <f t="shared" ref="F6:F10" si="1">IFERROR(E6/D6, "")</f>
        <v>-0.59543536872700864</v>
      </c>
      <c r="G6" s="32">
        <f>SUM(Jan!G6, Feb!G6, Mar!G6)</f>
        <v>1480295</v>
      </c>
      <c r="H6" s="32">
        <f>SUM(Jan!H6, Feb!H6, Mar!H6)</f>
        <v>-1370486.894542454</v>
      </c>
      <c r="I6" s="33">
        <f t="shared" ref="I6:I10" si="2">IFERROR(H6/G6, "")</f>
        <v>-0.92582012000476532</v>
      </c>
    </row>
    <row r="7" spans="1:9" ht="15.6">
      <c r="A7" s="49" t="str">
        <v xml:space="preserve"> BEMS Landfill East</v>
      </c>
      <c r="B7" s="35" t="str">
        <v>NJ</v>
      </c>
      <c r="C7" s="36">
        <f>SUM(Jan!C7, Feb!C7, Mar!C7)</f>
        <v>0</v>
      </c>
      <c r="D7" s="37">
        <f>SUM(Jan!D7, Feb!D7, Mar!D7)</f>
        <v>13254.93</v>
      </c>
      <c r="E7" s="37">
        <f>IF(AND(ISNUMBER(C7),ISNUMBER(D7)), C7-D7, "")</f>
        <v>-13254.93</v>
      </c>
      <c r="F7" s="38">
        <f t="shared" si="1"/>
        <v>-1</v>
      </c>
      <c r="G7" s="39">
        <f>SUM(Jan!G7, Feb!G7, Mar!G7)</f>
        <v>1554068.3</v>
      </c>
      <c r="H7" s="39">
        <f>SUM(Jan!H7, Feb!H7, Mar!H7)</f>
        <v>-1554068.3</v>
      </c>
      <c r="I7" s="38">
        <f t="shared" si="2"/>
        <v>-1</v>
      </c>
    </row>
    <row r="8" spans="1:9" ht="15.6">
      <c r="A8" s="48" t="str">
        <v>Southampton - BEMS West NJ-22-C898</v>
      </c>
      <c r="B8" s="28" t="str">
        <v>NJ</v>
      </c>
      <c r="C8" s="29">
        <f>SUM(Jan!C8, Feb!C8, Mar!C8)</f>
        <v>1043156</v>
      </c>
      <c r="D8" s="30">
        <f>SUM(Jan!D8, Feb!D8, Mar!D8)</f>
        <v>1306755.2</v>
      </c>
      <c r="E8" s="30">
        <f t="shared" si="0"/>
        <v>-263599.19999999995</v>
      </c>
      <c r="F8" s="31">
        <f t="shared" si="1"/>
        <v>-0.20172041404541566</v>
      </c>
      <c r="G8" s="32">
        <f>SUM(Jan!G8, Feb!G8, Mar!G8)</f>
        <v>1352961</v>
      </c>
      <c r="H8" s="32">
        <f>SUM(Jan!H8, Feb!H8, Mar!H8)</f>
        <v>-309805</v>
      </c>
      <c r="I8" s="33">
        <f t="shared" si="2"/>
        <v>-0.22898294924983056</v>
      </c>
    </row>
    <row r="9" spans="1:9" ht="15.6">
      <c r="A9" s="49" t="str">
        <v>Lakewood Twp - Emergency Services Dev  - NJ-23-0008</v>
      </c>
      <c r="B9" s="35" t="str">
        <v>NJ</v>
      </c>
      <c r="C9" s="36">
        <f>SUM(Jan!C9, Feb!C9, Mar!C9)</f>
        <v>13246.358095703121</v>
      </c>
      <c r="D9" s="37">
        <f>SUM(Jan!D9, Feb!D9, Mar!D9)</f>
        <v>0</v>
      </c>
      <c r="E9" s="37">
        <f>IF(AND(ISNUMBER(C9),ISNUMBER(D9)), C9-D9, "")</f>
        <v>13246.358095703121</v>
      </c>
      <c r="F9" s="38" t="str">
        <f t="shared" si="1"/>
        <v/>
      </c>
      <c r="G9" s="39">
        <f>SUM(Jan!G9, Feb!G9, Mar!G9)</f>
        <v>0</v>
      </c>
      <c r="H9" s="39">
        <f>SUM(Jan!H9, Feb!H9, Mar!H9)</f>
        <v>0</v>
      </c>
      <c r="I9" s="38" t="str">
        <f t="shared" si="2"/>
        <v/>
      </c>
    </row>
    <row r="10" spans="1:9" ht="15.6">
      <c r="A10" s="48" t="str">
        <v>Lakewood Township - Public Works</v>
      </c>
      <c r="B10" s="28" t="str">
        <v>NJ</v>
      </c>
      <c r="C10" s="29">
        <f>SUM(Jan!C10, Feb!C10, Mar!C10)</f>
        <v>244610.66243027602</v>
      </c>
      <c r="D10" s="30">
        <f>SUM(Jan!D10, Feb!D10, Mar!D10)</f>
        <v>0</v>
      </c>
      <c r="E10" s="30">
        <f t="shared" si="0"/>
        <v>244610.66243027602</v>
      </c>
      <c r="F10" s="31" t="str">
        <f t="shared" si="1"/>
        <v/>
      </c>
      <c r="G10" s="32">
        <f>SUM(Jan!G10, Feb!G10, Mar!G10)</f>
        <v>99458</v>
      </c>
      <c r="H10" s="32">
        <f>SUM(Jan!H10, Feb!H10, Mar!H10)</f>
        <v>145152.66243027602</v>
      </c>
      <c r="I10" s="33">
        <f t="shared" si="2"/>
        <v>1.4594367716048584</v>
      </c>
    </row>
    <row r="11" spans="1:9" ht="13.9">
      <c r="A11" s="9"/>
      <c r="B11" s="9"/>
      <c r="C11" s="9"/>
      <c r="D11" s="9"/>
      <c r="E11" s="9"/>
      <c r="F11" s="9"/>
      <c r="G11" s="9"/>
      <c r="H11" s="9"/>
      <c r="I11" s="9"/>
    </row>
    <row r="12" spans="1:9" ht="13.9">
      <c r="A12" s="9"/>
      <c r="B12" s="9"/>
      <c r="C12" s="9"/>
      <c r="D12" s="9"/>
      <c r="E12" s="9"/>
      <c r="F12" s="9"/>
      <c r="G12" s="9"/>
      <c r="H12" s="9"/>
      <c r="I12" s="9"/>
    </row>
    <row r="13" spans="1:9" ht="13.9">
      <c r="A13" s="9"/>
      <c r="B13" s="9"/>
      <c r="C13" s="9"/>
      <c r="D13" s="9"/>
      <c r="E13" s="9"/>
      <c r="F13" s="10"/>
      <c r="G13" s="9"/>
      <c r="H13" s="9"/>
      <c r="I13" s="10"/>
    </row>
    <row r="14" spans="1:9" ht="13.9">
      <c r="A14" s="9"/>
      <c r="B14" s="9"/>
      <c r="C14" s="9"/>
      <c r="D14" s="9"/>
      <c r="E14" s="9"/>
      <c r="F14" s="10"/>
      <c r="G14" s="9"/>
      <c r="H14" s="9"/>
      <c r="I14" s="10"/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H19" sqref="H19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5" t="str" cm="1">
        <f t="array" ref="A1">portfolio</f>
        <v>Luminance</v>
      </c>
      <c r="B1" s="85"/>
      <c r="C1" s="85"/>
      <c r="D1" s="86" t="s">
        <v>12</v>
      </c>
      <c r="E1" s="86"/>
      <c r="F1" s="86"/>
      <c r="G1" s="84" t="s">
        <v>13</v>
      </c>
      <c r="H1" s="84"/>
      <c r="I1" s="84"/>
    </row>
    <row r="2" spans="1:9" ht="19.5" customHeight="1">
      <c r="A2" s="87" t="s">
        <v>2</v>
      </c>
      <c r="B2" s="87"/>
      <c r="C2" s="5">
        <f>SUM(C4:C80)</f>
        <v>854032.015299152</v>
      </c>
      <c r="D2" s="5">
        <f>SUM(D4:D80)</f>
        <v>717297.95000000007</v>
      </c>
      <c r="E2" s="5">
        <f>C2-D2</f>
        <v>136734.06529915193</v>
      </c>
      <c r="F2" s="6">
        <f>IFERROR(E2/D2, 0)</f>
        <v>0.19062380604761511</v>
      </c>
      <c r="G2" s="5">
        <f>SUM(G4:G80)</f>
        <v>2800077.9899999998</v>
      </c>
      <c r="H2" s="7">
        <f>C2-G2</f>
        <v>-1946045.9747008476</v>
      </c>
      <c r="I2" s="6">
        <f>IFERROR(H2/G2, 0)</f>
        <v>-0.69499706138572515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10">Sites[Site]</f>
        <v xml:space="preserve">Raymond Ed Re-Development - DC-23-0001 </v>
      </c>
      <c r="B4" s="28" t="str" cm="1">
        <f t="array" ref="B4:B10">Sites[State]</f>
        <v>DC</v>
      </c>
      <c r="C4" s="29">
        <f>SUM(Apr!C4, May!C4, Jun!C4)</f>
        <v>54203.1</v>
      </c>
      <c r="D4" s="30">
        <f>SUM(Apr!D4, May!D4, Jun!D4)</f>
        <v>57596.35</v>
      </c>
      <c r="E4" s="30">
        <f>IF(AND(ISNUMBER(C4),ISNUMBER(D4)), C4-D4, "")</f>
        <v>-3393.25</v>
      </c>
      <c r="F4" s="31">
        <f>IFERROR(E4/D4, "")</f>
        <v>-5.8914323563906391E-2</v>
      </c>
      <c r="G4" s="32">
        <f>SUM(Apr!G4+May!G4+Jun!G4)</f>
        <v>56794.59</v>
      </c>
      <c r="H4" s="32">
        <f>SUM(Apr!H4, May!H4, Jun!H4)</f>
        <v>-2591.489999999998</v>
      </c>
      <c r="I4" s="33">
        <f>IFERROR(H4/G4, "")</f>
        <v>-4.5629169961434672E-2</v>
      </c>
    </row>
    <row r="5" spans="1:9" ht="15.6">
      <c r="A5" s="49" t="str">
        <v>Berkeley - NJ-22-C893 Berkeley I</v>
      </c>
      <c r="B5" s="35" t="str">
        <v>NJ</v>
      </c>
      <c r="C5" s="36">
        <f>SUM(Apr!C5, May!C5, Jun!C5)</f>
        <v>0</v>
      </c>
      <c r="D5" s="37">
        <f>SUM(Apr!D5, May!D5, Jun!D5)</f>
        <v>0</v>
      </c>
      <c r="E5" s="37">
        <f t="shared" ref="E5:E10" si="0">IF(AND(ISNUMBER(C5),ISNUMBER(D5)), C5-D5, "")</f>
        <v>0</v>
      </c>
      <c r="F5" s="38" t="str">
        <f>IFERROR(E5/D5, "")</f>
        <v/>
      </c>
      <c r="G5" s="39">
        <f>SUM(Apr!G5+May!G5+Jun!G5)</f>
        <v>676075</v>
      </c>
      <c r="H5" s="39">
        <f>SUM(Apr!H5, May!H5, Jun!H5)</f>
        <v>-676075</v>
      </c>
      <c r="I5" s="38">
        <f>IFERROR(H5/G5, "")</f>
        <v>-1</v>
      </c>
    </row>
    <row r="6" spans="1:9" ht="15.6">
      <c r="A6" s="48" t="str">
        <v>Berkeley - NJ-22-C894 Berkeley II</v>
      </c>
      <c r="B6" s="28" t="str">
        <v>NJ</v>
      </c>
      <c r="C6" s="29">
        <f>SUM(Apr!C6, May!C6, Jun!C6)</f>
        <v>0</v>
      </c>
      <c r="D6" s="30">
        <f>SUM(Apr!D6, May!D6, Jun!D6)</f>
        <v>0</v>
      </c>
      <c r="E6" s="30">
        <f t="shared" si="0"/>
        <v>0</v>
      </c>
      <c r="F6" s="31" t="str">
        <f t="shared" ref="F6:F10" si="1">IFERROR(E6/D6, "")</f>
        <v/>
      </c>
      <c r="G6" s="32">
        <f>SUM(Apr!G6+May!G6+Jun!G6)</f>
        <v>676850</v>
      </c>
      <c r="H6" s="32">
        <f>SUM(Apr!H6, May!H6, Jun!H6)</f>
        <v>-676850</v>
      </c>
      <c r="I6" s="33">
        <f t="shared" ref="I6:I10" si="2">IFERROR(H6/G6, "")</f>
        <v>-1</v>
      </c>
    </row>
    <row r="7" spans="1:9" ht="15.6">
      <c r="A7" s="49" t="str">
        <v xml:space="preserve"> BEMS Landfill East</v>
      </c>
      <c r="B7" s="35" t="str">
        <v>NJ</v>
      </c>
      <c r="C7" s="36">
        <f>SUM(Apr!C7, May!C7, Jun!C7)</f>
        <v>0</v>
      </c>
      <c r="D7" s="37">
        <f>SUM(Apr!D7, May!D7, Jun!D7)</f>
        <v>12059.7</v>
      </c>
      <c r="E7" s="37">
        <f t="shared" si="0"/>
        <v>-12059.7</v>
      </c>
      <c r="F7" s="38">
        <f t="shared" si="1"/>
        <v>-1</v>
      </c>
      <c r="G7" s="39">
        <f>SUM(Apr!G7+May!G7+Jun!G7)</f>
        <v>651557.4</v>
      </c>
      <c r="H7" s="39">
        <f>SUM(Apr!H7, May!H7, Jun!H7)</f>
        <v>-651557.4</v>
      </c>
      <c r="I7" s="38">
        <f t="shared" si="2"/>
        <v>-1</v>
      </c>
    </row>
    <row r="8" spans="1:9" ht="15.6">
      <c r="A8" s="48" t="str">
        <v>Southampton - BEMS West NJ-22-C898</v>
      </c>
      <c r="B8" s="28" t="str">
        <v>NJ</v>
      </c>
      <c r="C8" s="29">
        <f>SUM(Apr!C8, May!C8, Jun!C8)</f>
        <v>635861</v>
      </c>
      <c r="D8" s="30">
        <f>SUM(Apr!D8, May!D8, Jun!D8)</f>
        <v>647641.9</v>
      </c>
      <c r="E8" s="30">
        <f t="shared" si="0"/>
        <v>-11780.900000000023</v>
      </c>
      <c r="F8" s="31">
        <f t="shared" si="1"/>
        <v>-1.8190453705975513E-2</v>
      </c>
      <c r="G8" s="32">
        <f>SUM(Apr!G8+May!G8+Jun!G8)</f>
        <v>658293</v>
      </c>
      <c r="H8" s="32">
        <f>SUM(Apr!H8, May!H8, Jun!H8)</f>
        <v>-22432</v>
      </c>
      <c r="I8" s="33">
        <f t="shared" si="2"/>
        <v>-3.4076011745529725E-2</v>
      </c>
    </row>
    <row r="9" spans="1:9" ht="15.6">
      <c r="A9" s="49" t="str">
        <v>Lakewood Twp - Emergency Services Dev  - NJ-23-0008</v>
      </c>
      <c r="B9" s="35" t="str">
        <v>NJ</v>
      </c>
      <c r="C9" s="36">
        <f>SUM(Apr!C9, May!C9, Jun!C9)</f>
        <v>9269.4465491520095</v>
      </c>
      <c r="D9" s="37">
        <f>SUM(Apr!D9, May!D9, Jun!D9)</f>
        <v>0</v>
      </c>
      <c r="E9" s="37">
        <f t="shared" si="0"/>
        <v>9269.4465491520095</v>
      </c>
      <c r="F9" s="38" t="str">
        <f t="shared" si="1"/>
        <v/>
      </c>
      <c r="G9" s="39">
        <f>SUM(Apr!G9,May!G9,Jun!G9)</f>
        <v>0</v>
      </c>
      <c r="H9" s="39">
        <f>SUM(Apr!H9, May!H9, Jun!H9)</f>
        <v>0</v>
      </c>
      <c r="I9" s="38" t="str">
        <f t="shared" si="2"/>
        <v/>
      </c>
    </row>
    <row r="10" spans="1:9" ht="15.6">
      <c r="A10" s="48" t="str">
        <v>Lakewood Township - Public Works</v>
      </c>
      <c r="B10" s="28" t="str">
        <v>NJ</v>
      </c>
      <c r="C10" s="29">
        <f>SUM(Apr!C10, May!C10, Jun!C10)</f>
        <v>154698.46875</v>
      </c>
      <c r="D10" s="30">
        <f>SUM(Apr!D10, May!D10, Jun!D10)</f>
        <v>0</v>
      </c>
      <c r="E10" s="30">
        <f t="shared" si="0"/>
        <v>154698.46875</v>
      </c>
      <c r="F10" s="31" t="str">
        <f t="shared" si="1"/>
        <v/>
      </c>
      <c r="G10" s="32">
        <f>SUM(Apr!G10+May!G10+Jun!G10)</f>
        <v>80508</v>
      </c>
      <c r="H10" s="32">
        <f>SUM(Apr!H10, May!H10, Jun!H10)</f>
        <v>74190.46875</v>
      </c>
      <c r="I10" s="33">
        <f t="shared" si="2"/>
        <v>0.92152914927709051</v>
      </c>
    </row>
    <row r="11" spans="1:9" ht="13.9">
      <c r="A11" s="9"/>
      <c r="B11" s="9"/>
      <c r="C11" s="9"/>
      <c r="D11" s="9"/>
      <c r="E11" s="9"/>
      <c r="F11" s="9"/>
      <c r="G11" s="9"/>
      <c r="H11" s="9"/>
      <c r="I11" s="9"/>
    </row>
    <row r="12" spans="1:9" ht="13.9">
      <c r="A12" s="9"/>
      <c r="B12" s="9"/>
      <c r="C12" s="9"/>
      <c r="D12" s="9"/>
      <c r="E12" s="9"/>
      <c r="F12" s="9"/>
      <c r="G12" s="9"/>
      <c r="H12" s="9"/>
      <c r="I12" s="9"/>
    </row>
    <row r="13" spans="1:9" ht="13.9">
      <c r="A13" s="9"/>
      <c r="B13" s="9"/>
      <c r="C13" s="9"/>
      <c r="D13" s="9"/>
      <c r="E13" s="9"/>
      <c r="F13" s="10"/>
      <c r="G13" s="9"/>
      <c r="H13" s="9"/>
      <c r="I13" s="10"/>
    </row>
    <row r="14" spans="1:9" ht="13.9">
      <c r="A14" s="9"/>
      <c r="B14" s="9"/>
      <c r="C14" s="9"/>
      <c r="D14" s="9"/>
      <c r="E14" s="9"/>
      <c r="F14" s="10"/>
      <c r="G14" s="9"/>
      <c r="H14" s="9"/>
      <c r="I14" s="10"/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C21" sqref="C21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5" t="str" cm="1">
        <f t="array" ref="A1">portfolio</f>
        <v>Luminance</v>
      </c>
      <c r="B1" s="85"/>
      <c r="C1" s="85"/>
      <c r="D1" s="86" t="s">
        <v>14</v>
      </c>
      <c r="E1" s="86"/>
      <c r="F1" s="86"/>
      <c r="G1" s="84" t="s">
        <v>15</v>
      </c>
      <c r="H1" s="84"/>
      <c r="I1" s="84"/>
    </row>
    <row r="2" spans="1:9" ht="19.5" customHeight="1">
      <c r="A2" s="87" t="s">
        <v>2</v>
      </c>
      <c r="B2" s="8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10">Sites[Site]</f>
        <v xml:space="preserve">Raymond Ed Re-Development - DC-23-0001 </v>
      </c>
      <c r="B4" s="28" t="str" cm="1">
        <f t="array" ref="B4:B10">Sites[State]</f>
        <v>DC</v>
      </c>
      <c r="C4" s="29">
        <f>SUM(Jul!C4, Aug!C4, Sep!C4)</f>
        <v>0</v>
      </c>
      <c r="D4" s="30">
        <f>SUM(Jul!D4, Aug!D4, Sep!D4)</f>
        <v>0</v>
      </c>
      <c r="E4" s="30">
        <f>IF(AND(ISNUMBER(C4),ISNUMBER(D4)), C4-D4, "")</f>
        <v>0</v>
      </c>
      <c r="F4" s="31" t="str">
        <f>IFERROR(E4/D4, "")</f>
        <v/>
      </c>
      <c r="G4" s="32">
        <f>SUM(Jul!G4,Aug!G4,Sep!G4)</f>
        <v>0</v>
      </c>
      <c r="H4" s="32">
        <f>SUM(Jul!H4, Aug!H4, Sep!H4)</f>
        <v>0</v>
      </c>
      <c r="I4" s="33" t="str">
        <f>IFERROR(H4/G4, "")</f>
        <v/>
      </c>
    </row>
    <row r="5" spans="1:9" ht="15.6">
      <c r="A5" s="49" t="str">
        <v>Berkeley - NJ-22-C893 Berkeley I</v>
      </c>
      <c r="B5" s="35" t="str">
        <v>NJ</v>
      </c>
      <c r="C5" s="36">
        <f>SUM(Jul!C5, Aug!C5, Sep!C5)</f>
        <v>0</v>
      </c>
      <c r="D5" s="37">
        <f>SUM(Jul!D5, Aug!D5, Sep!D5)</f>
        <v>0</v>
      </c>
      <c r="E5" s="37">
        <f t="shared" ref="E5:E8" si="0">IF(AND(ISNUMBER(C5),ISNUMBER(D5)), C5-D5, "")</f>
        <v>0</v>
      </c>
      <c r="F5" s="38" t="str">
        <f>IFERROR(E5/D5, "")</f>
        <v/>
      </c>
      <c r="G5" s="39">
        <f>SUM(Jul!G5,Aug!G5,Sep!G5)</f>
        <v>0</v>
      </c>
      <c r="H5" s="39">
        <f>SUM(Jul!H5, Aug!H5, Sep!H5)</f>
        <v>0</v>
      </c>
      <c r="I5" s="38" t="str">
        <f>IFERROR(H5/G5, "")</f>
        <v/>
      </c>
    </row>
    <row r="6" spans="1:9" ht="15.6">
      <c r="A6" s="48" t="str">
        <v>Berkeley - NJ-22-C894 Berkeley II</v>
      </c>
      <c r="B6" s="28" t="str">
        <v>NJ</v>
      </c>
      <c r="C6" s="29">
        <f>SUM(Jul!C6, Aug!C6, Sep!C6)</f>
        <v>0</v>
      </c>
      <c r="D6" s="30">
        <f>SUM(Jul!D6, Aug!D6, Sep!D6)</f>
        <v>0</v>
      </c>
      <c r="E6" s="30">
        <f t="shared" si="0"/>
        <v>0</v>
      </c>
      <c r="F6" s="31" t="str">
        <f t="shared" ref="F6:F8" si="1">IFERROR(E6/D6, "")</f>
        <v/>
      </c>
      <c r="G6" s="32">
        <f>SUM(Jul!G6,Aug!G6,Sep!G6)</f>
        <v>0</v>
      </c>
      <c r="H6" s="32">
        <f>SUM(Jul!H6, Aug!H6, Sep!H6)</f>
        <v>0</v>
      </c>
      <c r="I6" s="33" t="str">
        <f t="shared" ref="I6:I8" si="2">IFERROR(H6/G6, "")</f>
        <v/>
      </c>
    </row>
    <row r="7" spans="1:9" ht="15.6">
      <c r="A7" s="49" t="str">
        <v xml:space="preserve"> BEMS Landfill East</v>
      </c>
      <c r="B7" s="35" t="str">
        <v>NJ</v>
      </c>
      <c r="C7" s="36">
        <f>SUM(Jul!C7, Aug!C7, Sep!C7)</f>
        <v>0</v>
      </c>
      <c r="D7" s="37">
        <f>SUM(Jul!D7, Aug!D7, Sep!D7)</f>
        <v>0</v>
      </c>
      <c r="E7" s="37">
        <f t="shared" si="0"/>
        <v>0</v>
      </c>
      <c r="F7" s="38" t="str">
        <f t="shared" si="1"/>
        <v/>
      </c>
      <c r="G7" s="39">
        <f>SUM(Jul!G7,Aug!G7,Sep!G7)</f>
        <v>0</v>
      </c>
      <c r="H7" s="39">
        <f>SUM(Jul!H7, Aug!H7, Sep!H7)</f>
        <v>0</v>
      </c>
      <c r="I7" s="38" t="str">
        <f t="shared" si="2"/>
        <v/>
      </c>
    </row>
    <row r="8" spans="1:9" ht="15.6">
      <c r="A8" s="48" t="str">
        <v>Southampton - BEMS West NJ-22-C898</v>
      </c>
      <c r="B8" s="28" t="str">
        <v>NJ</v>
      </c>
      <c r="C8" s="29">
        <f>SUM(Jul!C8, Aug!C8, Sep!C8)</f>
        <v>0</v>
      </c>
      <c r="D8" s="30">
        <f>SUM(Jul!D8, Aug!D8, Sep!D8)</f>
        <v>0</v>
      </c>
      <c r="E8" s="30">
        <f t="shared" si="0"/>
        <v>0</v>
      </c>
      <c r="F8" s="31" t="str">
        <f t="shared" si="1"/>
        <v/>
      </c>
      <c r="G8" s="32">
        <f>SUM(Jul!G8,Aug!G8,Sep!G8)</f>
        <v>0</v>
      </c>
      <c r="H8" s="32">
        <f>SUM(Jul!H8, Aug!H8, Sep!H8)</f>
        <v>0</v>
      </c>
      <c r="I8" s="33" t="str">
        <f t="shared" si="2"/>
        <v/>
      </c>
    </row>
    <row r="9" spans="1:9" s="49" customFormat="1" ht="15.6">
      <c r="A9" s="49" t="str">
        <v>Lakewood Twp - Emergency Services Dev  - NJ-23-0008</v>
      </c>
      <c r="B9" s="34" t="str">
        <v>NJ</v>
      </c>
    </row>
    <row r="10" spans="1:9" ht="15.6">
      <c r="A10" s="48" t="str">
        <v>Lakewood Township - Public Works</v>
      </c>
      <c r="B10" s="28" t="str">
        <v>NJ</v>
      </c>
      <c r="C10" s="29"/>
      <c r="D10" s="30"/>
      <c r="E10" s="30"/>
      <c r="F10" s="31"/>
      <c r="G10" s="32"/>
      <c r="H10" s="32"/>
      <c r="I10" s="33"/>
    </row>
    <row r="11" spans="1:9" ht="15.6">
      <c r="A11" s="8"/>
      <c r="B11" s="9"/>
      <c r="C11" s="9"/>
      <c r="D11" s="9"/>
      <c r="E11" s="9"/>
      <c r="F11" s="9"/>
      <c r="G11" s="9"/>
      <c r="H11" s="9"/>
      <c r="I11" s="9"/>
    </row>
    <row r="12" spans="1:9" ht="13.9">
      <c r="A12" s="9"/>
      <c r="B12" s="9"/>
      <c r="C12" s="9"/>
      <c r="D12" s="9"/>
      <c r="E12" s="9"/>
      <c r="F12" s="9"/>
      <c r="G12" s="9"/>
      <c r="H12" s="9"/>
      <c r="I12" s="9"/>
    </row>
    <row r="13" spans="1:9" ht="13.9">
      <c r="A13" s="9"/>
      <c r="B13" s="9"/>
      <c r="C13" s="9"/>
      <c r="D13" s="9"/>
      <c r="E13" s="9"/>
      <c r="F13" s="10"/>
      <c r="G13" s="9"/>
      <c r="H13" s="9"/>
      <c r="I13" s="10"/>
    </row>
    <row r="14" spans="1:9" ht="13.9">
      <c r="A14" s="9"/>
      <c r="B14" s="9"/>
      <c r="C14" s="9"/>
      <c r="D14" s="9"/>
      <c r="E14" s="9"/>
      <c r="F14" s="10"/>
      <c r="G14" s="9"/>
      <c r="H14" s="9"/>
      <c r="I14" s="10"/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mergeCells count="4">
    <mergeCell ref="G1:I1"/>
    <mergeCell ref="A1:C1"/>
    <mergeCell ref="D1:F1"/>
    <mergeCell ref="A2:B2"/>
  </mergeCells>
  <conditionalFormatting sqref="F2 I2 F4:F8 I4:I8 F10:F80 I10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D14" sqref="D14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5" t="str" cm="1">
        <f t="array" ref="A1">portfolio</f>
        <v>Luminance</v>
      </c>
      <c r="B1" s="85"/>
      <c r="C1" s="85"/>
      <c r="D1" s="86" t="s">
        <v>16</v>
      </c>
      <c r="E1" s="86"/>
      <c r="F1" s="86"/>
      <c r="G1" s="84" t="s">
        <v>17</v>
      </c>
      <c r="H1" s="84"/>
      <c r="I1" s="84"/>
    </row>
    <row r="2" spans="1:9" ht="19.5" customHeight="1">
      <c r="A2" s="87" t="s">
        <v>2</v>
      </c>
      <c r="B2" s="8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10">Sites[Site]</f>
        <v xml:space="preserve">Raymond Ed Re-Development - DC-23-0001 </v>
      </c>
      <c r="B4" s="28" t="str" cm="1">
        <f t="array" ref="B4:B10">Sites[State]</f>
        <v>DC</v>
      </c>
      <c r="C4" s="29">
        <f>SUM(Oct!C4, Nov!C4, Dec!C4)</f>
        <v>0</v>
      </c>
      <c r="D4" s="30">
        <f>SUM(Oct!D4, Nov!D4, Dec!D4)</f>
        <v>0</v>
      </c>
      <c r="E4" s="30">
        <f>IF(AND(ISNUMBER(C4),ISNUMBER(D4)), C4-D4, "")</f>
        <v>0</v>
      </c>
      <c r="F4" s="31" t="str">
        <f>IFERROR(E4/D4, "")</f>
        <v/>
      </c>
      <c r="G4" s="32">
        <f>SUM(Oct!G4,Nov!G4,Dec!G4)</f>
        <v>0</v>
      </c>
      <c r="H4" s="32">
        <f>SUM(Oct!H4, Nov!H4, Dec!H4)</f>
        <v>0</v>
      </c>
      <c r="I4" s="33" t="str">
        <f>IFERROR(H4/G4, "")</f>
        <v/>
      </c>
    </row>
    <row r="5" spans="1:9" ht="15.6">
      <c r="A5" s="49" t="str">
        <v>Berkeley - NJ-22-C893 Berkeley I</v>
      </c>
      <c r="B5" s="35" t="str">
        <v>NJ</v>
      </c>
      <c r="C5" s="36">
        <f>SUM(Oct!C5, Nov!C5, Dec!C5)</f>
        <v>0</v>
      </c>
      <c r="D5" s="37">
        <f>SUM(Oct!D5, Nov!D5, Dec!D5)</f>
        <v>0</v>
      </c>
      <c r="E5" s="37">
        <f t="shared" ref="E5:E8" si="0">IF(AND(ISNUMBER(C5),ISNUMBER(D5)), C5-D5, "")</f>
        <v>0</v>
      </c>
      <c r="F5" s="38" t="str">
        <f>IFERROR(E5/D5, "")</f>
        <v/>
      </c>
      <c r="G5" s="37">
        <f>SUM(Oct!G5,Nov!G5,Dec!G5)</f>
        <v>0</v>
      </c>
      <c r="H5" s="39">
        <f>SUM(Oct!H5, Nov!H5, Dec!H5)</f>
        <v>0</v>
      </c>
      <c r="I5" s="38" t="str">
        <f>IFERROR(H5/G5, "")</f>
        <v/>
      </c>
    </row>
    <row r="6" spans="1:9" ht="15.6">
      <c r="A6" s="48" t="str">
        <v>Berkeley - NJ-22-C894 Berkeley II</v>
      </c>
      <c r="B6" s="28" t="str">
        <v>NJ</v>
      </c>
      <c r="C6" s="29">
        <f>SUM(Oct!C6, Nov!C6, Dec!C6)</f>
        <v>0</v>
      </c>
      <c r="D6" s="30">
        <f>SUM(Oct!D6, Nov!D6, Dec!D6)</f>
        <v>0</v>
      </c>
      <c r="E6" s="30">
        <f t="shared" si="0"/>
        <v>0</v>
      </c>
      <c r="F6" s="31" t="str">
        <f t="shared" ref="F6:F8" si="1">IFERROR(E6/D6, "")</f>
        <v/>
      </c>
      <c r="G6" s="32">
        <f>SUM(Oct!G6,Nov!G6,Dec!G6)</f>
        <v>0</v>
      </c>
      <c r="H6" s="32">
        <f>SUM(Oct!H6, Nov!H6, Dec!H6)</f>
        <v>0</v>
      </c>
      <c r="I6" s="33" t="str">
        <f t="shared" ref="I6:I8" si="2">IFERROR(H6/G6, "")</f>
        <v/>
      </c>
    </row>
    <row r="7" spans="1:9" ht="15.6">
      <c r="A7" s="49" t="str">
        <v xml:space="preserve"> BEMS Landfill East</v>
      </c>
      <c r="B7" s="35" t="str">
        <v>NJ</v>
      </c>
      <c r="C7" s="36">
        <f>SUM(Oct!C7, Nov!C7, Dec!C7)</f>
        <v>0</v>
      </c>
      <c r="D7" s="37">
        <f>SUM(Oct!D7, Nov!D7, Dec!D7)</f>
        <v>0</v>
      </c>
      <c r="E7" s="37">
        <f t="shared" si="0"/>
        <v>0</v>
      </c>
      <c r="F7" s="38" t="str">
        <f t="shared" si="1"/>
        <v/>
      </c>
      <c r="G7" s="37">
        <f>SUM(Oct!G7,Nov!G7,Dec!G7)</f>
        <v>0</v>
      </c>
      <c r="H7" s="39">
        <f>SUM(Oct!H7, Nov!H7, Dec!H7)</f>
        <v>0</v>
      </c>
      <c r="I7" s="38" t="str">
        <f t="shared" si="2"/>
        <v/>
      </c>
    </row>
    <row r="8" spans="1:9" ht="15.6">
      <c r="A8" s="48" t="str">
        <v>Southampton - BEMS West NJ-22-C898</v>
      </c>
      <c r="B8" s="28" t="str">
        <v>NJ</v>
      </c>
      <c r="C8" s="29">
        <f>SUM(Oct!C8, Nov!C8, Dec!C8)</f>
        <v>0</v>
      </c>
      <c r="D8" s="30">
        <f>SUM(Oct!D8, Nov!D8, Dec!D8)</f>
        <v>0</v>
      </c>
      <c r="E8" s="30">
        <f t="shared" si="0"/>
        <v>0</v>
      </c>
      <c r="F8" s="31" t="str">
        <f t="shared" si="1"/>
        <v/>
      </c>
      <c r="G8" s="32">
        <f>SUM(Oct!G8,Nov!G8,Dec!G8)</f>
        <v>0</v>
      </c>
      <c r="H8" s="32">
        <f>SUM(Oct!H8, Nov!H8, Dec!H8)</f>
        <v>0</v>
      </c>
      <c r="I8" s="33" t="str">
        <f t="shared" si="2"/>
        <v/>
      </c>
    </row>
    <row r="9" spans="1:9" ht="15.6">
      <c r="A9" s="49" t="str">
        <v>Lakewood Twp - Emergency Services Dev  - NJ-23-0008</v>
      </c>
      <c r="B9" s="35" t="str">
        <v>NJ</v>
      </c>
      <c r="C9" s="36"/>
      <c r="D9" s="37"/>
      <c r="E9" s="37"/>
      <c r="F9" s="38"/>
      <c r="G9" s="37"/>
      <c r="H9" s="39"/>
      <c r="I9" s="38"/>
    </row>
    <row r="10" spans="1:9" ht="15.6">
      <c r="A10" s="48" t="str">
        <v>Lakewood Township - Public Works</v>
      </c>
      <c r="B10" s="28" t="str">
        <v>NJ</v>
      </c>
      <c r="C10" s="29"/>
      <c r="D10" s="30"/>
      <c r="E10" s="30"/>
      <c r="F10" s="31"/>
      <c r="G10" s="32"/>
      <c r="H10" s="32"/>
      <c r="I10" s="33"/>
    </row>
    <row r="11" spans="1:9" ht="13.9">
      <c r="A11" s="9"/>
      <c r="B11" s="9"/>
      <c r="C11" s="9"/>
      <c r="D11" s="9"/>
      <c r="E11" s="9"/>
      <c r="F11" s="9"/>
      <c r="G11" s="9"/>
      <c r="H11" s="9"/>
      <c r="I11" s="9"/>
    </row>
    <row r="12" spans="1:9" ht="13.9">
      <c r="A12" s="9"/>
      <c r="B12" s="9"/>
      <c r="C12" s="9"/>
      <c r="D12" s="9"/>
      <c r="E12" s="9"/>
      <c r="F12" s="9"/>
      <c r="G12" s="9"/>
      <c r="H12" s="9"/>
      <c r="I12" s="9"/>
    </row>
    <row r="13" spans="1:9" ht="13.9">
      <c r="A13" s="9"/>
      <c r="B13" s="9"/>
      <c r="C13" s="9"/>
      <c r="D13" s="9"/>
      <c r="E13" s="9"/>
      <c r="F13" s="10"/>
      <c r="G13" s="9"/>
      <c r="H13" s="9"/>
      <c r="I13" s="10"/>
    </row>
    <row r="14" spans="1:9" ht="13.9">
      <c r="A14" s="9"/>
      <c r="B14" s="9"/>
      <c r="C14" s="9"/>
      <c r="D14" s="9"/>
      <c r="E14" s="9"/>
      <c r="F14" s="10"/>
      <c r="G14" s="9"/>
      <c r="H14" s="9"/>
      <c r="I14" s="10"/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21"/>
  <sheetViews>
    <sheetView zoomScale="60" zoomScaleNormal="60" workbookViewId="0">
      <pane xSplit="2" ySplit="3" topLeftCell="C4" activePane="bottomRight" state="frozen"/>
      <selection pane="bottomRight" activeCell="E24" sqref="E24"/>
      <selection pane="bottomLeft" activeCell="C19" sqref="C19"/>
      <selection pane="topRight" activeCell="C19" sqref="C19"/>
    </sheetView>
  </sheetViews>
  <sheetFormatPr defaultRowHeight="13.9"/>
  <cols>
    <col min="1" max="1" width="34.140625" customWidth="1"/>
    <col min="2" max="2" width="14.5703125" style="15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109.42578125" customWidth="1"/>
    <col min="11" max="11" width="25.85546875" customWidth="1"/>
  </cols>
  <sheetData>
    <row r="1" spans="1:12" ht="15.6">
      <c r="A1" s="85" t="str" cm="1">
        <f t="array" ref="A1">portfolio</f>
        <v>Luminance</v>
      </c>
      <c r="B1" s="85"/>
      <c r="C1" s="85"/>
      <c r="D1" s="86" t="s">
        <v>18</v>
      </c>
      <c r="E1" s="86"/>
      <c r="F1" s="86"/>
      <c r="G1" s="84" t="s">
        <v>19</v>
      </c>
      <c r="H1" s="84"/>
      <c r="I1" s="84"/>
      <c r="J1" s="4"/>
      <c r="K1" s="4"/>
    </row>
    <row r="2" spans="1:12" ht="15.6">
      <c r="A2" s="87" t="s">
        <v>2</v>
      </c>
      <c r="B2" s="87"/>
      <c r="C2" s="5">
        <f>SUM(C4:C79)</f>
        <v>391768.89745754597</v>
      </c>
      <c r="D2" s="5">
        <f>SUM(D4:D79)</f>
        <v>660242.88000000012</v>
      </c>
      <c r="E2" s="5">
        <f>C2-D2</f>
        <v>-268473.98254245415</v>
      </c>
      <c r="F2" s="6">
        <f>IFERROR(E2/D2, 0)</f>
        <v>-0.40662912191109746</v>
      </c>
      <c r="G2" s="5">
        <f>SUM(G4:G79)</f>
        <v>1616542</v>
      </c>
      <c r="H2" s="7">
        <f>C2-G2</f>
        <v>-1224773.1025424539</v>
      </c>
      <c r="I2" s="6">
        <f>IFERROR(H2/G2, 0)</f>
        <v>-0.75765003479182969</v>
      </c>
      <c r="J2" s="12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5.6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6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2" ht="55.5" customHeight="1">
      <c r="A4" s="45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30">
        <v>14808.791999999999</v>
      </c>
      <c r="D4" s="30" t="s">
        <v>22</v>
      </c>
      <c r="E4" s="30" t="str">
        <f>IF(AND(ISNUMBER(C4),ISNUMBER(D4)), C4-D4, "")</f>
        <v/>
      </c>
      <c r="F4" s="33" t="str">
        <f>IFERROR(E4/D4, "")</f>
        <v/>
      </c>
      <c r="G4" s="75" t="s">
        <v>22</v>
      </c>
      <c r="H4" s="32" t="str">
        <f>IF(AND(ISNUMBER(C4),ISNUMBER(G4)), C4-G4, "")</f>
        <v/>
      </c>
      <c r="I4" s="33" t="str">
        <f>IFERROR(H4/G4, "")</f>
        <v/>
      </c>
      <c r="J4" s="50" t="s">
        <v>23</v>
      </c>
      <c r="K4" s="67" t="s">
        <v>24</v>
      </c>
      <c r="L4" s="69" t="s">
        <v>25</v>
      </c>
    </row>
    <row r="5" spans="1:12" ht="15.6">
      <c r="A5" s="46" t="str">
        <v>Berkeley - NJ-22-C893 Berkeley I</v>
      </c>
      <c r="B5" s="43" t="str">
        <v>NJ</v>
      </c>
      <c r="C5" s="37">
        <v>0</v>
      </c>
      <c r="D5" s="37">
        <v>31205.78</v>
      </c>
      <c r="E5" s="37">
        <f t="shared" ref="E5:E8" si="0">IF(AND(ISNUMBER(C5),ISNUMBER(D5)), C5-D5, "")</f>
        <v>-31205.78</v>
      </c>
      <c r="F5" s="38">
        <f t="shared" ref="F5:F8" si="1">IFERROR(E5/D5, "")</f>
        <v>-1</v>
      </c>
      <c r="G5" s="39">
        <v>412354</v>
      </c>
      <c r="H5" s="39">
        <f t="shared" ref="H5:H6" si="2">IF(AND(ISNUMBER(C5),ISNUMBER(G5)), C5-G5, "")</f>
        <v>-412354</v>
      </c>
      <c r="I5" s="38">
        <f t="shared" ref="I5:I6" si="3">IFERROR(H5/G5, "")</f>
        <v>-1</v>
      </c>
      <c r="J5" s="66" t="s">
        <v>26</v>
      </c>
      <c r="K5" s="68" t="s">
        <v>27</v>
      </c>
    </row>
    <row r="6" spans="1:12" ht="15.6">
      <c r="A6" s="47" t="str">
        <v>Berkeley - NJ-22-C894 Berkeley II</v>
      </c>
      <c r="B6" s="41" t="str">
        <v>NJ</v>
      </c>
      <c r="C6" s="30">
        <v>109808.105457546</v>
      </c>
      <c r="D6" s="30">
        <v>271422.90000000002</v>
      </c>
      <c r="E6" s="30">
        <f t="shared" si="0"/>
        <v>-161614.79454245401</v>
      </c>
      <c r="F6" s="33">
        <f t="shared" si="1"/>
        <v>-0.59543536872700864</v>
      </c>
      <c r="G6" s="32">
        <v>406892</v>
      </c>
      <c r="H6" s="32">
        <f t="shared" si="2"/>
        <v>-297083.89454245399</v>
      </c>
      <c r="I6" s="33">
        <f t="shared" si="3"/>
        <v>-0.73012960329142373</v>
      </c>
      <c r="J6" s="50" t="s">
        <v>26</v>
      </c>
      <c r="K6" s="67" t="s">
        <v>27</v>
      </c>
    </row>
    <row r="7" spans="1:12" ht="15.6">
      <c r="A7" s="46" t="str">
        <v xml:space="preserve"> BEMS Landfill East</v>
      </c>
      <c r="B7" s="43" t="str">
        <v>NJ</v>
      </c>
      <c r="C7" s="37">
        <v>0</v>
      </c>
      <c r="D7" s="37">
        <v>0</v>
      </c>
      <c r="E7" s="37">
        <f t="shared" si="0"/>
        <v>0</v>
      </c>
      <c r="F7" s="38" t="str">
        <f t="shared" si="1"/>
        <v/>
      </c>
      <c r="G7" s="39">
        <v>435058</v>
      </c>
      <c r="H7" s="39">
        <f t="shared" ref="H7:H8" si="4">IF(AND(ISNUMBER(C7),ISNUMBER(G7)), C7-G7, "")</f>
        <v>-435058</v>
      </c>
      <c r="I7" s="38">
        <f t="shared" ref="I7:I8" si="5">IFERROR(H7/G7, "")</f>
        <v>-1</v>
      </c>
      <c r="J7" s="51" t="s">
        <v>28</v>
      </c>
      <c r="K7" s="68" t="s">
        <v>29</v>
      </c>
    </row>
    <row r="8" spans="1:12" ht="15.6">
      <c r="A8" s="47" t="str">
        <v>Southampton - BEMS West NJ-22-C898</v>
      </c>
      <c r="B8" s="41" t="str">
        <v>NJ</v>
      </c>
      <c r="C8" s="30">
        <v>267152</v>
      </c>
      <c r="D8" s="30">
        <v>357614.2</v>
      </c>
      <c r="E8" s="30">
        <f t="shared" si="0"/>
        <v>-90462.200000000012</v>
      </c>
      <c r="F8" s="33">
        <f t="shared" si="1"/>
        <v>-0.25296031309718686</v>
      </c>
      <c r="G8" s="32">
        <v>362238</v>
      </c>
      <c r="H8" s="32">
        <f t="shared" si="4"/>
        <v>-95086</v>
      </c>
      <c r="I8" s="33">
        <f t="shared" si="5"/>
        <v>-0.26249592809147576</v>
      </c>
      <c r="J8" s="50" t="s">
        <v>30</v>
      </c>
      <c r="K8" s="67" t="s">
        <v>31</v>
      </c>
    </row>
    <row r="9" spans="1:12" ht="15.6">
      <c r="A9" s="46" t="str">
        <v>Lakewood Twp - Emergency Services Dev  - NJ-23-0008</v>
      </c>
      <c r="B9" s="43" t="str">
        <v>NJ</v>
      </c>
      <c r="C9" s="37"/>
      <c r="D9" s="37"/>
      <c r="E9" s="37"/>
      <c r="F9" s="38"/>
      <c r="G9" s="39"/>
      <c r="H9" s="39"/>
      <c r="I9" s="38"/>
      <c r="J9" s="51"/>
      <c r="K9" s="68"/>
    </row>
    <row r="10" spans="1:12" ht="15.6">
      <c r="A10" s="47" t="str">
        <v>Lakewood Township - Public Works</v>
      </c>
      <c r="B10" s="41" t="str">
        <v>NJ</v>
      </c>
      <c r="C10" s="30"/>
      <c r="D10" s="30"/>
      <c r="E10" s="30"/>
      <c r="F10" s="33"/>
      <c r="G10" s="32"/>
      <c r="H10" s="32"/>
      <c r="I10" s="33"/>
      <c r="J10" s="50"/>
      <c r="K10" s="67"/>
    </row>
    <row r="11" spans="1:12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2" ht="14.45">
      <c r="A12" s="9"/>
      <c r="B12" s="14"/>
      <c r="C12" s="9"/>
      <c r="D12" s="9"/>
      <c r="E12" s="9"/>
      <c r="F12" s="10"/>
      <c r="G12" s="9"/>
      <c r="H12" s="9"/>
      <c r="I12" s="10"/>
      <c r="J12" s="9"/>
      <c r="K12" s="9"/>
    </row>
    <row r="13" spans="1:12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2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2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2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</sheetData>
  <mergeCells count="4">
    <mergeCell ref="D1:F1"/>
    <mergeCell ref="A1:C1"/>
    <mergeCell ref="G1:I1"/>
    <mergeCell ref="A2:B2"/>
  </mergeCells>
  <conditionalFormatting sqref="F2 I2 F4:F79 I4:I79">
    <cfRule type="cellIs" dxfId="26" priority="8" stopIfTrue="1" operator="lessThanOrEqual">
      <formula>-0.1</formula>
    </cfRule>
    <cfRule type="expression" dxfId="25" priority="9">
      <formula>AND(ISNUMBER(F2), F2&gt;=0.1)</formula>
    </cfRule>
  </conditionalFormatting>
  <hyperlinks>
    <hyperlink ref="K4" r:id="rId1" display="https://us3.assetplanner.com/service_request?ID=094989" xr:uid="{0B1114EA-9087-498B-8803-69F810C21EBA}"/>
    <hyperlink ref="L4" r:id="rId2" display="https://us3.assetplanner.com/service_request?ID=096863" xr:uid="{46F6D2EB-8108-4F4B-88AD-11CD1BDF06D7}"/>
    <hyperlink ref="K5" r:id="rId3" display="https://us3.assetplanner.com/service_request?ID=093414" xr:uid="{E8C08D12-2A0E-4025-915E-889A1136BF9B}"/>
    <hyperlink ref="K6" r:id="rId4" display="https://us3.assetplanner.com/service_request?ID=093414" xr:uid="{00A80DE2-68A2-426F-A897-56E72D76A846}"/>
    <hyperlink ref="K7" r:id="rId5" display="https://us3.assetplanner.com/service_request?ID=086098" xr:uid="{32ABDA85-D761-48C6-8E99-297AE2C45FCF}"/>
    <hyperlink ref="K8" r:id="rId6" display="https://us3.assetplanner.com/service_request?ID=095756" xr:uid="{7A7E4D9F-6983-4983-853E-3F94373C9E84}"/>
  </hyperlinks>
  <pageMargins left="0.4" right="0.7" top="0.25" bottom="0.25" header="0.3" footer="0.3"/>
  <pageSetup fitToHeight="99" orientation="landscape"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23"/>
  <sheetViews>
    <sheetView zoomScale="70" zoomScaleNormal="70" workbookViewId="0">
      <pane xSplit="2" ySplit="3" topLeftCell="H4" activePane="bottomRight" state="frozen"/>
      <selection pane="bottomRight" activeCell="J6" sqref="J6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3" ht="19.5" customHeight="1">
      <c r="A1" s="85" t="str" cm="1">
        <f t="array" ref="A1">portfolio</f>
        <v>Luminance</v>
      </c>
      <c r="B1" s="85"/>
      <c r="C1" s="85"/>
      <c r="D1" s="86" t="s">
        <v>32</v>
      </c>
      <c r="E1" s="86"/>
      <c r="F1" s="86"/>
      <c r="G1" s="84" t="s">
        <v>33</v>
      </c>
      <c r="H1" s="84"/>
      <c r="I1" s="84"/>
      <c r="J1" s="4"/>
      <c r="K1" s="4"/>
    </row>
    <row r="2" spans="1:13" ht="19.5" customHeight="1">
      <c r="A2" s="87" t="s">
        <v>2</v>
      </c>
      <c r="B2" s="87"/>
      <c r="C2" s="5">
        <f>SUM(C4:C81)</f>
        <v>431689.12400000001</v>
      </c>
      <c r="D2" s="5">
        <f>SUM(D4:D81)</f>
        <v>397154.47619999998</v>
      </c>
      <c r="E2" s="5">
        <f>C2-D2</f>
        <v>34534.647800000035</v>
      </c>
      <c r="F2" s="6">
        <f>IFERROR(E2/D2, 0)</f>
        <v>8.6955202243796437E-2</v>
      </c>
      <c r="G2" s="5">
        <f>SUM(G4:G81)</f>
        <v>1851765.4</v>
      </c>
      <c r="H2" s="7">
        <f>C2-G2</f>
        <v>-1420076.2759999998</v>
      </c>
      <c r="I2" s="6">
        <f>IFERROR(H2/G2, 0)</f>
        <v>-0.76687698992539766</v>
      </c>
      <c r="J2" s="12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3" ht="103.5" customHeight="1">
      <c r="A4" s="45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>
        <v>27512.156999999999</v>
      </c>
      <c r="D4" s="30" t="s">
        <v>22</v>
      </c>
      <c r="E4" s="30" t="str">
        <f>IF(AND(ISNUMBER(C4),ISNUMBER(D4)), C4-D4, "")</f>
        <v/>
      </c>
      <c r="F4" s="31" t="str">
        <f>IFERROR(E4/D4, "")</f>
        <v/>
      </c>
      <c r="G4" s="75" t="s">
        <v>22</v>
      </c>
      <c r="H4" s="32" t="str">
        <f>IF(AND(ISNUMBER(C4),ISNUMBER(G4)), C4-G4, "")</f>
        <v/>
      </c>
      <c r="I4" s="33" t="str">
        <f>IFERROR(H4/G4, "")</f>
        <v/>
      </c>
      <c r="J4" s="50" t="s">
        <v>34</v>
      </c>
      <c r="K4" s="67" t="s">
        <v>35</v>
      </c>
      <c r="L4" s="74" t="s">
        <v>36</v>
      </c>
      <c r="M4" s="74" t="s">
        <v>37</v>
      </c>
    </row>
    <row r="5" spans="1:13" ht="28.9">
      <c r="A5" s="46" t="str">
        <v>Berkeley - NJ-22-C893 Berkeley I</v>
      </c>
      <c r="B5" s="43" t="str">
        <v>NJ</v>
      </c>
      <c r="C5" s="36">
        <v>0</v>
      </c>
      <c r="D5" s="37">
        <v>836.67619999999999</v>
      </c>
      <c r="E5" s="37">
        <f t="shared" ref="E5:E10" si="0">IF(AND(ISNUMBER(C5),ISNUMBER(D5)), C5-D5, "")</f>
        <v>-836.67619999999999</v>
      </c>
      <c r="F5" s="38">
        <f>IFERROR(E5/D5, "")</f>
        <v>-1</v>
      </c>
      <c r="G5" s="39">
        <v>461858.4</v>
      </c>
      <c r="H5" s="39">
        <f t="shared" ref="H5:H10" si="1">IF(AND(ISNUMBER(C5),ISNUMBER(G5)), C5-G5, "")</f>
        <v>-461858.4</v>
      </c>
      <c r="I5" s="38">
        <f t="shared" ref="I5:I10" si="2">IFERROR(H5/G5, "")</f>
        <v>-1</v>
      </c>
      <c r="J5" s="51" t="s">
        <v>26</v>
      </c>
      <c r="K5" s="68" t="s">
        <v>38</v>
      </c>
    </row>
    <row r="6" spans="1:13" ht="28.9">
      <c r="A6" s="45" t="str">
        <v>Berkeley - NJ-22-C894 Berkeley II</v>
      </c>
      <c r="B6" s="41" t="str">
        <v>NJ</v>
      </c>
      <c r="C6" s="29">
        <v>0</v>
      </c>
      <c r="D6" s="30" t="s">
        <v>22</v>
      </c>
      <c r="E6" s="30" t="str">
        <f t="shared" si="0"/>
        <v/>
      </c>
      <c r="F6" s="31" t="str">
        <f t="shared" ref="F6:F10" si="3">IFERROR(E6/D6, "")</f>
        <v/>
      </c>
      <c r="G6" s="32">
        <v>456469</v>
      </c>
      <c r="H6" s="32">
        <f t="shared" si="1"/>
        <v>-456469</v>
      </c>
      <c r="I6" s="33">
        <f t="shared" si="2"/>
        <v>-1</v>
      </c>
      <c r="J6" s="50" t="s">
        <v>26</v>
      </c>
      <c r="K6" s="67" t="s">
        <v>39</v>
      </c>
    </row>
    <row r="7" spans="1:13" ht="36.75" customHeight="1">
      <c r="A7" s="46" t="str">
        <v xml:space="preserve"> BEMS Landfill East</v>
      </c>
      <c r="B7" s="43" t="str">
        <v>NJ</v>
      </c>
      <c r="C7" s="36">
        <v>0</v>
      </c>
      <c r="D7" s="37" t="s">
        <v>22</v>
      </c>
      <c r="E7" s="37" t="str">
        <f>IF(AND(ISNUMBER(C7),ISNUMBER(D7)), C7-D7, "")</f>
        <v/>
      </c>
      <c r="F7" s="38" t="str">
        <f t="shared" si="3"/>
        <v/>
      </c>
      <c r="G7" s="39">
        <v>498875</v>
      </c>
      <c r="H7" s="39">
        <f t="shared" si="1"/>
        <v>-498875</v>
      </c>
      <c r="I7" s="38">
        <f t="shared" si="2"/>
        <v>-1</v>
      </c>
      <c r="J7" s="51" t="s">
        <v>40</v>
      </c>
      <c r="K7" s="73" t="s">
        <v>29</v>
      </c>
    </row>
    <row r="8" spans="1:13" ht="28.9">
      <c r="A8" s="47" t="str">
        <v>Southampton - BEMS West NJ-22-C898</v>
      </c>
      <c r="B8" s="41" t="str">
        <v>NJ</v>
      </c>
      <c r="C8" s="29">
        <v>306069</v>
      </c>
      <c r="D8" s="30">
        <v>396317.8</v>
      </c>
      <c r="E8" s="30">
        <f t="shared" si="0"/>
        <v>-90248.799999999988</v>
      </c>
      <c r="F8" s="31">
        <f t="shared" si="3"/>
        <v>-0.22771826044654062</v>
      </c>
      <c r="G8" s="32">
        <v>403220</v>
      </c>
      <c r="H8" s="32">
        <f t="shared" si="1"/>
        <v>-97151</v>
      </c>
      <c r="I8" s="33">
        <f t="shared" si="2"/>
        <v>-0.2409379495064729</v>
      </c>
      <c r="J8" s="50" t="s">
        <v>41</v>
      </c>
      <c r="K8" s="67" t="s">
        <v>42</v>
      </c>
    </row>
    <row r="9" spans="1:13" ht="15.6">
      <c r="A9" s="46" t="str">
        <v>Lakewood Twp - Emergency Services Dev  - NJ-23-0008</v>
      </c>
      <c r="B9" s="42" t="str">
        <v>NJ</v>
      </c>
      <c r="C9" s="36">
        <v>4807.5</v>
      </c>
      <c r="D9" s="37" t="s">
        <v>22</v>
      </c>
      <c r="E9" s="37" t="str">
        <f>IF(AND(ISNUMBER(C9),ISNUMBER(D9)), C9-D9, "")</f>
        <v/>
      </c>
      <c r="F9" s="38" t="str">
        <f t="shared" si="3"/>
        <v/>
      </c>
      <c r="G9" s="76" t="s">
        <v>22</v>
      </c>
      <c r="H9" s="39" t="str">
        <f t="shared" si="1"/>
        <v/>
      </c>
      <c r="I9" s="38" t="str">
        <f t="shared" si="2"/>
        <v/>
      </c>
      <c r="J9" s="81" t="s">
        <v>43</v>
      </c>
      <c r="K9" s="46"/>
    </row>
    <row r="10" spans="1:13" ht="15.6">
      <c r="A10" s="47" t="str">
        <v>Lakewood Township - Public Works</v>
      </c>
      <c r="B10" s="41" t="str">
        <v>NJ</v>
      </c>
      <c r="C10" s="29">
        <v>93300.467000000004</v>
      </c>
      <c r="D10" s="30" t="s">
        <v>22</v>
      </c>
      <c r="E10" s="30" t="str">
        <f t="shared" si="0"/>
        <v/>
      </c>
      <c r="F10" s="31" t="str">
        <f t="shared" si="3"/>
        <v/>
      </c>
      <c r="G10" s="32">
        <v>31343</v>
      </c>
      <c r="H10" s="32">
        <f t="shared" si="1"/>
        <v>61957.467000000004</v>
      </c>
      <c r="I10" s="33">
        <f t="shared" si="2"/>
        <v>1.9767561177934467</v>
      </c>
      <c r="J10" s="50" t="s">
        <v>44</v>
      </c>
      <c r="K10" s="50"/>
    </row>
    <row r="11" spans="1:13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3" ht="14.45">
      <c r="A12" s="9"/>
      <c r="B12" s="14"/>
      <c r="C12" s="9"/>
      <c r="D12" s="9"/>
      <c r="E12" s="9"/>
      <c r="F12" s="37"/>
      <c r="G12" s="9"/>
      <c r="H12" s="9"/>
      <c r="I12" s="9"/>
      <c r="J12" s="9"/>
      <c r="K12" s="9"/>
    </row>
    <row r="13" spans="1:13" ht="14.45">
      <c r="A13" s="9"/>
      <c r="B13" s="14"/>
      <c r="C13" s="9"/>
      <c r="D13" s="9"/>
      <c r="E13" s="9"/>
      <c r="F13" s="9"/>
      <c r="G13" s="9"/>
      <c r="H13" s="72"/>
      <c r="I13" s="9"/>
      <c r="J13" s="9"/>
      <c r="K13" s="9"/>
    </row>
    <row r="14" spans="1:13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3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3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mergeCells count="4">
    <mergeCell ref="G1:I1"/>
    <mergeCell ref="A1:C1"/>
    <mergeCell ref="D1:F1"/>
    <mergeCell ref="A2:B2"/>
  </mergeCells>
  <conditionalFormatting sqref="F2 I2 F4:F11 I4:I81 F13:F81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hyperlinks>
    <hyperlink ref="K4" r:id="rId1" display="https://us3.assetplanner.com/service_request?ID=096863" xr:uid="{079F6A22-9408-44E3-9FAC-7FAD03524ACC}"/>
    <hyperlink ref="L4" r:id="rId2" display="https://us3.assetplanner.com/service_request?ID=094989" xr:uid="{27B5BBE6-919F-4560-9B52-423ED1C598AA}"/>
    <hyperlink ref="M4" r:id="rId3" display="https://us3.assetplanner.com/service_request?ID=097768" xr:uid="{1FB609A7-2724-4048-A08F-A86FF05C0EF5}"/>
    <hyperlink ref="K5" r:id="rId4" display="https://us3.assetplanner.com/service_request?ID=093413" xr:uid="{B22DB26F-7781-463A-8DA6-90A4919705E1}"/>
    <hyperlink ref="K6" r:id="rId5" display="https://us3.assetplanner.com/service_request?ID=093414" xr:uid="{6A5DD324-D780-4290-836E-E7EED42185AD}"/>
    <hyperlink ref="K7" r:id="rId6" display="https://us3.assetplanner.com/service_request?ID=086098" xr:uid="{2E4327B8-154B-4FB9-A707-2A79BF78118B}"/>
    <hyperlink ref="K8" r:id="rId7" display="https://us3.assetplanner.com/service_request?ID=097638" xr:uid="{675F13AB-88DC-4CD6-850E-A0EDFFBB14CE}"/>
  </hyperlinks>
  <pageMargins left="0.4" right="0.7" top="0.25" bottom="0.25" header="0.3" footer="0.3"/>
  <pageSetup fitToHeight="99" orientation="landscape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3"/>
  <sheetViews>
    <sheetView zoomScale="70" zoomScaleNormal="70" workbookViewId="0">
      <pane xSplit="2" ySplit="3" topLeftCell="C4" activePane="bottomRight" state="frozen"/>
      <selection pane="bottomRight" activeCell="K7" sqref="K7"/>
      <selection pane="bottomLeft" activeCell="C19" sqref="C19"/>
      <selection pane="topRight" activeCell="C19" sqref="C19"/>
    </sheetView>
  </sheetViews>
  <sheetFormatPr defaultRowHeight="13.9"/>
  <cols>
    <col min="1" max="1" width="55.7109375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85" t="str" cm="1">
        <f t="array" ref="A1">portfolio</f>
        <v>Luminance</v>
      </c>
      <c r="B1" s="85"/>
      <c r="C1" s="85"/>
      <c r="D1" s="86" t="s">
        <v>45</v>
      </c>
      <c r="E1" s="86"/>
      <c r="F1" s="86"/>
      <c r="G1" s="84" t="s">
        <v>46</v>
      </c>
      <c r="H1" s="84"/>
      <c r="I1" s="84"/>
      <c r="J1" s="4"/>
      <c r="K1" s="4"/>
    </row>
    <row r="2" spans="1:13" ht="19.5" customHeight="1">
      <c r="A2" s="87" t="s">
        <v>2</v>
      </c>
      <c r="B2" s="87"/>
      <c r="C2" s="5">
        <f>SUM(C4:C81)</f>
        <v>703255.35495619662</v>
      </c>
      <c r="D2" s="5">
        <f>SUM(D4:D81)</f>
        <v>566078.13</v>
      </c>
      <c r="E2" s="5">
        <f>C2-D2</f>
        <v>137177.22495619662</v>
      </c>
      <c r="F2" s="6">
        <f>IFERROR(E2/D2, 0)</f>
        <v>0.24232913742171353</v>
      </c>
      <c r="G2" s="5">
        <f>SUM(G4:G81)</f>
        <v>2514055.1100000003</v>
      </c>
      <c r="H2" s="7">
        <f>C2-G2</f>
        <v>-1810799.7550438037</v>
      </c>
      <c r="I2" s="6">
        <f>IFERROR(H2/G2, 0)</f>
        <v>-0.7202705095210914</v>
      </c>
      <c r="J2" s="12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3" ht="28.9">
      <c r="A4" s="45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>
        <v>73571.301430217602</v>
      </c>
      <c r="D4" s="30" t="s">
        <v>22</v>
      </c>
      <c r="E4" s="30" t="str">
        <f>IF(AND(ISNUMBER(C4),ISNUMBER(D4)), C4-D4, "")</f>
        <v/>
      </c>
      <c r="F4" s="31" t="str">
        <f>IFERROR(E4/D4, "")</f>
        <v/>
      </c>
      <c r="G4" s="75" t="s">
        <v>22</v>
      </c>
      <c r="H4" s="32" t="str">
        <f>IF(AND(ISNUMBER(C4),ISNUMBER(G4)), C4-G4, "")</f>
        <v/>
      </c>
      <c r="I4" s="33" t="str">
        <f>IFERROR(H4/G4, "")</f>
        <v/>
      </c>
      <c r="J4" s="54" t="s">
        <v>47</v>
      </c>
      <c r="K4" s="77" t="s">
        <v>48</v>
      </c>
      <c r="L4" s="78" t="s">
        <v>37</v>
      </c>
      <c r="M4" s="53"/>
    </row>
    <row r="5" spans="1:13" ht="43.15">
      <c r="A5" s="46" t="str">
        <v>Berkeley - NJ-22-C893 Berkeley I</v>
      </c>
      <c r="B5" s="43" t="str">
        <v>NJ</v>
      </c>
      <c r="C5" s="36">
        <v>0</v>
      </c>
      <c r="D5" s="37" t="s">
        <v>22</v>
      </c>
      <c r="E5" s="37" t="str">
        <f t="shared" ref="E5:E10" si="0">IF(AND(ISNUMBER(C5),ISNUMBER(D5)), C5-D5, "")</f>
        <v/>
      </c>
      <c r="F5" s="38" t="str">
        <f>IFERROR(E5/D5, "")</f>
        <v/>
      </c>
      <c r="G5" s="39">
        <v>621367.81000000006</v>
      </c>
      <c r="H5" s="39">
        <f t="shared" ref="H5:H10" si="1">IF(AND(ISNUMBER(C5),ISNUMBER(G5)), C5-G5, "")</f>
        <v>-621367.81000000006</v>
      </c>
      <c r="I5" s="38">
        <f t="shared" ref="I5:I10" si="2">IFERROR(H5/G5, "")</f>
        <v>-1</v>
      </c>
      <c r="J5" s="55" t="s">
        <v>49</v>
      </c>
      <c r="K5" s="79" t="s">
        <v>50</v>
      </c>
      <c r="L5" s="78" t="s">
        <v>51</v>
      </c>
      <c r="M5" s="53"/>
    </row>
    <row r="6" spans="1:13" ht="43.15">
      <c r="A6" s="47" t="str">
        <v>Berkeley - NJ-22-C894 Berkeley II</v>
      </c>
      <c r="B6" s="41" t="str">
        <v>NJ</v>
      </c>
      <c r="C6" s="29">
        <v>0</v>
      </c>
      <c r="D6" s="30" t="s">
        <v>22</v>
      </c>
      <c r="E6" s="30" t="str">
        <f t="shared" si="0"/>
        <v/>
      </c>
      <c r="F6" s="31" t="str">
        <f t="shared" ref="F6:F10" si="3">IFERROR(E6/D6, "")</f>
        <v/>
      </c>
      <c r="G6" s="32">
        <v>616934</v>
      </c>
      <c r="H6" s="32">
        <f t="shared" si="1"/>
        <v>-616934</v>
      </c>
      <c r="I6" s="33">
        <f t="shared" si="2"/>
        <v>-1</v>
      </c>
      <c r="J6" s="54" t="s">
        <v>49</v>
      </c>
      <c r="K6" s="77" t="s">
        <v>52</v>
      </c>
      <c r="L6" s="78" t="s">
        <v>53</v>
      </c>
      <c r="M6" s="53"/>
    </row>
    <row r="7" spans="1:13" ht="86.45">
      <c r="A7" s="46" t="str">
        <v xml:space="preserve"> BEMS Landfill East</v>
      </c>
      <c r="B7" s="43" t="str">
        <v>NJ</v>
      </c>
      <c r="C7" s="36">
        <v>0</v>
      </c>
      <c r="D7" s="37">
        <v>13254.93</v>
      </c>
      <c r="E7" s="37">
        <f t="shared" si="0"/>
        <v>-13254.93</v>
      </c>
      <c r="F7" s="38">
        <f t="shared" si="3"/>
        <v>-1</v>
      </c>
      <c r="G7" s="39">
        <v>620135.30000000005</v>
      </c>
      <c r="H7" s="39">
        <f t="shared" si="1"/>
        <v>-620135.30000000005</v>
      </c>
      <c r="I7" s="38">
        <f t="shared" si="2"/>
        <v>-1</v>
      </c>
      <c r="J7" s="61" t="s">
        <v>54</v>
      </c>
      <c r="K7" s="79" t="s">
        <v>55</v>
      </c>
      <c r="L7" s="78" t="s">
        <v>56</v>
      </c>
      <c r="M7" s="53"/>
    </row>
    <row r="8" spans="1:13" ht="15.6">
      <c r="A8" s="47" t="str">
        <v>Southampton - BEMS West NJ-22-C898</v>
      </c>
      <c r="B8" s="41" t="str">
        <v>NJ</v>
      </c>
      <c r="C8" s="29">
        <v>469935</v>
      </c>
      <c r="D8" s="30">
        <v>552823.19999999995</v>
      </c>
      <c r="E8" s="30">
        <f t="shared" si="0"/>
        <v>-82888.199999999953</v>
      </c>
      <c r="F8" s="31">
        <f t="shared" si="3"/>
        <v>-0.14993618212839108</v>
      </c>
      <c r="G8" s="32">
        <v>587503</v>
      </c>
      <c r="H8" s="32">
        <f t="shared" si="1"/>
        <v>-117568</v>
      </c>
      <c r="I8" s="33">
        <f t="shared" si="2"/>
        <v>-0.20011472281843667</v>
      </c>
      <c r="J8" s="54" t="s">
        <v>57</v>
      </c>
      <c r="K8" s="80" t="s">
        <v>42</v>
      </c>
      <c r="M8" s="53"/>
    </row>
    <row r="9" spans="1:13" ht="15.6">
      <c r="A9" s="46" t="str">
        <v>Lakewood Twp - Emergency Services Dev  - NJ-23-0008</v>
      </c>
      <c r="B9" s="43" t="str">
        <v>NJ</v>
      </c>
      <c r="C9" s="36">
        <v>8438.8580957031209</v>
      </c>
      <c r="D9" s="37" t="s">
        <v>22</v>
      </c>
      <c r="E9" s="37" t="str">
        <f t="shared" si="0"/>
        <v/>
      </c>
      <c r="F9" s="38" t="str">
        <f t="shared" si="3"/>
        <v/>
      </c>
      <c r="G9" s="76" t="s">
        <v>22</v>
      </c>
      <c r="H9" s="39" t="str">
        <f t="shared" si="1"/>
        <v/>
      </c>
      <c r="I9" s="38" t="str">
        <f t="shared" si="2"/>
        <v/>
      </c>
      <c r="J9" s="55"/>
      <c r="K9" s="56"/>
      <c r="M9" s="53"/>
    </row>
    <row r="10" spans="1:13" ht="15.6">
      <c r="A10" s="47" t="str">
        <v>Lakewood Township - Public Works</v>
      </c>
      <c r="B10" s="41" t="str">
        <v>NJ</v>
      </c>
      <c r="C10" s="29">
        <v>151310.19543027601</v>
      </c>
      <c r="D10" s="30" t="s">
        <v>22</v>
      </c>
      <c r="E10" s="30" t="str">
        <f t="shared" si="0"/>
        <v/>
      </c>
      <c r="F10" s="31" t="str">
        <f t="shared" si="3"/>
        <v/>
      </c>
      <c r="G10" s="32">
        <v>68115</v>
      </c>
      <c r="H10" s="32">
        <f t="shared" si="1"/>
        <v>83195.195430276013</v>
      </c>
      <c r="I10" s="33">
        <f t="shared" si="2"/>
        <v>1.2213931649456951</v>
      </c>
      <c r="J10" s="54" t="s">
        <v>58</v>
      </c>
      <c r="K10" s="54"/>
      <c r="M10" s="53"/>
    </row>
    <row r="11" spans="1:13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  <c r="M11" s="53"/>
    </row>
    <row r="12" spans="1:13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  <c r="M12" s="53"/>
    </row>
    <row r="13" spans="1:13" ht="14.45">
      <c r="A13" s="9"/>
      <c r="B13" s="14"/>
      <c r="C13" s="9"/>
      <c r="D13" s="9"/>
      <c r="E13" s="9"/>
      <c r="F13" s="9"/>
      <c r="G13" s="9"/>
      <c r="H13" s="9"/>
      <c r="I13" s="9"/>
      <c r="J13" s="9"/>
      <c r="K13" s="9"/>
      <c r="M13" s="53"/>
    </row>
    <row r="14" spans="1:13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  <c r="M14" s="53"/>
    </row>
    <row r="15" spans="1:13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  <c r="M15" s="53"/>
    </row>
    <row r="16" spans="1:13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  <c r="M16" s="53"/>
    </row>
    <row r="17" spans="1:13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  <c r="M17" s="53"/>
    </row>
    <row r="18" spans="1:13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  <c r="M18" s="53"/>
    </row>
    <row r="19" spans="1:13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  <c r="M19" s="53"/>
    </row>
    <row r="20" spans="1:13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  <c r="M20" s="53"/>
    </row>
    <row r="21" spans="1:13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  <c r="M21" s="53"/>
    </row>
    <row r="22" spans="1:13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  <c r="M22" s="53"/>
    </row>
    <row r="23" spans="1:13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  <c r="M23" s="53"/>
    </row>
    <row r="24" spans="1:13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  <c r="M24" s="53"/>
    </row>
    <row r="25" spans="1:13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  <c r="M25" s="53"/>
    </row>
    <row r="26" spans="1:13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  <c r="M26" s="53"/>
    </row>
    <row r="27" spans="1:13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  <c r="M27" s="53"/>
    </row>
    <row r="28" spans="1:13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  <c r="M28" s="53"/>
    </row>
    <row r="29" spans="1:13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  <c r="M29" s="53"/>
    </row>
    <row r="30" spans="1:13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  <c r="M30" s="53"/>
    </row>
    <row r="31" spans="1:13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3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mergeCells count="4">
    <mergeCell ref="G1:I1"/>
    <mergeCell ref="A1:C1"/>
    <mergeCell ref="D1:F1"/>
    <mergeCell ref="A2:B2"/>
  </mergeCells>
  <conditionalFormatting sqref="F2 I2 F4:F81 I4:I81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hyperlinks>
    <hyperlink ref="K4" r:id="rId1" display="https://us3.assetplanner.com/service_request?ID=094989" xr:uid="{927DA41F-AA52-4825-822B-5474F72F6962}"/>
    <hyperlink ref="L4" r:id="rId2" display="https://us3.assetplanner.com/service_request?ID=097768" xr:uid="{9F4B49C5-D610-4027-A5CF-FDD2783C910F}"/>
    <hyperlink ref="K5" r:id="rId3" display="https://us3.assetplanner.com/service_request?ID=098409" xr:uid="{74FE16F0-A4EA-4CED-BFF4-69FA9BE1720C}"/>
    <hyperlink ref="L5" r:id="rId4" display="https://us3.assetplanner.com/service_request?ID=093413" xr:uid="{3FD02AC0-98FE-4D20-AE74-2652C51A65BF}"/>
    <hyperlink ref="K6" r:id="rId5" display="https://us3.assetplanner.com/service_request?ID=098411" xr:uid="{9C948C42-A609-484F-A349-D97F9540130B}"/>
    <hyperlink ref="L6" r:id="rId6" display="https://us3.assetplanner.com/service_request?ID=093414" xr:uid="{60DD6468-8F1E-4F0E-8750-7BA3A927C6B3}"/>
    <hyperlink ref="K7" r:id="rId7" display="https://us3.assetplanner.com/service_request?ID=098408" xr:uid="{4FC9C1C6-036E-48ED-88FB-4D39412B368F}"/>
    <hyperlink ref="L7" r:id="rId8" display="https://us3.assetplanner.com/service_request?ID=086098" xr:uid="{7961E0A2-F6B0-4CE9-BE54-8FE1A9C98EA1}"/>
    <hyperlink ref="K8" r:id="rId9" display="https://us3.assetplanner.com/service_request?ID=097638" xr:uid="{BF736FE8-1F4A-4DC0-8952-6D817A5CB001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3"/>
  <sheetViews>
    <sheetView tabSelected="1" zoomScale="70" zoomScaleNormal="70" workbookViewId="0">
      <pane xSplit="2" ySplit="3" topLeftCell="C4" activePane="bottomRight" state="frozen"/>
      <selection pane="bottomRight" activeCell="J21" sqref="J2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82"/>
  </cols>
  <sheetData>
    <row r="1" spans="1:12" ht="19.5" customHeight="1">
      <c r="A1" s="85" t="str" cm="1">
        <f t="array" ref="A1">portfolio</f>
        <v>Luminance</v>
      </c>
      <c r="B1" s="85"/>
      <c r="C1" s="85"/>
      <c r="D1" s="86" t="s">
        <v>59</v>
      </c>
      <c r="E1" s="86"/>
      <c r="F1" s="86"/>
      <c r="G1" s="84" t="s">
        <v>60</v>
      </c>
      <c r="H1" s="84"/>
      <c r="I1" s="84"/>
      <c r="J1" s="4"/>
      <c r="K1" s="4"/>
    </row>
    <row r="2" spans="1:12" ht="19.5" customHeight="1">
      <c r="A2" s="87" t="s">
        <v>2</v>
      </c>
      <c r="B2" s="87"/>
      <c r="C2" s="5">
        <f>SUM(C4:C81)</f>
        <v>854032.015299152</v>
      </c>
      <c r="D2" s="5">
        <f>SUM(D4:D81)</f>
        <v>717297.95000000007</v>
      </c>
      <c r="E2" s="5">
        <f>C2-D2</f>
        <v>136734.06529915193</v>
      </c>
      <c r="F2" s="6">
        <f>IFERROR(E2/D2, 0)</f>
        <v>0.19062380604761511</v>
      </c>
      <c r="G2" s="5">
        <f>SUM(G4:G81)</f>
        <v>2800077.9899999998</v>
      </c>
      <c r="H2" s="7">
        <f>C2-G2</f>
        <v>-1946045.9747008476</v>
      </c>
      <c r="I2" s="6">
        <f>IFERROR(H2/G2, 0)</f>
        <v>-0.69499706138572515</v>
      </c>
      <c r="J2" s="12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2" ht="15.6">
      <c r="A4" s="40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>
        <v>54203.1</v>
      </c>
      <c r="D4" s="30">
        <v>57596.35</v>
      </c>
      <c r="E4" s="30">
        <f>IF(AND(ISNUMBER(C4),ISNUMBER(D4)), C4-D4, "")</f>
        <v>-3393.25</v>
      </c>
      <c r="F4" s="31">
        <f>IFERROR(E4/D4, "")</f>
        <v>-5.8914323563906391E-2</v>
      </c>
      <c r="G4" s="32">
        <v>56794.59</v>
      </c>
      <c r="H4" s="32">
        <f>IF(AND(ISNUMBER(C4),ISNUMBER(G4)), C4-G4, "")</f>
        <v>-2591.489999999998</v>
      </c>
      <c r="I4" s="33">
        <f>IFERROR(H4/G4, "")</f>
        <v>-4.5629169961434672E-2</v>
      </c>
      <c r="J4" s="50"/>
      <c r="K4" s="50"/>
    </row>
    <row r="5" spans="1:12" ht="43.15">
      <c r="A5" s="42" t="str">
        <v>Berkeley - NJ-22-C893 Berkeley I</v>
      </c>
      <c r="B5" s="43" t="str">
        <v>NJ</v>
      </c>
      <c r="C5" s="36">
        <v>0</v>
      </c>
      <c r="D5" s="37">
        <v>0</v>
      </c>
      <c r="E5" s="37">
        <f t="shared" ref="E5:E10" si="0">IF(AND(ISNUMBER(C5),ISNUMBER(D5)), C5-D5, "")</f>
        <v>0</v>
      </c>
      <c r="F5" s="38" t="str">
        <f>IFERROR(E5/D5, "")</f>
        <v/>
      </c>
      <c r="G5" s="57">
        <v>676075</v>
      </c>
      <c r="H5" s="39">
        <f t="shared" ref="H5:H10" si="1">IF(AND(ISNUMBER(C5),ISNUMBER(G5)), C5-G5, "")</f>
        <v>-676075</v>
      </c>
      <c r="I5" s="38">
        <f t="shared" ref="I5:I10" si="2">IFERROR(H5/G5, "")</f>
        <v>-1</v>
      </c>
      <c r="J5" s="51" t="s">
        <v>49</v>
      </c>
      <c r="K5" s="79" t="s">
        <v>61</v>
      </c>
    </row>
    <row r="6" spans="1:12" ht="44.25" customHeight="1">
      <c r="A6" s="44" t="str">
        <v>Berkeley - NJ-22-C894 Berkeley II</v>
      </c>
      <c r="B6" s="41" t="str">
        <v>NJ</v>
      </c>
      <c r="C6" s="29">
        <v>0</v>
      </c>
      <c r="D6" s="30">
        <v>0</v>
      </c>
      <c r="E6" s="30">
        <f t="shared" si="0"/>
        <v>0</v>
      </c>
      <c r="F6" s="31" t="str">
        <f t="shared" ref="F6:F10" si="3">IFERROR(E6/D6, "")</f>
        <v/>
      </c>
      <c r="G6" s="32">
        <v>676850</v>
      </c>
      <c r="H6" s="32">
        <f t="shared" si="1"/>
        <v>-676850</v>
      </c>
      <c r="I6" s="33">
        <f t="shared" si="2"/>
        <v>-1</v>
      </c>
      <c r="J6" s="50" t="s">
        <v>49</v>
      </c>
      <c r="K6" s="67" t="s">
        <v>62</v>
      </c>
    </row>
    <row r="7" spans="1:12" ht="114" customHeight="1">
      <c r="A7" s="42" t="str">
        <v xml:space="preserve"> BEMS Landfill East</v>
      </c>
      <c r="B7" s="43" t="str">
        <v>NJ</v>
      </c>
      <c r="C7" s="36">
        <v>0</v>
      </c>
      <c r="D7" s="37">
        <v>12059.7</v>
      </c>
      <c r="E7" s="37">
        <f t="shared" si="0"/>
        <v>-12059.7</v>
      </c>
      <c r="F7" s="38">
        <f t="shared" si="3"/>
        <v>-1</v>
      </c>
      <c r="G7" s="39">
        <v>651557.4</v>
      </c>
      <c r="H7" s="39">
        <f t="shared" si="1"/>
        <v>-651557.4</v>
      </c>
      <c r="I7" s="38">
        <f t="shared" si="2"/>
        <v>-1</v>
      </c>
      <c r="J7" s="61" t="s">
        <v>54</v>
      </c>
      <c r="K7" s="79" t="s">
        <v>63</v>
      </c>
      <c r="L7" s="83" t="s">
        <v>56</v>
      </c>
    </row>
    <row r="8" spans="1:12" ht="15.6">
      <c r="A8" s="44" t="str">
        <v>Southampton - BEMS West NJ-22-C898</v>
      </c>
      <c r="B8" s="41" t="str">
        <v>NJ</v>
      </c>
      <c r="C8" s="29">
        <v>635861</v>
      </c>
      <c r="D8" s="30">
        <v>647641.9</v>
      </c>
      <c r="E8" s="30">
        <f t="shared" si="0"/>
        <v>-11780.900000000023</v>
      </c>
      <c r="F8" s="31">
        <f t="shared" si="3"/>
        <v>-1.8190453705975513E-2</v>
      </c>
      <c r="G8" s="32">
        <v>658293</v>
      </c>
      <c r="H8" s="32">
        <f t="shared" si="1"/>
        <v>-22432</v>
      </c>
      <c r="I8" s="33">
        <f t="shared" si="2"/>
        <v>-3.4076011745529725E-2</v>
      </c>
      <c r="J8" s="50"/>
      <c r="K8" s="50"/>
    </row>
    <row r="9" spans="1:12" ht="27.75" customHeight="1">
      <c r="A9" s="42" t="str">
        <v>Lakewood Twp - Emergency Services Dev  - NJ-23-0008</v>
      </c>
      <c r="B9" s="43" t="str">
        <v>NJ</v>
      </c>
      <c r="C9" s="36">
        <v>9269.4465491520095</v>
      </c>
      <c r="D9" s="37" t="s">
        <v>22</v>
      </c>
      <c r="E9" s="37" t="str">
        <f t="shared" si="0"/>
        <v/>
      </c>
      <c r="F9" s="38" t="str">
        <f t="shared" si="3"/>
        <v/>
      </c>
      <c r="G9" s="76" t="s">
        <v>22</v>
      </c>
      <c r="H9" s="39" t="str">
        <f t="shared" si="1"/>
        <v/>
      </c>
      <c r="I9" s="38" t="str">
        <f t="shared" si="2"/>
        <v/>
      </c>
      <c r="J9" s="51"/>
      <c r="K9" s="52"/>
    </row>
    <row r="10" spans="1:12" ht="15.6">
      <c r="A10" s="44" t="str">
        <v>Lakewood Township - Public Works</v>
      </c>
      <c r="B10" s="41" t="str">
        <v>NJ</v>
      </c>
      <c r="C10" s="29">
        <v>154698.46875</v>
      </c>
      <c r="D10" s="30" t="s">
        <v>22</v>
      </c>
      <c r="E10" s="30" t="str">
        <f t="shared" si="0"/>
        <v/>
      </c>
      <c r="F10" s="31" t="str">
        <f t="shared" si="3"/>
        <v/>
      </c>
      <c r="G10" s="32">
        <v>80508</v>
      </c>
      <c r="H10" s="32">
        <f t="shared" si="1"/>
        <v>74190.46875</v>
      </c>
      <c r="I10" s="33">
        <f t="shared" si="2"/>
        <v>0.92152914927709051</v>
      </c>
      <c r="J10" s="50" t="s">
        <v>58</v>
      </c>
      <c r="K10" s="50"/>
    </row>
    <row r="11" spans="1:12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2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2" ht="14.45">
      <c r="A13" s="9"/>
      <c r="B13" s="14"/>
      <c r="C13" s="9"/>
      <c r="D13" s="9"/>
      <c r="E13" s="9"/>
      <c r="F13" s="9"/>
      <c r="G13" s="9"/>
      <c r="H13" s="9"/>
      <c r="I13" s="9"/>
      <c r="J13" s="9"/>
      <c r="K13" s="9"/>
    </row>
    <row r="14" spans="1:12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2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2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mergeCells count="4">
    <mergeCell ref="G1:I1"/>
    <mergeCell ref="A1:C1"/>
    <mergeCell ref="D1:F1"/>
    <mergeCell ref="A2:B2"/>
  </mergeCells>
  <conditionalFormatting sqref="F2 I2 F4:F81 I4:I81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hyperlinks>
    <hyperlink ref="K5" r:id="rId1" display="https://us3.assetplanner.com/service_request?ID=098409" xr:uid="{A1E36D3C-E845-4456-A9A9-75DF005D68B8}"/>
    <hyperlink ref="K6" r:id="rId2" display="https://us3.assetplanner.com/service_request?ID=098411" xr:uid="{20766415-39D3-4CAA-8E66-4271C0E5E737}"/>
    <hyperlink ref="K7" r:id="rId3" display="https://us3.assetplanner.com/service_request?ID=098408" xr:uid="{22C61412-9930-42CA-BBB2-75B5FC838B52}"/>
    <hyperlink ref="L7" r:id="rId4" display="https://us3.assetplanner.com/service_request?ID=086098" xr:uid="{CBD16C8F-83C2-48C7-9337-47F02C7A575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3"/>
  <sheetViews>
    <sheetView workbookViewId="0">
      <pane xSplit="2" ySplit="3" topLeftCell="C4" activePane="bottomRight" state="frozen"/>
      <selection pane="bottomRight" activeCell="E18" sqref="E18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Luminance</v>
      </c>
      <c r="B1" s="85"/>
      <c r="C1" s="85"/>
      <c r="D1" s="86" t="s">
        <v>64</v>
      </c>
      <c r="E1" s="86"/>
      <c r="F1" s="86"/>
      <c r="G1" s="84" t="s">
        <v>65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2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50"/>
    </row>
    <row r="5" spans="1:11" ht="15.6">
      <c r="A5" s="42" t="str">
        <v>Berkeley - NJ-22-C893 Berkeley I</v>
      </c>
      <c r="B5" s="43" t="str">
        <v>NJ</v>
      </c>
      <c r="C5" s="36"/>
      <c r="D5" s="37"/>
      <c r="E5" s="37" t="str">
        <f>IF(AND(ISNUMBER(C5),ISNUMBER(D5)), C5-D5, "")</f>
        <v/>
      </c>
      <c r="F5" s="38" t="str">
        <f>IFERROR(E5/D5, "")</f>
        <v/>
      </c>
      <c r="G5" s="39"/>
      <c r="H5" s="39" t="str">
        <f t="shared" ref="H5:H8" si="0">IF(AND(ISNUMBER(C5),ISNUMBER(G5)), C5-G5, "")</f>
        <v/>
      </c>
      <c r="I5" s="38" t="str">
        <f t="shared" ref="I5:I8" si="1">IFERROR(H5/G5, "")</f>
        <v/>
      </c>
      <c r="J5" s="51"/>
      <c r="K5" s="51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ref="E6:E8" si="2">IF(AND(ISNUMBER(C6),ISNUMBER(D6)), C6-D6, "")</f>
        <v/>
      </c>
      <c r="F6" s="31" t="str">
        <f t="shared" ref="F6:F8" si="3">IFERROR(E6/D6, "")</f>
        <v/>
      </c>
      <c r="G6" s="32"/>
      <c r="H6" s="32" t="str">
        <f t="shared" si="0"/>
        <v/>
      </c>
      <c r="I6" s="33" t="str">
        <f t="shared" si="1"/>
        <v/>
      </c>
      <c r="J6" s="50"/>
      <c r="K6" s="50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2"/>
        <v/>
      </c>
      <c r="F7" s="38" t="str">
        <f t="shared" si="3"/>
        <v/>
      </c>
      <c r="G7" s="39"/>
      <c r="H7" s="39" t="str">
        <f t="shared" si="0"/>
        <v/>
      </c>
      <c r="I7" s="38" t="str">
        <f t="shared" si="1"/>
        <v/>
      </c>
      <c r="J7" s="51"/>
      <c r="K7" s="52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2"/>
        <v/>
      </c>
      <c r="F8" s="31" t="str">
        <f t="shared" si="3"/>
        <v/>
      </c>
      <c r="G8" s="32"/>
      <c r="H8" s="32" t="str">
        <f t="shared" si="0"/>
        <v/>
      </c>
      <c r="I8" s="33" t="str">
        <f t="shared" si="1"/>
        <v/>
      </c>
      <c r="J8" s="50"/>
      <c r="K8" s="50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9"/>
      <c r="G13" s="9"/>
      <c r="H13" s="9"/>
      <c r="I13" s="9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mergeCells count="4">
    <mergeCell ref="G1:I1"/>
    <mergeCell ref="A1:C1"/>
    <mergeCell ref="D1:F1"/>
    <mergeCell ref="A2:B2"/>
  </mergeCells>
  <conditionalFormatting sqref="F2 I2 F4:F81 I4:I81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3"/>
  <sheetViews>
    <sheetView zoomScale="80" zoomScaleNormal="80" workbookViewId="0">
      <pane xSplit="2" ySplit="3" topLeftCell="C4" activePane="bottomRight" state="frozen"/>
      <selection pane="bottomRight" activeCell="H22" sqref="H22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Luminance</v>
      </c>
      <c r="B1" s="85"/>
      <c r="C1" s="85"/>
      <c r="D1" s="86" t="s">
        <v>66</v>
      </c>
      <c r="E1" s="86"/>
      <c r="F1" s="86"/>
      <c r="G1" s="84" t="s">
        <v>67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2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8"/>
      <c r="K4" s="58"/>
    </row>
    <row r="5" spans="1:11" ht="15.6">
      <c r="A5" s="42" t="str">
        <v>Berkeley - NJ-22-C893 Berkeley I</v>
      </c>
      <c r="B5" s="43" t="str">
        <v>NJ</v>
      </c>
      <c r="C5" s="36"/>
      <c r="D5" s="59"/>
      <c r="E5" s="37" t="str">
        <f t="shared" ref="E5:E8" si="0">IF(AND(ISNUMBER(C5),ISNUMBER(D5)), C5-D5, "")</f>
        <v/>
      </c>
      <c r="F5" s="38" t="str">
        <f>IFERROR(E5/D5, "")</f>
        <v/>
      </c>
      <c r="G5" s="59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64"/>
      <c r="K5" s="65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58"/>
      <c r="K6" s="58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64"/>
      <c r="K7" s="64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8"/>
      <c r="K8" s="58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9"/>
      <c r="G13" s="9"/>
      <c r="H13" s="9"/>
      <c r="I13" s="9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mergeCells count="4">
    <mergeCell ref="G1:I1"/>
    <mergeCell ref="A1:C1"/>
    <mergeCell ref="D1:F1"/>
    <mergeCell ref="A2:B2"/>
  </mergeCells>
  <conditionalFormatting sqref="F2 I2 F4:F81 I4:I81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3"/>
  <sheetViews>
    <sheetView zoomScale="70" zoomScaleNormal="70" workbookViewId="0">
      <pane xSplit="2" ySplit="3" topLeftCell="C4" activePane="bottomRight" state="frozen"/>
      <selection pane="bottomRight" activeCell="C19" sqref="C19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Luminance</v>
      </c>
      <c r="B1" s="85"/>
      <c r="C1" s="85"/>
      <c r="D1" s="86" t="s">
        <v>68</v>
      </c>
      <c r="E1" s="86"/>
      <c r="F1" s="86"/>
      <c r="G1" s="84" t="s">
        <v>69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2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78" customHeight="1">
      <c r="A4" s="40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50"/>
    </row>
    <row r="5" spans="1:11" ht="42.75" customHeight="1">
      <c r="A5" s="42" t="str">
        <v>Berkeley - NJ-22-C893 Berkeley I</v>
      </c>
      <c r="B5" s="43" t="str">
        <v>NJ</v>
      </c>
      <c r="C5" s="36"/>
      <c r="D5" s="37"/>
      <c r="E5" s="37" t="str">
        <f t="shared" ref="E5:E8" si="0">IF(AND(ISNUMBER(C5),ISNUMBER(D5)), C5-D5, "")</f>
        <v/>
      </c>
      <c r="F5" s="38" t="str">
        <f>IFERROR(E5/D5, "")</f>
        <v/>
      </c>
      <c r="G5" s="39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61"/>
      <c r="K5" s="51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50"/>
      <c r="K6" s="50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1"/>
      <c r="K7" s="52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0"/>
      <c r="K8" s="50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9"/>
      <c r="G13" s="9"/>
      <c r="H13" s="9"/>
      <c r="I13" s="9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81 I4:I81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3"/>
  <sheetViews>
    <sheetView zoomScale="90" zoomScaleNormal="90" workbookViewId="0">
      <pane xSplit="2" ySplit="3" topLeftCell="C4" activePane="bottomRight" state="frozen"/>
      <selection pane="bottomRight" activeCell="C12" sqref="C12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Luminance</v>
      </c>
      <c r="B1" s="85"/>
      <c r="C1" s="85"/>
      <c r="D1" s="86" t="s">
        <v>70</v>
      </c>
      <c r="E1" s="86"/>
      <c r="F1" s="86"/>
      <c r="G1" s="84" t="s">
        <v>71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2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50"/>
    </row>
    <row r="5" spans="1:11" ht="15.6">
      <c r="A5" s="42" t="str">
        <v>Berkeley - NJ-22-C893 Berkeley I</v>
      </c>
      <c r="B5" s="43" t="str">
        <v>NJ</v>
      </c>
      <c r="C5" s="36"/>
      <c r="D5" s="37"/>
      <c r="E5" s="37" t="str">
        <f t="shared" ref="E5:E8" si="0">IF(AND(ISNUMBER(C5),ISNUMBER(D5)), C5-D5, "")</f>
        <v/>
      </c>
      <c r="F5" s="38" t="str">
        <f>IFERROR(E5/D5, "")</f>
        <v/>
      </c>
      <c r="G5" s="39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51"/>
      <c r="K5" s="61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50"/>
      <c r="K6" s="50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1"/>
      <c r="K7" s="51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0"/>
      <c r="K8" s="50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9"/>
      <c r="G13" s="9"/>
      <c r="H13" s="9"/>
      <c r="I13" s="9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C323" s="9"/>
      <c r="D323" s="9"/>
      <c r="E323" s="9"/>
      <c r="F323" s="10"/>
      <c r="G323" s="9"/>
      <c r="H323" s="9"/>
      <c r="I323" s="10"/>
      <c r="J323" s="9"/>
      <c r="K323" s="9"/>
    </row>
  </sheetData>
  <mergeCells count="4">
    <mergeCell ref="G1:I1"/>
    <mergeCell ref="A1:C1"/>
    <mergeCell ref="D1:F1"/>
    <mergeCell ref="A2:B2"/>
  </mergeCells>
  <conditionalFormatting sqref="F2 I2 F4:F81 I4:I81">
    <cfRule type="cellIs" dxfId="12" priority="5" stopIfTrue="1" operator="lessThanOrEqual">
      <formula>-0.1</formula>
    </cfRule>
    <cfRule type="expression" dxfId="11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zoomScale="70" zoomScaleNormal="70" workbookViewId="0">
      <pane xSplit="2" ySplit="3" topLeftCell="C4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Luminance</v>
      </c>
      <c r="B1" s="85"/>
      <c r="C1" s="85"/>
      <c r="D1" s="86" t="s">
        <v>72</v>
      </c>
      <c r="E1" s="86"/>
      <c r="F1" s="86"/>
      <c r="G1" s="84" t="s">
        <v>73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50"/>
    </row>
    <row r="5" spans="1:11" ht="15.6">
      <c r="A5" s="42" t="str">
        <v>Berkeley - NJ-22-C893 Berkeley I</v>
      </c>
      <c r="B5" s="43" t="str">
        <v>NJ</v>
      </c>
      <c r="C5" s="62"/>
      <c r="D5" s="37"/>
      <c r="E5" s="37" t="str">
        <f t="shared" ref="E5:E8" si="0">IF(AND(ISNUMBER(C5),ISNUMBER(D5)), C5-D5, "")</f>
        <v/>
      </c>
      <c r="F5" s="38" t="str">
        <f>IFERROR(E5/D5, "")</f>
        <v/>
      </c>
      <c r="G5" s="39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51"/>
      <c r="K5" s="61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50"/>
      <c r="K6" s="50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1"/>
      <c r="K7" s="52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0"/>
      <c r="K8" s="50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zoomScale="80" zoomScaleNormal="80" workbookViewId="0">
      <pane xSplit="2" ySplit="3" topLeftCell="C6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customWidth="1"/>
    <col min="11" max="11" width="20.5703125" bestFit="1" customWidth="1"/>
  </cols>
  <sheetData>
    <row r="1" spans="1:11" ht="19.5" customHeight="1">
      <c r="A1" s="85" t="str" cm="1">
        <f t="array" ref="A1">portfolio</f>
        <v>Luminance</v>
      </c>
      <c r="B1" s="85"/>
      <c r="C1" s="85"/>
      <c r="D1" s="86" t="s">
        <v>74</v>
      </c>
      <c r="E1" s="86"/>
      <c r="F1" s="86"/>
      <c r="G1" s="84" t="s">
        <v>75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63"/>
      <c r="K4" s="63"/>
    </row>
    <row r="5" spans="1:11" ht="84" customHeight="1">
      <c r="A5" s="42" t="str">
        <v>Berkeley - NJ-22-C893 Berkeley I</v>
      </c>
      <c r="B5" s="43" t="str">
        <v>NJ</v>
      </c>
      <c r="C5" s="36"/>
      <c r="D5" s="37"/>
      <c r="E5" s="37" t="str">
        <f t="shared" ref="E5:E8" si="0">IF(AND(ISNUMBER(C5),ISNUMBER(D5)), C5-D5, "")</f>
        <v/>
      </c>
      <c r="F5" s="38" t="str">
        <f>IFERROR(E5/D5, "")</f>
        <v/>
      </c>
      <c r="G5" s="39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61"/>
      <c r="K5" s="61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63"/>
      <c r="K6" s="63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61"/>
      <c r="K7" s="60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63"/>
      <c r="K8" s="63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F14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Luminance</v>
      </c>
      <c r="B1" s="85"/>
      <c r="C1" s="85"/>
      <c r="D1" s="86" t="s">
        <v>76</v>
      </c>
      <c r="E1" s="86"/>
      <c r="F1" s="86"/>
      <c r="G1" s="84" t="s">
        <v>77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63"/>
      <c r="K4" s="63"/>
    </row>
    <row r="5" spans="1:11" ht="15.6">
      <c r="A5" s="42" t="str">
        <v>Berkeley - NJ-22-C893 Berkeley I</v>
      </c>
      <c r="B5" s="43" t="str">
        <v>NJ</v>
      </c>
      <c r="C5" s="36"/>
      <c r="D5" s="37"/>
      <c r="E5" s="37" t="str">
        <f t="shared" ref="E5:E8" si="0">IF(AND(ISNUMBER(C5),ISNUMBER(D5)), C5-D5, "")</f>
        <v/>
      </c>
      <c r="F5" s="38" t="str">
        <f>IFERROR(E5/D5, "")</f>
        <v/>
      </c>
      <c r="G5" s="39"/>
      <c r="H5" s="39" t="str">
        <f t="shared" ref="H5:H8" si="1">IF(AND(ISNUMBER(C5),ISNUMBER(G5)), C5-G5, "")</f>
        <v/>
      </c>
      <c r="I5" s="38" t="str">
        <f t="shared" ref="I5:I8" si="2">IFERROR(H5/G5, "")</f>
        <v/>
      </c>
      <c r="J5" s="61"/>
      <c r="K5" s="61"/>
    </row>
    <row r="6" spans="1:11" ht="49.5" customHeight="1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ref="F6:F8" si="3">IFERROR(E6/D6, "")</f>
        <v/>
      </c>
      <c r="G6" s="32"/>
      <c r="H6" s="32" t="str">
        <f t="shared" si="1"/>
        <v/>
      </c>
      <c r="I6" s="33" t="str">
        <f t="shared" si="2"/>
        <v/>
      </c>
      <c r="J6" s="63"/>
      <c r="K6" s="63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61"/>
      <c r="K7" s="60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63"/>
      <c r="K8" s="63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12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Luminance</v>
      </c>
      <c r="B1" s="85"/>
      <c r="C1" s="85"/>
      <c r="D1" s="86" t="s">
        <v>78</v>
      </c>
      <c r="E1" s="86"/>
      <c r="F1" s="86"/>
      <c r="G1" s="84" t="s">
        <v>79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1" ht="15.6">
      <c r="A4" s="40" t="str" cm="1">
        <f t="array" ref="A4:A10">Sites[Site]</f>
        <v xml:space="preserve">Raymond Ed Re-Development - DC-23-0001 </v>
      </c>
      <c r="B4" s="41" t="str" cm="1">
        <f t="array" ref="B4:B10">Sites[State]</f>
        <v>DC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50"/>
    </row>
    <row r="5" spans="1:11" ht="15.6">
      <c r="A5" s="42" t="str">
        <v>Berkeley - NJ-22-C893 Berkeley I</v>
      </c>
      <c r="B5" s="43" t="str">
        <v>NJ</v>
      </c>
      <c r="C5" s="36"/>
      <c r="D5" s="37"/>
      <c r="E5" s="37" t="str">
        <f t="shared" ref="E5:E8" si="0">IF(AND(ISNUMBER(C5),ISNUMBER(D5)), C5-D5, "")</f>
        <v/>
      </c>
      <c r="F5" s="38" t="str">
        <f t="shared" ref="F5:F8" si="1">IFERROR(E5/D5, "")</f>
        <v/>
      </c>
      <c r="G5" s="39"/>
      <c r="H5" s="39" t="str">
        <f t="shared" ref="H5:H8" si="2">IF(AND(ISNUMBER(C5),ISNUMBER(G5)), C5-G5, "")</f>
        <v/>
      </c>
      <c r="I5" s="38" t="str">
        <f t="shared" ref="I5:I8" si="3">IFERROR(H5/G5, "")</f>
        <v/>
      </c>
      <c r="J5" s="61"/>
      <c r="K5" s="61"/>
    </row>
    <row r="6" spans="1:11" ht="15.6">
      <c r="A6" s="44" t="str">
        <v>Berkeley - NJ-22-C894 Berkeley II</v>
      </c>
      <c r="B6" s="41" t="str">
        <v>NJ</v>
      </c>
      <c r="C6" s="29"/>
      <c r="D6" s="30"/>
      <c r="E6" s="30" t="str">
        <f t="shared" si="0"/>
        <v/>
      </c>
      <c r="F6" s="31" t="str">
        <f t="shared" si="1"/>
        <v/>
      </c>
      <c r="G6" s="32"/>
      <c r="H6" s="32" t="str">
        <f t="shared" si="2"/>
        <v/>
      </c>
      <c r="I6" s="33" t="str">
        <f t="shared" si="3"/>
        <v/>
      </c>
      <c r="J6" s="50"/>
      <c r="K6" s="50"/>
    </row>
    <row r="7" spans="1:11" ht="15.6">
      <c r="A7" s="42" t="str">
        <v xml:space="preserve"> BEMS Landfill East</v>
      </c>
      <c r="B7" s="43" t="str">
        <v>NJ</v>
      </c>
      <c r="C7" s="36"/>
      <c r="D7" s="37"/>
      <c r="E7" s="37" t="str">
        <f t="shared" si="0"/>
        <v/>
      </c>
      <c r="F7" s="38" t="str">
        <f t="shared" si="1"/>
        <v/>
      </c>
      <c r="G7" s="39"/>
      <c r="H7" s="39" t="str">
        <f t="shared" si="2"/>
        <v/>
      </c>
      <c r="I7" s="38" t="str">
        <f t="shared" si="3"/>
        <v/>
      </c>
      <c r="J7" s="61"/>
      <c r="K7" s="61"/>
    </row>
    <row r="8" spans="1:11" ht="15.6">
      <c r="A8" s="44" t="str">
        <v>Southampton - BEMS West NJ-22-C898</v>
      </c>
      <c r="B8" s="41" t="str">
        <v>NJ</v>
      </c>
      <c r="C8" s="29"/>
      <c r="D8" s="30"/>
      <c r="E8" s="30" t="str">
        <f t="shared" si="0"/>
        <v/>
      </c>
      <c r="F8" s="31" t="str">
        <f t="shared" si="1"/>
        <v/>
      </c>
      <c r="G8" s="32"/>
      <c r="H8" s="32" t="str">
        <f t="shared" si="2"/>
        <v/>
      </c>
      <c r="I8" s="33" t="str">
        <f t="shared" si="3"/>
        <v/>
      </c>
      <c r="J8" s="50"/>
      <c r="K8" s="50"/>
    </row>
    <row r="9" spans="1:11" ht="14.45">
      <c r="A9" s="9" t="str">
        <v>Lakewood Twp - Emergency Services Dev  - NJ-23-0008</v>
      </c>
      <c r="B9" s="14" t="str">
        <v>NJ</v>
      </c>
      <c r="C9" s="9"/>
      <c r="D9" s="9"/>
      <c r="E9" s="9"/>
      <c r="F9" s="9"/>
      <c r="G9" s="9"/>
      <c r="H9" s="9"/>
      <c r="I9" s="9"/>
      <c r="J9" s="9"/>
      <c r="K9" s="9"/>
    </row>
    <row r="10" spans="1:11" ht="14.45">
      <c r="A10" s="9" t="str">
        <v>Lakewood Township - Public Works</v>
      </c>
      <c r="B10" s="14" t="str">
        <v>NJ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45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</row>
    <row r="12" spans="1:11" ht="14.4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4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4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19" stopIfTrue="1" operator="lessThanOrEqual">
      <formula>-0.1</formula>
    </cfRule>
    <cfRule type="expression" dxfId="3" priority="2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1"/>
  <sheetViews>
    <sheetView workbookViewId="0">
      <pane ySplit="3" topLeftCell="A4" activePane="bottomLeft" state="frozen"/>
      <selection pane="bottomLeft" activeCell="A10" sqref="A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80</v>
      </c>
      <c r="B1" t="s">
        <v>81</v>
      </c>
    </row>
    <row r="3" spans="1:12" ht="13.15">
      <c r="A3" t="s">
        <v>82</v>
      </c>
      <c r="B3" t="s">
        <v>3</v>
      </c>
      <c r="C3" t="s">
        <v>4</v>
      </c>
      <c r="D3" t="s">
        <v>83</v>
      </c>
      <c r="E3" s="2" t="s">
        <v>84</v>
      </c>
    </row>
    <row r="4" spans="1:12" ht="14.45">
      <c r="A4" s="19" t="s">
        <v>85</v>
      </c>
      <c r="B4" t="s">
        <v>86</v>
      </c>
      <c r="C4" s="18" t="s">
        <v>87</v>
      </c>
      <c r="D4" s="17" t="s">
        <v>88</v>
      </c>
      <c r="E4" t="s">
        <v>89</v>
      </c>
      <c r="G4" s="3"/>
    </row>
    <row r="5" spans="1:12" ht="14.45">
      <c r="A5" s="19" t="s">
        <v>90</v>
      </c>
      <c r="B5" t="s">
        <v>91</v>
      </c>
      <c r="C5" s="18" t="s">
        <v>92</v>
      </c>
      <c r="D5" s="17" t="s">
        <v>88</v>
      </c>
      <c r="E5" t="s">
        <v>89</v>
      </c>
      <c r="G5" s="3"/>
    </row>
    <row r="6" spans="1:12" ht="14.45">
      <c r="A6" s="19" t="s">
        <v>93</v>
      </c>
      <c r="B6" t="s">
        <v>94</v>
      </c>
      <c r="C6" s="18" t="s">
        <v>92</v>
      </c>
      <c r="D6" s="17" t="s">
        <v>88</v>
      </c>
      <c r="E6" t="s">
        <v>89</v>
      </c>
      <c r="G6" s="3"/>
    </row>
    <row r="7" spans="1:12" ht="12.75" customHeight="1">
      <c r="A7" s="19" t="s">
        <v>95</v>
      </c>
      <c r="B7" t="s">
        <v>96</v>
      </c>
      <c r="C7" s="18" t="s">
        <v>92</v>
      </c>
      <c r="D7" s="17"/>
      <c r="E7" t="s">
        <v>89</v>
      </c>
    </row>
    <row r="8" spans="1:12" ht="12.75" customHeight="1">
      <c r="A8" s="19" t="s">
        <v>97</v>
      </c>
      <c r="B8" t="s">
        <v>98</v>
      </c>
      <c r="C8" s="18" t="s">
        <v>92</v>
      </c>
      <c r="D8" s="17" t="s">
        <v>88</v>
      </c>
      <c r="E8" t="s">
        <v>89</v>
      </c>
    </row>
    <row r="9" spans="1:12" ht="12.75" customHeight="1">
      <c r="A9" s="70" t="s">
        <v>99</v>
      </c>
      <c r="B9" s="71" t="s">
        <v>99</v>
      </c>
      <c r="C9" s="18" t="s">
        <v>92</v>
      </c>
      <c r="E9" t="s">
        <v>89</v>
      </c>
      <c r="K9" s="16"/>
      <c r="L9" s="16"/>
    </row>
    <row r="10" spans="1:12" ht="12.75" customHeight="1">
      <c r="A10" s="70" t="s">
        <v>100</v>
      </c>
      <c r="B10" s="71" t="s">
        <v>100</v>
      </c>
      <c r="C10" s="18" t="s">
        <v>92</v>
      </c>
      <c r="E10" t="s">
        <v>89</v>
      </c>
      <c r="K10" s="16"/>
      <c r="L10" s="16"/>
    </row>
    <row r="11" spans="1:12" ht="12.75" customHeight="1">
      <c r="K11" s="16"/>
      <c r="L11" s="16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86B234A5-D1F9-499E-939D-8E677C143D94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2025-06-04T04:00:22Z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2025-02-14T20:27:20Z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eeb87d05-063e-4a3d-838a-8833717c204f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