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E3B2C17B-1441-4649-BD78-F967BBBB8A59}" xr6:coauthVersionLast="47" xr6:coauthVersionMax="47" xr10:uidLastSave="{00000000-0000-0000-0000-000000000000}"/>
  <bookViews>
    <workbookView xWindow="-108" yWindow="-108" windowWidth="23256" windowHeight="13896" tabRatio="866" firstSheet="8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G4" i="29"/>
  <c r="G2" i="29" s="1"/>
  <c r="D4" i="29"/>
  <c r="G4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28" l="1"/>
  <c r="I2" i="28" s="1"/>
  <c r="H2" i="33"/>
  <c r="I2" i="33" s="1"/>
  <c r="H2" i="31"/>
  <c r="I2" i="31" s="1"/>
  <c r="G4" i="34"/>
  <c r="G2" i="34" s="1"/>
  <c r="H2" i="21"/>
  <c r="I2" i="21" s="1"/>
  <c r="E4" i="18"/>
  <c r="F4" i="18" s="1"/>
  <c r="H2" i="4"/>
  <c r="I2" i="4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<sst xmlns="http://schemas.openxmlformats.org/spreadsheetml/2006/main" count="246" uniqueCount="59">
  <si>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</si>
  <si>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</si>
  <si>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</si>
  <si>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</si>
  <si>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</si>
  <si>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</si>
  <si>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</si>
  <si>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</si>
  <si>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</si>
  <si>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</si>
  <si>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</si>
  <si>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</si>
  <si>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</si>
  <si>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</si>
  <si>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</si>
  <si>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</si>
  <si>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</si>
  <si>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</si>
  <si>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</si>
  <si>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</si>
  <si>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</si>
  <si>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</si>
  <si>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1.Low generation due to weather/snow.</t>
  </si>
  <si>
    <t>February Actual v. Expected</t>
  </si>
  <si>
    <t>February Actual v. Forecasted</t>
  </si>
  <si>
    <t>1. Low generation due to weather/snow</t>
  </si>
  <si>
    <t>March Actual v. Expected</t>
  </si>
  <si>
    <t>March Actual v. Forecasted</t>
  </si>
  <si>
    <t xml:space="preserve">1.The Site Expected Energy data reporting intermittently throughout the month due to site communication issues in the Unity portal. </t>
  </si>
  <si>
    <t>1. SR098457,SR092283</t>
  </si>
  <si>
    <t>SR092283</t>
  </si>
  <si>
    <t>April Actual v. Expected</t>
  </si>
  <si>
    <t>April Actual v. Forecasted</t>
  </si>
  <si>
    <t>1.Expected energy data reporting intermittently throughout the month due to site communication issue</t>
  </si>
  <si>
    <t>1.SR092283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</si>
  <si>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</si>
  <si>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</si>
  <si>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</si>
  <si>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</si>
  <si>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</si>
  <si>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</si>
  <si>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</si>
  <si>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</si>
  <si>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</si>
  <si>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</si>
  <si>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</si>
  <si>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</si>
  <si>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</si>
  <si>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</si>
  <si>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</si>
  <si>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</si>
  <si>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</si>
  <si>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RMR Group</t>
  </si>
  <si>
    <t>Site DAS Name</t>
  </si>
  <si>
    <t>Update</t>
  </si>
  <si>
    <t>DAS</t>
  </si>
  <si>
    <t>MA - Newton RMR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</si>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</sst>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4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2283" TargetMode="External"/><Relationship Id="rId1" Type="http://schemas.openxmlformats.org/officeDocument/2006/relationships/hyperlink" Target="https://us3.assetplanner.com/service_request?ID=098457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283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C4" sqref="C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RMR Group</v>
      </c>
      <c r="B1" s="45"/>
      <c r="C1" s="45"/>
      <c r="D1" s="46" t="s">
        <v>0</v>
      </c>
      <c r="E1" s="46"/>
      <c r="F1" s="46"/>
      <c r="G1" s="44" t="s">
        <v>1</v>
      </c>
      <c r="H1" s="44"/>
      <c r="I1" s="44"/>
    </row>
    <row r="2" spans="1:9" ht="19.5" customHeight="1">
      <c r="A2" s="47" t="s">
        <v>2</v>
      </c>
      <c r="B2" s="47"/>
      <c r="C2" s="6">
        <f>SUM(C4:C60)</f>
        <v>70203.292999999991</v>
      </c>
      <c r="D2" s="6">
        <f>SUM(D4:D60)</f>
        <v>45661.203999999998</v>
      </c>
      <c r="E2" s="6">
        <f>C2-D2</f>
        <v>24542.088999999993</v>
      </c>
      <c r="F2" s="7">
        <f>IFERROR(E2/D2, 0)</f>
        <v>0.53748230116752926</v>
      </c>
      <c r="G2" s="6">
        <f>SUM(G4:G60)</f>
        <v>0</v>
      </c>
      <c r="H2" s="8">
        <f>C2-G2</f>
        <v>70203.292999999991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SUM('1st Qtr'!C4, '2nd Qtr'!C4, '3rd Qtr'!C4, '4th Qtr'!C4)</f>
        <v>70203.292999999991</v>
      </c>
      <c r="D4" s="14">
        <f>SUM('1st Qtr'!D4, '2nd Qtr'!D4, '3rd Qtr'!D4, '4th Qtr'!D4)</f>
        <v>45661.203999999998</v>
      </c>
      <c r="E4" s="14">
        <f>IF(AND(ISNUMBER(C4),ISNUMBER(D4)), C4-D4, "")</f>
        <v>24542.088999999993</v>
      </c>
      <c r="F4" s="15">
        <f>IFERROR(E4/D4, "")</f>
        <v>0.53748230116752926</v>
      </c>
      <c r="G4" s="16">
        <f>SUM('1st Qtr'!G4,'2nd Qtr'!G4,'3rd Qtr'!G4,'4th Qtr'!G4)</f>
        <v>0</v>
      </c>
      <c r="H4" s="16">
        <f>SUM('1st Qtr'!H4, '2nd Qtr'!H4, '3rd Qtr'!H4, '4th Qtr'!H4)</f>
        <v>70203.292999999991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C4" sqref="C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RMR Group</v>
      </c>
      <c r="B1" s="45"/>
      <c r="C1" s="45"/>
      <c r="D1" s="46" t="s">
        <v>10</v>
      </c>
      <c r="E1" s="46"/>
      <c r="F1" s="46"/>
      <c r="G1" s="44" t="s">
        <v>11</v>
      </c>
      <c r="H1" s="44"/>
      <c r="I1" s="44"/>
    </row>
    <row r="2" spans="1:9" ht="19.5" customHeight="1">
      <c r="A2" s="47" t="s">
        <v>2</v>
      </c>
      <c r="B2" s="47"/>
      <c r="C2" s="6">
        <f>SUM(C4:C68)</f>
        <v>41253.092999999993</v>
      </c>
      <c r="D2" s="6">
        <f>SUM(D4:D68)</f>
        <v>40356.013999999996</v>
      </c>
      <c r="E2" s="6">
        <f>C2-D2</f>
        <v>897.0789999999979</v>
      </c>
      <c r="F2" s="7">
        <f>IFERROR(E2/D2, 0)</f>
        <v>2.222912798077625E-2</v>
      </c>
      <c r="G2" s="6">
        <f>SUM(G4:G68)</f>
        <v>0</v>
      </c>
      <c r="H2" s="8">
        <f>C2-G2</f>
        <v>41253.092999999993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SUM(Jan!C4, Feb!C4, Mar!C4)</f>
        <v>41253.092999999993</v>
      </c>
      <c r="D4" s="14">
        <f>SUM(Jan!D4, Feb!D4, Mar!D4)</f>
        <v>40356.013999999996</v>
      </c>
      <c r="E4" s="14">
        <f>IF(AND(ISNUMBER(C4),ISNUMBER(D4)), C4-D4, "")</f>
        <v>897.0789999999979</v>
      </c>
      <c r="F4" s="15">
        <f>IFERROR(E4/D4, "")</f>
        <v>2.222912798077625E-2</v>
      </c>
      <c r="G4" s="16">
        <f>SUM(Jan!G4, Feb!G4, Mar!G4)</f>
        <v>0</v>
      </c>
      <c r="H4" s="16">
        <f>SUM(Jan!H4, Feb!H4, Mar!H4)</f>
        <v>41253.092999999993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RMR Group</v>
      </c>
      <c r="B1" s="45"/>
      <c r="C1" s="45"/>
      <c r="D1" s="46" t="s">
        <v>12</v>
      </c>
      <c r="E1" s="46"/>
      <c r="F1" s="46"/>
      <c r="G1" s="44" t="s">
        <v>13</v>
      </c>
      <c r="H1" s="44"/>
      <c r="I1" s="44"/>
    </row>
    <row r="2" spans="1:9" ht="19.5" customHeight="1">
      <c r="A2" s="47" t="s">
        <v>2</v>
      </c>
      <c r="B2" s="47"/>
      <c r="C2" s="6">
        <f>SUM(C4:C90)</f>
        <v>28950.2</v>
      </c>
      <c r="D2" s="6">
        <f>SUM(D4:D90)</f>
        <v>5305.19</v>
      </c>
      <c r="E2" s="6">
        <f>C2-D2</f>
        <v>23645.010000000002</v>
      </c>
      <c r="F2" s="7">
        <f>IFERROR(E2/D2, 0)</f>
        <v>4.4569581862289578</v>
      </c>
      <c r="G2" s="6">
        <f>SUM(G4:G90)</f>
        <v>0</v>
      </c>
      <c r="H2" s="8">
        <f>C2-G2</f>
        <v>28950.2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SUM(Apr!C4, May!C4, Jun!C4)</f>
        <v>28950.2</v>
      </c>
      <c r="D4" s="14">
        <f>SUM(Apr!D4, May!D4, Jun!D4)</f>
        <v>5305.19</v>
      </c>
      <c r="E4" s="14">
        <f>IF(AND(ISNUMBER(C4),ISNUMBER(D4)), C4-D4, "")</f>
        <v>23645.010000000002</v>
      </c>
      <c r="F4" s="15">
        <f>IFERROR(E4/D4, "")</f>
        <v>4.4569581862289578</v>
      </c>
      <c r="G4" s="16">
        <f>SUM(Apr!G4+May!G4+Jun!G4)</f>
        <v>0</v>
      </c>
      <c r="H4" s="16">
        <f>SUM(Apr!H4, May!H4, Jun!H4)</f>
        <v>28950.2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RMR Group</v>
      </c>
      <c r="B1" s="45"/>
      <c r="C1" s="45"/>
      <c r="D1" s="46" t="s">
        <v>14</v>
      </c>
      <c r="E1" s="46"/>
      <c r="F1" s="46"/>
      <c r="G1" s="44" t="s">
        <v>15</v>
      </c>
      <c r="H1" s="44"/>
      <c r="I1" s="44"/>
    </row>
    <row r="2" spans="1:9" ht="19.5" customHeight="1">
      <c r="A2" s="47" t="s">
        <v>2</v>
      </c>
      <c r="B2" s="47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9" sqref="E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RMR Group</v>
      </c>
      <c r="B1" s="45"/>
      <c r="C1" s="45"/>
      <c r="D1" s="46" t="s">
        <v>16</v>
      </c>
      <c r="E1" s="46"/>
      <c r="F1" s="46"/>
      <c r="G1" s="44" t="s">
        <v>17</v>
      </c>
      <c r="H1" s="44"/>
      <c r="I1" s="44"/>
    </row>
    <row r="2" spans="1:9" ht="19.5" customHeight="1">
      <c r="A2" s="47" t="s">
        <v>2</v>
      </c>
      <c r="B2" s="47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H12" sqref="H12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RMR Group</v>
      </c>
      <c r="B1" s="45"/>
      <c r="C1" s="45"/>
      <c r="D1" s="46" t="s">
        <v>18</v>
      </c>
      <c r="E1" s="46"/>
      <c r="F1" s="46"/>
      <c r="G1" s="44" t="s">
        <v>19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SUM(C4:C89)</f>
        <v>9261.7929999999997</v>
      </c>
      <c r="D2" s="6">
        <f>SUM(D4:D89)</f>
        <v>15145.214</v>
      </c>
      <c r="E2" s="6">
        <f>C2-D2</f>
        <v>-5883.4210000000003</v>
      </c>
      <c r="F2" s="7">
        <f>IFERROR(E2/D2, 0)</f>
        <v>-0.38846734024359114</v>
      </c>
      <c r="G2" s="6">
        <f>SUM(G4:G89)</f>
        <v>0</v>
      </c>
      <c r="H2" s="8">
        <f>C2-G2</f>
        <v>9261.7929999999997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9261.7929999999997</v>
      </c>
      <c r="D4" s="14">
        <v>15145.214</v>
      </c>
      <c r="E4" s="14">
        <f>IF(AND(ISNUMBER(C4),ISNUMBER(D4)), C4-D4, "")</f>
        <v>-5883.4210000000003</v>
      </c>
      <c r="F4" s="15">
        <f>IFERROR(E4/D4, "")</f>
        <v>-0.38846734024359114</v>
      </c>
      <c r="G4" s="16">
        <v>0</v>
      </c>
      <c r="H4" s="16">
        <f>IF(AND(ISNUMBER(C4),ISNUMBER(G4)), C4-G4, "")</f>
        <v>9261.7929999999997</v>
      </c>
      <c r="I4" s="17" t="str">
        <f>IFERROR(H4/G4, "")</f>
        <v/>
      </c>
      <c r="J4" s="18" t="s">
        <v>22</v>
      </c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zoomScale="80" zoomScaleNormal="80" workbookViewId="0">
      <pane ySplit="2" topLeftCell="A3" activePane="bottomLeft" state="frozen"/>
      <selection pane="bottomLeft" activeCell="J14" sqref="J14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RMR Group</v>
      </c>
      <c r="B1" s="45"/>
      <c r="C1" s="45"/>
      <c r="D1" s="46" t="s">
        <v>23</v>
      </c>
      <c r="E1" s="46"/>
      <c r="F1" s="46"/>
      <c r="G1" s="44" t="s">
        <v>24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SUM(C4:C85)</f>
        <v>7778.7</v>
      </c>
      <c r="D2" s="6">
        <f>SUM(D4:D85)</f>
        <v>15467.3</v>
      </c>
      <c r="E2" s="6">
        <f>C2-D2</f>
        <v>-7688.5999999999995</v>
      </c>
      <c r="F2" s="7">
        <f>IFERROR(E2/D2, 0)</f>
        <v>-0.49708740374855337</v>
      </c>
      <c r="G2" s="6">
        <f>SUM(G4:G85)</f>
        <v>0</v>
      </c>
      <c r="H2" s="8">
        <f>C2-G2</f>
        <v>7778.7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7778.7</v>
      </c>
      <c r="D4" s="14">
        <v>15467.3</v>
      </c>
      <c r="E4" s="14">
        <f>IF(AND(ISNUMBER(C4),ISNUMBER(D4)), C4-D4, "")</f>
        <v>-7688.5999999999995</v>
      </c>
      <c r="F4" s="15">
        <f>IFERROR(E4/D4, "")</f>
        <v>-0.49708740374855337</v>
      </c>
      <c r="G4" s="16">
        <v>0</v>
      </c>
      <c r="H4" s="16">
        <f>IF(AND(ISNUMBER(C4),ISNUMBER(G4)), C4-G4, "")</f>
        <v>7778.7</v>
      </c>
      <c r="I4" s="17" t="str">
        <f>IFERROR(H4/G4, "")</f>
        <v/>
      </c>
      <c r="J4" s="18" t="s">
        <v>25</v>
      </c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32"/>
  <sheetViews>
    <sheetView zoomScale="90" zoomScaleNormal="90" workbookViewId="0">
      <pane ySplit="2" topLeftCell="A3" activePane="bottomLeft" state="frozen"/>
      <selection pane="bottomLeft" activeCell="J17" sqref="J17"/>
      <selection activeCell="H22" sqref="H22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45" t="str" cm="1">
        <f t="array" ref="A1">portfolio</f>
        <v>RMR Group</v>
      </c>
      <c r="B1" s="45"/>
      <c r="C1" s="45"/>
      <c r="D1" s="46" t="s">
        <v>26</v>
      </c>
      <c r="E1" s="46"/>
      <c r="F1" s="46"/>
      <c r="G1" s="44" t="s">
        <v>27</v>
      </c>
      <c r="H1" s="44"/>
      <c r="I1" s="44"/>
      <c r="J1" s="5"/>
      <c r="K1" s="5"/>
    </row>
    <row r="2" spans="1:12" ht="19.5" customHeight="1">
      <c r="A2" s="47" t="s">
        <v>2</v>
      </c>
      <c r="B2" s="47"/>
      <c r="C2" s="6">
        <f>SUM(C4:C90)</f>
        <v>24212.6</v>
      </c>
      <c r="D2" s="6">
        <f>SUM(D4:D90)</f>
        <v>9743.5</v>
      </c>
      <c r="E2" s="6">
        <f>C2-D2</f>
        <v>14469.099999999999</v>
      </c>
      <c r="F2" s="7">
        <f>IFERROR(E2/D2, 0)</f>
        <v>1.4850002565813105</v>
      </c>
      <c r="G2" s="6">
        <f>SUM(G4:G90)</f>
        <v>0</v>
      </c>
      <c r="H2" s="8">
        <f>C2-G2</f>
        <v>24212.6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28.9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24212.6</v>
      </c>
      <c r="D4" s="14">
        <v>9743.5</v>
      </c>
      <c r="E4" s="14">
        <f>IF(AND(ISNUMBER(C4),ISNUMBER(D4)), C4-D4, "")</f>
        <v>14469.099999999999</v>
      </c>
      <c r="F4" s="15">
        <f>IFERROR(E4/D4, "")</f>
        <v>1.4850002565813105</v>
      </c>
      <c r="G4" s="16">
        <v>0</v>
      </c>
      <c r="H4" s="16">
        <f>IF(AND(ISNUMBER(C4),ISNUMBER(G4)), C4-G4, "")</f>
        <v>24212.6</v>
      </c>
      <c r="I4" s="17" t="str">
        <f>IFERROR(H4/G4, "")</f>
        <v/>
      </c>
      <c r="J4" s="18" t="s">
        <v>28</v>
      </c>
      <c r="K4" s="42" t="s">
        <v>29</v>
      </c>
      <c r="L4" s="43" t="s">
        <v>30</v>
      </c>
    </row>
    <row r="5" spans="1:12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hyperlinks>
    <hyperlink ref="K4" r:id="rId1" display="https://us3.assetplanner.com/service_request?ID=098457" xr:uid="{962A6811-2B8D-4A06-9278-93ED38244485}"/>
    <hyperlink ref="L4" r:id="rId2" display="https://us3.assetplanner.com/service_request?ID=092283" xr:uid="{1434438C-4D4C-406F-A50D-AFB596EB6DFB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tabSelected="1" topLeftCell="C1" workbookViewId="0">
      <pane ySplit="2" topLeftCell="A3" activePane="bottomLeft" state="frozen"/>
      <selection pane="bottomLeft" activeCell="G26" sqref="G26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RMR Group</v>
      </c>
      <c r="B1" s="45"/>
      <c r="C1" s="45"/>
      <c r="D1" s="46" t="s">
        <v>31</v>
      </c>
      <c r="E1" s="46"/>
      <c r="F1" s="46"/>
      <c r="G1" s="44" t="s">
        <v>32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28950.2</v>
      </c>
      <c r="D2" s="6">
        <f>SUM(D4:D90)</f>
        <v>5305.19</v>
      </c>
      <c r="E2" s="6">
        <f>C2-D2</f>
        <v>23645.010000000002</v>
      </c>
      <c r="F2" s="7">
        <f>IFERROR(E2/D2, 0)</f>
        <v>4.4569581862289578</v>
      </c>
      <c r="G2" s="6">
        <f>SUM(G4:G90)</f>
        <v>0</v>
      </c>
      <c r="H2" s="8">
        <f>C2-G2</f>
        <v>28950.2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28950.2</v>
      </c>
      <c r="D4" s="14">
        <v>5305.19</v>
      </c>
      <c r="E4" s="14">
        <f>IF(AND(ISNUMBER(C4),ISNUMBER(D4)), C4-D4, "")</f>
        <v>23645.010000000002</v>
      </c>
      <c r="F4" s="15">
        <f>IFERROR(E4/D4, "")</f>
        <v>4.4569581862289578</v>
      </c>
      <c r="G4" s="16">
        <v>0</v>
      </c>
      <c r="H4" s="16">
        <f>IF(AND(ISNUMBER(C4),ISNUMBER(G4)), C4-G4, "")</f>
        <v>28950.2</v>
      </c>
      <c r="I4" s="17" t="str">
        <f>IFERROR(H4/G4, "")</f>
        <v/>
      </c>
      <c r="J4" s="18" t="s">
        <v>33</v>
      </c>
      <c r="K4" s="42" t="s">
        <v>34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hyperlinks>
    <hyperlink ref="K4" r:id="rId1" display="https://us3.assetplanner.com/service_request?ID=092283" xr:uid="{76A249B6-AEF1-4C9C-94D6-23E7DB8E970A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RMR Group</v>
      </c>
      <c r="B1" s="45"/>
      <c r="C1" s="45"/>
      <c r="D1" s="46" t="s">
        <v>35</v>
      </c>
      <c r="E1" s="46"/>
      <c r="F1" s="46"/>
      <c r="G1" s="44" t="s">
        <v>36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RMR Group</v>
      </c>
      <c r="B1" s="45"/>
      <c r="C1" s="45"/>
      <c r="D1" s="46" t="s">
        <v>37</v>
      </c>
      <c r="E1" s="46"/>
      <c r="F1" s="46"/>
      <c r="G1" s="44" t="s">
        <v>38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RMR Group</v>
      </c>
      <c r="B1" s="45"/>
      <c r="C1" s="45"/>
      <c r="D1" s="46" t="s">
        <v>39</v>
      </c>
      <c r="E1" s="46"/>
      <c r="F1" s="46"/>
      <c r="G1" s="44" t="s">
        <v>40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RMR Group</v>
      </c>
      <c r="B1" s="45"/>
      <c r="C1" s="45"/>
      <c r="D1" s="46" t="s">
        <v>41</v>
      </c>
      <c r="E1" s="46"/>
      <c r="F1" s="46"/>
      <c r="G1" s="44" t="s">
        <v>42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RMR Group</v>
      </c>
      <c r="B1" s="45"/>
      <c r="C1" s="45"/>
      <c r="D1" s="46" t="s">
        <v>43</v>
      </c>
      <c r="E1" s="46"/>
      <c r="F1" s="46"/>
      <c r="G1" s="44" t="s">
        <v>44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RMR Group</v>
      </c>
      <c r="B1" s="45"/>
      <c r="C1" s="45"/>
      <c r="D1" s="46" t="s">
        <v>45</v>
      </c>
      <c r="E1" s="46"/>
      <c r="F1" s="46"/>
      <c r="G1" s="44" t="s">
        <v>46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RMR Group</v>
      </c>
      <c r="B1" s="45"/>
      <c r="C1" s="45"/>
      <c r="D1" s="46" t="s">
        <v>47</v>
      </c>
      <c r="E1" s="46"/>
      <c r="F1" s="46"/>
      <c r="G1" s="44" t="s">
        <v>48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RMR Group</v>
      </c>
      <c r="B1" s="45"/>
      <c r="C1" s="45"/>
      <c r="D1" s="46" t="s">
        <v>49</v>
      </c>
      <c r="E1" s="46"/>
      <c r="F1" s="46"/>
      <c r="G1" s="44" t="s">
        <v>50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4" sqref="E14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51</v>
      </c>
      <c r="B1" t="s">
        <v>52</v>
      </c>
    </row>
    <row r="3" spans="1:7" ht="13.15">
      <c r="A3" t="s">
        <v>53</v>
      </c>
      <c r="B3" t="s">
        <v>3</v>
      </c>
      <c r="C3" t="s">
        <v>4</v>
      </c>
      <c r="D3" t="s">
        <v>54</v>
      </c>
      <c r="E3" s="2" t="s">
        <v>55</v>
      </c>
    </row>
    <row r="4" spans="1:7" ht="14.45">
      <c r="A4" t="s">
        <v>56</v>
      </c>
      <c r="B4" t="s">
        <v>56</v>
      </c>
      <c r="C4" s="4" t="s">
        <v>57</v>
      </c>
      <c r="E4" t="s">
        <v>58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E26B669-A686-459C-A5E9-FEC3409C4C81}"/>
</file>

<file path=customXml/itemProps2.xml><?xml version="1.0" encoding="utf-8"?>
<ds:datastoreItem xmlns:ds="http://schemas.openxmlformats.org/officeDocument/2006/customXml" ds:itemID="{F6B2B1A1-1C4B-4AC9-9A7D-7A102DD1C942}"/>
</file>

<file path=customXml/itemProps3.xml><?xml version="1.0" encoding="utf-8"?>
<ds:datastoreItem xmlns:ds="http://schemas.openxmlformats.org/officeDocument/2006/customXml" ds:itemID="{F12EFA50-0068-4A8C-85A0-F1B26389EBC3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89CF5C07-45EB-4100-9AFB-2C6AF77FA787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E3716282-BFD2-4ED2-BA47-BFA1123827F0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13B813D1-56DD-47C3-862A-5F226DB40836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078388C9-06F9-42F4-B857-EF76B5CAF1FD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2025-05-11T08:54:56Z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2024-10-17T18:52:10Z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1c10930e-1e2e-4c4a-9480-e26ec1708da1</vt:lpwstr>
  </property>
  <property fmtid="{D5CDD505-2E9C-101B-9397-08002B2CF9AE}" pid="9" name="MSIP_Label_9d817c99-0b37-4a07-8277-96aa1f96b74b_ContentBits">
    <vt:lpwstr>0</vt:lpwstr>
  </property>
</Properties>
</file>