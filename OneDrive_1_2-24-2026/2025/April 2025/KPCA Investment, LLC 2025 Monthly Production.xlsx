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F7B6F50-2A8C-4EFE-BCB5-B82CFAA5232B}" xr6:coauthVersionLast="47" xr6:coauthVersionMax="47" xr10:uidLastSave="{00000000-0000-0000-0000-000000000000}"/>
  <bookViews>
    <workbookView xWindow="2868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1" l="1"/>
  <c r="H7" i="21"/>
  <c r="I7" i="21" s="1"/>
  <c r="H8" i="21"/>
  <c r="H9" i="21"/>
  <c r="H10" i="21"/>
  <c r="I10" i="21" s="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I10" i="72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H9" i="18"/>
  <c r="D10" i="18"/>
  <c r="C10" i="18"/>
  <c r="H10" i="29"/>
  <c r="G9" i="29"/>
  <c r="G10" i="29"/>
  <c r="D10" i="29"/>
  <c r="C10" i="29"/>
  <c r="E10" i="29" s="1"/>
  <c r="F10" i="29" s="1"/>
  <c r="G10" i="1"/>
  <c r="D10" i="1"/>
  <c r="C10" i="1"/>
  <c r="H10" i="30"/>
  <c r="G10" i="30"/>
  <c r="I10" i="30" s="1"/>
  <c r="D10" i="30"/>
  <c r="C10" i="30"/>
  <c r="E10" i="30" s="1"/>
  <c r="F10" i="30" s="1"/>
  <c r="H10" i="72"/>
  <c r="E10" i="72"/>
  <c r="F10" i="72" s="1"/>
  <c r="H9" i="72"/>
  <c r="I9" i="72" s="1"/>
  <c r="E9" i="72"/>
  <c r="F9" i="72" s="1"/>
  <c r="A4" i="72" a="1"/>
  <c r="A4" i="72" s="1"/>
  <c r="B4" i="72" a="1"/>
  <c r="B4" i="72" s="1"/>
  <c r="E4" i="72"/>
  <c r="F4" i="72"/>
  <c r="H4" i="72"/>
  <c r="I4" i="72"/>
  <c r="G8" i="18"/>
  <c r="G9" i="18"/>
  <c r="D9" i="18"/>
  <c r="C9" i="18"/>
  <c r="G8" i="1"/>
  <c r="G9" i="1"/>
  <c r="D8" i="1"/>
  <c r="D9" i="1"/>
  <c r="C9" i="1"/>
  <c r="D9" i="30"/>
  <c r="C9" i="30"/>
  <c r="E9" i="30" s="1"/>
  <c r="F9" i="30" s="1"/>
  <c r="G6" i="30"/>
  <c r="G7" i="30"/>
  <c r="G8" i="30"/>
  <c r="G9" i="30"/>
  <c r="G5" i="30"/>
  <c r="G4" i="30"/>
  <c r="H9" i="33"/>
  <c r="I9" i="33" s="1"/>
  <c r="E9" i="33"/>
  <c r="F9" i="33" s="1"/>
  <c r="I9" i="31"/>
  <c r="I6" i="31"/>
  <c r="I8" i="31"/>
  <c r="H9" i="31"/>
  <c r="H9" i="30" s="1"/>
  <c r="E9" i="31"/>
  <c r="F9" i="31" s="1"/>
  <c r="H9" i="32"/>
  <c r="I9" i="32" s="1"/>
  <c r="E9" i="32"/>
  <c r="F9" i="32" s="1"/>
  <c r="E8" i="32"/>
  <c r="F8" i="32" s="1"/>
  <c r="E6" i="31"/>
  <c r="H5" i="31"/>
  <c r="D9" i="29"/>
  <c r="C9" i="29"/>
  <c r="E9" i="29" s="1"/>
  <c r="F9" i="29" s="1"/>
  <c r="G5" i="29"/>
  <c r="G6" i="29"/>
  <c r="G7" i="29"/>
  <c r="G8" i="29"/>
  <c r="G4" i="29"/>
  <c r="H9" i="28"/>
  <c r="I9" i="28" s="1"/>
  <c r="E9" i="28"/>
  <c r="F9" i="28" s="1"/>
  <c r="E6" i="26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H10" i="18" l="1"/>
  <c r="I10" i="18" s="1"/>
  <c r="E10" i="18"/>
  <c r="F10" i="18" s="1"/>
  <c r="D10" i="34"/>
  <c r="I8" i="21"/>
  <c r="H9" i="29"/>
  <c r="I9" i="29" s="1"/>
  <c r="I9" i="18"/>
  <c r="G10" i="34"/>
  <c r="E9" i="18"/>
  <c r="F9" i="18" s="1"/>
  <c r="H9" i="34"/>
  <c r="I9" i="3"/>
  <c r="H9" i="1"/>
  <c r="H10" i="1"/>
  <c r="H10" i="34" s="1"/>
  <c r="I9" i="1"/>
  <c r="G8" i="34"/>
  <c r="E10" i="1"/>
  <c r="F10" i="1" s="1"/>
  <c r="C10" i="34"/>
  <c r="E10" i="34" s="1"/>
  <c r="F10" i="34" s="1"/>
  <c r="E9" i="1"/>
  <c r="F9" i="1" s="1"/>
  <c r="I9" i="30"/>
  <c r="C9" i="34"/>
  <c r="G9" i="34"/>
  <c r="I9" i="34" s="1"/>
  <c r="D9" i="34"/>
  <c r="C2" i="3"/>
  <c r="I10" i="34" l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H7" i="31"/>
  <c r="I7" i="31" s="1"/>
  <c r="E7" i="31"/>
  <c r="F7" i="31" s="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E8" i="26"/>
  <c r="F8" i="26" s="1"/>
  <c r="H7" i="26"/>
  <c r="E7" i="26"/>
  <c r="F7" i="26" s="1"/>
  <c r="H6" i="26"/>
  <c r="H6" i="29" s="1"/>
  <c r="F6" i="26"/>
  <c r="H5" i="26"/>
  <c r="E5" i="26"/>
  <c r="F5" i="26" s="1"/>
  <c r="H4" i="26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I8" i="32" l="1"/>
  <c r="H8" i="30"/>
  <c r="H7" i="29"/>
  <c r="I8" i="20"/>
  <c r="H8" i="18"/>
  <c r="I8" i="18" s="1"/>
  <c r="C7" i="34"/>
  <c r="H8" i="1"/>
  <c r="H7" i="34"/>
  <c r="I7" i="34" s="1"/>
  <c r="C6" i="34"/>
  <c r="E6" i="34" s="1"/>
  <c r="F6" i="34" s="1"/>
  <c r="E8" i="1"/>
  <c r="F8" i="1" s="1"/>
  <c r="C8" i="34"/>
  <c r="I8" i="26"/>
  <c r="H8" i="29"/>
  <c r="I8" i="29" s="1"/>
  <c r="D5" i="34"/>
  <c r="I4" i="26"/>
  <c r="H4" i="29"/>
  <c r="I4" i="29" s="1"/>
  <c r="D6" i="34"/>
  <c r="D7" i="34"/>
  <c r="I5" i="26"/>
  <c r="H5" i="29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6" i="26"/>
  <c r="I5" i="29"/>
  <c r="I7" i="26"/>
  <c r="H6" i="18"/>
  <c r="I6" i="18" s="1"/>
  <c r="H4" i="18"/>
  <c r="I4" i="18" s="1"/>
  <c r="H7" i="18"/>
  <c r="I7" i="18" s="1"/>
  <c r="C4" i="34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7" i="34" l="1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<sst xmlns="http://schemas.openxmlformats.org/spreadsheetml/2006/main" count="284" uniqueCount="81">
  <si>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</si>
  <si>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</si>
  <si>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</si>
  <si>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</si>
  <si>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</si>
  <si>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</si>
  <si>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</si>
  <si>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</si>
  <si>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</si>
  <si>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</si>
  <si>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</si>
  <si>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</si>
  <si>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</si>
  <si>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</si>
  <si>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</si>
  <si>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</si>
  <si>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</si>
  <si>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</si>
  <si>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</si>
  <si>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</si>
  <si>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</si>
  <si>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</si>
  <si>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</si>
  <si>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</si>
  <si>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</si>
  <si>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</si>
  <si>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</si>
  <si>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</si>
  <si>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A phase CT dropped 20 amps on 9/26/24. There is a 5 % variance between the meter and total inverter power. Will be addressed in next PM.</t>
  </si>
  <si>
    <t>1.SR098881</t>
  </si>
  <si>
    <t>1.The site is producing as expected. The higher delta value indicates that the forecasted values are on the higher side.</t>
  </si>
  <si>
    <t>1.Inverter 22 has been down a string (5 kW) since it was re-energized on 05/22/2024. The Operations Team is currently reviewing the issue.
2.Inverter 10 was offline from 04/01 and came back online at 10:30 on 04/04. It went offline again at 17:00 on 04/25 and remained offline for the rest of the month. A dispatch has been scheduled for next month.</t>
  </si>
  <si>
    <t>1.SR098879
2.SR099137,SR100773</t>
  </si>
  <si>
    <t>SR099137</t>
  </si>
  <si>
    <t>SR100773</t>
  </si>
  <si>
    <t>1.Inverter 16 is having an history of multiple trip events. On 04/02, a technician addressed that faults occured due to PV imbalance issues and adjusted settings of comibner boxes. However, the inverter tripped again on 04/03 at 13:45, came online at 11:30 on 04/04,even after technician troubleshooted again inverter  tripped at 12:45on 04/04. Issue got resolved after technician ensured all strands were compressed and torqued to 50 in-lbs. Inverter is back online at 14:00 on 04/22</t>
  </si>
  <si>
    <t>1.SR099120,SR099410,SR099504</t>
  </si>
  <si>
    <t>SR099410</t>
  </si>
  <si>
    <t>SR099504</t>
  </si>
  <si>
    <t>1. Inverters 3, 5, and 7 may be swapped with 4, 6, and 8 in PowerTrack, as their performance suggests mismatched string counts—3, 5, and 7 (7-string) are performing like 8-string units, and vice versa.</t>
  </si>
  <si>
    <t>1.SR100567</t>
  </si>
  <si>
    <t xml:space="preserve"> 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</si>
  <si>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</si>
  <si>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</si>
  <si>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</si>
  <si>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</si>
  <si>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</si>
  <si>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</si>
  <si>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</si>
  <si>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</si>
  <si>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</si>
  <si>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</si>
  <si>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</si>
  <si>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</si>
  <si>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</si>
  <si>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</si>
  <si>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</si>
  <si>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</si>
  <si>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</si>
  <si>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KPCA Investment, LLC</t>
  </si>
  <si>
    <t>Site DAS Name</t>
  </si>
  <si>
    <t>Update</t>
  </si>
  <si>
    <t>DAS</t>
  </si>
  <si>
    <t>Kaiser - KP3 - Chino Grand CA6581</t>
  </si>
  <si>
    <t>Chino - 3750-3770 Grand Ave</t>
  </si>
  <si>
    <t>CA</t>
  </si>
  <si>
    <t>AEF</t>
  </si>
  <si>
    <t>PowerTrack</t>
  </si>
  <si>
    <t>Murrietta MOB - CA5341</t>
  </si>
  <si>
    <t>Murrieta - 28150 Keller Rd</t>
  </si>
  <si>
    <t>Kaiser - KP3 - La Habra - CA3841 Site</t>
  </si>
  <si>
    <t>La Habra - 601 E Imperial Way</t>
  </si>
  <si>
    <t>San Jose - Skyport</t>
  </si>
  <si>
    <t>Kaiser - KP3 - SCA Skyport - CN7901 Site</t>
  </si>
  <si>
    <t>Kaiser - KP3 - Irwindale MOB &amp; Garage - CA5681 Site</t>
  </si>
  <si>
    <t>Irwindale - 12761 Schabarum Ave</t>
  </si>
  <si>
    <t>Santa Rosa 6 - CN7001</t>
  </si>
  <si>
    <t>Santa Rosa - 2240 Mercury Way</t>
  </si>
  <si>
    <t>Kaiser - KP3 - Dublin - CN2A99 Site</t>
  </si>
  <si>
    <t>Dublin - 3100 Dublin Blvd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</si>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</sst>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10" fontId="30" fillId="0" borderId="0" xfId="0" applyNumberFormat="1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6" fillId="0" borderId="0" xfId="45"/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30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567" TargetMode="External"/><Relationship Id="rId3" Type="http://schemas.openxmlformats.org/officeDocument/2006/relationships/hyperlink" Target="https://us3.assetplanner.com/service_request?ID=099137" TargetMode="External"/><Relationship Id="rId7" Type="http://schemas.openxmlformats.org/officeDocument/2006/relationships/hyperlink" Target="https://us3.assetplanner.com/service_request?ID=099504" TargetMode="External"/><Relationship Id="rId2" Type="http://schemas.openxmlformats.org/officeDocument/2006/relationships/hyperlink" Target="https://us3.assetplanner.com/service_request?ID=098879" TargetMode="External"/><Relationship Id="rId1" Type="http://schemas.openxmlformats.org/officeDocument/2006/relationships/hyperlink" Target="https://us3.assetplanner.com/service_request?ID=098881" TargetMode="External"/><Relationship Id="rId6" Type="http://schemas.openxmlformats.org/officeDocument/2006/relationships/hyperlink" Target="https://us3.assetplanner.com/service_request?ID=099410" TargetMode="External"/><Relationship Id="rId5" Type="http://schemas.openxmlformats.org/officeDocument/2006/relationships/hyperlink" Target="https://us3.assetplanner.com/service_request?ID=099120" TargetMode="External"/><Relationship Id="rId4" Type="http://schemas.openxmlformats.org/officeDocument/2006/relationships/hyperlink" Target="https://us3.assetplanner.com/service_request?ID=10077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18" sqref="H18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KPCA Investment, LLC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9" t="str" cm="1">
        <f t="array" ref="A4:A10">Sites[Site]</f>
        <v>Chino - 3750-3770 Grand Ave</v>
      </c>
      <c r="B4" s="30" t="str" cm="1">
        <f t="array" ref="B4:B10">Sites[State]</f>
        <v>CA</v>
      </c>
      <c r="C4" s="22">
        <f>SUM('1st Qtr'!C4, '2nd Qtr'!C4, '3rd Qtr'!C4, '4th Qtr'!C4)</f>
        <v>31190.763307372999</v>
      </c>
      <c r="D4" s="12">
        <f>SUM('1st Qtr'!D4, '2nd Qtr'!D4, '3rd Qtr'!D4, '4th Qtr'!D4)</f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f>SUM('1st Qtr'!G4, '2nd Qtr'!G4, '3rd Qtr'!G4, '4th Qtr'!G4)</f>
        <v>40273</v>
      </c>
      <c r="H4" s="14">
        <f>SUM('1st Qtr'!H4, '2nd Qtr'!H4, '3rd Qtr'!H4, '4th Qtr'!H4)</f>
        <v>-9082.2366926270006</v>
      </c>
      <c r="I4" s="15">
        <f>IFERROR(H4/G4, "")</f>
        <v>-0.22551676539187546</v>
      </c>
    </row>
    <row r="5" spans="1:9" ht="15.6">
      <c r="A5" s="50" t="str">
        <v>Murrieta - 28150 Keller Rd</v>
      </c>
      <c r="B5" s="28" t="str">
        <v>CA</v>
      </c>
      <c r="C5" s="16">
        <f>SUM('1st Qtr'!C5, '2nd Qtr'!C5, '3rd Qtr'!C5, '4th Qtr'!C5)</f>
        <v>87140</v>
      </c>
      <c r="D5" s="16">
        <f>SUM('1st Qtr'!D5, '2nd Qtr'!D5, '3rd Qtr'!D5, '4th Qtr'!D5)</f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f>SUM('1st Qtr'!G5, '2nd Qtr'!G5, '3rd Qtr'!G5, '4th Qtr'!G5)</f>
        <v>100122.5</v>
      </c>
      <c r="H5" s="18">
        <f>SUM(Jan!H5, Feb!H5, Mar!H5)</f>
        <v>0</v>
      </c>
      <c r="I5" s="17">
        <f>IFERROR(H5/G5, "")</f>
        <v>0</v>
      </c>
    </row>
    <row r="6" spans="1:9" ht="15.6">
      <c r="A6" s="51" t="str">
        <v>La Habra - 601 E Imperial Way</v>
      </c>
      <c r="B6" s="26" t="str">
        <v>CA</v>
      </c>
      <c r="C6" s="22">
        <f>SUM('1st Qtr'!C6, '2nd Qtr'!C6, '3rd Qtr'!C6, '4th Qtr'!C6)</f>
        <v>17571.880000000099</v>
      </c>
      <c r="D6" s="12">
        <f>SUM('1st Qtr'!D6, '2nd Qtr'!D6, '3rd Qtr'!D6, '4th Qtr'!D6)</f>
        <v>14932.1</v>
      </c>
      <c r="E6" s="12">
        <f t="shared" si="0"/>
        <v>2639.7800000000989</v>
      </c>
      <c r="F6" s="13">
        <f t="shared" ref="F6:F10" si="1">IFERROR(E6/D6, "")</f>
        <v>0.17678558273786665</v>
      </c>
      <c r="G6" s="14">
        <f>SUM('1st Qtr'!G6, '2nd Qtr'!G6, '3rd Qtr'!G6, '4th Qtr'!G6)</f>
        <v>20943.080000000002</v>
      </c>
      <c r="H6" s="14">
        <f>SUM('1st Qtr'!H6, '2nd Qtr'!H6, '3rd Qtr'!H6, '4th Qtr'!H6)</f>
        <v>-3371.1999999999025</v>
      </c>
      <c r="I6" s="15">
        <f t="shared" ref="I6:I10" si="2">IFERROR(H6/G6, "")</f>
        <v>-0.16096963770371417</v>
      </c>
    </row>
    <row r="7" spans="1:9" ht="15.6">
      <c r="A7" s="50" t="str">
        <v>Kaiser - KP3 - SCA Skyport - CN7901 Site</v>
      </c>
      <c r="B7" s="28" t="str">
        <v>CA</v>
      </c>
      <c r="C7" s="16">
        <f>SUM('1st Qtr'!C7, '2nd Qtr'!C7, '3rd Qtr'!C7, '4th Qtr'!C7)</f>
        <v>97799.494882624596</v>
      </c>
      <c r="D7" s="16">
        <f>SUM('1st Qtr'!D7, '2nd Qtr'!D7, '3rd Qtr'!D7, '4th Qtr'!D7)</f>
        <v>102139.7</v>
      </c>
      <c r="E7" s="16">
        <f t="shared" si="0"/>
        <v>-4340.2051173754007</v>
      </c>
      <c r="F7" s="17">
        <f t="shared" si="1"/>
        <v>-4.2492832046455993E-2</v>
      </c>
      <c r="G7" s="18">
        <f>SUM('1st Qtr'!G7, '2nd Qtr'!G7, '3rd Qtr'!G7, '4th Qtr'!G7)</f>
        <v>110380.3</v>
      </c>
      <c r="H7" s="18">
        <f>SUM(Jan!H7, Feb!H7, Mar!H7)</f>
        <v>0</v>
      </c>
      <c r="I7" s="17">
        <f t="shared" si="2"/>
        <v>0</v>
      </c>
    </row>
    <row r="8" spans="1:9" ht="15.6">
      <c r="A8" s="51" t="str">
        <v>Irwindale - 12761 Schabarum Ave</v>
      </c>
      <c r="B8" s="26" t="str">
        <v>CA</v>
      </c>
      <c r="C8" s="22">
        <f>SUM('1st Qtr'!C8, '2nd Qtr'!C8, '3rd Qtr'!C8, '4th Qtr'!C8)</f>
        <v>25974.619999999901</v>
      </c>
      <c r="D8" s="12">
        <f>SUM('1st Qtr'!D8, '2nd Qtr'!D8, '3rd Qtr'!D8, '4th Qtr'!D8)</f>
        <v>20129.849999999999</v>
      </c>
      <c r="E8" s="12">
        <f t="shared" si="0"/>
        <v>5844.7699999999022</v>
      </c>
      <c r="F8" s="13">
        <f t="shared" si="1"/>
        <v>0.29035338067595651</v>
      </c>
      <c r="G8" s="14">
        <f>SUM('1st Qtr'!G8, '2nd Qtr'!G8, '3rd Qtr'!G8, '4th Qtr'!G8)</f>
        <v>29983.3</v>
      </c>
      <c r="H8" s="14">
        <f>SUM('1st Qtr'!H8, '2nd Qtr'!H8, '3rd Qtr'!H8, '4th Qtr'!H8)</f>
        <v>-4008.6800000000985</v>
      </c>
      <c r="I8" s="15">
        <f t="shared" si="2"/>
        <v>-0.13369709138087196</v>
      </c>
    </row>
    <row r="9" spans="1:9" ht="15.6">
      <c r="A9" s="50" t="str">
        <v>Santa Rosa - 2240 Mercury Way</v>
      </c>
      <c r="B9" s="28" t="str">
        <v>CA</v>
      </c>
      <c r="C9" s="16">
        <f>SUM('1st Qtr'!C9, '2nd Qtr'!C9, '3rd Qtr'!C9, '4th Qtr'!C9)</f>
        <v>78610.001533241899</v>
      </c>
      <c r="D9" s="16">
        <f>SUM('1st Qtr'!D9, '2nd Qtr'!D9, '3rd Qtr'!D9, '4th Qtr'!D9)</f>
        <v>86048.7</v>
      </c>
      <c r="E9" s="16">
        <f t="shared" si="0"/>
        <v>-7438.6984667580982</v>
      </c>
      <c r="F9" s="17">
        <f t="shared" si="1"/>
        <v>-8.6447540366770201E-2</v>
      </c>
      <c r="G9" s="18">
        <f>SUM('1st Qtr'!G9, '2nd Qtr'!G9, '3rd Qtr'!G9, '4th Qtr'!G9)</f>
        <v>98920</v>
      </c>
      <c r="H9" s="18">
        <f>SUM(Jan!H9, Feb!H9, Mar!H9)</f>
        <v>0</v>
      </c>
      <c r="I9" s="17">
        <f t="shared" si="2"/>
        <v>0</v>
      </c>
    </row>
    <row r="10" spans="1:9" ht="15.6">
      <c r="A10" s="51" t="str">
        <v>Dublin - 3100 Dublin Blvd</v>
      </c>
      <c r="B10" s="26" t="str">
        <v>MA</v>
      </c>
      <c r="C10" s="22">
        <f>SUM('1st Qtr'!C10, '2nd Qtr'!C10, '3rd Qtr'!C10, '4th Qtr'!C10)</f>
        <v>160445.5</v>
      </c>
      <c r="D10" s="12">
        <f>SUM('1st Qtr'!D10, '2nd Qtr'!D10, '3rd Qtr'!D10, '4th Qtr'!D10)</f>
        <v>182591.4</v>
      </c>
      <c r="E10" s="12">
        <f t="shared" si="0"/>
        <v>-22145.899999999994</v>
      </c>
      <c r="F10" s="13">
        <f t="shared" si="1"/>
        <v>-0.12128665424549018</v>
      </c>
      <c r="G10" s="14">
        <f>SUM('1st Qtr'!G10, '2nd Qtr'!G10, '3rd Qtr'!G10, '4th Qtr'!G10)</f>
        <v>175434</v>
      </c>
      <c r="H10" s="14">
        <f>SUM('1st Qtr'!H10, '2nd Qtr'!H10, '3rd Qtr'!H10, '4th Qtr'!H10)</f>
        <v>-14988.5</v>
      </c>
      <c r="I10" s="15">
        <f t="shared" si="2"/>
        <v>-8.5436688441237155E-2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H10" sqref="H1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KPCA Investment, LLC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SUM(Jan!C5, Feb!C5, Mar!C5)</f>
        <v>0</v>
      </c>
      <c r="D5" s="16">
        <f>SUM(Jan!D5, Feb!D5, Mar!D5)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SUM(Jan!G5, Feb!G5, Mar!G5)</f>
        <v>0</v>
      </c>
      <c r="H5" s="18">
        <f>SUM(Jan!H5, Feb!H5, Mar!H5)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SUM(Jan!C6, Feb!C6, Mar!C6)</f>
        <v>0</v>
      </c>
      <c r="D6" s="12">
        <f>SUM(Jan!D6, Feb!D6, Mar!D6)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SUM(Jan!G6, Feb!G6, Mar!G6)</f>
        <v>0</v>
      </c>
      <c r="H6" s="14">
        <f>SUM(Jan!H6, Feb!H6, Mar!H6)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SUM(Jan!C7, Feb!C7, Mar!C7)</f>
        <v>0</v>
      </c>
      <c r="D7" s="16">
        <f>SUM(Jan!D7, Feb!D7, Mar!D7)</f>
        <v>0</v>
      </c>
      <c r="E7" s="16">
        <f t="shared" si="0"/>
        <v>0</v>
      </c>
      <c r="F7" s="17" t="str">
        <f t="shared" si="1"/>
        <v/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MA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18" sqref="G18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KPCA Investment, LLC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SUM(Apr!C4, May!C4, Jun!C4)</f>
        <v>31190.763307372999</v>
      </c>
      <c r="D4" s="12">
        <f>SUM(Apr!D4, May!D4, Jun!D4)</f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f>SUM(Apr!G4+May!G4+Jun!G4)</f>
        <v>40273</v>
      </c>
      <c r="H4" s="14">
        <f>SUM(Apr!H4, May!H4, Jun!H4)</f>
        <v>-9082.2366926270006</v>
      </c>
      <c r="I4" s="15">
        <f>IFERROR(H4/G4, "")</f>
        <v>-0.22551676539187546</v>
      </c>
    </row>
    <row r="5" spans="1:9" ht="15.6">
      <c r="A5" s="47" t="str">
        <v>Murrieta - 28150 Keller Rd</v>
      </c>
      <c r="B5" s="10" t="str">
        <v>CA</v>
      </c>
      <c r="C5" s="11">
        <f>SUM(Apr!C5, May!C5, Jun!C5)</f>
        <v>87140</v>
      </c>
      <c r="D5" s="16">
        <f>SUM(Apr!D5, May!D5, Jun!D5)</f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f>SUM(Apr!G5+May!G5+Jun!G5)</f>
        <v>100122.5</v>
      </c>
      <c r="H5" s="18">
        <f>SUM(Apr!H5, May!H5, Jun!H5)</f>
        <v>-12982.5</v>
      </c>
      <c r="I5" s="17">
        <f>IFERROR(H5/G5, "")</f>
        <v>-0.12966615895527978</v>
      </c>
    </row>
    <row r="6" spans="1:9" ht="15.6">
      <c r="A6" s="46" t="str">
        <v>La Habra - 601 E Imperial Way</v>
      </c>
      <c r="B6" s="9" t="str">
        <v>CA</v>
      </c>
      <c r="C6" s="22">
        <f>SUM(Apr!C6, May!C6, Jun!C6)</f>
        <v>17571.880000000099</v>
      </c>
      <c r="D6" s="12">
        <f>SUM(Apr!D6, May!D6, Jun!D6)</f>
        <v>14932.1</v>
      </c>
      <c r="E6" s="12">
        <f t="shared" si="0"/>
        <v>2639.7800000000989</v>
      </c>
      <c r="F6" s="13">
        <f t="shared" ref="F6:F10" si="1">IFERROR(E6/D6, "")</f>
        <v>0.17678558273786665</v>
      </c>
      <c r="G6" s="14">
        <f>SUM(Apr!G6+May!G6+Jun!G6)</f>
        <v>20943.080000000002</v>
      </c>
      <c r="H6" s="14">
        <f>SUM(Apr!H6, May!H6, Jun!H6)</f>
        <v>-3371.1999999999025</v>
      </c>
      <c r="I6" s="15">
        <f t="shared" ref="I6:I9" si="2">IFERROR(H6/G6, "")</f>
        <v>-0.16096963770371417</v>
      </c>
    </row>
    <row r="7" spans="1:9" ht="15.6">
      <c r="A7" s="47" t="str">
        <v>Kaiser - KP3 - SCA Skyport - CN7901 Site</v>
      </c>
      <c r="B7" s="10" t="str">
        <v>CA</v>
      </c>
      <c r="C7" s="11">
        <f>SUM(Apr!C7, May!C7, Jun!C7)</f>
        <v>97799.494882624596</v>
      </c>
      <c r="D7" s="16">
        <f>SUM(Apr!D7, May!D7, Jun!D7)</f>
        <v>102139.7</v>
      </c>
      <c r="E7" s="16">
        <f t="shared" si="0"/>
        <v>-4340.2051173754007</v>
      </c>
      <c r="F7" s="17">
        <f t="shared" si="1"/>
        <v>-4.2492832046455993E-2</v>
      </c>
      <c r="G7" s="18">
        <f>SUM(Apr!G7+May!G7+Jun!G7)</f>
        <v>110380.3</v>
      </c>
      <c r="H7" s="18">
        <f>SUM(Apr!H7, May!H7, Jun!H7)</f>
        <v>-12580.805117375407</v>
      </c>
      <c r="I7" s="17">
        <f t="shared" si="2"/>
        <v>-0.11397690636259737</v>
      </c>
    </row>
    <row r="8" spans="1:9" ht="15.6">
      <c r="A8" s="46" t="str">
        <v>Irwindale - 12761 Schabarum Ave</v>
      </c>
      <c r="B8" s="9" t="str">
        <v>CA</v>
      </c>
      <c r="C8" s="22">
        <f>SUM(Apr!C8, May!C8, Jun!C8)</f>
        <v>25974.619999999901</v>
      </c>
      <c r="D8" s="12">
        <f>SUM(Apr!D8, May!D8, Jun!D8)</f>
        <v>20129.849999999999</v>
      </c>
      <c r="E8" s="12">
        <f t="shared" si="0"/>
        <v>5844.7699999999022</v>
      </c>
      <c r="F8" s="13">
        <f t="shared" si="1"/>
        <v>0.29035338067595651</v>
      </c>
      <c r="G8" s="14">
        <f>SUM(Apr!G8+May!G8+Jun!G8)</f>
        <v>29983.3</v>
      </c>
      <c r="H8" s="14">
        <f>SUM(Apr!H8, May!H8, Jun!H8)</f>
        <v>-4008.6800000000985</v>
      </c>
      <c r="I8" s="15">
        <f>IFERROR(H8/G8, "")</f>
        <v>-0.13369709138087196</v>
      </c>
    </row>
    <row r="9" spans="1:9" ht="15.6">
      <c r="A9" s="47" t="str">
        <v>Santa Rosa - 2240 Mercury Way</v>
      </c>
      <c r="B9" s="10" t="str">
        <v>CA</v>
      </c>
      <c r="C9" s="11">
        <f>SUM(Apr!C9, May!C9, Jun!C9)</f>
        <v>78610.001533241899</v>
      </c>
      <c r="D9" s="16">
        <f>SUM(Apr!D9, May!D9, Jun!D9)</f>
        <v>86048.7</v>
      </c>
      <c r="E9" s="16">
        <f t="shared" si="0"/>
        <v>-7438.6984667580982</v>
      </c>
      <c r="F9" s="17">
        <f t="shared" si="1"/>
        <v>-8.6447540366770201E-2</v>
      </c>
      <c r="G9" s="18">
        <f>SUM(Apr!G9+May!G9+Jun!G9)</f>
        <v>98920</v>
      </c>
      <c r="H9" s="18">
        <f>SUM(Apr!H9, May!H9, Jun!H9)</f>
        <v>-20309.998466758101</v>
      </c>
      <c r="I9" s="17">
        <f t="shared" si="2"/>
        <v>-0.20531741272501114</v>
      </c>
    </row>
    <row r="10" spans="1:9" ht="15.6">
      <c r="A10" s="46" t="str">
        <v>Dublin - 3100 Dublin Blvd</v>
      </c>
      <c r="B10" s="9" t="str">
        <v>MA</v>
      </c>
      <c r="C10" s="22">
        <f>SUM(Apr!C10, May!C10, Jun!C10)</f>
        <v>160445.5</v>
      </c>
      <c r="D10" s="12">
        <f>SUM(Apr!D10, May!D10, Jun!D10)</f>
        <v>182591.4</v>
      </c>
      <c r="E10" s="12">
        <f t="shared" si="0"/>
        <v>-22145.899999999994</v>
      </c>
      <c r="F10" s="13">
        <f t="shared" si="1"/>
        <v>-0.12128665424549018</v>
      </c>
      <c r="G10" s="14">
        <f>SUM(Apr!G10+May!G10+Jun!G10)</f>
        <v>175434</v>
      </c>
      <c r="H10" s="14">
        <f>SUM(Apr!H10, May!H10, Jun!H10)</f>
        <v>-14988.5</v>
      </c>
      <c r="I10" s="15">
        <f>IFERROR(H10/G10, "")</f>
        <v>-8.5436688441237155E-2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H7" sqref="H7:H10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KPCA Investment, LLC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 t="shared" ref="I4:I9" si="0"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SUM(Jul!C5, Aug!C5, Sep!C5)</f>
        <v>0</v>
      </c>
      <c r="D5" s="16">
        <f>SUM(Jul!D5, Aug!D5, Sep!D5)</f>
        <v>0</v>
      </c>
      <c r="E5" s="16">
        <f t="shared" ref="E5:E10" si="1">IF(AND(ISNUMBER(C5),ISNUMBER(D5)), C5-D5, "")</f>
        <v>0</v>
      </c>
      <c r="F5" s="17" t="str">
        <f>IFERROR(E5/D5, "")</f>
        <v/>
      </c>
      <c r="G5" s="16">
        <f>SUM(Jul!G5,Aug!G5,Sep!G5)</f>
        <v>0</v>
      </c>
      <c r="H5" s="18">
        <f>SUM(Jul!H5, Aug!H5, Sep!H5)</f>
        <v>0</v>
      </c>
      <c r="I5" s="17" t="str">
        <f t="shared" si="0"/>
        <v/>
      </c>
    </row>
    <row r="6" spans="1:9" ht="15.6">
      <c r="A6" s="46" t="str">
        <v>La Habra - 601 E Imperial Way</v>
      </c>
      <c r="B6" s="9" t="str">
        <v>CA</v>
      </c>
      <c r="C6" s="22">
        <f>SUM(Jul!C6, Aug!C6, Sep!C6)</f>
        <v>0</v>
      </c>
      <c r="D6" s="12">
        <f>SUM(Jul!D6, Aug!D6, Sep!D6)</f>
        <v>0</v>
      </c>
      <c r="E6" s="12">
        <f t="shared" si="1"/>
        <v>0</v>
      </c>
      <c r="F6" s="13" t="str">
        <f t="shared" ref="F6:F10" si="2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si="0"/>
        <v/>
      </c>
    </row>
    <row r="7" spans="1:9" ht="15.6">
      <c r="A7" s="47" t="str">
        <v>Kaiser - KP3 - SCA Skyport - CN7901 Site</v>
      </c>
      <c r="B7" s="10" t="str">
        <v>CA</v>
      </c>
      <c r="C7" s="11">
        <f>SUM(Jul!C7, Aug!C7, Sep!C7)</f>
        <v>0</v>
      </c>
      <c r="D7" s="16">
        <f>SUM(Jul!D7, Aug!D7, Sep!D7)</f>
        <v>0</v>
      </c>
      <c r="E7" s="16">
        <f t="shared" si="1"/>
        <v>0</v>
      </c>
      <c r="F7" s="17" t="str">
        <f t="shared" si="2"/>
        <v/>
      </c>
      <c r="G7" s="16">
        <f>SUM(Jul!G7,Aug!G7,Sep!G7)</f>
        <v>0</v>
      </c>
      <c r="H7" s="18">
        <f>SUM(Jul!H7, Aug!H7, Sep!H7)</f>
        <v>0</v>
      </c>
      <c r="I7" s="17" t="str">
        <f t="shared" si="0"/>
        <v/>
      </c>
    </row>
    <row r="8" spans="1:9" ht="15.6">
      <c r="A8" s="46" t="str">
        <v>Irwindale - 12761 Schabarum Ave</v>
      </c>
      <c r="B8" s="9" t="str">
        <v>CA</v>
      </c>
      <c r="C8" s="22">
        <f>SUM(Jul!C8, Aug!C8, Sep!C8)</f>
        <v>0</v>
      </c>
      <c r="D8" s="12">
        <f>SUM(Jul!D8, Aug!D8, Sep!D8)</f>
        <v>0</v>
      </c>
      <c r="E8" s="12">
        <f t="shared" si="1"/>
        <v>0</v>
      </c>
      <c r="F8" s="13" t="str">
        <f t="shared" si="2"/>
        <v/>
      </c>
      <c r="G8" s="14">
        <f>SUM(Jul!G8,Aug!G8,Sep!G8)</f>
        <v>0</v>
      </c>
      <c r="H8" s="14">
        <f>SUM(Jul!H8, Aug!H8, Sep!H8)</f>
        <v>0</v>
      </c>
      <c r="I8" s="15" t="str">
        <f t="shared" si="0"/>
        <v/>
      </c>
    </row>
    <row r="9" spans="1:9" ht="15.6">
      <c r="A9" s="47" t="str">
        <v>Santa Rosa - 2240 Mercury Way</v>
      </c>
      <c r="B9" s="10" t="str">
        <v>CA</v>
      </c>
      <c r="C9" s="11">
        <f>SUM(Jul!C9, Aug!C9, Sep!C9)</f>
        <v>0</v>
      </c>
      <c r="D9" s="16">
        <f>SUM(Jul!D9, Aug!D9, Sep!D9)</f>
        <v>0</v>
      </c>
      <c r="E9" s="16">
        <f t="shared" si="1"/>
        <v>0</v>
      </c>
      <c r="F9" s="17" t="str">
        <f t="shared" si="2"/>
        <v/>
      </c>
      <c r="G9" s="16">
        <f>SUM(Jul!G9,Aug!G9,Sep!G9)</f>
        <v>0</v>
      </c>
      <c r="H9" s="18">
        <f>SUM(Jul!H9, Aug!H9, Sep!H9)</f>
        <v>0</v>
      </c>
      <c r="I9" s="17" t="str">
        <f t="shared" si="0"/>
        <v/>
      </c>
    </row>
    <row r="10" spans="1:9" ht="15.6">
      <c r="A10" s="46" t="str">
        <v>Dublin - 3100 Dublin Blvd</v>
      </c>
      <c r="B10" s="9" t="str">
        <v>MA</v>
      </c>
      <c r="C10" s="22">
        <f>SUM(Jul!C10, Aug!C10, Sep!C10)</f>
        <v>0</v>
      </c>
      <c r="D10" s="12">
        <f>SUM(Jul!D10, Aug!D10, Sep!D10)</f>
        <v>0</v>
      </c>
      <c r="E10" s="16">
        <f t="shared" si="1"/>
        <v>0</v>
      </c>
      <c r="F10" s="13" t="str">
        <f t="shared" si="2"/>
        <v/>
      </c>
      <c r="G10" s="14">
        <f>SUM(Jul!G10,Aug!G10,Sep!G10)</f>
        <v>0</v>
      </c>
      <c r="H10" s="14">
        <f>SUM(Jul!H10, Aug!H10, Sep!H10)</f>
        <v>0</v>
      </c>
      <c r="I10" s="15"/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KPCA Investment, LLC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MA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zoomScale="60" zoomScaleNormal="60" workbookViewId="0">
      <pane xSplit="2" ySplit="3" topLeftCell="J4" activePane="bottomRight" state="frozen"/>
      <selection pane="bottomRight" activeCell="J21" sqref="J21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4" t="str" cm="1">
        <f t="array" ref="A1">portfolio</f>
        <v>KPCA Investment, LLC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</row>
    <row r="2" spans="1:13" ht="19.5" customHeight="1">
      <c r="A2" s="76" t="s">
        <v>2</v>
      </c>
      <c r="B2" s="7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57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8"/>
      <c r="K4" s="59"/>
      <c r="L4" s="63"/>
      <c r="M4" s="63"/>
    </row>
    <row r="5" spans="1:13" ht="79.5" customHeight="1">
      <c r="A5" s="50" t="str">
        <v>Murrieta - 28150 Keller Rd</v>
      </c>
      <c r="B5" s="29" t="str">
        <v>CA</v>
      </c>
      <c r="C5" s="16"/>
      <c r="D5" s="16"/>
      <c r="E5" s="16" t="str">
        <f t="shared" ref="E5:E10" si="0">IF(AND(ISNUMBER(C5),ISNUMBER(D5)), C5-D5, "")</f>
        <v/>
      </c>
      <c r="F5" s="64" t="str">
        <f t="shared" ref="F5:F10" si="1">IFERROR(E5/D5, "")</f>
        <v/>
      </c>
      <c r="G5" s="18"/>
      <c r="H5" s="18" t="str">
        <f t="shared" ref="H5:H6" si="2">IF(AND(ISNUMBER(C5),ISNUMBER(G5)), C5-G5, "")</f>
        <v/>
      </c>
      <c r="I5" s="17" t="str">
        <f>IFERROR(H5/G5, "")</f>
        <v/>
      </c>
      <c r="J5" s="52"/>
      <c r="K5" s="60"/>
      <c r="L5" s="63"/>
    </row>
    <row r="6" spans="1:13" ht="15.6">
      <c r="A6" s="51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3"/>
    </row>
    <row r="7" spans="1:13" ht="15.6">
      <c r="A7" s="50" t="str">
        <v>Kaiser - KP3 - SCA Skyport - CN7901 Site</v>
      </c>
      <c r="B7" s="29" t="str">
        <v>CA</v>
      </c>
      <c r="C7" s="16"/>
      <c r="D7" s="16"/>
      <c r="E7" s="16" t="str">
        <f t="shared" si="0"/>
        <v/>
      </c>
      <c r="F7" s="16" t="str">
        <f t="shared" si="1"/>
        <v/>
      </c>
      <c r="G7" s="18"/>
      <c r="H7" s="18" t="str">
        <f t="shared" ref="H7:H10" si="4">IF(AND(ISNUMBER(C7),ISNUMBER(G7)), C7-G7, "")</f>
        <v/>
      </c>
      <c r="I7" s="17" t="str">
        <f t="shared" si="3"/>
        <v/>
      </c>
      <c r="J7" s="40"/>
      <c r="K7" s="40"/>
    </row>
    <row r="8" spans="1:13" ht="15.6">
      <c r="A8" s="51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43" t="str">
        <f t="shared" si="1"/>
        <v/>
      </c>
      <c r="G8" s="14"/>
      <c r="H8" s="14" t="str">
        <f t="shared" si="4"/>
        <v/>
      </c>
      <c r="I8" s="15" t="str">
        <f t="shared" si="3"/>
        <v/>
      </c>
      <c r="J8" s="39"/>
      <c r="K8" s="59"/>
      <c r="L8" s="62"/>
      <c r="M8" s="62"/>
    </row>
    <row r="9" spans="1:13" ht="15.6">
      <c r="A9" s="50" t="str">
        <v>Santa Rosa - 2240 Mercury Way</v>
      </c>
      <c r="B9" s="29" t="str">
        <v>CA</v>
      </c>
      <c r="C9" s="16"/>
      <c r="D9" s="16"/>
      <c r="E9" s="16" t="str">
        <f t="shared" si="0"/>
        <v/>
      </c>
      <c r="F9" s="64" t="str">
        <f t="shared" si="1"/>
        <v/>
      </c>
      <c r="G9" s="18"/>
      <c r="H9" s="18" t="str">
        <f t="shared" si="4"/>
        <v/>
      </c>
      <c r="I9" s="17" t="str">
        <f t="shared" si="3"/>
        <v/>
      </c>
      <c r="J9" s="40"/>
      <c r="K9" s="61"/>
      <c r="L9" s="62"/>
    </row>
    <row r="10" spans="1:13" ht="15.6">
      <c r="A10" s="51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43" t="str">
        <f t="shared" si="1"/>
        <v/>
      </c>
      <c r="G10" s="14"/>
      <c r="H10" s="14" t="str">
        <f t="shared" si="4"/>
        <v/>
      </c>
      <c r="I10" s="15" t="str">
        <f t="shared" si="3"/>
        <v/>
      </c>
      <c r="J10" s="39"/>
      <c r="K10" s="59"/>
      <c r="L10" s="62"/>
      <c r="M10" s="62"/>
    </row>
    <row r="11" spans="1:13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7" priority="12" stopIfTrue="1" operator="lessThanOrEqual">
      <formula>-0.1</formula>
    </cfRule>
    <cfRule type="expression" dxfId="46" priority="13">
      <formula>AND(ISNUMBER(F2), F2&gt;=0.1)</formula>
    </cfRule>
  </conditionalFormatting>
  <conditionalFormatting sqref="F4">
    <cfRule type="cellIs" dxfId="45" priority="3" stopIfTrue="1" operator="lessThanOrEqual">
      <formula>-0.1</formula>
    </cfRule>
    <cfRule type="expression" dxfId="44" priority="4">
      <formula>AND(ISNUMBER(F4), F4&gt;=0.1)</formula>
    </cfRule>
  </conditionalFormatting>
  <conditionalFormatting sqref="F6">
    <cfRule type="cellIs" dxfId="43" priority="1" stopIfTrue="1" operator="lessThanOrEqual">
      <formula>-0.1</formula>
    </cfRule>
    <cfRule type="expression" dxfId="42" priority="2">
      <formula>AND(ISNUMBER(F6), F6&gt;=0.1)</formula>
    </cfRule>
  </conditionalFormatting>
  <conditionalFormatting sqref="F11:F79">
    <cfRule type="cellIs" dxfId="41" priority="5" stopIfTrue="1" operator="lessThanOrEqual">
      <formula>-0.1</formula>
    </cfRule>
    <cfRule type="expression" dxfId="40" priority="6">
      <formula>AND(ISNUMBER(F11), F11&gt;=0.1)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4" t="str" cm="1">
        <f t="array" ref="A1">portfolio</f>
        <v>KPCA Investment, LLC</v>
      </c>
      <c r="B1" s="74"/>
      <c r="C1" s="74"/>
      <c r="D1" s="75" t="s">
        <v>22</v>
      </c>
      <c r="E1" s="75"/>
      <c r="F1" s="75"/>
      <c r="G1" s="73" t="s">
        <v>23</v>
      </c>
      <c r="H1" s="73"/>
      <c r="I1" s="73"/>
      <c r="J1" s="4"/>
      <c r="K1" s="4"/>
    </row>
    <row r="2" spans="1:14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6"/>
      <c r="M4" s="66"/>
    </row>
    <row r="5" spans="1:14" ht="201.6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6"/>
      <c r="M5" s="66"/>
      <c r="N5" s="66"/>
    </row>
    <row r="6" spans="1:14" ht="121.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6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6"/>
      <c r="M8" s="66"/>
    </row>
    <row r="9" spans="1:14" ht="98.2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6"/>
      <c r="M9" s="66"/>
    </row>
    <row r="10" spans="1:14" ht="97.5" customHeight="1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6"/>
      <c r="M10" s="66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9" priority="11" stopIfTrue="1" operator="lessThanOrEqual">
      <formula>-0.1</formula>
    </cfRule>
    <cfRule type="expression" dxfId="38" priority="12">
      <formula>AND(ISNUMBER(F2), F2&gt;=0.1)</formula>
    </cfRule>
  </conditionalFormatting>
  <conditionalFormatting sqref="F4:F80 I4:I8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74" t="str" cm="1">
        <f t="array" ref="A1">portfolio</f>
        <v>KPCA Investment, LLC</v>
      </c>
      <c r="B1" s="74"/>
      <c r="C1" s="74"/>
      <c r="D1" s="75" t="s">
        <v>24</v>
      </c>
      <c r="E1" s="75"/>
      <c r="F1" s="75"/>
      <c r="G1" s="73" t="s">
        <v>25</v>
      </c>
      <c r="H1" s="73"/>
      <c r="I1" s="73"/>
      <c r="J1" s="4"/>
      <c r="K1" s="4"/>
    </row>
    <row r="2" spans="1:17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6"/>
      <c r="M5" s="66"/>
      <c r="N5" s="66"/>
    </row>
    <row r="6" spans="1:17" ht="98.2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9"/>
      <c r="N6" s="69"/>
      <c r="O6" s="69"/>
      <c r="P6" s="69"/>
      <c r="Q6" s="69"/>
    </row>
    <row r="7" spans="1:17" ht="78.75" customHeight="1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67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9"/>
      <c r="O7" s="69"/>
      <c r="P7" s="69"/>
      <c r="Q7" s="69"/>
    </row>
    <row r="8" spans="1:17" ht="142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68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9"/>
      <c r="P8" s="69"/>
      <c r="Q8" s="69"/>
    </row>
    <row r="9" spans="1:17" ht="300.7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9"/>
    </row>
    <row r="10" spans="1:17" ht="142.5" customHeight="1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8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9"/>
      <c r="P10" s="69"/>
      <c r="Q10" s="69"/>
    </row>
    <row r="11" spans="1:17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5" priority="7" stopIfTrue="1" operator="lessThanOrEqual">
      <formula>-0.1</formula>
    </cfRule>
    <cfRule type="expression" dxfId="34" priority="8">
      <formula>AND(ISNUMBER(F2), F2&gt;=0.1)</formula>
    </cfRule>
  </conditionalFormatting>
  <conditionalFormatting sqref="F4:F80 I4:I8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2"/>
  <sheetViews>
    <sheetView tabSelected="1" zoomScale="80" zoomScaleNormal="80" workbookViewId="0">
      <pane xSplit="2" ySplit="3" topLeftCell="C4" activePane="bottomRight" state="frozen"/>
      <selection pane="bottomRight" activeCell="O10" sqref="O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3" max="13" width="9.85546875" bestFit="1" customWidth="1"/>
  </cols>
  <sheetData>
    <row r="1" spans="1:14" ht="19.5" customHeight="1">
      <c r="A1" s="74" t="str" cm="1">
        <f t="array" ref="A1">portfolio</f>
        <v>KPCA Investment, LLC</v>
      </c>
      <c r="B1" s="74"/>
      <c r="C1" s="74"/>
      <c r="D1" s="75" t="s">
        <v>26</v>
      </c>
      <c r="E1" s="75"/>
      <c r="F1" s="75"/>
      <c r="G1" s="73" t="s">
        <v>27</v>
      </c>
      <c r="H1" s="73"/>
      <c r="I1" s="73"/>
      <c r="J1" s="4"/>
      <c r="K1" s="4"/>
    </row>
    <row r="2" spans="1:14" ht="19.5" customHeight="1">
      <c r="A2" s="76" t="s">
        <v>2</v>
      </c>
      <c r="B2" s="76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28.9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31190.763307372999</v>
      </c>
      <c r="D4" s="12"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v>40273</v>
      </c>
      <c r="H4" s="14">
        <f>IF(AND(ISNUMBER(C4),ISNUMBER(G4)), C4-G4, "")</f>
        <v>-9082.2366926270006</v>
      </c>
      <c r="I4" s="15">
        <f>IFERROR(H4/G4, "")</f>
        <v>-0.22551676539187546</v>
      </c>
      <c r="J4" s="70" t="s">
        <v>28</v>
      </c>
      <c r="K4" s="72" t="s">
        <v>29</v>
      </c>
      <c r="L4" s="69"/>
      <c r="M4" s="69"/>
      <c r="N4" s="69"/>
    </row>
    <row r="5" spans="1:14" ht="26.45">
      <c r="A5" s="28" t="str">
        <v>Murrieta - 28150 Keller Rd</v>
      </c>
      <c r="B5" s="29" t="str">
        <v>CA</v>
      </c>
      <c r="C5" s="11">
        <v>87140</v>
      </c>
      <c r="D5" s="16"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v>100122.5</v>
      </c>
      <c r="H5" s="18">
        <f t="shared" ref="H5:H10" si="1">IF(AND(ISNUMBER(C5),ISNUMBER(G5)), C5-G5, "")</f>
        <v>-12982.5</v>
      </c>
      <c r="I5" s="17">
        <f t="shared" ref="I5:I10" si="2">IFERROR(H5/G5, "")</f>
        <v>-0.12966615895527978</v>
      </c>
      <c r="J5" s="71" t="s">
        <v>30</v>
      </c>
      <c r="K5" s="52"/>
      <c r="L5" s="69"/>
      <c r="M5" s="69"/>
      <c r="N5" s="69"/>
    </row>
    <row r="6" spans="1:14" ht="30.75" customHeight="1">
      <c r="A6" s="26" t="str">
        <v>La Habra - 601 E Imperial Way</v>
      </c>
      <c r="B6" s="27" t="str">
        <v>CA</v>
      </c>
      <c r="C6" s="22">
        <v>17571.880000000099</v>
      </c>
      <c r="D6" s="12">
        <v>14932.1</v>
      </c>
      <c r="E6" s="12">
        <f t="shared" si="0"/>
        <v>2639.7800000000989</v>
      </c>
      <c r="F6" s="13">
        <f t="shared" ref="F6:F10" si="3">IFERROR(E6/D6, "")</f>
        <v>0.17678558273786665</v>
      </c>
      <c r="G6" s="14">
        <v>20943.080000000002</v>
      </c>
      <c r="H6" s="14">
        <f t="shared" si="1"/>
        <v>-3371.1999999999025</v>
      </c>
      <c r="I6" s="15">
        <f t="shared" si="2"/>
        <v>-0.16096963770371417</v>
      </c>
      <c r="J6" s="70" t="s">
        <v>30</v>
      </c>
      <c r="K6" s="70"/>
      <c r="L6" s="69"/>
      <c r="M6" s="69"/>
      <c r="N6" s="69"/>
    </row>
    <row r="7" spans="1:14" ht="72">
      <c r="A7" s="28" t="str">
        <v>Kaiser - KP3 - SCA Skyport - CN7901 Site</v>
      </c>
      <c r="B7" s="29" t="str">
        <v>CA</v>
      </c>
      <c r="C7" s="11">
        <v>97799.494882624596</v>
      </c>
      <c r="D7" s="16">
        <v>102139.7</v>
      </c>
      <c r="E7" s="16">
        <f t="shared" si="0"/>
        <v>-4340.2051173754007</v>
      </c>
      <c r="F7" s="17">
        <f t="shared" si="3"/>
        <v>-4.2492832046455993E-2</v>
      </c>
      <c r="G7" s="18">
        <v>110380.3</v>
      </c>
      <c r="H7" s="18">
        <f t="shared" si="1"/>
        <v>-12580.805117375407</v>
      </c>
      <c r="I7" s="17">
        <f t="shared" si="2"/>
        <v>-0.11397690636259737</v>
      </c>
      <c r="J7" s="52" t="s">
        <v>31</v>
      </c>
      <c r="K7" s="60" t="s">
        <v>32</v>
      </c>
      <c r="L7" s="62" t="s">
        <v>33</v>
      </c>
      <c r="M7" s="62" t="s">
        <v>34</v>
      </c>
    </row>
    <row r="8" spans="1:14" ht="27" customHeight="1">
      <c r="A8" s="26" t="str">
        <v>Irwindale - 12761 Schabarum Ave</v>
      </c>
      <c r="B8" s="27" t="str">
        <v>CA</v>
      </c>
      <c r="C8" s="22">
        <v>25974.619999999901</v>
      </c>
      <c r="D8" s="12">
        <v>20129.849999999999</v>
      </c>
      <c r="E8" s="12">
        <f t="shared" si="0"/>
        <v>5844.7699999999022</v>
      </c>
      <c r="F8" s="13">
        <f t="shared" si="3"/>
        <v>0.29035338067595651</v>
      </c>
      <c r="G8" s="14">
        <v>29983.3</v>
      </c>
      <c r="H8" s="14">
        <f t="shared" si="1"/>
        <v>-4008.6800000000985</v>
      </c>
      <c r="I8" s="15">
        <f t="shared" si="2"/>
        <v>-0.13369709138087196</v>
      </c>
      <c r="J8" s="70" t="s">
        <v>30</v>
      </c>
      <c r="K8" s="70"/>
      <c r="L8" s="69"/>
      <c r="M8" s="69"/>
      <c r="N8" s="69"/>
    </row>
    <row r="9" spans="1:14" ht="86.45">
      <c r="A9" s="28" t="str">
        <v>Santa Rosa - 2240 Mercury Way</v>
      </c>
      <c r="B9" s="29" t="str">
        <v>CA</v>
      </c>
      <c r="C9" s="11">
        <v>78610.001533241899</v>
      </c>
      <c r="D9" s="16">
        <v>86048.7</v>
      </c>
      <c r="E9" s="16">
        <f t="shared" si="0"/>
        <v>-7438.6984667580982</v>
      </c>
      <c r="F9" s="17">
        <f t="shared" si="3"/>
        <v>-8.6447540366770201E-2</v>
      </c>
      <c r="G9" s="18">
        <v>98920</v>
      </c>
      <c r="H9" s="18">
        <f t="shared" si="1"/>
        <v>-20309.998466758101</v>
      </c>
      <c r="I9" s="17">
        <f t="shared" si="2"/>
        <v>-0.20531741272501114</v>
      </c>
      <c r="J9" s="52" t="s">
        <v>35</v>
      </c>
      <c r="K9" s="60" t="s">
        <v>36</v>
      </c>
      <c r="L9" s="62" t="s">
        <v>37</v>
      </c>
      <c r="M9" s="62" t="s">
        <v>38</v>
      </c>
      <c r="N9" s="69"/>
    </row>
    <row r="10" spans="1:14" ht="48.75" customHeight="1">
      <c r="A10" s="26" t="str">
        <v>Dublin - 3100 Dublin Blvd</v>
      </c>
      <c r="B10" s="27" t="str">
        <v>MA</v>
      </c>
      <c r="C10" s="22">
        <v>160445.5</v>
      </c>
      <c r="D10" s="12">
        <v>182591.4</v>
      </c>
      <c r="E10" s="12">
        <f t="shared" si="0"/>
        <v>-22145.899999999994</v>
      </c>
      <c r="F10" s="13">
        <f t="shared" si="3"/>
        <v>-0.12128665424549018</v>
      </c>
      <c r="G10" s="14">
        <v>175434</v>
      </c>
      <c r="H10" s="14">
        <f t="shared" si="1"/>
        <v>-14988.5</v>
      </c>
      <c r="I10" s="15">
        <f t="shared" si="2"/>
        <v>-8.5436688441237155E-2</v>
      </c>
      <c r="J10" s="70" t="s">
        <v>39</v>
      </c>
      <c r="K10" s="72" t="s">
        <v>40</v>
      </c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 t="s">
        <v>41</v>
      </c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1" priority="5" stopIfTrue="1" operator="lessThanOrEqual">
      <formula>-0.1</formula>
    </cfRule>
    <cfRule type="expression" dxfId="30" priority="6">
      <formula>AND(ISNUMBER(F2), F2&gt;=0.1)</formula>
    </cfRule>
  </conditionalFormatting>
  <conditionalFormatting sqref="F4:F80 I4:I8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hyperlinks>
    <hyperlink ref="K4" r:id="rId1" display="https://us3.assetplanner.com/service_request?ID=098881" xr:uid="{F657DF87-F196-4FA5-B507-AD369CD385A8}"/>
    <hyperlink ref="K7" r:id="rId2" display="https://us3.assetplanner.com/service_request?ID=098879" xr:uid="{DBAF9218-6FFE-42FA-B2A4-67471416AAFA}"/>
    <hyperlink ref="L7" r:id="rId3" display="https://us3.assetplanner.com/service_request?ID=099137" xr:uid="{4624C45C-CE0D-4641-BF60-D6BB46816015}"/>
    <hyperlink ref="M7" r:id="rId4" display="https://us3.assetplanner.com/service_request?ID=100773" xr:uid="{402213B3-3BD3-49E1-B179-8AA2738AF075}"/>
    <hyperlink ref="K9" r:id="rId5" display="https://us3.assetplanner.com/service_request?ID=099120" xr:uid="{C9B2FB03-0166-419C-916C-083D6F4E2EDE}"/>
    <hyperlink ref="L9" r:id="rId6" display="https://us3.assetplanner.com/service_request?ID=099410" xr:uid="{C3701840-2BFE-4E11-992B-62B98BF4FC78}"/>
    <hyperlink ref="M9" r:id="rId7" display="https://us3.assetplanner.com/service_request?ID=099504" xr:uid="{1499B655-23F9-4DB8-AEEB-8BB46A2BD1FB}"/>
    <hyperlink ref="K10" r:id="rId8" display="https://us3.assetplanner.com/service_request?ID=100567" xr:uid="{37F2FF22-AFFB-4C99-8D09-67F35D7267A8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J6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42</v>
      </c>
      <c r="E1" s="75"/>
      <c r="F1" s="75"/>
      <c r="G1" s="73" t="s">
        <v>43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80 I4:I8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44</v>
      </c>
      <c r="E1" s="75"/>
      <c r="F1" s="75"/>
      <c r="G1" s="73" t="s">
        <v>45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34.9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34.9" customHeight="1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3" priority="5" stopIfTrue="1" operator="lessThanOrEqual">
      <formula>-0.1</formula>
    </cfRule>
    <cfRule type="expression" dxfId="22" priority="6">
      <formula>AND(ISNUMBER(F2), F2&gt;=0.1)</formula>
    </cfRule>
  </conditionalFormatting>
  <conditionalFormatting sqref="F4:F80 I4:I8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E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46</v>
      </c>
      <c r="E1" s="75"/>
      <c r="F1" s="75"/>
      <c r="G1" s="73" t="s">
        <v>47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9" priority="5" stopIfTrue="1" operator="lessThanOrEqual">
      <formula>-0.1</formula>
    </cfRule>
    <cfRule type="expression" dxfId="18" priority="6">
      <formula>AND(ISNUMBER(F2), F2&gt;=0.1)</formula>
    </cfRule>
  </conditionalFormatting>
  <conditionalFormatting sqref="F4:F80 I4:I8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G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48</v>
      </c>
      <c r="E1" s="75"/>
      <c r="F1" s="75"/>
      <c r="G1" s="73" t="s">
        <v>49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50</v>
      </c>
      <c r="E1" s="75"/>
      <c r="F1" s="75"/>
      <c r="G1" s="73" t="s">
        <v>51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52</v>
      </c>
      <c r="E1" s="75"/>
      <c r="F1" s="75"/>
      <c r="G1" s="73" t="s">
        <v>53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IFERROR(H5/G6, "")</f>
        <v/>
      </c>
      <c r="J5" s="40"/>
      <c r="K5" s="41"/>
    </row>
    <row r="6" spans="1:11" ht="15.6">
      <c r="A6" s="30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/>
      <c r="I6" s="15" t="str">
        <f t="shared" ref="I6" si="2">IFERROR(H6/G6, "")</f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ref="H7:H9" si="3">IF(AND(ISNUMBER(C7),ISNUMBER(G7)), C7-G7, "")</f>
        <v/>
      </c>
      <c r="I7" s="17" t="str">
        <f t="shared" ref="I7" si="4">IFERROR(H7/G8, "")</f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/>
      <c r="I8" s="15" t="str">
        <f t="shared" ref="I8" si="5">IFERROR(H8/G8, "")</f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3"/>
        <v/>
      </c>
      <c r="I9" s="17" t="str">
        <f>IFERROR(H9/G9, "")</f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11" priority="5" stopIfTrue="1" operator="lessThanOrEqual">
      <formula>-0.1</formula>
    </cfRule>
    <cfRule type="expression" dxfId="10" priority="6">
      <formula>AND(ISNUMBER(F2), F2&gt;=0.1)</formula>
    </cfRule>
  </conditionalFormatting>
  <conditionalFormatting sqref="F4:F80 I4:I8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54</v>
      </c>
      <c r="E1" s="75"/>
      <c r="F1" s="75"/>
      <c r="G1" s="73" t="s">
        <v>55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6"/>
      <c r="K5" s="52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KPCA Investment, LLC</v>
      </c>
      <c r="B1" s="74"/>
      <c r="C1" s="74"/>
      <c r="D1" s="75" t="s">
        <v>56</v>
      </c>
      <c r="E1" s="75"/>
      <c r="F1" s="75"/>
      <c r="G1" s="73" t="s">
        <v>57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56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6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20" sqref="B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48" t="s">
        <v>63</v>
      </c>
      <c r="B4" t="s">
        <v>64</v>
      </c>
      <c r="C4" s="45" t="s">
        <v>65</v>
      </c>
      <c r="D4" s="44" t="s">
        <v>66</v>
      </c>
      <c r="E4" t="s">
        <v>67</v>
      </c>
      <c r="G4" s="3"/>
    </row>
    <row r="5" spans="1:12" ht="14.45">
      <c r="A5" s="48" t="s">
        <v>68</v>
      </c>
      <c r="B5" t="s">
        <v>69</v>
      </c>
      <c r="C5" s="45" t="s">
        <v>65</v>
      </c>
      <c r="D5" s="44" t="s">
        <v>66</v>
      </c>
      <c r="E5" t="s">
        <v>67</v>
      </c>
      <c r="G5" s="3"/>
    </row>
    <row r="6" spans="1:12" ht="14.45">
      <c r="A6" s="48" t="s">
        <v>70</v>
      </c>
      <c r="B6" t="s">
        <v>71</v>
      </c>
      <c r="C6" s="45" t="s">
        <v>65</v>
      </c>
      <c r="D6" s="44" t="s">
        <v>66</v>
      </c>
      <c r="E6" t="s">
        <v>67</v>
      </c>
      <c r="G6" s="3"/>
    </row>
    <row r="7" spans="1:12" ht="12.75" customHeight="1">
      <c r="A7" s="48" t="s">
        <v>72</v>
      </c>
      <c r="B7" t="s">
        <v>73</v>
      </c>
      <c r="C7" s="45" t="s">
        <v>65</v>
      </c>
      <c r="D7" s="44"/>
      <c r="E7" t="s">
        <v>67</v>
      </c>
    </row>
    <row r="8" spans="1:12" ht="12.75" customHeight="1">
      <c r="A8" s="48" t="s">
        <v>74</v>
      </c>
      <c r="B8" t="s">
        <v>75</v>
      </c>
      <c r="C8" s="45" t="s">
        <v>65</v>
      </c>
      <c r="D8" s="44" t="s">
        <v>66</v>
      </c>
      <c r="E8" t="s">
        <v>67</v>
      </c>
    </row>
    <row r="9" spans="1:12" ht="12.75" customHeight="1">
      <c r="A9" s="54" t="s">
        <v>76</v>
      </c>
      <c r="B9" s="55" t="s">
        <v>77</v>
      </c>
      <c r="C9" s="45" t="s">
        <v>65</v>
      </c>
      <c r="D9" s="44" t="s">
        <v>66</v>
      </c>
      <c r="E9" t="s">
        <v>67</v>
      </c>
      <c r="K9" s="42"/>
      <c r="L9" s="42"/>
    </row>
    <row r="10" spans="1:12" ht="12.75" customHeight="1">
      <c r="A10" s="54" t="s">
        <v>78</v>
      </c>
      <c r="B10" s="55" t="s">
        <v>79</v>
      </c>
      <c r="C10" s="45" t="s">
        <v>80</v>
      </c>
      <c r="D10" s="44"/>
      <c r="E10" t="s">
        <v>67</v>
      </c>
      <c r="K10" s="42"/>
      <c r="L10" s="42"/>
    </row>
    <row r="11" spans="1:12" ht="12.75" customHeight="1">
      <c r="K11" s="42"/>
      <c r="L11" s="42"/>
    </row>
    <row r="12" spans="1:12" ht="12.75" customHeight="1">
      <c r="K12" s="42"/>
      <c r="L12" s="42"/>
    </row>
    <row r="13" spans="1:12" ht="12.75" customHeight="1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CCCA9FBC-8E40-46BA-AD66-4D0B4E5886FF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2025-06-18T18:30:12Z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