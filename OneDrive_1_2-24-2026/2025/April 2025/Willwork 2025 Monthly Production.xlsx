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2" documentId="13_ncr:1_{2B0387D1-B7A2-4076-939E-954FD15A1E84}" xr6:coauthVersionLast="47" xr6:coauthVersionMax="47" xr10:uidLastSave="{C8BB3CC8-AB4F-4CB4-AABA-F2D2F44B4D63}"/>
  <bookViews>
    <workbookView xWindow="-98" yWindow="-98" windowWidth="21795" windowHeight="12975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D4" i="29"/>
  <c r="H4" i="19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I4" i="19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4" i="18" l="1"/>
  <c r="F4" i="18" s="1"/>
  <c r="G4" i="34"/>
  <c r="G2" i="34" s="1"/>
  <c r="H2" i="33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<sst xmlns="http://schemas.openxmlformats.org/spreadsheetml/2006/main" count="244" uniqueCount="56">
  <si>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</si>
  <si>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</si>
  <si>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</si>
  <si>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</si>
  <si>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</si>
  <si>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</si>
  <si>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</si>
  <si>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</si>
  <si>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</si>
  <si>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</si>
  <si>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</si>
  <si>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</si>
  <si>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</si>
  <si>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</si>
  <si>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</si>
  <si>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</si>
  <si>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</si>
  <si>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</si>
  <si>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</si>
  <si>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</si>
  <si>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</si>
  <si>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</si>
  <si>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</si>
  <si>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</si>
  <si>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</si>
  <si>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</si>
  <si>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</si>
  <si>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NA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</si>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</sst>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26080.330027</v>
      </c>
      <c r="D2" s="6">
        <f>SUM(D4:D60)</f>
        <v>0</v>
      </c>
      <c r="E2" s="6">
        <f>C2-D2</f>
        <v>26080.330027</v>
      </c>
      <c r="F2" s="7">
        <f>IFERROR(E2/D2, 0)</f>
        <v>0</v>
      </c>
      <c r="G2" s="6">
        <f>SUM(G4:G60)</f>
        <v>16398.758999999998</v>
      </c>
      <c r="H2" s="8">
        <f>C2-G2</f>
        <v>9681.5710270000018</v>
      </c>
      <c r="I2" s="7">
        <f>IFERROR(H2/G2, 0)</f>
        <v>0.59038437158567936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26080.330027</v>
      </c>
      <c r="D4" s="14">
        <f>SUM('1st Qtr'!D4, '2nd Qtr'!D4, '3rd Qtr'!D4, '4th Qtr'!D4)</f>
        <v>0</v>
      </c>
      <c r="E4" s="14">
        <f>IF(AND(ISNUMBER(C4),ISNUMBER(D4)), C4-D4, "")</f>
        <v>26080.330027</v>
      </c>
      <c r="F4" s="15" t="str">
        <f>IFERROR(E4/D4, "")</f>
        <v/>
      </c>
      <c r="G4" s="16">
        <f>SUM('1st Qtr'!G4,'2nd Qtr'!G4,'3rd Qtr'!G4,'4th Qtr'!G4)</f>
        <v>16398.758999999998</v>
      </c>
      <c r="H4" s="16">
        <f>SUM('1st Qtr'!H4, '2nd Qtr'!H4, '3rd Qtr'!H4, '4th Qtr'!H4)</f>
        <v>9681.571027</v>
      </c>
      <c r="I4" s="17">
        <f>IFERROR(H4/G4, "")</f>
        <v>0.59038437158567925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16193.530027000001</v>
      </c>
      <c r="D2" s="6">
        <f>SUM(D4:D68)</f>
        <v>0</v>
      </c>
      <c r="E2" s="6">
        <f>C2-D2</f>
        <v>16193.530027000001</v>
      </c>
      <c r="F2" s="7">
        <f>IFERROR(E2/D2, 0)</f>
        <v>0</v>
      </c>
      <c r="G2" s="6">
        <f>SUM(G4:G68)</f>
        <v>10699.763999999999</v>
      </c>
      <c r="H2" s="8">
        <f>C2-G2</f>
        <v>5493.7660270000015</v>
      </c>
      <c r="I2" s="7">
        <f>IFERROR(H2/G2, 0)</f>
        <v>0.51344740192400518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16193.530027000001</v>
      </c>
      <c r="D4" s="14">
        <f>SUM(Jan!D4, Feb!D4, Mar!D4)</f>
        <v>0</v>
      </c>
      <c r="E4" s="14">
        <f>IF(AND(ISNUMBER(C4),ISNUMBER(D4)), C4-D4, "")</f>
        <v>16193.530027000001</v>
      </c>
      <c r="F4" s="15" t="str">
        <f>IFERROR(E4/D4, "")</f>
        <v/>
      </c>
      <c r="G4" s="16">
        <f>SUM(Jan!G4, Feb!G4, Mar!G4)</f>
        <v>10699.763999999999</v>
      </c>
      <c r="H4" s="16">
        <f>SUM(Jan!H4, Feb!H4, Mar!H4)</f>
        <v>5493.7660270000006</v>
      </c>
      <c r="I4" s="17">
        <f>IFERROR(H4/G4, "")</f>
        <v>0.51344740192400518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9886.7999999999993</v>
      </c>
      <c r="D2" s="6">
        <f>SUM(D4:D90)</f>
        <v>0</v>
      </c>
      <c r="E2" s="6">
        <f>C2-D2</f>
        <v>9886.7999999999993</v>
      </c>
      <c r="F2" s="7">
        <f>IFERROR(E2/D2, 0)</f>
        <v>0</v>
      </c>
      <c r="G2" s="6">
        <f>SUM(G4:G90)</f>
        <v>5698.9949999999999</v>
      </c>
      <c r="H2" s="8">
        <f>C2-G2</f>
        <v>4187.8049999999994</v>
      </c>
      <c r="I2" s="7">
        <f>IFERROR(H2/G2, 0)</f>
        <v>0.73483219409738021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9886.7999999999993</v>
      </c>
      <c r="D4" s="14">
        <f>SUM(Apr!D4, May!D4, Jun!D4)</f>
        <v>0</v>
      </c>
      <c r="E4" s="14">
        <f>IF(AND(ISNUMBER(C4),ISNUMBER(D4)), C4-D4, "")</f>
        <v>9886.7999999999993</v>
      </c>
      <c r="F4" s="15" t="str">
        <f>IFERROR(E4/D4, "")</f>
        <v/>
      </c>
      <c r="G4" s="16">
        <f>SUM(Apr!G4+May!G4+Jun!G4)</f>
        <v>5698.9949999999999</v>
      </c>
      <c r="H4" s="16">
        <f>SUM(Apr!H4, May!H4, Jun!H4)</f>
        <v>4187.8049999999994</v>
      </c>
      <c r="I4" s="17">
        <f>IFERROR(H4/G4, "")</f>
        <v>0.73483219409738021</v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4" activePane="bottomLeft" state="frozen"/>
      <selection pane="bottomLeft" activeCell="G5" sqref="G5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7" sqref="E17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3291.35</v>
      </c>
      <c r="D2" s="6">
        <f>SUM(D4:D89)</f>
        <v>0</v>
      </c>
      <c r="E2" s="6">
        <f>C2-D2</f>
        <v>3291.35</v>
      </c>
      <c r="F2" s="7">
        <f>IFERROR(E2/D2, 0)</f>
        <v>0</v>
      </c>
      <c r="G2" s="6">
        <f>SUM(G4:G89)</f>
        <v>2331.9609999999998</v>
      </c>
      <c r="H2" s="8">
        <f>C2-G2</f>
        <v>959.38900000000012</v>
      </c>
      <c r="I2" s="7">
        <f>IFERROR(H2/G2, 0)</f>
        <v>0.41140868136302461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3291.35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2331.9609999999998</v>
      </c>
      <c r="H4" s="16">
        <f>IF(AND(ISNUMBER(C4),ISNUMBER(G4)), C4-G4, "")</f>
        <v>959.38900000000012</v>
      </c>
      <c r="I4" s="17">
        <f>IFERROR(H4/G4, "")</f>
        <v>0.41140868136302461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D11" sqref="D11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4379.2150000000001</v>
      </c>
      <c r="D2" s="6">
        <f>SUM(D4:D85)</f>
        <v>0</v>
      </c>
      <c r="E2" s="6">
        <f>C2-D2</f>
        <v>4379.2150000000001</v>
      </c>
      <c r="F2" s="7">
        <f>IFERROR(E2/D2, 0)</f>
        <v>0</v>
      </c>
      <c r="G2" s="6">
        <f>SUM(G4:G85)</f>
        <v>3160.8029999999999</v>
      </c>
      <c r="H2" s="8">
        <f>C2-G2</f>
        <v>1218.4120000000003</v>
      </c>
      <c r="I2" s="7">
        <f>IFERROR(H2/G2, 0)</f>
        <v>0.385475463038981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4379.2150000000001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3160.8029999999999</v>
      </c>
      <c r="H4" s="16">
        <f>IF(AND(ISNUMBER(C4),ISNUMBER(G4)), C4-G4, "")</f>
        <v>1218.4120000000003</v>
      </c>
      <c r="I4" s="17">
        <f>IFERROR(H4/G4, "")</f>
        <v>0.385475463038981</v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6" sqref="J6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8522.9650270000002</v>
      </c>
      <c r="D2" s="6">
        <f>SUM(D4:D90)</f>
        <v>0</v>
      </c>
      <c r="E2" s="6">
        <f>C2-D2</f>
        <v>8522.9650270000002</v>
      </c>
      <c r="F2" s="7">
        <f>IFERROR(E2/D2, 0)</f>
        <v>0</v>
      </c>
      <c r="G2" s="6">
        <f>SUM(G4:G90)</f>
        <v>5207</v>
      </c>
      <c r="H2" s="8">
        <f>C2-G2</f>
        <v>3315.9650270000002</v>
      </c>
      <c r="I2" s="7">
        <f>IFERROR(H2/G2, 0)</f>
        <v>0.63682831323218747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8522.9650270000002</v>
      </c>
      <c r="D4" s="14" t="s">
        <v>27</v>
      </c>
      <c r="E4" s="14" t="str">
        <f>IF(AND(ISNUMBER(C4),ISNUMBER(D4)), C4-D4, "")</f>
        <v/>
      </c>
      <c r="F4" s="15" t="str">
        <f>IFERROR(E4/D4, "")</f>
        <v/>
      </c>
      <c r="G4" s="16">
        <v>5207</v>
      </c>
      <c r="H4" s="16">
        <f>IF(AND(ISNUMBER(C4),ISNUMBER(G4)), C4-G4, "")</f>
        <v>3315.9650270000002</v>
      </c>
      <c r="I4" s="17">
        <f>IFERROR(H4/G4, "")</f>
        <v>0.63682831323218747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abSelected="1" zoomScale="80" zoomScaleNormal="80" workbookViewId="0">
      <pane ySplit="2" topLeftCell="A3" activePane="bottomLeft" state="frozen"/>
      <selection pane="bottomLeft" activeCell="J17" sqref="J17:J18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9886.7999999999993</v>
      </c>
      <c r="D2" s="6">
        <f>SUM(D4:D90)</f>
        <v>0</v>
      </c>
      <c r="E2" s="6">
        <f>C2-D2</f>
        <v>9886.7999999999993</v>
      </c>
      <c r="F2" s="7">
        <f>IFERROR(E2/D2, 0)</f>
        <v>0</v>
      </c>
      <c r="G2" s="6">
        <f>SUM(G4:G90)</f>
        <v>5698.9949999999999</v>
      </c>
      <c r="H2" s="8">
        <f>C2-G2</f>
        <v>4187.8049999999994</v>
      </c>
      <c r="I2" s="7">
        <f>IFERROR(H2/G2, 0)</f>
        <v>0.73483219409738021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9886.7999999999993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5698.9949999999999</v>
      </c>
      <c r="H4" s="16">
        <f>IF(AND(ISNUMBER(C4),ISNUMBER(G4)), C4-G4, "")</f>
        <v>4187.8049999999994</v>
      </c>
      <c r="I4" s="17">
        <f>IFERROR(H4/G4, "")</f>
        <v>0.73483219409738021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C1"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11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>
      <c r="A4" t="s">
        <v>51</v>
      </c>
      <c r="B4" t="s">
        <v>52</v>
      </c>
      <c r="C4" s="4" t="s">
        <v>53</v>
      </c>
      <c r="D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8CEB345E-841A-422D-B73A-0505D2B73A60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Short, Michael</cp:lastModifiedBy>
  <cp:revision/>
  <dcterms:created xsi:type="dcterms:W3CDTF">2021-01-01T16:39:53Z</dcterms:created>
  <dcterms:modified xsi:type="dcterms:W3CDTF">2025-05-19T14:09:05Z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