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 documentId="13_ncr:1_{B22EF185-E6A8-4C12-AD6D-CA25609E3878}" xr6:coauthVersionLast="47" xr6:coauthVersionMax="47" xr10:uidLastSave="{893AF0C2-41B1-4DA7-BECB-6B171D023683}"/>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1" l="1"/>
  <c r="H11" i="21"/>
  <c r="E11" i="21"/>
  <c r="F11" i="21" s="1"/>
  <c r="I8" i="21"/>
  <c r="H6" i="21"/>
  <c r="I6" i="21" s="1"/>
  <c r="H7" i="21"/>
  <c r="I7" i="21" s="1"/>
  <c r="H8" i="21"/>
  <c r="H9" i="21"/>
  <c r="I9" i="21" s="1"/>
  <c r="H10" i="21"/>
  <c r="H10" i="18" s="1"/>
  <c r="I10" i="18" s="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I6" i="26"/>
  <c r="I7" i="26"/>
  <c r="I10" i="26"/>
  <c r="I11" i="26"/>
  <c r="H5" i="26"/>
  <c r="I5" i="26" s="1"/>
  <c r="H6" i="26"/>
  <c r="H7" i="26"/>
  <c r="H8" i="26"/>
  <c r="H9" i="26"/>
  <c r="I9" i="26" s="1"/>
  <c r="H10" i="26"/>
  <c r="H11" i="26"/>
  <c r="H11" i="29" s="1"/>
  <c r="I11" i="29" s="1"/>
  <c r="F7" i="26"/>
  <c r="F9" i="26"/>
  <c r="E5" i="26"/>
  <c r="F5" i="26" s="1"/>
  <c r="E6" i="26"/>
  <c r="F6" i="26" s="1"/>
  <c r="E7" i="26"/>
  <c r="E9" i="26"/>
  <c r="E10" i="26"/>
  <c r="F10" i="26" s="1"/>
  <c r="E11" i="26"/>
  <c r="F11" i="26" s="1"/>
  <c r="E5" i="19"/>
  <c r="I6" i="19"/>
  <c r="I7" i="19"/>
  <c r="I8" i="19"/>
  <c r="I10" i="19"/>
  <c r="F5" i="19"/>
  <c r="F6" i="19"/>
  <c r="H5" i="19"/>
  <c r="I5" i="19" s="1"/>
  <c r="H6" i="19"/>
  <c r="H7" i="19"/>
  <c r="H8" i="19"/>
  <c r="H8" i="18" s="1"/>
  <c r="H9" i="19"/>
  <c r="H9" i="18" s="1"/>
  <c r="I9" i="18" s="1"/>
  <c r="H10" i="19"/>
  <c r="H11" i="19"/>
  <c r="E6" i="19"/>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11" i="18" l="1"/>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E6" i="18" s="1"/>
  <c r="F6" i="18" s="1"/>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I5" i="29" s="1"/>
  <c r="H7" i="29"/>
  <c r="I7" i="29" s="1"/>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G2" i="18" s="1"/>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G5" i="34" l="1"/>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<sst xmlns="http://schemas.openxmlformats.org/spreadsheetml/2006/main" count="375" uniqueCount="163">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</sst>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8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H27" sqref="H2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0</v>
      </c>
      <c r="E1" s="83"/>
      <c r="F1" s="83"/>
      <c r="G1" s="81" t="s">
        <v>1</v>
      </c>
      <c r="H1" s="81"/>
      <c r="I1" s="81"/>
    </row>
    <row r="2" spans="1:11" ht="19.5" customHeight="1">
      <c r="A2" s="84" t="s">
        <v>2</v>
      </c>
      <c r="B2" s="84"/>
      <c r="C2" s="6">
        <f>SUM(C4:C60)</f>
        <v>17797317.174846623</v>
      </c>
      <c r="D2" s="6">
        <f>SUM(D4:D60)</f>
        <v>23993238.722002909</v>
      </c>
      <c r="E2" s="6">
        <f>C2-D2</f>
        <v>-6195921.5471562855</v>
      </c>
      <c r="F2" s="7">
        <f>IFERROR(E2/D2, 0)</f>
        <v>-0.25823614806426026</v>
      </c>
      <c r="G2" s="6">
        <f>SUM(G4:G60)</f>
        <v>25049596.5</v>
      </c>
      <c r="H2" s="8">
        <f>C2-G2</f>
        <v>-7252279.3251533769</v>
      </c>
      <c r="I2" s="7">
        <f>IFERROR(H2/G2, 0)</f>
        <v>-0.28951681218311748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1125068</v>
      </c>
      <c r="D4" s="14">
        <f>SUM('1st Qtr'!D4, '2nd Qtr'!D4, '3rd Qtr'!D4, '4th Qtr'!D4)</f>
        <v>1145736.7184449872</v>
      </c>
      <c r="E4" s="14">
        <f t="shared" ref="E4:E11" si="0">IF(AND(ISNUMBER(C4),ISNUMBER(D4)), C4-D4, "")</f>
        <v>-20668.7184449872</v>
      </c>
      <c r="F4" s="15">
        <f t="shared" ref="F4:F11" si="1">IFERROR(E4/D4, "")</f>
        <v>-1.8039675356690259E-2</v>
      </c>
      <c r="G4" s="16">
        <f>SUM('1st Qtr'!G4,'2nd Qtr'!G4,'3rd Qtr'!G4,'4th Qtr'!G4)</f>
        <v>1083809.2000000002</v>
      </c>
      <c r="H4" s="16">
        <f>SUM('1st Qtr'!H4, '2nd Qtr'!H4, '3rd Qtr'!H4, '4th Qtr'!H4)</f>
        <v>41258.799999999785</v>
      </c>
      <c r="I4" s="17">
        <f t="shared" ref="I4:I11" si="2">IFERROR(H4/G4, "")</f>
        <v>3.8068324203189806E-2</v>
      </c>
    </row>
    <row r="5" spans="1:11" ht="15.6">
      <c r="A5" s="31" t="str">
        <v>Bakersfield - 100 Basic School Rd</v>
      </c>
      <c r="B5" s="32" t="str">
        <v>CA</v>
      </c>
      <c r="C5" s="12">
        <f>SUM('1st Qtr'!C5, '2nd Qtr'!C5, '3rd Qtr'!C5, '4th Qtr'!C5)</f>
        <v>3959022.4665132901</v>
      </c>
      <c r="D5" s="12">
        <f>SUM('1st Qtr'!D5, '2nd Qtr'!D5, '3rd Qtr'!D5, '4th Qtr'!D5)</f>
        <v>3726777.6</v>
      </c>
      <c r="E5" s="20">
        <f t="shared" si="0"/>
        <v>232244.86651328998</v>
      </c>
      <c r="F5" s="21">
        <f t="shared" si="1"/>
        <v>6.2317876578760686E-2</v>
      </c>
      <c r="G5" s="12">
        <f>SUM('1st Qtr'!G5,'2nd Qtr'!G5,'3rd Qtr'!G5,'4th Qtr'!G5)</f>
        <v>4020272.6</v>
      </c>
      <c r="H5" s="20">
        <f>SUM('1st Qtr'!H5, '2nd Qtr'!H5, '3rd Qtr'!H5, '4th Qtr'!H5)</f>
        <v>-61250.13348671014</v>
      </c>
      <c r="I5" s="21">
        <f t="shared" si="2"/>
        <v>-1.5235318492260981E-2</v>
      </c>
      <c r="J5" s="11"/>
      <c r="K5" s="19"/>
    </row>
    <row r="6" spans="1:11" ht="15.6">
      <c r="A6" s="13" t="str">
        <v>Fresno - 2685 Cornelia Ave</v>
      </c>
      <c r="B6" s="10" t="str">
        <v>CA</v>
      </c>
      <c r="C6" s="26">
        <f>SUM('1st Qtr'!C6, '2nd Qtr'!C6, '3rd Qtr'!C6, '4th Qtr'!C6)</f>
        <v>3129058</v>
      </c>
      <c r="D6" s="14">
        <f>SUM('1st Qtr'!D6, '2nd Qtr'!D6, '3rd Qtr'!D6, '4th Qtr'!D6)</f>
        <v>7451604</v>
      </c>
      <c r="E6" s="14">
        <f t="shared" si="0"/>
        <v>-4322546</v>
      </c>
      <c r="F6" s="15">
        <f t="shared" si="1"/>
        <v>-0.58008262382166309</v>
      </c>
      <c r="G6" s="16">
        <f>SUM('1st Qtr'!G6,'2nd Qtr'!G6,'3rd Qtr'!G6,'4th Qtr'!G6)</f>
        <v>8058072</v>
      </c>
      <c r="H6" s="16">
        <f>SUM('1st Qtr'!H6, '2nd Qtr'!H6, '3rd Qtr'!H6, '4th Qtr'!H6)</f>
        <v>-4929014</v>
      </c>
      <c r="I6" s="17">
        <f t="shared" si="2"/>
        <v>-0.61168651756896686</v>
      </c>
    </row>
    <row r="7" spans="1:11" ht="15.6">
      <c r="A7" s="31" t="str">
        <v>San Juaquin - S. Placer &amp; W. Adams</v>
      </c>
      <c r="B7" s="32" t="str">
        <v>CA</v>
      </c>
      <c r="C7" s="12">
        <f>SUM('1st Qtr'!C7, '2nd Qtr'!C7, '3rd Qtr'!C7, '4th Qtr'!C7)</f>
        <v>2854492.7083333321</v>
      </c>
      <c r="D7" s="12">
        <f>SUM('1st Qtr'!D7, '2nd Qtr'!D7, '3rd Qtr'!D7, '4th Qtr'!D7)</f>
        <v>3081188.0999999996</v>
      </c>
      <c r="E7" s="20">
        <f t="shared" si="0"/>
        <v>-226695.39166666754</v>
      </c>
      <c r="F7" s="21">
        <f t="shared" si="1"/>
        <v>-7.3574018952840811E-2</v>
      </c>
      <c r="G7" s="12">
        <f>SUM('1st Qtr'!G7,'2nd Qtr'!G7,'3rd Qtr'!G7,'4th Qtr'!G7)</f>
        <v>2928853.4</v>
      </c>
      <c r="H7" s="20">
        <f>SUM('1st Qtr'!H7, '2nd Qtr'!H7, '3rd Qtr'!H7, '4th Qtr'!H7)</f>
        <v>-74360.69166666799</v>
      </c>
      <c r="I7" s="21">
        <f t="shared" si="2"/>
        <v>-2.5389011162753314E-2</v>
      </c>
      <c r="J7" s="11"/>
      <c r="K7" s="19"/>
    </row>
    <row r="8" spans="1:11" ht="15.6">
      <c r="A8" s="13" t="str">
        <v xml:space="preserve">Charlemont - 0 Tea St </v>
      </c>
      <c r="B8" s="10" t="str">
        <v>MA</v>
      </c>
      <c r="C8" s="49">
        <f>SUM('1st Qtr'!C8, '2nd Qtr'!C8, '3rd Qtr'!C8, '4th Qtr'!C8)</f>
        <v>439825</v>
      </c>
      <c r="D8" s="14">
        <f>SUM('1st Qtr'!D8, '2nd Qtr'!D8, '3rd Qtr'!D8, '4th Qtr'!D8)</f>
        <v>1370633.8415628751</v>
      </c>
      <c r="E8" s="14">
        <f t="shared" si="0"/>
        <v>-930808.84156287508</v>
      </c>
      <c r="F8" s="48">
        <f t="shared" si="1"/>
        <v>-0.67910831714290198</v>
      </c>
      <c r="G8" s="47">
        <f>SUM('1st Qtr'!G8,'2nd Qtr'!G8,'3rd Qtr'!G8,'4th Qtr'!G8)</f>
        <v>1309276.2999999998</v>
      </c>
      <c r="H8" s="47">
        <f>SUM('1st Qtr'!H8, '2nd Qtr'!H8, '3rd Qtr'!H8, '4th Qtr'!H8)</f>
        <v>-869451.29999999981</v>
      </c>
      <c r="I8" s="46">
        <f t="shared" si="2"/>
        <v>-0.66407014317757063</v>
      </c>
    </row>
    <row r="9" spans="1:11" ht="15.6">
      <c r="A9" s="31" t="str">
        <v xml:space="preserve">Amherst - 740 Belchertown Rd </v>
      </c>
      <c r="B9" s="32" t="str">
        <v>MA</v>
      </c>
      <c r="C9" s="42">
        <f>SUM('1st Qtr'!C9, '2nd Qtr'!C9, '3rd Qtr'!C9, '4th Qtr'!C9)</f>
        <v>1219292</v>
      </c>
      <c r="D9" s="42">
        <f>SUM('1st Qtr'!D9, '2nd Qtr'!D9, '3rd Qtr'!D9, '4th Qtr'!D9)</f>
        <v>1424239.4221665778</v>
      </c>
      <c r="E9" s="20">
        <f t="shared" si="0"/>
        <v>-204947.42216657777</v>
      </c>
      <c r="F9" s="43">
        <f t="shared" si="1"/>
        <v>-0.14389955717895253</v>
      </c>
      <c r="G9" s="42">
        <f>SUM('1st Qtr'!G9,'2nd Qtr'!G9,'3rd Qtr'!G9,'4th Qtr'!G9)</f>
        <v>1451539</v>
      </c>
      <c r="H9" s="20">
        <f>SUM('1st Qtr'!H9, '2nd Qtr'!H9, '3rd Qtr'!H9, '4th Qtr'!H9)</f>
        <v>-232246.99999999988</v>
      </c>
      <c r="I9" s="43">
        <f t="shared" si="2"/>
        <v>-0.16000052358221162</v>
      </c>
      <c r="J9" s="11"/>
      <c r="K9" s="19"/>
    </row>
    <row r="10" spans="1:11" ht="15.6">
      <c r="A10" s="13" t="str">
        <v xml:space="preserve"> Ludlow - Huxley 1 &amp; 2 - 504 Fuller St </v>
      </c>
      <c r="B10" s="10" t="str">
        <v>MA</v>
      </c>
      <c r="C10" s="49">
        <f>SUM('1st Qtr'!C10, '2nd Qtr'!C10, '3rd Qtr'!C10, '4th Qtr'!C10)</f>
        <v>3148808</v>
      </c>
      <c r="D10" s="14">
        <f>SUM('1st Qtr'!D10, '2nd Qtr'!D10, '3rd Qtr'!D10, '4th Qtr'!D10)</f>
        <v>2991512.8846550644</v>
      </c>
      <c r="E10" s="14">
        <f t="shared" si="0"/>
        <v>157295.11534493556</v>
      </c>
      <c r="F10" s="48">
        <f t="shared" si="1"/>
        <v>5.258045725016907E-2</v>
      </c>
      <c r="G10" s="47">
        <f>SUM('1st Qtr'!G10,'2nd Qtr'!G10,'3rd Qtr'!G10,'4th Qtr'!G10)</f>
        <v>3332573</v>
      </c>
      <c r="H10" s="47">
        <f>SUM('1st Qtr'!H10, '2nd Qtr'!H10, '3rd Qtr'!H10, '4th Qtr'!H10)</f>
        <v>-183764.99999999977</v>
      </c>
      <c r="I10" s="46">
        <f t="shared" si="2"/>
        <v>-5.5142077907970738E-2</v>
      </c>
    </row>
    <row r="11" spans="1:11" ht="15.6">
      <c r="A11" s="31" t="str">
        <v>Easthampton - Beacon 1 &amp; 2 - 540 Florence Rd</v>
      </c>
      <c r="B11" s="32" t="str">
        <v>MA</v>
      </c>
      <c r="C11" s="42">
        <f>SUM('1st Qtr'!C11, '2nd Qtr'!C11, '3rd Qtr'!C11, '4th Qtr'!C11)</f>
        <v>1921751</v>
      </c>
      <c r="D11" s="42">
        <f>SUM('1st Qtr'!D11, '2nd Qtr'!D11, '3rd Qtr'!D11, '4th Qtr'!D11)</f>
        <v>2801546.1551734041</v>
      </c>
      <c r="E11" s="20">
        <f t="shared" si="0"/>
        <v>-879795.15517340414</v>
      </c>
      <c r="F11" s="43">
        <f t="shared" si="1"/>
        <v>-0.3140391435453429</v>
      </c>
      <c r="G11" s="42">
        <f>SUM('1st Qtr'!G11,'2nd Qtr'!G11,'3rd Qtr'!G11,'4th Qtr'!G11)</f>
        <v>2865201.0000000009</v>
      </c>
      <c r="H11" s="20">
        <f>SUM('1st Qtr'!H11, '2nd Qtr'!H11, '3rd Qtr'!H11, '4th Qtr'!H11)</f>
        <v>-943450.00000000116</v>
      </c>
      <c r="I11" s="43">
        <f t="shared" si="2"/>
        <v>-0.32927881848428814</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10</v>
      </c>
      <c r="E1" s="83"/>
      <c r="F1" s="83"/>
      <c r="G1" s="81" t="s">
        <v>11</v>
      </c>
      <c r="H1" s="81"/>
      <c r="I1" s="81"/>
    </row>
    <row r="2" spans="1:11" ht="19.5" customHeight="1">
      <c r="A2" s="84" t="s">
        <v>2</v>
      </c>
      <c r="B2" s="84"/>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12</v>
      </c>
      <c r="E1" s="83"/>
      <c r="F1" s="83"/>
      <c r="G1" s="81" t="s">
        <v>13</v>
      </c>
      <c r="H1" s="81"/>
      <c r="I1" s="81"/>
    </row>
    <row r="2" spans="1:11" ht="19.5" customHeight="1">
      <c r="A2" s="84" t="s">
        <v>2</v>
      </c>
      <c r="B2" s="84"/>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349562</v>
      </c>
      <c r="D4" s="14">
        <f>SUM(Apr!D4, May!D4, Jun!D4)</f>
        <v>335399.02143512102</v>
      </c>
      <c r="E4" s="14">
        <f>IF(AND(ISNUMBER(C4),ISNUMBER(D4)), C4-D4, "")</f>
        <v>14162.978564878984</v>
      </c>
      <c r="F4" s="15">
        <f>IFERROR(E4/D4, "")</f>
        <v>4.2227250706569651E-2</v>
      </c>
      <c r="G4" s="16">
        <f>SUM(Apr!G4+May!G4+Jun!G4)</f>
        <v>357592.30000000022</v>
      </c>
      <c r="H4" s="16">
        <f>SUM(Apr!H4, May!H4, Jun!H4)</f>
        <v>-8030.3000000002212</v>
      </c>
      <c r="I4" s="17">
        <f>IFERROR(H4/G4, "")</f>
        <v>-2.2456579741790345E-2</v>
      </c>
    </row>
    <row r="5" spans="1:11" ht="15.6">
      <c r="A5" s="31" t="str">
        <v>Bakersfield - 100 Basic School Rd</v>
      </c>
      <c r="B5" s="32" t="str">
        <v>CA</v>
      </c>
      <c r="C5" s="12">
        <f>SUM(Apr!C5, May!C5, Jun!C5)</f>
        <v>1209796</v>
      </c>
      <c r="D5" s="12">
        <f>SUM(Apr!D5, May!D5, Jun!D5)</f>
        <v>1250774</v>
      </c>
      <c r="E5" s="20">
        <f t="shared" ref="E5:E7" si="0">IF(AND(ISNUMBER(C5),ISNUMBER(D5)), C5-D5, "")</f>
        <v>-40978</v>
      </c>
      <c r="F5" s="21">
        <f t="shared" ref="F5" si="1">IFERROR(E5/D5, "")</f>
        <v>-3.2762113699197459E-2</v>
      </c>
      <c r="G5" s="12">
        <f>SUM(Apr!G5+May!G5+Jun!G5)</f>
        <v>1397262</v>
      </c>
      <c r="H5" s="20">
        <f>SUM(Apr!H5, May!H5, Jun!H5)</f>
        <v>-187466</v>
      </c>
      <c r="I5" s="21">
        <f t="shared" ref="I5" si="2">IFERROR(H5/G5, "")</f>
        <v>-0.13416667740194752</v>
      </c>
      <c r="J5" s="11"/>
      <c r="K5" s="19"/>
    </row>
    <row r="6" spans="1:11" ht="15.6">
      <c r="A6" s="13" t="str">
        <v>Fresno - 2685 Cornelia Ave</v>
      </c>
      <c r="B6" s="10" t="str">
        <v>CA</v>
      </c>
      <c r="C6" s="26">
        <f>SUM(Apr!C6, May!C6, Jun!C6)</f>
        <v>567887</v>
      </c>
      <c r="D6" s="14">
        <f>SUM(Apr!D6, May!D6, Jun!D6)</f>
        <v>2735287</v>
      </c>
      <c r="E6" s="14">
        <f t="shared" si="0"/>
        <v>-2167400</v>
      </c>
      <c r="F6" s="15">
        <f t="shared" ref="F6:F11" si="3">IFERROR(E6/D6, "")</f>
        <v>-0.79238485760360799</v>
      </c>
      <c r="G6" s="16">
        <f>SUM(Apr!G6+May!G6+Jun!G6)</f>
        <v>2979124</v>
      </c>
      <c r="H6" s="16">
        <f>SUM(Apr!H6, May!H6, Jun!H6)</f>
        <v>-2411237</v>
      </c>
      <c r="I6" s="17">
        <f t="shared" ref="I6:I11" si="4">IFERROR(H6/G6, "")</f>
        <v>-0.80937785738357992</v>
      </c>
    </row>
    <row r="7" spans="1:11" ht="15.6">
      <c r="A7" s="31" t="str">
        <v>San Juaquin - S. Placer &amp; W. Adams</v>
      </c>
      <c r="B7" s="32" t="str">
        <v>CA</v>
      </c>
      <c r="C7" s="12">
        <f>SUM(Apr!C7, May!C7, Jun!C7)</f>
        <v>996777</v>
      </c>
      <c r="D7" s="12">
        <f>SUM(Apr!D7, May!D7, Jun!D7)</f>
        <v>1019173</v>
      </c>
      <c r="E7" s="20">
        <f t="shared" si="0"/>
        <v>-22396</v>
      </c>
      <c r="F7" s="21">
        <f t="shared" si="3"/>
        <v>-2.1974679470511876E-2</v>
      </c>
      <c r="G7" s="12">
        <f>SUM(Apr!G7+May!G7+Jun!G7)</f>
        <v>1093936</v>
      </c>
      <c r="H7" s="20">
        <f>SUM(Apr!H7, May!H7, Jun!H7)</f>
        <v>-97159</v>
      </c>
      <c r="I7" s="21">
        <f t="shared" si="4"/>
        <v>-8.8815981922159976E-2</v>
      </c>
      <c r="J7" s="11"/>
      <c r="K7" s="19"/>
    </row>
    <row r="8" spans="1:11" ht="12.75" customHeight="1">
      <c r="A8" s="13" t="str">
        <v xml:space="preserve">Charlemont - 0 Tea St </v>
      </c>
      <c r="B8" s="10" t="str">
        <v>MA</v>
      </c>
      <c r="C8" s="49">
        <f>SUM(Apr!C8, May!C8, Jun!C8)</f>
        <v>258439</v>
      </c>
      <c r="D8" s="14">
        <f>SUM(Apr!D8, May!D8, Jun!D8)</f>
        <v>429887.88235942344</v>
      </c>
      <c r="E8" s="14">
        <f>IF(AND(ISNUMBER(C8),ISNUMBER(D8)), C8-D8, "")</f>
        <v>-171448.88235942344</v>
      </c>
      <c r="F8" s="48">
        <f t="shared" si="3"/>
        <v>-0.39882231948114638</v>
      </c>
      <c r="G8" s="47">
        <f>SUM(Apr!G8+May!G8+Jun!G8)</f>
        <v>444628.79999999987</v>
      </c>
      <c r="H8" s="47">
        <f>SUM(Apr!H8, May!H8, Jun!H8)</f>
        <v>-186189.79999999987</v>
      </c>
      <c r="I8" s="46">
        <f t="shared" si="4"/>
        <v>-0.41875335110995943</v>
      </c>
    </row>
    <row r="9" spans="1:11" ht="15.6">
      <c r="A9" s="31" t="str">
        <v xml:space="preserve">Amherst - 740 Belchertown Rd </v>
      </c>
      <c r="B9" s="32" t="str">
        <v>MA</v>
      </c>
      <c r="C9" s="42">
        <f>SUM(Apr!C9, May!C9, Jun!C9)</f>
        <v>450159</v>
      </c>
      <c r="D9" s="42">
        <f>SUM(Apr!D9, May!D9, Jun!D9)</f>
        <v>429678.97910781432</v>
      </c>
      <c r="E9" s="20">
        <f>IF(AND(ISNUMBER(C9),ISNUMBER(D9)), C9-D9, "")</f>
        <v>20480.020892185683</v>
      </c>
      <c r="F9" s="43">
        <f t="shared" si="3"/>
        <v>4.7663539265314796E-2</v>
      </c>
      <c r="G9" s="42">
        <f>SUM(Apr!G9+May!G9+Jun!G9)</f>
        <v>514836.99999999994</v>
      </c>
      <c r="H9" s="20">
        <f>SUM(Apr!H9, May!H9, Jun!H9)</f>
        <v>-64677.999999999942</v>
      </c>
      <c r="I9" s="43">
        <f t="shared" si="4"/>
        <v>-0.12562811142167316</v>
      </c>
      <c r="J9" s="11"/>
      <c r="K9" s="19"/>
    </row>
    <row r="10" spans="1:11" ht="15.6">
      <c r="A10" s="13" t="str">
        <v xml:space="preserve"> Ludlow - Huxley 1 &amp; 2 - 504 Fuller St </v>
      </c>
      <c r="B10" s="10" t="str">
        <v>MA</v>
      </c>
      <c r="C10" s="49">
        <f>SUM(Apr!C10, May!C10, Jun!C10)</f>
        <v>1031730.4714171597</v>
      </c>
      <c r="D10" s="14">
        <f>SUM(Apr!D10, May!D10, Jun!D10)</f>
        <v>939764.6634319179</v>
      </c>
      <c r="E10" s="14">
        <f>IF(AND(ISNUMBER(C10),ISNUMBER(D10)), C10-D10, "")</f>
        <v>91965.807985241758</v>
      </c>
      <c r="F10" s="48">
        <f t="shared" si="3"/>
        <v>9.786046609732342E-2</v>
      </c>
      <c r="G10" s="47">
        <f>SUM(Apr!G10+May!G10+Jun!G10)</f>
        <v>1105608</v>
      </c>
      <c r="H10" s="47">
        <f>SUM(Apr!H10, May!H10, Jun!H10)</f>
        <v>-73877.528582840343</v>
      </c>
      <c r="I10" s="46">
        <f t="shared" si="4"/>
        <v>-6.6820725413383714E-2</v>
      </c>
    </row>
    <row r="11" spans="1:11" ht="15.6">
      <c r="A11" s="31" t="str">
        <v>Easthampton - Beacon 1 &amp; 2 - 540 Florence Rd</v>
      </c>
      <c r="B11" s="32" t="str">
        <v>MA</v>
      </c>
      <c r="C11" s="42">
        <f>SUM(Apr!C11, May!C11, Jun!C11)</f>
        <v>700326</v>
      </c>
      <c r="D11" s="42">
        <f>SUM(Apr!D11, May!D11, Jun!D11)</f>
        <v>910814.56772056187</v>
      </c>
      <c r="E11" s="20">
        <f>IF(AND(ISNUMBER(C11),ISNUMBER(D11)), C11-D11, "")</f>
        <v>-210488.56772056187</v>
      </c>
      <c r="F11" s="43">
        <f t="shared" si="3"/>
        <v>-0.23109925464558426</v>
      </c>
      <c r="G11" s="42">
        <f>SUM(Apr!G11+May!G11+Jun!G11)</f>
        <v>987859.00000000116</v>
      </c>
      <c r="H11" s="20">
        <f>SUM(Apr!H11, May!H11, Jun!H11)</f>
        <v>-287533.00000000116</v>
      </c>
      <c r="I11" s="43">
        <f t="shared" si="4"/>
        <v>-0.29106684253522092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E18" sqref="E18"/>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14</v>
      </c>
      <c r="E1" s="83"/>
      <c r="F1" s="83"/>
      <c r="G1" s="81" t="s">
        <v>15</v>
      </c>
      <c r="H1" s="81"/>
      <c r="I1" s="81"/>
    </row>
    <row r="2" spans="1:11" ht="19.5" customHeight="1">
      <c r="A2" s="84" t="s">
        <v>2</v>
      </c>
      <c r="B2" s="84"/>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16</v>
      </c>
      <c r="E1" s="83"/>
      <c r="F1" s="83"/>
      <c r="G1" s="81" t="s">
        <v>17</v>
      </c>
      <c r="H1" s="81"/>
      <c r="I1" s="81"/>
    </row>
    <row r="2" spans="1:11" ht="19.5" customHeight="1">
      <c r="A2" s="84" t="s">
        <v>2</v>
      </c>
      <c r="B2" s="84"/>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82" t="str" cm="1">
        <f t="array" ref="A1">portfolio</f>
        <v>AB CarVal</v>
      </c>
      <c r="B1" s="82"/>
      <c r="C1" s="82"/>
      <c r="D1" s="83" t="s">
        <v>18</v>
      </c>
      <c r="E1" s="83"/>
      <c r="F1" s="83"/>
      <c r="G1" s="81" t="s">
        <v>19</v>
      </c>
      <c r="H1" s="81"/>
      <c r="I1" s="81"/>
      <c r="J1" s="5"/>
      <c r="K1" s="5"/>
    </row>
    <row r="2" spans="1:15" ht="19.5" customHeight="1">
      <c r="A2" s="84" t="s">
        <v>2</v>
      </c>
      <c r="B2" s="84"/>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72">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2" t="str" cm="1">
        <f t="array" ref="A1">portfolio</f>
        <v>AB CarVal</v>
      </c>
      <c r="B1" s="82"/>
      <c r="C1" s="82"/>
      <c r="D1" s="83" t="s">
        <v>46</v>
      </c>
      <c r="E1" s="83"/>
      <c r="F1" s="83"/>
      <c r="G1" s="81" t="s">
        <v>47</v>
      </c>
      <c r="H1" s="81"/>
      <c r="I1" s="81"/>
      <c r="J1" s="5"/>
      <c r="K1" s="5"/>
    </row>
    <row r="2" spans="1:17" ht="19.5" customHeight="1">
      <c r="A2" s="84" t="s">
        <v>2</v>
      </c>
      <c r="B2" s="84"/>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zoomScale="70" zoomScaleNormal="70" workbookViewId="0">
      <pane ySplit="2" topLeftCell="A3" activePane="bottomLeft" state="frozen"/>
      <selection pane="bottomLeft" activeCell="J8" sqref="J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2" t="str" cm="1">
        <f t="array" ref="A1">portfolio</f>
        <v>AB CarVal</v>
      </c>
      <c r="B1" s="82"/>
      <c r="C1" s="82"/>
      <c r="D1" s="83" t="s">
        <v>70</v>
      </c>
      <c r="E1" s="83"/>
      <c r="F1" s="83"/>
      <c r="G1" s="81" t="s">
        <v>71</v>
      </c>
      <c r="H1" s="81"/>
      <c r="I1" s="81"/>
      <c r="J1" s="5"/>
      <c r="K1" s="5"/>
    </row>
    <row r="2" spans="1:17" ht="19.5" customHeight="1">
      <c r="A2" s="84" t="s">
        <v>2</v>
      </c>
      <c r="B2" s="84"/>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tabSelected="1" zoomScale="70" zoomScaleNormal="70" workbookViewId="0">
      <pane ySplit="2" topLeftCell="A6" activePane="bottomLeft" state="frozen"/>
      <selection pane="bottomLeft" activeCell="N9" sqref="N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82" t="str" cm="1">
        <f t="array" ref="A1">portfolio</f>
        <v>AB CarVal</v>
      </c>
      <c r="B1" s="82"/>
      <c r="C1" s="82"/>
      <c r="D1" s="83" t="s">
        <v>96</v>
      </c>
      <c r="E1" s="83"/>
      <c r="F1" s="83"/>
      <c r="G1" s="81" t="s">
        <v>97</v>
      </c>
      <c r="H1" s="81"/>
      <c r="I1" s="81"/>
      <c r="J1" s="5"/>
      <c r="K1" s="5"/>
    </row>
    <row r="2" spans="1:22" ht="19.5" customHeight="1">
      <c r="A2" s="84" t="s">
        <v>2</v>
      </c>
      <c r="B2" s="84"/>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00.9">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30.75">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D16" sqref="D1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121</v>
      </c>
      <c r="E1" s="83"/>
      <c r="F1" s="83"/>
      <c r="G1" s="81" t="s">
        <v>122</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topLeftCell="B1" workbookViewId="0">
      <pane ySplit="2" topLeftCell="A3" activePane="bottomLeft" state="frozen"/>
      <selection pane="bottomLeft" activeCell="H15" sqref="H1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123</v>
      </c>
      <c r="E1" s="83"/>
      <c r="F1" s="83"/>
      <c r="G1" s="81" t="s">
        <v>124</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c r="D8" s="14"/>
      <c r="E8" s="14" t="str">
        <f t="shared" si="0"/>
        <v/>
      </c>
      <c r="F8" s="15" t="str">
        <f t="shared" si="1"/>
        <v/>
      </c>
      <c r="G8" s="47"/>
      <c r="H8" s="47" t="str">
        <f t="shared" si="2"/>
        <v/>
      </c>
      <c r="I8" s="17" t="str">
        <f t="shared" si="3"/>
        <v/>
      </c>
      <c r="J8" s="45"/>
      <c r="K8" s="45"/>
    </row>
    <row r="9" spans="1:11" ht="15.6">
      <c r="A9" s="31" t="str">
        <v xml:space="preserve">Amherst - 740 Belchertown Rd </v>
      </c>
      <c r="B9" s="32" t="str">
        <v>MA</v>
      </c>
      <c r="C9" s="42"/>
      <c r="D9" s="20"/>
      <c r="E9" s="20" t="str">
        <f t="shared" si="0"/>
        <v/>
      </c>
      <c r="F9" s="65" t="str">
        <f t="shared" si="1"/>
        <v/>
      </c>
      <c r="G9" s="44"/>
      <c r="H9" s="44" t="str">
        <f t="shared" si="2"/>
        <v/>
      </c>
      <c r="I9" s="65" t="str">
        <f t="shared" si="3"/>
        <v/>
      </c>
      <c r="J9" s="11"/>
      <c r="K9" s="19"/>
    </row>
    <row r="10" spans="1:11" ht="15.6">
      <c r="A10" s="33" t="str">
        <v xml:space="preserve"> Ludlow - Huxley 1 &amp; 2 - 504 Fuller St </v>
      </c>
      <c r="B10" s="30" t="str">
        <v>MA</v>
      </c>
      <c r="C10" s="49"/>
      <c r="D10" s="14"/>
      <c r="E10" s="14" t="str">
        <f t="shared" si="0"/>
        <v/>
      </c>
      <c r="F10" s="15" t="str">
        <f t="shared" si="1"/>
        <v/>
      </c>
      <c r="G10" s="47"/>
      <c r="H10" s="47" t="str">
        <f t="shared" si="2"/>
        <v/>
      </c>
      <c r="I10" s="17" t="str">
        <f t="shared" si="3"/>
        <v/>
      </c>
      <c r="J10" s="45"/>
      <c r="K10" s="45"/>
    </row>
    <row r="11" spans="1:11" ht="15.6">
      <c r="A11" s="31" t="str">
        <v>Easthampton - Beacon 1 &amp; 2 - 540 Florence Rd</v>
      </c>
      <c r="B11" s="32" t="str">
        <v>MA</v>
      </c>
      <c r="C11" s="42"/>
      <c r="D11" s="20"/>
      <c r="E11" s="20" t="str">
        <f t="shared" si="0"/>
        <v/>
      </c>
      <c r="F11" s="65" t="str">
        <f t="shared" si="1"/>
        <v/>
      </c>
      <c r="G11" s="44"/>
      <c r="H11" s="44"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125</v>
      </c>
      <c r="E1" s="83"/>
      <c r="F1" s="83"/>
      <c r="G1" s="81" t="s">
        <v>126</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11"/>
      <c r="K9" s="19"/>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127</v>
      </c>
      <c r="E1" s="83"/>
      <c r="F1" s="83"/>
      <c r="G1" s="81" t="s">
        <v>128</v>
      </c>
      <c r="H1" s="81"/>
      <c r="I1" s="81"/>
      <c r="J1" s="5"/>
      <c r="K1" s="5"/>
    </row>
    <row r="2" spans="1:11" ht="19.5" customHeight="1">
      <c r="A2" s="84" t="s">
        <v>2</v>
      </c>
      <c r="B2" s="84"/>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129</v>
      </c>
      <c r="E1" s="83"/>
      <c r="F1" s="83"/>
      <c r="G1" s="81" t="s">
        <v>130</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131</v>
      </c>
      <c r="E1" s="83"/>
      <c r="F1" s="83"/>
      <c r="G1" s="81" t="s">
        <v>132</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82" t="str" cm="1">
        <f t="array" ref="A1">portfolio</f>
        <v>AB CarVal</v>
      </c>
      <c r="B1" s="82"/>
      <c r="C1" s="82"/>
      <c r="D1" s="86" t="s">
        <v>133</v>
      </c>
      <c r="E1" s="86"/>
      <c r="F1" s="86"/>
      <c r="G1" s="85" t="s">
        <v>134</v>
      </c>
      <c r="H1" s="85"/>
      <c r="I1" s="85"/>
      <c r="J1" s="5"/>
      <c r="K1" s="5"/>
    </row>
    <row r="2" spans="1:11" ht="19.5" customHeight="1">
      <c r="A2" s="87" t="s">
        <v>2</v>
      </c>
      <c r="B2" s="87"/>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135</v>
      </c>
      <c r="E1" s="83"/>
      <c r="F1" s="83"/>
      <c r="G1" s="81" t="s">
        <v>136</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B16" sqref="B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137</v>
      </c>
      <c r="B1" t="s">
        <v>138</v>
      </c>
    </row>
    <row r="3" spans="1:7" ht="13.15">
      <c r="A3" t="s">
        <v>139</v>
      </c>
      <c r="B3" t="s">
        <v>3</v>
      </c>
      <c r="C3" t="s">
        <v>4</v>
      </c>
      <c r="D3" t="s">
        <v>140</v>
      </c>
      <c r="E3" s="2" t="s">
        <v>141</v>
      </c>
    </row>
    <row r="4" spans="1:7" ht="14.45">
      <c r="A4" t="s">
        <v>142</v>
      </c>
      <c r="B4" t="s">
        <v>143</v>
      </c>
      <c r="C4" s="4" t="s">
        <v>144</v>
      </c>
      <c r="E4" t="s">
        <v>145</v>
      </c>
      <c r="G4" s="3"/>
    </row>
    <row r="5" spans="1:7" ht="12.75" customHeight="1">
      <c r="A5" s="4" t="s">
        <v>146</v>
      </c>
      <c r="B5" s="4" t="s">
        <v>147</v>
      </c>
      <c r="C5" s="4" t="s">
        <v>148</v>
      </c>
      <c r="D5" t="s">
        <v>149</v>
      </c>
      <c r="E5" t="s">
        <v>150</v>
      </c>
    </row>
    <row r="6" spans="1:7" ht="12.75" customHeight="1">
      <c r="A6" s="4" t="s">
        <v>151</v>
      </c>
      <c r="B6" s="4" t="s">
        <v>152</v>
      </c>
      <c r="C6" s="4" t="s">
        <v>148</v>
      </c>
      <c r="D6" t="s">
        <v>149</v>
      </c>
      <c r="E6" t="s">
        <v>150</v>
      </c>
    </row>
    <row r="7" spans="1:7" ht="12.75" customHeight="1">
      <c r="A7" s="4" t="s">
        <v>153</v>
      </c>
      <c r="B7" s="4" t="s">
        <v>154</v>
      </c>
      <c r="C7" s="4" t="s">
        <v>148</v>
      </c>
      <c r="D7" t="s">
        <v>149</v>
      </c>
      <c r="E7" t="s">
        <v>150</v>
      </c>
    </row>
    <row r="8" spans="1:7" ht="12.75" customHeight="1">
      <c r="A8" s="4" t="s">
        <v>155</v>
      </c>
      <c r="B8" s="4" t="s">
        <v>156</v>
      </c>
      <c r="C8" s="4" t="s">
        <v>144</v>
      </c>
      <c r="E8" t="s">
        <v>145</v>
      </c>
    </row>
    <row r="9" spans="1:7" ht="12.75" customHeight="1">
      <c r="A9" s="4" t="s">
        <v>157</v>
      </c>
      <c r="B9" s="4" t="s">
        <v>158</v>
      </c>
      <c r="C9" s="4" t="s">
        <v>144</v>
      </c>
      <c r="E9" t="s">
        <v>145</v>
      </c>
    </row>
    <row r="10" spans="1:7" ht="12.75" customHeight="1">
      <c r="A10" s="4" t="s">
        <v>159</v>
      </c>
      <c r="B10" s="4" t="s">
        <v>160</v>
      </c>
      <c r="C10" s="4" t="s">
        <v>144</v>
      </c>
      <c r="E10" t="s">
        <v>145</v>
      </c>
    </row>
    <row r="11" spans="1:7" ht="12.75" customHeight="1">
      <c r="A11" s="4" t="s">
        <v>161</v>
      </c>
      <c r="B11" s="4" t="s">
        <v>162</v>
      </c>
      <c r="C11" s="4" t="s">
        <v>144</v>
      </c>
      <c r="E11" t="s">
        <v>145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F2904404-7C54-4514-B8C7-480FD37C17B5}"/>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2025-05-06T06:34:34Z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