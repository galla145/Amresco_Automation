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6DCEDAF7-7F24-4D76-B66A-159D9CC996F6}" xr6:coauthVersionLast="47" xr6:coauthVersionMax="47" xr10:uidLastSave="{00000000-0000-0000-0000-000000000000}"/>
  <bookViews>
    <workbookView xWindow="-108" yWindow="-108" windowWidth="23256" windowHeight="1389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<sst xmlns="http://schemas.openxmlformats.org/spreadsheetml/2006/main" count="263" uniqueCount="68">
  <si>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</si>
  <si>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</si>
  <si>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</si>
  <si>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</si>
  <si>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</si>
  <si>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</si>
  <si>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</si>
  <si>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</si>
  <si>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</si>
  <si>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</si>
  <si>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</si>
  <si>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</si>
  <si>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</si>
  <si>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</si>
  <si>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</si>
  <si>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</si>
  <si>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</si>
  <si>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</si>
  <si>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</si>
  <si>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</si>
  <si>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</si>
  <si>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</si>
  <si>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</si>
  <si>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</si>
  <si>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</si>
  <si>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</si>
  <si>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</si>
  <si>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</si>
  <si>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</si>
  <si>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</si>
  <si>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</si>
  <si>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</si>
  <si>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</si>
  <si>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</si>
  <si>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</si>
  <si>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</si>
  <si>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</si>
  <si>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</si>
  <si>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2.1.The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</si>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</sst>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Northbridge Companies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6">
        <f>SUM(C4:C90)</f>
        <v>164220.15</v>
      </c>
      <c r="D2" s="6">
        <f>SUM(D4:D90)</f>
        <v>92491.030999999988</v>
      </c>
      <c r="E2" s="6">
        <f>C2-D2</f>
        <v>71729.119000000006</v>
      </c>
      <c r="F2" s="7">
        <f>IFERROR(E2/D2, 0)</f>
        <v>0.77552513172871884</v>
      </c>
      <c r="G2" s="6">
        <f>SUM(G4:G90)</f>
        <v>78435.233999999997</v>
      </c>
      <c r="H2" s="8">
        <f>C2-G2</f>
        <v>85784.915999999997</v>
      </c>
      <c r="I2" s="7">
        <f>IFERROR(H2/G2, 0)</f>
        <v>1.0937038321323806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83296.75</v>
      </c>
      <c r="D5" s="20">
        <f>SUM('1st Qtr'!D5, '2nd Qtr'!D5, '3rd Qtr'!D5, '4th Qtr'!D5)</f>
        <v>92491.030999999988</v>
      </c>
      <c r="E5" s="20">
        <f t="shared" ref="E5" si="0">IF(AND(ISNUMBER(C5),ISNUMBER(D5)), C5-D5, "")</f>
        <v>-9194.2809999999881</v>
      </c>
      <c r="F5" s="21">
        <f>IFERROR(E5/D5, "")</f>
        <v>-9.9407271176380221E-2</v>
      </c>
      <c r="G5" s="22">
        <f>SUM('1st Qtr'!G5,'2nd Qtr'!G5,'3rd Qtr'!G5,'4th Qtr'!G5)</f>
        <v>78435.233999999997</v>
      </c>
      <c r="H5" s="22">
        <f>SUM('1st Qtr'!H5, '2nd Qtr'!H5, '3rd Qtr'!H5, '4th Qtr'!H5)</f>
        <v>4861.5160000000014</v>
      </c>
      <c r="I5" s="21">
        <f>IFERROR(H5/G5, "")</f>
        <v>6.1981277444776946E-2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Northbridge Companies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Northbridge Companies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27544.625</v>
      </c>
      <c r="D5" s="20">
        <f>SUM(Apr!D5, May!D5, Jun!D5)</f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12">
        <f>SUM(Apr!G5, May!G5, Jun!G5)</f>
        <v>26440.769</v>
      </c>
      <c r="H5" s="22">
        <f>SUM(Apr!H5, May!H5, Jun!H5)</f>
        <v>1103.8559999999998</v>
      </c>
      <c r="I5" s="21">
        <f>IFERROR(H5/G5, "")</f>
        <v>4.1748256262894613E-2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Northbridge Companies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SUM(Jul!G5, Aug!G5, Sep!G5)</f>
        <v>0</v>
      </c>
      <c r="H5" s="22">
        <f>SUM(Jul!H5, Aug!H5, Sep!H5)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Northbridge Companies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9" t="s">
        <v>24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9" t="str" cm="1">
        <f t="array" ref="A1">portfolio</f>
        <v>Northbridge Companies</v>
      </c>
      <c r="B1" s="59"/>
      <c r="C1" s="59"/>
      <c r="D1" s="60" t="s">
        <v>25</v>
      </c>
      <c r="E1" s="60"/>
      <c r="F1" s="60"/>
      <c r="G1" s="58" t="s">
        <v>26</v>
      </c>
      <c r="H1" s="58"/>
      <c r="I1" s="58"/>
      <c r="J1" s="5"/>
      <c r="K1" s="5"/>
    </row>
    <row r="2" spans="1:12" ht="19.5" customHeight="1">
      <c r="A2" s="61" t="s">
        <v>2</v>
      </c>
      <c r="B2" s="61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9" t="s">
        <v>28</v>
      </c>
      <c r="L5" s="55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D15" sqref="D15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30</v>
      </c>
      <c r="E1" s="60"/>
      <c r="F1" s="60"/>
      <c r="G1" s="58" t="s">
        <v>31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50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4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abSelected="1" topLeftCell="B1" workbookViewId="0">
      <pane ySplit="2" topLeftCell="A3" activePane="bottomLeft" state="frozen"/>
      <selection pane="bottomLeft" activeCell="J14" sqref="J14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7"/>
  </cols>
  <sheetData>
    <row r="1" spans="1:12" ht="19.5" customHeight="1">
      <c r="A1" s="59" t="str" cm="1">
        <f t="array" ref="A1">portfolio</f>
        <v>Northbridge Companies</v>
      </c>
      <c r="B1" s="59"/>
      <c r="C1" s="59"/>
      <c r="D1" s="60" t="s">
        <v>34</v>
      </c>
      <c r="E1" s="60"/>
      <c r="F1" s="60"/>
      <c r="G1" s="58" t="s">
        <v>35</v>
      </c>
      <c r="H1" s="58"/>
      <c r="I1" s="58"/>
      <c r="J1" s="5"/>
      <c r="K1" s="5"/>
    </row>
    <row r="2" spans="1:12" ht="19.5" customHeight="1">
      <c r="A2" s="61" t="s">
        <v>2</v>
      </c>
      <c r="B2" s="61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1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3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6" t="s">
        <v>37</v>
      </c>
    </row>
    <row r="5" spans="1:12" ht="57.6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3" t="s">
        <v>38</v>
      </c>
      <c r="K5" s="49" t="s">
        <v>39</v>
      </c>
      <c r="L5" s="55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40</v>
      </c>
      <c r="E1" s="60"/>
      <c r="F1" s="60"/>
      <c r="G1" s="58" t="s">
        <v>41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4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42</v>
      </c>
      <c r="E1" s="60"/>
      <c r="F1" s="60"/>
      <c r="G1" s="58" t="s">
        <v>43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2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44</v>
      </c>
      <c r="E1" s="60"/>
      <c r="F1" s="60"/>
      <c r="G1" s="58" t="s">
        <v>45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46</v>
      </c>
      <c r="E1" s="60"/>
      <c r="F1" s="60"/>
      <c r="G1" s="58" t="s">
        <v>47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5"/>
      <c r="K5" s="46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48</v>
      </c>
      <c r="E1" s="60"/>
      <c r="F1" s="60"/>
      <c r="G1" s="58" t="s">
        <v>49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50</v>
      </c>
      <c r="E1" s="60"/>
      <c r="F1" s="60"/>
      <c r="G1" s="58" t="s">
        <v>51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7"/>
      <c r="K5" s="51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52</v>
      </c>
      <c r="E1" s="60"/>
      <c r="F1" s="60"/>
      <c r="G1" s="58" t="s">
        <v>53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7"/>
      <c r="K5" s="5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9" t="str" cm="1">
        <f t="array" ref="A1">portfolio</f>
        <v>Northbridge Companies</v>
      </c>
      <c r="B1" s="59"/>
      <c r="C1" s="59"/>
      <c r="D1" s="60" t="s">
        <v>54</v>
      </c>
      <c r="E1" s="60"/>
      <c r="F1" s="60"/>
      <c r="G1" s="58" t="s">
        <v>55</v>
      </c>
      <c r="H1" s="58"/>
      <c r="I1" s="58"/>
      <c r="J1" s="5"/>
      <c r="K1" s="5"/>
    </row>
    <row r="2" spans="1:11" ht="19.5" customHeight="1">
      <c r="A2" s="61" t="s">
        <v>2</v>
      </c>
      <c r="B2" s="6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8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t="s">
        <v>61</v>
      </c>
      <c r="B4" t="s">
        <v>62</v>
      </c>
      <c r="C4" s="4" t="s">
        <v>63</v>
      </c>
      <c r="E4" t="s">
        <v>64</v>
      </c>
      <c r="G4" s="3"/>
    </row>
    <row r="5" spans="1:7" ht="14.45">
      <c r="A5" t="s">
        <v>65</v>
      </c>
      <c r="B5" t="s">
        <v>66</v>
      </c>
      <c r="C5" s="4" t="s">
        <v>63</v>
      </c>
      <c r="E5" t="s">
        <v>67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07658339-E796-4DCB-B533-3B96ABFFD23B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2025-06-07T03:40:24Z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