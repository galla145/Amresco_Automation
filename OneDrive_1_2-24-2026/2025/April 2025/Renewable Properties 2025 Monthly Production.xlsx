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2077FCD2-E654-4294-AC72-F624A05E1C8D}" xr6:coauthVersionLast="47" xr6:coauthVersionMax="47" xr10:uidLastSave="{00000000-0000-0000-0000-000000000000}"/>
  <bookViews>
    <workbookView xWindow="28680" yWindow="-12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 hidden="1">Jan</definedName>
    <definedName name="_xlcn.WorksheetConnection_MultisiteTemplate2024MonthlyProduction.xlsxSites"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4" i="21" l="1"/>
  <c r="I10" i="21"/>
  <c r="I11" i="21"/>
  <c r="I12" i="21"/>
  <c r="I13" i="21"/>
  <c r="H9" i="21"/>
  <c r="H10" i="21"/>
  <c r="H11" i="21"/>
  <c r="H12" i="21"/>
  <c r="H13" i="21"/>
  <c r="H14" i="21"/>
  <c r="F9" i="21"/>
  <c r="F10" i="21"/>
  <c r="F11" i="21"/>
  <c r="F12" i="21"/>
  <c r="F13" i="21"/>
  <c r="F14" i="21"/>
  <c r="E10" i="21"/>
  <c r="E11" i="21"/>
  <c r="E12" i="21"/>
  <c r="E13" i="21"/>
  <c r="E14" i="21"/>
  <c r="I14" i="4"/>
  <c r="H14" i="4"/>
  <c r="F14" i="4"/>
  <c r="E14" i="4"/>
  <c r="I14" i="3"/>
  <c r="H14" i="3"/>
  <c r="F14" i="3"/>
  <c r="E14" i="3"/>
  <c r="I13" i="72"/>
  <c r="I14" i="72"/>
  <c r="H13" i="72"/>
  <c r="H14" i="72"/>
  <c r="F13" i="72"/>
  <c r="E13" i="72"/>
  <c r="E14" i="72"/>
  <c r="F14" i="72" s="1"/>
  <c r="I9" i="4"/>
  <c r="I10" i="4"/>
  <c r="I11" i="4"/>
  <c r="I12" i="4"/>
  <c r="I13" i="4"/>
  <c r="H10" i="4"/>
  <c r="H11" i="4"/>
  <c r="H12" i="4"/>
  <c r="H13" i="4"/>
  <c r="F9" i="4"/>
  <c r="F10" i="4"/>
  <c r="F11" i="4"/>
  <c r="F12" i="4"/>
  <c r="F13" i="4"/>
  <c r="E10" i="4"/>
  <c r="E11" i="4"/>
  <c r="E12" i="4"/>
  <c r="E13" i="4"/>
  <c r="H12" i="30"/>
  <c r="H13" i="30"/>
  <c r="G12" i="30"/>
  <c r="G13" i="30"/>
  <c r="E12" i="30"/>
  <c r="E13" i="30"/>
  <c r="D12" i="30"/>
  <c r="D13" i="30"/>
  <c r="C12" i="30"/>
  <c r="C13" i="30"/>
  <c r="H12" i="29"/>
  <c r="H13" i="29"/>
  <c r="G12" i="29"/>
  <c r="G13" i="29"/>
  <c r="E12" i="29"/>
  <c r="E13" i="29"/>
  <c r="D12" i="29"/>
  <c r="D13" i="29"/>
  <c r="C12" i="29"/>
  <c r="C13" i="29"/>
  <c r="H12" i="18"/>
  <c r="H13" i="18"/>
  <c r="G12" i="18"/>
  <c r="G13" i="18"/>
  <c r="D12" i="18"/>
  <c r="D13" i="18"/>
  <c r="C12" i="18"/>
  <c r="E12" i="18" s="1"/>
  <c r="C13" i="18"/>
  <c r="E13" i="18" s="1"/>
  <c r="G13" i="1"/>
  <c r="G13" i="34" s="1"/>
  <c r="D13" i="1"/>
  <c r="D13" i="34" s="1"/>
  <c r="C13" i="1"/>
  <c r="C13" i="34" s="1"/>
  <c r="C5" i="1"/>
  <c r="E6" i="3"/>
  <c r="E7" i="3"/>
  <c r="F7" i="3" s="1"/>
  <c r="E8" i="3"/>
  <c r="E9" i="3"/>
  <c r="E10" i="3"/>
  <c r="F10" i="3" s="1"/>
  <c r="E11" i="3"/>
  <c r="F11" i="3" s="1"/>
  <c r="E12" i="3"/>
  <c r="F12" i="3" s="1"/>
  <c r="E13" i="3"/>
  <c r="F13" i="3" s="1"/>
  <c r="E4" i="3"/>
  <c r="F4" i="3" s="1"/>
  <c r="H4" i="3"/>
  <c r="I4" i="3" s="1"/>
  <c r="H5" i="3"/>
  <c r="E5" i="3"/>
  <c r="H6" i="3"/>
  <c r="H7" i="3"/>
  <c r="I7" i="3" s="1"/>
  <c r="H8" i="3"/>
  <c r="H9" i="3"/>
  <c r="H10" i="3"/>
  <c r="I10" i="3" s="1"/>
  <c r="H11" i="3"/>
  <c r="I11" i="3" s="1"/>
  <c r="H12" i="3"/>
  <c r="H12" i="1" s="1"/>
  <c r="H13" i="3"/>
  <c r="H13" i="1" s="1"/>
  <c r="I9" i="3"/>
  <c r="F9" i="3"/>
  <c r="I12" i="72"/>
  <c r="H12" i="72"/>
  <c r="F12" i="72"/>
  <c r="E12" i="72"/>
  <c r="G12" i="1"/>
  <c r="G12" i="34" s="1"/>
  <c r="D12" i="1"/>
  <c r="D12" i="34" s="1"/>
  <c r="C12" i="1"/>
  <c r="I9" i="72"/>
  <c r="I11" i="72"/>
  <c r="H10" i="72"/>
  <c r="I10" i="72" s="1"/>
  <c r="H11" i="72"/>
  <c r="F9" i="72"/>
  <c r="F11" i="72"/>
  <c r="E10" i="72"/>
  <c r="F10" i="72" s="1"/>
  <c r="E11" i="72"/>
  <c r="H10" i="33"/>
  <c r="I10" i="33" s="1"/>
  <c r="H11" i="33"/>
  <c r="I11" i="33" s="1"/>
  <c r="E10" i="33"/>
  <c r="E11" i="33"/>
  <c r="F10" i="33"/>
  <c r="F11" i="33"/>
  <c r="H10" i="18"/>
  <c r="H11" i="18"/>
  <c r="G10" i="18"/>
  <c r="G11" i="18"/>
  <c r="D10" i="18"/>
  <c r="D11" i="18"/>
  <c r="C10" i="18"/>
  <c r="C11" i="18"/>
  <c r="G10" i="1"/>
  <c r="G11" i="1"/>
  <c r="D10" i="1"/>
  <c r="D11" i="1"/>
  <c r="D11" i="34" s="1"/>
  <c r="C10" i="1"/>
  <c r="E10" i="1" s="1"/>
  <c r="F10" i="1" s="1"/>
  <c r="C11" i="1"/>
  <c r="D8" i="1"/>
  <c r="G8" i="1"/>
  <c r="D9" i="1"/>
  <c r="G9" i="1"/>
  <c r="C10" i="30"/>
  <c r="C11" i="30"/>
  <c r="E8" i="29"/>
  <c r="F8" i="29" s="1"/>
  <c r="E10" i="29"/>
  <c r="F10" i="29" s="1"/>
  <c r="E11" i="29"/>
  <c r="F11" i="29" s="1"/>
  <c r="D7" i="29"/>
  <c r="E7" i="29" s="1"/>
  <c r="F7" i="29" s="1"/>
  <c r="D8" i="29"/>
  <c r="D9" i="29"/>
  <c r="D10" i="29"/>
  <c r="D11" i="29"/>
  <c r="C7" i="29"/>
  <c r="C8" i="29"/>
  <c r="C9" i="29"/>
  <c r="E9" i="29" s="1"/>
  <c r="F9" i="29" s="1"/>
  <c r="C10" i="29"/>
  <c r="C11" i="29"/>
  <c r="C2" i="29" s="1"/>
  <c r="H10" i="29"/>
  <c r="I10" i="29" s="1"/>
  <c r="H11" i="29"/>
  <c r="G7" i="29"/>
  <c r="G8" i="29"/>
  <c r="G9" i="29"/>
  <c r="G10" i="29"/>
  <c r="G11" i="29"/>
  <c r="H8" i="32"/>
  <c r="I8" i="32" s="1"/>
  <c r="E8" i="32"/>
  <c r="F8" i="32" s="1"/>
  <c r="H7" i="32"/>
  <c r="I7" i="32" s="1"/>
  <c r="E7" i="32"/>
  <c r="F7" i="32" s="1"/>
  <c r="H6" i="32"/>
  <c r="E6" i="32"/>
  <c r="H5" i="32"/>
  <c r="E5" i="32"/>
  <c r="H4" i="32"/>
  <c r="E4" i="32"/>
  <c r="H10" i="32"/>
  <c r="E10" i="32"/>
  <c r="F10" i="32" s="1"/>
  <c r="H9" i="32"/>
  <c r="I9" i="32" s="1"/>
  <c r="E9" i="32"/>
  <c r="F9" i="32" s="1"/>
  <c r="H11" i="30"/>
  <c r="D10" i="30"/>
  <c r="D11" i="30"/>
  <c r="G10" i="30"/>
  <c r="G11" i="30"/>
  <c r="C8" i="1"/>
  <c r="C9" i="1"/>
  <c r="E9" i="1" s="1"/>
  <c r="F9" i="1" s="1"/>
  <c r="C9" i="18"/>
  <c r="D9" i="18"/>
  <c r="G9" i="18"/>
  <c r="C7" i="18"/>
  <c r="D7" i="18"/>
  <c r="G7" i="18"/>
  <c r="C8" i="18"/>
  <c r="E8" i="18" s="1"/>
  <c r="F8" i="18" s="1"/>
  <c r="D8" i="18"/>
  <c r="G8" i="18"/>
  <c r="E8" i="72"/>
  <c r="F8" i="72"/>
  <c r="H8" i="72"/>
  <c r="I8" i="72" s="1"/>
  <c r="E9" i="72"/>
  <c r="H9" i="72"/>
  <c r="F8" i="3"/>
  <c r="I8" i="3"/>
  <c r="E8" i="4"/>
  <c r="F8" i="4"/>
  <c r="H8" i="4"/>
  <c r="I8" i="4" s="1"/>
  <c r="E9" i="4"/>
  <c r="H9" i="4"/>
  <c r="E8" i="21"/>
  <c r="F8" i="21" s="1"/>
  <c r="H8" i="21"/>
  <c r="I8" i="21" s="1"/>
  <c r="E9" i="21"/>
  <c r="I9" i="21"/>
  <c r="E8" i="20"/>
  <c r="F8" i="20"/>
  <c r="H8" i="20"/>
  <c r="I8" i="20" s="1"/>
  <c r="E9" i="20"/>
  <c r="F9" i="20"/>
  <c r="H9" i="20"/>
  <c r="I9" i="20" s="1"/>
  <c r="E8" i="19"/>
  <c r="F8" i="19"/>
  <c r="H8" i="19"/>
  <c r="I8" i="19"/>
  <c r="E9" i="19"/>
  <c r="F9" i="19"/>
  <c r="H9" i="19"/>
  <c r="I9" i="19" s="1"/>
  <c r="E8" i="26"/>
  <c r="F8" i="26"/>
  <c r="H8" i="26"/>
  <c r="I8" i="26" s="1"/>
  <c r="E9" i="26"/>
  <c r="F9" i="26"/>
  <c r="H9" i="26"/>
  <c r="H9" i="29" s="1"/>
  <c r="I9" i="29" s="1"/>
  <c r="I9" i="26"/>
  <c r="E8" i="27"/>
  <c r="F8" i="27"/>
  <c r="H8" i="27"/>
  <c r="I8" i="27" s="1"/>
  <c r="E9" i="27"/>
  <c r="F9" i="27"/>
  <c r="H9" i="27"/>
  <c r="I9" i="27" s="1"/>
  <c r="E8" i="33"/>
  <c r="F8" i="33"/>
  <c r="H8" i="33"/>
  <c r="I8" i="33" s="1"/>
  <c r="E9" i="33"/>
  <c r="F9" i="33" s="1"/>
  <c r="H9" i="33"/>
  <c r="G5" i="30"/>
  <c r="G6" i="30"/>
  <c r="G7" i="30"/>
  <c r="G8" i="30"/>
  <c r="G9" i="30"/>
  <c r="G4" i="29"/>
  <c r="C8" i="30"/>
  <c r="D8" i="30"/>
  <c r="C9" i="30"/>
  <c r="D9" i="30"/>
  <c r="D9" i="34" s="1"/>
  <c r="E9" i="30"/>
  <c r="F9" i="30" s="1"/>
  <c r="E8" i="28"/>
  <c r="F8" i="28" s="1"/>
  <c r="H8" i="28"/>
  <c r="I8" i="28"/>
  <c r="E9" i="28"/>
  <c r="F9" i="28"/>
  <c r="H9" i="28"/>
  <c r="I9" i="28"/>
  <c r="H7" i="31"/>
  <c r="I7" i="31" s="1"/>
  <c r="H8" i="31"/>
  <c r="H8" i="30" s="1"/>
  <c r="H9" i="31"/>
  <c r="I9" i="31" s="1"/>
  <c r="F7" i="31"/>
  <c r="E7" i="31"/>
  <c r="E8" i="31"/>
  <c r="F8" i="31" s="1"/>
  <c r="E9" i="31"/>
  <c r="F9" i="31" s="1"/>
  <c r="E7" i="33"/>
  <c r="F7" i="33"/>
  <c r="H7" i="33"/>
  <c r="I7" i="33"/>
  <c r="E7" i="28"/>
  <c r="F7" i="28"/>
  <c r="H7" i="28"/>
  <c r="I7" i="28"/>
  <c r="C7" i="30"/>
  <c r="D7" i="30"/>
  <c r="C7" i="1"/>
  <c r="D7" i="1"/>
  <c r="G7" i="1"/>
  <c r="H7" i="27"/>
  <c r="I7" i="27" s="1"/>
  <c r="E7" i="27"/>
  <c r="F7" i="27"/>
  <c r="E7" i="21"/>
  <c r="F7" i="21"/>
  <c r="H7" i="21"/>
  <c r="H7" i="18" s="1"/>
  <c r="I7" i="21"/>
  <c r="E7" i="4"/>
  <c r="F7" i="4" s="1"/>
  <c r="H7" i="4"/>
  <c r="I7" i="4"/>
  <c r="E7" i="72"/>
  <c r="F7" i="72"/>
  <c r="H7" i="72"/>
  <c r="I7" i="72" s="1"/>
  <c r="E7" i="20"/>
  <c r="F7" i="20" s="1"/>
  <c r="H7" i="20"/>
  <c r="I7" i="20"/>
  <c r="E7" i="19"/>
  <c r="F7" i="19" s="1"/>
  <c r="H7" i="19"/>
  <c r="I7" i="19"/>
  <c r="E7" i="26"/>
  <c r="F7" i="26"/>
  <c r="H7" i="26"/>
  <c r="G5" i="29"/>
  <c r="G6" i="29"/>
  <c r="G2" i="29" s="1"/>
  <c r="D4" i="29"/>
  <c r="E4" i="29" s="1"/>
  <c r="F4" i="29" s="1"/>
  <c r="G6" i="18"/>
  <c r="G5" i="18"/>
  <c r="G4" i="18"/>
  <c r="E6" i="72"/>
  <c r="F6" i="72"/>
  <c r="E5" i="72"/>
  <c r="F5" i="72" s="1"/>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F5" i="3"/>
  <c r="I5" i="3"/>
  <c r="F6" i="3"/>
  <c r="I6" i="3"/>
  <c r="G6" i="1"/>
  <c r="G5" i="1"/>
  <c r="G4" i="1"/>
  <c r="G4" i="34" s="1"/>
  <c r="B4" i="34" a="1"/>
  <c r="B4" i="34" s="1"/>
  <c r="A4" i="34" a="1"/>
  <c r="A4" i="34" s="1"/>
  <c r="A1" i="34" a="1"/>
  <c r="A1" i="34"/>
  <c r="D6" i="30"/>
  <c r="C6" i="30"/>
  <c r="E6" i="30" s="1"/>
  <c r="F6" i="30" s="1"/>
  <c r="D5" i="30"/>
  <c r="C5" i="30"/>
  <c r="D4" i="30"/>
  <c r="C4" i="30"/>
  <c r="E4" i="30"/>
  <c r="F4" i="30" s="1"/>
  <c r="D6" i="29"/>
  <c r="C6" i="29"/>
  <c r="E6" i="29" s="1"/>
  <c r="F6" i="29" s="1"/>
  <c r="D5" i="29"/>
  <c r="C5" i="29"/>
  <c r="C4" i="29"/>
  <c r="D6" i="18"/>
  <c r="C6" i="18"/>
  <c r="E6" i="18" s="1"/>
  <c r="F6" i="18" s="1"/>
  <c r="D5" i="18"/>
  <c r="C5" i="18"/>
  <c r="D4" i="18"/>
  <c r="D4" i="34" s="1"/>
  <c r="C4" i="18"/>
  <c r="E4" i="18" s="1"/>
  <c r="F4" i="18" s="1"/>
  <c r="B4" i="30" a="1"/>
  <c r="B4" i="30" s="1"/>
  <c r="A1" i="30" a="1"/>
  <c r="A1" i="30"/>
  <c r="B4" i="29" a="1"/>
  <c r="B4" i="29" s="1"/>
  <c r="A4" i="29" a="1"/>
  <c r="A4" i="29" s="1"/>
  <c r="A1" i="29" a="1"/>
  <c r="A1" i="29"/>
  <c r="B4" i="18" a="1"/>
  <c r="B4" i="18" s="1"/>
  <c r="A4" i="18" a="1"/>
  <c r="A4" i="18" s="1"/>
  <c r="A1" i="18" a="1"/>
  <c r="A1" i="18"/>
  <c r="C6" i="1"/>
  <c r="C4" i="1"/>
  <c r="D6" i="1"/>
  <c r="D6" i="34" s="1"/>
  <c r="D5" i="1"/>
  <c r="D4" i="1"/>
  <c r="B4" i="1" a="1"/>
  <c r="B4" i="1" s="1"/>
  <c r="A4" i="1" a="1"/>
  <c r="A4" i="1" s="1"/>
  <c r="A1" i="1" a="1"/>
  <c r="A1" i="1"/>
  <c r="H6" i="33"/>
  <c r="I6" i="33" s="1"/>
  <c r="E6" i="33"/>
  <c r="F6" i="33"/>
  <c r="H5" i="33"/>
  <c r="I5" i="33" s="1"/>
  <c r="E5" i="33"/>
  <c r="F5" i="33"/>
  <c r="E4" i="33"/>
  <c r="F4" i="33"/>
  <c r="D2" i="33"/>
  <c r="C2" i="33"/>
  <c r="E2" i="33" s="1"/>
  <c r="F2" i="33" s="1"/>
  <c r="A1" i="33" a="1"/>
  <c r="A1" i="33"/>
  <c r="I6" i="32"/>
  <c r="F6" i="32"/>
  <c r="I5" i="32"/>
  <c r="F5" i="32"/>
  <c r="I4" i="32"/>
  <c r="F4" i="32"/>
  <c r="G2" i="32"/>
  <c r="D2" i="32"/>
  <c r="C2" i="32"/>
  <c r="J2" i="32" s="1"/>
  <c r="A1" i="32" a="1"/>
  <c r="A1" i="32"/>
  <c r="H6" i="31"/>
  <c r="I6" i="31"/>
  <c r="E6" i="31"/>
  <c r="F6" i="31"/>
  <c r="H5" i="31"/>
  <c r="H5" i="30" s="1"/>
  <c r="I5" i="31"/>
  <c r="E5" i="31"/>
  <c r="F5" i="31"/>
  <c r="H4" i="31"/>
  <c r="I4" i="31"/>
  <c r="E4" i="31"/>
  <c r="F4" i="31" s="1"/>
  <c r="G2" i="31"/>
  <c r="D2" i="31"/>
  <c r="C2" i="31"/>
  <c r="H2" i="31" s="1"/>
  <c r="I2" i="31" s="1"/>
  <c r="A1" i="31" a="1"/>
  <c r="A1" i="31"/>
  <c r="H6" i="28"/>
  <c r="I6" i="28"/>
  <c r="E6" i="28"/>
  <c r="F6" i="28" s="1"/>
  <c r="H5" i="28"/>
  <c r="I5" i="28" s="1"/>
  <c r="E5" i="28"/>
  <c r="F5" i="28"/>
  <c r="H4" i="28"/>
  <c r="I4" i="28"/>
  <c r="E4" i="28"/>
  <c r="F4" i="28" s="1"/>
  <c r="B4" i="28" a="1"/>
  <c r="B4" i="28" s="1"/>
  <c r="A4" i="28" a="1"/>
  <c r="A4" i="28" s="1"/>
  <c r="G2" i="28"/>
  <c r="D2" i="28"/>
  <c r="C2" i="28"/>
  <c r="J2" i="28" s="1"/>
  <c r="A1" i="28" a="1"/>
  <c r="A1" i="28"/>
  <c r="H6" i="27"/>
  <c r="I6" i="27"/>
  <c r="E6" i="27"/>
  <c r="F6" i="27"/>
  <c r="H5" i="27"/>
  <c r="H5" i="29" s="1"/>
  <c r="I5" i="29" s="1"/>
  <c r="I5" i="27"/>
  <c r="E5" i="27"/>
  <c r="F5" i="27"/>
  <c r="H4" i="27"/>
  <c r="I4" i="27" s="1"/>
  <c r="E4" i="27"/>
  <c r="F4" i="27"/>
  <c r="G2" i="27"/>
  <c r="D2" i="27"/>
  <c r="C2" i="27"/>
  <c r="E2" i="27" s="1"/>
  <c r="F2" i="27" s="1"/>
  <c r="A1" i="27" a="1"/>
  <c r="A1" i="27"/>
  <c r="H6" i="26"/>
  <c r="I6" i="26" s="1"/>
  <c r="E6" i="26"/>
  <c r="F6" i="26"/>
  <c r="H5" i="26"/>
  <c r="I5" i="26" s="1"/>
  <c r="E5" i="26"/>
  <c r="F5" i="26"/>
  <c r="H4" i="26"/>
  <c r="H4" i="29" s="1"/>
  <c r="I4" i="29" s="1"/>
  <c r="I4" i="26"/>
  <c r="E4" i="26"/>
  <c r="F4" i="26"/>
  <c r="G2" i="26"/>
  <c r="D2" i="26"/>
  <c r="C2" i="26"/>
  <c r="H2" i="26" s="1"/>
  <c r="I2" i="26" s="1"/>
  <c r="A1" i="26" a="1"/>
  <c r="A1" i="26"/>
  <c r="H6" i="19"/>
  <c r="I6" i="19"/>
  <c r="E6" i="19"/>
  <c r="F6" i="19" s="1"/>
  <c r="H5" i="19"/>
  <c r="I5" i="19" s="1"/>
  <c r="E5" i="19"/>
  <c r="F5" i="19"/>
  <c r="H4" i="19"/>
  <c r="I4" i="19" s="1"/>
  <c r="E4" i="19"/>
  <c r="F4" i="19" s="1"/>
  <c r="G2" i="19"/>
  <c r="D2" i="19"/>
  <c r="C2" i="19"/>
  <c r="H2" i="19" s="1"/>
  <c r="I2" i="19" s="1"/>
  <c r="A1" i="19" a="1"/>
  <c r="A1" i="19"/>
  <c r="H6" i="20"/>
  <c r="I6" i="20"/>
  <c r="E6" i="20"/>
  <c r="F6" i="20"/>
  <c r="H5" i="20"/>
  <c r="I5" i="20"/>
  <c r="E5" i="20"/>
  <c r="F5" i="20" s="1"/>
  <c r="H4" i="20"/>
  <c r="I4" i="20"/>
  <c r="E4" i="20"/>
  <c r="F4" i="20"/>
  <c r="G2" i="20"/>
  <c r="D2" i="20"/>
  <c r="C2" i="20"/>
  <c r="A1" i="20" a="1"/>
  <c r="A1" i="20"/>
  <c r="H6" i="21"/>
  <c r="I6" i="21" s="1"/>
  <c r="E6" i="21"/>
  <c r="F6" i="21"/>
  <c r="H5" i="21"/>
  <c r="I5" i="21" s="1"/>
  <c r="E5" i="21"/>
  <c r="F5" i="21" s="1"/>
  <c r="H4" i="21"/>
  <c r="H4" i="18" s="1"/>
  <c r="I4" i="18" s="1"/>
  <c r="I4" i="21"/>
  <c r="E4" i="21"/>
  <c r="F4" i="21" s="1"/>
  <c r="G2" i="21"/>
  <c r="D2" i="21"/>
  <c r="C2" i="21"/>
  <c r="J2" i="21" s="1"/>
  <c r="A1" i="21" a="1"/>
  <c r="A1" i="21"/>
  <c r="H6" i="4"/>
  <c r="I6" i="4"/>
  <c r="E6" i="4"/>
  <c r="F6" i="4"/>
  <c r="H5" i="4"/>
  <c r="I5" i="4"/>
  <c r="E5" i="4"/>
  <c r="F5" i="4"/>
  <c r="H4" i="4"/>
  <c r="I4" i="4" s="1"/>
  <c r="E4" i="4"/>
  <c r="F4" i="4"/>
  <c r="G2" i="4"/>
  <c r="D2" i="4"/>
  <c r="C2" i="4"/>
  <c r="A1" i="4" a="1"/>
  <c r="A1" i="4"/>
  <c r="G2" i="3"/>
  <c r="D2" i="3"/>
  <c r="C2" i="3"/>
  <c r="J2" i="3" s="1"/>
  <c r="A1" i="3" a="1"/>
  <c r="A1" i="3" s="1"/>
  <c r="H6" i="72"/>
  <c r="H6" i="1" s="1"/>
  <c r="I6" i="72"/>
  <c r="H5" i="72"/>
  <c r="H5" i="1" s="1"/>
  <c r="I5" i="1" s="1"/>
  <c r="H4" i="72"/>
  <c r="H4" i="1" s="1"/>
  <c r="G2" i="72"/>
  <c r="D2" i="72"/>
  <c r="C2" i="72"/>
  <c r="J2" i="72" s="1"/>
  <c r="A1" i="72" a="1"/>
  <c r="A1" i="72"/>
  <c r="I7" i="26"/>
  <c r="E7" i="30"/>
  <c r="F7" i="30" s="1"/>
  <c r="E5" i="29"/>
  <c r="F5" i="29" s="1"/>
  <c r="D2" i="29"/>
  <c r="E5" i="30"/>
  <c r="F5" i="30" s="1"/>
  <c r="H2" i="27"/>
  <c r="I2" i="27"/>
  <c r="J2" i="27"/>
  <c r="H5" i="18"/>
  <c r="I5" i="18"/>
  <c r="H4" i="33"/>
  <c r="H4" i="30" s="1"/>
  <c r="I4" i="33"/>
  <c r="G2" i="33"/>
  <c r="G4" i="30"/>
  <c r="E9" i="18" l="1"/>
  <c r="F9" i="18" s="1"/>
  <c r="I11" i="18"/>
  <c r="G11" i="34"/>
  <c r="I11" i="34" s="1"/>
  <c r="I7" i="18"/>
  <c r="C7" i="34"/>
  <c r="E7" i="18"/>
  <c r="F7" i="18" s="1"/>
  <c r="D7" i="34"/>
  <c r="H6" i="18"/>
  <c r="I6" i="18" s="1"/>
  <c r="I10" i="18"/>
  <c r="H12" i="34"/>
  <c r="I12" i="34" s="1"/>
  <c r="E5" i="18"/>
  <c r="F5" i="18" s="1"/>
  <c r="D5" i="34"/>
  <c r="D2" i="18"/>
  <c r="E2" i="21"/>
  <c r="F2" i="21" s="1"/>
  <c r="C5" i="34"/>
  <c r="H2" i="21"/>
  <c r="I2" i="21" s="1"/>
  <c r="E4" i="1"/>
  <c r="F4" i="1" s="1"/>
  <c r="E2" i="4"/>
  <c r="F2" i="4" s="1"/>
  <c r="E13" i="1"/>
  <c r="F13" i="1" s="1"/>
  <c r="E12" i="1"/>
  <c r="F12" i="1" s="1"/>
  <c r="H13" i="34"/>
  <c r="I13" i="34" s="1"/>
  <c r="I13" i="1"/>
  <c r="E6" i="1"/>
  <c r="F6" i="1" s="1"/>
  <c r="H11" i="1"/>
  <c r="H11" i="34" s="1"/>
  <c r="E8" i="1"/>
  <c r="F8" i="1" s="1"/>
  <c r="H10" i="1"/>
  <c r="I10" i="1" s="1"/>
  <c r="I13" i="3"/>
  <c r="I12" i="3"/>
  <c r="I4" i="1"/>
  <c r="E11" i="1"/>
  <c r="F11" i="1" s="1"/>
  <c r="I6" i="1"/>
  <c r="E13" i="34"/>
  <c r="F13" i="34" s="1"/>
  <c r="C11" i="34"/>
  <c r="E11" i="34" s="1"/>
  <c r="F11" i="34" s="1"/>
  <c r="C12" i="34"/>
  <c r="E12" i="34" s="1"/>
  <c r="F12" i="34" s="1"/>
  <c r="I12" i="1"/>
  <c r="E2" i="29"/>
  <c r="F2" i="29" s="1"/>
  <c r="I11" i="1"/>
  <c r="G5" i="34"/>
  <c r="E5" i="1"/>
  <c r="F5" i="1" s="1"/>
  <c r="G2" i="1"/>
  <c r="I4" i="72"/>
  <c r="H7" i="1"/>
  <c r="I7" i="1" s="1"/>
  <c r="D2" i="1"/>
  <c r="C8" i="34"/>
  <c r="E2" i="28"/>
  <c r="F2" i="28" s="1"/>
  <c r="I11" i="29"/>
  <c r="H2" i="28"/>
  <c r="I2" i="28" s="1"/>
  <c r="E11" i="18"/>
  <c r="F11" i="18" s="1"/>
  <c r="H2" i="3"/>
  <c r="I2" i="3" s="1"/>
  <c r="H2" i="72"/>
  <c r="I2" i="72" s="1"/>
  <c r="G2" i="18"/>
  <c r="E2" i="19"/>
  <c r="F2" i="19" s="1"/>
  <c r="J2" i="26"/>
  <c r="E2" i="72"/>
  <c r="F2" i="72" s="1"/>
  <c r="E2" i="26"/>
  <c r="F2" i="26" s="1"/>
  <c r="E2" i="3"/>
  <c r="F2" i="3" s="1"/>
  <c r="E2" i="20"/>
  <c r="F2" i="20" s="1"/>
  <c r="E10" i="18"/>
  <c r="F10" i="18" s="1"/>
  <c r="E7" i="34"/>
  <c r="F7" i="34" s="1"/>
  <c r="E5" i="34"/>
  <c r="F5" i="34" s="1"/>
  <c r="C2" i="1"/>
  <c r="H2" i="20"/>
  <c r="I2" i="20" s="1"/>
  <c r="I5" i="72"/>
  <c r="E7" i="1"/>
  <c r="F7" i="1" s="1"/>
  <c r="C9" i="34"/>
  <c r="E9" i="34" s="1"/>
  <c r="F9" i="34" s="1"/>
  <c r="H8" i="18"/>
  <c r="I8" i="18" s="1"/>
  <c r="H8" i="29"/>
  <c r="I8" i="29" s="1"/>
  <c r="H2" i="29"/>
  <c r="I2" i="29" s="1"/>
  <c r="H7" i="29"/>
  <c r="I7" i="29" s="1"/>
  <c r="H7" i="30"/>
  <c r="H9" i="18"/>
  <c r="I9" i="18" s="1"/>
  <c r="J2" i="20"/>
  <c r="I8" i="31"/>
  <c r="J2" i="19"/>
  <c r="J2" i="4"/>
  <c r="G9" i="34"/>
  <c r="E2" i="31"/>
  <c r="F2" i="31" s="1"/>
  <c r="C2" i="18"/>
  <c r="J2" i="31"/>
  <c r="G8" i="34"/>
  <c r="H6" i="29"/>
  <c r="I6" i="29" s="1"/>
  <c r="C4" i="34"/>
  <c r="E4" i="34" s="1"/>
  <c r="F4" i="34" s="1"/>
  <c r="D8" i="34"/>
  <c r="C10" i="34"/>
  <c r="G10" i="34"/>
  <c r="H8" i="1"/>
  <c r="I8" i="1" s="1"/>
  <c r="H9" i="1"/>
  <c r="I9" i="1" s="1"/>
  <c r="H2" i="4"/>
  <c r="I2" i="4" s="1"/>
  <c r="G6" i="34"/>
  <c r="H9" i="30"/>
  <c r="I9" i="30" s="1"/>
  <c r="I9" i="33"/>
  <c r="E10" i="30"/>
  <c r="F10" i="30" s="1"/>
  <c r="D10" i="34"/>
  <c r="E11" i="30"/>
  <c r="F11" i="30" s="1"/>
  <c r="J2" i="33"/>
  <c r="E8" i="30"/>
  <c r="F8" i="30" s="1"/>
  <c r="D2" i="30"/>
  <c r="H2" i="33"/>
  <c r="I2" i="33" s="1"/>
  <c r="I11" i="30"/>
  <c r="I7" i="30"/>
  <c r="I10" i="32"/>
  <c r="H10" i="30"/>
  <c r="G7" i="34"/>
  <c r="H6" i="30"/>
  <c r="C6" i="34"/>
  <c r="E6" i="34" s="1"/>
  <c r="F6" i="34" s="1"/>
  <c r="H5" i="34"/>
  <c r="I5" i="30"/>
  <c r="C2" i="30"/>
  <c r="E2" i="30" s="1"/>
  <c r="F2" i="30" s="1"/>
  <c r="I8" i="30"/>
  <c r="G2" i="30"/>
  <c r="H2" i="32"/>
  <c r="I2" i="32" s="1"/>
  <c r="E2" i="32"/>
  <c r="F2" i="32" s="1"/>
  <c r="H4" i="34"/>
  <c r="I4" i="34" s="1"/>
  <c r="I4" i="30"/>
  <c r="I5" i="34" l="1"/>
  <c r="E8" i="34"/>
  <c r="F8" i="34" s="1"/>
  <c r="H9" i="34"/>
  <c r="I9" i="34" s="1"/>
  <c r="D2" i="34"/>
  <c r="E10" i="34"/>
  <c r="F10" i="34" s="1"/>
  <c r="H2" i="18"/>
  <c r="I2" i="18" s="1"/>
  <c r="E2" i="18"/>
  <c r="F2" i="18" s="1"/>
  <c r="E2" i="1"/>
  <c r="F2" i="1" s="1"/>
  <c r="H2" i="1"/>
  <c r="I2" i="1" s="1"/>
  <c r="H7" i="34"/>
  <c r="I7" i="34" s="1"/>
  <c r="H8" i="34"/>
  <c r="I8" i="34" s="1"/>
  <c r="I10" i="30"/>
  <c r="H10" i="34"/>
  <c r="I10" i="34" s="1"/>
  <c r="G2" i="34"/>
  <c r="H6" i="34"/>
  <c r="I6" i="34" s="1"/>
  <c r="I6" i="30"/>
  <c r="C2" i="34"/>
  <c r="H2" i="30"/>
  <c r="I2" i="30"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<sst xmlns="http://schemas.openxmlformats.org/spreadsheetml/2006/main" count="378" uniqueCount="161">
  <si>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</si>
  <si>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</si>
  <si>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</si>
  <si>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</si>
  <si>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</si>
  <si>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</si>
  <si>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</si>
  <si>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</si>
  <si>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</si>
  <si>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</si>
  <si>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</si>
  <si>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</si>
  <si>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</si>
  <si>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</si>
  <si>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</si>
  <si>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</si>
  <si>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</si>
  <si>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</si>
  <si>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</si>
  <si>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</si>
  <si>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</si>
  <si>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</si>
  <si>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1.Site tripped offline at 19:46 on 01/25 due to recloser trip and again back online on 10:45am on 01/26</t>
  </si>
  <si>
    <t>1.SR095981</t>
  </si>
  <si>
    <t>1.Low generation due to weather/snow.</t>
  </si>
  <si>
    <t>1.Site tripped offline at 04:45 on 01/05 due to SEL tripped offline later technician was able to re-energize the site on 12:45pm on 01/06
2. Tracker TCU 39 is not configured after being replaced on 12/16 and requires further troubleshooting with Suntrack.</t>
  </si>
  <si>
    <t>1.SR095317
2.SR095762</t>
  </si>
  <si>
    <t>1.Site was taken offline for replacing the transformer fuses by United power on 01/22 from 14:54 to 15:41.
2.Tracker 11 has been stuck and reporting "Motor overcurrent detected" on 01/09 technician was able to blocking &amp; alarm and trackers are back online at 10:30 on 01/28</t>
  </si>
  <si>
    <t>1.SR094826
2.SR095434</t>
  </si>
  <si>
    <t>1.Inverter 10 has tripped at 11:45am on 01/10 while United renewables was onsite later technician has brought inverter back online on 01/14 at 11:15
2.Site was taken offline from 08:15am to 15:00 on 01/23 by Asplundh Electrical for transformer testing.
3.All trackers are no tracking due to Overcurrent and snow alarm on 01/24.</t>
  </si>
  <si>
    <t>1.SR095486
2.SR095884
3.SR095924</t>
  </si>
  <si>
    <t>1. Low production due to snow/rain.</t>
  </si>
  <si>
    <t>February Actual v. Expected</t>
  </si>
  <si>
    <t>February Actual v. Forecasted</t>
  </si>
  <si>
    <t>1. Low generation due to weather/snow.</t>
  </si>
  <si>
    <t>1.Site tripped offline at 15:45 on 02/08/25 due to recloser trip and later auto reclosed back online at 19:00 the same day.</t>
  </si>
  <si>
    <t>1. SR096532</t>
  </si>
  <si>
    <t>1.Site tripped offline at 07:45AM on 02/19/25 due to recloser trip and was back online at 9:30AM on 02/21 after technician re-enerzied.</t>
  </si>
  <si>
    <t>1. SR097445</t>
  </si>
  <si>
    <t>1. Site was taken offline from 09:00 AM on 02/03/25 to 09:45 AM on 02/04/25 by United Renewable Energy to paint the transformer on-site. Site again tripped offline at 14:30 on the same day and came back online at 12:30 on 02/08/25, after the technician swapped the blown transformer fuses for a new type.
2. Tracker TCU 39 was reconfigured and set back to Auto by the technician, and it was operating as expected on 02/27/25. However the tracker was stuck again on 02/28/25.</t>
  </si>
  <si>
    <t>1. SR094897
2. SR095762</t>
  </si>
  <si>
    <t>SR095762</t>
  </si>
  <si>
    <t>1. Tracker 11 has been stuck and reporting "Motor overcurrent detected" on 02/06/25 technician was able to blocking &amp; alarm and trackers are back online at 18:15 on 02/10/25.
2. Tracker 11 has been stuck and reporting "Motor overcurrent detected" on 02/11/25 technician was able to blocking &amp; alarm and trackers are back online at 13:00 on 02/12/25.</t>
  </si>
  <si>
    <t>1. SR096403
2. SR096696</t>
  </si>
  <si>
    <t>SR096696</t>
  </si>
  <si>
    <t>1. Site was taken offline from 08:15 AM to 09:15 AM on 02/05/25 by United Renewable Energy to swap out parts of the transformer, and they left the GOAB open at Site A for further work. On 02/06/25, they re-energized the site and brought it back online at 11:30 AM. Additionally, they reset the AC combiner to restore voltage, bringing Inverters A 13-16 back online at 14:30 the same day.
2. Six trackers were stuck on 02/06/25. On 02/07/25, the technician secured the loose connection and found alarms for motor overcurrent. All trackers were inspected and cleared, and they returned to normal operation the same day.
3. Seven trackers were stuck on 02/10/25. On 02/11/25, the technician cleared the fault, and the trackers were operating normally the same day.
4. Multiple trackers were stuck on 02/19/25. On 02/24/25, the technician tightened the fuse holders and cleared the alarms, but further troubleshooting with Suntrack is required. On 02/26/25, the technician cleared all remaining fault alarms except for tracker 132, which requires additional troubleshooting.</t>
  </si>
  <si>
    <t>1. SR096326
2. SR096398
3. SR096626
4. SR096935</t>
  </si>
  <si>
    <t>SR096398</t>
  </si>
  <si>
    <t>SR096626</t>
  </si>
  <si>
    <t>SR096935</t>
  </si>
  <si>
    <t>1. Inverter 1.21 has been offline throughout the month. To bring it back online, the EPC needs to replace the inverter.
2.Inverter 2.11 tripped offline at 13:45 on 02/22/25 due to a grid phase voltage out of range and remained offline throughout the month.</t>
  </si>
  <si>
    <t>1. SR097527
2. SR097650</t>
  </si>
  <si>
    <t>SR097650</t>
  </si>
  <si>
    <t>March Actual v. Expected</t>
  </si>
  <si>
    <t>March Actual v. Forecasted</t>
  </si>
  <si>
    <t>1. Site was taken offline from 09:05am to 11:10am on 03/14 as to replace the voltage sensing cable.</t>
  </si>
  <si>
    <t>1.SR096338</t>
  </si>
  <si>
    <t>1. The site tripped offline at 23:00 EDT on 03/16. On 03/17. The technician performed a reset and closed the recloser. The site was back online from 08:45 AM on 03/17</t>
  </si>
  <si>
    <t>1.SR098647</t>
  </si>
  <si>
    <t>1. The site tripped offline at 10:15 EDT on 03/03. On 03/05, a technician found the SEL and both pad breakers open, closed them, and restored production. The site has been online and producing normally since 13:15 EDT on 03/05</t>
  </si>
  <si>
    <t>1.SR097988</t>
  </si>
  <si>
    <t>1. Site production was low on 03/05, 03/16, 03/17, 03/24 and 03/30 due to bad weather.</t>
  </si>
  <si>
    <t>1. Site tripped offline at 14:25 EDT on 03/05. On 03/06, a technician closed the recloser at 10:15 EDT. Tracker TSU 8 (address 39) was misaligned, deviating. After renergization,the technician adjusted it to match TSU 7, cleared the blocking, and restored proper tracking.
2. USNE technician took the site offline from 11:55am to 15:05 on 03/18 for transformer testing. 
3. On 03/20, a technician visited the site to troubleshoot inverter 15's frequent trip events (since 03/17) and trackers 39, 28, and 35. Inverter 15 and two fuses are being RMA'd, with further tracker troubleshooting needed. 
4. The Site is experiencing the following tracker issues:
NCU-01: Tracker 39 is stuck at -56°. Tracker 28 deviates during morning hours and  experiences intermittent failure.
NCU-02: Tracker 35 deviates during morning hours and experiences intermittent              failure.</t>
  </si>
  <si>
    <t>1.SR098176
2.SR098356
3.SR098701
4.SR098775</t>
  </si>
  <si>
    <t>SR098356</t>
  </si>
  <si>
    <t>SR098701</t>
  </si>
  <si>
    <t>SR098775</t>
  </si>
  <si>
    <t>1. NCU-01 (120): Tracker Position TCU 11 stuck at -54 degrees from 10:15 EDT on 03/27</t>
  </si>
  <si>
    <t>1.SR098907</t>
  </si>
  <si>
    <t>1. NCU-A.01-tracker 132 was stuck on 02/19/25. On 03/10, a technician power-cycled all NCUs, restoring communication except for tracker 132, which had wind damage. Further troubleshooting was needed. On 03/28, a technician cleared faults and aligned all trackers except tracker 132. Inverter A.22 has one string (11) disconnected until tracker repairs are complete
2. Site was de-energized by the USNE technician at 08:45 AM on 03/13 to work on the transformers.Site was Re-energized at 12:00 EDT on 03/13
3. Inverter A.34 is derating 50% during morning hours  becuase of the trackers stuck</t>
  </si>
  <si>
    <t>1.SR096935,SR098375,SR098777
2.SR097819</t>
  </si>
  <si>
    <t>SR098375</t>
  </si>
  <si>
    <t>SR098777</t>
  </si>
  <si>
    <t>SR097819</t>
  </si>
  <si>
    <t>1.NSU 02 - Tracker 49 motor is stuck at -16.9 degrees on 02/08/25 from 08:45AM from then it started reporting in different values which is impacting Inverter 05 production after mid-day.</t>
  </si>
  <si>
    <t>1.SR098763</t>
  </si>
  <si>
    <t>1. Inverter 1.21 was offline from 03/01. On 03/18, a USNE technician replaced it but noted further troubleshooting was needed. The site remained offline until the punch list was completed on 03/19, when it was re-energized at 18:15 EDT. Inverters 1.04, 2.10, and 2.11 are offline due to removed faulty AC combiner fuses. Inverter 1.22 is producing power but not communicating, likely due to a daisy chain issue with the unprogrammed inverter 1.21.
2. Inverter 2.11 was offline from 03/01. On 03/04, a technician found the fault "Out of phase-Occur" and identified a blown fuse. Technician mentioned a fuse replacement is needed, and the inverter will remain offline.On 03/27, a technician  replaced the blown fuse and re-powdered AC combiner and inverter2.11 .Inverter 2.11 is back online and producing as expected from 10:25 EDT.
3. Inverter 2.09 tripped offline at 14:30 on 03/24. On 03/27, a technician replaced the blown Phase B fuse and re-powered the inverter. It was back online at 12:00 EDT.
4. Inverters 1.04 and 2.10 went offline after USNE technician's checkout on 03/19 due to faulty AC combiner fuses. On 03/27, a technician found Inverter 2.10 had a damaged insulated fuse stud preventing fuse installation, while Inverter 1.04 was unresponsive and mentioned Both the inverters will remain offline until repaired.
5. Inverter 2.05 tripped offline at 14:15 after a USNE technician check out and remained offline for rest of the month.</t>
  </si>
  <si>
    <t>1.SR097527
2.SR097650,SR098979
3.SR098946,	SR098979
4.SR098979,SR099163
5.SR099057</t>
  </si>
  <si>
    <t>SR098979</t>
  </si>
  <si>
    <t>SR098946</t>
  </si>
  <si>
    <t>SR099163</t>
  </si>
  <si>
    <t>SR099057</t>
  </si>
  <si>
    <t>1. Site production was low on 03/05 to 03/07, 03/16 to 03/17, 03/20 to 03/21, 03/24 to 03/25 and 03/30 to 03/31.</t>
  </si>
  <si>
    <t>April Actual v. Expected</t>
  </si>
  <si>
    <t>April Actual v. Forecasted</t>
  </si>
  <si>
    <t>1.Inverter 2 started late for production at 13:30 on 04/23 and found  inverter DC voltages are high. Inverter 2 tripped offline at 12:30pm on 04/26. Inverter 2 has started for production on 04/27 ,voltages are normalized ,issue got self resolved.</t>
  </si>
  <si>
    <t>1.SR100208</t>
  </si>
  <si>
    <t>1.Since 03/18/25, Inverter 8 has been derating by ~25–30 kW during high irradiance due to increase in internal temperatures, possibly from a fan fault. On 04/19, a technician found string 6 on CB 8 reading low voltage (1135V vs. 1165V), suggesting a possible bad panel. CB 8 location differs from plans; further troubleshooting is needed.
2.Site tripped offline at 11:33 AM on 04/19 and was back online at 16:30 after the technician closed the relay.</t>
  </si>
  <si>
    <t>1.SR099753
2.SR100017</t>
  </si>
  <si>
    <t>SR100017</t>
  </si>
  <si>
    <t xml:space="preserve">1. Site tripped offline at 14:18 on 04/03 and was back online at 10:15 after the technician closed the relay on 04/05
2.Inverter 17 was offline on 04/26 and then started for production next day issue self resolved.
</t>
  </si>
  <si>
    <t>1.SR099376
2.SR100451</t>
  </si>
  <si>
    <t>SR100451</t>
  </si>
  <si>
    <t>1.Inverter 15 is being RMAD from 04/10 due to its multiple trip events.On 04/30 ,technician troubleshoot the inverter came back online at 14:45 on 04/30
2.The site was offline from 17:15 on 04/29 to 06:45 EDT on 04/30 due to transformer testing conducted by USNE.
3.The site tripped offline at 12:30 EDT on 04/30 and back online at 13:30 the same day. The issue got self-resolved.
4.Multiple trackers were observed stuck on various days with no consistent pattern.</t>
  </si>
  <si>
    <t>1.SR098701
2.SR100667
3.SR100717
4.SR098775</t>
  </si>
  <si>
    <t>SR100667</t>
  </si>
  <si>
    <t>SR100717</t>
  </si>
  <si>
    <t>1.Inverter 2 tripped offline at 11:15 AM on 04/01 and was back online at 14:48 the same day. The issue self-resolved
2. Inverter 2 tripped offline from 11:30 to 12:30 EDT. Inverter 3 tripped offline from 12:30 to 14:00 and again from 14:45 to 17:30 on 04/23.Issue got resolved after tech visit and they are operating on 04/24.</t>
  </si>
  <si>
    <t>1.SR099279
2.SR100248,SR100392</t>
  </si>
  <si>
    <t>SR100248</t>
  </si>
  <si>
    <t>SR100392</t>
  </si>
  <si>
    <t>1.NCU-01 (120): Tracker Position TCU 11 stuck at -54 degrees from 03/21.Issue existed for rest of the month</t>
  </si>
  <si>
    <t xml:space="preserve">1.NCU-A.01-tracker 132 was stuck on 02/19/25 .On 04/21 ,technician received the materials from FlexRack and further accessed the wind damage to the row and then  also replaced the GHI sensor wiring for site A. From then POA sensor is communicating.Additional troubleshooting is required
2.All Pad A inverters and the meter tripped offline at 13:30 on 04/10 and back online at 17:30 the same day after technician closed relay on Pad A.
3.Site was offline from 12:30 to 13:45 on 04/28 due to RESA technician check into the site for repairing the breaker on a transformer
4.All trackers are stuck from 10:45AM on 04/29 All trackers has resumed tracking on 04/30 except - NCU A.01 - Tracker S132 still struck , NCU A.02 - Trackers S71 &amp; S72 still struck , NCU B.01 - Tracker S2 still struck.
</t>
  </si>
  <si>
    <t>1.SR098375
2.SR099651
3.SR100352
4.SR100666</t>
  </si>
  <si>
    <t>SR099651</t>
  </si>
  <si>
    <t>SR100352</t>
  </si>
  <si>
    <t>SR100666</t>
  </si>
  <si>
    <t xml:space="preserve">1.Tracker 76 motor has been observed stuck at 30.76° across multiple days, with no consistent time pattern,NSU 02 - Tracker 49 motor is stuck at -16.9 degrees on 02/08/25 from 08:45AM,NSU 02 - Tracker 27 motor is struck at -1.01 DEG .Inverter 05 is impacting production after mid-day.
</t>
  </si>
  <si>
    <t>1.Inverter 1.04 &amp;2.10 are offline throughout the month.Inverter 2.10 has damaged insulated fuse stud which is preventing fuse from being installed. Inverter 1.04 is unresponsive and pending RMA for the wire box 
2.The site remained offline from 15:45 on 04/07 to 07:45 on 04/10 due to weather-related outages in the area. Power was restored on 04/08, after a technician closed the recloser.
3.Trackers stuck at 0 degrees and set points are also reporting 0 degrees from 04/23 All trackers started tracking from 04/25 10:00AM. Issue got self resolved</t>
  </si>
  <si>
    <t>1.SR098979
2.SR099483
3.SR100204</t>
  </si>
  <si>
    <t>SR099483</t>
  </si>
  <si>
    <t>SR100204</t>
  </si>
  <si>
    <t>1.The site tripped offline at 12:15 on 04/15 and was back online at 13:30 after the recloser auto-reclosed.</t>
  </si>
  <si>
    <t>1.SR099819</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</si>
  <si>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</si>
  <si>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</si>
  <si>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</si>
  <si>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</si>
  <si>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</si>
  <si>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</si>
  <si>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</si>
  <si>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</si>
  <si>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</si>
  <si>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</si>
  <si>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</si>
  <si>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</si>
  <si>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</si>
  <si>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</si>
  <si>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</si>
  <si>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</si>
  <si>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</si>
  <si>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Renewable Properties</t>
  </si>
  <si>
    <t>Site DAS Name</t>
  </si>
  <si>
    <t>Update</t>
  </si>
  <si>
    <t>DAS</t>
  </si>
  <si>
    <t>60 Cedar Swamp Rd. (Renewable Properties)</t>
  </si>
  <si>
    <t>Cedar Swamp Rd</t>
  </si>
  <si>
    <t>MA</t>
  </si>
  <si>
    <t>PowerTrack</t>
  </si>
  <si>
    <t>Bullis</t>
  </si>
  <si>
    <t>NY</t>
  </si>
  <si>
    <t>AEF</t>
  </si>
  <si>
    <t>Rock Island NY (Renew Prop)</t>
  </si>
  <si>
    <t>Rock Island</t>
  </si>
  <si>
    <t>Roderick Road</t>
  </si>
  <si>
    <t>Winslow - Roderick</t>
  </si>
  <si>
    <t>ME</t>
  </si>
  <si>
    <t>Clemons Road</t>
  </si>
  <si>
    <t>Minoa - Clemons Rd</t>
  </si>
  <si>
    <t>Western Ave Solar</t>
  </si>
  <si>
    <t>Manchester - Western</t>
  </si>
  <si>
    <t>Batavia - Pike Rd</t>
  </si>
  <si>
    <t xml:space="preserve"> Lockport - Slayton A &amp; B</t>
  </si>
  <si>
    <t>Slayton A &amp; B</t>
  </si>
  <si>
    <t>Alexander Road</t>
  </si>
  <si>
    <t>Batavia - Alexander Rd</t>
  </si>
  <si>
    <t>Henry Gibson</t>
  </si>
  <si>
    <t xml:space="preserve">NC: Gibson – Henry Gibson Solar </t>
  </si>
  <si>
    <t>NC</t>
  </si>
  <si>
    <t>Pushaw</t>
  </si>
  <si>
    <t>Bangor - Pushaw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</si>
</sst>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38">
    <font>
      <sz val="10"/>
      <name val="Arial"/>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u/>
      <sz val="10"/>
      <color theme="10"/>
      <name val="Arial"/>
      <family val="2"/>
    </font>
    <font>
      <sz val="11"/>
      <color rgb="FF000000"/>
      <name val="Calibri"/>
      <charset val="1"/>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auto="1"/>
      </right>
      <top style="thin">
        <color auto="1"/>
      </top>
      <bottom style="thin">
        <color auto="1"/>
      </bottom>
      <diagonal/>
    </border>
  </borders>
  <cellStyleXfs count="46">
    <xf numFmtId="0" fontId="0" fillId="0" borderId="0"/>
    <xf numFmtId="43" fontId="2" fillId="0" borderId="0" applyFont="0" applyFill="0" applyBorder="0" applyAlignment="0" applyProtection="0"/>
    <xf numFmtId="9" fontId="2" fillId="0" borderId="0" applyFont="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5" borderId="0" applyNumberFormat="0" applyBorder="0" applyAlignment="0" applyProtection="0"/>
    <xf numFmtId="0" fontId="11" fillId="6" borderId="0" applyNumberFormat="0" applyBorder="0" applyAlignment="0" applyProtection="0"/>
    <xf numFmtId="0" fontId="12" fillId="7" borderId="0" applyNumberFormat="0" applyBorder="0" applyAlignment="0" applyProtection="0"/>
    <xf numFmtId="0" fontId="13" fillId="8" borderId="5" applyNumberFormat="0" applyAlignment="0" applyProtection="0"/>
    <xf numFmtId="0" fontId="14" fillId="9" borderId="6" applyNumberFormat="0" applyAlignment="0" applyProtection="0"/>
    <xf numFmtId="0" fontId="15" fillId="9" borderId="5" applyNumberFormat="0" applyAlignment="0" applyProtection="0"/>
    <xf numFmtId="0" fontId="16" fillId="0" borderId="7" applyNumberFormat="0" applyFill="0" applyAlignment="0" applyProtection="0"/>
    <xf numFmtId="0" fontId="17" fillId="10" borderId="8" applyNumberFormat="0" applyAlignment="0" applyProtection="0"/>
    <xf numFmtId="0" fontId="18" fillId="0" borderId="0" applyNumberFormat="0" applyFill="0" applyBorder="0" applyAlignment="0" applyProtection="0"/>
    <xf numFmtId="0" fontId="19" fillId="0" borderId="0" applyNumberFormat="0" applyFill="0" applyBorder="0" applyAlignment="0" applyProtection="0"/>
    <xf numFmtId="0" fontId="20" fillId="0" borderId="10" applyNumberFormat="0" applyFill="0" applyAlignment="0" applyProtection="0"/>
    <xf numFmtId="0" fontId="2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2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2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2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2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2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0" borderId="0"/>
    <xf numFmtId="0" fontId="1" fillId="11" borderId="9" applyNumberFormat="0" applyFont="0" applyAlignment="0" applyProtection="0"/>
    <xf numFmtId="0" fontId="36" fillId="0" borderId="0" applyNumberFormat="0" applyFill="0" applyBorder="0" applyAlignment="0" applyProtection="0"/>
  </cellStyleXfs>
  <cellXfs count="94">
    <xf numFmtId="0" fontId="0" fillId="0" borderId="0" xfId="0"/>
    <xf numFmtId="9" fontId="4" fillId="0" borderId="0" xfId="2" applyFont="1" applyAlignment="1">
      <alignment horizontal="center"/>
    </xf>
    <xf numFmtId="0" fontId="0" fillId="0" borderId="0" xfId="0" applyAlignment="1">
      <alignment horizontal="center"/>
    </xf>
    <xf numFmtId="0" fontId="23" fillId="0" borderId="0" xfId="0" applyFont="1" applyAlignment="1">
      <alignment horizontal="left"/>
    </xf>
    <xf numFmtId="0" fontId="5" fillId="0" borderId="0" xfId="0" applyFont="1" applyAlignment="1">
      <alignment vertical="center"/>
    </xf>
    <xf numFmtId="3" fontId="25" fillId="36" borderId="1" xfId="0" applyNumberFormat="1" applyFont="1" applyFill="1" applyBorder="1" applyAlignment="1">
      <alignment horizontal="center" vertical="center"/>
    </xf>
    <xf numFmtId="9" fontId="25" fillId="36" borderId="1" xfId="0" applyNumberFormat="1" applyFont="1" applyFill="1" applyBorder="1" applyAlignment="1">
      <alignment horizontal="center" vertical="center"/>
    </xf>
    <xf numFmtId="3" fontId="25" fillId="36" borderId="1" xfId="1" applyNumberFormat="1" applyFont="1" applyFill="1" applyBorder="1" applyAlignment="1">
      <alignment horizontal="center" vertical="center"/>
    </xf>
    <xf numFmtId="0" fontId="29" fillId="2" borderId="1" xfId="0" applyFont="1" applyFill="1" applyBorder="1" applyAlignment="1">
      <alignment horizontal="center" vertical="center" wrapText="1"/>
    </xf>
    <xf numFmtId="0" fontId="32" fillId="0" borderId="0" xfId="0" applyFont="1"/>
    <xf numFmtId="9" fontId="31" fillId="0" borderId="0" xfId="2" applyFont="1" applyAlignment="1">
      <alignment horizontal="center"/>
    </xf>
    <xf numFmtId="0" fontId="29" fillId="43" borderId="1" xfId="0" applyFont="1" applyFill="1" applyBorder="1" applyAlignment="1">
      <alignment horizontal="center" vertical="center" wrapText="1"/>
    </xf>
    <xf numFmtId="0" fontId="33" fillId="0" borderId="0" xfId="0" applyFont="1" applyAlignment="1">
      <alignment vertical="center"/>
    </xf>
    <xf numFmtId="0" fontId="29" fillId="2" borderId="11" xfId="0" applyFont="1" applyFill="1" applyBorder="1" applyAlignment="1">
      <alignment horizontal="center" vertical="center" wrapText="1"/>
    </xf>
    <xf numFmtId="0" fontId="30" fillId="0" borderId="0" xfId="0" applyFont="1"/>
    <xf numFmtId="0" fontId="25" fillId="0" borderId="0" xfId="0" applyFont="1"/>
    <xf numFmtId="0" fontId="24" fillId="41" borderId="1" xfId="0" applyFont="1" applyFill="1" applyBorder="1" applyAlignment="1">
      <alignment horizontal="center" vertical="center" wrapText="1"/>
    </xf>
    <xf numFmtId="9" fontId="24" fillId="41" borderId="1" xfId="2" applyFont="1" applyFill="1" applyBorder="1" applyAlignment="1">
      <alignment horizontal="center" vertical="center" wrapText="1"/>
    </xf>
    <xf numFmtId="0" fontId="24" fillId="42" borderId="1" xfId="0" applyFont="1" applyFill="1" applyBorder="1" applyAlignment="1">
      <alignment horizontal="center"/>
    </xf>
    <xf numFmtId="0" fontId="24" fillId="42" borderId="1" xfId="0" applyFont="1" applyFill="1" applyBorder="1" applyAlignment="1">
      <alignment horizontal="center" vertical="center" wrapText="1"/>
    </xf>
    <xf numFmtId="9" fontId="24" fillId="42" borderId="1" xfId="2" applyFont="1" applyFill="1" applyBorder="1" applyAlignment="1">
      <alignment horizontal="center" vertical="center" wrapText="1"/>
    </xf>
    <xf numFmtId="0" fontId="0" fillId="0" borderId="0" xfId="0" applyAlignment="1">
      <alignment horizontal="center" wrapText="1"/>
    </xf>
    <xf numFmtId="0" fontId="0" fillId="0" borderId="0" xfId="0" applyAlignment="1">
      <alignment horizontal="center" vertical="center"/>
    </xf>
    <xf numFmtId="0" fontId="22" fillId="0" borderId="0" xfId="43" applyFont="1" applyAlignment="1">
      <alignment horizontal="center" vertical="center"/>
    </xf>
    <xf numFmtId="0" fontId="0" fillId="0" borderId="0" xfId="0" applyAlignment="1">
      <alignment horizontal="left" wrapText="1"/>
    </xf>
    <xf numFmtId="49" fontId="27" fillId="40" borderId="1" xfId="0" applyNumberFormat="1" applyFont="1" applyFill="1" applyBorder="1" applyAlignment="1">
      <alignment horizontal="center" vertical="center"/>
    </xf>
    <xf numFmtId="49" fontId="28" fillId="40" borderId="1" xfId="0" applyNumberFormat="1" applyFont="1" applyFill="1" applyBorder="1" applyAlignment="1">
      <alignment horizontal="center" vertical="center"/>
    </xf>
    <xf numFmtId="164" fontId="28" fillId="44" borderId="1" xfId="1" applyNumberFormat="1" applyFont="1" applyFill="1" applyBorder="1" applyAlignment="1">
      <alignment horizontal="center" vertical="center"/>
    </xf>
    <xf numFmtId="3" fontId="30" fillId="3" borderId="1" xfId="0" applyNumberFormat="1" applyFont="1" applyFill="1" applyBorder="1" applyAlignment="1">
      <alignment horizontal="right" vertical="center"/>
    </xf>
    <xf numFmtId="9" fontId="30" fillId="3" borderId="1" xfId="2" applyFont="1" applyFill="1" applyBorder="1" applyAlignment="1">
      <alignment horizontal="center" vertical="center"/>
    </xf>
    <xf numFmtId="3" fontId="30" fillId="4" borderId="1" xfId="1" applyNumberFormat="1" applyFont="1" applyFill="1" applyBorder="1" applyAlignment="1">
      <alignment vertical="center"/>
    </xf>
    <xf numFmtId="9" fontId="30" fillId="37" borderId="1" xfId="2" applyFont="1" applyFill="1" applyBorder="1" applyAlignment="1">
      <alignment horizontal="center" vertical="center"/>
    </xf>
    <xf numFmtId="49" fontId="27" fillId="0" borderId="1" xfId="0" applyNumberFormat="1" applyFont="1" applyBorder="1" applyAlignment="1">
      <alignment horizontal="center" vertical="center"/>
    </xf>
    <xf numFmtId="49" fontId="28" fillId="0" borderId="1" xfId="0" applyNumberFormat="1" applyFont="1" applyBorder="1" applyAlignment="1">
      <alignment horizontal="center" vertical="center"/>
    </xf>
    <xf numFmtId="164" fontId="28" fillId="0" borderId="1" xfId="1" applyNumberFormat="1" applyFont="1" applyBorder="1" applyAlignment="1">
      <alignment horizontal="center" vertical="center"/>
    </xf>
    <xf numFmtId="3" fontId="30" fillId="0" borderId="1" xfId="0" applyNumberFormat="1" applyFont="1" applyBorder="1" applyAlignment="1">
      <alignment horizontal="right" vertical="center"/>
    </xf>
    <xf numFmtId="9" fontId="30" fillId="0" borderId="1" xfId="2" applyFont="1" applyFill="1" applyBorder="1" applyAlignment="1">
      <alignment horizontal="center" vertical="center"/>
    </xf>
    <xf numFmtId="3" fontId="30" fillId="0" borderId="1" xfId="1" applyNumberFormat="1" applyFont="1" applyFill="1" applyBorder="1" applyAlignment="1">
      <alignment vertical="center"/>
    </xf>
    <xf numFmtId="49" fontId="27" fillId="40" borderId="1" xfId="0" applyNumberFormat="1" applyFont="1" applyFill="1" applyBorder="1" applyAlignment="1">
      <alignment horizontal="left" vertical="center"/>
    </xf>
    <xf numFmtId="49" fontId="27" fillId="0" borderId="1" xfId="0" applyNumberFormat="1" applyFont="1" applyBorder="1" applyAlignment="1">
      <alignment horizontal="left" vertical="center"/>
    </xf>
    <xf numFmtId="0" fontId="29" fillId="43" borderId="11" xfId="0" applyFont="1" applyFill="1" applyBorder="1" applyAlignment="1">
      <alignment horizontal="center" vertical="center" wrapText="1"/>
    </xf>
    <xf numFmtId="0" fontId="24" fillId="41" borderId="11" xfId="0" applyFont="1" applyFill="1" applyBorder="1" applyAlignment="1">
      <alignment horizontal="center" vertical="center" wrapText="1"/>
    </xf>
    <xf numFmtId="9" fontId="24" fillId="41" borderId="11" xfId="2" applyFont="1" applyFill="1" applyBorder="1" applyAlignment="1">
      <alignment horizontal="center" vertical="center" wrapText="1"/>
    </xf>
    <xf numFmtId="0" fontId="24" fillId="42" borderId="11" xfId="0" applyFont="1" applyFill="1" applyBorder="1" applyAlignment="1">
      <alignment horizontal="center" vertical="center"/>
    </xf>
    <xf numFmtId="0" fontId="24" fillId="42" borderId="11" xfId="0" applyFont="1" applyFill="1" applyBorder="1" applyAlignment="1">
      <alignment horizontal="center" vertical="center" wrapText="1"/>
    </xf>
    <xf numFmtId="9" fontId="24" fillId="42" borderId="11" xfId="2" applyFont="1" applyFill="1" applyBorder="1" applyAlignment="1">
      <alignment horizontal="center" vertical="center" wrapText="1"/>
    </xf>
    <xf numFmtId="0" fontId="5" fillId="45" borderId="11" xfId="0" applyFont="1" applyFill="1" applyBorder="1" applyAlignment="1">
      <alignment horizontal="center" vertical="center"/>
    </xf>
    <xf numFmtId="0" fontId="24" fillId="42" borderId="11" xfId="0" applyFont="1" applyFill="1" applyBorder="1" applyAlignment="1">
      <alignment horizontal="center"/>
    </xf>
    <xf numFmtId="0" fontId="34" fillId="40" borderId="1" xfId="0" applyFont="1" applyFill="1" applyBorder="1" applyAlignment="1">
      <alignment horizontal="left"/>
    </xf>
    <xf numFmtId="0" fontId="28" fillId="40" borderId="1" xfId="0" applyFont="1" applyFill="1" applyBorder="1" applyAlignment="1">
      <alignment horizontal="center" vertical="center"/>
    </xf>
    <xf numFmtId="49" fontId="30" fillId="38" borderId="1" xfId="2" applyNumberFormat="1" applyFont="1" applyFill="1" applyBorder="1" applyAlignment="1">
      <alignment vertical="top" wrapText="1"/>
    </xf>
    <xf numFmtId="0" fontId="27" fillId="0" borderId="1" xfId="0" applyFont="1" applyBorder="1" applyAlignment="1">
      <alignment horizontal="left" vertical="center"/>
    </xf>
    <xf numFmtId="0" fontId="28" fillId="0" borderId="1" xfId="0" applyFont="1" applyBorder="1" applyAlignment="1">
      <alignment horizontal="center" vertical="center"/>
    </xf>
    <xf numFmtId="49" fontId="28" fillId="0" borderId="1" xfId="0" applyNumberFormat="1" applyFont="1" applyBorder="1" applyAlignment="1">
      <alignment vertical="center" wrapText="1"/>
    </xf>
    <xf numFmtId="0" fontId="27" fillId="40" borderId="1" xfId="0" applyFont="1" applyFill="1" applyBorder="1" applyAlignment="1">
      <alignment horizontal="left" vertical="center"/>
    </xf>
    <xf numFmtId="0" fontId="34" fillId="40" borderId="1" xfId="0" applyFont="1" applyFill="1" applyBorder="1" applyAlignment="1">
      <alignment horizontal="center"/>
    </xf>
    <xf numFmtId="0" fontId="27" fillId="0" borderId="1" xfId="0" applyFont="1" applyBorder="1" applyAlignment="1">
      <alignment horizontal="center" vertical="center"/>
    </xf>
    <xf numFmtId="0" fontId="27" fillId="40" borderId="1" xfId="0" applyFont="1" applyFill="1" applyBorder="1" applyAlignment="1">
      <alignment horizontal="center" vertical="center"/>
    </xf>
    <xf numFmtId="49" fontId="28" fillId="0" borderId="1" xfId="0" applyNumberFormat="1" applyFont="1" applyBorder="1" applyAlignment="1">
      <alignment horizontal="left" vertical="top" wrapText="1"/>
    </xf>
    <xf numFmtId="49" fontId="28" fillId="0" borderId="1" xfId="0" applyNumberFormat="1" applyFont="1" applyBorder="1" applyAlignment="1">
      <alignment vertical="top" wrapText="1"/>
    </xf>
    <xf numFmtId="0" fontId="22" fillId="0" borderId="0" xfId="43" applyFont="1"/>
    <xf numFmtId="9" fontId="30" fillId="3" borderId="12" xfId="2" applyFont="1" applyFill="1" applyBorder="1" applyAlignment="1">
      <alignment horizontal="center" vertical="center"/>
    </xf>
    <xf numFmtId="0" fontId="32" fillId="0" borderId="1" xfId="0" applyFont="1" applyBorder="1"/>
    <xf numFmtId="0" fontId="22" fillId="0" borderId="0" xfId="43" applyFont="1" applyAlignment="1">
      <alignment horizontal="left" vertical="top" wrapText="1"/>
    </xf>
    <xf numFmtId="0" fontId="35" fillId="0" borderId="1" xfId="0" applyFont="1" applyBorder="1" applyAlignment="1">
      <alignment horizontal="center" vertical="center"/>
    </xf>
    <xf numFmtId="0" fontId="30" fillId="0" borderId="1" xfId="0" applyFont="1" applyBorder="1" applyAlignment="1">
      <alignment horizontal="center"/>
    </xf>
    <xf numFmtId="49" fontId="30" fillId="38" borderId="1" xfId="2" applyNumberFormat="1" applyFont="1" applyFill="1" applyBorder="1" applyAlignment="1">
      <alignment horizontal="left" vertical="top" wrapText="1"/>
    </xf>
    <xf numFmtId="0" fontId="22" fillId="0" borderId="0" xfId="43" applyFont="1" applyAlignment="1">
      <alignment horizontal="left" wrapText="1"/>
    </xf>
    <xf numFmtId="0" fontId="32" fillId="0" borderId="13" xfId="0" applyFont="1" applyBorder="1"/>
    <xf numFmtId="3" fontId="30" fillId="4" borderId="11" xfId="1" applyNumberFormat="1" applyFont="1" applyFill="1" applyBorder="1" applyAlignment="1">
      <alignment vertical="center"/>
    </xf>
    <xf numFmtId="9" fontId="30" fillId="0" borderId="12" xfId="2" applyFont="1" applyFill="1" applyBorder="1" applyAlignment="1">
      <alignment horizontal="center" vertical="center"/>
    </xf>
    <xf numFmtId="3" fontId="30" fillId="0" borderId="14" xfId="1" applyNumberFormat="1" applyFont="1" applyFill="1" applyBorder="1" applyAlignment="1">
      <alignment vertical="center"/>
    </xf>
    <xf numFmtId="0" fontId="2" fillId="0" borderId="0" xfId="0" applyFont="1"/>
    <xf numFmtId="0" fontId="30" fillId="0" borderId="13" xfId="0" applyFont="1" applyBorder="1" applyAlignment="1">
      <alignment horizontal="left" vertical="top" wrapText="1"/>
    </xf>
    <xf numFmtId="0" fontId="30" fillId="0" borderId="13" xfId="0" applyFont="1" applyBorder="1" applyAlignment="1">
      <alignment horizontal="center" vertical="center"/>
    </xf>
    <xf numFmtId="0" fontId="0" fillId="0" borderId="0" xfId="0" applyAlignment="1">
      <alignment wrapText="1"/>
    </xf>
    <xf numFmtId="0" fontId="32" fillId="0" borderId="13" xfId="0" applyFont="1" applyBorder="1" applyAlignment="1">
      <alignment vertical="center"/>
    </xf>
    <xf numFmtId="0" fontId="30" fillId="0" borderId="13" xfId="0" applyFont="1" applyBorder="1" applyAlignment="1">
      <alignment horizontal="right" vertical="center"/>
    </xf>
    <xf numFmtId="9" fontId="30" fillId="0" borderId="1" xfId="2" applyFont="1" applyBorder="1" applyAlignment="1">
      <alignment horizontal="center" vertical="center"/>
    </xf>
    <xf numFmtId="3" fontId="30" fillId="0" borderId="1" xfId="1" applyNumberFormat="1" applyFont="1" applyBorder="1" applyAlignment="1">
      <alignment vertical="center"/>
    </xf>
    <xf numFmtId="49" fontId="36" fillId="0" borderId="1" xfId="45" applyNumberFormat="1" applyBorder="1" applyAlignment="1">
      <alignment horizontal="left" vertical="top" wrapText="1"/>
    </xf>
    <xf numFmtId="49" fontId="36" fillId="38" borderId="1" xfId="45" applyNumberFormat="1" applyFill="1" applyBorder="1" applyAlignment="1">
      <alignment horizontal="left" vertical="top" wrapText="1"/>
    </xf>
    <xf numFmtId="0" fontId="36" fillId="0" borderId="13" xfId="45" applyBorder="1" applyAlignment="1">
      <alignment horizontal="left" vertical="top" wrapText="1"/>
    </xf>
    <xf numFmtId="0" fontId="0" fillId="0" borderId="0" xfId="0" applyAlignment="1">
      <alignment horizontal="left" vertical="top"/>
    </xf>
    <xf numFmtId="0" fontId="36" fillId="0" borderId="0" xfId="45" applyAlignment="1">
      <alignment horizontal="left" vertical="top" wrapText="1"/>
    </xf>
    <xf numFmtId="0" fontId="36" fillId="0" borderId="0" xfId="45" applyAlignment="1">
      <alignment horizontal="left" vertical="top"/>
    </xf>
    <xf numFmtId="0" fontId="37" fillId="0" borderId="0" xfId="0" applyFont="1"/>
    <xf numFmtId="49" fontId="36" fillId="38" borderId="1" xfId="45" applyNumberFormat="1" applyFill="1" applyBorder="1" applyAlignment="1">
      <alignment vertical="top" wrapText="1"/>
    </xf>
    <xf numFmtId="49" fontId="28" fillId="0" borderId="1" xfId="0" applyNumberFormat="1" applyFont="1" applyBorder="1" applyAlignment="1">
      <alignment horizontal="left" vertical="center" wrapText="1"/>
    </xf>
    <xf numFmtId="49" fontId="36" fillId="0" borderId="1" xfId="45" applyNumberFormat="1" applyBorder="1" applyAlignment="1">
      <alignment vertical="top" wrapText="1"/>
    </xf>
    <xf numFmtId="0" fontId="3" fillId="4" borderId="1" xfId="0" applyFont="1" applyFill="1" applyBorder="1" applyAlignment="1">
      <alignment horizontal="center" vertical="center"/>
    </xf>
    <xf numFmtId="0" fontId="26"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24"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 cent" xfId="2" builtinId="5"/>
    <cellStyle name="Title" xfId="3" builtinId="15" customBuiltin="1"/>
    <cellStyle name="Total" xfId="18" builtinId="25" customBuiltin="1"/>
    <cellStyle name="Warning Text" xfId="16" builtinId="11" customBuiltin="1"/>
  </cellStyles>
  <dxfs count="43">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4" totalsRowShown="0">
  <autoFilter ref="A3:E14"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6398" TargetMode="External"/><Relationship Id="rId3" Type="http://schemas.openxmlformats.org/officeDocument/2006/relationships/hyperlink" Target="https://us3.assetplanner.com/service_request?ID=094897" TargetMode="External"/><Relationship Id="rId7" Type="http://schemas.openxmlformats.org/officeDocument/2006/relationships/hyperlink" Target="https://us3.assetplanner.com/service_request?ID=096326" TargetMode="External"/><Relationship Id="rId12" Type="http://schemas.openxmlformats.org/officeDocument/2006/relationships/hyperlink" Target="https://us3.assetplanner.com/service_request?ID=097650" TargetMode="External"/><Relationship Id="rId2" Type="http://schemas.openxmlformats.org/officeDocument/2006/relationships/hyperlink" Target="https://us3.assetplanner.com/service_request?ID=097445" TargetMode="External"/><Relationship Id="rId1" Type="http://schemas.openxmlformats.org/officeDocument/2006/relationships/hyperlink" Target="https://us3.assetplanner.com/service_request?ID=096532" TargetMode="External"/><Relationship Id="rId6" Type="http://schemas.openxmlformats.org/officeDocument/2006/relationships/hyperlink" Target="https://us3.assetplanner.com/service_request?ID=096696" TargetMode="External"/><Relationship Id="rId11" Type="http://schemas.openxmlformats.org/officeDocument/2006/relationships/hyperlink" Target="https://us3.assetplanner.com/service_request?ID=097527" TargetMode="External"/><Relationship Id="rId5" Type="http://schemas.openxmlformats.org/officeDocument/2006/relationships/hyperlink" Target="https://us3.assetplanner.com/service_request?ID=096403" TargetMode="External"/><Relationship Id="rId10" Type="http://schemas.openxmlformats.org/officeDocument/2006/relationships/hyperlink" Target="https://us3.assetplanner.com/service_request?ID=096935" TargetMode="External"/><Relationship Id="rId4" Type="http://schemas.openxmlformats.org/officeDocument/2006/relationships/hyperlink" Target="https://us3.assetplanner.com/service_request?ID=095762" TargetMode="External"/><Relationship Id="rId9" Type="http://schemas.openxmlformats.org/officeDocument/2006/relationships/hyperlink" Target="https://us3.assetplanner.com/service_request?ID=096626"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8907" TargetMode="External"/><Relationship Id="rId13" Type="http://schemas.openxmlformats.org/officeDocument/2006/relationships/hyperlink" Target="https://us3.assetplanner.com/service_request?ID=098763" TargetMode="External"/><Relationship Id="rId18" Type="http://schemas.openxmlformats.org/officeDocument/2006/relationships/hyperlink" Target="https://us3.assetplanner.com/service_request?ID=098979" TargetMode="External"/><Relationship Id="rId3" Type="http://schemas.openxmlformats.org/officeDocument/2006/relationships/hyperlink" Target="https://us3.assetplanner.com/service_request?ID=097988" TargetMode="External"/><Relationship Id="rId21" Type="http://schemas.openxmlformats.org/officeDocument/2006/relationships/hyperlink" Target="https://us3.assetplanner.com/service_request?ID=099057" TargetMode="External"/><Relationship Id="rId7" Type="http://schemas.openxmlformats.org/officeDocument/2006/relationships/hyperlink" Target="https://us3.assetplanner.com/service_request?ID=098775" TargetMode="External"/><Relationship Id="rId12" Type="http://schemas.openxmlformats.org/officeDocument/2006/relationships/hyperlink" Target="https://us3.assetplanner.com/service_request?ID=097819" TargetMode="External"/><Relationship Id="rId17" Type="http://schemas.openxmlformats.org/officeDocument/2006/relationships/hyperlink" Target="https://us3.assetplanner.com/service_request?ID=098946" TargetMode="External"/><Relationship Id="rId2" Type="http://schemas.openxmlformats.org/officeDocument/2006/relationships/hyperlink" Target="https://us3.assetplanner.com/service_request?ID=098647" TargetMode="External"/><Relationship Id="rId16" Type="http://schemas.openxmlformats.org/officeDocument/2006/relationships/hyperlink" Target="https://us3.assetplanner.com/service_request?ID=098979" TargetMode="External"/><Relationship Id="rId20" Type="http://schemas.openxmlformats.org/officeDocument/2006/relationships/hyperlink" Target="https://us3.assetplanner.com/service_request?ID=099163" TargetMode="External"/><Relationship Id="rId1" Type="http://schemas.openxmlformats.org/officeDocument/2006/relationships/hyperlink" Target="https://us3.assetplanner.com/service_request?ID=09633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098777" TargetMode="External"/><Relationship Id="rId5" Type="http://schemas.openxmlformats.org/officeDocument/2006/relationships/hyperlink" Target="https://us3.assetplanner.com/service_request?ID=098356" TargetMode="External"/><Relationship Id="rId15" Type="http://schemas.openxmlformats.org/officeDocument/2006/relationships/hyperlink" Target="https://us3.assetplanner.com/service_request?ID=097650" TargetMode="External"/><Relationship Id="rId10" Type="http://schemas.openxmlformats.org/officeDocument/2006/relationships/hyperlink" Target="https://us3.assetplanner.com/service_request?ID=098375"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8176" TargetMode="External"/><Relationship Id="rId9" Type="http://schemas.openxmlformats.org/officeDocument/2006/relationships/hyperlink" Target="https://us3.assetplanner.com/service_request?ID=096935" TargetMode="External"/><Relationship Id="rId14" Type="http://schemas.openxmlformats.org/officeDocument/2006/relationships/hyperlink" Target="https://us3.assetplanner.com/service_request?ID=09752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100717" TargetMode="External"/><Relationship Id="rId13" Type="http://schemas.openxmlformats.org/officeDocument/2006/relationships/hyperlink" Target="https://us3.assetplanner.com/service_request?ID=098907" TargetMode="External"/><Relationship Id="rId18" Type="http://schemas.openxmlformats.org/officeDocument/2006/relationships/hyperlink" Target="https://us3.assetplanner.com/service_request?ID=098763" TargetMode="External"/><Relationship Id="rId3" Type="http://schemas.openxmlformats.org/officeDocument/2006/relationships/hyperlink" Target="https://us3.assetplanner.com/service_request?ID=100017" TargetMode="External"/><Relationship Id="rId21" Type="http://schemas.openxmlformats.org/officeDocument/2006/relationships/hyperlink" Target="https://us3.assetplanner.com/service_request?ID=100204" TargetMode="External"/><Relationship Id="rId7" Type="http://schemas.openxmlformats.org/officeDocument/2006/relationships/hyperlink" Target="https://us3.assetplanner.com/service_request?ID=100667" TargetMode="External"/><Relationship Id="rId12" Type="http://schemas.openxmlformats.org/officeDocument/2006/relationships/hyperlink" Target="https://us3.assetplanner.com/service_request?ID=100392" TargetMode="External"/><Relationship Id="rId17" Type="http://schemas.openxmlformats.org/officeDocument/2006/relationships/hyperlink" Target="https://us3.assetplanner.com/service_request?ID=100666" TargetMode="External"/><Relationship Id="rId2" Type="http://schemas.openxmlformats.org/officeDocument/2006/relationships/hyperlink" Target="https://us3.assetplanner.com/service_request?ID=099753" TargetMode="External"/><Relationship Id="rId16" Type="http://schemas.openxmlformats.org/officeDocument/2006/relationships/hyperlink" Target="https://us3.assetplanner.com/service_request?ID=100352" TargetMode="External"/><Relationship Id="rId20" Type="http://schemas.openxmlformats.org/officeDocument/2006/relationships/hyperlink" Target="https://us3.assetplanner.com/service_request?ID=099483" TargetMode="External"/><Relationship Id="rId1" Type="http://schemas.openxmlformats.org/officeDocument/2006/relationships/hyperlink" Target="https://us3.assetplanner.com/service_request?ID=100208" TargetMode="External"/><Relationship Id="rId6" Type="http://schemas.openxmlformats.org/officeDocument/2006/relationships/hyperlink" Target="https://us3.assetplanner.com/service_request?ID=098701" TargetMode="External"/><Relationship Id="rId11" Type="http://schemas.openxmlformats.org/officeDocument/2006/relationships/hyperlink" Target="https://us3.assetplanner.com/service_request?ID=100248" TargetMode="External"/><Relationship Id="rId5" Type="http://schemas.openxmlformats.org/officeDocument/2006/relationships/hyperlink" Target="https://us3.assetplanner.com/service_request?ID=100451" TargetMode="External"/><Relationship Id="rId15" Type="http://schemas.openxmlformats.org/officeDocument/2006/relationships/hyperlink" Target="https://us3.assetplanner.com/service_request?ID=099651" TargetMode="External"/><Relationship Id="rId10" Type="http://schemas.openxmlformats.org/officeDocument/2006/relationships/hyperlink" Target="https://us3.assetplanner.com/service_request?ID=099279" TargetMode="External"/><Relationship Id="rId19" Type="http://schemas.openxmlformats.org/officeDocument/2006/relationships/hyperlink" Target="https://us3.assetplanner.com/service_request?ID=098979" TargetMode="External"/><Relationship Id="rId4" Type="http://schemas.openxmlformats.org/officeDocument/2006/relationships/hyperlink" Target="https://us3.assetplanner.com/service_request?ID=099376" TargetMode="External"/><Relationship Id="rId9" Type="http://schemas.openxmlformats.org/officeDocument/2006/relationships/hyperlink" Target="https://us3.assetplanner.com/service_request?ID=098775" TargetMode="External"/><Relationship Id="rId14" Type="http://schemas.openxmlformats.org/officeDocument/2006/relationships/hyperlink" Target="https://us3.assetplanner.com/service_request?ID=098375" TargetMode="External"/><Relationship Id="rId22" Type="http://schemas.openxmlformats.org/officeDocument/2006/relationships/hyperlink" Target="https://us3.assetplanner.com/service_request?ID=099819"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workbookViewId="0">
      <pane xSplit="2" ySplit="3" topLeftCell="C4" activePane="bottomRight" state="frozen"/>
      <selection pane="bottomRight" activeCell="M8" sqref="M8"/>
      <selection pane="bottomLeft"/>
      <selection pane="topRight"/>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Renewable Properties</v>
      </c>
      <c r="B1" s="91"/>
      <c r="C1" s="91"/>
      <c r="D1" s="92" t="s">
        <v>0</v>
      </c>
      <c r="E1" s="92"/>
      <c r="F1" s="92"/>
      <c r="G1" s="90" t="s">
        <v>1</v>
      </c>
      <c r="H1" s="90"/>
      <c r="I1" s="90"/>
    </row>
    <row r="2" spans="1:9" ht="19.5" customHeight="1">
      <c r="A2" s="93" t="s">
        <v>2</v>
      </c>
      <c r="B2" s="93"/>
      <c r="C2" s="5">
        <f>SUM(C4:C80)</f>
        <v>14739719.576336723</v>
      </c>
      <c r="D2" s="5">
        <f>SUM(D4:D80)</f>
        <v>16823820.629999999</v>
      </c>
      <c r="E2" s="5">
        <f>C2-D2</f>
        <v>-2084101.0536632761</v>
      </c>
      <c r="F2" s="6">
        <f>IFERROR(E2/D2, 0)</f>
        <v>-0.12387798821077162</v>
      </c>
      <c r="G2" s="5">
        <f>SUM(G4:G80)</f>
        <v>16741884.959999999</v>
      </c>
      <c r="H2" s="7">
        <f>C2-G2</f>
        <v>-2002165.3836632762</v>
      </c>
      <c r="I2" s="6">
        <f>IFERROR(H2/G2, 0)</f>
        <v>-0.11959020077171026</v>
      </c>
    </row>
    <row r="3" spans="1:9" ht="14.25" customHeight="1">
      <c r="A3" s="8" t="s">
        <v>3</v>
      </c>
      <c r="B3" s="8" t="s">
        <v>4</v>
      </c>
      <c r="C3" s="11" t="s">
        <v>5</v>
      </c>
      <c r="D3" s="16" t="s">
        <v>6</v>
      </c>
      <c r="E3" s="16" t="s">
        <v>7</v>
      </c>
      <c r="F3" s="17" t="s">
        <v>8</v>
      </c>
      <c r="G3" s="18" t="s">
        <v>9</v>
      </c>
      <c r="H3" s="19" t="s">
        <v>7</v>
      </c>
      <c r="I3" s="20" t="s">
        <v>8</v>
      </c>
    </row>
    <row r="4" spans="1:9" ht="15.6">
      <c r="A4" s="25" t="str" cm="1">
        <f t="array" ref="A4:A14">Sites[Site]</f>
        <v>Cedar Swamp Rd</v>
      </c>
      <c r="B4" s="26" t="str" cm="1">
        <f t="array" ref="B4:B14">Sites[State]</f>
        <v>MA</v>
      </c>
      <c r="C4" s="27">
        <f>SUM('1st Qtr'!C4, '2nd Qtr'!C4, '3rd Qtr'!C4, '4th Qtr'!C4)</f>
        <v>570506</v>
      </c>
      <c r="D4" s="28">
        <f>SUM('1st Qtr'!D4, '2nd Qtr'!D4, '3rd Qtr'!D4, '4th Qtr'!D4)</f>
        <v>392230.63</v>
      </c>
      <c r="E4" s="28">
        <f>IF(AND(ISNUMBER(C4),ISNUMBER(D4)), C4-D4, "")</f>
        <v>178275.37</v>
      </c>
      <c r="F4" s="29">
        <f>IFERROR(E4/D4, "")</f>
        <v>0.45451669595513228</v>
      </c>
      <c r="G4" s="30">
        <f>SUM('1st Qtr'!G4, '2nd Qtr'!G4, '3rd Qtr'!G4, '4th Qtr'!G4)</f>
        <v>343563.86</v>
      </c>
      <c r="H4" s="30">
        <f>SUM('1st Qtr'!H4, '2nd Qtr'!H4, '3rd Qtr'!H4, '4th Qtr'!H4)</f>
        <v>44937.140000000007</v>
      </c>
      <c r="I4" s="31">
        <f>IFERROR(H4/G4, "")</f>
        <v>0.13079705182029336</v>
      </c>
    </row>
    <row r="5" spans="1:9" ht="15.6">
      <c r="A5" s="32" t="str">
        <v>Bullis</v>
      </c>
      <c r="B5" s="33" t="str">
        <v>NY</v>
      </c>
      <c r="C5" s="35">
        <f>SUM('1st Qtr'!C5, '2nd Qtr'!C5, '3rd Qtr'!C5, '4th Qtr'!C5)</f>
        <v>1738996.5</v>
      </c>
      <c r="D5" s="35">
        <f>SUM('1st Qtr'!D5, '2nd Qtr'!D5, '3rd Qtr'!D5, '4th Qtr'!D5)</f>
        <v>1884917.9000000001</v>
      </c>
      <c r="E5" s="35">
        <f t="shared" ref="E5:E6" si="0">IF(AND(ISNUMBER(C5),ISNUMBER(D5)), C5-D5, "")</f>
        <v>-145921.40000000014</v>
      </c>
      <c r="F5" s="36">
        <f>IFERROR(E5/D5, "")</f>
        <v>-7.7415255062302776E-2</v>
      </c>
      <c r="G5" s="37">
        <f>SUM('1st Qtr'!G5, '2nd Qtr'!G5, '3rd Qtr'!G5, '4th Qtr'!G5)</f>
        <v>2188198.5</v>
      </c>
      <c r="H5" s="37">
        <f>SUM('1st Qtr'!H5, '2nd Qtr'!H5, '3rd Qtr'!H5, '4th Qtr'!H5)</f>
        <v>-449202</v>
      </c>
      <c r="I5" s="36">
        <f>IFERROR(H5/G5, "")</f>
        <v>-0.20528393562101427</v>
      </c>
    </row>
    <row r="6" spans="1:9" ht="15.6">
      <c r="A6" s="25" t="str">
        <v>Rock Island</v>
      </c>
      <c r="B6" s="26" t="str">
        <v>NY</v>
      </c>
      <c r="C6" s="27">
        <f>SUM('1st Qtr'!C6, '2nd Qtr'!C6, '3rd Qtr'!C6, '4th Qtr'!C6)</f>
        <v>1629648</v>
      </c>
      <c r="D6" s="28">
        <f>SUM('1st Qtr'!D6, '2nd Qtr'!D6, '3rd Qtr'!D6, '4th Qtr'!D6)</f>
        <v>1944832.3</v>
      </c>
      <c r="E6" s="28">
        <f t="shared" si="0"/>
        <v>-315184.30000000005</v>
      </c>
      <c r="F6" s="29">
        <f t="shared" ref="F6" si="1">IFERROR(E6/D6, "")</f>
        <v>-0.16206245649046452</v>
      </c>
      <c r="G6" s="30">
        <f>SUM('1st Qtr'!G6, '2nd Qtr'!G6, '3rd Qtr'!G6, '4th Qtr'!G6)</f>
        <v>1884461.5</v>
      </c>
      <c r="H6" s="30">
        <f>SUM('1st Qtr'!H6, '2nd Qtr'!H6, '3rd Qtr'!H6, '4th Qtr'!H6)</f>
        <v>-254813.50000000006</v>
      </c>
      <c r="I6" s="31">
        <f t="shared" ref="I6" si="2">IFERROR(H6/G6, "")</f>
        <v>-0.13521820424561609</v>
      </c>
    </row>
    <row r="7" spans="1:9" ht="15.6">
      <c r="A7" s="32" t="str">
        <v>Winslow - Roderick</v>
      </c>
      <c r="B7" s="33" t="str">
        <v>ME</v>
      </c>
      <c r="C7" s="35">
        <f>SUM('1st Qtr'!C7, '2nd Qtr'!C7, '3rd Qtr'!C7, '4th Qtr'!C7)</f>
        <v>1953914</v>
      </c>
      <c r="D7" s="35">
        <f>SUM('1st Qtr'!D7, '2nd Qtr'!D7, '3rd Qtr'!D7, '4th Qtr'!D7)</f>
        <v>2333995.1</v>
      </c>
      <c r="E7" s="35">
        <f t="shared" ref="E7" si="3">IF(AND(ISNUMBER(C7),ISNUMBER(D7)), C7-D7, "")</f>
        <v>-380081.10000000009</v>
      </c>
      <c r="F7" s="36">
        <f t="shared" ref="F7:F13" si="4">IFERROR(E7/D7, "")</f>
        <v>-0.16284571462896391</v>
      </c>
      <c r="G7" s="37">
        <f>SUM('1st Qtr'!G7, '2nd Qtr'!G7, '3rd Qtr'!G7, '4th Qtr'!G7)</f>
        <v>2285333</v>
      </c>
      <c r="H7" s="37">
        <f>SUM('1st Qtr'!H7, '2nd Qtr'!H7, '3rd Qtr'!H7, '4th Qtr'!H7)</f>
        <v>-331419</v>
      </c>
      <c r="I7" s="36">
        <f t="shared" ref="I7:I13" si="5">IFERROR(H7/G7, "")</f>
        <v>-0.14502000364935877</v>
      </c>
    </row>
    <row r="8" spans="1:9" ht="15.6">
      <c r="A8" s="25" t="str">
        <v>Minoa - Clemons Rd</v>
      </c>
      <c r="B8" s="26" t="str">
        <v>NY</v>
      </c>
      <c r="C8" s="27">
        <f>SUM('1st Qtr'!C8, '2nd Qtr'!C8, '3rd Qtr'!C8, '4th Qtr'!C8)</f>
        <v>1021556.625</v>
      </c>
      <c r="D8" s="28">
        <f>SUM('1st Qtr'!D8, '2nd Qtr'!D8, '3rd Qtr'!D8, '4th Qtr'!D8)</f>
        <v>1313369.5</v>
      </c>
      <c r="E8" s="28">
        <f t="shared" ref="E8:E13" si="6">IF(AND(ISNUMBER(C8),ISNUMBER(D8)), C8-D8, "")</f>
        <v>-291812.875</v>
      </c>
      <c r="F8" s="29">
        <f t="shared" ref="F8:F12" si="7">IFERROR(E8/D8, "")</f>
        <v>-0.22218642583065923</v>
      </c>
      <c r="G8" s="30">
        <f>SUM('1st Qtr'!G8, '2nd Qtr'!G8, '3rd Qtr'!G8, '4th Qtr'!G8)</f>
        <v>1413411.8</v>
      </c>
      <c r="H8" s="30">
        <f>SUM('1st Qtr'!H8, '2nd Qtr'!H8, '3rd Qtr'!H8, '4th Qtr'!H8)</f>
        <v>-391855.17500000005</v>
      </c>
      <c r="I8" s="31">
        <f t="shared" ref="I8:I12" si="8">IFERROR(H8/G8, "")</f>
        <v>-0.27724062796136273</v>
      </c>
    </row>
    <row r="9" spans="1:9" ht="15.6">
      <c r="A9" s="32" t="str">
        <v>Manchester - Western</v>
      </c>
      <c r="B9" s="33" t="str">
        <v>ME</v>
      </c>
      <c r="C9" s="35">
        <f>SUM('1st Qtr'!C9, '2nd Qtr'!C9, '3rd Qtr'!C9, '4th Qtr'!C9)</f>
        <v>271320.1875</v>
      </c>
      <c r="D9" s="35">
        <f>SUM('1st Qtr'!D9, '2nd Qtr'!D9, '3rd Qtr'!D9, '4th Qtr'!D9)</f>
        <v>0</v>
      </c>
      <c r="E9" s="35">
        <f t="shared" si="6"/>
        <v>271320.1875</v>
      </c>
      <c r="F9" s="36" t="str">
        <f t="shared" si="4"/>
        <v/>
      </c>
      <c r="G9" s="37">
        <f>SUM('1st Qtr'!G9, '2nd Qtr'!G9, '3rd Qtr'!G9, '4th Qtr'!G9)</f>
        <v>104717.2</v>
      </c>
      <c r="H9" s="37">
        <f>SUM('1st Qtr'!H9, '2nd Qtr'!H9, '3rd Qtr'!H9, '4th Qtr'!H9)</f>
        <v>166602.98749999999</v>
      </c>
      <c r="I9" s="36">
        <f t="shared" si="5"/>
        <v>1.5909801589423704</v>
      </c>
    </row>
    <row r="10" spans="1:9" ht="15.6">
      <c r="A10" s="25" t="str">
        <v>Batavia - Pike Rd</v>
      </c>
      <c r="B10" s="26" t="str">
        <v>NY</v>
      </c>
      <c r="C10" s="27">
        <f>SUM('1st Qtr'!C10, '2nd Qtr'!C10, '3rd Qtr'!C10, '4th Qtr'!C10)</f>
        <v>1264703.9390894091</v>
      </c>
      <c r="D10" s="28">
        <f>SUM('1st Qtr'!D10, '2nd Qtr'!D10, '3rd Qtr'!D10, '4th Qtr'!D10)</f>
        <v>1475434.4</v>
      </c>
      <c r="E10" s="28">
        <f t="shared" si="6"/>
        <v>-210730.46091059083</v>
      </c>
      <c r="F10" s="29">
        <f t="shared" si="7"/>
        <v>-0.14282604561110332</v>
      </c>
      <c r="G10" s="30">
        <f>SUM('1st Qtr'!G10, '2nd Qtr'!G10, '3rd Qtr'!G10, '4th Qtr'!G10)</f>
        <v>1530067.1</v>
      </c>
      <c r="H10" s="30">
        <f>SUM('1st Qtr'!H10, '2nd Qtr'!H10, '3rd Qtr'!H10, '4th Qtr'!H10)</f>
        <v>-265363.16091059102</v>
      </c>
      <c r="I10" s="31">
        <f t="shared" si="8"/>
        <v>-0.17343236836514622</v>
      </c>
    </row>
    <row r="11" spans="1:9" ht="15.6">
      <c r="A11" s="32" t="str">
        <v>Slayton A &amp; B</v>
      </c>
      <c r="B11" s="33" t="str">
        <v>NY</v>
      </c>
      <c r="C11" s="35">
        <f>SUM('1st Qtr'!C11, '2nd Qtr'!C11, '3rd Qtr'!C11, '4th Qtr'!C11)</f>
        <v>2977587</v>
      </c>
      <c r="D11" s="35">
        <f>SUM('1st Qtr'!D11, '2nd Qtr'!D11, '3rd Qtr'!D11, '4th Qtr'!D11)</f>
        <v>3489932.2</v>
      </c>
      <c r="E11" s="35">
        <f t="shared" si="6"/>
        <v>-512345.20000000019</v>
      </c>
      <c r="F11" s="36">
        <f t="shared" si="4"/>
        <v>-0.14680663423776547</v>
      </c>
      <c r="G11" s="37">
        <f>SUM('1st Qtr'!G11, '2nd Qtr'!G11, '3rd Qtr'!G11, '4th Qtr'!G11)</f>
        <v>3304008.6</v>
      </c>
      <c r="H11" s="37">
        <f>SUM('1st Qtr'!H11, '2nd Qtr'!H11, '3rd Qtr'!H11, '4th Qtr'!H11)</f>
        <v>-326421.59999999998</v>
      </c>
      <c r="I11" s="36">
        <f t="shared" si="5"/>
        <v>-9.8795626621552973E-2</v>
      </c>
    </row>
    <row r="12" spans="1:9" ht="15.6">
      <c r="A12" s="25" t="str">
        <v>Batavia - Alexander Rd</v>
      </c>
      <c r="B12" s="26" t="str">
        <v>NY</v>
      </c>
      <c r="C12" s="27">
        <f>SUM('1st Qtr'!C12, '2nd Qtr'!C12, '3rd Qtr'!C12, '4th Qtr'!C12)</f>
        <v>685225.32474731305</v>
      </c>
      <c r="D12" s="28">
        <f>SUM('1st Qtr'!D12, '2nd Qtr'!D12, '3rd Qtr'!D12, '4th Qtr'!D12)</f>
        <v>886556.2</v>
      </c>
      <c r="E12" s="28">
        <f t="shared" si="6"/>
        <v>-201330.87525268691</v>
      </c>
      <c r="F12" s="29">
        <f t="shared" si="7"/>
        <v>-0.22709318963951403</v>
      </c>
      <c r="G12" s="30">
        <f>SUM('1st Qtr'!G12, '2nd Qtr'!G12, '3rd Qtr'!G12, '4th Qtr'!G12)</f>
        <v>831303.4</v>
      </c>
      <c r="H12" s="30">
        <f>SUM('1st Qtr'!H12, '2nd Qtr'!H12, '3rd Qtr'!H12, '4th Qtr'!H12)</f>
        <v>-146078.07525268703</v>
      </c>
      <c r="I12" s="31">
        <f t="shared" si="8"/>
        <v>-0.17572173439046085</v>
      </c>
    </row>
    <row r="13" spans="1:9" ht="15.6">
      <c r="A13" s="32" t="str">
        <v xml:space="preserve">NC: Gibson – Henry Gibson Solar </v>
      </c>
      <c r="B13" s="33" t="str">
        <v>NC</v>
      </c>
      <c r="C13" s="35">
        <f>SUM('1st Qtr'!C13, '2nd Qtr'!C13, '3rd Qtr'!C13, '4th Qtr'!C13)</f>
        <v>2626262</v>
      </c>
      <c r="D13" s="35">
        <f>SUM('1st Qtr'!D13, '2nd Qtr'!D13, '3rd Qtr'!D13, '4th Qtr'!D13)</f>
        <v>3102552.4</v>
      </c>
      <c r="E13" s="35">
        <f t="shared" si="6"/>
        <v>-476290.39999999991</v>
      </c>
      <c r="F13" s="36">
        <f t="shared" si="4"/>
        <v>-0.15351566664917565</v>
      </c>
      <c r="G13" s="37">
        <f>SUM('1st Qtr'!G13, '2nd Qtr'!G13, '3rd Qtr'!G13, '4th Qtr'!G13)</f>
        <v>2856820</v>
      </c>
      <c r="H13" s="37">
        <f>SUM('1st Qtr'!H13, '2nd Qtr'!H13, '3rd Qtr'!H13, '4th Qtr'!H13)</f>
        <v>-230558</v>
      </c>
      <c r="I13" s="36">
        <f t="shared" si="5"/>
        <v>-8.070441959941474E-2</v>
      </c>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autoFilter ref="A2:I2" xr:uid="{D5C25034-9971-4A61-864F-C938F31EB1B8}"/>
  <mergeCells count="4">
    <mergeCell ref="G1:I1"/>
    <mergeCell ref="A1:C1"/>
    <mergeCell ref="D1:F1"/>
    <mergeCell ref="A2:B2"/>
  </mergeCells>
  <conditionalFormatting sqref="F2 I2 F4:F80 I4:I80">
    <cfRule type="cellIs" dxfId="42" priority="1" stopIfTrue="1" operator="lessThanOrEqual">
      <formula>-0.1</formula>
    </cfRule>
    <cfRule type="expression" dxfId="41"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H19" sqref="H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Renewable Properties</v>
      </c>
      <c r="B1" s="91"/>
      <c r="C1" s="91"/>
      <c r="D1" s="92" t="s">
        <v>10</v>
      </c>
      <c r="E1" s="92"/>
      <c r="F1" s="92"/>
      <c r="G1" s="90" t="s">
        <v>11</v>
      </c>
      <c r="H1" s="90"/>
      <c r="I1" s="90"/>
    </row>
    <row r="2" spans="1:9" ht="19.5" customHeight="1">
      <c r="A2" s="93" t="s">
        <v>2</v>
      </c>
      <c r="B2" s="93"/>
      <c r="C2" s="5">
        <f>SUM(C4:C80)</f>
        <v>9182373.4132874124</v>
      </c>
      <c r="D2" s="5">
        <f>SUM(D4:D80)</f>
        <v>10921360.430000002</v>
      </c>
      <c r="E2" s="5">
        <f>C2-D2</f>
        <v>-1738987.0167125892</v>
      </c>
      <c r="F2" s="6">
        <f>IFERROR(E2/D2, 0)</f>
        <v>-0.15922805843269738</v>
      </c>
      <c r="G2" s="5">
        <f>SUM(G4:G80)</f>
        <v>10609944.26</v>
      </c>
      <c r="H2" s="7">
        <f>C2-G2</f>
        <v>-1427570.8467125874</v>
      </c>
      <c r="I2" s="6">
        <f>IFERROR(H2/G2, 0)</f>
        <v>-0.13455026828883523</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SUM(Jan!C4, Feb!C5, Mar!C4)</f>
        <v>437777</v>
      </c>
      <c r="D4" s="28">
        <f>SUM(Jan!D4, Feb!D4, Mar!D4)</f>
        <v>267935.23</v>
      </c>
      <c r="E4" s="28">
        <f>IF(AND(ISNUMBER(C4),ISNUMBER(D4)), C4-D4, "")</f>
        <v>169841.77000000002</v>
      </c>
      <c r="F4" s="29">
        <f>IFERROR(E4/D4, "")</f>
        <v>0.63389114600569707</v>
      </c>
      <c r="G4" s="30">
        <f>SUM(Jan!G4, Feb!G4, Mar!G4)</f>
        <v>205644.36</v>
      </c>
      <c r="H4" s="30">
        <f>SUM(Jan!H4, Feb!H4, Mar!H4)</f>
        <v>50127.640000000007</v>
      </c>
      <c r="I4" s="31">
        <f>IFERROR(H4/G4, "")</f>
        <v>0.24375888548560248</v>
      </c>
    </row>
    <row r="5" spans="1:9" ht="15.6">
      <c r="A5" s="39" t="str">
        <v>Bullis</v>
      </c>
      <c r="B5" s="33" t="str">
        <v>NY</v>
      </c>
      <c r="C5" s="34">
        <f>SUM(Jan!C5, Feb!C5, Mar!C5)</f>
        <v>1022641.5</v>
      </c>
      <c r="D5" s="35">
        <f>SUM(Jan!D5, Feb!D5, Mar!D5)</f>
        <v>1180915.6000000001</v>
      </c>
      <c r="E5" s="35">
        <f t="shared" ref="E5:E6" si="0">IF(AND(ISNUMBER(C5),ISNUMBER(D5)), C5-D5, "")</f>
        <v>-158274.10000000009</v>
      </c>
      <c r="F5" s="36">
        <f>IFERROR(E5/D5, "")</f>
        <v>-0.13402659766709837</v>
      </c>
      <c r="G5" s="37">
        <f>SUM(Jan!G5, Feb!G5, Mar!G5)</f>
        <v>1367428.4</v>
      </c>
      <c r="H5" s="37">
        <f>SUM(Jan!H5, Feb!H5, Mar!H5)</f>
        <v>-344786.9</v>
      </c>
      <c r="I5" s="36">
        <f>IFERROR(H5/G5, "")</f>
        <v>-0.25214256190671486</v>
      </c>
    </row>
    <row r="6" spans="1:9" ht="15.6">
      <c r="A6" s="38" t="str">
        <v>Rock Island</v>
      </c>
      <c r="B6" s="26" t="str">
        <v>NY</v>
      </c>
      <c r="C6" s="27">
        <f>SUM(Jan!C6, Feb!C6, Mar!C6)</f>
        <v>1051915</v>
      </c>
      <c r="D6" s="28">
        <f>SUM(Jan!D6, Feb!D6, Mar!D6)</f>
        <v>1305164.6000000001</v>
      </c>
      <c r="E6" s="28">
        <f t="shared" si="0"/>
        <v>-253249.60000000009</v>
      </c>
      <c r="F6" s="29">
        <f t="shared" ref="F6:F13" si="1">IFERROR(E6/D6, "")</f>
        <v>-0.19403652228998555</v>
      </c>
      <c r="G6" s="30">
        <f>SUM(Jan!G6, Feb!G6, Mar!G6)</f>
        <v>1250649.1000000001</v>
      </c>
      <c r="H6" s="30">
        <f>SUM(Jan!H6, Feb!H6, Mar!H6)</f>
        <v>-198734.10000000003</v>
      </c>
      <c r="I6" s="31">
        <f t="shared" ref="I6:I12" si="2">IFERROR(H6/G6, "")</f>
        <v>-0.15890476393418426</v>
      </c>
    </row>
    <row r="7" spans="1:9" ht="15.6">
      <c r="A7" s="39" t="str">
        <v>Winslow - Roderick</v>
      </c>
      <c r="B7" s="33" t="str">
        <v>ME</v>
      </c>
      <c r="C7" s="34">
        <f>SUM(Jan!C7, Feb!C7, Mar!C7)</f>
        <v>1295575</v>
      </c>
      <c r="D7" s="35">
        <f>SUM(Jan!D7, Feb!D7, Mar!D7)</f>
        <v>1649057.2000000002</v>
      </c>
      <c r="E7" s="35">
        <f t="shared" ref="E7:E10" si="3">IF(AND(ISNUMBER(C7),ISNUMBER(D7)), C7-D7, "")</f>
        <v>-353482.20000000019</v>
      </c>
      <c r="F7" s="36">
        <f t="shared" si="1"/>
        <v>-0.21435411700697837</v>
      </c>
      <c r="G7" s="37">
        <f>SUM(Jan!G7, Feb!G7, Mar!G7)</f>
        <v>1587877</v>
      </c>
      <c r="H7" s="37">
        <f>SUM(Jan!H7, Feb!H7, Mar!H7)</f>
        <v>-292302</v>
      </c>
      <c r="I7" s="36">
        <f t="shared" si="2"/>
        <v>-0.1840835278803081</v>
      </c>
    </row>
    <row r="8" spans="1:9" ht="15.6">
      <c r="A8" s="38" t="str">
        <v>Minoa - Clemons Rd</v>
      </c>
      <c r="B8" s="26" t="str">
        <v>NY</v>
      </c>
      <c r="C8" s="27">
        <f>SUM(Jan!C8, Feb!C8, Mar!C8)</f>
        <v>629215.625</v>
      </c>
      <c r="D8" s="28">
        <f>SUM(Jan!D8, Feb!D8, Mar!D8)</f>
        <v>845731.6</v>
      </c>
      <c r="E8" s="28">
        <f t="shared" si="3"/>
        <v>-216515.97499999998</v>
      </c>
      <c r="F8" s="29">
        <f t="shared" si="1"/>
        <v>-0.25601026968839757</v>
      </c>
      <c r="G8" s="30">
        <f>SUM(Jan!G8, Feb!G8, Mar!G8)</f>
        <v>914112.3</v>
      </c>
      <c r="H8" s="30">
        <f>SUM(Jan!H8, Feb!H8, Mar!H8)</f>
        <v>-284896.67500000005</v>
      </c>
      <c r="I8" s="31">
        <f t="shared" si="2"/>
        <v>-0.3116648523381646</v>
      </c>
    </row>
    <row r="9" spans="1:9" ht="15.6">
      <c r="A9" s="39" t="str">
        <v>Manchester - Western</v>
      </c>
      <c r="B9" s="33" t="str">
        <v>ME</v>
      </c>
      <c r="C9" s="34">
        <f>SUM(Jan!C9, Feb!C9, Mar!C9)</f>
        <v>174947.8125</v>
      </c>
      <c r="D9" s="35">
        <f>SUM(Jan!D9, Feb!D9, Mar!D9)</f>
        <v>0</v>
      </c>
      <c r="E9" s="35">
        <f t="shared" ref="E9" si="4">IF(AND(ISNUMBER(C9),ISNUMBER(D9)), C9-D9, "")</f>
        <v>174947.8125</v>
      </c>
      <c r="F9" s="36" t="str">
        <f t="shared" si="1"/>
        <v/>
      </c>
      <c r="G9" s="37">
        <f>SUM(Jan!G9, Feb!G9, Mar!G9)</f>
        <v>0</v>
      </c>
      <c r="H9" s="37">
        <f>SUM(Jan!H9, Feb!H9, Mar!H9)</f>
        <v>174947.8125</v>
      </c>
      <c r="I9" s="36" t="str">
        <f t="shared" si="2"/>
        <v/>
      </c>
    </row>
    <row r="10" spans="1:9" ht="15.6">
      <c r="A10" s="38" t="str">
        <v>Batavia - Pike Rd</v>
      </c>
      <c r="B10" s="26" t="str">
        <v>NY</v>
      </c>
      <c r="C10" s="27">
        <f>SUM(Jan!C10, Feb!C10, Mar!C10)</f>
        <v>768410.87505000003</v>
      </c>
      <c r="D10" s="28">
        <f>SUM(Jan!D10, Feb!D10, Mar!D10)</f>
        <v>975809.7</v>
      </c>
      <c r="E10" s="28">
        <f t="shared" si="3"/>
        <v>-207398.82494999992</v>
      </c>
      <c r="F10" s="29">
        <f t="shared" si="1"/>
        <v>-0.21254023704621908</v>
      </c>
      <c r="G10" s="30">
        <f>SUM(Jan!G10, Feb!G10, Mar!G10)</f>
        <v>999612</v>
      </c>
      <c r="H10" s="30">
        <f>SUM(Jan!H10, Feb!H10, Mar!H10)</f>
        <v>-231201.12495000003</v>
      </c>
      <c r="I10" s="31">
        <f t="shared" si="2"/>
        <v>-0.23129086580593272</v>
      </c>
    </row>
    <row r="11" spans="1:9" ht="15.6">
      <c r="A11" s="39" t="str">
        <v>Slayton A &amp; B</v>
      </c>
      <c r="B11" s="33" t="str">
        <v>NY</v>
      </c>
      <c r="C11" s="34">
        <f>SUM(Jan!C11, Feb!C11, Mar!C11)</f>
        <v>1787409</v>
      </c>
      <c r="D11" s="35">
        <f>SUM(Jan!D11, Feb!D11, Mar!D11)</f>
        <v>2241667.2000000002</v>
      </c>
      <c r="E11" s="35">
        <f>IF(AND(ISNUMBER(C11),ISNUMBER(D11)), C11-D11, "")</f>
        <v>-454258.20000000019</v>
      </c>
      <c r="F11" s="36">
        <f t="shared" si="1"/>
        <v>-0.20264301498456155</v>
      </c>
      <c r="G11" s="37">
        <f>SUM(Jan!G11, Feb!G11, Mar!G11)</f>
        <v>2066288.6</v>
      </c>
      <c r="H11" s="37">
        <f>SUM(Jan!H11, Feb!H11, Mar!H11)</f>
        <v>-278879.59999999998</v>
      </c>
      <c r="I11" s="36">
        <f t="shared" si="2"/>
        <v>-0.13496643208504366</v>
      </c>
    </row>
    <row r="12" spans="1:9" ht="15.6">
      <c r="A12" s="38" t="str">
        <v>Batavia - Alexander Rd</v>
      </c>
      <c r="B12" s="26" t="str">
        <v>NY</v>
      </c>
      <c r="C12" s="27">
        <f>SUM(Jan!C12, Feb!C12, Mar!C12)</f>
        <v>412623.60073741199</v>
      </c>
      <c r="D12" s="28">
        <f>SUM(Jan!D12, Feb!D12, Mar!D12)</f>
        <v>584711.9</v>
      </c>
      <c r="E12" s="28">
        <f>IF(AND(ISNUMBER(C12),ISNUMBER(D12)), C12-D12, "")</f>
        <v>-172088.29926258803</v>
      </c>
      <c r="F12" s="29">
        <f t="shared" si="1"/>
        <v>-0.29431297577933341</v>
      </c>
      <c r="G12" s="30">
        <f>SUM(Jan!G12, Feb!G12, Mar!G12)</f>
        <v>539206.5</v>
      </c>
      <c r="H12" s="30">
        <f>SUM(Jan!H12, Feb!H12, Mar!H12)</f>
        <v>-126582.89926258801</v>
      </c>
      <c r="I12" s="31">
        <f t="shared" si="2"/>
        <v>-0.2347577398688406</v>
      </c>
    </row>
    <row r="13" spans="1:9" ht="15.6">
      <c r="A13" s="39" t="str">
        <v xml:space="preserve">NC: Gibson – Henry Gibson Solar </v>
      </c>
      <c r="B13" s="33" t="str">
        <v>NC</v>
      </c>
      <c r="C13" s="34">
        <f>SUM(Jan!C13, Feb!C13, Mar!C13)</f>
        <v>1601858</v>
      </c>
      <c r="D13" s="35">
        <f>SUM(Jan!D13, Feb!D13, Mar!D13)</f>
        <v>1870367.4</v>
      </c>
      <c r="E13" s="35">
        <f>IF(AND(ISNUMBER(C13),ISNUMBER(D13)), C13-D13, "")</f>
        <v>-268509.39999999991</v>
      </c>
      <c r="F13" s="36">
        <f t="shared" si="1"/>
        <v>-0.14355970917799354</v>
      </c>
      <c r="G13" s="79">
        <f>SUM(Jan!G13, Feb!G13, Mar!G13)</f>
        <v>1679126</v>
      </c>
      <c r="H13" s="79">
        <f>SUM(Jan!H13, Feb!H13, Mar!H13)</f>
        <v>-77268</v>
      </c>
      <c r="I13" s="78">
        <f>IFERROR(H13/G13, "")</f>
        <v>-4.6016796833590806E-2</v>
      </c>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40" priority="1" stopIfTrue="1" operator="lessThanOrEqual">
      <formula>-0.1</formula>
    </cfRule>
    <cfRule type="expression" dxfId="39"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C4" activePane="bottomRight" state="frozen"/>
      <selection pane="bottomRight" activeCell="J16" sqref="J16"/>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Renewable Properties</v>
      </c>
      <c r="B1" s="91"/>
      <c r="C1" s="91"/>
      <c r="D1" s="92" t="s">
        <v>12</v>
      </c>
      <c r="E1" s="92"/>
      <c r="F1" s="92"/>
      <c r="G1" s="90" t="s">
        <v>13</v>
      </c>
      <c r="H1" s="90"/>
      <c r="I1" s="90"/>
    </row>
    <row r="2" spans="1:9" ht="19.5" customHeight="1">
      <c r="A2" s="93" t="s">
        <v>2</v>
      </c>
      <c r="B2" s="93"/>
      <c r="C2" s="5">
        <f>SUM(C4:C80)</f>
        <v>5557346.1630493104</v>
      </c>
      <c r="D2" s="5">
        <f>SUM(D4:D80)</f>
        <v>5902460.2000000002</v>
      </c>
      <c r="E2" s="5">
        <f>C2-D2</f>
        <v>-345114.03695068974</v>
      </c>
      <c r="F2" s="6">
        <f>IFERROR(E2/D2, 0)</f>
        <v>-5.8469523767511342E-2</v>
      </c>
      <c r="G2" s="5">
        <f>SUM(G4:G80)</f>
        <v>6131940.7000000011</v>
      </c>
      <c r="H2" s="7">
        <f>C2-G2</f>
        <v>-574594.53695069067</v>
      </c>
      <c r="I2" s="6">
        <f>IFERROR(H2/G2, 0)</f>
        <v>-9.3705168569338998E-2</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SUM(Apr!C4, May!C4, Jun!C4)</f>
        <v>132729</v>
      </c>
      <c r="D4" s="28">
        <f>SUM(Apr!D4, May!D4, Jun!D4)</f>
        <v>124295.4</v>
      </c>
      <c r="E4" s="28">
        <f>IF(AND(ISNUMBER(C4),ISNUMBER(D4)), C4-D4, "")</f>
        <v>8433.6000000000058</v>
      </c>
      <c r="F4" s="29">
        <f>IFERROR(E4/D4, "")</f>
        <v>6.785126400494311E-2</v>
      </c>
      <c r="G4" s="30">
        <f>SUM(Apr!G4, May!G4, Jun!G4)</f>
        <v>137919.5</v>
      </c>
      <c r="H4" s="30">
        <f>SUM(Apr!H4, May!H4, Jun!H4)</f>
        <v>-5190.5</v>
      </c>
      <c r="I4" s="31">
        <f>IFERROR(H4/G4, "")</f>
        <v>-3.7634272166009883E-2</v>
      </c>
    </row>
    <row r="5" spans="1:9" ht="15.6">
      <c r="A5" s="39" t="str">
        <v>Bullis</v>
      </c>
      <c r="B5" s="33" t="str">
        <v>NY</v>
      </c>
      <c r="C5" s="34">
        <f>SUM(Apr!C5, May!C5, Jun!C5)</f>
        <v>716355</v>
      </c>
      <c r="D5" s="35">
        <f>SUM(Apr!D5, May!D5, Jun!D5)</f>
        <v>704002.3</v>
      </c>
      <c r="E5" s="35">
        <f t="shared" ref="E5:E6" si="0">IF(AND(ISNUMBER(C5),ISNUMBER(D5)), C5-D5, "")</f>
        <v>12352.699999999953</v>
      </c>
      <c r="F5" s="36">
        <f>IFERROR(E5/D5, "")</f>
        <v>1.7546391538777576E-2</v>
      </c>
      <c r="G5" s="9">
        <f>SUM(Apr!G5, May!G5, Jun!G5)</f>
        <v>820770.1</v>
      </c>
      <c r="H5" s="37">
        <f>SUM(Apr!H5, May!H5, Jun!H5)</f>
        <v>-104415.09999999998</v>
      </c>
      <c r="I5" s="36">
        <f>IFERROR(H5/G5, "")</f>
        <v>-0.12721601335136354</v>
      </c>
    </row>
    <row r="6" spans="1:9" ht="15.6">
      <c r="A6" s="38" t="str">
        <v>Rock Island</v>
      </c>
      <c r="B6" s="26" t="str">
        <v>NY</v>
      </c>
      <c r="C6" s="27">
        <f>SUM(Apr!C6, May!C6, Jun!C6)</f>
        <v>577733</v>
      </c>
      <c r="D6" s="28">
        <f>SUM(Apr!D6, May!D6, Jun!D6)</f>
        <v>639667.69999999995</v>
      </c>
      <c r="E6" s="28">
        <f t="shared" si="0"/>
        <v>-61934.699999999953</v>
      </c>
      <c r="F6" s="29">
        <f t="shared" ref="F6:F11" si="1">IFERROR(E6/D6, "")</f>
        <v>-9.6823241192262724E-2</v>
      </c>
      <c r="G6" s="30">
        <f>SUM(Apr!G6, May!G6, Jun!G6)</f>
        <v>633812.4</v>
      </c>
      <c r="H6" s="30">
        <f>SUM(Apr!H6, May!H6, Jun!H6)</f>
        <v>-56079.400000000023</v>
      </c>
      <c r="I6" s="31">
        <f t="shared" ref="I6:I11" si="2">IFERROR(H6/G6, "")</f>
        <v>-8.8479493301172427E-2</v>
      </c>
    </row>
    <row r="7" spans="1:9" ht="15.6">
      <c r="A7" s="39" t="str">
        <v>Winslow - Roderick</v>
      </c>
      <c r="B7" s="33" t="str">
        <v>ME</v>
      </c>
      <c r="C7" s="34">
        <f>SUM(Apr!C7, May!C7, Jun!C7)</f>
        <v>658339</v>
      </c>
      <c r="D7" s="35">
        <f>SUM(Apr!D7, May!D7, Jun!D7)</f>
        <v>684937.9</v>
      </c>
      <c r="E7" s="35">
        <f t="shared" ref="E7:E13" si="3">IF(AND(ISNUMBER(C7),ISNUMBER(D7)), C7-D7, "")</f>
        <v>-26598.900000000023</v>
      </c>
      <c r="F7" s="36">
        <f t="shared" si="1"/>
        <v>-3.8834031523149792E-2</v>
      </c>
      <c r="G7" s="9">
        <f>SUM(Apr!G7, May!G7, Jun!G7)</f>
        <v>697456</v>
      </c>
      <c r="H7" s="37">
        <f>SUM(Apr!H7, May!H7, Jun!H7)</f>
        <v>-39117</v>
      </c>
      <c r="I7" s="36">
        <f t="shared" si="2"/>
        <v>-5.6085258424904222E-2</v>
      </c>
    </row>
    <row r="8" spans="1:9" ht="15.6">
      <c r="A8" s="38" t="str">
        <v>Minoa - Clemons Rd</v>
      </c>
      <c r="B8" s="26" t="str">
        <v>NY</v>
      </c>
      <c r="C8" s="27">
        <f>SUM(Apr!C8, May!C8, Jun!C8)</f>
        <v>392341</v>
      </c>
      <c r="D8" s="28">
        <f>SUM(Apr!D8, May!D8, Jun!D8)</f>
        <v>467637.9</v>
      </c>
      <c r="E8" s="28">
        <f t="shared" si="3"/>
        <v>-75296.900000000023</v>
      </c>
      <c r="F8" s="29">
        <f t="shared" si="1"/>
        <v>-0.16101539246498203</v>
      </c>
      <c r="G8" s="30">
        <f>SUM(Apr!G8, May!G8, Jun!G8)</f>
        <v>499299.5</v>
      </c>
      <c r="H8" s="30">
        <f>SUM(Apr!H8, May!H8, Jun!H8)</f>
        <v>-106958.5</v>
      </c>
      <c r="I8" s="31">
        <f t="shared" si="2"/>
        <v>-0.21421711818257377</v>
      </c>
    </row>
    <row r="9" spans="1:9" ht="15.6">
      <c r="A9" s="39" t="str">
        <v>Manchester - Western</v>
      </c>
      <c r="B9" s="33" t="str">
        <v>ME</v>
      </c>
      <c r="C9" s="34">
        <f>SUM(Apr!C9, May!C9, Jun!C9)</f>
        <v>96372.375</v>
      </c>
      <c r="D9" s="35">
        <f>SUM(Apr!D9, May!D9, Jun!D9)</f>
        <v>0</v>
      </c>
      <c r="E9" s="35">
        <f t="shared" si="3"/>
        <v>96372.375</v>
      </c>
      <c r="F9" s="36" t="str">
        <f t="shared" si="1"/>
        <v/>
      </c>
      <c r="G9" s="9">
        <f>SUM(Apr!G9, May!G9, Jun!G9)</f>
        <v>104717.2</v>
      </c>
      <c r="H9" s="37">
        <f>SUM(Apr!H9, May!H9, Jun!H9)</f>
        <v>-8344.8249999999971</v>
      </c>
      <c r="I9" s="36">
        <f t="shared" si="2"/>
        <v>-7.9689153262310269E-2</v>
      </c>
    </row>
    <row r="10" spans="1:9" ht="15.6">
      <c r="A10" s="38" t="str">
        <v>Batavia - Pike Rd</v>
      </c>
      <c r="B10" s="26" t="str">
        <v>NY</v>
      </c>
      <c r="C10" s="27">
        <f>SUM(Apr!C10, May!C10, Jun!C10)</f>
        <v>496293.06403940899</v>
      </c>
      <c r="D10" s="28">
        <f>SUM(Apr!D10, May!D10, Jun!D10)</f>
        <v>499624.7</v>
      </c>
      <c r="E10" s="28">
        <f t="shared" si="3"/>
        <v>-3331.6359605910257</v>
      </c>
      <c r="F10" s="29">
        <f t="shared" si="1"/>
        <v>-6.668277129995826E-3</v>
      </c>
      <c r="G10" s="69">
        <f>SUM(Apr!G10, May!G10, Jun!G10)</f>
        <v>530455.1</v>
      </c>
      <c r="H10" s="30">
        <f>SUM(Apr!H10, May!H10, Jun!H10)</f>
        <v>-34162.035960590991</v>
      </c>
      <c r="I10" s="31">
        <f t="shared" si="2"/>
        <v>-6.440137150267948E-2</v>
      </c>
    </row>
    <row r="11" spans="1:9" ht="15.6">
      <c r="A11" s="39" t="str">
        <v>Slayton A &amp; B</v>
      </c>
      <c r="B11" s="33" t="str">
        <v>NY</v>
      </c>
      <c r="C11" s="34">
        <f>SUM(Apr!C11, May!C11, Jun!C11)</f>
        <v>1190178</v>
      </c>
      <c r="D11" s="35">
        <f>SUM(Apr!D11, May!D11, Jun!D11)</f>
        <v>1248265</v>
      </c>
      <c r="E11" s="35">
        <f t="shared" si="3"/>
        <v>-58087</v>
      </c>
      <c r="F11" s="70">
        <f t="shared" si="1"/>
        <v>-4.6534189454963487E-2</v>
      </c>
      <c r="G11" s="68">
        <f>SUM(Apr!G11, May!G11, Jun!G11)</f>
        <v>1237720</v>
      </c>
      <c r="H11" s="71">
        <f>SUM(Apr!H11, May!H11, Jun!H11)</f>
        <v>-47542</v>
      </c>
      <c r="I11" s="36">
        <f t="shared" si="2"/>
        <v>-3.8410949164592964E-2</v>
      </c>
    </row>
    <row r="12" spans="1:9" ht="15.6">
      <c r="A12" s="38" t="str">
        <v>Batavia - Alexander Rd</v>
      </c>
      <c r="B12" s="26" t="str">
        <v>NY</v>
      </c>
      <c r="C12" s="27">
        <f>SUM(Apr!C12, May!C12, Jun!C12)</f>
        <v>272601.72400990099</v>
      </c>
      <c r="D12" s="28">
        <f>SUM(Apr!D12, May!D12, Jun!D12)</f>
        <v>301844.3</v>
      </c>
      <c r="E12" s="28">
        <f t="shared" si="3"/>
        <v>-29242.575990098994</v>
      </c>
      <c r="F12" s="29"/>
      <c r="G12" s="69">
        <f>SUM(Apr!G12, May!G12, Jun!G12)</f>
        <v>292096.90000000002</v>
      </c>
      <c r="H12" s="30">
        <f>SUM(Apr!H12, May!H12, Jun!H12)</f>
        <v>-19495.175990099029</v>
      </c>
      <c r="I12" s="31"/>
    </row>
    <row r="13" spans="1:9" ht="15.6">
      <c r="A13" s="39" t="str">
        <v xml:space="preserve">NC: Gibson – Henry Gibson Solar </v>
      </c>
      <c r="B13" s="33" t="str">
        <v>NC</v>
      </c>
      <c r="C13" s="34">
        <f>SUM(Apr!C13, May!C13, Jun!C13)</f>
        <v>1024404</v>
      </c>
      <c r="D13" s="35">
        <f>SUM(Apr!D13, May!D13, Jun!D13)</f>
        <v>1232185</v>
      </c>
      <c r="E13" s="35">
        <f t="shared" si="3"/>
        <v>-207781</v>
      </c>
      <c r="F13" s="70"/>
      <c r="G13" s="68">
        <f>SUM(Apr!G13, May!G13, Jun!G13)</f>
        <v>1177694</v>
      </c>
      <c r="H13" s="71">
        <f>SUM(Apr!H13, May!H13, Jun!H13)</f>
        <v>-153290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38" priority="1" stopIfTrue="1" operator="lessThanOrEqual">
      <formula>-0.1</formula>
    </cfRule>
    <cfRule type="expression" dxfId="37"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2"/>
  <sheetViews>
    <sheetView workbookViewId="0">
      <pane xSplit="2" ySplit="3" topLeftCell="C4" activePane="bottomRight" state="frozen"/>
      <selection pane="bottomRight" activeCell="G19" sqref="G19"/>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Renewable Properties</v>
      </c>
      <c r="B1" s="91"/>
      <c r="C1" s="91"/>
      <c r="D1" s="92" t="s">
        <v>14</v>
      </c>
      <c r="E1" s="92"/>
      <c r="F1" s="92"/>
      <c r="G1" s="90" t="s">
        <v>15</v>
      </c>
      <c r="H1" s="90"/>
      <c r="I1" s="90"/>
    </row>
    <row r="2" spans="1:9" ht="19.5" customHeight="1">
      <c r="A2" s="93" t="s">
        <v>2</v>
      </c>
      <c r="B2" s="93"/>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SUM(Jul!C4, Aug!C4, Sep!C4)</f>
        <v>0</v>
      </c>
      <c r="D4" s="28">
        <f>SUM(Jul!D4, Aug!D4, Sep!D4)</f>
        <v>0</v>
      </c>
      <c r="E4" s="28">
        <f>IF(AND(ISNUMBER(C4),ISNUMBER(D4)), C4-D4, "")</f>
        <v>0</v>
      </c>
      <c r="F4" s="29" t="str">
        <f>IFERROR(E4/D4, "")</f>
        <v/>
      </c>
      <c r="G4" s="30">
        <f>SUM(Jul!G4, Aug!G4, Sep!G4)</f>
        <v>0</v>
      </c>
      <c r="H4" s="30">
        <f>SUM(Jul!H4, Aug!H4, Sep!H4)</f>
        <v>0</v>
      </c>
      <c r="I4" s="31" t="str">
        <f>IFERROR(H4/G4, "")</f>
        <v/>
      </c>
    </row>
    <row r="5" spans="1:9" ht="15.6">
      <c r="A5" s="39" t="str">
        <v>Bullis</v>
      </c>
      <c r="B5" s="33" t="str">
        <v>NY</v>
      </c>
      <c r="C5" s="34">
        <f>SUM(Jul!C5, Aug!C5, Sep!C5)</f>
        <v>0</v>
      </c>
      <c r="D5" s="35">
        <f>SUM(Jul!D5, Aug!D5, Sep!D5)</f>
        <v>0</v>
      </c>
      <c r="E5" s="35">
        <f t="shared" ref="E5:E13" si="0">IF(AND(ISNUMBER(C5),ISNUMBER(D5)), C5-D5, "")</f>
        <v>0</v>
      </c>
      <c r="F5" s="36" t="str">
        <f>IFERROR(E5/D5, "")</f>
        <v/>
      </c>
      <c r="G5" s="9">
        <f>SUM(Jul!G5, Aug!G5, Sep!G5)</f>
        <v>0</v>
      </c>
      <c r="H5" s="37">
        <f>SUM(Jul!H5, Aug!H5, Sep!H5)</f>
        <v>0</v>
      </c>
      <c r="I5" s="36" t="str">
        <f>IFERROR(H5/G5, "")</f>
        <v/>
      </c>
    </row>
    <row r="6" spans="1:9" ht="15.6">
      <c r="A6" s="38" t="str">
        <v>Rock Island</v>
      </c>
      <c r="B6" s="26" t="str">
        <v>NY</v>
      </c>
      <c r="C6" s="27">
        <f>SUM(Jul!C6, Aug!C6, Sep!C6)</f>
        <v>0</v>
      </c>
      <c r="D6" s="28">
        <f>SUM(Jul!D6, Aug!D6, Sep!D6)</f>
        <v>0</v>
      </c>
      <c r="E6" s="28">
        <f t="shared" si="0"/>
        <v>0</v>
      </c>
      <c r="F6" s="29" t="str">
        <f t="shared" ref="F6:F11" si="1">IFERROR(E6/D6, "")</f>
        <v/>
      </c>
      <c r="G6" s="30">
        <f>SUM(Jul!G6, Aug!G6, Sep!G6)</f>
        <v>0</v>
      </c>
      <c r="H6" s="30">
        <f>SUM(Jul!H6, Aug!H6, Sep!H6)</f>
        <v>0</v>
      </c>
      <c r="I6" s="31" t="str">
        <f t="shared" ref="I6:I11" si="2">IFERROR(H6/G6, "")</f>
        <v/>
      </c>
    </row>
    <row r="7" spans="1:9" ht="15.6">
      <c r="A7" s="39" t="str">
        <v>Winslow - Roderick</v>
      </c>
      <c r="B7" s="33" t="str">
        <v>ME</v>
      </c>
      <c r="C7" s="34">
        <f>SUM(Jul!C7, Aug!C7, Sep!C7)</f>
        <v>0</v>
      </c>
      <c r="D7" s="35">
        <f>SUM(Jul!D7, Aug!D7, Sep!D7)</f>
        <v>0</v>
      </c>
      <c r="E7" s="35">
        <f t="shared" si="0"/>
        <v>0</v>
      </c>
      <c r="F7" s="36" t="str">
        <f t="shared" si="1"/>
        <v/>
      </c>
      <c r="G7" s="9">
        <f>SUM(Jul!G7, Aug!G7, Sep!G7)</f>
        <v>0</v>
      </c>
      <c r="H7" s="37">
        <f>SUM(Jul!H7, Aug!H7, Sep!H7)</f>
        <v>0</v>
      </c>
      <c r="I7" s="36" t="str">
        <f t="shared" si="2"/>
        <v/>
      </c>
    </row>
    <row r="8" spans="1:9" ht="15.6">
      <c r="A8" s="38" t="str">
        <v>Minoa - Clemons Rd</v>
      </c>
      <c r="B8" s="26" t="str">
        <v>NY</v>
      </c>
      <c r="C8" s="27">
        <f>SUM(Jul!C8, Aug!C8, Sep!C8)</f>
        <v>0</v>
      </c>
      <c r="D8" s="28">
        <f>SUM(Jul!D8, Aug!D8, Sep!D8)</f>
        <v>0</v>
      </c>
      <c r="E8" s="28">
        <f t="shared" si="0"/>
        <v>0</v>
      </c>
      <c r="F8" s="29" t="str">
        <f t="shared" si="1"/>
        <v/>
      </c>
      <c r="G8" s="30">
        <f>SUM(Jul!G8, Aug!G8, Sep!G8)</f>
        <v>0</v>
      </c>
      <c r="H8" s="30">
        <f>SUM(Jul!H8, Aug!H8, Sep!H8)</f>
        <v>0</v>
      </c>
      <c r="I8" s="31" t="str">
        <f t="shared" si="2"/>
        <v/>
      </c>
    </row>
    <row r="9" spans="1:9" ht="15.6">
      <c r="A9" s="39" t="str">
        <v>Manchester - Western</v>
      </c>
      <c r="B9" s="33" t="str">
        <v>ME</v>
      </c>
      <c r="C9" s="34">
        <f>SUM(Jul!C9, Aug!C9, Sep!C9)</f>
        <v>0</v>
      </c>
      <c r="D9" s="35">
        <f>SUM(Jul!D9, Aug!D9, Sep!D9)</f>
        <v>0</v>
      </c>
      <c r="E9" s="35">
        <f t="shared" si="0"/>
        <v>0</v>
      </c>
      <c r="F9" s="36" t="str">
        <f t="shared" si="1"/>
        <v/>
      </c>
      <c r="G9" s="9">
        <f>SUM(Jul!G9, Aug!G9, Sep!G9)</f>
        <v>0</v>
      </c>
      <c r="H9" s="37">
        <f>SUM(Jul!H9, Aug!H9, Sep!H9)</f>
        <v>0</v>
      </c>
      <c r="I9" s="36" t="str">
        <f t="shared" si="2"/>
        <v/>
      </c>
    </row>
    <row r="10" spans="1:9" ht="15.6">
      <c r="A10" s="38" t="str">
        <v>Batavia - Pike Rd</v>
      </c>
      <c r="B10" s="26" t="str">
        <v>NY</v>
      </c>
      <c r="C10" s="27">
        <f>SUM(Jul!C10, Aug!C10, Sep!C10)</f>
        <v>0</v>
      </c>
      <c r="D10" s="28">
        <f>SUM(Jul!D10, Aug!D10, Sep!D10)</f>
        <v>0</v>
      </c>
      <c r="E10" s="28">
        <f t="shared" si="0"/>
        <v>0</v>
      </c>
      <c r="F10" s="29" t="str">
        <f t="shared" si="1"/>
        <v/>
      </c>
      <c r="G10" s="69">
        <f>SUM(Jul!G10, Aug!G10, Sep!G10)</f>
        <v>0</v>
      </c>
      <c r="H10" s="30">
        <f>SUM(Jul!H10, Aug!H10, Sep!H10)</f>
        <v>0</v>
      </c>
      <c r="I10" s="31" t="str">
        <f t="shared" si="2"/>
        <v/>
      </c>
    </row>
    <row r="11" spans="1:9" ht="15.6">
      <c r="A11" s="39" t="str">
        <v>Slayton A &amp; B</v>
      </c>
      <c r="B11" s="33" t="str">
        <v>NY</v>
      </c>
      <c r="C11" s="34">
        <f>SUM(Jul!C11, Aug!C11, Sep!C11)</f>
        <v>0</v>
      </c>
      <c r="D11" s="35">
        <f>SUM(Jul!D11, Aug!D11, Sep!D11)</f>
        <v>0</v>
      </c>
      <c r="E11" s="35">
        <f t="shared" si="0"/>
        <v>0</v>
      </c>
      <c r="F11" s="36" t="str">
        <f t="shared" si="1"/>
        <v/>
      </c>
      <c r="G11" s="68">
        <f>SUM(Jul!G11, Aug!G11, Sep!G11)</f>
        <v>0</v>
      </c>
      <c r="H11" s="37">
        <f>SUM(Jul!H11, Aug!H11, Sep!H11)</f>
        <v>0</v>
      </c>
      <c r="I11" s="36" t="str">
        <f t="shared" si="2"/>
        <v/>
      </c>
    </row>
    <row r="12" spans="1:9" ht="15.6">
      <c r="A12" s="38" t="str">
        <v>Batavia - Alexander Rd</v>
      </c>
      <c r="B12" s="26" t="str">
        <v>NY</v>
      </c>
      <c r="C12" s="27">
        <f>SUM(Jul!C12, Aug!C12, Sep!C12)</f>
        <v>0</v>
      </c>
      <c r="D12" s="28">
        <f>SUM(Jul!D12, Aug!D12, Sep!D12)</f>
        <v>0</v>
      </c>
      <c r="E12" s="28">
        <f t="shared" si="0"/>
        <v>0</v>
      </c>
      <c r="F12" s="29"/>
      <c r="G12" s="69">
        <f>SUM(Jul!G12, Aug!G12, Sep!G12)</f>
        <v>0</v>
      </c>
      <c r="H12" s="30">
        <f>SUM(Jul!H12, Aug!H12, Sep!H12)</f>
        <v>0</v>
      </c>
      <c r="I12" s="31"/>
    </row>
    <row r="13" spans="1:9" ht="15.6">
      <c r="A13" s="39" t="str">
        <v xml:space="preserve">NC: Gibson – Henry Gibson Solar </v>
      </c>
      <c r="B13" s="33" t="str">
        <v>NC</v>
      </c>
      <c r="C13" s="34">
        <f>SUM(Jul!C13, Aug!C13, Sep!C13)</f>
        <v>0</v>
      </c>
      <c r="D13" s="35">
        <f>SUM(Jul!D13, Aug!D13, Sep!D13)</f>
        <v>0</v>
      </c>
      <c r="E13" s="35">
        <f t="shared" si="0"/>
        <v>0</v>
      </c>
      <c r="F13" s="36"/>
      <c r="G13" s="68">
        <f>SUM(Jul!G13, Aug!G13, Sep!G13)</f>
        <v>0</v>
      </c>
      <c r="H13" s="37">
        <f>SUM(Jul!H13, Aug!H13, Sep!H13)</f>
        <v>0</v>
      </c>
      <c r="I13" s="36"/>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6" priority="3" stopIfTrue="1" operator="lessThanOrEqual">
      <formula>-0.1</formula>
    </cfRule>
    <cfRule type="expression" dxfId="35" priority="4">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F22" sqref="F22"/>
      <selection pane="bottomLeft" activeCell="A4" sqref="A4:I6"/>
      <selection pane="topRight" activeCell="A4" sqref="A4:I6"/>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91" t="str" cm="1">
        <f t="array" ref="A1">portfolio</f>
        <v>Renewable Properties</v>
      </c>
      <c r="B1" s="91"/>
      <c r="C1" s="91"/>
      <c r="D1" s="92" t="s">
        <v>16</v>
      </c>
      <c r="E1" s="92"/>
      <c r="F1" s="92"/>
      <c r="G1" s="90" t="s">
        <v>17</v>
      </c>
      <c r="H1" s="90"/>
      <c r="I1" s="90"/>
    </row>
    <row r="2" spans="1:9" ht="19.5" customHeight="1">
      <c r="A2" s="93" t="s">
        <v>2</v>
      </c>
      <c r="B2" s="93"/>
      <c r="C2" s="5">
        <f>SUM(C4:C80)</f>
        <v>0</v>
      </c>
      <c r="D2" s="5">
        <f>SUM(D4:D80)</f>
        <v>0</v>
      </c>
      <c r="E2" s="5">
        <f>C2-D2</f>
        <v>0</v>
      </c>
      <c r="F2" s="6">
        <f>IFERROR(E2/D2, 0)</f>
        <v>0</v>
      </c>
      <c r="G2" s="5">
        <f>SUM(G4:G80)</f>
        <v>0</v>
      </c>
      <c r="H2" s="7">
        <f>C2-G2</f>
        <v>0</v>
      </c>
      <c r="I2" s="6">
        <f>IFERROR(H2/G2, 0)</f>
        <v>0</v>
      </c>
    </row>
    <row r="3" spans="1:9" ht="14.25" customHeight="1">
      <c r="A3" s="8" t="s">
        <v>3</v>
      </c>
      <c r="B3" s="8" t="s">
        <v>4</v>
      </c>
      <c r="C3" s="11" t="s">
        <v>5</v>
      </c>
      <c r="D3" s="16" t="s">
        <v>6</v>
      </c>
      <c r="E3" s="16" t="s">
        <v>7</v>
      </c>
      <c r="F3" s="17" t="s">
        <v>8</v>
      </c>
      <c r="G3" s="18" t="s">
        <v>9</v>
      </c>
      <c r="H3" s="19" t="s">
        <v>7</v>
      </c>
      <c r="I3" s="20" t="s">
        <v>8</v>
      </c>
    </row>
    <row r="4" spans="1:9" ht="15.6">
      <c r="A4" s="38" t="str" cm="1">
        <f t="array" ref="A4:A14">Sites[Site]</f>
        <v>Cedar Swamp Rd</v>
      </c>
      <c r="B4" s="26" t="str" cm="1">
        <f t="array" ref="B4:B14">Sites[State]</f>
        <v>MA</v>
      </c>
      <c r="C4" s="27">
        <f>SUM(Oct!C4, Nov!C4, Dec!C4)</f>
        <v>0</v>
      </c>
      <c r="D4" s="28">
        <f>SUM(Oct!D4, Nov!D4, Dec!D4)</f>
        <v>0</v>
      </c>
      <c r="E4" s="28">
        <f>IF(AND(ISNUMBER(C4),ISNUMBER(D4)), C4-D4, "")</f>
        <v>0</v>
      </c>
      <c r="F4" s="29" t="str">
        <f>IFERROR(E4/D4, "")</f>
        <v/>
      </c>
      <c r="G4" s="37">
        <f>SUM(Oct!G4, Nov!G4, Dec!G4)</f>
        <v>0</v>
      </c>
      <c r="H4" s="30">
        <f>SUM(Oct!H4, Nov!H4, Dec!H4)</f>
        <v>0</v>
      </c>
      <c r="I4" s="31" t="str">
        <f>IFERROR(H4/G4, "")</f>
        <v/>
      </c>
    </row>
    <row r="5" spans="1:9" ht="15.6">
      <c r="A5" s="39" t="str">
        <v>Bullis</v>
      </c>
      <c r="B5" s="33" t="str">
        <v>NY</v>
      </c>
      <c r="C5" s="34">
        <f>SUM(Oct!C5, Nov!C5, Dec!C5)</f>
        <v>0</v>
      </c>
      <c r="D5" s="35">
        <f>SUM(Oct!D5, Nov!D5, Dec!D5)</f>
        <v>0</v>
      </c>
      <c r="E5" s="35">
        <f t="shared" ref="E5:E6" si="0">IF(AND(ISNUMBER(C5),ISNUMBER(D5)), C5-D5, "")</f>
        <v>0</v>
      </c>
      <c r="F5" s="36" t="str">
        <f>IFERROR(E5/D5, "")</f>
        <v/>
      </c>
      <c r="G5" s="37">
        <f>SUM(Oct!G5, Nov!G5, Dec!G5)</f>
        <v>0</v>
      </c>
      <c r="H5" s="37">
        <f>SUM(Oct!H5, Nov!H5, Dec!H5)</f>
        <v>0</v>
      </c>
      <c r="I5" s="36" t="str">
        <f>IFERROR(H5/G5, "")</f>
        <v/>
      </c>
    </row>
    <row r="6" spans="1:9" ht="15.6">
      <c r="A6" s="38" t="str">
        <v>Rock Island</v>
      </c>
      <c r="B6" s="26" t="str">
        <v>NY</v>
      </c>
      <c r="C6" s="27">
        <f>SUM(Oct!C6, Nov!C6, Dec!C6)</f>
        <v>0</v>
      </c>
      <c r="D6" s="28">
        <f>SUM(Oct!D6, Nov!D6, Dec!D6)</f>
        <v>0</v>
      </c>
      <c r="E6" s="28">
        <f t="shared" si="0"/>
        <v>0</v>
      </c>
      <c r="F6" s="29" t="str">
        <f t="shared" ref="F6" si="1">IFERROR(E6/D6, "")</f>
        <v/>
      </c>
      <c r="G6" s="30">
        <f>SUM(Oct!G6, Nov!G6, Dec!G6)</f>
        <v>0</v>
      </c>
      <c r="H6" s="30">
        <f>SUM(Oct!H6, Nov!H6, Dec!H6)</f>
        <v>0</v>
      </c>
      <c r="I6" s="31" t="str">
        <f t="shared" ref="I6" si="2">IFERROR(H6/G6, "")</f>
        <v/>
      </c>
    </row>
    <row r="7" spans="1:9" ht="15.6">
      <c r="A7" s="39" t="str">
        <v>Winslow - Roderick</v>
      </c>
      <c r="B7" s="33" t="str">
        <v>ME</v>
      </c>
      <c r="C7" s="34">
        <f>SUM(Oct!C7, Nov!C7, Dec!C7)</f>
        <v>0</v>
      </c>
      <c r="D7" s="35">
        <f>SUM(Oct!D7, Nov!D7, Dec!D7)</f>
        <v>0</v>
      </c>
      <c r="E7" s="35">
        <f t="shared" ref="E7" si="3">IF(AND(ISNUMBER(C7),ISNUMBER(D7)), C7-D7, "")</f>
        <v>0</v>
      </c>
      <c r="F7" s="36" t="str">
        <f t="shared" ref="F7:F11" si="4">IFERROR(E7/D7, "")</f>
        <v/>
      </c>
      <c r="G7" s="37">
        <f>SUM(Oct!G7, Nov!G7, Dec!G7)</f>
        <v>0</v>
      </c>
      <c r="H7" s="37">
        <f>SUM(Oct!H7, Nov!H7, Dec!H7)</f>
        <v>0</v>
      </c>
      <c r="I7" s="36" t="str">
        <f t="shared" ref="I7:I11" si="5">IFERROR(H7/G7, "")</f>
        <v/>
      </c>
    </row>
    <row r="8" spans="1:9" ht="15.6">
      <c r="A8" s="38" t="str">
        <v>Minoa - Clemons Rd</v>
      </c>
      <c r="B8" s="26" t="str">
        <v>NY</v>
      </c>
      <c r="C8" s="27">
        <f>SUM(Oct!C8, Nov!C8, Dec!C8)</f>
        <v>0</v>
      </c>
      <c r="D8" s="28">
        <f>SUM(Oct!D8, Nov!D8, Dec!D8)</f>
        <v>0</v>
      </c>
      <c r="E8" s="28">
        <f t="shared" ref="E8:E13" si="6">IF(AND(ISNUMBER(C8),ISNUMBER(D8)), C8-D8, "")</f>
        <v>0</v>
      </c>
      <c r="F8" s="29" t="str">
        <f t="shared" ref="F8:F10" si="7">IFERROR(E8/D8, "")</f>
        <v/>
      </c>
      <c r="G8" s="30">
        <f>SUM(Oct!G8, Nov!G8, Dec!G8)</f>
        <v>0</v>
      </c>
      <c r="H8" s="30">
        <f>SUM(Oct!H8, Nov!H8, Dec!H8)</f>
        <v>0</v>
      </c>
      <c r="I8" s="31" t="str">
        <f t="shared" ref="I8:I10" si="8">IFERROR(H8/G8, "")</f>
        <v/>
      </c>
    </row>
    <row r="9" spans="1:9" ht="15.6">
      <c r="A9" s="39" t="str">
        <v>Manchester - Western</v>
      </c>
      <c r="B9" s="33" t="str">
        <v>ME</v>
      </c>
      <c r="C9" s="34">
        <f>SUM(Oct!C9, Nov!C9, Dec!C9)</f>
        <v>0</v>
      </c>
      <c r="D9" s="35">
        <f>SUM(Oct!D9, Nov!D9, Dec!D9)</f>
        <v>0</v>
      </c>
      <c r="E9" s="35">
        <f t="shared" si="6"/>
        <v>0</v>
      </c>
      <c r="F9" s="36" t="str">
        <f t="shared" si="4"/>
        <v/>
      </c>
      <c r="G9" s="37">
        <f>SUM(Oct!G9, Nov!G9, Dec!G9)</f>
        <v>0</v>
      </c>
      <c r="H9" s="37">
        <f>SUM(Oct!H9, Nov!H9, Dec!H9)</f>
        <v>0</v>
      </c>
      <c r="I9" s="36" t="str">
        <f t="shared" si="5"/>
        <v/>
      </c>
    </row>
    <row r="10" spans="1:9" ht="15.6">
      <c r="A10" s="38" t="str">
        <v>Batavia - Pike Rd</v>
      </c>
      <c r="B10" s="26" t="str">
        <v>NY</v>
      </c>
      <c r="C10" s="27">
        <f>SUM(Oct!C10, Nov!C10, Dec!C10)</f>
        <v>0</v>
      </c>
      <c r="D10" s="28">
        <f>SUM(Oct!D10, Nov!D10, Dec!D10)</f>
        <v>0</v>
      </c>
      <c r="E10" s="28">
        <f t="shared" si="6"/>
        <v>0</v>
      </c>
      <c r="F10" s="29" t="str">
        <f t="shared" si="7"/>
        <v/>
      </c>
      <c r="G10" s="30">
        <f>SUM(Oct!G10, Nov!G10, Dec!G10)</f>
        <v>0</v>
      </c>
      <c r="H10" s="30">
        <f>SUM(Oct!H10, Nov!H10, Dec!H10)</f>
        <v>0</v>
      </c>
      <c r="I10" s="31" t="str">
        <f t="shared" si="8"/>
        <v/>
      </c>
    </row>
    <row r="11" spans="1:9" ht="15.6">
      <c r="A11" s="39" t="str">
        <v>Slayton A &amp; B</v>
      </c>
      <c r="B11" s="33" t="str">
        <v>NY</v>
      </c>
      <c r="C11" s="34">
        <f>SUM(Oct!C11, Nov!C11, Dec!C11)</f>
        <v>0</v>
      </c>
      <c r="D11" s="35">
        <f>SUM(Oct!D11, Nov!D11, Dec!D11)</f>
        <v>0</v>
      </c>
      <c r="E11" s="35">
        <f t="shared" si="6"/>
        <v>0</v>
      </c>
      <c r="F11" s="36" t="str">
        <f t="shared" si="4"/>
        <v/>
      </c>
      <c r="G11" s="37">
        <f>SUM(Oct!G11, Nov!G11, Dec!G11)</f>
        <v>0</v>
      </c>
      <c r="H11" s="37">
        <f>SUM(Oct!H11, Nov!H11, Dec!H11)</f>
        <v>0</v>
      </c>
      <c r="I11" s="36" t="str">
        <f t="shared" si="5"/>
        <v/>
      </c>
    </row>
    <row r="12" spans="1:9" ht="15.6">
      <c r="A12" s="38" t="str">
        <v>Batavia - Alexander Rd</v>
      </c>
      <c r="B12" s="26" t="str">
        <v>NY</v>
      </c>
      <c r="C12" s="27">
        <f>SUM(Oct!C12, Nov!C12, Dec!C12)</f>
        <v>0</v>
      </c>
      <c r="D12" s="28">
        <f>SUM(Oct!D12, Nov!D12, Dec!D12)</f>
        <v>0</v>
      </c>
      <c r="E12" s="28">
        <f t="shared" si="6"/>
        <v>0</v>
      </c>
      <c r="F12" s="29"/>
      <c r="G12" s="30">
        <f>SUM(Oct!G12, Nov!G12, Dec!G12)</f>
        <v>0</v>
      </c>
      <c r="H12" s="30">
        <f>SUM(Oct!H12, Nov!H12, Dec!H12)</f>
        <v>0</v>
      </c>
      <c r="I12" s="31"/>
    </row>
    <row r="13" spans="1:9" ht="15.6">
      <c r="A13" s="39" t="str">
        <v xml:space="preserve">NC: Gibson – Henry Gibson Solar </v>
      </c>
      <c r="B13" s="33" t="str">
        <v>NC</v>
      </c>
      <c r="C13" s="34">
        <f>SUM(Oct!C13, Nov!C13, Dec!C13)</f>
        <v>0</v>
      </c>
      <c r="D13" s="35">
        <f>SUM(Oct!D13, Nov!D13, Dec!D13)</f>
        <v>0</v>
      </c>
      <c r="E13" s="35">
        <f t="shared" si="6"/>
        <v>0</v>
      </c>
      <c r="F13" s="78"/>
      <c r="G13" s="37">
        <f>SUM(Oct!G13, Nov!G13, Dec!G13)</f>
        <v>0</v>
      </c>
      <c r="H13" s="37">
        <f>SUM(Oct!H13, Nov!H13, Dec!H13)</f>
        <v>0</v>
      </c>
      <c r="I13" s="78"/>
    </row>
    <row r="14" spans="1:9" ht="13.9">
      <c r="A14" s="9" t="str">
        <v>Bangor - Pushaw</v>
      </c>
      <c r="B14" s="9" t="str">
        <v>ME</v>
      </c>
      <c r="C14" s="9"/>
      <c r="D14" s="9"/>
      <c r="E14" s="9"/>
      <c r="F14" s="10"/>
      <c r="G14" s="9"/>
      <c r="H14" s="9"/>
      <c r="I14" s="10"/>
    </row>
    <row r="15" spans="1:9" ht="13.9">
      <c r="A15" s="9"/>
      <c r="B15" s="9"/>
      <c r="C15" s="9"/>
      <c r="D15" s="9"/>
      <c r="E15" s="9"/>
      <c r="F15" s="10"/>
      <c r="G15" s="9"/>
      <c r="H15" s="9"/>
      <c r="I15" s="10"/>
    </row>
    <row r="16" spans="1:9" ht="13.9">
      <c r="A16" s="9"/>
      <c r="B16" s="9"/>
      <c r="C16" s="9"/>
      <c r="D16" s="9"/>
      <c r="E16" s="9"/>
      <c r="F16" s="10"/>
      <c r="G16" s="9"/>
      <c r="H16" s="9"/>
      <c r="I16" s="10"/>
    </row>
    <row r="17" spans="1:9" ht="13.9">
      <c r="A17" s="9"/>
      <c r="B17" s="9"/>
      <c r="C17" s="9"/>
      <c r="D17" s="9"/>
      <c r="E17" s="9"/>
      <c r="F17" s="10"/>
      <c r="G17" s="9"/>
      <c r="H17" s="9"/>
      <c r="I17" s="10"/>
    </row>
    <row r="18" spans="1:9" ht="13.9">
      <c r="A18" s="9"/>
      <c r="B18" s="9"/>
      <c r="C18" s="9"/>
      <c r="D18" s="9"/>
      <c r="E18" s="9"/>
      <c r="F18" s="10"/>
      <c r="G18" s="9"/>
      <c r="H18" s="9"/>
      <c r="I18" s="10"/>
    </row>
    <row r="19" spans="1:9" ht="13.9">
      <c r="A19" s="9"/>
      <c r="B19" s="9"/>
      <c r="C19" s="9"/>
      <c r="D19" s="9"/>
      <c r="E19" s="9"/>
      <c r="F19" s="10"/>
      <c r="G19" s="9"/>
      <c r="H19" s="9"/>
      <c r="I19" s="10"/>
    </row>
    <row r="20" spans="1:9" ht="13.9">
      <c r="A20" s="9"/>
      <c r="B20" s="9"/>
      <c r="C20" s="9"/>
      <c r="D20" s="9"/>
      <c r="E20" s="9"/>
      <c r="F20" s="10"/>
      <c r="G20" s="9"/>
      <c r="H20" s="9"/>
      <c r="I20" s="10"/>
    </row>
    <row r="21" spans="1:9" ht="13.9">
      <c r="A21" s="9"/>
      <c r="B21" s="9"/>
      <c r="C21" s="9"/>
      <c r="D21" s="9"/>
      <c r="E21" s="9"/>
      <c r="F21" s="10"/>
      <c r="G21" s="9"/>
      <c r="H21" s="9"/>
      <c r="I21" s="10"/>
    </row>
    <row r="22" spans="1:9" ht="13.9">
      <c r="A22" s="9"/>
      <c r="B22" s="9"/>
      <c r="C22" s="9"/>
      <c r="D22" s="9"/>
      <c r="E22" s="9"/>
      <c r="F22" s="10"/>
      <c r="G22" s="9"/>
      <c r="H22" s="9"/>
      <c r="I22" s="10"/>
    </row>
    <row r="23" spans="1:9" ht="13.9">
      <c r="A23" s="9"/>
      <c r="B23" s="9"/>
      <c r="C23" s="9"/>
      <c r="D23" s="9"/>
      <c r="E23" s="9"/>
      <c r="F23" s="10"/>
      <c r="G23" s="9"/>
      <c r="H23" s="9"/>
      <c r="I23" s="10"/>
    </row>
    <row r="24" spans="1:9" ht="13.9">
      <c r="A24" s="9"/>
      <c r="B24" s="9"/>
      <c r="C24" s="9"/>
      <c r="D24" s="9"/>
      <c r="E24" s="9"/>
      <c r="F24" s="10"/>
      <c r="G24" s="9"/>
      <c r="H24" s="9"/>
      <c r="I24" s="10"/>
    </row>
    <row r="25" spans="1:9" ht="13.9">
      <c r="A25" s="9"/>
      <c r="B25" s="9"/>
      <c r="C25" s="9"/>
      <c r="D25" s="9"/>
      <c r="E25" s="9"/>
      <c r="F25" s="10"/>
      <c r="G25" s="9"/>
      <c r="H25" s="9"/>
      <c r="I25" s="10"/>
    </row>
    <row r="26" spans="1:9" ht="13.9">
      <c r="A26" s="9"/>
      <c r="B26" s="9"/>
      <c r="C26" s="9"/>
      <c r="D26" s="9"/>
      <c r="E26" s="9"/>
      <c r="F26" s="10"/>
      <c r="G26" s="9"/>
      <c r="H26" s="9"/>
      <c r="I26" s="10"/>
    </row>
    <row r="27" spans="1:9" ht="13.9">
      <c r="A27" s="9"/>
      <c r="B27" s="9"/>
      <c r="C27" s="9"/>
      <c r="D27" s="9"/>
      <c r="E27" s="9"/>
      <c r="F27" s="10"/>
      <c r="G27" s="9"/>
      <c r="H27" s="9"/>
      <c r="I27" s="10"/>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sheetData>
  <mergeCells count="4">
    <mergeCell ref="G1:I1"/>
    <mergeCell ref="A1:C1"/>
    <mergeCell ref="D1:F1"/>
    <mergeCell ref="A2:B2"/>
  </mergeCells>
  <conditionalFormatting sqref="F2 I2 F4:F80 I4:I80">
    <cfRule type="cellIs" dxfId="34" priority="1" stopIfTrue="1" operator="lessThanOrEqual">
      <formula>-0.1</formula>
    </cfRule>
    <cfRule type="expression" dxfId="33"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K321"/>
  <sheetViews>
    <sheetView zoomScale="80" zoomScaleNormal="80" workbookViewId="0">
      <pane xSplit="2" ySplit="3" topLeftCell="C4" activePane="bottomRight" state="frozen"/>
      <selection pane="bottomRight" activeCell="N19" sqref="N19"/>
      <selection pane="bottomLeft" activeCell="I11" sqref="I11"/>
      <selection pane="topRight" activeCell="I11" sqref="I11"/>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6.7109375" customWidth="1"/>
    <col min="11" max="11" width="20.5703125" bestFit="1" customWidth="1"/>
  </cols>
  <sheetData>
    <row r="1" spans="1:11" ht="19.5" customHeight="1">
      <c r="A1" s="91" t="str" cm="1">
        <f t="array" ref="A1">portfolio</f>
        <v>Renewable Properties</v>
      </c>
      <c r="B1" s="91"/>
      <c r="C1" s="91"/>
      <c r="D1" s="92" t="s">
        <v>18</v>
      </c>
      <c r="E1" s="92"/>
      <c r="F1" s="92"/>
      <c r="G1" s="90" t="s">
        <v>19</v>
      </c>
      <c r="H1" s="90"/>
      <c r="I1" s="90"/>
      <c r="J1" s="4"/>
      <c r="K1" s="4"/>
    </row>
    <row r="2" spans="1:11" ht="19.5" customHeight="1">
      <c r="A2" s="93" t="s">
        <v>2</v>
      </c>
      <c r="B2" s="93"/>
      <c r="C2" s="5">
        <f>SUM(C4:C79)</f>
        <v>1767768.4684599999</v>
      </c>
      <c r="D2" s="5">
        <f>SUM(D4:D79)</f>
        <v>2623230.6949999998</v>
      </c>
      <c r="E2" s="5">
        <f>C2-D2</f>
        <v>-855462.22653999995</v>
      </c>
      <c r="F2" s="6">
        <f>IFERROR(E2/D2, 0)</f>
        <v>-0.32611017710739315</v>
      </c>
      <c r="G2" s="5">
        <f>SUM(G4:G79)</f>
        <v>2261375.48</v>
      </c>
      <c r="H2" s="7">
        <f>C2-G2</f>
        <v>-493607.01154000009</v>
      </c>
      <c r="I2" s="6">
        <f>IFERROR(H2/G2, 0)</f>
        <v>-0.21827733426206608</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3" t="s">
        <v>9</v>
      </c>
      <c r="H3" s="44" t="s">
        <v>7</v>
      </c>
      <c r="I3" s="45" t="s">
        <v>8</v>
      </c>
      <c r="J3" s="46" t="s">
        <v>20</v>
      </c>
      <c r="K3" s="46" t="s">
        <v>21</v>
      </c>
    </row>
    <row r="4" spans="1:11" ht="15.6">
      <c r="A4" s="48" t="str" cm="1">
        <f t="array" ref="A4:A14">Sites[Site]</f>
        <v>Cedar Swamp Rd</v>
      </c>
      <c r="B4" s="49" t="str" cm="1">
        <f t="array" ref="B4:B14">Sites[State]</f>
        <v>MA</v>
      </c>
      <c r="C4" s="27">
        <v>61046</v>
      </c>
      <c r="D4" s="28">
        <v>72282.67</v>
      </c>
      <c r="E4" s="28">
        <f>IF(AND(ISNUMBER(C4),ISNUMBER(D4)), C4-D4, "")</f>
        <v>-11236.669999999998</v>
      </c>
      <c r="F4" s="29">
        <f>IFERROR(E4/D4, "")</f>
        <v>-0.15545455086260646</v>
      </c>
      <c r="G4" s="30">
        <v>41663.379999999997</v>
      </c>
      <c r="H4" s="30">
        <f>IF(AND(ISNUMBER(C4),ISNUMBER(G4)), C4-G4, "")</f>
        <v>19382.620000000003</v>
      </c>
      <c r="I4" s="31">
        <f>IFERROR(H4/G4, "")</f>
        <v>0.46521957652019602</v>
      </c>
      <c r="J4" s="50"/>
      <c r="K4" s="50"/>
    </row>
    <row r="5" spans="1:11" ht="28.9">
      <c r="A5" s="51" t="str">
        <v>Bullis</v>
      </c>
      <c r="B5" s="52" t="str">
        <v>NY</v>
      </c>
      <c r="C5" s="35">
        <v>179917</v>
      </c>
      <c r="D5" s="35">
        <v>269796.59999999998</v>
      </c>
      <c r="E5" s="35">
        <f t="shared" ref="E5:E6" si="0">IF(AND(ISNUMBER(C5),ISNUMBER(D5)), C5-D5, "")</f>
        <v>-89879.599999999977</v>
      </c>
      <c r="F5" s="36">
        <f t="shared" ref="F5:F6" si="1">IFERROR(E5/D5, "")</f>
        <v>-0.33313837164738169</v>
      </c>
      <c r="G5" s="37">
        <v>264056.90000000002</v>
      </c>
      <c r="H5" s="37">
        <f t="shared" ref="H5:H6" si="2">IF(AND(ISNUMBER(C5),ISNUMBER(G5)), C5-G5, "")</f>
        <v>-84139.900000000023</v>
      </c>
      <c r="I5" s="36">
        <f t="shared" ref="I5:I6" si="3">IFERROR(H5/G5, "")</f>
        <v>-0.31864306518784402</v>
      </c>
      <c r="J5" s="53" t="s">
        <v>22</v>
      </c>
      <c r="K5" s="53" t="s">
        <v>23</v>
      </c>
    </row>
    <row r="6" spans="1:11" ht="15.6">
      <c r="A6" s="48" t="str">
        <v>Rock Island</v>
      </c>
      <c r="B6" s="49" t="str">
        <v>NY</v>
      </c>
      <c r="C6" s="27">
        <v>230466.5</v>
      </c>
      <c r="D6" s="28">
        <v>342985.3</v>
      </c>
      <c r="E6" s="28">
        <f t="shared" si="0"/>
        <v>-112518.79999999999</v>
      </c>
      <c r="F6" s="29">
        <f t="shared" si="1"/>
        <v>-0.32805720828268731</v>
      </c>
      <c r="G6" s="30">
        <v>246331.8</v>
      </c>
      <c r="H6" s="30">
        <f t="shared" si="2"/>
        <v>-15865.299999999988</v>
      </c>
      <c r="I6" s="31">
        <f t="shared" si="3"/>
        <v>-6.4406219578633322E-2</v>
      </c>
      <c r="J6" s="50" t="s">
        <v>24</v>
      </c>
      <c r="K6" s="50"/>
    </row>
    <row r="7" spans="1:11" ht="15.6">
      <c r="A7" s="51" t="str">
        <v>Winslow - Roderick</v>
      </c>
      <c r="B7" s="52" t="str">
        <v>ME</v>
      </c>
      <c r="C7" s="35">
        <v>361423</v>
      </c>
      <c r="D7" s="35">
        <v>473366.7</v>
      </c>
      <c r="E7" s="35">
        <f t="shared" ref="E7" si="4">IF(AND(ISNUMBER(C7),ISNUMBER(D7)), C7-D7, "")</f>
        <v>-111943.70000000001</v>
      </c>
      <c r="F7" s="36">
        <f t="shared" ref="F7:F13" si="5">IFERROR(E7/D7, "")</f>
        <v>-0.2364841041839234</v>
      </c>
      <c r="G7" s="37">
        <v>385109</v>
      </c>
      <c r="H7" s="37">
        <f t="shared" ref="H7" si="6">IF(AND(ISNUMBER(C7),ISNUMBER(G7)), C7-G7, "")</f>
        <v>-23686</v>
      </c>
      <c r="I7" s="36">
        <f t="shared" ref="I7:I13" si="7">IFERROR(H7/G7, "")</f>
        <v>-6.1504664913050594E-2</v>
      </c>
      <c r="J7" s="53"/>
      <c r="K7" s="53"/>
    </row>
    <row r="8" spans="1:11" ht="57.6">
      <c r="A8" s="48" t="str">
        <v>Minoa - Clemons Rd</v>
      </c>
      <c r="B8" s="49" t="str">
        <v>NY</v>
      </c>
      <c r="C8" s="27">
        <v>128703.75</v>
      </c>
      <c r="D8" s="28">
        <v>206281.4</v>
      </c>
      <c r="E8" s="28">
        <f t="shared" ref="E8:E14" si="8">IF(AND(ISNUMBER(C8),ISNUMBER(D8)), C8-D8, "")</f>
        <v>-77577.649999999994</v>
      </c>
      <c r="F8" s="29">
        <f t="shared" ref="F8:F14" si="9">IFERROR(E8/D8, "")</f>
        <v>-0.37607680576145014</v>
      </c>
      <c r="G8" s="30">
        <v>191393.5</v>
      </c>
      <c r="H8" s="30">
        <f t="shared" ref="H8:H14" si="10">IF(AND(ISNUMBER(C8),ISNUMBER(G8)), C8-G8, "")</f>
        <v>-62689.75</v>
      </c>
      <c r="I8" s="31">
        <f t="shared" ref="I8:I14" si="11">IFERROR(H8/G8, "")</f>
        <v>-0.32754377761000242</v>
      </c>
      <c r="J8" s="50" t="s">
        <v>25</v>
      </c>
      <c r="K8" s="50" t="s">
        <v>26</v>
      </c>
    </row>
    <row r="9" spans="1:11" ht="15.6">
      <c r="A9" s="51" t="str">
        <v>Manchester - Western</v>
      </c>
      <c r="B9" s="52" t="str">
        <v>ME</v>
      </c>
      <c r="C9" s="35">
        <v>47584.8125</v>
      </c>
      <c r="D9" s="35">
        <v>0</v>
      </c>
      <c r="E9" s="35">
        <f t="shared" si="8"/>
        <v>47584.8125</v>
      </c>
      <c r="F9" s="36" t="str">
        <f t="shared" si="5"/>
        <v/>
      </c>
      <c r="G9" s="37">
        <v>0</v>
      </c>
      <c r="H9" s="37">
        <f t="shared" si="10"/>
        <v>47584.8125</v>
      </c>
      <c r="I9" s="36" t="str">
        <f t="shared" si="7"/>
        <v/>
      </c>
      <c r="J9" s="53"/>
      <c r="K9" s="53"/>
    </row>
    <row r="10" spans="1:11" ht="57.6">
      <c r="A10" s="48" t="str">
        <v>Batavia - Pike Rd</v>
      </c>
      <c r="B10" s="49" t="str">
        <v>NY</v>
      </c>
      <c r="C10" s="27">
        <v>159955.82375000001</v>
      </c>
      <c r="D10" s="28">
        <v>246837.6</v>
      </c>
      <c r="E10" s="28">
        <f t="shared" si="8"/>
        <v>-86881.776249999995</v>
      </c>
      <c r="F10" s="29">
        <f t="shared" si="9"/>
        <v>-0.35197950494576186</v>
      </c>
      <c r="G10" s="30">
        <v>219320.6</v>
      </c>
      <c r="H10" s="30">
        <f t="shared" si="10"/>
        <v>-59364.776249999995</v>
      </c>
      <c r="I10" s="31">
        <f t="shared" si="11"/>
        <v>-0.27067578809286491</v>
      </c>
      <c r="J10" s="50" t="s">
        <v>27</v>
      </c>
      <c r="K10" s="50" t="s">
        <v>28</v>
      </c>
    </row>
    <row r="11" spans="1:11" ht="15.6">
      <c r="A11" s="51" t="str">
        <v>Slayton A &amp; B</v>
      </c>
      <c r="B11" s="52" t="str">
        <v>NY</v>
      </c>
      <c r="C11" s="35">
        <v>353338</v>
      </c>
      <c r="D11" s="35">
        <v>494949.8</v>
      </c>
      <c r="E11" s="35">
        <f t="shared" si="8"/>
        <v>-141611.79999999999</v>
      </c>
      <c r="F11" s="36">
        <f t="shared" si="5"/>
        <v>-0.28611346039537744</v>
      </c>
      <c r="G11" s="37">
        <v>398835.4</v>
      </c>
      <c r="H11" s="37">
        <f t="shared" si="10"/>
        <v>-45497.400000000023</v>
      </c>
      <c r="I11" s="36">
        <f t="shared" si="7"/>
        <v>-0.11407563120023954</v>
      </c>
      <c r="J11" s="53" t="s">
        <v>24</v>
      </c>
      <c r="K11" s="53"/>
    </row>
    <row r="12" spans="1:11" ht="72">
      <c r="A12" s="48" t="str">
        <v>Batavia - Alexander Rd</v>
      </c>
      <c r="B12" s="49" t="str">
        <v>NY</v>
      </c>
      <c r="C12" s="27">
        <v>75534.582209999993</v>
      </c>
      <c r="D12" s="28">
        <v>136027.1</v>
      </c>
      <c r="E12" s="28">
        <f t="shared" si="8"/>
        <v>-60492.517790000013</v>
      </c>
      <c r="F12" s="29">
        <f t="shared" si="9"/>
        <v>-0.44470931005659908</v>
      </c>
      <c r="G12" s="30">
        <v>110310.9</v>
      </c>
      <c r="H12" s="30">
        <f t="shared" si="10"/>
        <v>-34776.317790000001</v>
      </c>
      <c r="I12" s="31">
        <f t="shared" si="11"/>
        <v>-0.31525731174344512</v>
      </c>
      <c r="J12" s="50" t="s">
        <v>29</v>
      </c>
      <c r="K12" s="50" t="s">
        <v>30</v>
      </c>
    </row>
    <row r="13" spans="1:11" ht="15.6">
      <c r="A13" s="51" t="str">
        <v xml:space="preserve">NC: Gibson – Henry Gibson Solar </v>
      </c>
      <c r="B13" s="52" t="str">
        <v>NC</v>
      </c>
      <c r="C13" s="35"/>
      <c r="D13" s="35"/>
      <c r="E13" s="35" t="str">
        <f t="shared" si="8"/>
        <v/>
      </c>
      <c r="F13" s="36" t="str">
        <f t="shared" si="5"/>
        <v/>
      </c>
      <c r="G13" s="37"/>
      <c r="H13" s="37" t="str">
        <f t="shared" si="10"/>
        <v/>
      </c>
      <c r="I13" s="36" t="str">
        <f t="shared" si="7"/>
        <v/>
      </c>
      <c r="J13" s="53"/>
      <c r="K13" s="53"/>
    </row>
    <row r="14" spans="1:11" ht="15.6">
      <c r="A14" s="48" t="str">
        <v>Bangor - Pushaw</v>
      </c>
      <c r="B14" s="49" t="str">
        <v>ME</v>
      </c>
      <c r="C14" s="27">
        <v>169799</v>
      </c>
      <c r="D14" s="28">
        <v>380703.52500000002</v>
      </c>
      <c r="E14" s="28">
        <f t="shared" si="8"/>
        <v>-210904.52500000002</v>
      </c>
      <c r="F14" s="29">
        <f t="shared" si="9"/>
        <v>-0.55398626792331385</v>
      </c>
      <c r="G14" s="30">
        <v>404354</v>
      </c>
      <c r="H14" s="30">
        <f t="shared" si="10"/>
        <v>-234555</v>
      </c>
      <c r="I14" s="31">
        <f t="shared" si="11"/>
        <v>-0.58007340102979077</v>
      </c>
      <c r="J14" s="50" t="s">
        <v>31</v>
      </c>
      <c r="K14" s="50"/>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sheetData>
  <mergeCells count="4">
    <mergeCell ref="D1:F1"/>
    <mergeCell ref="A1:C1"/>
    <mergeCell ref="G1:I1"/>
    <mergeCell ref="A2:B2"/>
  </mergeCells>
  <phoneticPr fontId="4" type="noConversion"/>
  <conditionalFormatting sqref="F2 I2">
    <cfRule type="cellIs" dxfId="32" priority="14" stopIfTrue="1" operator="lessThanOrEqual">
      <formula>-0.1</formula>
    </cfRule>
    <cfRule type="expression" dxfId="31" priority="15">
      <formula>AND(ISNUMBER(F2), F2&gt;=0.1)</formula>
    </cfRule>
  </conditionalFormatting>
  <conditionalFormatting sqref="F4:F79 I4:I79">
    <cfRule type="cellIs" dxfId="30" priority="3" stopIfTrue="1" operator="lessThanOrEqual">
      <formula>-0.1</formula>
    </cfRule>
    <cfRule type="expression" dxfId="29" priority="4">
      <formula>AND(ISNUMBER(F4), F4&gt;=0.1)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10" activePane="bottomRight" state="frozen"/>
      <selection pane="bottomRight" activeCell="J18" sqref="J1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90.85546875" customWidth="1"/>
    <col min="11" max="11" width="21.7109375" customWidth="1"/>
    <col min="12" max="12" width="13.28515625" customWidth="1"/>
  </cols>
  <sheetData>
    <row r="1" spans="1:14" ht="19.5" customHeight="1">
      <c r="A1" s="91" t="str" cm="1">
        <f t="array" ref="A1">portfolio</f>
        <v>Renewable Properties</v>
      </c>
      <c r="B1" s="91"/>
      <c r="C1" s="91"/>
      <c r="D1" s="92" t="s">
        <v>32</v>
      </c>
      <c r="E1" s="92"/>
      <c r="F1" s="92"/>
      <c r="G1" s="90" t="s">
        <v>33</v>
      </c>
      <c r="H1" s="90"/>
      <c r="I1" s="90"/>
      <c r="J1" s="4"/>
      <c r="K1" s="4"/>
    </row>
    <row r="2" spans="1:14" ht="19.5" customHeight="1">
      <c r="A2" s="93" t="s">
        <v>2</v>
      </c>
      <c r="B2" s="93"/>
      <c r="C2" s="5">
        <f>SUM(C5:C80)</f>
        <v>2742058.0279791038</v>
      </c>
      <c r="D2" s="5">
        <f>SUM(D4:D80)</f>
        <v>4023644.6599999997</v>
      </c>
      <c r="E2" s="5">
        <f>C2-D2</f>
        <v>-1281586.6320208958</v>
      </c>
      <c r="F2" s="6">
        <f>IFERROR(E2/D2, 0)</f>
        <v>-0.31851386996507192</v>
      </c>
      <c r="G2" s="5">
        <f>SUM(G4:G80)</f>
        <v>3948929.3299999996</v>
      </c>
      <c r="H2" s="7">
        <f>C2-G2</f>
        <v>-1206871.3020208958</v>
      </c>
      <c r="I2" s="6">
        <f>IFERROR(H2/G2, 0)</f>
        <v>-0.30561987849524164</v>
      </c>
      <c r="J2" s="12" t="str">
        <f ca="1">IF(AND(TODAY()&gt;DATE(2024, 2, 1), COUNTA(Sites[Site])&lt;&gt;(COUNT(C:C)-1)), "Some sites are missing actual data; if new sites were added, make sure they are aligned correctly (including prior months!)", "")</f>
        <v/>
      </c>
      <c r="K2" s="4"/>
    </row>
    <row r="3" spans="1:14" ht="14.25" customHeight="1">
      <c r="A3" s="13" t="s">
        <v>3</v>
      </c>
      <c r="B3" s="13" t="s">
        <v>4</v>
      </c>
      <c r="C3" s="40" t="s">
        <v>5</v>
      </c>
      <c r="D3" s="41" t="s">
        <v>6</v>
      </c>
      <c r="E3" s="41" t="s">
        <v>7</v>
      </c>
      <c r="F3" s="42" t="s">
        <v>8</v>
      </c>
      <c r="G3" s="47" t="s">
        <v>9</v>
      </c>
      <c r="H3" s="44" t="s">
        <v>7</v>
      </c>
      <c r="I3" s="45" t="s">
        <v>8</v>
      </c>
      <c r="J3" s="46" t="s">
        <v>20</v>
      </c>
      <c r="K3" s="46" t="s">
        <v>21</v>
      </c>
    </row>
    <row r="4" spans="1:14" ht="15.6">
      <c r="A4" s="54" t="str" cm="1">
        <f t="array" ref="A4:A14">Sites[Site]</f>
        <v>Cedar Swamp Rd</v>
      </c>
      <c r="B4" s="49" t="str" cm="1">
        <f t="array" ref="B4:B14">Sites[State]</f>
        <v>MA</v>
      </c>
      <c r="C4" s="27">
        <v>75305</v>
      </c>
      <c r="D4" s="28">
        <v>82808.460000000006</v>
      </c>
      <c r="E4" s="28">
        <f t="shared" ref="E4:E14" si="0">IF(AND(ISNUMBER(C4),ISNUMBER(D4)), C4-D4, "")</f>
        <v>-7503.4600000000064</v>
      </c>
      <c r="F4" s="29">
        <f>IFERROR(E4/D4, "")</f>
        <v>-9.0612239377474299E-2</v>
      </c>
      <c r="G4" s="30">
        <v>55035.28</v>
      </c>
      <c r="H4" s="30">
        <f>IF(AND(ISNUMBER(C4),ISNUMBER(G4)), C4-G4, "")</f>
        <v>20269.72</v>
      </c>
      <c r="I4" s="31">
        <f>IFERROR(H4/G4, "")</f>
        <v>0.36830411328878498</v>
      </c>
      <c r="J4" s="50" t="s">
        <v>34</v>
      </c>
      <c r="K4" s="50"/>
      <c r="L4" s="75"/>
    </row>
    <row r="5" spans="1:14" ht="28.9">
      <c r="A5" s="51" t="str">
        <v>Bullis</v>
      </c>
      <c r="B5" s="52" t="str">
        <v>NY</v>
      </c>
      <c r="C5" s="34">
        <v>257310</v>
      </c>
      <c r="D5" s="35">
        <v>328876.09999999998</v>
      </c>
      <c r="E5" s="35">
        <f t="shared" si="0"/>
        <v>-71566.099999999977</v>
      </c>
      <c r="F5" s="36">
        <f>IFERROR(E5/D5, "")</f>
        <v>-0.21760809009836829</v>
      </c>
      <c r="G5" s="37">
        <v>421521.9</v>
      </c>
      <c r="H5" s="37">
        <f>IF(AND(ISNUMBER(C5),ISNUMBER(G5)), C5-G5, "")</f>
        <v>-164211.90000000002</v>
      </c>
      <c r="I5" s="36">
        <f t="shared" ref="I5:I6" si="1">IFERROR(H5/G5, "")</f>
        <v>-0.38956908288750836</v>
      </c>
      <c r="J5" s="58" t="s">
        <v>35</v>
      </c>
      <c r="K5" s="80" t="s">
        <v>36</v>
      </c>
    </row>
    <row r="6" spans="1:14" ht="28.9">
      <c r="A6" s="54" t="str">
        <v>Rock Island</v>
      </c>
      <c r="B6" s="49" t="str">
        <v>NY</v>
      </c>
      <c r="C6" s="27">
        <v>290891.5</v>
      </c>
      <c r="D6" s="28">
        <v>392222</v>
      </c>
      <c r="E6" s="28">
        <f t="shared" si="0"/>
        <v>-101330.5</v>
      </c>
      <c r="F6" s="29">
        <f t="shared" ref="F6" si="2">IFERROR(E6/D6, "")</f>
        <v>-0.25834986308774111</v>
      </c>
      <c r="G6" s="30">
        <v>387802</v>
      </c>
      <c r="H6" s="30">
        <f t="shared" ref="H6" si="3">IF(AND(ISNUMBER(C6),ISNUMBER(G6)), C6-G6, "")</f>
        <v>-96910.5</v>
      </c>
      <c r="I6" s="31">
        <f t="shared" si="1"/>
        <v>-0.24989685458043023</v>
      </c>
      <c r="J6" s="66" t="s">
        <v>37</v>
      </c>
      <c r="K6" s="81" t="s">
        <v>38</v>
      </c>
    </row>
    <row r="7" spans="1:14" ht="15.6">
      <c r="A7" s="51" t="str">
        <v>Winslow - Roderick</v>
      </c>
      <c r="B7" s="52" t="str">
        <v>ME</v>
      </c>
      <c r="C7" s="34">
        <v>361591</v>
      </c>
      <c r="D7" s="35">
        <v>581795.4</v>
      </c>
      <c r="E7" s="35">
        <f t="shared" si="0"/>
        <v>-220204.40000000002</v>
      </c>
      <c r="F7" s="36">
        <f t="shared" ref="F7:F13" si="4">IFERROR(E7/D7, "")</f>
        <v>-0.37849113279341845</v>
      </c>
      <c r="G7" s="37">
        <v>500603</v>
      </c>
      <c r="H7" s="37">
        <f t="shared" ref="H7" si="5">IF(AND(ISNUMBER(C7),ISNUMBER(G7)), C7-G7, "")</f>
        <v>-139012</v>
      </c>
      <c r="I7" s="36">
        <f t="shared" ref="I7:I13" si="6">IFERROR(H7/G7, "")</f>
        <v>-0.27768910693703391</v>
      </c>
      <c r="J7" s="86" t="s">
        <v>34</v>
      </c>
      <c r="K7" s="58"/>
      <c r="L7" s="83"/>
      <c r="M7" s="83"/>
      <c r="N7" s="83"/>
    </row>
    <row r="8" spans="1:14" ht="78.75" customHeight="1">
      <c r="A8" s="54" t="str">
        <v>Minoa - Clemons Rd</v>
      </c>
      <c r="B8" s="49" t="str">
        <v>NY</v>
      </c>
      <c r="C8" s="27">
        <v>147261.25</v>
      </c>
      <c r="D8" s="28">
        <v>204792.3</v>
      </c>
      <c r="E8" s="28">
        <f t="shared" si="0"/>
        <v>-57531.049999999988</v>
      </c>
      <c r="F8" s="29">
        <f t="shared" ref="F8:F14" si="7">IFERROR(E8/D8, "")</f>
        <v>-0.28092389215805474</v>
      </c>
      <c r="G8" s="30">
        <v>282687.40000000002</v>
      </c>
      <c r="H8" s="30">
        <f t="shared" ref="H8:H14" si="8">IF(AND(ISNUMBER(C8),ISNUMBER(G8)), C8-G8, "")</f>
        <v>-135426.15000000002</v>
      </c>
      <c r="I8" s="31">
        <f t="shared" ref="I8:I14" si="9">IFERROR(H8/G8, "")</f>
        <v>-0.47906680665639861</v>
      </c>
      <c r="J8" s="66" t="s">
        <v>39</v>
      </c>
      <c r="K8" s="81" t="s">
        <v>40</v>
      </c>
      <c r="L8" s="84" t="s">
        <v>41</v>
      </c>
      <c r="M8" s="83"/>
      <c r="N8" s="83"/>
    </row>
    <row r="9" spans="1:14" ht="15.6">
      <c r="A9" s="51" t="str">
        <v>Manchester - Western</v>
      </c>
      <c r="B9" s="52" t="str">
        <v>ME</v>
      </c>
      <c r="C9" s="34">
        <v>43938.8125</v>
      </c>
      <c r="D9" s="35">
        <v>0</v>
      </c>
      <c r="E9" s="35">
        <f t="shared" si="0"/>
        <v>43938.8125</v>
      </c>
      <c r="F9" s="36" t="str">
        <f t="shared" si="4"/>
        <v/>
      </c>
      <c r="G9" s="37">
        <v>0</v>
      </c>
      <c r="H9" s="37">
        <f t="shared" si="8"/>
        <v>43938.8125</v>
      </c>
      <c r="I9" s="36" t="str">
        <f t="shared" si="6"/>
        <v/>
      </c>
      <c r="J9" s="58"/>
      <c r="K9" s="58"/>
      <c r="L9" s="83"/>
      <c r="M9" s="83"/>
      <c r="N9" s="83"/>
    </row>
    <row r="10" spans="1:14" ht="69" customHeight="1">
      <c r="A10" s="54" t="str">
        <v>Batavia - Pike Rd</v>
      </c>
      <c r="B10" s="49" t="str">
        <v>NY</v>
      </c>
      <c r="C10" s="27">
        <v>192004.55129999999</v>
      </c>
      <c r="D10" s="28">
        <v>293733.3</v>
      </c>
      <c r="E10" s="28">
        <f t="shared" si="0"/>
        <v>-101728.7487</v>
      </c>
      <c r="F10" s="29">
        <f t="shared" si="7"/>
        <v>-0.34633032311964629</v>
      </c>
      <c r="G10" s="30">
        <v>307523.40000000002</v>
      </c>
      <c r="H10" s="30">
        <f t="shared" si="8"/>
        <v>-115518.84870000003</v>
      </c>
      <c r="I10" s="31">
        <f t="shared" si="9"/>
        <v>-0.37564246720737354</v>
      </c>
      <c r="J10" s="66" t="s">
        <v>42</v>
      </c>
      <c r="K10" s="81" t="s">
        <v>43</v>
      </c>
      <c r="L10" s="85" t="s">
        <v>44</v>
      </c>
      <c r="M10" s="83"/>
      <c r="N10" s="83"/>
    </row>
    <row r="11" spans="1:14" ht="183.75" customHeight="1">
      <c r="A11" s="51" t="str">
        <v>Slayton A &amp; B</v>
      </c>
      <c r="B11" s="52" t="str">
        <v>NY</v>
      </c>
      <c r="C11" s="34">
        <v>451738</v>
      </c>
      <c r="D11" s="35">
        <v>695245.4</v>
      </c>
      <c r="E11" s="35">
        <f t="shared" si="0"/>
        <v>-243507.40000000002</v>
      </c>
      <c r="F11" s="36">
        <f t="shared" si="4"/>
        <v>-0.35024668987382013</v>
      </c>
      <c r="G11" s="37">
        <v>637509.19999999995</v>
      </c>
      <c r="H11" s="37">
        <f t="shared" si="8"/>
        <v>-185771.19999999995</v>
      </c>
      <c r="I11" s="36">
        <f t="shared" si="6"/>
        <v>-0.29140159859653786</v>
      </c>
      <c r="J11" s="58" t="s">
        <v>45</v>
      </c>
      <c r="K11" s="80" t="s">
        <v>46</v>
      </c>
      <c r="L11" s="85" t="s">
        <v>47</v>
      </c>
      <c r="M11" s="85" t="s">
        <v>48</v>
      </c>
      <c r="N11" s="85" t="s">
        <v>49</v>
      </c>
    </row>
    <row r="12" spans="1:14" ht="15.6">
      <c r="A12" s="48" t="str">
        <v>Batavia - Alexander Rd</v>
      </c>
      <c r="B12" s="49" t="str">
        <v>NY</v>
      </c>
      <c r="C12" s="27">
        <v>106100.914179104</v>
      </c>
      <c r="D12" s="28">
        <v>176053.3</v>
      </c>
      <c r="E12" s="28">
        <f t="shared" si="0"/>
        <v>-69952.385820895986</v>
      </c>
      <c r="F12" s="29">
        <f t="shared" si="7"/>
        <v>-0.39733640789974395</v>
      </c>
      <c r="G12" s="30">
        <v>167939.4</v>
      </c>
      <c r="H12" s="30">
        <f t="shared" si="8"/>
        <v>-61838.485820895992</v>
      </c>
      <c r="I12" s="31">
        <f t="shared" si="9"/>
        <v>-0.3682190469949041</v>
      </c>
      <c r="J12" s="50" t="s">
        <v>34</v>
      </c>
      <c r="K12" s="50"/>
    </row>
    <row r="13" spans="1:14" ht="57.6">
      <c r="A13" s="51" t="str">
        <v xml:space="preserve">NC: Gibson – Henry Gibson Solar </v>
      </c>
      <c r="B13" s="74" t="str">
        <v>NC</v>
      </c>
      <c r="C13" s="77">
        <v>689224</v>
      </c>
      <c r="D13" s="77">
        <v>766019.4</v>
      </c>
      <c r="E13" s="35">
        <f t="shared" si="0"/>
        <v>-76795.400000000023</v>
      </c>
      <c r="F13" s="36">
        <f t="shared" si="4"/>
        <v>-0.10025255235050186</v>
      </c>
      <c r="G13" s="76">
        <v>707894</v>
      </c>
      <c r="H13" s="37">
        <f t="shared" si="8"/>
        <v>-18670</v>
      </c>
      <c r="I13" s="36">
        <f t="shared" si="6"/>
        <v>-2.6374005147663349E-2</v>
      </c>
      <c r="J13" s="73" t="s">
        <v>50</v>
      </c>
      <c r="K13" s="82" t="s">
        <v>51</v>
      </c>
      <c r="L13" s="85" t="s">
        <v>52</v>
      </c>
      <c r="M13" s="83"/>
      <c r="N13" s="83"/>
    </row>
    <row r="14" spans="1:14" ht="15.6">
      <c r="A14" s="54" t="str">
        <v>Bangor - Pushaw</v>
      </c>
      <c r="B14" s="49" t="str">
        <v>ME</v>
      </c>
      <c r="C14" s="27">
        <v>201998</v>
      </c>
      <c r="D14" s="28">
        <v>502099</v>
      </c>
      <c r="E14" s="28">
        <f t="shared" si="0"/>
        <v>-300101</v>
      </c>
      <c r="F14" s="29">
        <f t="shared" si="7"/>
        <v>-0.59769288526764641</v>
      </c>
      <c r="G14" s="30">
        <v>480413.75</v>
      </c>
      <c r="H14" s="30">
        <f t="shared" si="8"/>
        <v>-278415.75</v>
      </c>
      <c r="I14" s="31">
        <f t="shared" si="9"/>
        <v>-0.57953326689754403</v>
      </c>
      <c r="J14" s="66" t="s">
        <v>31</v>
      </c>
      <c r="K14" s="81"/>
    </row>
    <row r="15" spans="1:14" ht="14.45">
      <c r="A15" s="9"/>
      <c r="B15" s="14"/>
      <c r="C15" s="9"/>
      <c r="D15" s="9"/>
      <c r="E15" s="9"/>
      <c r="F15" s="10"/>
      <c r="G15" s="9"/>
      <c r="H15" s="9"/>
      <c r="I15" s="10"/>
      <c r="J15" s="9"/>
      <c r="K15" s="9"/>
    </row>
    <row r="16" spans="1:14"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8" priority="3" stopIfTrue="1" operator="lessThanOrEqual">
      <formula>-0.1</formula>
    </cfRule>
    <cfRule type="expression" dxfId="27" priority="4">
      <formula>AND(ISNUMBER(F2), F2&gt;=0.1)</formula>
    </cfRule>
  </conditionalFormatting>
  <conditionalFormatting sqref="F4:F80 I4:I80">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096532" xr:uid="{C7040B60-AEA9-499F-A3BE-E42E487F836E}"/>
    <hyperlink ref="K6" r:id="rId2" display="https://us3.assetplanner.com/service_request?ID=097445" xr:uid="{111D3A7E-E077-4FF5-8014-6772D3C1770C}"/>
    <hyperlink ref="K8" r:id="rId3" display="https://us3.assetplanner.com/service_request?ID=094897" xr:uid="{A9A8B7C6-96DD-463C-932D-2D6E24D1A983}"/>
    <hyperlink ref="L8" r:id="rId4" display="https://us3.assetplanner.com/service_request?ID=095762" xr:uid="{9DA03814-EBB6-405A-B957-178620C1F089}"/>
    <hyperlink ref="K10" r:id="rId5" display="https://us3.assetplanner.com/service_request?ID=096403" xr:uid="{1DCE86F9-2151-4963-93BE-F9A26BEA46DC}"/>
    <hyperlink ref="L10" r:id="rId6" display="https://us3.assetplanner.com/service_request?ID=096696" xr:uid="{96EC9B41-A887-4964-98A1-BF4814B40002}"/>
    <hyperlink ref="K11" r:id="rId7" display="https://us3.assetplanner.com/service_request?ID=096326" xr:uid="{D5AF9798-8D52-4B34-9640-E64EACB5F200}"/>
    <hyperlink ref="L11" r:id="rId8" display="https://us3.assetplanner.com/service_request?ID=096398" xr:uid="{A0ED1485-6A36-49D9-A29F-275A8A17270A}"/>
    <hyperlink ref="M11" r:id="rId9" display="https://us3.assetplanner.com/service_request?ID=096626" xr:uid="{45A8DE92-6662-41BB-A50E-8303B9153CD7}"/>
    <hyperlink ref="N11" r:id="rId10" display="https://us3.assetplanner.com/service_request?ID=096935" xr:uid="{165C2D74-7F02-423B-8539-093E55659FE3}"/>
    <hyperlink ref="K13" r:id="rId11" display="https://us3.assetplanner.com/service_request?ID=097527" xr:uid="{A69CC21D-8C33-4C92-B70A-5148737320B5}"/>
    <hyperlink ref="L13" r:id="rId12" display="https://us3.assetplanner.com/service_request?ID=097650" xr:uid="{639762BC-8593-48DD-A5DE-66CADDB0A9F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R322"/>
  <sheetViews>
    <sheetView zoomScale="60" zoomScaleNormal="60" workbookViewId="0">
      <pane xSplit="2" ySplit="3" topLeftCell="C8" activePane="bottomRight" state="frozen"/>
      <selection pane="bottomRight" activeCell="J12" sqref="J12"/>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8" ht="19.5" customHeight="1">
      <c r="A1" s="91" t="str" cm="1">
        <f t="array" ref="A1">portfolio</f>
        <v>Renewable Properties</v>
      </c>
      <c r="B1" s="91"/>
      <c r="C1" s="91"/>
      <c r="D1" s="92" t="s">
        <v>53</v>
      </c>
      <c r="E1" s="92"/>
      <c r="F1" s="92"/>
      <c r="G1" s="90" t="s">
        <v>54</v>
      </c>
      <c r="H1" s="90"/>
      <c r="I1" s="90"/>
      <c r="J1" s="4"/>
      <c r="K1" s="4"/>
    </row>
    <row r="2" spans="1:18" ht="19.5" customHeight="1">
      <c r="A2" s="93" t="s">
        <v>2</v>
      </c>
      <c r="B2" s="93"/>
      <c r="C2" s="5">
        <f>SUM(C4:C80)</f>
        <v>5272330.9168483075</v>
      </c>
      <c r="D2" s="5">
        <f>SUM(D4:D80)</f>
        <v>5674224.5319999997</v>
      </c>
      <c r="E2" s="5">
        <f>C2-D2</f>
        <v>-401893.61515169218</v>
      </c>
      <c r="F2" s="6">
        <f>IFERROR(E2/D2, 0)</f>
        <v>-7.0827936555065502E-2</v>
      </c>
      <c r="G2" s="5">
        <f>SUM(G4:G80)</f>
        <v>5919244.4199999999</v>
      </c>
      <c r="H2" s="7">
        <f>C2-G2</f>
        <v>-646913.50315169245</v>
      </c>
      <c r="I2" s="6">
        <f>IFERROR(H2/G2, 0)</f>
        <v>-0.10928987844561629</v>
      </c>
      <c r="J2" s="12" t="str">
        <f ca="1">IF(AND(TODAY()&gt;DATE(2024, 3, 1), COUNTA(Sites[Site])&lt;&gt;(COUNT(C:C)-1)), "Some sites are missing actual data; if new sites were added, make sure they are aligned correctly (including prior months!)", "")</f>
        <v/>
      </c>
      <c r="K2" s="4"/>
    </row>
    <row r="3" spans="1:18" ht="14.25" customHeight="1">
      <c r="A3" s="13" t="s">
        <v>3</v>
      </c>
      <c r="B3" s="13" t="s">
        <v>4</v>
      </c>
      <c r="C3" s="40" t="s">
        <v>5</v>
      </c>
      <c r="D3" s="41" t="s">
        <v>6</v>
      </c>
      <c r="E3" s="41" t="s">
        <v>7</v>
      </c>
      <c r="F3" s="42" t="s">
        <v>8</v>
      </c>
      <c r="G3" s="47" t="s">
        <v>9</v>
      </c>
      <c r="H3" s="44" t="s">
        <v>7</v>
      </c>
      <c r="I3" s="45" t="s">
        <v>8</v>
      </c>
      <c r="J3" s="46" t="s">
        <v>20</v>
      </c>
      <c r="K3" s="46" t="s">
        <v>21</v>
      </c>
    </row>
    <row r="4" spans="1:18" ht="28.9">
      <c r="A4" s="55" t="str" cm="1">
        <f t="array" ref="A4:A14">Sites[Site]</f>
        <v>Cedar Swamp Rd</v>
      </c>
      <c r="B4" s="49" t="str" cm="1">
        <f t="array" ref="B4:B14">Sites[State]</f>
        <v>MA</v>
      </c>
      <c r="C4" s="27">
        <v>119421</v>
      </c>
      <c r="D4" s="28">
        <v>112844.1</v>
      </c>
      <c r="E4" s="28">
        <f>IF(AND(ISNUMBER(C4),ISNUMBER(D4)), C4-D4, "")</f>
        <v>6576.8999999999942</v>
      </c>
      <c r="F4" s="29">
        <f>IFERROR(E4/D4, "")</f>
        <v>5.8283064865597707E-2</v>
      </c>
      <c r="G4" s="30">
        <v>108945.7</v>
      </c>
      <c r="H4" s="30">
        <f>IF(AND(ISNUMBER(C4),ISNUMBER(G4)), C4-G4, "")</f>
        <v>10475.300000000003</v>
      </c>
      <c r="I4" s="31">
        <f>IFERROR(H4/G4, "")</f>
        <v>9.6151569084415481E-2</v>
      </c>
      <c r="J4" s="50" t="s">
        <v>55</v>
      </c>
      <c r="K4" s="87" t="s">
        <v>56</v>
      </c>
    </row>
    <row r="5" spans="1:18" ht="43.15">
      <c r="A5" s="56" t="str">
        <v>Bullis</v>
      </c>
      <c r="B5" s="52" t="str">
        <v>NY</v>
      </c>
      <c r="C5" s="34">
        <v>585414.5</v>
      </c>
      <c r="D5" s="35">
        <v>582242.9</v>
      </c>
      <c r="E5" s="35">
        <f t="shared" ref="E5:E6" si="0">IF(AND(ISNUMBER(C5),ISNUMBER(D5)), C5-D5, "")</f>
        <v>3171.5999999999767</v>
      </c>
      <c r="F5" s="36">
        <f>IFERROR(E5/D5, "")</f>
        <v>5.4472111209943079E-3</v>
      </c>
      <c r="G5" s="37">
        <v>681849.6</v>
      </c>
      <c r="H5" s="37">
        <f t="shared" ref="H5:H6" si="1">IF(AND(ISNUMBER(C5),ISNUMBER(G5)), C5-G5, "")</f>
        <v>-96435.099999999977</v>
      </c>
      <c r="I5" s="36">
        <f t="shared" ref="I5:I6" si="2">IFERROR(H5/G5, "")</f>
        <v>-0.14143162949717941</v>
      </c>
      <c r="J5" s="58" t="s">
        <v>57</v>
      </c>
      <c r="K5" s="80" t="s">
        <v>58</v>
      </c>
    </row>
    <row r="6" spans="1:18" ht="43.15">
      <c r="A6" s="57" t="str">
        <v>Rock Island</v>
      </c>
      <c r="B6" s="49" t="str">
        <v>NY</v>
      </c>
      <c r="C6" s="27">
        <v>530557</v>
      </c>
      <c r="D6" s="28">
        <v>569957.30000000005</v>
      </c>
      <c r="E6" s="28">
        <f t="shared" si="0"/>
        <v>-39400.300000000047</v>
      </c>
      <c r="F6" s="29">
        <f t="shared" ref="F6" si="3">IFERROR(E6/D6, "")</f>
        <v>-6.9128511907821946E-2</v>
      </c>
      <c r="G6" s="30">
        <v>616515.30000000005</v>
      </c>
      <c r="H6" s="30">
        <f t="shared" si="1"/>
        <v>-85958.300000000047</v>
      </c>
      <c r="I6" s="31">
        <f t="shared" si="2"/>
        <v>-0.13942606128347509</v>
      </c>
      <c r="J6" s="50" t="s">
        <v>59</v>
      </c>
      <c r="K6" s="87" t="s">
        <v>60</v>
      </c>
      <c r="L6" s="83"/>
      <c r="M6" s="83"/>
      <c r="N6" s="83"/>
      <c r="O6" s="83"/>
      <c r="P6" s="83"/>
      <c r="Q6" s="83"/>
      <c r="R6" s="83"/>
    </row>
    <row r="7" spans="1:18" ht="28.9">
      <c r="A7" s="56" t="str">
        <v>Winslow - Roderick</v>
      </c>
      <c r="B7" s="52" t="str">
        <v>ME</v>
      </c>
      <c r="C7" s="34">
        <v>572561</v>
      </c>
      <c r="D7" s="35">
        <v>593895.1</v>
      </c>
      <c r="E7" s="35">
        <f t="shared" ref="E7" si="4">IF(AND(ISNUMBER(C7),ISNUMBER(D7)), C7-D7, "")</f>
        <v>-21334.099999999977</v>
      </c>
      <c r="F7" s="36">
        <f t="shared" ref="F7" si="5">IFERROR(E7/D7, "")</f>
        <v>-3.5922337126539652E-2</v>
      </c>
      <c r="G7" s="37">
        <v>702165</v>
      </c>
      <c r="H7" s="37">
        <f t="shared" ref="H7" si="6">IF(AND(ISNUMBER(C7),ISNUMBER(G7)), C7-G7, "")</f>
        <v>-129604</v>
      </c>
      <c r="I7" s="36">
        <f t="shared" ref="I7" si="7">IFERROR(H7/G7, "")</f>
        <v>-0.1845776989738879</v>
      </c>
      <c r="J7" s="58" t="s">
        <v>61</v>
      </c>
      <c r="K7" s="58"/>
      <c r="L7" s="83"/>
      <c r="M7" s="83"/>
      <c r="N7" s="83"/>
      <c r="O7" s="83"/>
      <c r="P7" s="83"/>
      <c r="Q7" s="83"/>
      <c r="R7" s="83"/>
    </row>
    <row r="8" spans="1:18" ht="201.6">
      <c r="A8" s="57" t="str">
        <v>Minoa - Clemons Rd</v>
      </c>
      <c r="B8" s="49" t="str">
        <v>NY</v>
      </c>
      <c r="C8" s="27">
        <v>353250.625</v>
      </c>
      <c r="D8" s="28">
        <v>434657.9</v>
      </c>
      <c r="E8" s="28">
        <f t="shared" ref="E8:E9" si="8">IF(AND(ISNUMBER(C8),ISNUMBER(D8)), C8-D8, "")</f>
        <v>-81407.275000000023</v>
      </c>
      <c r="F8" s="29">
        <f t="shared" ref="F8" si="9">IFERROR(E8/D8, "")</f>
        <v>-0.18729045302063996</v>
      </c>
      <c r="G8" s="30">
        <v>440031.4</v>
      </c>
      <c r="H8" s="30">
        <f t="shared" ref="H8:H9" si="10">IF(AND(ISNUMBER(C8),ISNUMBER(G8)), C8-G8, "")</f>
        <v>-86780.775000000023</v>
      </c>
      <c r="I8" s="31">
        <f t="shared" ref="I8" si="11">IFERROR(H8/G8, "")</f>
        <v>-0.19721496011421008</v>
      </c>
      <c r="J8" s="50" t="s">
        <v>62</v>
      </c>
      <c r="K8" s="87" t="s">
        <v>63</v>
      </c>
      <c r="L8" s="85" t="s">
        <v>64</v>
      </c>
      <c r="M8" s="85" t="s">
        <v>65</v>
      </c>
      <c r="N8" s="85" t="s">
        <v>66</v>
      </c>
      <c r="O8" s="83"/>
      <c r="P8" s="83"/>
      <c r="Q8" s="83"/>
      <c r="R8" s="83"/>
    </row>
    <row r="9" spans="1:18" ht="15.6">
      <c r="A9" s="56" t="str">
        <v>Manchester - Western</v>
      </c>
      <c r="B9" s="52" t="str">
        <v>ME</v>
      </c>
      <c r="C9" s="34">
        <v>83424.1875</v>
      </c>
      <c r="D9" s="35">
        <v>0</v>
      </c>
      <c r="E9" s="35">
        <f t="shared" si="8"/>
        <v>83424.1875</v>
      </c>
      <c r="F9" s="36" t="str">
        <f t="shared" ref="F9:F14" si="12">IFERROR(E9/D9, "")</f>
        <v/>
      </c>
      <c r="G9" s="37">
        <v>0</v>
      </c>
      <c r="H9" s="37">
        <f t="shared" si="10"/>
        <v>83424.1875</v>
      </c>
      <c r="I9" s="36" t="str">
        <f t="shared" ref="I9:I14" si="13">IFERROR(H9/G9, "")</f>
        <v/>
      </c>
      <c r="J9" s="58"/>
      <c r="K9" s="58"/>
      <c r="L9" s="83"/>
      <c r="M9" s="83"/>
      <c r="N9" s="83"/>
      <c r="O9" s="83"/>
      <c r="P9" s="83"/>
      <c r="Q9" s="83"/>
      <c r="R9" s="83"/>
    </row>
    <row r="10" spans="1:18" ht="28.9">
      <c r="A10" s="57" t="str">
        <v>Batavia - Pike Rd</v>
      </c>
      <c r="B10" s="49" t="str">
        <v>NY</v>
      </c>
      <c r="C10" s="27">
        <v>416450.5</v>
      </c>
      <c r="D10" s="28">
        <v>435238.8</v>
      </c>
      <c r="E10" s="28">
        <f>IF(AND(ISNUMBER(C10),ISNUMBER(D10)), C10-D10, "")</f>
        <v>-18788.299999999988</v>
      </c>
      <c r="F10" s="29">
        <f t="shared" si="12"/>
        <v>-4.3167796621073277E-2</v>
      </c>
      <c r="G10" s="30">
        <v>472768</v>
      </c>
      <c r="H10" s="30">
        <f>IF(AND(ISNUMBER(C10),ISNUMBER(G10)), C10-G10, "")</f>
        <v>-56317.5</v>
      </c>
      <c r="I10" s="31">
        <f t="shared" si="13"/>
        <v>-0.11912291018004603</v>
      </c>
      <c r="J10" s="50" t="s">
        <v>67</v>
      </c>
      <c r="K10" s="87" t="s">
        <v>68</v>
      </c>
      <c r="L10" s="83"/>
      <c r="M10" s="83"/>
      <c r="N10" s="83"/>
      <c r="O10" s="83"/>
      <c r="P10" s="83"/>
      <c r="Q10" s="83"/>
      <c r="R10" s="83"/>
    </row>
    <row r="11" spans="1:18" ht="115.15">
      <c r="A11" s="56" t="str">
        <v>Slayton A &amp; B</v>
      </c>
      <c r="B11" s="52" t="str">
        <v>NY</v>
      </c>
      <c r="C11" s="34">
        <v>982333</v>
      </c>
      <c r="D11" s="35">
        <v>1051472</v>
      </c>
      <c r="E11" s="35">
        <f>IF(AND(ISNUMBER(C11),ISNUMBER(D11)), C11-D11, "")</f>
        <v>-69139</v>
      </c>
      <c r="F11" s="36">
        <f t="shared" si="12"/>
        <v>-6.575448514083114E-2</v>
      </c>
      <c r="G11" s="37">
        <v>1029944</v>
      </c>
      <c r="H11" s="37">
        <f>IF(AND(ISNUMBER(C11),ISNUMBER(G11)), C11-G11, "")</f>
        <v>-47611</v>
      </c>
      <c r="I11" s="36">
        <f t="shared" si="13"/>
        <v>-4.6226785145600149E-2</v>
      </c>
      <c r="J11" s="58" t="s">
        <v>69</v>
      </c>
      <c r="K11" s="80" t="s">
        <v>70</v>
      </c>
      <c r="L11" s="85" t="s">
        <v>71</v>
      </c>
      <c r="M11" s="85" t="s">
        <v>72</v>
      </c>
      <c r="N11" s="85" t="s">
        <v>73</v>
      </c>
      <c r="O11" s="83"/>
      <c r="P11" s="83"/>
      <c r="Q11" s="83"/>
      <c r="R11" s="83"/>
    </row>
    <row r="12" spans="1:18" ht="43.15">
      <c r="A12" s="57" t="str">
        <v>Batavia - Alexander Rd</v>
      </c>
      <c r="B12" s="49" t="str">
        <v>NY</v>
      </c>
      <c r="C12" s="27">
        <v>230988.104348308</v>
      </c>
      <c r="D12" s="28">
        <v>272631.5</v>
      </c>
      <c r="E12" s="28">
        <f>IF(AND(ISNUMBER(C12),ISNUMBER(D12)), C12-D12, "")</f>
        <v>-41643.395651692001</v>
      </c>
      <c r="F12" s="29">
        <f t="shared" si="12"/>
        <v>-0.15274609005816275</v>
      </c>
      <c r="G12" s="30">
        <v>260956.2</v>
      </c>
      <c r="H12" s="30">
        <f>IF(AND(ISNUMBER(C12),ISNUMBER(G12)), C12-G12, "")</f>
        <v>-29968.095651692012</v>
      </c>
      <c r="I12" s="31">
        <f t="shared" si="13"/>
        <v>-0.11483956177968567</v>
      </c>
      <c r="J12" s="50" t="s">
        <v>74</v>
      </c>
      <c r="K12" s="87" t="s">
        <v>75</v>
      </c>
      <c r="L12" s="83"/>
      <c r="M12" s="83"/>
      <c r="N12" s="83"/>
      <c r="O12" s="83"/>
      <c r="P12" s="83"/>
      <c r="Q12" s="83"/>
      <c r="R12" s="83"/>
    </row>
    <row r="13" spans="1:18" ht="303.75" customHeight="1">
      <c r="A13" s="56" t="str">
        <v xml:space="preserve">NC: Gibson – Henry Gibson Solar </v>
      </c>
      <c r="B13" s="52" t="str">
        <v>NC</v>
      </c>
      <c r="C13" s="34">
        <v>912634</v>
      </c>
      <c r="D13" s="35">
        <v>1104348</v>
      </c>
      <c r="E13" s="35">
        <f>IF(AND(ISNUMBER(C13),ISNUMBER(D13)), C13-D13, "")</f>
        <v>-191714</v>
      </c>
      <c r="F13" s="36">
        <f t="shared" si="12"/>
        <v>-0.17359926400011591</v>
      </c>
      <c r="G13" s="37">
        <v>971232</v>
      </c>
      <c r="H13" s="37">
        <f>IF(AND(ISNUMBER(C13),ISNUMBER(G13)), C13-G13, "")</f>
        <v>-58598</v>
      </c>
      <c r="I13" s="36">
        <f t="shared" si="13"/>
        <v>-6.033367928569075E-2</v>
      </c>
      <c r="J13" s="58" t="s">
        <v>76</v>
      </c>
      <c r="K13" s="80" t="s">
        <v>77</v>
      </c>
      <c r="L13" s="85" t="s">
        <v>52</v>
      </c>
      <c r="M13" s="85" t="s">
        <v>78</v>
      </c>
      <c r="N13" s="85" t="s">
        <v>79</v>
      </c>
      <c r="O13" s="85" t="s">
        <v>78</v>
      </c>
      <c r="P13" s="85" t="s">
        <v>78</v>
      </c>
      <c r="Q13" s="85" t="s">
        <v>80</v>
      </c>
      <c r="R13" s="85" t="s">
        <v>81</v>
      </c>
    </row>
    <row r="14" spans="1:18" ht="28.9">
      <c r="A14" s="57" t="str">
        <v>Bangor - Pushaw</v>
      </c>
      <c r="B14" s="49" t="str">
        <v>ME</v>
      </c>
      <c r="C14" s="27">
        <v>485297</v>
      </c>
      <c r="D14" s="28">
        <v>516936.93199999997</v>
      </c>
      <c r="E14" s="28">
        <f>IF(AND(ISNUMBER(C14),ISNUMBER(D14)), C14-D14, "")</f>
        <v>-31639.931999999972</v>
      </c>
      <c r="F14" s="29">
        <f t="shared" si="12"/>
        <v>-6.1206561267709875E-2</v>
      </c>
      <c r="G14" s="30">
        <v>634837.22</v>
      </c>
      <c r="H14" s="30">
        <f>IF(AND(ISNUMBER(C14),ISNUMBER(G14)), C14-G14, "")</f>
        <v>-149540.21999999997</v>
      </c>
      <c r="I14" s="31">
        <f t="shared" si="13"/>
        <v>-0.23555679359820772</v>
      </c>
      <c r="J14" s="50" t="s">
        <v>82</v>
      </c>
      <c r="K14" s="50"/>
      <c r="L14" s="83"/>
      <c r="M14" s="83"/>
      <c r="N14" s="83"/>
      <c r="O14" s="83"/>
      <c r="P14" s="83"/>
      <c r="Q14" s="83"/>
      <c r="R14" s="83"/>
    </row>
    <row r="15" spans="1:18" ht="14.45">
      <c r="A15" s="9"/>
      <c r="B15" s="14"/>
      <c r="C15" s="9"/>
      <c r="D15" s="9"/>
      <c r="E15" s="9"/>
      <c r="F15" s="10"/>
      <c r="G15" s="9"/>
      <c r="H15" s="9"/>
      <c r="I15" s="10"/>
      <c r="J15" s="9"/>
      <c r="K15" s="9"/>
    </row>
    <row r="16" spans="1:18"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4" priority="3" stopIfTrue="1" operator="lessThanOrEqual">
      <formula>-0.1</formula>
    </cfRule>
    <cfRule type="expression" dxfId="23" priority="4">
      <formula>AND(ISNUMBER(F2), F2&gt;=0.1)</formula>
    </cfRule>
  </conditionalFormatting>
  <hyperlinks>
    <hyperlink ref="K4" r:id="rId1" display="https://us3.assetplanner.com/service_request?ID=096338" xr:uid="{6A2A2A57-AD12-451D-A16E-E284AAED76D8}"/>
    <hyperlink ref="K5" r:id="rId2" display="https://us3.assetplanner.com/service_request?ID=098647" xr:uid="{8EAA5C97-11B1-4B88-93B6-763F16642A2B}"/>
    <hyperlink ref="K6" r:id="rId3" display="https://us3.assetplanner.com/service_request?ID=097988" xr:uid="{0529C572-45C7-4269-99D9-0835582A9A0C}"/>
    <hyperlink ref="K8" r:id="rId4" display="https://us3.assetplanner.com/service_request?ID=098176" xr:uid="{69832B02-D19D-4B5B-8227-08ED49BD2DD1}"/>
    <hyperlink ref="L8" r:id="rId5" display="https://us3.assetplanner.com/service_request?ID=098356" xr:uid="{82A7AB2D-7BC3-4D2B-A0FC-153F28123539}"/>
    <hyperlink ref="M8" r:id="rId6" display="https://us3.assetplanner.com/service_request?ID=098701" xr:uid="{BC58201A-8B7D-4DF6-BD85-FC83CBB7EE98}"/>
    <hyperlink ref="N8" r:id="rId7" display="https://us3.assetplanner.com/service_request?ID=098775" xr:uid="{233B73F9-9258-49B7-B45A-0C883A46B954}"/>
    <hyperlink ref="K10" r:id="rId8" display="https://us3.assetplanner.com/service_request?ID=098907" xr:uid="{295114A3-4BEC-4EBA-BBA5-706FD8985627}"/>
    <hyperlink ref="K11" r:id="rId9" display="https://us3.assetplanner.com/service_request?ID=096935" xr:uid="{DE77050F-EA73-4543-A221-CC241BBDE86F}"/>
    <hyperlink ref="L11" r:id="rId10" display="https://us3.assetplanner.com/service_request?ID=098375" xr:uid="{16B37344-7951-4BE1-8393-DDC97C2AA140}"/>
    <hyperlink ref="M11" r:id="rId11" display="https://us3.assetplanner.com/service_request?ID=098777" xr:uid="{EA578DCC-7DE4-4DBE-82EB-1F124418182F}"/>
    <hyperlink ref="N11" r:id="rId12" display="https://us3.assetplanner.com/service_request?ID=097819" xr:uid="{C1255BF2-0AD8-4243-B84F-1713A897E523}"/>
    <hyperlink ref="K12" r:id="rId13" display="https://us3.assetplanner.com/service_request?ID=098763" xr:uid="{8DCEFA15-D907-4D76-BDA3-832B810779BB}"/>
    <hyperlink ref="K13" r:id="rId14" display="https://us3.assetplanner.com/service_request?ID=097527" xr:uid="{5D2B4219-8D57-4C60-967F-24C16831952E}"/>
    <hyperlink ref="L13" r:id="rId15" display="https://us3.assetplanner.com/service_request?ID=097650" xr:uid="{975DDC0A-C1DB-4CE1-A6D1-C0421999A7A4}"/>
    <hyperlink ref="M13" r:id="rId16" display="https://us3.assetplanner.com/service_request?ID=098979" xr:uid="{0C2C65D6-D79D-4EE3-B5B8-0304E8F77A88}"/>
    <hyperlink ref="N13" r:id="rId17" display="https://us3.assetplanner.com/service_request?ID=098946" xr:uid="{C634632F-7C48-4152-BFF5-5B93490F5C50}"/>
    <hyperlink ref="O13" r:id="rId18" display="https://us3.assetplanner.com/service_request?ID=098979" xr:uid="{18B27E29-5C3E-4F4D-9B82-D7A08E26B37E}"/>
    <hyperlink ref="P13" r:id="rId19" display="https://us3.assetplanner.com/service_request?ID=098979" xr:uid="{7B2C73D1-822E-402B-9064-8B9A25445FF0}"/>
    <hyperlink ref="Q13" r:id="rId20" display="https://us3.assetplanner.com/service_request?ID=099163" xr:uid="{7177F5D9-9F49-4712-864A-A9B5C23B772F}"/>
    <hyperlink ref="R13" r:id="rId21" display="https://us3.assetplanner.com/service_request?ID=099057" xr:uid="{946EBB96-ADAA-4353-A5EF-765963DAE3BD}"/>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tabSelected="1" zoomScale="70" zoomScaleNormal="70" workbookViewId="0">
      <pane xSplit="2" ySplit="3" topLeftCell="C4" activePane="bottomRight" state="frozen"/>
      <selection pane="bottomRight" activeCell="Q8" sqref="Q8"/>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91" t="str" cm="1">
        <f t="array" ref="A1">portfolio</f>
        <v>Renewable Properties</v>
      </c>
      <c r="B1" s="91"/>
      <c r="C1" s="91"/>
      <c r="D1" s="92" t="s">
        <v>83</v>
      </c>
      <c r="E1" s="92"/>
      <c r="F1" s="92"/>
      <c r="G1" s="90" t="s">
        <v>84</v>
      </c>
      <c r="H1" s="90"/>
      <c r="I1" s="90"/>
      <c r="J1" s="4"/>
      <c r="K1" s="4"/>
    </row>
    <row r="2" spans="1:15" ht="19.5" customHeight="1">
      <c r="A2" s="93" t="s">
        <v>2</v>
      </c>
      <c r="B2" s="93"/>
      <c r="C2" s="5">
        <f>SUM(C4:C80)</f>
        <v>6111269.1630493104</v>
      </c>
      <c r="D2" s="5">
        <f>SUM(D4:D80)</f>
        <v>6474775.4000000004</v>
      </c>
      <c r="E2" s="5">
        <f>C2-D2</f>
        <v>-363506.23695068993</v>
      </c>
      <c r="F2" s="6">
        <f>IFERROR(E2/D2, 0)</f>
        <v>-5.614190678346772E-2</v>
      </c>
      <c r="G2" s="5">
        <f>SUM(G4:G80)</f>
        <v>6741811.7000000011</v>
      </c>
      <c r="H2" s="7">
        <f>C2-G2</f>
        <v>-630542.53695069067</v>
      </c>
      <c r="I2" s="6">
        <f>IFERROR(H2/G2, 0)</f>
        <v>-9.3527165250060385E-2</v>
      </c>
      <c r="J2" s="12" t="str">
        <f ca="1">IF(AND(TODAY()&gt;DATE(2024, 4, 1), COUNTA(Sites[Site])&lt;&gt;(COUNT(C:C)-1)), "Some sites are missing actual data; if new sites were added, make sure they are aligned correctly (including prior months!)", "")</f>
        <v/>
      </c>
      <c r="K2" s="4"/>
    </row>
    <row r="3" spans="1:15" ht="14.25" customHeight="1">
      <c r="A3" s="13" t="s">
        <v>3</v>
      </c>
      <c r="B3" s="13" t="s">
        <v>4</v>
      </c>
      <c r="C3" s="40" t="s">
        <v>5</v>
      </c>
      <c r="D3" s="41" t="s">
        <v>6</v>
      </c>
      <c r="E3" s="41" t="s">
        <v>7</v>
      </c>
      <c r="F3" s="42" t="s">
        <v>8</v>
      </c>
      <c r="G3" s="47" t="s">
        <v>9</v>
      </c>
      <c r="H3" s="44" t="s">
        <v>7</v>
      </c>
      <c r="I3" s="45" t="s">
        <v>8</v>
      </c>
      <c r="J3" s="46" t="s">
        <v>20</v>
      </c>
      <c r="K3" s="46" t="s">
        <v>21</v>
      </c>
    </row>
    <row r="4" spans="1:15" ht="43.15">
      <c r="A4" s="55" t="str" cm="1">
        <f t="array" ref="A4:A14">Sites[Site]</f>
        <v>Cedar Swamp Rd</v>
      </c>
      <c r="B4" s="49" t="str" cm="1">
        <f t="array" ref="B4:B14">Sites[State]</f>
        <v>MA</v>
      </c>
      <c r="C4" s="27">
        <v>132729</v>
      </c>
      <c r="D4" s="28">
        <v>124295.4</v>
      </c>
      <c r="E4" s="28">
        <f>IF(AND(ISNUMBER(C4),ISNUMBER(D4)), C4-D4, "")</f>
        <v>8433.6000000000058</v>
      </c>
      <c r="F4" s="29">
        <f>IFERROR(E4/D4, "")</f>
        <v>6.785126400494311E-2</v>
      </c>
      <c r="G4" s="30">
        <v>137919.5</v>
      </c>
      <c r="H4" s="30">
        <f>IF(AND(ISNUMBER(C4),ISNUMBER(G4)), C4-G4, "")</f>
        <v>-5190.5</v>
      </c>
      <c r="I4" s="31">
        <f>IFERROR(H4/G4, "")</f>
        <v>-3.7634272166009883E-2</v>
      </c>
      <c r="J4" s="50" t="s">
        <v>85</v>
      </c>
      <c r="K4" s="87" t="s">
        <v>86</v>
      </c>
      <c r="L4" s="83"/>
      <c r="M4" s="83"/>
      <c r="N4" s="83"/>
      <c r="O4" s="83"/>
    </row>
    <row r="5" spans="1:15" ht="100.9">
      <c r="A5" s="56" t="str">
        <v>Bullis</v>
      </c>
      <c r="B5" s="52" t="str">
        <v>NY</v>
      </c>
      <c r="C5" s="35">
        <v>716355</v>
      </c>
      <c r="D5" s="35">
        <v>704002.3</v>
      </c>
      <c r="E5" s="35">
        <f t="shared" ref="E5:E6" si="0">IF(AND(ISNUMBER(C5),ISNUMBER(D5)), C5-D5, "")</f>
        <v>12352.699999999953</v>
      </c>
      <c r="F5" s="36">
        <f>IFERROR(E5/D5, "")</f>
        <v>1.7546391538777576E-2</v>
      </c>
      <c r="G5" s="37">
        <v>820770.1</v>
      </c>
      <c r="H5" s="37">
        <f t="shared" ref="H5:H6" si="1">IF(AND(ISNUMBER(C5),ISNUMBER(G5)), C5-G5, "")</f>
        <v>-104415.09999999998</v>
      </c>
      <c r="I5" s="36">
        <f t="shared" ref="I5:I6" si="2">IFERROR(H5/G5, "")</f>
        <v>-0.12721601335136354</v>
      </c>
      <c r="J5" s="53" t="s">
        <v>87</v>
      </c>
      <c r="K5" s="89" t="s">
        <v>88</v>
      </c>
      <c r="L5" s="85" t="s">
        <v>89</v>
      </c>
      <c r="M5" s="83"/>
      <c r="N5" s="83"/>
      <c r="O5" s="83"/>
    </row>
    <row r="6" spans="1:15" ht="72">
      <c r="A6" s="57" t="str">
        <v>Rock Island</v>
      </c>
      <c r="B6" s="49" t="str">
        <v>NY</v>
      </c>
      <c r="C6" s="27">
        <v>577733</v>
      </c>
      <c r="D6" s="28">
        <v>639667.69999999995</v>
      </c>
      <c r="E6" s="28">
        <f t="shared" si="0"/>
        <v>-61934.699999999953</v>
      </c>
      <c r="F6" s="29">
        <f t="shared" ref="F6" si="3">IFERROR(E6/D6, "")</f>
        <v>-9.6823241192262724E-2</v>
      </c>
      <c r="G6" s="30">
        <v>633812.4</v>
      </c>
      <c r="H6" s="30">
        <f t="shared" si="1"/>
        <v>-56079.400000000023</v>
      </c>
      <c r="I6" s="31">
        <f t="shared" si="2"/>
        <v>-8.8479493301172427E-2</v>
      </c>
      <c r="J6" s="50" t="s">
        <v>90</v>
      </c>
      <c r="K6" s="87" t="s">
        <v>91</v>
      </c>
      <c r="L6" s="85" t="s">
        <v>92</v>
      </c>
      <c r="M6" s="83"/>
      <c r="N6" s="83"/>
      <c r="O6" s="83"/>
    </row>
    <row r="7" spans="1:15" ht="15.6">
      <c r="A7" s="56" t="str">
        <v>Winslow - Roderick</v>
      </c>
      <c r="B7" s="52" t="str">
        <v>ME</v>
      </c>
      <c r="C7" s="35">
        <v>658339</v>
      </c>
      <c r="D7" s="35">
        <v>684937.9</v>
      </c>
      <c r="E7" s="35">
        <f t="shared" ref="E7" si="4">IF(AND(ISNUMBER(C7),ISNUMBER(D7)), C7-D7, "")</f>
        <v>-26598.900000000023</v>
      </c>
      <c r="F7" s="36">
        <f t="shared" ref="F7:F13" si="5">IFERROR(E7/D7, "")</f>
        <v>-3.8834031523149792E-2</v>
      </c>
      <c r="G7" s="37">
        <v>697456</v>
      </c>
      <c r="H7" s="37">
        <f t="shared" ref="H7:H13" si="6">IF(AND(ISNUMBER(C7),ISNUMBER(G7)), C7-G7, "")</f>
        <v>-39117</v>
      </c>
      <c r="I7" s="36">
        <f t="shared" ref="I7" si="7">IFERROR(H7/G7, "")</f>
        <v>-5.6085258424904222E-2</v>
      </c>
      <c r="J7" s="53"/>
      <c r="K7" s="53"/>
      <c r="L7" s="83"/>
      <c r="M7" s="83"/>
      <c r="N7" s="83"/>
      <c r="O7" s="83"/>
    </row>
    <row r="8" spans="1:15" ht="115.15">
      <c r="A8" s="55" t="str">
        <v>Minoa - Clemons Rd</v>
      </c>
      <c r="B8" s="49" t="str">
        <v>NY</v>
      </c>
      <c r="C8" s="27">
        <v>392341</v>
      </c>
      <c r="D8" s="28">
        <v>467637.9</v>
      </c>
      <c r="E8" s="28">
        <f t="shared" ref="E8:E14" si="8">IF(AND(ISNUMBER(C8),ISNUMBER(D8)), C8-D8, "")</f>
        <v>-75296.900000000023</v>
      </c>
      <c r="F8" s="29">
        <f t="shared" ref="F8:F14" si="9">IFERROR(E8/D8, "")</f>
        <v>-0.16101539246498203</v>
      </c>
      <c r="G8" s="30">
        <v>499299.5</v>
      </c>
      <c r="H8" s="30">
        <f t="shared" ref="H8:H14" si="10">IF(AND(ISNUMBER(C8),ISNUMBER(G8)), C8-G8, "")</f>
        <v>-106958.5</v>
      </c>
      <c r="I8" s="31">
        <f t="shared" ref="I8:I14" si="11">IFERROR(H8/G8, "")</f>
        <v>-0.21421711818257377</v>
      </c>
      <c r="J8" s="50" t="s">
        <v>93</v>
      </c>
      <c r="K8" s="87" t="s">
        <v>94</v>
      </c>
      <c r="L8" s="85" t="s">
        <v>95</v>
      </c>
      <c r="M8" s="85" t="s">
        <v>96</v>
      </c>
      <c r="N8" s="85" t="s">
        <v>66</v>
      </c>
      <c r="O8" s="83"/>
    </row>
    <row r="9" spans="1:15" ht="72">
      <c r="A9" s="56" t="str">
        <v>Manchester - Western</v>
      </c>
      <c r="B9" s="52" t="str">
        <v>ME</v>
      </c>
      <c r="C9" s="35">
        <v>96372.375</v>
      </c>
      <c r="D9" s="35">
        <v>0</v>
      </c>
      <c r="E9" s="35">
        <f t="shared" si="8"/>
        <v>96372.375</v>
      </c>
      <c r="F9" s="36" t="str">
        <f t="shared" si="5"/>
        <v/>
      </c>
      <c r="G9" s="37">
        <v>104717.2</v>
      </c>
      <c r="H9" s="37">
        <f t="shared" si="6"/>
        <v>-8344.8249999999971</v>
      </c>
      <c r="I9" s="36">
        <f t="shared" si="11"/>
        <v>-7.9689153262310269E-2</v>
      </c>
      <c r="J9" s="53" t="s">
        <v>97</v>
      </c>
      <c r="K9" s="89" t="s">
        <v>98</v>
      </c>
      <c r="L9" s="85" t="s">
        <v>99</v>
      </c>
      <c r="M9" s="85" t="s">
        <v>100</v>
      </c>
      <c r="N9" s="83"/>
      <c r="O9" s="83"/>
    </row>
    <row r="10" spans="1:15" ht="28.9">
      <c r="A10" s="55" t="str">
        <v>Batavia - Pike Rd</v>
      </c>
      <c r="B10" s="49" t="str">
        <v>NY</v>
      </c>
      <c r="C10" s="27">
        <v>496293.06403940899</v>
      </c>
      <c r="D10" s="28">
        <v>499624.7</v>
      </c>
      <c r="E10" s="28">
        <f t="shared" si="8"/>
        <v>-3331.6359605910257</v>
      </c>
      <c r="F10" s="29">
        <f t="shared" si="9"/>
        <v>-6.668277129995826E-3</v>
      </c>
      <c r="G10" s="30">
        <v>530455.1</v>
      </c>
      <c r="H10" s="30">
        <f t="shared" si="10"/>
        <v>-34162.035960590991</v>
      </c>
      <c r="I10" s="31">
        <f t="shared" si="11"/>
        <v>-6.440137150267948E-2</v>
      </c>
      <c r="J10" s="50" t="s">
        <v>101</v>
      </c>
      <c r="K10" s="87" t="s">
        <v>68</v>
      </c>
      <c r="L10" s="83"/>
      <c r="M10" s="83"/>
      <c r="N10" s="83"/>
      <c r="O10" s="83"/>
    </row>
    <row r="11" spans="1:15" ht="172.9">
      <c r="A11" s="56" t="str">
        <v>Slayton A &amp; B</v>
      </c>
      <c r="B11" s="52" t="str">
        <v>NY</v>
      </c>
      <c r="C11" s="35">
        <v>1190178</v>
      </c>
      <c r="D11" s="35">
        <v>1248265</v>
      </c>
      <c r="E11" s="35">
        <f t="shared" si="8"/>
        <v>-58087</v>
      </c>
      <c r="F11" s="36">
        <f t="shared" si="5"/>
        <v>-4.6534189454963487E-2</v>
      </c>
      <c r="G11" s="37">
        <v>1237720</v>
      </c>
      <c r="H11" s="37">
        <f t="shared" si="6"/>
        <v>-47542</v>
      </c>
      <c r="I11" s="36">
        <f t="shared" si="11"/>
        <v>-3.8410949164592964E-2</v>
      </c>
      <c r="J11" s="88" t="s">
        <v>102</v>
      </c>
      <c r="K11" s="89" t="s">
        <v>103</v>
      </c>
      <c r="L11" s="85" t="s">
        <v>104</v>
      </c>
      <c r="M11" s="85" t="s">
        <v>105</v>
      </c>
      <c r="N11" s="85" t="s">
        <v>106</v>
      </c>
      <c r="O11" s="83"/>
    </row>
    <row r="12" spans="1:15" ht="72">
      <c r="A12" s="55" t="str">
        <v>Batavia - Alexander Rd</v>
      </c>
      <c r="B12" s="49" t="str">
        <v>NY</v>
      </c>
      <c r="C12" s="27">
        <v>272601.72400990099</v>
      </c>
      <c r="D12" s="28">
        <v>301844.3</v>
      </c>
      <c r="E12" s="28">
        <f t="shared" si="8"/>
        <v>-29242.575990098994</v>
      </c>
      <c r="F12" s="29">
        <f t="shared" si="9"/>
        <v>-9.6879669386166961E-2</v>
      </c>
      <c r="G12" s="30">
        <v>292096.90000000002</v>
      </c>
      <c r="H12" s="30">
        <f t="shared" si="10"/>
        <v>-19495.175990099029</v>
      </c>
      <c r="I12" s="31">
        <f t="shared" si="11"/>
        <v>-6.6742152998196927E-2</v>
      </c>
      <c r="J12" s="50" t="s">
        <v>107</v>
      </c>
      <c r="K12" s="87" t="s">
        <v>75</v>
      </c>
      <c r="L12" s="83"/>
      <c r="M12" s="83"/>
      <c r="N12" s="83"/>
      <c r="O12" s="83"/>
    </row>
    <row r="13" spans="1:15" ht="115.15">
      <c r="A13" s="56" t="str">
        <v xml:space="preserve">NC: Gibson – Henry Gibson Solar </v>
      </c>
      <c r="B13" s="52" t="str">
        <v>NC</v>
      </c>
      <c r="C13" s="35">
        <v>1024404</v>
      </c>
      <c r="D13" s="35">
        <v>1232185</v>
      </c>
      <c r="E13" s="35">
        <f t="shared" si="8"/>
        <v>-207781</v>
      </c>
      <c r="F13" s="36">
        <f t="shared" si="5"/>
        <v>-0.1686280875030941</v>
      </c>
      <c r="G13" s="37">
        <v>1177694</v>
      </c>
      <c r="H13" s="37">
        <f t="shared" si="6"/>
        <v>-153290</v>
      </c>
      <c r="I13" s="36">
        <f t="shared" si="11"/>
        <v>-0.13016114542487267</v>
      </c>
      <c r="J13" s="53" t="s">
        <v>108</v>
      </c>
      <c r="K13" s="89" t="s">
        <v>109</v>
      </c>
      <c r="L13" s="85" t="s">
        <v>110</v>
      </c>
      <c r="M13" s="85" t="s">
        <v>111</v>
      </c>
      <c r="N13" s="83"/>
      <c r="O13" s="83"/>
    </row>
    <row r="14" spans="1:15" ht="28.9">
      <c r="A14" s="55" t="str">
        <v>Bangor - Pushaw</v>
      </c>
      <c r="B14" s="49" t="str">
        <v>ME</v>
      </c>
      <c r="C14" s="27">
        <v>553923</v>
      </c>
      <c r="D14" s="28">
        <v>572315.19999999995</v>
      </c>
      <c r="E14" s="28">
        <f t="shared" si="8"/>
        <v>-18392.199999999953</v>
      </c>
      <c r="F14" s="29">
        <f t="shared" si="9"/>
        <v>-3.2136487026729249E-2</v>
      </c>
      <c r="G14" s="30">
        <v>609871</v>
      </c>
      <c r="H14" s="30">
        <f t="shared" si="10"/>
        <v>-55948</v>
      </c>
      <c r="I14" s="31">
        <f t="shared" si="11"/>
        <v>-9.173743299812584E-2</v>
      </c>
      <c r="J14" s="50" t="s">
        <v>112</v>
      </c>
      <c r="K14" s="87" t="s">
        <v>113</v>
      </c>
      <c r="L14" s="83"/>
      <c r="M14" s="83"/>
      <c r="N14" s="83"/>
      <c r="O14" s="83"/>
    </row>
    <row r="15" spans="1:15" ht="14.45">
      <c r="A15" s="9"/>
      <c r="B15" s="14"/>
      <c r="C15" s="9"/>
      <c r="D15" s="9"/>
      <c r="E15" s="9"/>
      <c r="F15" s="10"/>
      <c r="G15" s="9"/>
      <c r="H15" s="9"/>
      <c r="I15" s="10"/>
      <c r="J15" s="9"/>
      <c r="K15" s="9"/>
    </row>
    <row r="16" spans="1:15"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22" priority="3" stopIfTrue="1" operator="lessThanOrEqual">
      <formula>-0.1</formula>
    </cfRule>
    <cfRule type="expression" dxfId="21" priority="4">
      <formula>AND(ISNUMBER(F2), F2&gt;=0.1)</formula>
    </cfRule>
  </conditionalFormatting>
  <hyperlinks>
    <hyperlink ref="K4" r:id="rId1" display="https://us3.assetplanner.com/service_request?ID=100208" xr:uid="{EDEA22E1-251B-4689-9296-6996412B95DB}"/>
    <hyperlink ref="K5" r:id="rId2" display="https://us3.assetplanner.com/service_request?ID=099753" xr:uid="{EC97C1DA-C2E6-46AF-8A23-4854BB7496EB}"/>
    <hyperlink ref="L5" r:id="rId3" display="https://us3.assetplanner.com/service_request?ID=100017" xr:uid="{526A294A-6751-460B-A4E3-80ACBEC107EE}"/>
    <hyperlink ref="K6" r:id="rId4" display="https://us3.assetplanner.com/service_request?ID=099376" xr:uid="{62666882-FFFF-4B35-A98C-F7C625BC636E}"/>
    <hyperlink ref="L6" r:id="rId5" display="https://us3.assetplanner.com/service_request?ID=100451" xr:uid="{B076735B-D98D-4F85-9FB7-C2670248A05C}"/>
    <hyperlink ref="K8" r:id="rId6" display="https://us3.assetplanner.com/service_request?ID=098701" xr:uid="{6D5871F9-03FF-46CD-87AB-A3F9C24AF786}"/>
    <hyperlink ref="L8" r:id="rId7" display="https://us3.assetplanner.com/service_request?ID=100667" xr:uid="{6CC1D4AA-1BA5-4F8A-8779-2EF89D340D62}"/>
    <hyperlink ref="M8" r:id="rId8" display="https://us3.assetplanner.com/service_request?ID=100717" xr:uid="{184091E8-0979-477D-8F39-EE89333AA5B1}"/>
    <hyperlink ref="N8" r:id="rId9" display="https://us3.assetplanner.com/service_request?ID=098775" xr:uid="{0BD44410-3825-43FF-A0D4-BCAB4CB7AB91}"/>
    <hyperlink ref="K9" r:id="rId10" display="https://us3.assetplanner.com/service_request?ID=099279" xr:uid="{95C14382-5844-45D2-B757-BAED50C7FB5F}"/>
    <hyperlink ref="L9" r:id="rId11" display="https://us3.assetplanner.com/service_request?ID=100248" xr:uid="{A01CA2B6-1C97-44E4-B456-0D4857AD5016}"/>
    <hyperlink ref="M9" r:id="rId12" display="https://us3.assetplanner.com/service_request?ID=100392" xr:uid="{1A1BB56B-1229-4FED-BDC9-0C725D81878B}"/>
    <hyperlink ref="K10" r:id="rId13" display="https://us3.assetplanner.com/service_request?ID=098907" xr:uid="{D0420AEE-5A72-46AD-B0C3-FDDBF8C94F9A}"/>
    <hyperlink ref="K11" r:id="rId14" display="https://us3.assetplanner.com/service_request?ID=098375" xr:uid="{0CCC02D1-E8B0-48B9-A0B2-DD0BCEEB546F}"/>
    <hyperlink ref="L11" r:id="rId15" display="https://us3.assetplanner.com/service_request?ID=099651" xr:uid="{8B0F204A-D03D-43C1-9B04-BCEA3919CE15}"/>
    <hyperlink ref="M11" r:id="rId16" display="https://us3.assetplanner.com/service_request?ID=100352" xr:uid="{AD09DECA-3025-4EE8-8FA7-4D5039133017}"/>
    <hyperlink ref="N11" r:id="rId17" display="https://us3.assetplanner.com/service_request?ID=100666" xr:uid="{7D51A4B1-8079-4E2C-A237-FF0C4E4250DC}"/>
    <hyperlink ref="K12" r:id="rId18" display="https://us3.assetplanner.com/service_request?ID=098763" xr:uid="{BAD0A966-2A6E-4896-A89B-58CFBECA19E2}"/>
    <hyperlink ref="K13" r:id="rId19" display="https://us3.assetplanner.com/service_request?ID=098979" xr:uid="{D145FF2E-1600-4D2D-BA78-9D6F9DE5B925}"/>
    <hyperlink ref="L13" r:id="rId20" display="https://us3.assetplanner.com/service_request?ID=099483" xr:uid="{6DB06A49-E4D5-4240-8C5C-CCAAA41545EB}"/>
    <hyperlink ref="M13" r:id="rId21" display="https://us3.assetplanner.com/service_request?ID=100204" xr:uid="{C7798C80-B08D-443F-8AA9-39BF88711806}"/>
    <hyperlink ref="K14" r:id="rId22" display="https://us3.assetplanner.com/service_request?ID=099819" xr:uid="{DDB9E3C3-52EE-4FFF-B2EA-72A88F7B9815}"/>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114</v>
      </c>
      <c r="E1" s="92"/>
      <c r="F1" s="92"/>
      <c r="G1" s="90" t="s">
        <v>115</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80 I4:I80">
    <cfRule type="cellIs" dxfId="18" priority="1" stopIfTrue="1" operator="lessThanOrEqual">
      <formula>-0.1</formula>
    </cfRule>
    <cfRule type="expression" dxfId="17"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22"/>
  <sheetViews>
    <sheetView zoomScale="70" zoomScaleNormal="7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18"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116</v>
      </c>
      <c r="E1" s="92"/>
      <c r="F1" s="92"/>
      <c r="G1" s="90" t="s">
        <v>117</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58.5" customHeight="1">
      <c r="A6" s="57" t="str">
        <v>Rock Island</v>
      </c>
      <c r="B6" s="49" t="str">
        <v>NY</v>
      </c>
      <c r="C6" s="27"/>
      <c r="D6" s="28"/>
      <c r="E6" s="28" t="str">
        <f t="shared" si="0"/>
        <v/>
      </c>
      <c r="F6" s="29" t="str">
        <f t="shared" ref="F6" si="3">IFERROR(E6/D6, "")</f>
        <v/>
      </c>
      <c r="G6" s="30"/>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5"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6" priority="3" stopIfTrue="1" operator="lessThanOrEqual">
      <formula>-0.1</formula>
    </cfRule>
    <cfRule type="expression" dxfId="15" priority="4">
      <formula>AND(ISNUMBER(F2), F2&gt;=0.1)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22"/>
  <sheetViews>
    <sheetView zoomScale="90" zoomScaleNormal="9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118</v>
      </c>
      <c r="E1" s="92"/>
      <c r="F1" s="92"/>
      <c r="G1" s="90" t="s">
        <v>119</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9"/>
    </row>
    <row r="6" spans="1:11" ht="15.6">
      <c r="A6" s="57" t="str">
        <v>Rock Island</v>
      </c>
      <c r="B6" s="49" t="str">
        <v>NY</v>
      </c>
      <c r="C6" s="27"/>
      <c r="D6" s="28"/>
      <c r="E6" s="28" t="str">
        <f t="shared" si="0"/>
        <v/>
      </c>
      <c r="F6" s="29" t="str">
        <f t="shared" ref="F6" si="3">IFERROR(E6/D6, "")</f>
        <v/>
      </c>
      <c r="G6" s="37"/>
      <c r="H6" s="30" t="str">
        <f t="shared" si="1"/>
        <v/>
      </c>
      <c r="I6" s="31" t="str">
        <f t="shared" si="2"/>
        <v/>
      </c>
      <c r="J6" s="50"/>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9"/>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50"/>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9"/>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9"/>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sortState xmlns:xlrd2="http://schemas.microsoft.com/office/spreadsheetml/2017/richdata2" ref="A3:K6">
    <sortCondition ref="A3:A6"/>
  </sortState>
  <mergeCells count="4">
    <mergeCell ref="G1:I1"/>
    <mergeCell ref="A1:C1"/>
    <mergeCell ref="D1:F1"/>
    <mergeCell ref="A2:B2"/>
  </mergeCells>
  <phoneticPr fontId="4" type="noConversion"/>
  <conditionalFormatting sqref="F2 I2 F4:F80 I4:I80">
    <cfRule type="cellIs" dxfId="14" priority="3" stopIfTrue="1" operator="lessThanOrEqual">
      <formula>-0.1</formula>
    </cfRule>
    <cfRule type="expression" dxfId="13" priority="4">
      <formula>AND(ISNUMBER(F2), F2&gt;=0.1)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120</v>
      </c>
      <c r="E1" s="92"/>
      <c r="F1" s="92"/>
      <c r="G1" s="90" t="s">
        <v>121</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7" si="0">IF(AND(ISNUMBER(C5),ISNUMBER(D5)), C5-D5, "")</f>
        <v/>
      </c>
      <c r="F5" s="36" t="str">
        <f>IFERROR(E5/D5, "")</f>
        <v/>
      </c>
      <c r="G5" s="37"/>
      <c r="H5" s="37" t="str">
        <f t="shared" ref="H5:H7" si="1">IF(AND(ISNUMBER(C5),ISNUMBER(G5)), C5-G5, "")</f>
        <v/>
      </c>
      <c r="I5" s="36" t="str">
        <f t="shared" ref="I5:I7" si="2">IFERROR(H5/G5, "")</f>
        <v/>
      </c>
      <c r="J5" s="53"/>
      <c r="K5" s="58"/>
    </row>
    <row r="6" spans="1:11" ht="15.6">
      <c r="A6" s="57" t="str">
        <v>Rock Island</v>
      </c>
      <c r="B6" s="49" t="str">
        <v>NY</v>
      </c>
      <c r="C6" s="27"/>
      <c r="D6" s="28"/>
      <c r="E6" s="28" t="str">
        <f t="shared" si="0"/>
        <v/>
      </c>
      <c r="F6" s="61" t="str">
        <f t="shared" ref="F6:F7" si="3">IFERROR(E6/D6, "")</f>
        <v/>
      </c>
      <c r="G6" s="30"/>
      <c r="H6" s="30" t="str">
        <f t="shared" si="1"/>
        <v/>
      </c>
      <c r="I6" s="31" t="str">
        <f t="shared" si="2"/>
        <v/>
      </c>
      <c r="J6" s="50"/>
      <c r="K6" s="50"/>
    </row>
    <row r="7" spans="1:11" ht="15.6">
      <c r="A7" s="64" t="str">
        <v>Winslow - Roderick</v>
      </c>
      <c r="B7" s="65" t="str">
        <v>ME</v>
      </c>
      <c r="C7" s="62"/>
      <c r="D7" s="62"/>
      <c r="E7" s="62" t="str">
        <f t="shared" si="0"/>
        <v/>
      </c>
      <c r="F7" s="61" t="str">
        <f t="shared" si="3"/>
        <v/>
      </c>
      <c r="G7" s="62"/>
      <c r="H7" s="37" t="str">
        <f t="shared" si="1"/>
        <v/>
      </c>
      <c r="I7" s="31" t="str">
        <f t="shared" si="2"/>
        <v/>
      </c>
      <c r="J7" s="62"/>
      <c r="K7" s="62"/>
    </row>
    <row r="8" spans="1:11" ht="15.6">
      <c r="A8" s="55" t="str">
        <v>Minoa - Clemons Rd</v>
      </c>
      <c r="B8" s="49" t="str">
        <v>NY</v>
      </c>
      <c r="C8" s="27"/>
      <c r="D8" s="28"/>
      <c r="E8" s="28" t="str">
        <f t="shared" ref="E8:E9" si="4">IF(AND(ISNUMBER(C8),ISNUMBER(D8)), C8-D8, "")</f>
        <v/>
      </c>
      <c r="F8" s="29" t="str">
        <f t="shared" ref="F8:F9" si="5">IFERROR(E8/D8, "")</f>
        <v/>
      </c>
      <c r="G8" s="30"/>
      <c r="H8" s="30" t="str">
        <f t="shared" ref="H8:H9" si="6">IF(AND(ISNUMBER(C8),ISNUMBER(G8)), C8-G8, "")</f>
        <v/>
      </c>
      <c r="I8" s="31" t="str">
        <f t="shared" ref="I8:I9" si="7">IFERROR(H8/G8, "")</f>
        <v/>
      </c>
      <c r="J8" s="50"/>
      <c r="K8" s="50"/>
    </row>
    <row r="9" spans="1:11" ht="15.6">
      <c r="A9" s="56" t="str">
        <v>Manchester - Western</v>
      </c>
      <c r="B9" s="52" t="str">
        <v>ME</v>
      </c>
      <c r="C9" s="34"/>
      <c r="D9" s="35"/>
      <c r="E9" s="35" t="str">
        <f t="shared" si="4"/>
        <v/>
      </c>
      <c r="F9" s="36" t="str">
        <f t="shared" si="5"/>
        <v/>
      </c>
      <c r="G9" s="37"/>
      <c r="H9" s="37" t="str">
        <f t="shared" si="6"/>
        <v/>
      </c>
      <c r="I9" s="36" t="str">
        <f t="shared" si="7"/>
        <v/>
      </c>
      <c r="J9" s="53"/>
      <c r="K9" s="58"/>
    </row>
    <row r="10" spans="1:11" ht="15.6">
      <c r="A10" s="55"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conditionalFormatting sqref="F2 I2 F4:F80 I4:I80">
    <cfRule type="cellIs" dxfId="12" priority="3" stopIfTrue="1" operator="lessThanOrEqual">
      <formula>-0.1</formula>
    </cfRule>
    <cfRule type="expression" dxfId="11"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G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122</v>
      </c>
      <c r="E1" s="92"/>
      <c r="F1" s="92"/>
      <c r="G1" s="90" t="s">
        <v>123</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3"/>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50"/>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F9" si="9">IFERROR(E8/D8, "")</f>
        <v/>
      </c>
      <c r="G8" s="30"/>
      <c r="H8" s="30" t="str">
        <f t="shared" ref="H8:H9" si="10">IF(AND(ISNUMBER(C8),ISNUMBER(G8)), C8-G8, "")</f>
        <v/>
      </c>
      <c r="I8" s="31" t="str">
        <f t="shared" ref="I8:I9" si="11">IFERROR(H8/G8, "")</f>
        <v/>
      </c>
      <c r="J8" s="66"/>
      <c r="K8" s="50"/>
    </row>
    <row r="9" spans="1:11" ht="15.6">
      <c r="A9" s="56" t="str">
        <v>Manchester - Western</v>
      </c>
      <c r="B9" s="52" t="str">
        <v>ME</v>
      </c>
      <c r="C9" s="34"/>
      <c r="D9" s="35"/>
      <c r="E9" s="35" t="str">
        <f t="shared" si="8"/>
        <v/>
      </c>
      <c r="F9" s="36" t="str">
        <f t="shared" si="9"/>
        <v/>
      </c>
      <c r="G9" s="37"/>
      <c r="H9" s="37" t="str">
        <f t="shared" si="10"/>
        <v/>
      </c>
      <c r="I9" s="36" t="str">
        <f t="shared" si="11"/>
        <v/>
      </c>
      <c r="J9" s="53"/>
      <c r="K9" s="53"/>
    </row>
    <row r="10" spans="1:11" ht="15.6">
      <c r="A10" s="57" t="str">
        <v>Batavia - Pike Rd</v>
      </c>
      <c r="B10" s="49" t="str">
        <v>NY</v>
      </c>
      <c r="C10" s="27"/>
      <c r="D10" s="28"/>
      <c r="E10" s="28"/>
      <c r="F10" s="29"/>
      <c r="G10" s="30"/>
      <c r="H10" s="30"/>
      <c r="I10" s="31"/>
      <c r="J10" s="66"/>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10" priority="3" stopIfTrue="1" operator="lessThanOrEqual">
      <formula>-0.1</formula>
    </cfRule>
    <cfRule type="expression" dxfId="9"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124</v>
      </c>
      <c r="E1" s="92"/>
      <c r="F1" s="92"/>
      <c r="G1" s="90" t="s">
        <v>125</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50"/>
    </row>
    <row r="5" spans="1:11" ht="15.6">
      <c r="A5" s="56" t="str">
        <v>Bullis</v>
      </c>
      <c r="B5" s="52" t="str">
        <v>NY</v>
      </c>
      <c r="C5" s="34"/>
      <c r="D5" s="35"/>
      <c r="E5" s="35" t="str">
        <f t="shared" ref="E5:E9" si="0">IF(AND(ISNUMBER(C5),ISNUMBER(D5)), C5-D5, "")</f>
        <v/>
      </c>
      <c r="F5" s="36" t="str">
        <f>IFERROR(E5/D5, "")</f>
        <v/>
      </c>
      <c r="G5" s="37"/>
      <c r="H5" s="37" t="str">
        <f t="shared" ref="H5:H9" si="1">IF(AND(ISNUMBER(C5),ISNUMBER(G5)), C5-G5, "")</f>
        <v/>
      </c>
      <c r="I5" s="36" t="str">
        <f t="shared" ref="I5:I9" si="2">IFERROR(H5/G5, "")</f>
        <v/>
      </c>
      <c r="J5" s="58"/>
      <c r="K5" s="58"/>
    </row>
    <row r="6" spans="1:11" ht="121.5" customHeight="1">
      <c r="A6" s="57" t="str">
        <v>Rock Island</v>
      </c>
      <c r="B6" s="49" t="str">
        <v>NY</v>
      </c>
      <c r="C6" s="27"/>
      <c r="D6" s="28"/>
      <c r="E6" s="28" t="str">
        <f t="shared" si="0"/>
        <v/>
      </c>
      <c r="F6" s="29" t="str">
        <f t="shared" ref="F6:F9" si="3">IFERROR(E6/D6, "")</f>
        <v/>
      </c>
      <c r="G6" s="30"/>
      <c r="H6" s="30" t="str">
        <f t="shared" si="1"/>
        <v/>
      </c>
      <c r="I6" s="31" t="str">
        <f t="shared" si="2"/>
        <v/>
      </c>
      <c r="J6" s="50"/>
      <c r="K6" s="50"/>
    </row>
    <row r="7" spans="1:11" ht="15.6">
      <c r="A7" s="56" t="str">
        <v>Winslow - Roderick</v>
      </c>
      <c r="B7" s="52" t="str">
        <v>ME</v>
      </c>
      <c r="C7" s="34"/>
      <c r="D7" s="35"/>
      <c r="E7" s="35" t="str">
        <f t="shared" si="0"/>
        <v/>
      </c>
      <c r="F7" s="36" t="str">
        <f t="shared" si="3"/>
        <v/>
      </c>
      <c r="G7" s="37"/>
      <c r="H7" s="37" t="str">
        <f t="shared" si="1"/>
        <v/>
      </c>
      <c r="I7" s="36" t="str">
        <f t="shared" si="2"/>
        <v/>
      </c>
      <c r="J7" s="53"/>
      <c r="K7" s="53"/>
    </row>
    <row r="8" spans="1:11" ht="15.6">
      <c r="A8" s="57" t="str">
        <v>Minoa - Clemons Rd</v>
      </c>
      <c r="B8" s="49" t="str">
        <v>NY</v>
      </c>
      <c r="C8" s="27"/>
      <c r="D8" s="28"/>
      <c r="E8" s="28" t="str">
        <f t="shared" si="0"/>
        <v/>
      </c>
      <c r="F8" s="29" t="str">
        <f t="shared" si="3"/>
        <v/>
      </c>
      <c r="G8" s="30"/>
      <c r="H8" s="30" t="str">
        <f t="shared" si="1"/>
        <v/>
      </c>
      <c r="I8" s="31" t="str">
        <f t="shared" si="2"/>
        <v/>
      </c>
      <c r="J8" s="50"/>
      <c r="K8" s="50"/>
    </row>
    <row r="9" spans="1:11" ht="15.6">
      <c r="A9" s="56" t="str">
        <v>Manchester - Western</v>
      </c>
      <c r="B9" s="52" t="str">
        <v>ME</v>
      </c>
      <c r="C9" s="34"/>
      <c r="D9" s="35"/>
      <c r="E9" s="35" t="str">
        <f t="shared" si="0"/>
        <v/>
      </c>
      <c r="F9" s="36" t="str">
        <f t="shared" si="3"/>
        <v/>
      </c>
      <c r="G9" s="37"/>
      <c r="H9" s="37" t="str">
        <f t="shared" si="1"/>
        <v/>
      </c>
      <c r="I9" s="36" t="str">
        <f t="shared" si="2"/>
        <v/>
      </c>
      <c r="J9" s="53"/>
      <c r="K9" s="53"/>
    </row>
    <row r="10" spans="1:11" ht="15.6">
      <c r="A10" s="57" t="str">
        <v>Batavia - Pike Rd</v>
      </c>
      <c r="B10" s="49" t="str">
        <v>NY</v>
      </c>
      <c r="C10" s="27"/>
      <c r="D10" s="28"/>
      <c r="E10" s="28"/>
      <c r="F10" s="29"/>
      <c r="G10" s="30"/>
      <c r="H10" s="30"/>
      <c r="I10" s="31"/>
      <c r="J10" s="50"/>
      <c r="K10" s="50"/>
    </row>
    <row r="11" spans="1:11" ht="15.6">
      <c r="A11" s="56" t="str">
        <v>Slayton A &amp; B</v>
      </c>
      <c r="B11" s="52" t="str">
        <v>NY</v>
      </c>
      <c r="C11" s="34"/>
      <c r="D11" s="35"/>
      <c r="E11" s="35"/>
      <c r="F11" s="36"/>
      <c r="G11" s="37"/>
      <c r="H11" s="37"/>
      <c r="I11" s="36"/>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zoomScale="80" zoomScaleNormal="80" workbookViewId="0">
      <pane xSplit="2" ySplit="3" topLeftCell="E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126</v>
      </c>
      <c r="E1" s="92"/>
      <c r="F1" s="92"/>
      <c r="G1" s="90" t="s">
        <v>127</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66"/>
      <c r="K4" s="66"/>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8"/>
    </row>
    <row r="6" spans="1:11" ht="76.5" customHeight="1">
      <c r="A6" s="57" t="str">
        <v>Rock Island</v>
      </c>
      <c r="B6" s="49" t="str">
        <v>NY</v>
      </c>
      <c r="C6" s="27"/>
      <c r="D6" s="28"/>
      <c r="E6" s="28" t="str">
        <f t="shared" si="0"/>
        <v/>
      </c>
      <c r="F6" s="29" t="str">
        <f t="shared" ref="F6" si="3">IFERROR(E6/D6, "")</f>
        <v/>
      </c>
      <c r="G6" s="30"/>
      <c r="H6" s="30" t="str">
        <f t="shared" si="1"/>
        <v/>
      </c>
      <c r="I6" s="31" t="str">
        <f t="shared" si="2"/>
        <v/>
      </c>
      <c r="J6" s="66"/>
      <c r="K6" s="66"/>
    </row>
    <row r="7" spans="1:11" ht="29.65" customHeight="1">
      <c r="A7" s="56" t="str">
        <v>Winslow - Roderick</v>
      </c>
      <c r="B7" s="52" t="str">
        <v>ME</v>
      </c>
      <c r="C7" s="34"/>
      <c r="D7" s="35"/>
      <c r="E7" s="35" t="str">
        <f t="shared" ref="E7" si="4">IF(AND(ISNUMBER(C7),ISNUMBER(D7)), C7-D7, "")</f>
        <v/>
      </c>
      <c r="F7" s="36" t="str">
        <f>IFERROR(E7/D7, "")</f>
        <v/>
      </c>
      <c r="G7" s="37"/>
      <c r="H7" s="37" t="str">
        <f t="shared" ref="H7" si="5">IF(AND(ISNUMBER(C7),ISNUMBER(G7)), C7-G7, "")</f>
        <v/>
      </c>
      <c r="I7" s="36" t="str">
        <f t="shared" ref="I7" si="6">IFERROR(H7/G7, "")</f>
        <v/>
      </c>
      <c r="J7" s="58"/>
      <c r="K7" s="58"/>
    </row>
    <row r="8" spans="1:11" ht="75.400000000000006" customHeight="1">
      <c r="A8" s="57" t="str">
        <v>Minoa - Clemons Rd</v>
      </c>
      <c r="B8" s="49" t="str">
        <v>NY</v>
      </c>
      <c r="C8" s="27"/>
      <c r="D8" s="28"/>
      <c r="E8" s="28" t="str">
        <f t="shared" ref="E8" si="7">IF(AND(ISNUMBER(C8),ISNUMBER(D8)), C8-D8, "")</f>
        <v/>
      </c>
      <c r="F8" s="29" t="str">
        <f t="shared" ref="F8:F9" si="8">IFERROR(E8/D8, "")</f>
        <v/>
      </c>
      <c r="G8" s="30"/>
      <c r="H8" s="30" t="str">
        <f t="shared" ref="H8:H9" si="9">IF(AND(ISNUMBER(C8),ISNUMBER(G8)), C8-G8, "")</f>
        <v/>
      </c>
      <c r="I8" s="31" t="str">
        <f t="shared" ref="I8:I9" si="10">IFERROR(H8/G8, "")</f>
        <v/>
      </c>
      <c r="J8" s="66"/>
      <c r="K8" s="66"/>
    </row>
    <row r="9" spans="1:11" ht="15.6">
      <c r="A9" s="56" t="str">
        <v>Manchester - Western</v>
      </c>
      <c r="B9" s="52" t="str">
        <v>ME</v>
      </c>
      <c r="C9" s="34"/>
      <c r="D9" s="35"/>
      <c r="E9" s="35" t="str">
        <f>IF(AND(ISNUMBER(C9),ISNUMBER(D9)), C9-D9, "")</f>
        <v/>
      </c>
      <c r="F9" s="36" t="str">
        <f t="shared" si="8"/>
        <v/>
      </c>
      <c r="G9" s="37"/>
      <c r="H9" s="37" t="str">
        <f t="shared" si="9"/>
        <v/>
      </c>
      <c r="I9" s="36" t="str">
        <f t="shared" si="10"/>
        <v/>
      </c>
      <c r="J9" s="58"/>
      <c r="K9" s="58"/>
    </row>
    <row r="10" spans="1:11" ht="75.400000000000006" customHeight="1">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c r="F11" s="36"/>
      <c r="G11" s="37"/>
      <c r="H11" s="37"/>
      <c r="I11" s="36"/>
      <c r="J11" s="58"/>
      <c r="K11" s="58"/>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6" priority="3" stopIfTrue="1" operator="lessThanOrEqual">
      <formula>-0.1</formula>
    </cfRule>
    <cfRule type="expression" dxfId="5"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zoomScale="80" zoomScaleNormal="80" workbookViewId="0">
      <pane xSplit="2" ySplit="3" topLeftCell="C4" activePane="bottomRight" state="frozen"/>
      <selection pane="bottomRight" activeCell="G16" sqref="G16"/>
      <selection pane="bottomLeft" activeCell="G16" sqref="G16"/>
      <selection pane="topRight" activeCell="G16" sqref="G16"/>
    </sheetView>
  </sheetViews>
  <sheetFormatPr defaultRowHeight="13.9"/>
  <cols>
    <col min="1" max="1" width="35.85546875" bestFit="1" customWidth="1"/>
    <col min="2" max="2" width="8.42578125" style="15"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91" t="str" cm="1">
        <f t="array" ref="A1">portfolio</f>
        <v>Renewable Properties</v>
      </c>
      <c r="B1" s="91"/>
      <c r="C1" s="91"/>
      <c r="D1" s="92" t="s">
        <v>128</v>
      </c>
      <c r="E1" s="92"/>
      <c r="F1" s="92"/>
      <c r="G1" s="90" t="s">
        <v>129</v>
      </c>
      <c r="H1" s="90"/>
      <c r="I1" s="90"/>
      <c r="J1" s="4"/>
      <c r="K1" s="4"/>
    </row>
    <row r="2" spans="1:11" ht="19.5" customHeight="1">
      <c r="A2" s="93" t="s">
        <v>2</v>
      </c>
      <c r="B2" s="93"/>
      <c r="C2" s="5">
        <f>SUM(C4:C80)</f>
        <v>0</v>
      </c>
      <c r="D2" s="5">
        <f>SUM(D4:D80)</f>
        <v>0</v>
      </c>
      <c r="E2" s="5">
        <f>C2-D2</f>
        <v>0</v>
      </c>
      <c r="F2" s="6">
        <f>IFERROR(E2/D2, 0)</f>
        <v>0</v>
      </c>
      <c r="G2" s="5">
        <f>SUM(G4:G80)</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40" t="s">
        <v>5</v>
      </c>
      <c r="D3" s="41" t="s">
        <v>6</v>
      </c>
      <c r="E3" s="41" t="s">
        <v>7</v>
      </c>
      <c r="F3" s="42" t="s">
        <v>8</v>
      </c>
      <c r="G3" s="47" t="s">
        <v>9</v>
      </c>
      <c r="H3" s="44" t="s">
        <v>7</v>
      </c>
      <c r="I3" s="45" t="s">
        <v>8</v>
      </c>
      <c r="J3" s="46" t="s">
        <v>20</v>
      </c>
      <c r="K3" s="46" t="s">
        <v>21</v>
      </c>
    </row>
    <row r="4" spans="1:11" ht="15.6">
      <c r="A4" s="55" t="str" cm="1">
        <f t="array" ref="A4:A14">Sites[Site]</f>
        <v>Cedar Swamp Rd</v>
      </c>
      <c r="B4" s="49" t="str" cm="1">
        <f t="array" ref="B4:B14">Sites[State]</f>
        <v>MA</v>
      </c>
      <c r="C4" s="27"/>
      <c r="D4" s="28"/>
      <c r="E4" s="28" t="str">
        <f>IF(AND(ISNUMBER(C4),ISNUMBER(D4)), C4-D4, "")</f>
        <v/>
      </c>
      <c r="F4" s="29" t="str">
        <f>IFERROR(E4/D4, "")</f>
        <v/>
      </c>
      <c r="G4" s="30"/>
      <c r="H4" s="30" t="str">
        <f>IF(AND(ISNUMBER(C4),ISNUMBER(G4)), C4-G4, "")</f>
        <v/>
      </c>
      <c r="I4" s="31" t="str">
        <f>IFERROR(H4/G4, "")</f>
        <v/>
      </c>
      <c r="J4" s="50"/>
      <c r="K4" s="50"/>
    </row>
    <row r="5" spans="1:11" ht="15.6">
      <c r="A5" s="56" t="str">
        <v>Bullis</v>
      </c>
      <c r="B5" s="52" t="str">
        <v>NY</v>
      </c>
      <c r="C5" s="34"/>
      <c r="D5" s="35"/>
      <c r="E5" s="35" t="str">
        <f t="shared" ref="E5:E6" si="0">IF(AND(ISNUMBER(C5),ISNUMBER(D5)), C5-D5, "")</f>
        <v/>
      </c>
      <c r="F5" s="36" t="str">
        <f>IFERROR(E5/D5, "")</f>
        <v/>
      </c>
      <c r="G5" s="37"/>
      <c r="H5" s="37" t="str">
        <f t="shared" ref="H5:H6" si="1">IF(AND(ISNUMBER(C5),ISNUMBER(G5)), C5-G5, "")</f>
        <v/>
      </c>
      <c r="I5" s="36" t="str">
        <f t="shared" ref="I5:I6" si="2">IFERROR(H5/G5, "")</f>
        <v/>
      </c>
      <c r="J5" s="58"/>
      <c r="K5" s="53"/>
    </row>
    <row r="6" spans="1:11" ht="15.6">
      <c r="A6" s="57" t="str">
        <v>Rock Island</v>
      </c>
      <c r="B6" s="49" t="str">
        <v>NY</v>
      </c>
      <c r="C6" s="27"/>
      <c r="D6" s="28"/>
      <c r="E6" s="28" t="str">
        <f t="shared" si="0"/>
        <v/>
      </c>
      <c r="F6" s="29" t="str">
        <f t="shared" ref="F6" si="3">IFERROR(E6/D6, "")</f>
        <v/>
      </c>
      <c r="G6" s="30"/>
      <c r="H6" s="30" t="str">
        <f t="shared" si="1"/>
        <v/>
      </c>
      <c r="I6" s="31" t="str">
        <f t="shared" si="2"/>
        <v/>
      </c>
      <c r="J6" s="66"/>
      <c r="K6" s="66"/>
    </row>
    <row r="7" spans="1:11" ht="15.6">
      <c r="A7" s="56" t="str">
        <v>Winslow - Roderick</v>
      </c>
      <c r="B7" s="52" t="str">
        <v>ME</v>
      </c>
      <c r="C7" s="34"/>
      <c r="D7" s="35"/>
      <c r="E7" s="35" t="str">
        <f t="shared" ref="E7" si="4">IF(AND(ISNUMBER(C7),ISNUMBER(D7)), C7-D7, "")</f>
        <v/>
      </c>
      <c r="F7" s="36" t="str">
        <f t="shared" ref="F7" si="5">IFERROR(E7/D7, "")</f>
        <v/>
      </c>
      <c r="G7" s="37"/>
      <c r="H7" s="37" t="str">
        <f t="shared" ref="H7" si="6">IF(AND(ISNUMBER(C7),ISNUMBER(G7)), C7-G7, "")</f>
        <v/>
      </c>
      <c r="I7" s="36" t="str">
        <f t="shared" ref="I7" si="7">IFERROR(H7/G7, "")</f>
        <v/>
      </c>
      <c r="J7" s="53"/>
      <c r="K7" s="53"/>
    </row>
    <row r="8" spans="1:11" ht="15.6">
      <c r="A8" s="57" t="str">
        <v>Minoa - Clemons Rd</v>
      </c>
      <c r="B8" s="49" t="str">
        <v>NY</v>
      </c>
      <c r="C8" s="27"/>
      <c r="D8" s="28"/>
      <c r="E8" s="28" t="str">
        <f t="shared" ref="E8:E9" si="8">IF(AND(ISNUMBER(C8),ISNUMBER(D8)), C8-D8, "")</f>
        <v/>
      </c>
      <c r="F8" s="29" t="str">
        <f t="shared" ref="F8" si="9">IFERROR(E8/D8, "")</f>
        <v/>
      </c>
      <c r="G8" s="30"/>
      <c r="H8" s="30" t="str">
        <f t="shared" ref="H8:H9" si="10">IF(AND(ISNUMBER(C8),ISNUMBER(G8)), C8-G8, "")</f>
        <v/>
      </c>
      <c r="I8" s="31" t="str">
        <f t="shared" ref="I8" si="11">IFERROR(H8/G8, "")</f>
        <v/>
      </c>
      <c r="J8" s="66"/>
      <c r="K8" s="66"/>
    </row>
    <row r="9" spans="1:11" ht="15.6">
      <c r="A9" s="56" t="str">
        <v>Manchester - Western</v>
      </c>
      <c r="B9" s="52" t="str">
        <v>ME</v>
      </c>
      <c r="C9" s="34"/>
      <c r="D9" s="35"/>
      <c r="E9" s="35" t="str">
        <f t="shared" si="8"/>
        <v/>
      </c>
      <c r="F9" s="36" t="str">
        <f>IFERROR(E9/D9, "")</f>
        <v/>
      </c>
      <c r="G9" s="37"/>
      <c r="H9" s="37" t="str">
        <f t="shared" si="10"/>
        <v/>
      </c>
      <c r="I9" s="36" t="str">
        <f>IFERROR(H9/G9, "")</f>
        <v/>
      </c>
      <c r="J9" s="53"/>
      <c r="K9" s="53"/>
    </row>
    <row r="10" spans="1:11" ht="15.6">
      <c r="A10" s="57" t="str">
        <v>Batavia - Pike Rd</v>
      </c>
      <c r="B10" s="49" t="str">
        <v>NY</v>
      </c>
      <c r="C10" s="27"/>
      <c r="D10" s="28"/>
      <c r="E10" s="28" t="str">
        <f>IF(AND(ISNUMBER(C10),ISNUMBER(D10)), C10-D10, "")</f>
        <v/>
      </c>
      <c r="F10" s="29" t="str">
        <f>IFERROR(E10/D10, "")</f>
        <v/>
      </c>
      <c r="G10" s="30"/>
      <c r="H10" s="30" t="str">
        <f>IF(AND(ISNUMBER(C10),ISNUMBER(G10)), C10-G10, "")</f>
        <v/>
      </c>
      <c r="I10" s="31" t="str">
        <f>IFERROR(H10/G10, "")</f>
        <v/>
      </c>
      <c r="J10" s="66"/>
      <c r="K10" s="66"/>
    </row>
    <row r="11" spans="1:11" ht="15.6">
      <c r="A11" s="56" t="str">
        <v>Slayton A &amp; B</v>
      </c>
      <c r="B11" s="52" t="str">
        <v>NY</v>
      </c>
      <c r="C11" s="34"/>
      <c r="D11" s="35"/>
      <c r="E11" s="35" t="str">
        <f>IF(AND(ISNUMBER(C11),ISNUMBER(D11)), C11-D11, "")</f>
        <v/>
      </c>
      <c r="F11" s="36" t="str">
        <f>IFERROR(E11/D11, "")</f>
        <v/>
      </c>
      <c r="G11" s="37"/>
      <c r="H11" s="37" t="str">
        <f>IF(AND(ISNUMBER(C11),ISNUMBER(G11)), C11-G11, "")</f>
        <v/>
      </c>
      <c r="I11" s="36" t="str">
        <f>IFERROR(H11/G11, "")</f>
        <v/>
      </c>
      <c r="J11" s="53"/>
      <c r="K11" s="53"/>
    </row>
    <row r="12" spans="1:11" ht="14.45">
      <c r="A12" s="9" t="str">
        <v>Batavia - Alexander Rd</v>
      </c>
      <c r="B12" s="14" t="str">
        <v>NY</v>
      </c>
      <c r="C12" s="9"/>
      <c r="D12" s="9"/>
      <c r="E12" s="9"/>
      <c r="F12" s="9"/>
      <c r="G12" s="9"/>
      <c r="H12" s="9"/>
      <c r="I12" s="9"/>
      <c r="J12" s="9"/>
      <c r="K12" s="9"/>
    </row>
    <row r="13" spans="1:11" ht="14.45">
      <c r="A13" s="9" t="str">
        <v xml:space="preserve">NC: Gibson – Henry Gibson Solar </v>
      </c>
      <c r="B13" s="14" t="str">
        <v>NC</v>
      </c>
      <c r="C13" s="9"/>
      <c r="D13" s="9"/>
      <c r="E13" s="9"/>
      <c r="F13" s="10"/>
      <c r="G13" s="9"/>
      <c r="H13" s="9"/>
      <c r="I13" s="10"/>
      <c r="J13" s="9"/>
      <c r="K13" s="9"/>
    </row>
    <row r="14" spans="1:11" ht="14.45">
      <c r="A14" s="9" t="str">
        <v>Bangor - Pushaw</v>
      </c>
      <c r="B14" s="14" t="str">
        <v>ME</v>
      </c>
      <c r="C14" s="9"/>
      <c r="D14" s="9"/>
      <c r="E14" s="9"/>
      <c r="F14" s="10"/>
      <c r="G14" s="9"/>
      <c r="H14" s="9"/>
      <c r="I14" s="10"/>
      <c r="J14" s="9"/>
      <c r="K14" s="9"/>
    </row>
    <row r="15" spans="1:11" ht="14.45">
      <c r="A15" s="9"/>
      <c r="B15" s="14"/>
      <c r="C15" s="9"/>
      <c r="D15" s="9"/>
      <c r="E15" s="9"/>
      <c r="F15" s="10"/>
      <c r="G15" s="9"/>
      <c r="H15" s="9"/>
      <c r="I15" s="10"/>
      <c r="J15" s="9"/>
      <c r="K15" s="9"/>
    </row>
    <row r="16" spans="1:11" ht="14.45">
      <c r="A16" s="9"/>
      <c r="B16" s="14"/>
      <c r="C16" s="9"/>
      <c r="D16" s="9"/>
      <c r="E16" s="9"/>
      <c r="F16" s="10"/>
      <c r="G16" s="9"/>
      <c r="H16" s="9"/>
      <c r="I16" s="10"/>
      <c r="J16" s="9"/>
      <c r="K16" s="9"/>
    </row>
    <row r="17" spans="1:11" ht="14.45">
      <c r="A17" s="9"/>
      <c r="B17" s="14"/>
      <c r="C17" s="9"/>
      <c r="D17" s="9"/>
      <c r="E17" s="9"/>
      <c r="F17" s="10"/>
      <c r="G17" s="9"/>
      <c r="H17" s="9"/>
      <c r="I17" s="10"/>
      <c r="J17" s="9"/>
      <c r="K17" s="9"/>
    </row>
    <row r="18" spans="1:11" ht="14.45">
      <c r="A18" s="9"/>
      <c r="B18" s="14"/>
      <c r="C18" s="9"/>
      <c r="D18" s="9"/>
      <c r="E18" s="9"/>
      <c r="F18" s="10"/>
      <c r="G18" s="9"/>
      <c r="H18" s="9"/>
      <c r="I18" s="10"/>
      <c r="J18" s="9"/>
      <c r="K18" s="9"/>
    </row>
    <row r="19" spans="1:11" ht="14.45">
      <c r="A19" s="9"/>
      <c r="B19" s="14"/>
      <c r="C19" s="9"/>
      <c r="D19" s="9"/>
      <c r="E19" s="9"/>
      <c r="F19" s="10"/>
      <c r="G19" s="9"/>
      <c r="H19" s="9"/>
      <c r="I19" s="10"/>
      <c r="J19" s="9"/>
      <c r="K19" s="9"/>
    </row>
    <row r="20" spans="1:11" ht="14.45">
      <c r="A20" s="9"/>
      <c r="B20" s="14"/>
      <c r="C20" s="9"/>
      <c r="D20" s="9"/>
      <c r="E20" s="9"/>
      <c r="F20" s="10"/>
      <c r="G20" s="9"/>
      <c r="H20" s="9"/>
      <c r="I20" s="10"/>
      <c r="J20" s="9"/>
      <c r="K20" s="9"/>
    </row>
    <row r="21" spans="1:11" ht="14.45">
      <c r="A21" s="9"/>
      <c r="B21" s="14"/>
      <c r="C21" s="9"/>
      <c r="D21" s="9"/>
      <c r="E21" s="9"/>
      <c r="F21" s="10"/>
      <c r="G21" s="9"/>
      <c r="H21" s="9"/>
      <c r="I21" s="10"/>
      <c r="J21" s="9"/>
      <c r="K21" s="9"/>
    </row>
    <row r="22" spans="1:11" ht="14.45">
      <c r="A22" s="9"/>
      <c r="B22" s="14"/>
      <c r="C22" s="9"/>
      <c r="D22" s="9"/>
      <c r="E22" s="9"/>
      <c r="F22" s="10"/>
      <c r="G22" s="9"/>
      <c r="H22" s="9"/>
      <c r="I22" s="10"/>
      <c r="J22" s="9"/>
      <c r="K22" s="9"/>
    </row>
    <row r="23" spans="1:11" ht="14.45">
      <c r="A23" s="9"/>
      <c r="B23" s="14"/>
      <c r="C23" s="9"/>
      <c r="D23" s="9"/>
      <c r="E23" s="9"/>
      <c r="F23" s="10"/>
      <c r="G23" s="9"/>
      <c r="H23" s="9"/>
      <c r="I23" s="10"/>
      <c r="J23" s="9"/>
      <c r="K23" s="9"/>
    </row>
    <row r="24" spans="1:11" ht="14.45">
      <c r="A24" s="9"/>
      <c r="B24" s="14"/>
      <c r="C24" s="9"/>
      <c r="D24" s="9"/>
      <c r="E24" s="9"/>
      <c r="F24" s="10"/>
      <c r="G24" s="9"/>
      <c r="H24" s="9"/>
      <c r="I24" s="10"/>
      <c r="J24" s="9"/>
      <c r="K24" s="9"/>
    </row>
    <row r="25" spans="1:11" ht="14.45">
      <c r="A25" s="9"/>
      <c r="B25" s="14"/>
      <c r="C25" s="9"/>
      <c r="D25" s="9"/>
      <c r="E25" s="9"/>
      <c r="F25" s="10"/>
      <c r="G25" s="9"/>
      <c r="H25" s="9"/>
      <c r="I25" s="10"/>
      <c r="J25" s="9"/>
      <c r="K25" s="9"/>
    </row>
    <row r="26" spans="1:11" ht="14.45">
      <c r="A26" s="9"/>
      <c r="B26" s="14"/>
      <c r="C26" s="9"/>
      <c r="D26" s="9"/>
      <c r="E26" s="9"/>
      <c r="F26" s="10"/>
      <c r="G26" s="9"/>
      <c r="H26" s="9"/>
      <c r="I26" s="10"/>
      <c r="J26" s="9"/>
      <c r="K26" s="9"/>
    </row>
    <row r="27" spans="1:11" ht="14.45">
      <c r="A27" s="9"/>
      <c r="B27" s="14"/>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C322" s="9"/>
      <c r="D322" s="9"/>
      <c r="E322" s="9"/>
      <c r="F322" s="10"/>
      <c r="G322" s="9"/>
      <c r="H322" s="9"/>
      <c r="I322" s="10"/>
      <c r="J322" s="9"/>
      <c r="K322" s="9"/>
    </row>
  </sheetData>
  <mergeCells count="4">
    <mergeCell ref="G1:I1"/>
    <mergeCell ref="A1:C1"/>
    <mergeCell ref="D1:F1"/>
    <mergeCell ref="A2:B2"/>
  </mergeCells>
  <phoneticPr fontId="4" type="noConversion"/>
  <conditionalFormatting sqref="F2 I2 F4:F80 I4:I80">
    <cfRule type="cellIs" dxfId="4" priority="3" stopIfTrue="1" operator="lessThanOrEqual">
      <formula>-0.1</formula>
    </cfRule>
    <cfRule type="expression" dxfId="3"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6"/>
  <sheetViews>
    <sheetView workbookViewId="0">
      <pane ySplit="3" topLeftCell="A4" activePane="bottomLeft" state="frozen"/>
      <selection pane="bottomLeft" activeCell="E16" sqref="E16:E1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130</v>
      </c>
      <c r="B1" t="s">
        <v>131</v>
      </c>
    </row>
    <row r="3" spans="1:12" ht="13.15">
      <c r="A3" t="s">
        <v>132</v>
      </c>
      <c r="B3" t="s">
        <v>3</v>
      </c>
      <c r="C3" t="s">
        <v>4</v>
      </c>
      <c r="D3" t="s">
        <v>133</v>
      </c>
      <c r="E3" s="2" t="s">
        <v>134</v>
      </c>
    </row>
    <row r="4" spans="1:12" ht="14.45">
      <c r="A4" s="24" t="s">
        <v>135</v>
      </c>
      <c r="B4" t="s">
        <v>136</v>
      </c>
      <c r="C4" s="23" t="s">
        <v>137</v>
      </c>
      <c r="D4" s="22"/>
      <c r="E4" t="s">
        <v>138</v>
      </c>
      <c r="G4" s="3"/>
    </row>
    <row r="5" spans="1:12" ht="14.45">
      <c r="A5" s="24" t="s">
        <v>139</v>
      </c>
      <c r="B5" t="s">
        <v>139</v>
      </c>
      <c r="C5" s="23" t="s">
        <v>140</v>
      </c>
      <c r="D5" s="22" t="s">
        <v>141</v>
      </c>
      <c r="E5" t="s">
        <v>138</v>
      </c>
      <c r="G5" s="3"/>
    </row>
    <row r="6" spans="1:12" ht="14.45">
      <c r="A6" s="24" t="s">
        <v>142</v>
      </c>
      <c r="B6" t="s">
        <v>143</v>
      </c>
      <c r="C6" s="23" t="s">
        <v>140</v>
      </c>
      <c r="D6" s="22"/>
      <c r="E6" t="s">
        <v>138</v>
      </c>
      <c r="G6" s="3"/>
    </row>
    <row r="7" spans="1:12" ht="12.75" customHeight="1">
      <c r="A7" s="67" t="s">
        <v>144</v>
      </c>
      <c r="B7" s="60" t="s">
        <v>145</v>
      </c>
      <c r="C7" s="23" t="s">
        <v>146</v>
      </c>
      <c r="E7" t="s">
        <v>138</v>
      </c>
      <c r="K7" s="21"/>
      <c r="L7" s="21"/>
    </row>
    <row r="8" spans="1:12" ht="12.75" customHeight="1">
      <c r="A8" s="67" t="s">
        <v>147</v>
      </c>
      <c r="B8" s="60" t="s">
        <v>148</v>
      </c>
      <c r="C8" s="23" t="s">
        <v>140</v>
      </c>
      <c r="E8" t="s">
        <v>138</v>
      </c>
      <c r="K8" s="21"/>
      <c r="L8" s="21"/>
    </row>
    <row r="9" spans="1:12" ht="12.75" customHeight="1">
      <c r="A9" s="67" t="s">
        <v>149</v>
      </c>
      <c r="B9" s="60" t="s">
        <v>150</v>
      </c>
      <c r="C9" s="23" t="s">
        <v>146</v>
      </c>
      <c r="E9" t="s">
        <v>138</v>
      </c>
      <c r="K9" s="21"/>
      <c r="L9" s="21"/>
    </row>
    <row r="10" spans="1:12" ht="12.75" customHeight="1">
      <c r="A10" s="67" t="s">
        <v>151</v>
      </c>
      <c r="B10" s="60" t="s">
        <v>151</v>
      </c>
      <c r="C10" s="23" t="s">
        <v>140</v>
      </c>
      <c r="E10" t="s">
        <v>138</v>
      </c>
      <c r="K10" s="21"/>
      <c r="L10" s="21"/>
    </row>
    <row r="11" spans="1:12" ht="12.75" customHeight="1">
      <c r="A11" s="63" t="s">
        <v>152</v>
      </c>
      <c r="B11" s="60" t="s">
        <v>153</v>
      </c>
      <c r="C11" s="23" t="s">
        <v>140</v>
      </c>
      <c r="E11" t="s">
        <v>138</v>
      </c>
      <c r="K11" s="21"/>
      <c r="L11" s="21"/>
    </row>
    <row r="12" spans="1:12" ht="12.75" customHeight="1">
      <c r="A12" s="67" t="s">
        <v>154</v>
      </c>
      <c r="B12" s="60" t="s">
        <v>155</v>
      </c>
      <c r="C12" s="23" t="s">
        <v>140</v>
      </c>
      <c r="E12" t="s">
        <v>138</v>
      </c>
      <c r="K12" s="21"/>
      <c r="L12" s="21"/>
    </row>
    <row r="13" spans="1:12" ht="12.75" customHeight="1">
      <c r="A13" s="67" t="s">
        <v>156</v>
      </c>
      <c r="B13" s="60" t="s">
        <v>157</v>
      </c>
      <c r="C13" s="23" t="s">
        <v>158</v>
      </c>
      <c r="D13" t="s">
        <v>141</v>
      </c>
      <c r="E13" s="72" t="s">
        <v>138</v>
      </c>
    </row>
    <row r="14" spans="1:12" ht="12.75" customHeight="1">
      <c r="A14" s="67" t="s">
        <v>159</v>
      </c>
      <c r="B14" s="60" t="s">
        <v>160</v>
      </c>
      <c r="C14" s="23" t="s">
        <v>146</v>
      </c>
      <c r="D14" t="s">
        <v>141</v>
      </c>
      <c r="E14" t="s">
        <v>138</v>
      </c>
    </row>
    <row r="16" spans="1:12" ht="12.75" customHeight="1">
      <c r="A16" s="63"/>
      <c r="B16" s="60"/>
      <c r="C16" s="23"/>
      <c r="K16" s="21"/>
      <c r="L16" s="21"/>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4.xml>��
</file>

<file path=customXml/item15.xml>��
</file>

<file path=customXml/item16.xml>��
</file>

<file path=customXml/item17.xml>��
</file>

<file path=customXml/item18.xml>��
</file>

<file path=customXml/item19.xml><?xml version="1.0" encoding="utf-8"?>
<?mso-contentType ?>
<FormTemplates xmlns="http://schemas.microsoft.com/sharepoint/v3/contenttype/forms">
  <Display>DocumentLibraryForm</Display>
  <Edit>DocumentLibraryForm</Edit>
  <New>DocumentLibraryForm</New>
</FormTemplates>
</file>

<file path=customXml/item20.xml>��
</file>

<file path=customXml/itemProps1.xml><?xml version="1.0" encoding="utf-8"?>
<ds:datastoreItem xmlns:ds="http://schemas.openxmlformats.org/officeDocument/2006/customXml" ds:itemID="{98A113BB-8B7A-453C-8BD4-8EFC67FC2D3F}"/>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8D732231-4216-4543-A665-18A2886B0EB7}"/>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BF5C6359-7763-4C37-8EAF-2BC4698CB285}"/>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1954BBA4-0359-438C-B0EC-A756015F7C02}"/>
</file>

<file path=customXml/itemProps8.xml><?xml version="1.0" encoding="utf-8"?>
<ds:datastoreItem xmlns:ds="http://schemas.openxmlformats.org/officeDocument/2006/customXml" ds:itemID="{3AEAA9D8-2182-46BA-A58E-96C72DDA1C54}"/>
</file>

<file path=customXml/itemProps9.xml><?xml version="1.0" encoding="utf-8"?>
<ds:datastoreItem xmlns:ds="http://schemas.openxmlformats.org/officeDocument/2006/customXml" ds:itemID="{CB52044A-5C0B-44A2-99D0-C1C315EC302D}"/>
</file>

<file path=customXml/itemProps10.xml><?xml version="1.0" encoding="utf-8"?>
<ds:datastoreItem xmlns:ds="http://schemas.openxmlformats.org/officeDocument/2006/customXml" ds:itemID="{D3A7101F-9A85-4235-8B03-415370C100B2}"/>
</file>

<file path=customXml/itemProps11.xml><?xml version="1.0" encoding="utf-8"?>
<ds:datastoreItem xmlns:ds="http://schemas.openxmlformats.org/officeDocument/2006/customXml" ds:itemID="{66B09F59-6532-46F8-924A-9A02417E070D}"/>
</file>

<file path=customXml/itemProps12.xml><?xml version="1.0" encoding="utf-8"?>
<ds:datastoreItem xmlns:ds="http://schemas.openxmlformats.org/officeDocument/2006/customXml" ds:itemID="{078388C9-06F9-42F4-B857-EF76B5CAF1FD}"/>
</file>

<file path=customXml/itemProps13.xml><?xml version="1.0" encoding="utf-8"?>
<ds:datastoreItem xmlns:ds="http://schemas.openxmlformats.org/officeDocument/2006/customXml" ds:itemID="{8D97E4CA-096D-4D3F-BBCE-7E2A11009844}"/>
</file>

<file path=customXml/itemProps14.xml><?xml version="1.0" encoding="utf-8"?>
<ds:datastoreItem xmlns:ds="http://schemas.openxmlformats.org/officeDocument/2006/customXml" ds:itemID="{E20E8303-6A67-485C-B6F4-303542CC295C}"/>
</file>

<file path=customXml/itemProps15.xml><?xml version="1.0" encoding="utf-8"?>
<ds:datastoreItem xmlns:ds="http://schemas.openxmlformats.org/officeDocument/2006/customXml" ds:itemID="{F6B2B1A1-1C4B-4AC9-9A7D-7A102DD1C942}"/>
</file>

<file path=customXml/itemProps16.xml><?xml version="1.0" encoding="utf-8"?>
<ds:datastoreItem xmlns:ds="http://schemas.openxmlformats.org/officeDocument/2006/customXml" ds:itemID="{E3716282-BFD2-4ED2-BA47-BFA1123827F0}"/>
</file>

<file path=customXml/itemProps17.xml><?xml version="1.0" encoding="utf-8"?>
<ds:datastoreItem xmlns:ds="http://schemas.openxmlformats.org/officeDocument/2006/customXml" ds:itemID="{0389C43E-394D-44C0-87DC-4780FCFCFB40}"/>
</file>

<file path=customXml/itemProps18.xml><?xml version="1.0" encoding="utf-8"?>
<ds:datastoreItem xmlns:ds="http://schemas.openxmlformats.org/officeDocument/2006/customXml" ds:itemID="{F12EFA50-0068-4A8C-85A0-F1B26389EBC3}"/>
</file>

<file path=customXml/itemProps19.xml><?xml version="1.0" encoding="utf-8"?>
<ds:datastoreItem xmlns:ds="http://schemas.openxmlformats.org/officeDocument/2006/customXml" ds:itemID="{7946C510-7D04-49D8-9B25-EEC04582A1CA}"/>
</file>

<file path=customXml/itemProps20.xml><?xml version="1.0" encoding="utf-8"?>
<ds:datastoreItem xmlns:ds="http://schemas.openxmlformats.org/officeDocument/2006/customXml" ds:itemID="{14966E4F-347B-477B-B74C-9DAC054058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Jayasri  Garapati</cp:lastModifiedBy>
  <cp:revision/>
  <dcterms:created xsi:type="dcterms:W3CDTF">2021-01-01T16:39:53Z</dcterms:created>
  <dcterms:modified xsi:type="dcterms:W3CDTF">2025-06-07T03:40:53Z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2024-09-13T14:09:38Z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5e2876eb-07b3-41bf-9665-a07636594534</vt:lpwstr>
  </property>
  <property fmtid="{D5CDD505-2E9C-101B-9397-08002B2CF9AE}" pid="9" name="MSIP_Label_9d817c99-0b37-4a07-8277-96aa1f96b74b_ContentBits">
    <vt:lpwstr>0</vt:lpwstr>
  </property>
</Properties>
</file>