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1077F56C-E548-4CD1-8E36-782DEF4D94F2}" xr6:coauthVersionLast="47" xr6:coauthVersionMax="47" xr10:uidLastSave="{00000000-0000-0000-0000-000000000000}"/>
  <bookViews>
    <workbookView xWindow="-108" yWindow="-108" windowWidth="23256" windowHeight="13896" tabRatio="866" firstSheet="3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4" i="30"/>
  <c r="G2" i="30" s="1"/>
  <c r="G4" i="29"/>
  <c r="C4" i="29"/>
  <c r="G2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4" l="1"/>
  <c r="I2" i="4" s="1"/>
  <c r="H2" i="33"/>
  <c r="I2" i="33" s="1"/>
  <c r="H2" i="31"/>
  <c r="I2" i="31" s="1"/>
  <c r="G4" i="34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<sst xmlns="http://schemas.openxmlformats.org/spreadsheetml/2006/main" count="252" uniqueCount="58">
  <si>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</si>
  <si>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</si>
  <si>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</si>
  <si>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</si>
  <si>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</si>
  <si>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</si>
  <si>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</si>
  <si>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</si>
  <si>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</si>
  <si>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</si>
  <si>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</si>
  <si>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</si>
  <si>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</si>
  <si>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</si>
  <si>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</si>
  <si>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</si>
  <si>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</si>
  <si>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</si>
  <si>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</si>
  <si>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</si>
  <si>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</si>
  <si>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</si>
  <si>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</si>
  <si>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</si>
  <si>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</si>
  <si>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</si>
  <si>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</si>
  <si>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 xml:space="preserve">1.The site was offline from 07:45 AM to 02:03 PM on 03/14. MS Walker technicians re-energized the site by closing the recloser
2.Inverter 17 is underperforming by approximately 4 kW, possibly due to a string being down, when compared to Inverters 16 and 15
</t>
  </si>
  <si>
    <t>1.SR098583
2.SR098784</t>
  </si>
  <si>
    <t>SR098784</t>
  </si>
  <si>
    <t>April Actual v. Expected</t>
  </si>
  <si>
    <t>April Actual v. Forecasted</t>
  </si>
  <si>
    <t>1.Inverter 17 is underperforming approximately 4kW,possibly string down from 03/14 at 14:30 when compared to Inv 16 &amp;15 which are of same strings.</t>
  </si>
  <si>
    <t>1.SR098784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</si>
  <si>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</si>
  <si>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</si>
  <si>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</si>
  <si>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</si>
  <si>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</si>
  <si>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</si>
  <si>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</si>
  <si>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</si>
  <si>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</si>
  <si>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</si>
  <si>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</si>
  <si>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</si>
  <si>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</si>
  <si>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</si>
  <si>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</si>
  <si>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</si>
  <si>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</si>
  <si>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MS Walker</t>
  </si>
  <si>
    <t>Site DAS Name</t>
  </si>
  <si>
    <t>Update</t>
  </si>
  <si>
    <t>DAS</t>
  </si>
  <si>
    <t>MA: MS Walker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</si>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</sst>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8784" TargetMode="External"/><Relationship Id="rId1" Type="http://schemas.openxmlformats.org/officeDocument/2006/relationships/hyperlink" Target="https://us3.assetplanner.com/service_request?ID=098583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78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activeCell="A6" sqref="A6"/>
      <selection pane="bottomLeft" activeCell="G18" sqref="G18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6" t="str" cm="1">
        <f t="array" ref="A1">portfolio</f>
        <v>MS Walker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 x14ac:dyDescent="0.25">
      <c r="A2" s="48" t="s">
        <v>2</v>
      </c>
      <c r="B2" s="48"/>
      <c r="C2" s="6">
        <f>SUM(C4:C60)</f>
        <v>201173.82800000001</v>
      </c>
      <c r="D2" s="6">
        <f>SUM(D4:D60)</f>
        <v>0</v>
      </c>
      <c r="E2" s="6">
        <f>C2-D2</f>
        <v>201173.82800000001</v>
      </c>
      <c r="F2" s="7">
        <f>IFERROR(E2/D2, 0)</f>
        <v>0</v>
      </c>
      <c r="G2" s="6">
        <f>SUM(G4:G60)</f>
        <v>0</v>
      </c>
      <c r="H2" s="8">
        <f>C2-G2</f>
        <v>201173.82800000001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SUM('1st Qtr'!C4, '2nd Qtr'!C4, '3rd Qtr'!C4, '4th Qtr'!C4)</f>
        <v>201173.82800000001</v>
      </c>
      <c r="D4" s="14">
        <f>SUM('1st Qtr'!D4, '2nd Qtr'!D4, '3rd Qtr'!D4, '4th Qtr'!D4)</f>
        <v>0</v>
      </c>
      <c r="E4" s="14">
        <f>IF(AND(ISNUMBER(C4),ISNUMBER(D4)), C4-D4, "")</f>
        <v>201173.82800000001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4"/>
      <c r="G5" s="23"/>
      <c r="H5" s="23"/>
      <c r="I5" s="24"/>
    </row>
    <row r="6" spans="1:9" ht="13.8" x14ac:dyDescent="0.3">
      <c r="A6" s="23"/>
      <c r="B6" s="23"/>
      <c r="C6" s="23"/>
      <c r="D6" s="23"/>
      <c r="E6" s="23"/>
      <c r="F6" s="24"/>
      <c r="G6" s="23"/>
      <c r="H6" s="23"/>
      <c r="I6" s="24"/>
    </row>
    <row r="7" spans="1:9" ht="13.8" x14ac:dyDescent="0.3">
      <c r="A7" s="23"/>
      <c r="B7" s="23"/>
      <c r="C7" s="23"/>
      <c r="D7" s="23"/>
      <c r="E7" s="23"/>
      <c r="F7" s="24"/>
      <c r="G7" s="23"/>
      <c r="H7" s="23"/>
      <c r="I7" s="24"/>
    </row>
    <row r="8" spans="1:9" ht="13.8" x14ac:dyDescent="0.3">
      <c r="A8" s="23"/>
      <c r="B8" s="23"/>
      <c r="C8" s="23"/>
      <c r="D8" s="23"/>
      <c r="E8" s="23"/>
      <c r="F8" s="24"/>
      <c r="G8" s="23"/>
      <c r="H8" s="23"/>
      <c r="I8" s="24"/>
    </row>
    <row r="9" spans="1:9" ht="13.8" x14ac:dyDescent="0.3">
      <c r="A9" s="23"/>
      <c r="B9" s="23"/>
      <c r="C9" s="23"/>
      <c r="D9" s="23"/>
      <c r="E9" s="23"/>
      <c r="F9" s="24"/>
      <c r="G9" s="23"/>
      <c r="H9" s="23"/>
      <c r="I9" s="24"/>
    </row>
    <row r="10" spans="1:9" ht="13.8" x14ac:dyDescent="0.3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8" x14ac:dyDescent="0.3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8" x14ac:dyDescent="0.3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8" x14ac:dyDescent="0.3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8" x14ac:dyDescent="0.3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8" x14ac:dyDescent="0.3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8" x14ac:dyDescent="0.3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8" x14ac:dyDescent="0.3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activeCell="A16" sqref="A16:XFD24"/>
      <selection pane="bottomLef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6" t="str" cm="1">
        <f t="array" ref="A1">portfolio</f>
        <v>MS Walker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 x14ac:dyDescent="0.25">
      <c r="A2" s="48" t="s">
        <v>2</v>
      </c>
      <c r="B2" s="48"/>
      <c r="C2" s="6">
        <f>SUM(C4:C68)</f>
        <v>121978.82800000001</v>
      </c>
      <c r="D2" s="6">
        <f>SUM(D4:D68)</f>
        <v>0</v>
      </c>
      <c r="E2" s="6">
        <f>C2-D2</f>
        <v>121978.82800000001</v>
      </c>
      <c r="F2" s="7">
        <f>IFERROR(E2/D2, 0)</f>
        <v>0</v>
      </c>
      <c r="G2" s="6">
        <f>SUM(G4:G68)</f>
        <v>0</v>
      </c>
      <c r="H2" s="8">
        <f>C2-G2</f>
        <v>121978.82800000001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SUM(Jan!C4, Feb!C4, Mar!C4)</f>
        <v>121978.82800000001</v>
      </c>
      <c r="D4" s="14">
        <f>SUM(Jan!D4, Feb!D4, Mar!D4)</f>
        <v>0</v>
      </c>
      <c r="E4" s="14">
        <f>IF(AND(ISNUMBER(C4),ISNUMBER(D4)), C4-D4, "")</f>
        <v>121978.82800000001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4"/>
      <c r="G5" s="23"/>
      <c r="H5" s="23"/>
      <c r="I5" s="24"/>
    </row>
    <row r="6" spans="1:9" ht="13.8" x14ac:dyDescent="0.3">
      <c r="A6" s="23"/>
      <c r="B6" s="23"/>
      <c r="C6" s="23"/>
      <c r="D6" s="23"/>
      <c r="E6" s="23"/>
      <c r="F6" s="24"/>
      <c r="G6" s="23"/>
      <c r="H6" s="23"/>
      <c r="I6" s="24"/>
    </row>
    <row r="7" spans="1:9" ht="13.8" x14ac:dyDescent="0.3">
      <c r="A7" s="23"/>
      <c r="B7" s="23"/>
      <c r="C7" s="23"/>
      <c r="D7" s="23"/>
      <c r="E7" s="23"/>
      <c r="F7" s="24"/>
      <c r="G7" s="23"/>
      <c r="H7" s="23"/>
      <c r="I7" s="24"/>
    </row>
    <row r="8" spans="1:9" ht="13.8" x14ac:dyDescent="0.3">
      <c r="A8" s="23"/>
      <c r="B8" s="23"/>
      <c r="C8" s="23"/>
      <c r="D8" s="23"/>
      <c r="E8" s="23"/>
      <c r="F8" s="24"/>
      <c r="G8" s="23"/>
      <c r="H8" s="23"/>
      <c r="I8" s="24"/>
    </row>
    <row r="9" spans="1:9" ht="13.8" x14ac:dyDescent="0.3">
      <c r="A9" s="23"/>
      <c r="B9" s="23"/>
      <c r="C9" s="23"/>
      <c r="D9" s="23"/>
      <c r="E9" s="23"/>
      <c r="F9" s="24"/>
      <c r="G9" s="23"/>
      <c r="H9" s="23"/>
      <c r="I9" s="24"/>
    </row>
    <row r="10" spans="1:9" ht="13.8" x14ac:dyDescent="0.3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8" x14ac:dyDescent="0.3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8" x14ac:dyDescent="0.3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8" x14ac:dyDescent="0.3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8" x14ac:dyDescent="0.3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8" x14ac:dyDescent="0.3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8" x14ac:dyDescent="0.3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8" x14ac:dyDescent="0.3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activeCell="J20" sqref="J20"/>
      <selection pane="bottomLeft" activeCell="G9" sqref="G9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6" t="str" cm="1">
        <f t="array" ref="A1">portfolio</f>
        <v>MS Walker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 x14ac:dyDescent="0.25">
      <c r="A2" s="48" t="s">
        <v>2</v>
      </c>
      <c r="B2" s="48"/>
      <c r="C2" s="6">
        <f>SUM(C4:C90)</f>
        <v>79195</v>
      </c>
      <c r="D2" s="6">
        <f>SUM(D4:D90)</f>
        <v>0</v>
      </c>
      <c r="E2" s="6">
        <f>C2-D2</f>
        <v>79195</v>
      </c>
      <c r="F2" s="7">
        <f>IFERROR(E2/D2, 0)</f>
        <v>0</v>
      </c>
      <c r="G2" s="6">
        <f>SUM(G4:G90)</f>
        <v>0</v>
      </c>
      <c r="H2" s="8">
        <f>C2-G2</f>
        <v>79195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SUM(Apr!C4, May!C4, Jun!C4)</f>
        <v>79195</v>
      </c>
      <c r="D4" s="14">
        <f>SUM(Apr!D4, May!D4, Jun!D4)</f>
        <v>0</v>
      </c>
      <c r="E4" s="14">
        <f>IF(AND(ISNUMBER(C4),ISNUMBER(D4)), C4-D4, "")</f>
        <v>79195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6" x14ac:dyDescent="0.25">
      <c r="A5" s="19"/>
      <c r="B5" s="11"/>
      <c r="C5" s="12"/>
      <c r="D5" s="20"/>
      <c r="E5" s="20"/>
      <c r="F5" s="21"/>
      <c r="G5" s="22"/>
      <c r="H5" s="22"/>
      <c r="I5" s="21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6" t="str" cm="1">
        <f t="array" ref="A1">portfolio</f>
        <v>MS Walker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 x14ac:dyDescent="0.25">
      <c r="A2" s="48" t="s">
        <v>2</v>
      </c>
      <c r="B2" s="48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3"/>
      <c r="G5" s="23"/>
      <c r="H5" s="23"/>
      <c r="I5" s="23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E19" sqref="E19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6" t="str" cm="1">
        <f t="array" ref="A1">portfolio</f>
        <v>MS Walker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 x14ac:dyDescent="0.25">
      <c r="A2" s="48" t="s">
        <v>2</v>
      </c>
      <c r="B2" s="48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3"/>
      <c r="G5" s="23"/>
      <c r="H5" s="23"/>
      <c r="I5" s="23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zoomScale="90" zoomScaleNormal="90" workbookViewId="0">
      <pane ySplit="3" topLeftCell="A4" activePane="bottomLeft" state="frozen"/>
      <selection activeCell="F27" sqref="F26:F27"/>
      <selection pane="bottomLeft" activeCell="E16" sqref="E16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MS Walker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5"/>
      <c r="K1" s="5"/>
    </row>
    <row r="2" spans="1:11" ht="19.5" customHeight="1" x14ac:dyDescent="0.25">
      <c r="A2" s="48" t="s">
        <v>2</v>
      </c>
      <c r="B2" s="48"/>
      <c r="C2" s="6">
        <f>SUM(C4:C89)</f>
        <v>29177.128000000001</v>
      </c>
      <c r="D2" s="6">
        <f>SUM(D4:D89)</f>
        <v>0</v>
      </c>
      <c r="E2" s="6">
        <f>C2-D2</f>
        <v>29177.128000000001</v>
      </c>
      <c r="F2" s="7">
        <f>IFERROR(E2/D2, 0)</f>
        <v>0</v>
      </c>
      <c r="G2" s="6">
        <f>SUM(G4:G89)</f>
        <v>0</v>
      </c>
      <c r="H2" s="8">
        <f>C2-G2</f>
        <v>29177.128000000001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>
        <v>29177.128000000001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2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activeCell="F27" sqref="F26:F27"/>
      <selection pane="bottomLeft" activeCell="I15" sqref="I15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MS Walker</v>
      </c>
      <c r="B1" s="46"/>
      <c r="C1" s="46"/>
      <c r="D1" s="47" t="s">
        <v>23</v>
      </c>
      <c r="E1" s="47"/>
      <c r="F1" s="47"/>
      <c r="G1" s="45" t="s">
        <v>24</v>
      </c>
      <c r="H1" s="45"/>
      <c r="I1" s="45"/>
      <c r="J1" s="5"/>
      <c r="K1" s="5"/>
    </row>
    <row r="2" spans="1:11" ht="19.5" customHeight="1" x14ac:dyDescent="0.25">
      <c r="A2" s="48" t="s">
        <v>2</v>
      </c>
      <c r="B2" s="48"/>
      <c r="C2" s="6">
        <f>SUM(C4:C85)</f>
        <v>27473.4</v>
      </c>
      <c r="D2" s="6">
        <f>SUM(D4:D85)</f>
        <v>0</v>
      </c>
      <c r="E2" s="6">
        <f>C2-D2</f>
        <v>27473.4</v>
      </c>
      <c r="F2" s="7">
        <f>IFERROR(E2/D2, 0)</f>
        <v>0</v>
      </c>
      <c r="G2" s="6">
        <f>SUM(G4:G85)</f>
        <v>0</v>
      </c>
      <c r="H2" s="8">
        <f>C2-G2</f>
        <v>27473.4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>
        <v>27473.4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2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" x14ac:dyDescent="0.3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2"/>
  <sheetViews>
    <sheetView zoomScale="80" zoomScaleNormal="80" workbookViewId="0">
      <pane ySplit="2" topLeftCell="A3" activePane="bottomLeft" state="frozen"/>
      <selection activeCell="F27" sqref="F26:F27"/>
      <selection pane="bottomLeft" activeCell="L4" sqref="L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46" t="str" cm="1">
        <f t="array" ref="A1">portfolio</f>
        <v>MS Walker</v>
      </c>
      <c r="B1" s="46"/>
      <c r="C1" s="46"/>
      <c r="D1" s="47" t="s">
        <v>25</v>
      </c>
      <c r="E1" s="47"/>
      <c r="F1" s="47"/>
      <c r="G1" s="45" t="s">
        <v>26</v>
      </c>
      <c r="H1" s="45"/>
      <c r="I1" s="45"/>
      <c r="J1" s="5"/>
      <c r="K1" s="5"/>
    </row>
    <row r="2" spans="1:12" ht="19.5" customHeight="1" x14ac:dyDescent="0.25">
      <c r="A2" s="48" t="s">
        <v>2</v>
      </c>
      <c r="B2" s="48"/>
      <c r="C2" s="6">
        <f>SUM(C4:C90)</f>
        <v>65328.3</v>
      </c>
      <c r="D2" s="6">
        <f>SUM(D4:D90)</f>
        <v>0</v>
      </c>
      <c r="E2" s="6">
        <f>C2-D2</f>
        <v>65328.3</v>
      </c>
      <c r="F2" s="7">
        <f>IFERROR(E2/D2, 0)</f>
        <v>0</v>
      </c>
      <c r="G2" s="6">
        <f>SUM(G4:G90)</f>
        <v>0</v>
      </c>
      <c r="H2" s="8">
        <f>C2-G2</f>
        <v>65328.3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72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>
        <v>65328.3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2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27</v>
      </c>
      <c r="K4" s="43" t="s">
        <v>28</v>
      </c>
      <c r="L4" s="44" t="s">
        <v>29</v>
      </c>
    </row>
    <row r="5" spans="1:12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hyperlinks>
    <hyperlink ref="K4" r:id="rId1" display="https://us3.assetplanner.com/service_request?ID=098583" xr:uid="{6FFA8704-A7C8-4388-BDC7-120F413A49A7}"/>
    <hyperlink ref="L4" r:id="rId2" display="https://us3.assetplanner.com/service_request?ID=098784" xr:uid="{776DE1B4-8B1D-4B6E-8F68-784DCF9E7548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abSelected="1" workbookViewId="0">
      <pane ySplit="2" topLeftCell="A3" activePane="bottomLeft" state="frozen"/>
      <selection activeCell="F27" sqref="F26:F27"/>
      <selection pane="bottomLeft" activeCell="J14" sqref="J1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MS Walker</v>
      </c>
      <c r="B1" s="46"/>
      <c r="C1" s="46"/>
      <c r="D1" s="47" t="s">
        <v>30</v>
      </c>
      <c r="E1" s="47"/>
      <c r="F1" s="47"/>
      <c r="G1" s="45" t="s">
        <v>31</v>
      </c>
      <c r="H1" s="45"/>
      <c r="I1" s="45"/>
      <c r="J1" s="5"/>
      <c r="K1" s="5"/>
    </row>
    <row r="2" spans="1:11" ht="19.5" customHeight="1" x14ac:dyDescent="0.25">
      <c r="A2" s="48" t="s">
        <v>2</v>
      </c>
      <c r="B2" s="48"/>
      <c r="C2" s="6">
        <f>SUM(C4:C90)</f>
        <v>79195</v>
      </c>
      <c r="D2" s="6">
        <f>SUM(D4:D90)</f>
        <v>0</v>
      </c>
      <c r="E2" s="6">
        <f>C2-D2</f>
        <v>79195</v>
      </c>
      <c r="F2" s="7">
        <f>IFERROR(E2/D2, 0)</f>
        <v>0</v>
      </c>
      <c r="G2" s="6">
        <f>SUM(G4:G90)</f>
        <v>0</v>
      </c>
      <c r="H2" s="8">
        <f>C2-G2</f>
        <v>79195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>
        <v>79195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2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32</v>
      </c>
      <c r="K4" s="43" t="s">
        <v>33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hyperlinks>
    <hyperlink ref="K4" r:id="rId1" display="https://us3.assetplanner.com/service_request?ID=098784" xr:uid="{4CF3A914-EEC8-4E4F-B15C-340E9E4F711F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MS Walker</v>
      </c>
      <c r="B1" s="46"/>
      <c r="C1" s="46"/>
      <c r="D1" s="47" t="s">
        <v>34</v>
      </c>
      <c r="E1" s="47"/>
      <c r="F1" s="47"/>
      <c r="G1" s="45" t="s">
        <v>35</v>
      </c>
      <c r="H1" s="45"/>
      <c r="I1" s="45"/>
      <c r="J1" s="5"/>
      <c r="K1" s="5"/>
    </row>
    <row r="2" spans="1:11" ht="19.5" customHeight="1" x14ac:dyDescent="0.25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MS Walker</v>
      </c>
      <c r="B1" s="46"/>
      <c r="C1" s="46"/>
      <c r="D1" s="47" t="s">
        <v>36</v>
      </c>
      <c r="E1" s="47"/>
      <c r="F1" s="47"/>
      <c r="G1" s="45" t="s">
        <v>37</v>
      </c>
      <c r="H1" s="45"/>
      <c r="I1" s="45"/>
      <c r="J1" s="5"/>
      <c r="K1" s="5"/>
    </row>
    <row r="2" spans="1:11" ht="19.5" customHeight="1" x14ac:dyDescent="0.25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MS Walker</v>
      </c>
      <c r="B1" s="46"/>
      <c r="C1" s="46"/>
      <c r="D1" s="47" t="s">
        <v>38</v>
      </c>
      <c r="E1" s="47"/>
      <c r="F1" s="47"/>
      <c r="G1" s="45" t="s">
        <v>39</v>
      </c>
      <c r="H1" s="45"/>
      <c r="I1" s="45"/>
      <c r="J1" s="5"/>
      <c r="K1" s="5"/>
    </row>
    <row r="2" spans="1:11" ht="19.5" customHeight="1" x14ac:dyDescent="0.25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opLeftCell="B1" zoomScale="90" zoomScaleNormal="90"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MS Walker</v>
      </c>
      <c r="B1" s="46"/>
      <c r="C1" s="46"/>
      <c r="D1" s="47" t="s">
        <v>40</v>
      </c>
      <c r="E1" s="47"/>
      <c r="F1" s="47"/>
      <c r="G1" s="45" t="s">
        <v>41</v>
      </c>
      <c r="H1" s="45"/>
      <c r="I1" s="45"/>
      <c r="J1" s="5"/>
      <c r="K1" s="5"/>
    </row>
    <row r="2" spans="1:11" ht="19.5" customHeight="1" x14ac:dyDescent="0.25">
      <c r="A2" s="48" t="s">
        <v>2</v>
      </c>
      <c r="B2" s="48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" x14ac:dyDescent="0.3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" x14ac:dyDescent="0.3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" x14ac:dyDescent="0.3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" x14ac:dyDescent="0.3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" x14ac:dyDescent="0.3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" x14ac:dyDescent="0.3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MS Walker</v>
      </c>
      <c r="B1" s="46"/>
      <c r="C1" s="46"/>
      <c r="D1" s="47" t="s">
        <v>42</v>
      </c>
      <c r="E1" s="47"/>
      <c r="F1" s="47"/>
      <c r="G1" s="45" t="s">
        <v>43</v>
      </c>
      <c r="H1" s="45"/>
      <c r="I1" s="45"/>
      <c r="J1" s="5"/>
      <c r="K1" s="5"/>
    </row>
    <row r="2" spans="1:11" ht="19.5" customHeight="1" x14ac:dyDescent="0.25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opLeftCell="B1" zoomScale="90" zoomScaleNormal="90"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MS Walker</v>
      </c>
      <c r="B1" s="46"/>
      <c r="C1" s="46"/>
      <c r="D1" s="47" t="s">
        <v>44</v>
      </c>
      <c r="E1" s="47"/>
      <c r="F1" s="47"/>
      <c r="G1" s="45" t="s">
        <v>45</v>
      </c>
      <c r="H1" s="45"/>
      <c r="I1" s="45"/>
      <c r="J1" s="5"/>
      <c r="K1" s="5"/>
    </row>
    <row r="2" spans="1:11" ht="19.5" customHeight="1" x14ac:dyDescent="0.25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90" zoomScaleNormal="90"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MS Walker</v>
      </c>
      <c r="B1" s="46"/>
      <c r="C1" s="46"/>
      <c r="D1" s="47" t="s">
        <v>46</v>
      </c>
      <c r="E1" s="47"/>
      <c r="F1" s="47"/>
      <c r="G1" s="45" t="s">
        <v>47</v>
      </c>
      <c r="H1" s="45"/>
      <c r="I1" s="45"/>
      <c r="J1" s="5"/>
      <c r="K1" s="5"/>
    </row>
    <row r="2" spans="1:11" ht="19.5" customHeight="1" x14ac:dyDescent="0.25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90" zoomScaleNormal="90" workbookViewId="0">
      <pane ySplit="2" topLeftCell="A3" activePane="bottomLeft" state="frozen"/>
      <selection activeCell="C32" sqref="C32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MS Walker</v>
      </c>
      <c r="B1" s="46"/>
      <c r="C1" s="46"/>
      <c r="D1" s="47" t="s">
        <v>48</v>
      </c>
      <c r="E1" s="47"/>
      <c r="F1" s="47"/>
      <c r="G1" s="45" t="s">
        <v>49</v>
      </c>
      <c r="H1" s="45"/>
      <c r="I1" s="45"/>
      <c r="J1" s="5"/>
      <c r="K1" s="5"/>
    </row>
    <row r="2" spans="1:11" ht="19.5" customHeight="1" x14ac:dyDescent="0.25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activeCell="A16" sqref="A16:XFD24"/>
      <selection pane="bottomLeft" activeCell="E16" sqref="E16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18.33203125" customWidth="1"/>
    <col min="6" max="14" width="9.109375" customWidth="1"/>
  </cols>
  <sheetData>
    <row r="1" spans="1:7" ht="12.75" customHeight="1" x14ac:dyDescent="0.25">
      <c r="A1" t="s">
        <v>50</v>
      </c>
      <c r="B1" t="s">
        <v>51</v>
      </c>
    </row>
    <row r="3" spans="1:7" ht="13.2" x14ac:dyDescent="0.25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7" ht="14.4" x14ac:dyDescent="0.3">
      <c r="A4" t="s">
        <v>51</v>
      </c>
      <c r="B4" t="s">
        <v>55</v>
      </c>
      <c r="C4" s="4" t="s">
        <v>56</v>
      </c>
      <c r="E4" t="s">
        <v>57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2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4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5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6.xml><?xml version="1.0" encoding="utf-8"?>
<ds:datastoreItem xmlns:ds="http://schemas.openxmlformats.org/officeDocument/2006/customXml" ds:itemID="{C10EBC78-4A40-4C57-9336-460DF610DFC3}"/>
</file>

<file path=customXml/itemProps7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8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9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0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1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2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3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4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5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6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7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8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9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20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2025-05-17T08:05:28Z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