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CC376CDA-BDE7-4397-81DB-4E9E334287CC}" xr6:coauthVersionLast="47" xr6:coauthVersionMax="47" xr10:uidLastSave="{00000000-0000-0000-0000-000000000000}"/>
  <bookViews>
    <workbookView xWindow="-108" yWindow="-108" windowWidth="23256" windowHeight="1389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8" l="1"/>
  <c r="I18" i="18"/>
  <c r="I19" i="18"/>
  <c r="I20" i="18"/>
  <c r="I21" i="18"/>
  <c r="I22" i="18"/>
  <c r="I23" i="18"/>
  <c r="I24" i="18"/>
  <c r="G18" i="18"/>
  <c r="G19" i="18"/>
  <c r="G20" i="18"/>
  <c r="G21" i="18"/>
  <c r="G22" i="18"/>
  <c r="G23" i="18"/>
  <c r="G24" i="18"/>
  <c r="G17" i="18"/>
  <c r="G5" i="18"/>
  <c r="G6" i="18"/>
  <c r="G7" i="18"/>
  <c r="G8" i="18"/>
  <c r="G4" i="18"/>
  <c r="G2" i="18"/>
  <c r="H13" i="21"/>
  <c r="H14" i="21"/>
  <c r="H15" i="21"/>
  <c r="H16" i="21"/>
  <c r="H17" i="21"/>
  <c r="I17" i="21" s="1"/>
  <c r="H18" i="21"/>
  <c r="I18" i="21" s="1"/>
  <c r="H19" i="21"/>
  <c r="I19" i="21" s="1"/>
  <c r="H20" i="21"/>
  <c r="I20" i="21" s="1"/>
  <c r="H21" i="21"/>
  <c r="I21" i="21" s="1"/>
  <c r="H22" i="21"/>
  <c r="H22" i="18" s="1"/>
  <c r="H23" i="21"/>
  <c r="H23" i="18" s="1"/>
  <c r="H24" i="21"/>
  <c r="H24" i="18" s="1"/>
  <c r="I13" i="21"/>
  <c r="I14" i="21"/>
  <c r="I15" i="21"/>
  <c r="I16" i="21"/>
  <c r="H17" i="4"/>
  <c r="H18" i="4"/>
  <c r="H19" i="4"/>
  <c r="H20" i="4"/>
  <c r="H21" i="4"/>
  <c r="H22" i="4"/>
  <c r="H23" i="4"/>
  <c r="I8" i="30"/>
  <c r="I9" i="30"/>
  <c r="I10" i="30"/>
  <c r="I11" i="30"/>
  <c r="I12" i="30"/>
  <c r="I13" i="30"/>
  <c r="I14" i="30"/>
  <c r="I15" i="30"/>
  <c r="I16" i="30"/>
  <c r="I17" i="30"/>
  <c r="I18" i="30"/>
  <c r="I19" i="30"/>
  <c r="I20" i="30"/>
  <c r="I21" i="30"/>
  <c r="I22" i="30"/>
  <c r="I23" i="30"/>
  <c r="I24" i="30"/>
  <c r="H8" i="30"/>
  <c r="H9" i="30"/>
  <c r="H10" i="30"/>
  <c r="H11" i="30"/>
  <c r="H12" i="30"/>
  <c r="H13" i="30"/>
  <c r="H14" i="30"/>
  <c r="H15" i="30"/>
  <c r="H16" i="30"/>
  <c r="H17" i="30"/>
  <c r="H18" i="30"/>
  <c r="H19" i="30"/>
  <c r="H20" i="30"/>
  <c r="H21" i="30"/>
  <c r="H22" i="30"/>
  <c r="H23" i="30"/>
  <c r="H24" i="30"/>
  <c r="G8" i="30"/>
  <c r="G9" i="30"/>
  <c r="G10" i="30"/>
  <c r="G11" i="30"/>
  <c r="G12" i="30"/>
  <c r="G13" i="30"/>
  <c r="G14" i="30"/>
  <c r="G15" i="30"/>
  <c r="G16" i="30"/>
  <c r="G17" i="30"/>
  <c r="G18" i="30"/>
  <c r="G19" i="30"/>
  <c r="G20" i="30"/>
  <c r="G21" i="30"/>
  <c r="G22" i="30"/>
  <c r="G23" i="30"/>
  <c r="G24" i="30"/>
  <c r="F8" i="30"/>
  <c r="F9" i="30"/>
  <c r="F10" i="30"/>
  <c r="F11" i="30"/>
  <c r="F12" i="30"/>
  <c r="F13" i="30"/>
  <c r="F14" i="30"/>
  <c r="F15" i="30"/>
  <c r="F16" i="30"/>
  <c r="F17" i="30"/>
  <c r="F18" i="30"/>
  <c r="F19" i="30"/>
  <c r="F20" i="30"/>
  <c r="F21" i="30"/>
  <c r="F22" i="30"/>
  <c r="F23" i="30"/>
  <c r="F24" i="30"/>
  <c r="E8" i="30"/>
  <c r="E9" i="30"/>
  <c r="E10" i="30"/>
  <c r="E11" i="30"/>
  <c r="E12" i="30"/>
  <c r="E13" i="30"/>
  <c r="E14" i="30"/>
  <c r="E15" i="30"/>
  <c r="E16" i="30"/>
  <c r="E17" i="30"/>
  <c r="E18" i="30"/>
  <c r="E19" i="30"/>
  <c r="E20" i="30"/>
  <c r="E21" i="30"/>
  <c r="E22" i="30"/>
  <c r="E23" i="30"/>
  <c r="E24" i="30"/>
  <c r="D8" i="30"/>
  <c r="D9" i="30"/>
  <c r="D10" i="30"/>
  <c r="D11" i="30"/>
  <c r="D12" i="30"/>
  <c r="D13" i="30"/>
  <c r="D14" i="30"/>
  <c r="D15" i="30"/>
  <c r="D16" i="30"/>
  <c r="D17" i="30"/>
  <c r="D18" i="30"/>
  <c r="D19" i="30"/>
  <c r="D20" i="30"/>
  <c r="D21" i="30"/>
  <c r="D22" i="30"/>
  <c r="D23" i="30"/>
  <c r="D24" i="30"/>
  <c r="C8" i="30"/>
  <c r="C9" i="30"/>
  <c r="C10" i="30"/>
  <c r="C11" i="30"/>
  <c r="C12" i="30"/>
  <c r="C13" i="30"/>
  <c r="C14" i="30"/>
  <c r="C15" i="30"/>
  <c r="C16" i="30"/>
  <c r="C17" i="30"/>
  <c r="C18" i="30"/>
  <c r="C19" i="30"/>
  <c r="C20" i="30"/>
  <c r="C21" i="30"/>
  <c r="C22" i="30"/>
  <c r="C23" i="30"/>
  <c r="C24" i="30"/>
  <c r="C8" i="29"/>
  <c r="C9" i="29"/>
  <c r="C10" i="29"/>
  <c r="C11" i="29"/>
  <c r="C12" i="29"/>
  <c r="C13" i="29"/>
  <c r="C14" i="29"/>
  <c r="C15" i="29"/>
  <c r="C16" i="29"/>
  <c r="C17" i="29"/>
  <c r="C18" i="29"/>
  <c r="C19" i="29"/>
  <c r="C20" i="29"/>
  <c r="C21" i="29"/>
  <c r="C22" i="29"/>
  <c r="C23" i="29"/>
  <c r="C24" i="29"/>
  <c r="I8" i="29"/>
  <c r="I9" i="29"/>
  <c r="I10" i="29"/>
  <c r="I11" i="29"/>
  <c r="I12" i="29"/>
  <c r="I13" i="29"/>
  <c r="I14" i="29"/>
  <c r="I15" i="29"/>
  <c r="I16" i="29"/>
  <c r="I17" i="29"/>
  <c r="I18" i="29"/>
  <c r="I19" i="29"/>
  <c r="I20" i="29"/>
  <c r="I21" i="29"/>
  <c r="I22" i="29"/>
  <c r="I23" i="29"/>
  <c r="I24" i="29"/>
  <c r="H8" i="29"/>
  <c r="H9" i="29"/>
  <c r="H10" i="29"/>
  <c r="H11" i="29"/>
  <c r="H12" i="29"/>
  <c r="H13" i="29"/>
  <c r="H14" i="29"/>
  <c r="H15" i="29"/>
  <c r="H16"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E8" i="29"/>
  <c r="F8" i="29" s="1"/>
  <c r="E9" i="29"/>
  <c r="F9" i="29" s="1"/>
  <c r="E10" i="29"/>
  <c r="F10" i="29" s="1"/>
  <c r="E11" i="29"/>
  <c r="F11" i="29" s="1"/>
  <c r="E12" i="29"/>
  <c r="F12" i="29" s="1"/>
  <c r="E13" i="29"/>
  <c r="F13" i="29" s="1"/>
  <c r="E14" i="29"/>
  <c r="F14" i="29" s="1"/>
  <c r="E15" i="29"/>
  <c r="F15" i="29" s="1"/>
  <c r="E16" i="29"/>
  <c r="F16" i="29" s="1"/>
  <c r="E17" i="29"/>
  <c r="F17" i="29" s="1"/>
  <c r="E18" i="29"/>
  <c r="F18" i="29" s="1"/>
  <c r="E19" i="29"/>
  <c r="F19" i="29" s="1"/>
  <c r="E20" i="29"/>
  <c r="F20" i="29" s="1"/>
  <c r="E21" i="29"/>
  <c r="F21" i="29" s="1"/>
  <c r="E22" i="29"/>
  <c r="F22" i="29" s="1"/>
  <c r="E23" i="29"/>
  <c r="F23" i="29" s="1"/>
  <c r="E24" i="29"/>
  <c r="F24" i="29" s="1"/>
  <c r="D8" i="29"/>
  <c r="D9" i="29"/>
  <c r="D10" i="29"/>
  <c r="D11" i="29"/>
  <c r="D12" i="29"/>
  <c r="D13" i="29"/>
  <c r="D14" i="29"/>
  <c r="D15" i="29"/>
  <c r="D16" i="29"/>
  <c r="D17" i="29"/>
  <c r="D18" i="29"/>
  <c r="D19" i="29"/>
  <c r="D20" i="29"/>
  <c r="D21" i="29"/>
  <c r="D22" i="29"/>
  <c r="D23" i="29"/>
  <c r="D24" i="29"/>
  <c r="I13" i="18"/>
  <c r="H13" i="18"/>
  <c r="H14" i="18"/>
  <c r="I14" i="18" s="1"/>
  <c r="H15" i="18"/>
  <c r="H16" i="18"/>
  <c r="H17" i="18"/>
  <c r="H18" i="18"/>
  <c r="H21" i="18"/>
  <c r="G9" i="18"/>
  <c r="G10" i="18"/>
  <c r="G11" i="18"/>
  <c r="G12" i="18"/>
  <c r="G13" i="18"/>
  <c r="G14" i="18"/>
  <c r="G15" i="18"/>
  <c r="G16" i="18"/>
  <c r="I16" i="18" s="1"/>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E23" i="18" s="1"/>
  <c r="F23" i="18" s="1"/>
  <c r="C24" i="18"/>
  <c r="H8" i="1"/>
  <c r="H9" i="1"/>
  <c r="H10" i="1"/>
  <c r="H11" i="1"/>
  <c r="H12" i="1"/>
  <c r="H13" i="1"/>
  <c r="H14" i="1"/>
  <c r="H15" i="1"/>
  <c r="H16" i="1"/>
  <c r="H17" i="1"/>
  <c r="H18" i="1"/>
  <c r="G8" i="1"/>
  <c r="G9" i="1"/>
  <c r="G10" i="1"/>
  <c r="G11" i="1"/>
  <c r="G12" i="1"/>
  <c r="G12" i="34" s="1"/>
  <c r="G13" i="1"/>
  <c r="G13" i="34" s="1"/>
  <c r="G14" i="1"/>
  <c r="G14" i="34" s="1"/>
  <c r="G15" i="1"/>
  <c r="G16" i="1"/>
  <c r="G17" i="1"/>
  <c r="G17" i="34" s="1"/>
  <c r="G18" i="1"/>
  <c r="G19" i="1"/>
  <c r="G20" i="1"/>
  <c r="G21" i="1"/>
  <c r="G22" i="1"/>
  <c r="G22" i="34" s="1"/>
  <c r="G23" i="1"/>
  <c r="G24" i="1"/>
  <c r="D8" i="1"/>
  <c r="D9" i="1"/>
  <c r="D10" i="1"/>
  <c r="D11" i="1"/>
  <c r="D12" i="1"/>
  <c r="D13" i="1"/>
  <c r="D14" i="1"/>
  <c r="D15" i="1"/>
  <c r="D16" i="1"/>
  <c r="D17" i="1"/>
  <c r="D18" i="1"/>
  <c r="D18" i="34" s="1"/>
  <c r="D19" i="1"/>
  <c r="D20" i="1"/>
  <c r="D20" i="34" s="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G8" i="34" l="1"/>
  <c r="E24" i="18"/>
  <c r="F24" i="18" s="1"/>
  <c r="E8" i="18"/>
  <c r="F8" i="18" s="1"/>
  <c r="G20" i="34"/>
  <c r="G24" i="34"/>
  <c r="H20" i="18"/>
  <c r="G18" i="34"/>
  <c r="E22" i="18"/>
  <c r="F22" i="18" s="1"/>
  <c r="D8" i="34"/>
  <c r="E13" i="18"/>
  <c r="F13" i="18" s="1"/>
  <c r="E12" i="18"/>
  <c r="F12" i="18" s="1"/>
  <c r="E16" i="18"/>
  <c r="F16" i="18" s="1"/>
  <c r="H19" i="18"/>
  <c r="I24" i="21"/>
  <c r="I23" i="21"/>
  <c r="I22" i="21"/>
  <c r="D24" i="34"/>
  <c r="D22" i="34"/>
  <c r="G23" i="34"/>
  <c r="D23" i="34"/>
  <c r="D21" i="34"/>
  <c r="G21" i="34"/>
  <c r="D19" i="34"/>
  <c r="G19" i="34"/>
  <c r="I15" i="18"/>
  <c r="G15" i="34"/>
  <c r="G16" i="34"/>
  <c r="D17" i="34"/>
  <c r="C14" i="34"/>
  <c r="C16" i="34"/>
  <c r="C15" i="34"/>
  <c r="C13" i="34"/>
  <c r="G9" i="34"/>
  <c r="C9" i="34"/>
  <c r="C12" i="34"/>
  <c r="G11" i="34"/>
  <c r="C11" i="34"/>
  <c r="G10" i="34"/>
  <c r="C10" i="34"/>
  <c r="C24" i="34"/>
  <c r="E24" i="1"/>
  <c r="F24" i="1" s="1"/>
  <c r="C23" i="34"/>
  <c r="E23" i="1"/>
  <c r="F23" i="1" s="1"/>
  <c r="C22" i="34"/>
  <c r="E22" i="1"/>
  <c r="F22" i="1" s="1"/>
  <c r="C21" i="34"/>
  <c r="E21" i="1"/>
  <c r="F21" i="1" s="1"/>
  <c r="C20" i="34"/>
  <c r="E20" i="34" s="1"/>
  <c r="F20" i="34" s="1"/>
  <c r="E20" i="1"/>
  <c r="F20" i="1" s="1"/>
  <c r="C19" i="34"/>
  <c r="E19" i="1"/>
  <c r="F19" i="1" s="1"/>
  <c r="C18" i="34"/>
  <c r="E18" i="34" s="1"/>
  <c r="F18" i="34" s="1"/>
  <c r="E18" i="1"/>
  <c r="F18" i="1" s="1"/>
  <c r="C17" i="34"/>
  <c r="E17" i="1"/>
  <c r="F17" i="1" s="1"/>
  <c r="H16" i="34"/>
  <c r="I16" i="34" s="1"/>
  <c r="I16" i="1"/>
  <c r="H15" i="34"/>
  <c r="I15" i="34" s="1"/>
  <c r="I15" i="1"/>
  <c r="H14" i="34"/>
  <c r="I14" i="34" s="1"/>
  <c r="I14" i="1"/>
  <c r="H13" i="34"/>
  <c r="I13" i="34" s="1"/>
  <c r="I13" i="1"/>
  <c r="I12" i="1"/>
  <c r="C8" i="34"/>
  <c r="E8" i="34" s="1"/>
  <c r="F8" i="34" s="1"/>
  <c r="E8" i="1"/>
  <c r="F8" i="1" s="1"/>
  <c r="I11" i="1"/>
  <c r="I10" i="1"/>
  <c r="I9" i="1"/>
  <c r="I8" i="1"/>
  <c r="H18" i="34"/>
  <c r="I18" i="34" s="1"/>
  <c r="I18" i="1"/>
  <c r="H17" i="34"/>
  <c r="I17" i="34" s="1"/>
  <c r="I17" i="1"/>
  <c r="H22" i="34"/>
  <c r="I22" i="34" s="1"/>
  <c r="I22" i="1"/>
  <c r="I21" i="4"/>
  <c r="H21" i="1"/>
  <c r="H20" i="34"/>
  <c r="I20" i="34" s="1"/>
  <c r="I20" i="1"/>
  <c r="I19" i="4"/>
  <c r="H19" i="1"/>
  <c r="I24" i="4"/>
  <c r="H24" i="1"/>
  <c r="H23" i="34"/>
  <c r="I23" i="1"/>
  <c r="D16" i="34"/>
  <c r="E16" i="1"/>
  <c r="F16" i="1" s="1"/>
  <c r="D15" i="34"/>
  <c r="E15" i="1"/>
  <c r="F15" i="1" s="1"/>
  <c r="D14" i="34"/>
  <c r="E14" i="1"/>
  <c r="F14" i="1" s="1"/>
  <c r="D13" i="34"/>
  <c r="E13" i="34" s="1"/>
  <c r="F13" i="34" s="1"/>
  <c r="E13" i="1"/>
  <c r="F13" i="1" s="1"/>
  <c r="D12" i="34"/>
  <c r="E12" i="34" s="1"/>
  <c r="F12" i="34" s="1"/>
  <c r="E12" i="1"/>
  <c r="F12" i="1" s="1"/>
  <c r="D11" i="34"/>
  <c r="E11" i="34" s="1"/>
  <c r="F11" i="34" s="1"/>
  <c r="E11" i="1"/>
  <c r="F11" i="1" s="1"/>
  <c r="D10" i="34"/>
  <c r="E10" i="34" s="1"/>
  <c r="F10" i="34" s="1"/>
  <c r="E10" i="1"/>
  <c r="F10" i="1" s="1"/>
  <c r="D9" i="34"/>
  <c r="E9" i="34" s="1"/>
  <c r="F9" i="34" s="1"/>
  <c r="E9" i="1"/>
  <c r="F9" i="1" s="1"/>
  <c r="G6" i="30"/>
  <c r="G7" i="30"/>
  <c r="G5" i="30"/>
  <c r="G4" i="30"/>
  <c r="E5" i="28"/>
  <c r="F5" i="28" s="1"/>
  <c r="E5" i="27"/>
  <c r="G5" i="29"/>
  <c r="G6" i="29"/>
  <c r="G7" i="29"/>
  <c r="G4" i="29"/>
  <c r="E12" i="19"/>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I23" i="34" l="1"/>
  <c r="E19" i="34"/>
  <c r="F19" i="34" s="1"/>
  <c r="E21" i="34"/>
  <c r="F21" i="34" s="1"/>
  <c r="E23" i="34"/>
  <c r="F23" i="34" s="1"/>
  <c r="E24" i="34"/>
  <c r="F24" i="34" s="1"/>
  <c r="E14" i="34"/>
  <c r="F14" i="34" s="1"/>
  <c r="E22" i="34"/>
  <c r="F22" i="34" s="1"/>
  <c r="E17" i="34"/>
  <c r="F17" i="34" s="1"/>
  <c r="E16" i="34"/>
  <c r="F16" i="34" s="1"/>
  <c r="E15" i="34"/>
  <c r="F15" i="34" s="1"/>
  <c r="H21" i="34"/>
  <c r="I21" i="34" s="1"/>
  <c r="I21" i="1"/>
  <c r="H19" i="34"/>
  <c r="I19" i="34" s="1"/>
  <c r="I19" i="1"/>
  <c r="H24" i="34"/>
  <c r="I24" i="34" s="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6" i="34" s="1"/>
  <c r="G7" i="1"/>
  <c r="G7" i="34" s="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G2" i="30"/>
  <c r="A1" i="30" a="1"/>
  <c r="A1" i="30" s="1"/>
  <c r="B4" i="29" a="1"/>
  <c r="B4" i="29" s="1"/>
  <c r="A4" i="29" a="1"/>
  <c r="A4" i="29" s="1"/>
  <c r="G2" i="29"/>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2" i="19"/>
  <c r="I12" i="19" s="1"/>
  <c r="F12" i="19"/>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I8" i="21" l="1"/>
  <c r="H8" i="18"/>
  <c r="I9" i="21"/>
  <c r="H9" i="18"/>
  <c r="I12" i="21"/>
  <c r="H12" i="18"/>
  <c r="I11" i="21"/>
  <c r="H11" i="18"/>
  <c r="I10" i="21"/>
  <c r="H10" i="18"/>
  <c r="C5" i="34"/>
  <c r="D5" i="34"/>
  <c r="C6" i="34"/>
  <c r="D6" i="34"/>
  <c r="C7" i="34"/>
  <c r="D7" i="34"/>
  <c r="H6" i="29"/>
  <c r="I6" i="29" s="1"/>
  <c r="E7" i="18"/>
  <c r="F7" i="18" s="1"/>
  <c r="D4" i="34"/>
  <c r="D2" i="18"/>
  <c r="H6" i="30"/>
  <c r="H7" i="29"/>
  <c r="I7" i="29" s="1"/>
  <c r="E4" i="18"/>
  <c r="F4" i="18" s="1"/>
  <c r="E4" i="30"/>
  <c r="F4" i="30" s="1"/>
  <c r="D2" i="29"/>
  <c r="I10" i="27"/>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G2" i="1"/>
  <c r="E5" i="1"/>
  <c r="F5" i="1" s="1"/>
  <c r="E6" i="1"/>
  <c r="F6" i="1" s="1"/>
  <c r="H4" i="30"/>
  <c r="I4" i="30" s="1"/>
  <c r="E7" i="30"/>
  <c r="F7" i="30" s="1"/>
  <c r="H7" i="30"/>
  <c r="H5" i="30"/>
  <c r="E7" i="29"/>
  <c r="F7" i="29" s="1"/>
  <c r="I6" i="26"/>
  <c r="I9" i="26"/>
  <c r="I12" i="26"/>
  <c r="H4" i="29"/>
  <c r="I4" i="29" s="1"/>
  <c r="H5" i="29"/>
  <c r="I5" i="29" s="1"/>
  <c r="I7" i="26"/>
  <c r="H6" i="18"/>
  <c r="I6" i="18" s="1"/>
  <c r="H4" i="18"/>
  <c r="I4" i="18" s="1"/>
  <c r="H7" i="18"/>
  <c r="I7" i="18" s="1"/>
  <c r="C4" i="34"/>
  <c r="H5" i="18"/>
  <c r="I5" i="18" s="1"/>
  <c r="C2" i="29"/>
  <c r="C2" i="30"/>
  <c r="E4" i="29"/>
  <c r="F4" i="29" s="1"/>
  <c r="C2" i="18"/>
  <c r="H7" i="1"/>
  <c r="I7" i="1" s="1"/>
  <c r="H4" i="1"/>
  <c r="H5" i="1"/>
  <c r="I5" i="1" s="1"/>
  <c r="H6" i="1"/>
  <c r="I6" i="1" s="1"/>
  <c r="C2" i="1"/>
  <c r="E2" i="3"/>
  <c r="F2" i="3" s="1"/>
  <c r="E4" i="1"/>
  <c r="F4" i="1" s="1"/>
  <c r="D2" i="1"/>
  <c r="E2" i="33"/>
  <c r="F2" i="33" s="1"/>
  <c r="E2" i="32"/>
  <c r="F2" i="32" s="1"/>
  <c r="E2" i="31"/>
  <c r="F2" i="31" s="1"/>
  <c r="E2" i="27"/>
  <c r="F2" i="27" s="1"/>
  <c r="E2" i="26"/>
  <c r="F2" i="26" s="1"/>
  <c r="E2" i="19"/>
  <c r="F2" i="19" s="1"/>
  <c r="E2" i="21"/>
  <c r="F2" i="21" s="1"/>
  <c r="E2" i="4"/>
  <c r="F2" i="4" s="1"/>
  <c r="H2" i="72"/>
  <c r="I8" i="18" l="1"/>
  <c r="H8" i="34"/>
  <c r="I8" i="34" s="1"/>
  <c r="I9" i="18"/>
  <c r="H9" i="34"/>
  <c r="I9" i="34" s="1"/>
  <c r="I12" i="18"/>
  <c r="H12" i="34"/>
  <c r="I12" i="34" s="1"/>
  <c r="I11" i="18"/>
  <c r="H11" i="34"/>
  <c r="I11" i="34" s="1"/>
  <c r="I10" i="18"/>
  <c r="H10" i="34"/>
  <c r="I10" i="34" s="1"/>
  <c r="E5" i="34"/>
  <c r="F5" i="34" s="1"/>
  <c r="E7" i="34"/>
  <c r="F7" i="34" s="1"/>
  <c r="E6" i="34"/>
  <c r="F6" i="34" s="1"/>
  <c r="D2" i="34"/>
  <c r="I5" i="30"/>
  <c r="H5" i="34"/>
  <c r="I5" i="34" s="1"/>
  <c r="I7" i="30"/>
  <c r="H7" i="34"/>
  <c r="I7"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<sst xmlns="http://schemas.openxmlformats.org/spreadsheetml/2006/main" count="495" uniqueCount="203">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</sst>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9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4" totalsRowShown="0">
  <autoFilter ref="A3:E24"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14" activePane="bottomRight" state="frozen"/>
      <selection pane="bottomRight" activeCell="D30" sqref="D3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2" t="str" cm="1">
        <f t="array" ref="A1">portfolio</f>
        <v>Clean Capital</v>
      </c>
      <c r="B1" s="92"/>
      <c r="C1" s="92"/>
      <c r="D1" s="93" t="s">
        <v>0</v>
      </c>
      <c r="E1" s="93"/>
      <c r="F1" s="93"/>
      <c r="G1" s="91" t="s">
        <v>1</v>
      </c>
      <c r="H1" s="91"/>
      <c r="I1" s="91"/>
    </row>
    <row r="2" spans="1:9" ht="19.5" customHeight="1">
      <c r="A2" s="94" t="s">
        <v>2</v>
      </c>
      <c r="B2" s="94"/>
      <c r="C2" s="5">
        <f>SUM(C4:C71)</f>
        <v>3586311.9732563067</v>
      </c>
      <c r="D2" s="5">
        <f>SUM(D4:D71)</f>
        <v>0</v>
      </c>
      <c r="E2" s="5">
        <f>C2-D2</f>
        <v>3586311.9732563067</v>
      </c>
      <c r="F2" s="6">
        <f>IFERROR(E2/D2, 0)</f>
        <v>0</v>
      </c>
      <c r="G2" s="5">
        <f>SUM(G4:G71)</f>
        <v>3162740.9000000004</v>
      </c>
      <c r="H2" s="7">
        <f>C2-G2</f>
        <v>423571.07325630635</v>
      </c>
      <c r="I2" s="6">
        <f>IFERROR(H2/G2, 0)</f>
        <v>0.13392531561984933</v>
      </c>
    </row>
    <row r="3" spans="1:9" ht="14.25" customHeight="1">
      <c r="A3" s="12" t="s">
        <v>3</v>
      </c>
      <c r="B3" s="12" t="s">
        <v>4</v>
      </c>
      <c r="C3" s="19" t="s">
        <v>5</v>
      </c>
      <c r="D3" s="20" t="s">
        <v>6</v>
      </c>
      <c r="E3" s="20" t="s">
        <v>7</v>
      </c>
      <c r="F3" s="21" t="s">
        <v>8</v>
      </c>
      <c r="G3" s="22" t="s">
        <v>9</v>
      </c>
      <c r="H3" s="23" t="s">
        <v>7</v>
      </c>
      <c r="I3" s="24" t="s">
        <v>8</v>
      </c>
    </row>
    <row r="4" spans="1:9" ht="15.6">
      <c r="A4" s="26" t="str" cm="1">
        <f t="array" ref="A4:A24">Sites[Site]</f>
        <v>Lexington - Cotting School</v>
      </c>
      <c r="B4" s="27" t="str" cm="1">
        <f t="array" ref="B4:B24">Sites[State]</f>
        <v>MA</v>
      </c>
      <c r="C4" s="28">
        <f>SUM('1st Qtr'!C4, '2nd Qtr'!C4, '3rd Qtr'!C4, '4th Qtr'!C4)</f>
        <v>49151.688000000002</v>
      </c>
      <c r="D4" s="29">
        <f>SUM('1st Qtr'!D4, '2nd Qtr'!D4, '3rd Qtr'!D4, '4th Qtr'!D4)</f>
        <v>0</v>
      </c>
      <c r="E4" s="29">
        <f>IF(AND(ISNUMBER(C4),ISNUMBER(D4)), C4-D4, "")</f>
        <v>49151.688000000002</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96179.5</v>
      </c>
      <c r="D5" s="35">
        <f>SUM('1st Qtr'!D5, '2nd Qtr'!D5, '3rd Qtr'!D5, '4th Qtr'!D5)</f>
        <v>0</v>
      </c>
      <c r="E5" s="36">
        <f t="shared" ref="E5:E7" si="0">IF(AND(ISNUMBER(C5),ISNUMBER(D5)), C5-D5, "")</f>
        <v>96179.5</v>
      </c>
      <c r="F5" s="37" t="str">
        <f>IFERROR(E5/D5, "")</f>
        <v/>
      </c>
      <c r="G5" s="38">
        <f>SUM('1st Qtr'!G5, '2nd Qtr'!G5, '3rd Qtr'!G5, '4th Qtr'!G5)</f>
        <v>165880</v>
      </c>
      <c r="H5" s="38">
        <f>SUM('1st Qtr'!H5, '2nd Qtr'!H5, '3rd Qtr'!H5, '4th Qtr'!H5)</f>
        <v>-69700.5</v>
      </c>
      <c r="I5" s="37">
        <f>IFERROR(H5/G5, "")</f>
        <v>-0.42018627923800339</v>
      </c>
    </row>
    <row r="6" spans="1:9" ht="15.6">
      <c r="A6" s="26" t="str">
        <v>Hyannis - Sturgis Charter School</v>
      </c>
      <c r="B6" s="27" t="str">
        <v>MA</v>
      </c>
      <c r="C6" s="28">
        <f>SUM('1st Qtr'!C6, '2nd Qtr'!C6, '3rd Qtr'!C6, '4th Qtr'!C6)</f>
        <v>88631.294301562491</v>
      </c>
      <c r="D6" s="29">
        <f>SUM('1st Qtr'!D6, '2nd Qtr'!D6, '3rd Qtr'!D6, '4th Qtr'!D6)</f>
        <v>0</v>
      </c>
      <c r="E6" s="29">
        <f t="shared" si="0"/>
        <v>88631.294301562491</v>
      </c>
      <c r="F6" s="30" t="str">
        <f t="shared" ref="F6:F7" si="1">IFERROR(E6/D6, "")</f>
        <v/>
      </c>
      <c r="G6" s="31">
        <f>SUM('1st Qtr'!G6, '2nd Qtr'!G6, '3rd Qtr'!G6, '4th Qtr'!G6)</f>
        <v>86710</v>
      </c>
      <c r="H6" s="31">
        <f>SUM('1st Qtr'!H6, '2nd Qtr'!H6, '3rd Qtr'!H6, '4th Qtr'!H6)</f>
        <v>1921.2943015624878</v>
      </c>
      <c r="I6" s="32">
        <f t="shared" ref="I6:I7" si="2">IFERROR(H6/G6, "")</f>
        <v>2.2157701551868157E-2</v>
      </c>
    </row>
    <row r="7" spans="1:9" ht="15.6">
      <c r="A7" s="33" t="str">
        <v>South Dennis - Tony Kent Arena</v>
      </c>
      <c r="B7" s="34" t="str">
        <v>MA</v>
      </c>
      <c r="C7" s="35">
        <f>SUM('1st Qtr'!C7, '2nd Qtr'!C7, '3rd Qtr'!C7, '4th Qtr'!C7)</f>
        <v>98183.6</v>
      </c>
      <c r="D7" s="35">
        <f>SUM('1st Qtr'!D7, '2nd Qtr'!D7, '3rd Qtr'!D7, '4th Qtr'!D7)</f>
        <v>0</v>
      </c>
      <c r="E7" s="36">
        <f t="shared" si="0"/>
        <v>98183.6</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107537.4</v>
      </c>
      <c r="D8" s="29">
        <f>SUM('1st Qtr'!D8, '2nd Qtr'!D8, '3rd Qtr'!D8, '4th Qtr'!D8)</f>
        <v>0</v>
      </c>
      <c r="E8" s="29">
        <f t="shared" ref="E8:E24" si="3">IF(AND(ISNUMBER(C8),ISNUMBER(D8)), C8-D8, "")</f>
        <v>107537.4</v>
      </c>
      <c r="F8" s="30" t="str">
        <f t="shared" ref="F8:F24" si="4">IFERROR(E8/D8, "")</f>
        <v/>
      </c>
      <c r="G8" s="31">
        <f>SUM('1st Qtr'!G8, '2nd Qtr'!G8, '3rd Qtr'!G8, '4th Qtr'!G8)</f>
        <v>0</v>
      </c>
      <c r="H8" s="31">
        <f>SUM('1st Qtr'!H8, '2nd Qtr'!H8, '3rd Qtr'!H8, '4th Qtr'!H8)</f>
        <v>0</v>
      </c>
      <c r="I8" s="32" t="str">
        <f t="shared" ref="I8:I24" si="5">IFERROR(H8/G8, "")</f>
        <v/>
      </c>
    </row>
    <row r="9" spans="1:9" ht="15.6">
      <c r="A9" s="33" t="str">
        <v>Clear Lake - Eastlake Gohman</v>
      </c>
      <c r="B9" s="34" t="str">
        <v>MN</v>
      </c>
      <c r="C9" s="35">
        <f>SUM('1st Qtr'!C9, '2nd Qtr'!C9, '3rd Qtr'!C9, '4th Qtr'!C9)</f>
        <v>341667</v>
      </c>
      <c r="D9" s="35">
        <f>SUM('1st Qtr'!D9, '2nd Qtr'!D9, '3rd Qtr'!D9, '4th Qtr'!D9)</f>
        <v>0</v>
      </c>
      <c r="E9" s="36">
        <f t="shared" si="3"/>
        <v>341667</v>
      </c>
      <c r="F9" s="73" t="str">
        <f t="shared" si="4"/>
        <v/>
      </c>
      <c r="G9" s="74">
        <f>SUM('1st Qtr'!G9, '2nd Qtr'!G9, '3rd Qtr'!G9, '4th Qtr'!G9)</f>
        <v>331891.8</v>
      </c>
      <c r="H9" s="74">
        <f>SUM('1st Qtr'!H9, '2nd Qtr'!H9, '3rd Qtr'!H9, '4th Qtr'!H9)</f>
        <v>9775.2000000000116</v>
      </c>
      <c r="I9" s="73">
        <f t="shared" si="5"/>
        <v>2.9452972324112894E-2</v>
      </c>
    </row>
    <row r="10" spans="1:9" ht="15.6">
      <c r="A10" s="26" t="str">
        <v>Zumbrota - Eastlake Brenda Luhman</v>
      </c>
      <c r="B10" s="27" t="str">
        <v>MN</v>
      </c>
      <c r="C10" s="28">
        <f>SUM('1st Qtr'!C10, '2nd Qtr'!C10, '3rd Qtr'!C10, '4th Qtr'!C10)</f>
        <v>350747.12690000003</v>
      </c>
      <c r="D10" s="29">
        <f>SUM('1st Qtr'!D10, '2nd Qtr'!D10, '3rd Qtr'!D10, '4th Qtr'!D10)</f>
        <v>0</v>
      </c>
      <c r="E10" s="29">
        <f t="shared" si="3"/>
        <v>350747.12690000003</v>
      </c>
      <c r="F10" s="30" t="str">
        <f t="shared" si="4"/>
        <v/>
      </c>
      <c r="G10" s="31">
        <f>SUM('1st Qtr'!G10, '2nd Qtr'!G10, '3rd Qtr'!G10, '4th Qtr'!G10)</f>
        <v>339164.7</v>
      </c>
      <c r="H10" s="31">
        <f>SUM('1st Qtr'!H10, '2nd Qtr'!H10, '3rd Qtr'!H10, '4th Qtr'!H10)</f>
        <v>11582.426899999991</v>
      </c>
      <c r="I10" s="32">
        <f t="shared" si="5"/>
        <v>3.4149859640463735E-2</v>
      </c>
    </row>
    <row r="11" spans="1:9" ht="15.6">
      <c r="A11" s="33" t="str">
        <v>Cokato - Eastlake Carlson</v>
      </c>
      <c r="B11" s="34" t="str">
        <v>MN</v>
      </c>
      <c r="C11" s="35">
        <f>SUM('1st Qtr'!C11, '2nd Qtr'!C11, '3rd Qtr'!C11, '4th Qtr'!C11)</f>
        <v>302610.48420000001</v>
      </c>
      <c r="D11" s="35">
        <f>SUM('1st Qtr'!D11, '2nd Qtr'!D11, '3rd Qtr'!D11, '4th Qtr'!D11)</f>
        <v>0</v>
      </c>
      <c r="E11" s="36">
        <f t="shared" si="3"/>
        <v>302610.48420000001</v>
      </c>
      <c r="F11" s="73" t="str">
        <f t="shared" si="4"/>
        <v/>
      </c>
      <c r="G11" s="74">
        <f>SUM('1st Qtr'!G11, '2nd Qtr'!G11, '3rd Qtr'!G11, '4th Qtr'!G11)</f>
        <v>384945.7</v>
      </c>
      <c r="H11" s="74">
        <f>SUM('1st Qtr'!H11, '2nd Qtr'!H11, '3rd Qtr'!H11, '4th Qtr'!H11)</f>
        <v>-82335.215800000005</v>
      </c>
      <c r="I11" s="73">
        <f t="shared" si="5"/>
        <v>-0.21388786989957287</v>
      </c>
    </row>
    <row r="12" spans="1:9" ht="15.6">
      <c r="A12" s="26" t="str">
        <v>North Branch - Cornille 2</v>
      </c>
      <c r="B12" s="27" t="str">
        <v>MN</v>
      </c>
      <c r="C12" s="28">
        <f>SUM('1st Qtr'!C12, '2nd Qtr'!C12, '3rd Qtr'!C12, '4th Qtr'!C12)</f>
        <v>290088</v>
      </c>
      <c r="D12" s="29">
        <f>SUM('1st Qtr'!D12, '2nd Qtr'!D12, '3rd Qtr'!D12, '4th Qtr'!D12)</f>
        <v>0</v>
      </c>
      <c r="E12" s="29">
        <f t="shared" si="3"/>
        <v>290088</v>
      </c>
      <c r="F12" s="30" t="str">
        <f t="shared" si="4"/>
        <v/>
      </c>
      <c r="G12" s="31">
        <f>SUM('1st Qtr'!G12, '2nd Qtr'!G12, '3rd Qtr'!G12, '4th Qtr'!G12)</f>
        <v>335648.4</v>
      </c>
      <c r="H12" s="31">
        <f>SUM('1st Qtr'!H12, '2nd Qtr'!H12, '3rd Qtr'!H12, '4th Qtr'!H12)</f>
        <v>-45560.399999999994</v>
      </c>
      <c r="I12" s="32">
        <f t="shared" si="5"/>
        <v>-0.13573846918382448</v>
      </c>
    </row>
    <row r="13" spans="1:9" ht="15.6">
      <c r="A13" s="33" t="str">
        <v>Clear Lake - Eastlake Hammer</v>
      </c>
      <c r="B13" s="34" t="str">
        <v>MN</v>
      </c>
      <c r="C13" s="35">
        <f>SUM('1st Qtr'!C13, '2nd Qtr'!C13, '3rd Qtr'!C13, '4th Qtr'!C13)</f>
        <v>389934.1825</v>
      </c>
      <c r="D13" s="35">
        <f>SUM('1st Qtr'!D13, '2nd Qtr'!D13, '3rd Qtr'!D13, '4th Qtr'!D13)</f>
        <v>0</v>
      </c>
      <c r="E13" s="36">
        <f t="shared" si="3"/>
        <v>389934.1825</v>
      </c>
      <c r="F13" s="73" t="str">
        <f t="shared" si="4"/>
        <v/>
      </c>
      <c r="G13" s="74">
        <f>SUM('1st Qtr'!G13, '2nd Qtr'!G13, '3rd Qtr'!G13, '4th Qtr'!G13)</f>
        <v>391087.4</v>
      </c>
      <c r="H13" s="74">
        <f>SUM('1st Qtr'!H13, '2nd Qtr'!H13, '3rd Qtr'!H13, '4th Qtr'!H13)</f>
        <v>-1153.2174999999988</v>
      </c>
      <c r="I13" s="73">
        <f t="shared" si="5"/>
        <v>-2.9487462393316655E-3</v>
      </c>
    </row>
    <row r="14" spans="1:9" ht="15.6">
      <c r="A14" s="26" t="str">
        <v>Eastlake - Hertzberg CSG 1</v>
      </c>
      <c r="B14" s="27" t="str">
        <v>MN</v>
      </c>
      <c r="C14" s="28">
        <f>SUM('1st Qtr'!C14, '2nd Qtr'!C14, '3rd Qtr'!C14, '4th Qtr'!C14)</f>
        <v>380856.36752617196</v>
      </c>
      <c r="D14" s="29">
        <f>SUM('1st Qtr'!D14, '2nd Qtr'!D14, '3rd Qtr'!D14, '4th Qtr'!D14)</f>
        <v>0</v>
      </c>
      <c r="E14" s="29">
        <f t="shared" si="3"/>
        <v>380856.36752617196</v>
      </c>
      <c r="F14" s="30" t="str">
        <f t="shared" si="4"/>
        <v/>
      </c>
      <c r="G14" s="31">
        <f>SUM('1st Qtr'!G14, '2nd Qtr'!G14, '3rd Qtr'!G14, '4th Qtr'!G14)</f>
        <v>383980.4</v>
      </c>
      <c r="H14" s="31">
        <f>SUM('1st Qtr'!H14, '2nd Qtr'!H14, '3rd Qtr'!H14, '4th Qtr'!H14)</f>
        <v>-3124.0324738280324</v>
      </c>
      <c r="I14" s="32">
        <f t="shared" si="5"/>
        <v>-8.1359165046654257E-3</v>
      </c>
    </row>
    <row r="15" spans="1:9" ht="15.6">
      <c r="A15" s="33" t="str">
        <v>Cokato - Eastlake Laurel Village</v>
      </c>
      <c r="B15" s="34" t="str">
        <v>MN</v>
      </c>
      <c r="C15" s="35">
        <f>SUM('1st Qtr'!C15, '2nd Qtr'!C15, '3rd Qtr'!C15, '4th Qtr'!C15)</f>
        <v>405390.31390000001</v>
      </c>
      <c r="D15" s="35">
        <f>SUM('1st Qtr'!D15, '2nd Qtr'!D15, '3rd Qtr'!D15, '4th Qtr'!D15)</f>
        <v>0</v>
      </c>
      <c r="E15" s="36">
        <f t="shared" si="3"/>
        <v>405390.31390000001</v>
      </c>
      <c r="F15" s="73" t="str">
        <f t="shared" si="4"/>
        <v/>
      </c>
      <c r="G15" s="74">
        <f>SUM('1st Qtr'!G15, '2nd Qtr'!G15, '3rd Qtr'!G15, '4th Qtr'!G15)</f>
        <v>391289.7</v>
      </c>
      <c r="H15" s="74">
        <f>SUM('1st Qtr'!H15, '2nd Qtr'!H15, '3rd Qtr'!H15, '4th Qtr'!H15)</f>
        <v>14100.613899999997</v>
      </c>
      <c r="I15" s="73">
        <f t="shared" si="5"/>
        <v>3.6036251145890104E-2</v>
      </c>
    </row>
    <row r="16" spans="1:9" ht="15.6">
      <c r="A16" s="26" t="str">
        <v>St. Peter - Eastlake Paulson</v>
      </c>
      <c r="B16" s="27" t="str">
        <v>MN</v>
      </c>
      <c r="C16" s="28">
        <f>SUM('1st Qtr'!C16, '2nd Qtr'!C16, '3rd Qtr'!C16, '4th Qtr'!C16)</f>
        <v>338552.46092857199</v>
      </c>
      <c r="D16" s="29">
        <f>SUM('1st Qtr'!D16, '2nd Qtr'!D16, '3rd Qtr'!D16, '4th Qtr'!D16)</f>
        <v>0</v>
      </c>
      <c r="E16" s="29">
        <f t="shared" si="3"/>
        <v>338552.46092857199</v>
      </c>
      <c r="F16" s="30" t="str">
        <f t="shared" si="4"/>
        <v/>
      </c>
      <c r="G16" s="31">
        <f>SUM('1st Qtr'!G16, '2nd Qtr'!G16, '3rd Qtr'!G16, '4th Qtr'!G16)</f>
        <v>352142.80000000005</v>
      </c>
      <c r="H16" s="31">
        <f>SUM('1st Qtr'!H16, '2nd Qtr'!H16, '3rd Qtr'!H16, '4th Qtr'!H16)</f>
        <v>-13590.339071428025</v>
      </c>
      <c r="I16" s="32">
        <f t="shared" si="5"/>
        <v>-3.8593261232170648E-2</v>
      </c>
    </row>
    <row r="17" spans="1:9" ht="15.6">
      <c r="A17" s="33" t="str">
        <v>Felician Sisters Convent</v>
      </c>
      <c r="B17" s="34" t="str">
        <v>NJ</v>
      </c>
      <c r="C17" s="35">
        <f>SUM('1st Qtr'!C17, '2nd Qtr'!C17, '3rd Qtr'!C17, '4th Qtr'!C17)</f>
        <v>71309.5</v>
      </c>
      <c r="D17" s="35">
        <f>SUM('1st Qtr'!D17, '2nd Qtr'!D17, '3rd Qtr'!D17, '4th Qtr'!D17)</f>
        <v>0</v>
      </c>
      <c r="E17" s="36">
        <f t="shared" si="3"/>
        <v>71309.5</v>
      </c>
      <c r="F17" s="73" t="str">
        <f t="shared" si="4"/>
        <v/>
      </c>
      <c r="G17" s="74">
        <f>SUM('1st Qtr'!G17, '2nd Qtr'!G17, '3rd Qtr'!G17, '4th Qtr'!G17)</f>
        <v>0</v>
      </c>
      <c r="H17" s="74">
        <f>SUM('1st Qtr'!H17, '2nd Qtr'!H17, '3rd Qtr'!H17, '4th Qtr'!H17)</f>
        <v>0</v>
      </c>
      <c r="I17" s="73" t="str">
        <f t="shared" si="5"/>
        <v/>
      </c>
    </row>
    <row r="18" spans="1:9" ht="15.6">
      <c r="A18" s="26" t="str">
        <v>Sussex County Fairgrounds</v>
      </c>
      <c r="B18" s="27" t="str">
        <v>NJ</v>
      </c>
      <c r="C18" s="28">
        <f>SUM('1st Qtr'!C18, '2nd Qtr'!C18, '3rd Qtr'!C18, '4th Qtr'!C18)</f>
        <v>77163.7</v>
      </c>
      <c r="D18" s="29">
        <f>SUM('1st Qtr'!D18, '2nd Qtr'!D18, '3rd Qtr'!D18, '4th Qtr'!D18)</f>
        <v>0</v>
      </c>
      <c r="E18" s="29">
        <f t="shared" si="3"/>
        <v>77163.7</v>
      </c>
      <c r="F18" s="30" t="str">
        <f t="shared" si="4"/>
        <v/>
      </c>
      <c r="G18" s="31">
        <f>SUM('1st Qtr'!G18, '2nd Qtr'!G18, '3rd Qtr'!G18, '4th Qtr'!G18)</f>
        <v>0</v>
      </c>
      <c r="H18" s="31">
        <f>SUM('1st Qtr'!H18, '2nd Qtr'!H18, '3rd Qtr'!H18, '4th Qtr'!H18)</f>
        <v>0</v>
      </c>
      <c r="I18" s="32" t="str">
        <f t="shared" si="5"/>
        <v/>
      </c>
    </row>
    <row r="19" spans="1:9" ht="15.6">
      <c r="A19" s="33" t="str">
        <v>Gateway Church</v>
      </c>
      <c r="B19" s="34" t="str">
        <v>NJ</v>
      </c>
      <c r="C19" s="35">
        <f>SUM('1st Qtr'!C19, '2nd Qtr'!C19, '3rd Qtr'!C19, '4th Qtr'!C19)</f>
        <v>52218</v>
      </c>
      <c r="D19" s="35">
        <f>SUM('1st Qtr'!D19, '2nd Qtr'!D19, '3rd Qtr'!D19, '4th Qtr'!D19)</f>
        <v>0</v>
      </c>
      <c r="E19" s="36">
        <f t="shared" si="3"/>
        <v>52218</v>
      </c>
      <c r="F19" s="73" t="str">
        <f t="shared" si="4"/>
        <v/>
      </c>
      <c r="G19" s="74">
        <f>SUM('1st Qtr'!G19, '2nd Qtr'!G19, '3rd Qtr'!G19, '4th Qtr'!G19)</f>
        <v>0</v>
      </c>
      <c r="H19" s="74">
        <f>SUM('1st Qtr'!H19, '2nd Qtr'!H19, '3rd Qtr'!H19, '4th Qtr'!H19)</f>
        <v>0</v>
      </c>
      <c r="I19" s="73" t="str">
        <f t="shared" si="5"/>
        <v/>
      </c>
    </row>
    <row r="20" spans="1:9" ht="15.6">
      <c r="A20" s="26" t="str">
        <v>Beaver Falls - Felician Sisters</v>
      </c>
      <c r="B20" s="27" t="str">
        <v>PA</v>
      </c>
      <c r="C20" s="28">
        <f>SUM('1st Qtr'!C20, '2nd Qtr'!C20, '3rd Qtr'!C20, '4th Qtr'!C20)</f>
        <v>76317</v>
      </c>
      <c r="D20" s="29">
        <f>SUM('1st Qtr'!D20, '2nd Qtr'!D20, '3rd Qtr'!D20, '4th Qtr'!D20)</f>
        <v>0</v>
      </c>
      <c r="E20" s="29">
        <f t="shared" si="3"/>
        <v>76317</v>
      </c>
      <c r="F20" s="30" t="str">
        <f t="shared" si="4"/>
        <v/>
      </c>
      <c r="G20" s="31">
        <f>SUM('1st Qtr'!G20, '2nd Qtr'!G20, '3rd Qtr'!G20, '4th Qtr'!G20)</f>
        <v>0</v>
      </c>
      <c r="H20" s="31">
        <f>SUM('1st Qtr'!H20, '2nd Qtr'!H20, '3rd Qtr'!H20, '4th Qtr'!H20)</f>
        <v>0</v>
      </c>
      <c r="I20" s="32" t="str">
        <f t="shared" si="5"/>
        <v/>
      </c>
    </row>
    <row r="21" spans="1:9" ht="15.6">
      <c r="A21" s="33" t="str">
        <v>Livonia - Felician Sisters Ground</v>
      </c>
      <c r="B21" s="34" t="str">
        <v>MI</v>
      </c>
      <c r="C21" s="35">
        <f>SUM('1st Qtr'!C21, '2nd Qtr'!C21, '3rd Qtr'!C21, '4th Qtr'!C21)</f>
        <v>0</v>
      </c>
      <c r="D21" s="35">
        <f>SUM('1st Qtr'!D21, '2nd Qtr'!D21, '3rd Qtr'!D21, '4th Qtr'!D21)</f>
        <v>0</v>
      </c>
      <c r="E21" s="36">
        <f t="shared" si="3"/>
        <v>0</v>
      </c>
      <c r="F21" s="73" t="str">
        <f t="shared" si="4"/>
        <v/>
      </c>
      <c r="G21" s="74">
        <f>SUM('1st Qtr'!G21, '2nd Qtr'!G21, '3rd Qtr'!G21, '4th Qtr'!G21)</f>
        <v>0</v>
      </c>
      <c r="H21" s="74">
        <f>SUM('1st Qtr'!H21, '2nd Qtr'!H21, '3rd Qtr'!H21, '4th Qtr'!H21)</f>
        <v>0</v>
      </c>
      <c r="I21" s="73" t="str">
        <f t="shared" si="5"/>
        <v/>
      </c>
    </row>
    <row r="22" spans="1:9" ht="15.6">
      <c r="A22" s="26" t="str">
        <v>Livonia - Felician Sisters Roof</v>
      </c>
      <c r="B22" s="27" t="str">
        <v>MI</v>
      </c>
      <c r="C22" s="28">
        <f>SUM('1st Qtr'!C22, '2nd Qtr'!C22, '3rd Qtr'!C22, '4th Qtr'!C22)</f>
        <v>28950</v>
      </c>
      <c r="D22" s="29">
        <f>SUM('1st Qtr'!D22, '2nd Qtr'!D22, '3rd Qtr'!D22, '4th Qtr'!D22)</f>
        <v>0</v>
      </c>
      <c r="E22" s="29">
        <f t="shared" si="3"/>
        <v>28950</v>
      </c>
      <c r="F22" s="30" t="str">
        <f t="shared" si="4"/>
        <v/>
      </c>
      <c r="G22" s="31">
        <f>SUM('1st Qtr'!G22, '2nd Qtr'!G22, '3rd Qtr'!G22, '4th Qtr'!G22)</f>
        <v>0</v>
      </c>
      <c r="H22" s="31">
        <f>SUM('1st Qtr'!H22, '2nd Qtr'!H22, '3rd Qtr'!H22, '4th Qtr'!H22)</f>
        <v>0</v>
      </c>
      <c r="I22" s="32" t="str">
        <f t="shared" si="5"/>
        <v/>
      </c>
    </row>
    <row r="23" spans="1:9" ht="15.6">
      <c r="A23" s="33" t="str">
        <v>Monmouth Worship Ctr</v>
      </c>
      <c r="B23" s="34" t="str">
        <v>NJ</v>
      </c>
      <c r="C23" s="35">
        <f>SUM('1st Qtr'!C23, '2nd Qtr'!C23, '3rd Qtr'!C23, '4th Qtr'!C23)</f>
        <v>23474.780000000028</v>
      </c>
      <c r="D23" s="35">
        <f>SUM('1st Qtr'!D23, '2nd Qtr'!D23, '3rd Qtr'!D23, '4th Qtr'!D23)</f>
        <v>0</v>
      </c>
      <c r="E23" s="36">
        <f t="shared" si="3"/>
        <v>23474.780000000028</v>
      </c>
      <c r="F23" s="73" t="str">
        <f t="shared" si="4"/>
        <v/>
      </c>
      <c r="G23" s="74">
        <f>SUM('1st Qtr'!G23, '2nd Qtr'!G23, '3rd Qtr'!G23, '4th Qtr'!G23)</f>
        <v>0</v>
      </c>
      <c r="H23" s="74">
        <f>SUM('1st Qtr'!H23, '2nd Qtr'!H23, '3rd Qtr'!H23, '4th Qtr'!H23)</f>
        <v>0</v>
      </c>
      <c r="I23" s="73" t="str">
        <f t="shared" si="5"/>
        <v/>
      </c>
    </row>
    <row r="24" spans="1:9" ht="15.6">
      <c r="A24" s="26" t="str">
        <v xml:space="preserve"> Audubon - Senior Citizens United</v>
      </c>
      <c r="B24" s="27" t="str">
        <v>NJ</v>
      </c>
      <c r="C24" s="28">
        <f>SUM('1st Qtr'!C24, '2nd Qtr'!C24, '3rd Qtr'!C24, '4th Qtr'!C24)</f>
        <v>17349.575000000001</v>
      </c>
      <c r="D24" s="29">
        <f>SUM('1st Qtr'!D24, '2nd Qtr'!D24, '3rd Qtr'!D24, '4th Qtr'!D24)</f>
        <v>0</v>
      </c>
      <c r="E24" s="29">
        <f t="shared" si="3"/>
        <v>17349.575000000001</v>
      </c>
      <c r="F24" s="30" t="str">
        <f t="shared" si="4"/>
        <v/>
      </c>
      <c r="G24" s="31">
        <f>SUM('1st Qtr'!G24, '2nd Qtr'!G24, '3rd Qtr'!G24, '4th Qtr'!G24)</f>
        <v>0</v>
      </c>
      <c r="H24" s="31">
        <f>SUM('1st Qtr'!H24, '2nd Qtr'!H24, '3rd Qtr'!H24, '4th Qtr'!H24)</f>
        <v>0</v>
      </c>
      <c r="I24" s="32" t="str">
        <f t="shared" si="5"/>
        <v/>
      </c>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71 I4:I71">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G2" sqref="G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2" t="str" cm="1">
        <f t="array" ref="A1">portfolio</f>
        <v>Clean Capital</v>
      </c>
      <c r="B1" s="92"/>
      <c r="C1" s="92"/>
      <c r="D1" s="93" t="s">
        <v>10</v>
      </c>
      <c r="E1" s="93"/>
      <c r="F1" s="93"/>
      <c r="G1" s="91" t="s">
        <v>11</v>
      </c>
      <c r="H1" s="91"/>
      <c r="I1" s="91"/>
    </row>
    <row r="2" spans="1:9" ht="19.5" customHeight="1">
      <c r="A2" s="94" t="s">
        <v>2</v>
      </c>
      <c r="B2" s="94"/>
      <c r="C2" s="5">
        <f>SUM(C4:C79)</f>
        <v>1827946.6861654297</v>
      </c>
      <c r="D2" s="5">
        <f>SUM(D4:D79)</f>
        <v>0</v>
      </c>
      <c r="E2" s="5">
        <f>C2-D2</f>
        <v>1827946.6861654297</v>
      </c>
      <c r="F2" s="6">
        <f>IFERROR(E2/D2, 0)</f>
        <v>0</v>
      </c>
      <c r="G2" s="5">
        <f>SUM(G4:G79)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24">Sites[Site]</f>
        <v>Lexington - Cotting School</v>
      </c>
      <c r="B4" s="27" t="str" cm="1">
        <f t="array" ref="B4:B24">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24" si="3">IF(AND(ISNUMBER(C8),ISNUMBER(D8)), C8-D8, "")</f>
        <v>51053.4</v>
      </c>
      <c r="F8" s="30" t="str">
        <f t="shared" ref="F8:F24" si="4">IFERROR(E8/D8, "")</f>
        <v/>
      </c>
      <c r="G8" s="31">
        <f>SUM(Jan!G8, Feb!G8, Mar!G8)</f>
        <v>0</v>
      </c>
      <c r="H8" s="31">
        <f>SUM(Jan!H8, Feb!H8, Mar!H8)</f>
        <v>0</v>
      </c>
      <c r="I8" s="32" t="str">
        <f t="shared" ref="I8:I24" si="5">IFERROR(H8/G8, "")</f>
        <v/>
      </c>
    </row>
    <row r="9" spans="1:9" ht="15.6">
      <c r="A9" s="48" t="str">
        <v>Clear Lake - Eastlake Gohman</v>
      </c>
      <c r="B9" s="34" t="str">
        <v>MN</v>
      </c>
      <c r="C9" s="35">
        <f>SUM(Jan!C9, Feb!C9, Mar!C9)</f>
        <v>174810</v>
      </c>
      <c r="D9" s="36">
        <f>SUM(Jan!D9, Feb!D9, Mar!D9)</f>
        <v>0</v>
      </c>
      <c r="E9" s="36">
        <f t="shared" si="3"/>
        <v>174810</v>
      </c>
      <c r="F9" s="73" t="str">
        <f t="shared" si="4"/>
        <v/>
      </c>
      <c r="G9" s="74">
        <f>SUM(Jan!G9, Feb!G9, Mar!G9)</f>
        <v>155938.5</v>
      </c>
      <c r="H9" s="74">
        <f>SUM(Jan!H9, Feb!H9, Mar!H9)</f>
        <v>18871.5</v>
      </c>
      <c r="I9" s="73">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3" t="str">
        <f t="shared" si="4"/>
        <v/>
      </c>
      <c r="G11" s="74">
        <f>SUM(Jan!G11, Feb!G11, Mar!G11)</f>
        <v>189506</v>
      </c>
      <c r="H11" s="74">
        <f>SUM(Jan!H11, Feb!H11, Mar!H11)</f>
        <v>-42480.515799999994</v>
      </c>
      <c r="I11" s="73">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3" t="str">
        <f t="shared" si="4"/>
        <v/>
      </c>
      <c r="G13" s="74">
        <f>SUM(Jan!G13, Feb!G13, Mar!G13)</f>
        <v>181153.8</v>
      </c>
      <c r="H13" s="74">
        <f>SUM(Jan!H13, Feb!H13, Mar!H13)</f>
        <v>15449.232500000013</v>
      </c>
      <c r="I13" s="73">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3" t="str">
        <f t="shared" si="4"/>
        <v/>
      </c>
      <c r="G15" s="74">
        <f>SUM(Jan!G15, Feb!G15, Mar!G15)</f>
        <v>177944.7</v>
      </c>
      <c r="H15" s="74">
        <f>SUM(Jan!H15, Feb!H15, Mar!H15)</f>
        <v>14800.613899999997</v>
      </c>
      <c r="I15" s="73">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3" t="str">
        <f t="shared" si="4"/>
        <v/>
      </c>
      <c r="G17" s="74">
        <f>SUM(Jan!G17, Feb!G17, Mar!G17)</f>
        <v>0</v>
      </c>
      <c r="H17" s="74">
        <f>SUM(Jan!H17, Feb!H17, Mar!H17)</f>
        <v>0</v>
      </c>
      <c r="I17" s="73"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3" t="str">
        <f t="shared" si="4"/>
        <v/>
      </c>
      <c r="G19" s="74">
        <f>SUM(Jan!G19, Feb!G19, Mar!G19)</f>
        <v>0</v>
      </c>
      <c r="H19" s="74">
        <f>SUM(Jan!H19, Feb!H19, Mar!H19)</f>
        <v>0</v>
      </c>
      <c r="I19" s="73"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3" t="str">
        <f t="shared" si="4"/>
        <v/>
      </c>
      <c r="G21" s="74">
        <f>SUM(Jan!G21, Feb!G21, Mar!G21)</f>
        <v>0</v>
      </c>
      <c r="H21" s="74">
        <f>SUM(Jan!H21, Feb!H21, Mar!H21)</f>
        <v>0</v>
      </c>
      <c r="I21" s="73"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3" t="str">
        <f t="shared" si="4"/>
        <v/>
      </c>
      <c r="G23" s="74">
        <f>SUM(Jan!G23, Feb!G23, Mar!G23)</f>
        <v>0</v>
      </c>
      <c r="H23" s="74">
        <f>SUM(Jan!H23, Feb!H23, Mar!H23)</f>
        <v>0</v>
      </c>
      <c r="I23" s="73"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9" activePane="bottomRight" state="frozen"/>
      <selection pane="bottomRight" activeCell="J24" sqref="J2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2" t="str" cm="1">
        <f t="array" ref="A1">portfolio</f>
        <v>Clean Capital</v>
      </c>
      <c r="B1" s="92"/>
      <c r="C1" s="92"/>
      <c r="D1" s="93" t="s">
        <v>12</v>
      </c>
      <c r="E1" s="93"/>
      <c r="F1" s="93"/>
      <c r="G1" s="91" t="s">
        <v>13</v>
      </c>
      <c r="H1" s="91"/>
      <c r="I1" s="91"/>
    </row>
    <row r="2" spans="1:9" ht="19.5" customHeight="1">
      <c r="A2" s="94" t="s">
        <v>2</v>
      </c>
      <c r="B2" s="94"/>
      <c r="C2" s="5">
        <f>SUM(C4:C79)</f>
        <v>1758365.2870908768</v>
      </c>
      <c r="D2" s="5">
        <f>SUM(D4:D79)</f>
        <v>0</v>
      </c>
      <c r="E2" s="5">
        <f>C2-D2</f>
        <v>1758365.2870908768</v>
      </c>
      <c r="F2" s="6">
        <f>IFERROR(E2/D2, 0)</f>
        <v>0</v>
      </c>
      <c r="G2" s="5">
        <f>SUM(G4:G79)</f>
        <v>1632050.7</v>
      </c>
      <c r="H2" s="7">
        <f>C2-G2</f>
        <v>126314.58709087688</v>
      </c>
      <c r="I2" s="6">
        <f>IFERROR(H2/G2, 0)</f>
        <v>7.7396239645543416E-2</v>
      </c>
    </row>
    <row r="3" spans="1:9" ht="14.25" customHeight="1">
      <c r="A3" s="12" t="s">
        <v>3</v>
      </c>
      <c r="B3" s="12" t="s">
        <v>4</v>
      </c>
      <c r="C3" s="19" t="s">
        <v>5</v>
      </c>
      <c r="D3" s="20" t="s">
        <v>6</v>
      </c>
      <c r="E3" s="20" t="s">
        <v>7</v>
      </c>
      <c r="F3" s="21" t="s">
        <v>8</v>
      </c>
      <c r="G3" s="22" t="s">
        <v>9</v>
      </c>
      <c r="H3" s="23" t="s">
        <v>7</v>
      </c>
      <c r="I3" s="24" t="s">
        <v>8</v>
      </c>
    </row>
    <row r="4" spans="1:9" ht="15.6">
      <c r="A4" s="47" t="str" cm="1">
        <f t="array" ref="A4:A24">Sites[Site]</f>
        <v>Lexington - Cotting School</v>
      </c>
      <c r="B4" s="27" t="str" cm="1">
        <f t="array" ref="B4:B24">Sites[State]</f>
        <v>MA</v>
      </c>
      <c r="C4" s="28">
        <f>SUM(Apr!C4, May!C4, Jun!C4)</f>
        <v>3263.0479999999998</v>
      </c>
      <c r="D4" s="29">
        <f>SUM(Apr!D4, May!D4, Jun!D4)</f>
        <v>0</v>
      </c>
      <c r="E4" s="29">
        <f>IF(AND(ISNUMBER(C4),ISNUMBER(D4)), C4-D4, "")</f>
        <v>3263.0479999999998</v>
      </c>
      <c r="F4" s="30" t="str">
        <f>IFERROR(E4/D4, "")</f>
        <v/>
      </c>
      <c r="G4" s="31">
        <f>SUM(Apr!G4,May!G4,Jun!G4)</f>
        <v>0</v>
      </c>
      <c r="H4" s="31">
        <f>SUM(Apr!H4, May!H4, Jun!H4)</f>
        <v>0</v>
      </c>
      <c r="I4" s="32" t="str">
        <f>IFERROR(H4/G4, "")</f>
        <v/>
      </c>
    </row>
    <row r="5" spans="1:9" ht="15.6">
      <c r="A5" s="48" t="str">
        <v>Pacoima - Whiteman Airport</v>
      </c>
      <c r="B5" s="34" t="str">
        <v>CA</v>
      </c>
      <c r="C5" s="35">
        <f>SUM(Apr!C5, May!C5, Jun!C5)</f>
        <v>38033.5</v>
      </c>
      <c r="D5" s="36">
        <f>SUM(Apr!D5, May!D5, Jun!D5)</f>
        <v>0</v>
      </c>
      <c r="E5" s="36">
        <f t="shared" ref="E5:E7" si="0">IF(AND(ISNUMBER(C5),ISNUMBER(D5)), C5-D5, "")</f>
        <v>38033.5</v>
      </c>
      <c r="F5" s="73" t="str">
        <f>IFERROR(E5/D5, "")</f>
        <v/>
      </c>
      <c r="G5" s="74">
        <f>SUM(Apr!G5,May!G5,Jun!G5)</f>
        <v>57200</v>
      </c>
      <c r="H5" s="74">
        <f>SUM(Apr!H5, May!H5, Jun!H5)</f>
        <v>-19166.5</v>
      </c>
      <c r="I5" s="73">
        <f>IFERROR(H5/G5, "")</f>
        <v>-0.33507867132867131</v>
      </c>
    </row>
    <row r="6" spans="1:9" ht="15.6">
      <c r="A6" s="47" t="str">
        <v>Hyannis - Sturgis Charter School</v>
      </c>
      <c r="B6" s="27" t="str">
        <v>MA</v>
      </c>
      <c r="C6" s="28">
        <f>SUM(Apr!C6, May!C6, Jun!C6)</f>
        <v>31798.899536132802</v>
      </c>
      <c r="D6" s="29">
        <f>SUM(Apr!D6, May!D6, Jun!D6)</f>
        <v>0</v>
      </c>
      <c r="E6" s="29">
        <f t="shared" si="0"/>
        <v>31798.899536132802</v>
      </c>
      <c r="F6" s="30" t="str">
        <f t="shared" ref="F6:F7" si="1">IFERROR(E6/D6, "")</f>
        <v/>
      </c>
      <c r="G6" s="31">
        <f>SUM(Apr!G6,May!G6,Jun!G6)</f>
        <v>32170</v>
      </c>
      <c r="H6" s="31">
        <f>SUM(Apr!H6, May!H6, Jun!H6)</f>
        <v>-371.10046386719841</v>
      </c>
      <c r="I6" s="32">
        <f t="shared" ref="I6:I7" si="2">IFERROR(H6/G6, "")</f>
        <v>-1.1535606585862555E-2</v>
      </c>
    </row>
    <row r="7" spans="1:9" ht="15.6">
      <c r="A7" s="48" t="str">
        <v>South Dennis - Tony Kent Arena</v>
      </c>
      <c r="B7" s="34" t="str">
        <v>MA</v>
      </c>
      <c r="C7" s="35">
        <f>SUM(Apr!C7, May!C7, Jun!C7)</f>
        <v>36670.400000000001</v>
      </c>
      <c r="D7" s="36">
        <f>SUM(Apr!D7, May!D7, Jun!D7)</f>
        <v>0</v>
      </c>
      <c r="E7" s="36">
        <f t="shared" si="0"/>
        <v>36670.400000000001</v>
      </c>
      <c r="F7" s="73" t="str">
        <f t="shared" si="1"/>
        <v/>
      </c>
      <c r="G7" s="74">
        <f>SUM(Apr!G7,May!G7,Jun!G7)</f>
        <v>0</v>
      </c>
      <c r="H7" s="74">
        <f>SUM(Apr!H7, May!H7, Jun!H7)</f>
        <v>0</v>
      </c>
      <c r="I7" s="73" t="str">
        <f t="shared" si="2"/>
        <v/>
      </c>
    </row>
    <row r="8" spans="1:9" ht="15.6">
      <c r="A8" s="47" t="str">
        <v xml:space="preserve"> Caropolis - Felician Sisters</v>
      </c>
      <c r="B8" s="27" t="str">
        <v>PA</v>
      </c>
      <c r="C8" s="28">
        <f>SUM(Apr!C8, May!C8, Jun!C8)</f>
        <v>56484</v>
      </c>
      <c r="D8" s="29">
        <f>SUM(Apr!D8, May!D8, Jun!D8)</f>
        <v>0</v>
      </c>
      <c r="E8" s="29">
        <f t="shared" ref="E8:E24" si="3">IF(AND(ISNUMBER(C8),ISNUMBER(D8)), C8-D8, "")</f>
        <v>56484</v>
      </c>
      <c r="F8" s="30" t="str">
        <f t="shared" ref="F8:F24" si="4">IFERROR(E8/D8, "")</f>
        <v/>
      </c>
      <c r="G8" s="31">
        <f>SUM(Apr!G8,May!G8,Jun!G8)</f>
        <v>0</v>
      </c>
      <c r="H8" s="31">
        <f>SUM(Apr!H8, May!H8, Jun!H8)</f>
        <v>0</v>
      </c>
      <c r="I8" s="32" t="str">
        <f t="shared" ref="I8:I24" si="5">IFERROR(H8/G8, "")</f>
        <v/>
      </c>
    </row>
    <row r="9" spans="1:9" ht="15.6">
      <c r="A9" s="48" t="str">
        <v>Clear Lake - Eastlake Gohman</v>
      </c>
      <c r="B9" s="34" t="str">
        <v>MN</v>
      </c>
      <c r="C9" s="35">
        <f>SUM(Apr!C9, May!C9, Jun!C9)</f>
        <v>166857</v>
      </c>
      <c r="D9" s="36">
        <f>SUM(Apr!D9, May!D9, Jun!D9)</f>
        <v>0</v>
      </c>
      <c r="E9" s="36">
        <f t="shared" si="3"/>
        <v>166857</v>
      </c>
      <c r="F9" s="73" t="str">
        <f t="shared" si="4"/>
        <v/>
      </c>
      <c r="G9" s="74">
        <f>SUM(Apr!G9+May!G9+Jun!G9)</f>
        <v>175953.3</v>
      </c>
      <c r="H9" s="74">
        <f>SUM(Apr!H9, May!H9, Jun!H9)</f>
        <v>-9096.2999999999884</v>
      </c>
      <c r="I9" s="73">
        <f t="shared" si="5"/>
        <v>-5.1697240119963586E-2</v>
      </c>
    </row>
    <row r="10" spans="1:9" ht="15.6">
      <c r="A10" s="47" t="str">
        <v>Zumbrota - Eastlake Brenda Luhman</v>
      </c>
      <c r="B10" s="27" t="str">
        <v>MN</v>
      </c>
      <c r="C10" s="28">
        <f>SUM(Apr!C10, May!C10, Jun!C10)</f>
        <v>171462</v>
      </c>
      <c r="D10" s="29">
        <f>SUM(Apr!D10, May!D10, Jun!D10)</f>
        <v>0</v>
      </c>
      <c r="E10" s="29">
        <f t="shared" si="3"/>
        <v>171462</v>
      </c>
      <c r="F10" s="30" t="str">
        <f t="shared" si="4"/>
        <v/>
      </c>
      <c r="G10" s="31">
        <f>SUM(Apr!G10+May!G10+Jun!G10)</f>
        <v>177314.6</v>
      </c>
      <c r="H10" s="31">
        <f>SUM(Apr!H10, May!H10, Jun!H10)</f>
        <v>-5852.6000000000058</v>
      </c>
      <c r="I10" s="32">
        <f t="shared" si="5"/>
        <v>-3.3006870274641824E-2</v>
      </c>
    </row>
    <row r="11" spans="1:9" ht="15.6">
      <c r="A11" s="48" t="str">
        <v>Cokato - Eastlake Carlson</v>
      </c>
      <c r="B11" s="34" t="str">
        <v>MN</v>
      </c>
      <c r="C11" s="35">
        <f>SUM(Apr!C11, May!C11, Jun!C11)</f>
        <v>155585</v>
      </c>
      <c r="D11" s="36">
        <f>SUM(Apr!D11, May!D11, Jun!D11)</f>
        <v>0</v>
      </c>
      <c r="E11" s="36">
        <f t="shared" si="3"/>
        <v>155585</v>
      </c>
      <c r="F11" s="73" t="str">
        <f t="shared" si="4"/>
        <v/>
      </c>
      <c r="G11" s="74">
        <f>SUM(Apr!G11+May!G11+Jun!G11)</f>
        <v>195439.7</v>
      </c>
      <c r="H11" s="74">
        <f>SUM(Apr!H11, May!H11, Jun!H11)</f>
        <v>-39854.700000000012</v>
      </c>
      <c r="I11" s="73">
        <f t="shared" si="5"/>
        <v>-0.20392325612452336</v>
      </c>
    </row>
    <row r="12" spans="1:9" ht="15.6">
      <c r="A12" s="47" t="str">
        <v>North Branch - Cornille 2</v>
      </c>
      <c r="B12" s="27" t="str">
        <v>MN</v>
      </c>
      <c r="C12" s="28">
        <f>SUM(Apr!C12, May!C12, Jun!C12)</f>
        <v>147463</v>
      </c>
      <c r="D12" s="29">
        <f>SUM(Apr!D12, May!D12, Jun!D12)</f>
        <v>0</v>
      </c>
      <c r="E12" s="29">
        <f t="shared" si="3"/>
        <v>147463</v>
      </c>
      <c r="F12" s="30" t="str">
        <f t="shared" si="4"/>
        <v/>
      </c>
      <c r="G12" s="31">
        <f>SUM(Apr!G12+May!G12+Jun!G12)</f>
        <v>178898.6</v>
      </c>
      <c r="H12" s="31">
        <f>SUM(Apr!H12, May!H12, Jun!H12)</f>
        <v>-31435.600000000006</v>
      </c>
      <c r="I12" s="32">
        <f t="shared" si="5"/>
        <v>-0.17571741757621359</v>
      </c>
    </row>
    <row r="13" spans="1:9" ht="15.6">
      <c r="A13" s="48" t="str">
        <v>Clear Lake - Eastlake Hammer</v>
      </c>
      <c r="B13" s="34" t="str">
        <v>MN</v>
      </c>
      <c r="C13" s="35">
        <f>SUM(Apr!C13, May!C13, Jun!C13)</f>
        <v>193331.15</v>
      </c>
      <c r="D13" s="36">
        <f>SUM(Apr!D13, May!D13, Jun!D13)</f>
        <v>0</v>
      </c>
      <c r="E13" s="36">
        <f t="shared" si="3"/>
        <v>193331.15</v>
      </c>
      <c r="F13" s="73" t="str">
        <f t="shared" si="4"/>
        <v/>
      </c>
      <c r="G13" s="74">
        <f>SUM(Apr!G13+May!G13+Jun!G13)</f>
        <v>209933.6</v>
      </c>
      <c r="H13" s="74">
        <f>SUM(Apr!H13, May!H13, Jun!H13)</f>
        <v>-16602.450000000012</v>
      </c>
      <c r="I13" s="73">
        <f t="shared" si="5"/>
        <v>-7.9084291414047159E-2</v>
      </c>
    </row>
    <row r="14" spans="1:9" ht="15.6">
      <c r="A14" s="47" t="str">
        <v>Eastlake - Hertzberg CSG 1</v>
      </c>
      <c r="B14" s="27" t="str">
        <v>MN</v>
      </c>
      <c r="C14" s="28">
        <f>SUM(Apr!C14, May!C14, Jun!C14)</f>
        <v>202083.10312617201</v>
      </c>
      <c r="D14" s="29">
        <f>SUM(Apr!D14, May!D14, Jun!D14)</f>
        <v>0</v>
      </c>
      <c r="E14" s="29">
        <f t="shared" si="3"/>
        <v>202083.10312617201</v>
      </c>
      <c r="F14" s="30" t="str">
        <f t="shared" si="4"/>
        <v/>
      </c>
      <c r="G14" s="31">
        <f>SUM(Apr!G14+May!G14+Jun!G14)</f>
        <v>204889.7</v>
      </c>
      <c r="H14" s="31">
        <f>SUM(Apr!H14, May!H14, Jun!H14)</f>
        <v>-2806.5968738280062</v>
      </c>
      <c r="I14" s="32">
        <f t="shared" si="5"/>
        <v>-1.369808669653968E-2</v>
      </c>
    </row>
    <row r="15" spans="1:9" ht="15.6">
      <c r="A15" s="48" t="str">
        <v>Cokato - Eastlake Laurel Village</v>
      </c>
      <c r="B15" s="34" t="str">
        <v>MN</v>
      </c>
      <c r="C15" s="35">
        <f>SUM(Apr!C15, May!C15, Jun!C15)</f>
        <v>212645</v>
      </c>
      <c r="D15" s="36">
        <f>SUM(Apr!D15, May!D15, Jun!D15)</f>
        <v>0</v>
      </c>
      <c r="E15" s="36">
        <f t="shared" si="3"/>
        <v>212645</v>
      </c>
      <c r="F15" s="73" t="str">
        <f t="shared" si="4"/>
        <v/>
      </c>
      <c r="G15" s="74">
        <f>SUM(Apr!G15+May!G15+Jun!G15)</f>
        <v>213345</v>
      </c>
      <c r="H15" s="74">
        <f>SUM(Apr!H15, May!H15, Jun!H15)</f>
        <v>-700</v>
      </c>
      <c r="I15" s="73">
        <f t="shared" si="5"/>
        <v>-3.2810705664533973E-3</v>
      </c>
    </row>
    <row r="16" spans="1:9" ht="15.6">
      <c r="A16" s="47" t="str">
        <v>St. Peter - Eastlake Paulson</v>
      </c>
      <c r="B16" s="27" t="str">
        <v>MN</v>
      </c>
      <c r="C16" s="28">
        <f>SUM(Apr!C16, May!C16, Jun!C16)</f>
        <v>170931.53142857199</v>
      </c>
      <c r="D16" s="29">
        <f>SUM(Apr!D16, May!D16, Jun!D16)</f>
        <v>0</v>
      </c>
      <c r="E16" s="29">
        <f t="shared" si="3"/>
        <v>170931.53142857199</v>
      </c>
      <c r="F16" s="30" t="str">
        <f t="shared" si="4"/>
        <v/>
      </c>
      <c r="G16" s="31">
        <f>SUM(Apr!G16+May!G16+Jun!G16)</f>
        <v>186906.2</v>
      </c>
      <c r="H16" s="31">
        <f>SUM(Apr!H16, May!H16, Jun!H16)</f>
        <v>-15974.668571428017</v>
      </c>
      <c r="I16" s="32">
        <f t="shared" si="5"/>
        <v>-8.5468906710574694E-2</v>
      </c>
    </row>
    <row r="17" spans="1:9" ht="15.6">
      <c r="A17" s="48" t="str">
        <v>Felician Sisters Convent</v>
      </c>
      <c r="B17" s="34" t="str">
        <v>NJ</v>
      </c>
      <c r="C17" s="35">
        <f>SUM(Apr!C17, May!C17, Jun!C17)</f>
        <v>36712.300000000003</v>
      </c>
      <c r="D17" s="36">
        <f>SUM(Apr!D17, May!D17, Jun!D17)</f>
        <v>0</v>
      </c>
      <c r="E17" s="36">
        <f t="shared" si="3"/>
        <v>36712.300000000003</v>
      </c>
      <c r="F17" s="73" t="str">
        <f t="shared" si="4"/>
        <v/>
      </c>
      <c r="G17" s="74">
        <f>SUM(Apr!G17,May!G17,Jun!G17)</f>
        <v>0</v>
      </c>
      <c r="H17" s="74">
        <f>SUM(Apr!H17, May!H17, Jun!H17)</f>
        <v>0</v>
      </c>
      <c r="I17" s="73" t="str">
        <f t="shared" si="5"/>
        <v/>
      </c>
    </row>
    <row r="18" spans="1:9" ht="15.6">
      <c r="A18" s="47" t="str">
        <v>Sussex County Fairgrounds</v>
      </c>
      <c r="B18" s="27" t="str">
        <v>NJ</v>
      </c>
      <c r="C18" s="28">
        <f>SUM(Apr!C18, May!C18, Jun!C18)</f>
        <v>32793.699999999997</v>
      </c>
      <c r="D18" s="29">
        <f>SUM(Apr!D18, May!D18, Jun!D18)</f>
        <v>0</v>
      </c>
      <c r="E18" s="29">
        <f t="shared" si="3"/>
        <v>32793.699999999997</v>
      </c>
      <c r="F18" s="30" t="str">
        <f t="shared" si="4"/>
        <v/>
      </c>
      <c r="G18" s="31">
        <f>SUM(Apr!G18,May!G18,Jun!G18)</f>
        <v>0</v>
      </c>
      <c r="H18" s="31">
        <f>SUM(Apr!H18, May!H18, Jun!H18)</f>
        <v>0</v>
      </c>
      <c r="I18" s="32" t="str">
        <f t="shared" si="5"/>
        <v/>
      </c>
    </row>
    <row r="19" spans="1:9" ht="15.6">
      <c r="A19" s="48" t="str">
        <v>Gateway Church</v>
      </c>
      <c r="B19" s="34" t="str">
        <v>NJ</v>
      </c>
      <c r="C19" s="35">
        <f>SUM(Apr!C19, May!C19, Jun!C19)</f>
        <v>25984</v>
      </c>
      <c r="D19" s="36">
        <f>SUM(Apr!D19, May!D19, Jun!D19)</f>
        <v>0</v>
      </c>
      <c r="E19" s="36">
        <f t="shared" si="3"/>
        <v>25984</v>
      </c>
      <c r="F19" s="73" t="str">
        <f t="shared" si="4"/>
        <v/>
      </c>
      <c r="G19" s="74">
        <f>SUM(Apr!G19,May!G19,Jun!G19)</f>
        <v>0</v>
      </c>
      <c r="H19" s="74">
        <f>SUM(Apr!H19, May!H19, Jun!H19)</f>
        <v>0</v>
      </c>
      <c r="I19" s="73" t="str">
        <f t="shared" si="5"/>
        <v/>
      </c>
    </row>
    <row r="20" spans="1:9" ht="15.6">
      <c r="A20" s="47" t="str">
        <v>Beaver Falls - Felician Sisters</v>
      </c>
      <c r="B20" s="27" t="str">
        <v>PA</v>
      </c>
      <c r="C20" s="28">
        <f>SUM(Apr!C20, May!C20, Jun!C20)</f>
        <v>39677</v>
      </c>
      <c r="D20" s="29">
        <f>SUM(Apr!D20, May!D20, Jun!D20)</f>
        <v>0</v>
      </c>
      <c r="E20" s="29">
        <f t="shared" si="3"/>
        <v>39677</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3" t="str">
        <f t="shared" si="4"/>
        <v/>
      </c>
      <c r="G21" s="74">
        <f>SUM(Apr!G21,May!G21,Jun!G21)</f>
        <v>0</v>
      </c>
      <c r="H21" s="74">
        <f>SUM(Apr!H21, May!H21, Jun!H21)</f>
        <v>0</v>
      </c>
      <c r="I21" s="73" t="str">
        <f t="shared" si="5"/>
        <v/>
      </c>
    </row>
    <row r="22" spans="1:9" ht="15.6">
      <c r="A22" s="47" t="str">
        <v>Livonia - Felician Sisters Roof</v>
      </c>
      <c r="B22" s="27" t="str">
        <v>MI</v>
      </c>
      <c r="C22" s="28">
        <f>SUM(Apr!C22, May!C22, Jun!C22)</f>
        <v>16168</v>
      </c>
      <c r="D22" s="29">
        <f>SUM(Apr!D22, May!D22, Jun!D22)</f>
        <v>0</v>
      </c>
      <c r="E22" s="29">
        <f t="shared" si="3"/>
        <v>16168</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11787.28000000003</v>
      </c>
      <c r="D23" s="36">
        <f>SUM(Apr!D23, May!D23, Jun!D23)</f>
        <v>0</v>
      </c>
      <c r="E23" s="36">
        <f t="shared" si="3"/>
        <v>11787.28000000003</v>
      </c>
      <c r="F23" s="73" t="str">
        <f t="shared" si="4"/>
        <v/>
      </c>
      <c r="G23" s="74">
        <f>SUM(Apr!G23,May!G23,Jun!G23)</f>
        <v>0</v>
      </c>
      <c r="H23" s="74">
        <f>SUM(Apr!H23, May!H23, Jun!H23)</f>
        <v>0</v>
      </c>
      <c r="I23" s="73" t="str">
        <f t="shared" si="5"/>
        <v/>
      </c>
    </row>
    <row r="24" spans="1:9" ht="15.6">
      <c r="A24" s="47" t="str">
        <v xml:space="preserve"> Audubon - Senior Citizens United</v>
      </c>
      <c r="B24" s="27" t="str">
        <v>NJ</v>
      </c>
      <c r="C24" s="28">
        <f>SUM(Apr!C24, May!C24, Jun!C24)</f>
        <v>8635.375</v>
      </c>
      <c r="D24" s="29">
        <f>SUM(Apr!D24, May!D24, Jun!D24)</f>
        <v>0</v>
      </c>
      <c r="E24" s="29">
        <f t="shared" si="3"/>
        <v>8635.375</v>
      </c>
      <c r="F24" s="30" t="str">
        <f t="shared" si="4"/>
        <v/>
      </c>
      <c r="G24" s="31">
        <f>SUM(Apr!G24,May!G24,Jun!G24)</f>
        <v>0</v>
      </c>
      <c r="H24" s="31">
        <f>SUM(Apr!H24, May!H24, Jun!H24)</f>
        <v>0</v>
      </c>
      <c r="I24" s="32" t="str">
        <f t="shared" si="5"/>
        <v/>
      </c>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D23" sqref="D2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2" t="str" cm="1">
        <f t="array" ref="A1">portfolio</f>
        <v>Clean Capital</v>
      </c>
      <c r="B1" s="92"/>
      <c r="C1" s="92"/>
      <c r="D1" s="93" t="s">
        <v>14</v>
      </c>
      <c r="E1" s="93"/>
      <c r="F1" s="93"/>
      <c r="G1" s="91" t="s">
        <v>15</v>
      </c>
      <c r="H1" s="91"/>
      <c r="I1" s="91"/>
    </row>
    <row r="2" spans="1:9" ht="19.5" customHeight="1">
      <c r="A2" s="94" t="s">
        <v>2</v>
      </c>
      <c r="B2" s="94"/>
      <c r="C2" s="5">
        <f>SUM(C4:C79)</f>
        <v>0</v>
      </c>
      <c r="D2" s="5">
        <f>SUM(D4:D79)</f>
        <v>0</v>
      </c>
      <c r="E2" s="5">
        <f>C2-D2</f>
        <v>0</v>
      </c>
      <c r="F2" s="6">
        <f>IFERROR(E2/D2, 0)</f>
        <v>0</v>
      </c>
      <c r="G2" s="5">
        <f>SUM(G4:G79)</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24">Sites[Site]</f>
        <v>Lexington - Cotting School</v>
      </c>
      <c r="B4" s="27" t="str" cm="1">
        <f t="array" ref="B4:B24">Sites[State]</f>
        <v>MA</v>
      </c>
      <c r="C4" s="28">
        <f>SUM(Jul!C4, Aug!C4, Sep!C4)</f>
        <v>0</v>
      </c>
      <c r="D4" s="29">
        <f>SUM(Jul!D4, Aug!D4, Sep!D4)</f>
        <v>0</v>
      </c>
      <c r="E4" s="29">
        <f>IF(AND(ISNUMBER(C4),ISNUMBER(D4)), C4-D4, "")</f>
        <v>0</v>
      </c>
      <c r="F4" s="30" t="str">
        <f>IFERROR(E4/D4, "")</f>
        <v/>
      </c>
      <c r="G4" s="31">
        <f>SUM(Jul!G4,Aug!G4,Sep!G4)</f>
        <v>0</v>
      </c>
      <c r="H4" s="31">
        <f>SUM(Jul!H4, Aug!H4, Sep!H4)</f>
        <v>0</v>
      </c>
      <c r="I4" s="32" t="str">
        <f>IFERROR(H4/G4, "")</f>
        <v/>
      </c>
    </row>
    <row r="5" spans="1:9" ht="15.6">
      <c r="A5" s="48" t="str">
        <v>Pacoima - Whiteman Airport</v>
      </c>
      <c r="B5" s="34" t="str">
        <v>CA</v>
      </c>
      <c r="C5" s="35">
        <f>SUM(Jul!C5, Aug!C5, Sep!C5)</f>
        <v>0</v>
      </c>
      <c r="D5" s="36">
        <f>SUM(Jul!D5, Aug!D5, Sep!D5)</f>
        <v>0</v>
      </c>
      <c r="E5" s="36">
        <f t="shared" ref="E5:E7" si="0">IF(AND(ISNUMBER(C5),ISNUMBER(D5)), C5-D5, "")</f>
        <v>0</v>
      </c>
      <c r="F5" s="37" t="str">
        <f>IFERROR(E5/D5, "")</f>
        <v/>
      </c>
      <c r="G5" s="38">
        <f>SUM(Jul!G5,Aug!G5,Sep!G5)</f>
        <v>0</v>
      </c>
      <c r="H5" s="38">
        <f>SUM(Jul!H5, Aug!H5, Sep!H5)</f>
        <v>0</v>
      </c>
      <c r="I5" s="37" t="str">
        <f>IFERROR(H5/G5, "")</f>
        <v/>
      </c>
    </row>
    <row r="6" spans="1:9" ht="15.6">
      <c r="A6" s="47" t="str">
        <v>Hyannis - Sturgis Charter School</v>
      </c>
      <c r="B6" s="27" t="str">
        <v>MA</v>
      </c>
      <c r="C6" s="28">
        <f>SUM(Jul!C6, Aug!C6, Sep!C6)</f>
        <v>0</v>
      </c>
      <c r="D6" s="29">
        <f>SUM(Jul!D6, Aug!D6, Sep!D6)</f>
        <v>0</v>
      </c>
      <c r="E6" s="29">
        <f t="shared" si="0"/>
        <v>0</v>
      </c>
      <c r="F6" s="30" t="str">
        <f t="shared" ref="F6:F7" si="1">IFERROR(E6/D6, "")</f>
        <v/>
      </c>
      <c r="G6" s="31">
        <f>SUM(Jul!G6,Aug!G6,Sep!G6)</f>
        <v>0</v>
      </c>
      <c r="H6" s="31">
        <f>SUM(Jul!H6, Aug!H6, Sep!H6)</f>
        <v>0</v>
      </c>
      <c r="I6" s="32" t="str">
        <f t="shared" ref="I6:I7" si="2">IFERROR(H6/G6, "")</f>
        <v/>
      </c>
    </row>
    <row r="7" spans="1:9" ht="15.6">
      <c r="A7" s="48" t="str">
        <v>South Dennis - Tony Kent Arena</v>
      </c>
      <c r="B7" s="34" t="str">
        <v>MA</v>
      </c>
      <c r="C7" s="35">
        <f>SUM(Jul!C7, Aug!C7, Sep!C7)</f>
        <v>0</v>
      </c>
      <c r="D7" s="36">
        <f>SUM(Jul!D7, Aug!D7, Sep!D7)</f>
        <v>0</v>
      </c>
      <c r="E7" s="36">
        <f t="shared" si="0"/>
        <v>0</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0</v>
      </c>
      <c r="D8" s="29">
        <f>SUM(Jul!D8, Aug!D8, Sep!D8)</f>
        <v>0</v>
      </c>
      <c r="E8" s="29">
        <f t="shared" ref="E8:E24" si="3">IF(AND(ISNUMBER(C8),ISNUMBER(D8)), C8-D8, "")</f>
        <v>0</v>
      </c>
      <c r="F8" s="30" t="str">
        <f t="shared" ref="F8:F24" si="4">IFERROR(E8/D8, "")</f>
        <v/>
      </c>
      <c r="G8" s="31">
        <f>SUM(Jul!G8,Aug!G8,Sep!G8)</f>
        <v>0</v>
      </c>
      <c r="H8" s="31">
        <f>SUM(Jul!H8, Aug!H8, Sep!H8)</f>
        <v>0</v>
      </c>
      <c r="I8" s="32" t="str">
        <f t="shared" ref="I8:I24" si="5">IFERROR(H8/G8, "")</f>
        <v/>
      </c>
    </row>
    <row r="9" spans="1:9" ht="15.6">
      <c r="A9" s="48" t="str">
        <v>Clear Lake - Eastlake Gohman</v>
      </c>
      <c r="B9" s="34" t="str">
        <v>MN</v>
      </c>
      <c r="C9" s="35">
        <f>SUM(Jul!C9, Aug!C9, Sep!C9)</f>
        <v>0</v>
      </c>
      <c r="D9" s="36">
        <f>SUM(Jul!D9, Aug!D9, Sep!D9)</f>
        <v>0</v>
      </c>
      <c r="E9" s="36">
        <f t="shared" si="3"/>
        <v>0</v>
      </c>
      <c r="F9" s="73" t="str">
        <f t="shared" si="4"/>
        <v/>
      </c>
      <c r="G9" s="74">
        <f>SUM(Jul!G9,Aug!G9,Sep!G9)</f>
        <v>0</v>
      </c>
      <c r="H9" s="74">
        <f>SUM(Jul!H9, Aug!H9, Sep!H9)</f>
        <v>0</v>
      </c>
      <c r="I9" s="73" t="str">
        <f t="shared" si="5"/>
        <v/>
      </c>
    </row>
    <row r="10" spans="1:9" ht="15.6">
      <c r="A10" s="47" t="str">
        <v>Zumbrota - Eastlake Brenda Luhman</v>
      </c>
      <c r="B10" s="27" t="str">
        <v>MN</v>
      </c>
      <c r="C10" s="28">
        <f>SUM(Jul!C10, Aug!C10, Sep!C10)</f>
        <v>0</v>
      </c>
      <c r="D10" s="29">
        <f>SUM(Jul!D10, Aug!D10, Sep!D10)</f>
        <v>0</v>
      </c>
      <c r="E10" s="29">
        <f t="shared" si="3"/>
        <v>0</v>
      </c>
      <c r="F10" s="30" t="str">
        <f t="shared" si="4"/>
        <v/>
      </c>
      <c r="G10" s="31">
        <f>SUM(Jul!G10,Aug!G10,Sep!G10)</f>
        <v>0</v>
      </c>
      <c r="H10" s="31">
        <f>SUM(Jul!H10, Aug!H10, Sep!H10)</f>
        <v>0</v>
      </c>
      <c r="I10" s="32" t="str">
        <f t="shared" si="5"/>
        <v/>
      </c>
    </row>
    <row r="11" spans="1:9" ht="15.6">
      <c r="A11" s="48" t="str">
        <v>Cokato - Eastlake Carlson</v>
      </c>
      <c r="B11" s="34" t="str">
        <v>MN</v>
      </c>
      <c r="C11" s="35">
        <f>SUM(Jul!C11, Aug!C11, Sep!C11)</f>
        <v>0</v>
      </c>
      <c r="D11" s="36">
        <f>SUM(Jul!D11, Aug!D11, Sep!D11)</f>
        <v>0</v>
      </c>
      <c r="E11" s="36">
        <f t="shared" si="3"/>
        <v>0</v>
      </c>
      <c r="F11" s="73" t="str">
        <f t="shared" si="4"/>
        <v/>
      </c>
      <c r="G11" s="74">
        <f>SUM(Jul!G11,Aug!G11,Sep!G11)</f>
        <v>0</v>
      </c>
      <c r="H11" s="74">
        <f>SUM(Jul!H11, Aug!H11, Sep!H11)</f>
        <v>0</v>
      </c>
      <c r="I11" s="73" t="str">
        <f t="shared" si="5"/>
        <v/>
      </c>
    </row>
    <row r="12" spans="1:9" ht="15.6">
      <c r="A12" s="47" t="str">
        <v>North Branch - Cornille 2</v>
      </c>
      <c r="B12" s="27" t="str">
        <v>MN</v>
      </c>
      <c r="C12" s="28">
        <f>SUM(Jul!C12, Aug!C12, Sep!C12)</f>
        <v>0</v>
      </c>
      <c r="D12" s="29">
        <f>SUM(Jul!D12, Aug!D12, Sep!D12)</f>
        <v>0</v>
      </c>
      <c r="E12" s="29">
        <f t="shared" si="3"/>
        <v>0</v>
      </c>
      <c r="F12" s="30" t="str">
        <f t="shared" si="4"/>
        <v/>
      </c>
      <c r="G12" s="31">
        <f>SUM(Jul!G12,Aug!G12,Sep!G12)</f>
        <v>0</v>
      </c>
      <c r="H12" s="31">
        <f>SUM(Jul!H12, Aug!H12, Sep!H12)</f>
        <v>0</v>
      </c>
      <c r="I12" s="32" t="str">
        <f t="shared" si="5"/>
        <v/>
      </c>
    </row>
    <row r="13" spans="1:9" ht="15.6">
      <c r="A13" s="48" t="str">
        <v>Clear Lake - Eastlake Hammer</v>
      </c>
      <c r="B13" s="34" t="str">
        <v>MN</v>
      </c>
      <c r="C13" s="35">
        <f>SUM(Jul!C13, Aug!C13, Sep!C13)</f>
        <v>0</v>
      </c>
      <c r="D13" s="36">
        <f>SUM(Jul!D13, Aug!D13, Sep!D13)</f>
        <v>0</v>
      </c>
      <c r="E13" s="36">
        <f t="shared" si="3"/>
        <v>0</v>
      </c>
      <c r="F13" s="73" t="str">
        <f t="shared" si="4"/>
        <v/>
      </c>
      <c r="G13" s="74">
        <f>SUM(Jul!G13,Aug!G13,Sep!G13)</f>
        <v>0</v>
      </c>
      <c r="H13" s="74">
        <f>SUM(Jul!H13, Aug!H13, Sep!H13)</f>
        <v>0</v>
      </c>
      <c r="I13" s="73" t="str">
        <f t="shared" si="5"/>
        <v/>
      </c>
    </row>
    <row r="14" spans="1:9" ht="15.6">
      <c r="A14" s="47" t="str">
        <v>Eastlake - Hertzberg CSG 1</v>
      </c>
      <c r="B14" s="27" t="str">
        <v>MN</v>
      </c>
      <c r="C14" s="28">
        <f>SUM(Jul!C14, Aug!C14, Sep!C14)</f>
        <v>0</v>
      </c>
      <c r="D14" s="29">
        <f>SUM(Jul!D14, Aug!D14, Sep!D14)</f>
        <v>0</v>
      </c>
      <c r="E14" s="29">
        <f t="shared" si="3"/>
        <v>0</v>
      </c>
      <c r="F14" s="30" t="str">
        <f t="shared" si="4"/>
        <v/>
      </c>
      <c r="G14" s="31">
        <f>SUM(Jul!G14,Aug!G14,Sep!G14)</f>
        <v>0</v>
      </c>
      <c r="H14" s="31">
        <f>SUM(Jul!H14, Aug!H14, Sep!H14)</f>
        <v>0</v>
      </c>
      <c r="I14" s="32" t="str">
        <f t="shared" si="5"/>
        <v/>
      </c>
    </row>
    <row r="15" spans="1:9" ht="15.6">
      <c r="A15" s="48" t="str">
        <v>Cokato - Eastlake Laurel Village</v>
      </c>
      <c r="B15" s="34" t="str">
        <v>MN</v>
      </c>
      <c r="C15" s="35">
        <f>SUM(Jul!C15, Aug!C15, Sep!C15)</f>
        <v>0</v>
      </c>
      <c r="D15" s="36">
        <f>SUM(Jul!D15, Aug!D15, Sep!D15)</f>
        <v>0</v>
      </c>
      <c r="E15" s="36">
        <f t="shared" si="3"/>
        <v>0</v>
      </c>
      <c r="F15" s="73" t="str">
        <f t="shared" si="4"/>
        <v/>
      </c>
      <c r="G15" s="74">
        <f>SUM(Jul!G15,Aug!G15,Sep!G15)</f>
        <v>0</v>
      </c>
      <c r="H15" s="74">
        <f>SUM(Jul!H15, Aug!H15, Sep!H15)</f>
        <v>0</v>
      </c>
      <c r="I15" s="73" t="str">
        <f t="shared" si="5"/>
        <v/>
      </c>
    </row>
    <row r="16" spans="1:9" ht="15.6">
      <c r="A16" s="47" t="str">
        <v>St. Peter - Eastlake Paulson</v>
      </c>
      <c r="B16" s="27" t="str">
        <v>MN</v>
      </c>
      <c r="C16" s="28">
        <f>SUM(Jul!C16, Aug!C16, Sep!C16)</f>
        <v>0</v>
      </c>
      <c r="D16" s="29">
        <f>SUM(Jul!D16, Aug!D16, Sep!D16)</f>
        <v>0</v>
      </c>
      <c r="E16" s="29">
        <f t="shared" si="3"/>
        <v>0</v>
      </c>
      <c r="F16" s="30" t="str">
        <f t="shared" si="4"/>
        <v/>
      </c>
      <c r="G16" s="31">
        <f>SUM(Jul!G16,Aug!G16,Sep!G16)</f>
        <v>0</v>
      </c>
      <c r="H16" s="31">
        <f>SUM(Jul!H16, Aug!H16, Sep!H16)</f>
        <v>0</v>
      </c>
      <c r="I16" s="32" t="str">
        <f t="shared" si="5"/>
        <v/>
      </c>
    </row>
    <row r="17" spans="1:9" ht="15.6">
      <c r="A17" s="48" t="str">
        <v>Felician Sisters Convent</v>
      </c>
      <c r="B17" s="34" t="str">
        <v>NJ</v>
      </c>
      <c r="C17" s="35">
        <f>SUM(Jul!C17, Aug!C17, Sep!C17)</f>
        <v>0</v>
      </c>
      <c r="D17" s="36">
        <f>SUM(Jul!D17, Aug!D17, Sep!D17)</f>
        <v>0</v>
      </c>
      <c r="E17" s="36">
        <f t="shared" si="3"/>
        <v>0</v>
      </c>
      <c r="F17" s="73" t="str">
        <f t="shared" si="4"/>
        <v/>
      </c>
      <c r="G17" s="74">
        <f>SUM(Jul!G17,Aug!G17,Sep!G17)</f>
        <v>0</v>
      </c>
      <c r="H17" s="74">
        <f>SUM(Jul!H17, Aug!H17, Sep!H17)</f>
        <v>0</v>
      </c>
      <c r="I17" s="73" t="str">
        <f t="shared" si="5"/>
        <v/>
      </c>
    </row>
    <row r="18" spans="1:9" ht="15.6">
      <c r="A18" s="47" t="str">
        <v>Sussex County Fairgrounds</v>
      </c>
      <c r="B18" s="27" t="str">
        <v>NJ</v>
      </c>
      <c r="C18" s="28">
        <f>SUM(Jul!C18, Aug!C18, Sep!C18)</f>
        <v>0</v>
      </c>
      <c r="D18" s="29">
        <f>SUM(Jul!D18, Aug!D18, Sep!D18)</f>
        <v>0</v>
      </c>
      <c r="E18" s="29">
        <f t="shared" si="3"/>
        <v>0</v>
      </c>
      <c r="F18" s="30" t="str">
        <f t="shared" si="4"/>
        <v/>
      </c>
      <c r="G18" s="31">
        <f>SUM(Jul!G18,Aug!G18,Sep!G18)</f>
        <v>0</v>
      </c>
      <c r="H18" s="31">
        <f>SUM(Jul!H18, Aug!H18, Sep!H18)</f>
        <v>0</v>
      </c>
      <c r="I18" s="32" t="str">
        <f t="shared" si="5"/>
        <v/>
      </c>
    </row>
    <row r="19" spans="1:9" ht="15.6">
      <c r="A19" s="48" t="str">
        <v>Gateway Church</v>
      </c>
      <c r="B19" s="34" t="str">
        <v>NJ</v>
      </c>
      <c r="C19" s="35">
        <f>SUM(Jul!C19, Aug!C19, Sep!C19)</f>
        <v>0</v>
      </c>
      <c r="D19" s="36">
        <f>SUM(Jul!D19, Aug!D19, Sep!D19)</f>
        <v>0</v>
      </c>
      <c r="E19" s="36">
        <f t="shared" si="3"/>
        <v>0</v>
      </c>
      <c r="F19" s="73" t="str">
        <f t="shared" si="4"/>
        <v/>
      </c>
      <c r="G19" s="74">
        <f>SUM(Jul!G19,Aug!G19,Sep!G19)</f>
        <v>0</v>
      </c>
      <c r="H19" s="74">
        <f>SUM(Jul!H19, Aug!H19, Sep!H19)</f>
        <v>0</v>
      </c>
      <c r="I19" s="73" t="str">
        <f t="shared" si="5"/>
        <v/>
      </c>
    </row>
    <row r="20" spans="1:9" ht="15.6">
      <c r="A20" s="47" t="str">
        <v>Beaver Falls - Felician Sisters</v>
      </c>
      <c r="B20" s="27" t="str">
        <v>PA</v>
      </c>
      <c r="C20" s="28">
        <f>SUM(Jul!C20, Aug!C20, Sep!C20)</f>
        <v>0</v>
      </c>
      <c r="D20" s="29">
        <f>SUM(Jul!D20, Aug!D20, Sep!D20)</f>
        <v>0</v>
      </c>
      <c r="E20" s="29">
        <f t="shared" si="3"/>
        <v>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0</v>
      </c>
      <c r="D21" s="36">
        <f>SUM(Jul!D21, Aug!D21, Sep!D21)</f>
        <v>0</v>
      </c>
      <c r="E21" s="36">
        <f t="shared" si="3"/>
        <v>0</v>
      </c>
      <c r="F21" s="73" t="str">
        <f t="shared" si="4"/>
        <v/>
      </c>
      <c r="G21" s="74">
        <f>SUM(Jul!G21,Aug!G21,Sep!G21)</f>
        <v>0</v>
      </c>
      <c r="H21" s="74">
        <f>SUM(Jul!H21, Aug!H21, Sep!H21)</f>
        <v>0</v>
      </c>
      <c r="I21" s="73" t="str">
        <f t="shared" si="5"/>
        <v/>
      </c>
    </row>
    <row r="22" spans="1:9" ht="15.6">
      <c r="A22" s="47" t="str">
        <v>Livonia - Felician Sisters Roof</v>
      </c>
      <c r="B22" s="27" t="str">
        <v>MI</v>
      </c>
      <c r="C22" s="28">
        <f>SUM(Jul!C22, Aug!C22, Sep!C22)</f>
        <v>0</v>
      </c>
      <c r="D22" s="29">
        <f>SUM(Jul!D22, Aug!D22, Sep!D22)</f>
        <v>0</v>
      </c>
      <c r="E22" s="29">
        <f t="shared" si="3"/>
        <v>0</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0</v>
      </c>
      <c r="D23" s="36">
        <f>SUM(Jul!D23, Aug!D23, Sep!D23)</f>
        <v>0</v>
      </c>
      <c r="E23" s="36">
        <f t="shared" si="3"/>
        <v>0</v>
      </c>
      <c r="F23" s="73" t="str">
        <f t="shared" si="4"/>
        <v/>
      </c>
      <c r="G23" s="74">
        <f>SUM(Jul!G23,Aug!G23,Sep!G23)</f>
        <v>0</v>
      </c>
      <c r="H23" s="74">
        <f>SUM(Jul!H23, Aug!H23, Sep!H23)</f>
        <v>0</v>
      </c>
      <c r="I23" s="73" t="str">
        <f t="shared" si="5"/>
        <v/>
      </c>
    </row>
    <row r="24" spans="1:9" ht="15.6">
      <c r="A24" s="47" t="str">
        <v xml:space="preserve"> Audubon - Senior Citizens United</v>
      </c>
      <c r="B24" s="27" t="str">
        <v>NJ</v>
      </c>
      <c r="C24" s="28">
        <f>SUM(Jul!C24, Aug!C24, Sep!C24)</f>
        <v>0</v>
      </c>
      <c r="D24" s="29">
        <f>SUM(Jul!D24, Aug!D24, Sep!D24)</f>
        <v>0</v>
      </c>
      <c r="E24" s="29">
        <f t="shared" si="3"/>
        <v>0</v>
      </c>
      <c r="F24" s="30" t="str">
        <f t="shared" si="4"/>
        <v/>
      </c>
      <c r="G24" s="31">
        <f>SUM(Jul!G24,Aug!G24,Sep!G24)</f>
        <v>0</v>
      </c>
      <c r="H24" s="31">
        <f>SUM(Jul!H24, Aug!H24, Sep!H24)</f>
        <v>0</v>
      </c>
      <c r="I24" s="32" t="str">
        <f t="shared" si="5"/>
        <v/>
      </c>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79 I4:I7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4" activePane="bottomRight" state="frozen"/>
      <selection pane="bottomRight" activeCell="L15" sqref="L1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2" t="str" cm="1">
        <f t="array" ref="A1">portfolio</f>
        <v>Clean Capital</v>
      </c>
      <c r="B1" s="92"/>
      <c r="C1" s="92"/>
      <c r="D1" s="93" t="s">
        <v>16</v>
      </c>
      <c r="E1" s="93"/>
      <c r="F1" s="93"/>
      <c r="G1" s="91" t="s">
        <v>17</v>
      </c>
      <c r="H1" s="91"/>
      <c r="I1" s="91"/>
    </row>
    <row r="2" spans="1:9" ht="19.5" customHeight="1">
      <c r="A2" s="94" t="s">
        <v>2</v>
      </c>
      <c r="B2" s="94"/>
      <c r="C2" s="5">
        <f>SUM(C4:C78)</f>
        <v>0</v>
      </c>
      <c r="D2" s="5">
        <f>SUM(D4:D78)</f>
        <v>0</v>
      </c>
      <c r="E2" s="5">
        <f>C2-D2</f>
        <v>0</v>
      </c>
      <c r="F2" s="6">
        <f>IFERROR(E2/D2, 0)</f>
        <v>0</v>
      </c>
      <c r="G2" s="5">
        <f>SUM(G4:G78)</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24">Sites[Site]</f>
        <v>Lexington - Cotting School</v>
      </c>
      <c r="B4" s="27" t="str" cm="1">
        <f t="array" ref="B4:B24">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3" t="str">
        <f t="shared" si="4"/>
        <v/>
      </c>
      <c r="G9" s="36">
        <f>SUM(Oct!G9,Nov!G9,Dec!G9)</f>
        <v>0</v>
      </c>
      <c r="H9" s="74">
        <f>SUM(Oct!H9, Nov!H9, Dec!H9)</f>
        <v>0</v>
      </c>
      <c r="I9" s="73"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3" t="str">
        <f t="shared" si="4"/>
        <v/>
      </c>
      <c r="G11" s="36">
        <f>SUM(Oct!G11,Nov!G11,Dec!G11)</f>
        <v>0</v>
      </c>
      <c r="H11" s="74">
        <f>SUM(Oct!H11, Nov!H11, Dec!H11)</f>
        <v>0</v>
      </c>
      <c r="I11" s="73"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3" t="str">
        <f t="shared" si="4"/>
        <v/>
      </c>
      <c r="G13" s="36">
        <f>SUM(Oct!G13,Nov!G13,Dec!G13)</f>
        <v>0</v>
      </c>
      <c r="H13" s="74">
        <f>SUM(Oct!H13, Nov!H13, Dec!H13)</f>
        <v>0</v>
      </c>
      <c r="I13" s="73"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3" t="str">
        <f t="shared" si="4"/>
        <v/>
      </c>
      <c r="G15" s="36">
        <f>SUM(Oct!G15,Nov!G15,Dec!G15)</f>
        <v>0</v>
      </c>
      <c r="H15" s="74">
        <f>SUM(Oct!H15, Nov!H15, Dec!H15)</f>
        <v>0</v>
      </c>
      <c r="I15" s="73"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3" t="str">
        <f t="shared" si="4"/>
        <v/>
      </c>
      <c r="G17" s="36">
        <f>SUM(Oct!G17,Nov!G17,Dec!G17)</f>
        <v>0</v>
      </c>
      <c r="H17" s="74">
        <f>SUM(Oct!H17, Nov!H17, Dec!H17)</f>
        <v>0</v>
      </c>
      <c r="I17" s="73"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3" t="str">
        <f t="shared" si="4"/>
        <v/>
      </c>
      <c r="G19" s="36">
        <f>SUM(Oct!G19,Nov!G19,Dec!G19)</f>
        <v>0</v>
      </c>
      <c r="H19" s="74">
        <f>SUM(Oct!H19, Nov!H19, Dec!H19)</f>
        <v>0</v>
      </c>
      <c r="I19" s="73"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3" t="str">
        <f t="shared" si="4"/>
        <v/>
      </c>
      <c r="G21" s="36">
        <f>SUM(Oct!G21,Nov!G21,Dec!G21)</f>
        <v>0</v>
      </c>
      <c r="H21" s="74">
        <f>SUM(Oct!H21, Nov!H21, Dec!H21)</f>
        <v>0</v>
      </c>
      <c r="I21" s="73"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3" t="str">
        <f t="shared" si="4"/>
        <v/>
      </c>
      <c r="G23" s="36">
        <f>SUM(Oct!G23,Nov!G23,Dec!G23)</f>
        <v>0</v>
      </c>
      <c r="H23" s="74">
        <f>SUM(Oct!H23, Nov!H23, Dec!H23)</f>
        <v>0</v>
      </c>
      <c r="I23" s="73"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78 I4:I7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C4"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92" t="str" cm="1">
        <f t="array" ref="A1">portfolio</f>
        <v>Clean Capital</v>
      </c>
      <c r="B1" s="92"/>
      <c r="C1" s="92"/>
      <c r="D1" s="93" t="s">
        <v>18</v>
      </c>
      <c r="E1" s="93"/>
      <c r="F1" s="93"/>
      <c r="G1" s="91" t="s">
        <v>19</v>
      </c>
      <c r="H1" s="91"/>
      <c r="I1" s="91"/>
      <c r="J1" s="4"/>
      <c r="K1" s="4"/>
    </row>
    <row r="2" spans="1:11" ht="15.6">
      <c r="A2" s="94" t="s">
        <v>2</v>
      </c>
      <c r="B2" s="94"/>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24">Sites[Site]</f>
        <v>Lexington - Cotting School</v>
      </c>
      <c r="B4" s="40" t="str" cm="1">
        <f t="array" ref="B4:B24">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9"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8" t="s">
        <v>24</v>
      </c>
      <c r="K5" s="70"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71" t="s">
        <v>27</v>
      </c>
    </row>
    <row r="8" spans="1:11" ht="15.6">
      <c r="A8" s="44" t="str">
        <v xml:space="preserve"> Caropolis - Felician Sisters</v>
      </c>
      <c r="B8" s="40" t="str">
        <v>PA</v>
      </c>
      <c r="C8" s="28"/>
      <c r="D8" s="29"/>
      <c r="E8" s="29"/>
      <c r="F8" s="32"/>
      <c r="G8" s="31"/>
      <c r="H8" s="31"/>
      <c r="I8" s="32"/>
      <c r="J8" s="49"/>
      <c r="K8" s="69"/>
    </row>
    <row r="9" spans="1:11" ht="15.6">
      <c r="A9" s="45" t="str">
        <v>Clear Lake - Eastlake Gohman</v>
      </c>
      <c r="B9" s="42" t="str">
        <v>MN</v>
      </c>
      <c r="C9" s="36"/>
      <c r="D9" s="36"/>
      <c r="E9" s="36"/>
      <c r="F9" s="37"/>
      <c r="G9" s="38"/>
      <c r="H9" s="38"/>
      <c r="I9" s="37"/>
      <c r="J9" s="68"/>
      <c r="K9" s="70"/>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71"/>
    </row>
    <row r="12" spans="1:11" ht="15.6">
      <c r="A12" s="44" t="str">
        <v>North Branch - Cornille 2</v>
      </c>
      <c r="B12" s="40" t="str">
        <v>MN</v>
      </c>
      <c r="C12" s="28"/>
      <c r="D12" s="29"/>
      <c r="E12" s="29"/>
      <c r="F12" s="32"/>
      <c r="G12" s="31"/>
      <c r="H12" s="31"/>
      <c r="I12" s="32"/>
      <c r="J12" s="49"/>
      <c r="K12" s="69"/>
    </row>
    <row r="13" spans="1:11" ht="15.6">
      <c r="A13" s="45" t="str">
        <v>Clear Lake - Eastlake Hammer</v>
      </c>
      <c r="B13" s="42" t="str">
        <v>MN</v>
      </c>
      <c r="C13" s="36"/>
      <c r="D13" s="36"/>
      <c r="E13" s="36"/>
      <c r="F13" s="37"/>
      <c r="G13" s="38"/>
      <c r="H13" s="38"/>
      <c r="I13" s="37"/>
      <c r="J13" s="68"/>
      <c r="K13" s="70"/>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71"/>
    </row>
    <row r="16" spans="1:11" ht="15.6">
      <c r="A16" s="44" t="str">
        <v>St. Peter - Eastlake Paulson</v>
      </c>
      <c r="B16" s="40" t="str">
        <v>MN</v>
      </c>
      <c r="C16" s="28"/>
      <c r="D16" s="29"/>
      <c r="E16" s="29"/>
      <c r="F16" s="32"/>
      <c r="G16" s="31"/>
      <c r="H16" s="31"/>
      <c r="I16" s="32"/>
      <c r="J16" s="49"/>
      <c r="K16" s="69"/>
    </row>
    <row r="17" spans="1:11" ht="15.6">
      <c r="A17" s="45" t="str">
        <v>Felician Sisters Convent</v>
      </c>
      <c r="B17" s="42" t="str">
        <v>NJ</v>
      </c>
      <c r="C17" s="36"/>
      <c r="D17" s="36"/>
      <c r="E17" s="36"/>
      <c r="F17" s="37"/>
      <c r="G17" s="38"/>
      <c r="H17" s="38"/>
      <c r="I17" s="37"/>
      <c r="J17" s="68"/>
      <c r="K17" s="70"/>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71"/>
    </row>
    <row r="20" spans="1:11" ht="15.6">
      <c r="A20" s="44" t="str">
        <v>Beaver Falls - Felician Sisters</v>
      </c>
      <c r="B20" s="40" t="str">
        <v>PA</v>
      </c>
      <c r="C20" s="28"/>
      <c r="D20" s="29"/>
      <c r="E20" s="29"/>
      <c r="F20" s="32"/>
      <c r="G20" s="31"/>
      <c r="H20" s="31"/>
      <c r="I20" s="32"/>
      <c r="J20" s="49"/>
      <c r="K20" s="69"/>
    </row>
    <row r="21" spans="1:11" ht="15.6">
      <c r="A21" s="45" t="str">
        <v>Livonia - Felician Sisters Ground</v>
      </c>
      <c r="B21" s="42" t="str">
        <v>MI</v>
      </c>
      <c r="C21" s="36"/>
      <c r="D21" s="36"/>
      <c r="E21" s="36"/>
      <c r="F21" s="37"/>
      <c r="G21" s="38"/>
      <c r="H21" s="38"/>
      <c r="I21" s="37"/>
      <c r="J21" s="68"/>
      <c r="K21" s="70"/>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71"/>
    </row>
    <row r="24" spans="1:11" ht="15.6">
      <c r="A24" s="44" t="str">
        <v xml:space="preserve"> Audubon - Senior Citizens United</v>
      </c>
      <c r="B24" s="40" t="str">
        <v>NJ</v>
      </c>
      <c r="C24" s="28"/>
      <c r="D24" s="29"/>
      <c r="E24" s="29"/>
      <c r="F24" s="32"/>
      <c r="G24" s="31"/>
      <c r="H24" s="31"/>
      <c r="I24" s="32"/>
      <c r="J24" s="49"/>
      <c r="K24" s="69"/>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10"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92" t="str" cm="1">
        <f t="array" ref="A1">portfolio</f>
        <v>Clean Capital</v>
      </c>
      <c r="B1" s="92"/>
      <c r="C1" s="92"/>
      <c r="D1" s="93" t="s">
        <v>28</v>
      </c>
      <c r="E1" s="93"/>
      <c r="F1" s="93"/>
      <c r="G1" s="91" t="s">
        <v>29</v>
      </c>
      <c r="H1" s="91"/>
      <c r="I1" s="91"/>
      <c r="J1" s="4"/>
      <c r="K1" s="4"/>
    </row>
    <row r="2" spans="1:14" ht="19.5" customHeight="1">
      <c r="A2" s="94" t="s">
        <v>2</v>
      </c>
      <c r="B2" s="94"/>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24">Sites[Site]</f>
        <v>Lexington - Cotting School</v>
      </c>
      <c r="B4" s="40" t="str" cm="1">
        <f t="array" ref="B4:B24">Sites[State]</f>
        <v>MA</v>
      </c>
      <c r="C4" s="28">
        <v>7512.56</v>
      </c>
      <c r="D4" s="29">
        <v>0</v>
      </c>
      <c r="E4" s="29">
        <f>IF(AND(ISNUMBER(C4),ISNUMBER(D4)), C4-D4, "")</f>
        <v>7512.56</v>
      </c>
      <c r="F4" s="30" t="str">
        <f>IFERROR(E4/D4, "")</f>
        <v/>
      </c>
      <c r="G4" s="31">
        <v>0</v>
      </c>
      <c r="H4" s="31">
        <f>IF(AND(ISNUMBER(C4),ISNUMBER(G4)), C4-G4, "")</f>
        <v>7512.56</v>
      </c>
      <c r="I4" s="32" t="str">
        <f>IFERROR(H4/G4, "")</f>
        <v/>
      </c>
      <c r="J4" s="49" t="s">
        <v>30</v>
      </c>
      <c r="K4" s="69" t="s">
        <v>31</v>
      </c>
      <c r="L4" s="78" t="s">
        <v>32</v>
      </c>
      <c r="M4" s="79"/>
      <c r="N4" s="79"/>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7" t="s">
        <v>34</v>
      </c>
      <c r="L5" s="78" t="s">
        <v>35</v>
      </c>
      <c r="M5" s="78" t="s">
        <v>36</v>
      </c>
      <c r="N5" s="79"/>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9"/>
      <c r="M6" s="79"/>
      <c r="N6" s="79"/>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70" t="s">
        <v>38</v>
      </c>
      <c r="L7" s="78" t="s">
        <v>39</v>
      </c>
      <c r="M7" s="79"/>
      <c r="N7" s="79"/>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8"/>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8"/>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8"/>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8"/>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8"/>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8"/>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8"/>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8"/>
    </row>
    <row r="24" spans="1:11" ht="15.6">
      <c r="A24" s="44" t="str">
        <v xml:space="preserve"> Audubon - Senior Citizens United</v>
      </c>
      <c r="B24" s="40" t="str">
        <v>NJ</v>
      </c>
      <c r="C24" s="28"/>
      <c r="D24" s="29"/>
      <c r="E24" s="29"/>
      <c r="F24" s="30"/>
      <c r="G24" s="31"/>
      <c r="H24" s="31"/>
      <c r="I24" s="32"/>
      <c r="J24" s="49"/>
      <c r="K24" s="49"/>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92" t="str" cm="1">
        <f t="array" ref="A1">portfolio</f>
        <v>Clean Capital</v>
      </c>
      <c r="B1" s="92"/>
      <c r="C1" s="92"/>
      <c r="D1" s="93" t="s">
        <v>40</v>
      </c>
      <c r="E1" s="93"/>
      <c r="F1" s="93"/>
      <c r="G1" s="91" t="s">
        <v>41</v>
      </c>
      <c r="H1" s="91"/>
      <c r="I1" s="91"/>
      <c r="J1" s="4"/>
      <c r="K1" s="4"/>
    </row>
    <row r="2" spans="1:16" ht="19.5" customHeight="1">
      <c r="A2" s="94" t="s">
        <v>2</v>
      </c>
      <c r="B2" s="94"/>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24">Sites[Site]</f>
        <v>Lexington - Cotting School</v>
      </c>
      <c r="B4" s="40" t="str" cm="1">
        <f t="array" ref="B4:B24">Sites[State]</f>
        <v>MA</v>
      </c>
      <c r="C4" s="28">
        <v>27815.040000000001</v>
      </c>
      <c r="D4" s="29" t="s">
        <v>43</v>
      </c>
      <c r="E4" s="29" t="str">
        <f>IF(AND(ISNUMBER(C4),ISNUMBER(D4)), C4-D4, "")</f>
        <v/>
      </c>
      <c r="F4" s="30" t="str">
        <f>IFERROR(E4/D4, "")</f>
        <v/>
      </c>
      <c r="G4" s="75" t="s">
        <v>43</v>
      </c>
      <c r="H4" s="31" t="str">
        <f>IF(AND(ISNUMBER(C4),ISNUMBER(G4)), C4-G4, "")</f>
        <v/>
      </c>
      <c r="I4" s="32" t="str">
        <f>IFERROR(H4/G4, "")</f>
        <v/>
      </c>
      <c r="J4" s="53" t="s">
        <v>44</v>
      </c>
      <c r="K4" s="80" t="s">
        <v>31</v>
      </c>
      <c r="L4" s="78" t="s">
        <v>32</v>
      </c>
      <c r="M4" s="83"/>
      <c r="N4" s="79"/>
      <c r="O4" s="79"/>
      <c r="P4" s="79"/>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7" t="s">
        <v>46</v>
      </c>
      <c r="L5" s="78" t="s">
        <v>47</v>
      </c>
      <c r="M5" s="84" t="s">
        <v>48</v>
      </c>
      <c r="N5" s="78" t="s">
        <v>49</v>
      </c>
      <c r="O5" s="78" t="s">
        <v>35</v>
      </c>
      <c r="P5" s="78"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9"/>
      <c r="M6" s="83"/>
      <c r="N6" s="79"/>
      <c r="O6" s="79"/>
      <c r="P6" s="79"/>
    </row>
    <row r="7" spans="1:16" ht="57.6">
      <c r="A7" s="45" t="str">
        <v>South Dennis - Tony Kent Arena</v>
      </c>
      <c r="B7" s="42" t="str">
        <v>MA</v>
      </c>
      <c r="C7" s="35">
        <v>30514.080000000002</v>
      </c>
      <c r="D7" s="36" t="s">
        <v>43</v>
      </c>
      <c r="E7" s="36" t="str">
        <f t="shared" si="0"/>
        <v/>
      </c>
      <c r="F7" s="37" t="str">
        <f t="shared" si="3"/>
        <v/>
      </c>
      <c r="G7" s="76" t="s">
        <v>43</v>
      </c>
      <c r="H7" s="38" t="str">
        <f t="shared" si="1"/>
        <v/>
      </c>
      <c r="I7" s="37" t="str">
        <f t="shared" si="2"/>
        <v/>
      </c>
      <c r="J7" s="60" t="s">
        <v>51</v>
      </c>
      <c r="K7" s="77" t="s">
        <v>52</v>
      </c>
      <c r="L7" s="78" t="s">
        <v>53</v>
      </c>
      <c r="M7" s="83"/>
      <c r="N7" s="79"/>
      <c r="O7" s="79"/>
      <c r="P7" s="79"/>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81" t="s">
        <v>55</v>
      </c>
      <c r="L8" s="79"/>
      <c r="M8" s="83"/>
      <c r="N8" s="79"/>
      <c r="O8" s="79"/>
      <c r="P8" s="79"/>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9"/>
      <c r="M9" s="83"/>
      <c r="N9" s="79"/>
      <c r="O9" s="79"/>
      <c r="P9" s="79"/>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9"/>
      <c r="M10" s="83"/>
      <c r="N10" s="79"/>
      <c r="O10" s="79"/>
      <c r="P10" s="79"/>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7" t="s">
        <v>57</v>
      </c>
      <c r="L11" s="78" t="s">
        <v>58</v>
      </c>
      <c r="M11" s="83"/>
      <c r="N11" s="79"/>
      <c r="O11" s="79"/>
      <c r="P11" s="79"/>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80" t="s">
        <v>60</v>
      </c>
      <c r="L12" s="78" t="s">
        <v>61</v>
      </c>
      <c r="M12" s="84" t="s">
        <v>62</v>
      </c>
      <c r="N12" s="79"/>
      <c r="O12" s="79"/>
      <c r="P12" s="79"/>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7" t="s">
        <v>64</v>
      </c>
      <c r="L13" s="78" t="s">
        <v>65</v>
      </c>
      <c r="M13" s="83"/>
      <c r="N13" s="79"/>
      <c r="O13" s="79"/>
      <c r="P13" s="79"/>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80" t="s">
        <v>67</v>
      </c>
      <c r="L14" s="79"/>
      <c r="M14" s="83"/>
      <c r="N14" s="79"/>
      <c r="O14" s="79"/>
      <c r="P14" s="79"/>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7" t="s">
        <v>69</v>
      </c>
      <c r="L15" s="78" t="s">
        <v>70</v>
      </c>
      <c r="M15" s="83"/>
      <c r="N15" s="79"/>
      <c r="O15" s="79"/>
      <c r="P15" s="79"/>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9"/>
      <c r="M16" s="83"/>
      <c r="N16" s="79"/>
      <c r="O16" s="79"/>
      <c r="P16" s="79"/>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2" t="s">
        <v>72</v>
      </c>
      <c r="L17" s="79"/>
      <c r="M17" s="83"/>
      <c r="N17" s="79"/>
      <c r="O17" s="79"/>
      <c r="P17" s="79"/>
    </row>
    <row r="18" spans="1:16" ht="59.25" customHeight="1">
      <c r="A18" s="46" t="str">
        <v>Sussex County Fairgrounds</v>
      </c>
      <c r="B18" s="40" t="str">
        <v>NJ</v>
      </c>
      <c r="C18" s="28">
        <v>44370</v>
      </c>
      <c r="D18" s="29" t="s">
        <v>43</v>
      </c>
      <c r="E18" s="29" t="str">
        <f t="shared" si="4"/>
        <v/>
      </c>
      <c r="F18" s="30" t="str">
        <f t="shared" si="5"/>
        <v/>
      </c>
      <c r="G18" s="75" t="s">
        <v>43</v>
      </c>
      <c r="H18" s="31" t="str">
        <f t="shared" si="6"/>
        <v/>
      </c>
      <c r="I18" s="32" t="str">
        <f t="shared" si="7"/>
        <v/>
      </c>
      <c r="J18" s="62" t="s">
        <v>73</v>
      </c>
      <c r="K18" s="80" t="s">
        <v>74</v>
      </c>
      <c r="L18" s="79"/>
      <c r="M18" s="83"/>
      <c r="N18" s="79"/>
      <c r="O18" s="79"/>
      <c r="P18" s="79"/>
    </row>
    <row r="19" spans="1:16" ht="85.5" customHeight="1">
      <c r="A19" s="45" t="str">
        <v>Gateway Church</v>
      </c>
      <c r="B19" s="42" t="str">
        <v>NJ</v>
      </c>
      <c r="C19" s="35">
        <v>26234</v>
      </c>
      <c r="D19" s="36" t="s">
        <v>43</v>
      </c>
      <c r="E19" s="36" t="str">
        <f t="shared" si="4"/>
        <v/>
      </c>
      <c r="F19" s="37" t="str">
        <f t="shared" si="5"/>
        <v/>
      </c>
      <c r="G19" s="76" t="s">
        <v>43</v>
      </c>
      <c r="H19" s="38" t="str">
        <f t="shared" si="6"/>
        <v/>
      </c>
      <c r="I19" s="37" t="str">
        <f t="shared" si="7"/>
        <v/>
      </c>
      <c r="J19" s="60" t="s">
        <v>75</v>
      </c>
      <c r="K19" s="77" t="s">
        <v>76</v>
      </c>
      <c r="L19" s="78" t="s">
        <v>77</v>
      </c>
      <c r="M19" s="83"/>
      <c r="N19" s="79"/>
      <c r="O19" s="79"/>
      <c r="P19" s="79"/>
    </row>
    <row r="20" spans="1:16" ht="21" customHeight="1">
      <c r="A20" s="46" t="str">
        <v>Beaver Falls - Felician Sisters</v>
      </c>
      <c r="B20" s="40" t="str">
        <v>PA</v>
      </c>
      <c r="C20" s="28">
        <v>36640</v>
      </c>
      <c r="D20" s="29" t="s">
        <v>43</v>
      </c>
      <c r="E20" s="29" t="str">
        <f t="shared" si="4"/>
        <v/>
      </c>
      <c r="F20" s="30" t="str">
        <f t="shared" si="5"/>
        <v/>
      </c>
      <c r="G20" s="75" t="s">
        <v>43</v>
      </c>
      <c r="H20" s="31" t="str">
        <f t="shared" si="6"/>
        <v/>
      </c>
      <c r="I20" s="32" t="str">
        <f t="shared" si="7"/>
        <v/>
      </c>
      <c r="J20" s="53"/>
      <c r="K20" s="53"/>
      <c r="L20" s="79"/>
      <c r="M20" s="83"/>
      <c r="N20" s="79"/>
      <c r="O20" s="79"/>
      <c r="P20" s="79"/>
    </row>
    <row r="21" spans="1:16" ht="36.75" customHeight="1">
      <c r="A21" s="45" t="str">
        <v>Livonia - Felician Sisters Ground</v>
      </c>
      <c r="B21" s="42" t="str">
        <v>MI</v>
      </c>
      <c r="C21" s="35">
        <v>0</v>
      </c>
      <c r="D21" s="36" t="s">
        <v>43</v>
      </c>
      <c r="E21" s="36" t="str">
        <f t="shared" si="4"/>
        <v/>
      </c>
      <c r="F21" s="37" t="str">
        <f t="shared" si="5"/>
        <v/>
      </c>
      <c r="G21" s="76" t="s">
        <v>43</v>
      </c>
      <c r="H21" s="38" t="str">
        <f t="shared" si="6"/>
        <v/>
      </c>
      <c r="I21" s="37" t="str">
        <f t="shared" si="7"/>
        <v/>
      </c>
      <c r="J21" s="54" t="s">
        <v>78</v>
      </c>
      <c r="K21" s="82" t="s">
        <v>79</v>
      </c>
      <c r="L21" s="78" t="s">
        <v>80</v>
      </c>
      <c r="M21" s="83"/>
      <c r="N21" s="79"/>
      <c r="O21" s="79"/>
      <c r="P21" s="79"/>
    </row>
    <row r="22" spans="1:16" ht="21" customHeight="1">
      <c r="A22" s="46" t="str">
        <v>Livonia - Felician Sisters Roof</v>
      </c>
      <c r="B22" s="40" t="str">
        <v>MI</v>
      </c>
      <c r="C22" s="28">
        <v>12782</v>
      </c>
      <c r="D22" s="29" t="s">
        <v>43</v>
      </c>
      <c r="E22" s="29" t="str">
        <f t="shared" si="4"/>
        <v/>
      </c>
      <c r="F22" s="30" t="str">
        <f t="shared" si="5"/>
        <v/>
      </c>
      <c r="G22" s="75"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6"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5" t="s">
        <v>43</v>
      </c>
      <c r="H24" s="31" t="str">
        <f t="shared" si="6"/>
        <v/>
      </c>
      <c r="I24" s="32" t="str">
        <f t="shared" si="7"/>
        <v/>
      </c>
      <c r="J24" s="53"/>
      <c r="K24" s="53"/>
      <c r="M24" s="52"/>
    </row>
    <row r="25" spans="1:16" ht="14.45">
      <c r="A25" s="8"/>
      <c r="B25" s="13"/>
      <c r="C25" s="8"/>
      <c r="D25" s="8"/>
      <c r="E25" s="8"/>
      <c r="F25" s="9"/>
      <c r="G25" s="8"/>
      <c r="H25" s="8"/>
      <c r="I25" s="9"/>
      <c r="J25" s="8"/>
      <c r="K25" s="8"/>
      <c r="M25" s="52"/>
    </row>
    <row r="26" spans="1:16" ht="14.45">
      <c r="A26" s="8"/>
      <c r="B26" s="13"/>
      <c r="C26" s="8"/>
      <c r="D26" s="8"/>
      <c r="E26" s="8"/>
      <c r="F26" s="9"/>
      <c r="G26" s="8"/>
      <c r="H26" s="8"/>
      <c r="I26" s="9"/>
      <c r="J26" s="8"/>
      <c r="K26" s="8"/>
      <c r="M26" s="52"/>
    </row>
    <row r="27" spans="1:16" ht="14.45">
      <c r="A27" s="8"/>
      <c r="B27" s="13"/>
      <c r="C27" s="8"/>
      <c r="D27" s="8"/>
      <c r="E27" s="8"/>
      <c r="F27" s="9"/>
      <c r="G27" s="8"/>
      <c r="H27" s="8"/>
      <c r="I27" s="9"/>
      <c r="J27" s="8"/>
      <c r="K27" s="8"/>
      <c r="M27" s="52"/>
    </row>
    <row r="28" spans="1:16" ht="14.45">
      <c r="A28" s="8"/>
      <c r="B28" s="13"/>
      <c r="C28" s="8"/>
      <c r="D28" s="8"/>
      <c r="E28" s="8"/>
      <c r="F28" s="9"/>
      <c r="G28" s="8"/>
      <c r="H28" s="8"/>
      <c r="I28" s="9"/>
      <c r="J28" s="8"/>
      <c r="K28" s="8"/>
      <c r="M28" s="52"/>
    </row>
    <row r="29" spans="1:16" ht="14.45">
      <c r="A29" s="8"/>
      <c r="B29" s="13"/>
      <c r="C29" s="8"/>
      <c r="D29" s="8"/>
      <c r="E29" s="8"/>
      <c r="F29" s="9"/>
      <c r="G29" s="8"/>
      <c r="H29" s="8"/>
      <c r="I29" s="9"/>
      <c r="J29" s="8"/>
      <c r="K29" s="8"/>
      <c r="M29" s="52"/>
    </row>
    <row r="30" spans="1:16" ht="14.45">
      <c r="A30" s="8"/>
      <c r="B30" s="13"/>
      <c r="C30" s="8"/>
      <c r="D30" s="8"/>
      <c r="E30" s="8"/>
      <c r="F30" s="9"/>
      <c r="G30" s="8"/>
      <c r="H30" s="8"/>
      <c r="I30" s="9"/>
      <c r="J30" s="8"/>
      <c r="K30" s="8"/>
      <c r="M30" s="52"/>
    </row>
    <row r="31" spans="1:16" ht="14.45">
      <c r="A31" s="8"/>
      <c r="B31" s="13"/>
      <c r="C31" s="8"/>
      <c r="D31" s="8"/>
      <c r="E31" s="8"/>
      <c r="F31" s="9"/>
      <c r="G31" s="8"/>
      <c r="H31" s="8"/>
      <c r="I31" s="9"/>
      <c r="J31" s="8"/>
      <c r="K31" s="8"/>
      <c r="M31" s="52"/>
    </row>
    <row r="32" spans="1:16" ht="14.45">
      <c r="A32" s="8"/>
      <c r="B32" s="13"/>
      <c r="C32" s="8"/>
      <c r="D32" s="8"/>
      <c r="E32" s="8"/>
      <c r="F32" s="9"/>
      <c r="G32" s="8"/>
      <c r="H32" s="8"/>
      <c r="I32" s="9"/>
      <c r="J32" s="8"/>
      <c r="K32" s="8"/>
      <c r="M32" s="52"/>
    </row>
    <row r="33" spans="1:13" ht="14.45">
      <c r="A33" s="8"/>
      <c r="B33" s="13"/>
      <c r="C33" s="8"/>
      <c r="D33" s="8"/>
      <c r="E33" s="8"/>
      <c r="F33" s="9"/>
      <c r="G33" s="8"/>
      <c r="H33" s="8"/>
      <c r="I33" s="9"/>
      <c r="J33" s="8"/>
      <c r="K33" s="8"/>
      <c r="M33" s="52"/>
    </row>
    <row r="34" spans="1:13" ht="14.45">
      <c r="A34" s="8"/>
      <c r="B34" s="13"/>
      <c r="C34" s="8"/>
      <c r="D34" s="8"/>
      <c r="E34" s="8"/>
      <c r="F34" s="9"/>
      <c r="G34" s="8"/>
      <c r="H34" s="8"/>
      <c r="I34" s="9"/>
      <c r="J34" s="8"/>
      <c r="K34" s="8"/>
      <c r="M34" s="52"/>
    </row>
    <row r="35" spans="1:13" ht="14.45">
      <c r="A35" s="8"/>
      <c r="B35" s="13"/>
      <c r="C35" s="8"/>
      <c r="D35" s="8"/>
      <c r="E35" s="8"/>
      <c r="F35" s="9"/>
      <c r="G35" s="8"/>
      <c r="H35" s="8"/>
      <c r="I35" s="9"/>
      <c r="J35" s="8"/>
      <c r="K35" s="8"/>
    </row>
    <row r="36" spans="1:13" ht="14.45">
      <c r="A36" s="8"/>
      <c r="B36" s="13"/>
      <c r="C36" s="8"/>
      <c r="D36" s="8"/>
      <c r="E36" s="8"/>
      <c r="F36" s="9"/>
      <c r="G36" s="8"/>
      <c r="H36" s="8"/>
      <c r="I36" s="9"/>
      <c r="J36" s="8"/>
      <c r="K36" s="8"/>
    </row>
    <row r="37" spans="1:13" ht="14.45">
      <c r="A37" s="8"/>
      <c r="B37" s="13"/>
      <c r="C37" s="8"/>
      <c r="D37" s="8"/>
      <c r="E37" s="8"/>
      <c r="F37" s="9"/>
      <c r="G37" s="8"/>
      <c r="H37" s="8"/>
      <c r="I37" s="9"/>
      <c r="J37" s="8"/>
      <c r="K37" s="8"/>
    </row>
    <row r="38" spans="1:13" ht="14.45">
      <c r="A38" s="8"/>
      <c r="B38" s="13"/>
      <c r="C38" s="8"/>
      <c r="D38" s="8"/>
      <c r="E38" s="8"/>
      <c r="F38" s="9"/>
      <c r="G38" s="8"/>
      <c r="H38" s="8"/>
      <c r="I38" s="9"/>
      <c r="J38" s="8"/>
      <c r="K38" s="8"/>
    </row>
    <row r="39" spans="1:13" ht="14.45">
      <c r="A39" s="8"/>
      <c r="B39" s="13"/>
      <c r="C39" s="8"/>
      <c r="D39" s="8"/>
      <c r="E39" s="8"/>
      <c r="F39" s="9"/>
      <c r="G39" s="8"/>
      <c r="H39" s="8"/>
      <c r="I39" s="9"/>
      <c r="J39" s="8"/>
      <c r="K39" s="8"/>
    </row>
    <row r="40" spans="1:13" ht="14.45">
      <c r="A40" s="8"/>
      <c r="B40" s="13"/>
      <c r="C40" s="8"/>
      <c r="D40" s="8"/>
      <c r="E40" s="8"/>
      <c r="F40" s="9"/>
      <c r="G40" s="8"/>
      <c r="H40" s="8"/>
      <c r="I40" s="9"/>
      <c r="J40" s="8"/>
      <c r="K40" s="8"/>
    </row>
    <row r="41" spans="1:13" ht="14.45">
      <c r="A41" s="8"/>
      <c r="B41" s="13"/>
      <c r="C41" s="8"/>
      <c r="D41" s="8"/>
      <c r="E41" s="8"/>
      <c r="F41" s="9"/>
      <c r="G41" s="8"/>
      <c r="H41" s="8"/>
      <c r="I41" s="9"/>
      <c r="J41" s="8"/>
      <c r="K41" s="8"/>
    </row>
    <row r="42" spans="1:13" ht="14.45">
      <c r="A42" s="8"/>
      <c r="B42" s="13"/>
      <c r="C42" s="8"/>
      <c r="D42" s="8"/>
      <c r="E42" s="8"/>
      <c r="F42" s="9"/>
      <c r="G42" s="8"/>
      <c r="H42" s="8"/>
      <c r="I42" s="9"/>
      <c r="J42" s="8"/>
      <c r="K42" s="8"/>
    </row>
    <row r="43" spans="1:13" ht="14.45">
      <c r="A43" s="8"/>
      <c r="B43" s="13"/>
      <c r="C43" s="8"/>
      <c r="D43" s="8"/>
      <c r="E43" s="8"/>
      <c r="F43" s="9"/>
      <c r="G43" s="8"/>
      <c r="H43" s="8"/>
      <c r="I43" s="9"/>
      <c r="J43" s="8"/>
      <c r="K43" s="8"/>
    </row>
    <row r="44" spans="1:13" ht="14.45">
      <c r="A44" s="8"/>
      <c r="B44" s="13"/>
      <c r="C44" s="8"/>
      <c r="D44" s="8"/>
      <c r="E44" s="8"/>
      <c r="F44" s="9"/>
      <c r="G44" s="8"/>
      <c r="H44" s="8"/>
      <c r="I44" s="9"/>
      <c r="J44" s="8"/>
      <c r="K44" s="8"/>
    </row>
    <row r="45" spans="1:13" ht="14.45">
      <c r="A45" s="8"/>
      <c r="B45" s="13"/>
      <c r="C45" s="8"/>
      <c r="D45" s="8"/>
      <c r="E45" s="8"/>
      <c r="F45" s="9"/>
      <c r="G45" s="8"/>
      <c r="H45" s="8"/>
      <c r="I45" s="9"/>
      <c r="J45" s="8"/>
      <c r="K45" s="8"/>
    </row>
    <row r="46" spans="1:13" ht="14.45">
      <c r="A46" s="8"/>
      <c r="B46" s="13"/>
      <c r="C46" s="8"/>
      <c r="D46" s="8"/>
      <c r="E46" s="8"/>
      <c r="F46" s="9"/>
      <c r="G46" s="8"/>
      <c r="H46" s="8"/>
      <c r="I46" s="9"/>
      <c r="J46" s="8"/>
      <c r="K46" s="8"/>
    </row>
    <row r="47" spans="1:13" ht="14.45">
      <c r="A47" s="8"/>
      <c r="B47" s="13"/>
      <c r="C47" s="8"/>
      <c r="D47" s="8"/>
      <c r="E47" s="8"/>
      <c r="F47" s="9"/>
      <c r="G47" s="8"/>
      <c r="H47" s="8"/>
      <c r="I47" s="9"/>
      <c r="J47" s="8"/>
      <c r="K47" s="8"/>
    </row>
    <row r="48" spans="1:13"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tabSelected="1" zoomScale="80" zoomScaleNormal="80" workbookViewId="0">
      <pane xSplit="2" ySplit="3" topLeftCell="C19" activePane="bottomRight" state="frozen"/>
      <selection pane="bottomRight" activeCell="J31" sqref="J3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9"/>
  </cols>
  <sheetData>
    <row r="1" spans="1:15" ht="19.5" customHeight="1">
      <c r="A1" s="92" t="str" cm="1">
        <f t="array" ref="A1">portfolio</f>
        <v>Clean Capital</v>
      </c>
      <c r="B1" s="92"/>
      <c r="C1" s="92"/>
      <c r="D1" s="93" t="s">
        <v>81</v>
      </c>
      <c r="E1" s="93"/>
      <c r="F1" s="93"/>
      <c r="G1" s="91" t="s">
        <v>82</v>
      </c>
      <c r="H1" s="91"/>
      <c r="I1" s="91"/>
      <c r="J1" s="4"/>
      <c r="K1" s="4"/>
    </row>
    <row r="2" spans="1:15" ht="19.5" customHeight="1">
      <c r="A2" s="94" t="s">
        <v>2</v>
      </c>
      <c r="B2" s="94"/>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7" t="str" cm="1">
        <f t="array" ref="A4:A24">Sites[Site]</f>
        <v>Lexington - Cotting School</v>
      </c>
      <c r="B4" s="40" t="str" cm="1">
        <f t="array" ref="B4:B24">Sites[State]</f>
        <v>MA</v>
      </c>
      <c r="C4" s="28">
        <v>3263.0479999999998</v>
      </c>
      <c r="D4" s="29" t="s">
        <v>43</v>
      </c>
      <c r="E4" s="29" t="str">
        <f>IF(AND(ISNUMBER(C4),ISNUMBER(D4)), C4-D4, "")</f>
        <v/>
      </c>
      <c r="F4" s="30" t="str">
        <f>IFERROR(E4/D4, "")</f>
        <v/>
      </c>
      <c r="G4" s="75" t="s">
        <v>43</v>
      </c>
      <c r="H4" s="31" t="str">
        <f>IF(AND(ISNUMBER(C4),ISNUMBER(G4)), C4-G4, "")</f>
        <v/>
      </c>
      <c r="I4" s="32" t="str">
        <f>IFERROR(H4/G4, "")</f>
        <v/>
      </c>
      <c r="J4" s="62" t="s">
        <v>83</v>
      </c>
      <c r="K4" s="69" t="s">
        <v>84</v>
      </c>
      <c r="L4" s="78" t="s">
        <v>85</v>
      </c>
      <c r="M4" s="78"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8" t="s">
        <v>87</v>
      </c>
      <c r="K5" s="70" t="s">
        <v>88</v>
      </c>
      <c r="L5" s="78" t="s">
        <v>47</v>
      </c>
      <c r="M5" s="78" t="s">
        <v>89</v>
      </c>
      <c r="N5" s="78" t="s">
        <v>90</v>
      </c>
      <c r="O5" s="78"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6" t="s">
        <v>43</v>
      </c>
      <c r="H7" s="38" t="str">
        <f t="shared" si="1"/>
        <v/>
      </c>
      <c r="I7" s="37" t="str">
        <f t="shared" si="2"/>
        <v/>
      </c>
      <c r="J7" s="88" t="s">
        <v>91</v>
      </c>
      <c r="K7" s="77" t="s">
        <v>92</v>
      </c>
      <c r="L7" s="78" t="s">
        <v>53</v>
      </c>
    </row>
    <row r="8" spans="1:15" ht="72">
      <c r="A8" s="43" t="str">
        <v xml:space="preserve"> Caropolis - Felician Sisters</v>
      </c>
      <c r="B8" s="40" t="str">
        <v>PA</v>
      </c>
      <c r="C8" s="28">
        <v>56484</v>
      </c>
      <c r="D8" s="29" t="s">
        <v>43</v>
      </c>
      <c r="E8" s="29" t="str">
        <f t="shared" si="0"/>
        <v/>
      </c>
      <c r="F8" s="30" t="str">
        <f t="shared" si="3"/>
        <v/>
      </c>
      <c r="G8" s="75" t="s">
        <v>43</v>
      </c>
      <c r="H8" s="31" t="str">
        <f t="shared" si="1"/>
        <v/>
      </c>
      <c r="I8" s="32" t="str">
        <f t="shared" si="2"/>
        <v/>
      </c>
      <c r="J8" s="62" t="s">
        <v>93</v>
      </c>
      <c r="K8" s="80" t="s">
        <v>94</v>
      </c>
      <c r="L8" s="78"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8" t="s">
        <v>96</v>
      </c>
      <c r="K9" s="77"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8" t="s">
        <v>98</v>
      </c>
      <c r="K11" s="77" t="s">
        <v>99</v>
      </c>
      <c r="L11" s="78" t="s">
        <v>100</v>
      </c>
      <c r="M11" s="78"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80" t="s">
        <v>103</v>
      </c>
      <c r="L12" s="78" t="s">
        <v>104</v>
      </c>
      <c r="M12" s="78"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8" t="s">
        <v>106</v>
      </c>
      <c r="K13" s="77" t="s">
        <v>107</v>
      </c>
      <c r="L13" s="78"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80" t="s">
        <v>109</v>
      </c>
      <c r="L14" s="78" t="s">
        <v>110</v>
      </c>
      <c r="M14" s="78" t="s">
        <v>111</v>
      </c>
      <c r="N14" s="78"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8" t="s">
        <v>113</v>
      </c>
      <c r="K15" s="90"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6" t="s">
        <v>43</v>
      </c>
      <c r="H17" s="38" t="str">
        <f t="shared" si="1"/>
        <v/>
      </c>
      <c r="I17" s="37" t="str">
        <f t="shared" si="2"/>
        <v/>
      </c>
      <c r="J17" s="88" t="s">
        <v>115</v>
      </c>
      <c r="K17" s="77" t="s">
        <v>116</v>
      </c>
      <c r="L17" s="78" t="s">
        <v>117</v>
      </c>
    </row>
    <row r="18" spans="1:14" ht="143.25" customHeight="1">
      <c r="A18" s="43" t="str">
        <v>Sussex County Fairgrounds</v>
      </c>
      <c r="B18" s="40" t="str">
        <v>NJ</v>
      </c>
      <c r="C18" s="28">
        <v>32793.699999999997</v>
      </c>
      <c r="D18" s="29" t="s">
        <v>43</v>
      </c>
      <c r="E18" s="29"/>
      <c r="F18" s="30"/>
      <c r="G18" s="86" t="s">
        <v>43</v>
      </c>
      <c r="H18" s="31" t="str">
        <f t="shared" si="1"/>
        <v/>
      </c>
      <c r="I18" s="32" t="str">
        <f t="shared" si="2"/>
        <v/>
      </c>
      <c r="J18" s="62" t="s">
        <v>118</v>
      </c>
      <c r="K18" s="80" t="s">
        <v>119</v>
      </c>
      <c r="L18" s="78" t="s">
        <v>120</v>
      </c>
      <c r="M18" s="78" t="s">
        <v>121</v>
      </c>
    </row>
    <row r="19" spans="1:14" ht="237.75" customHeight="1">
      <c r="A19" s="41" t="str">
        <v>Gateway Church</v>
      </c>
      <c r="B19" s="42" t="str">
        <v>NJ</v>
      </c>
      <c r="C19" s="35">
        <v>25984</v>
      </c>
      <c r="D19" s="36" t="s">
        <v>43</v>
      </c>
      <c r="E19" s="36"/>
      <c r="F19" s="37"/>
      <c r="G19" s="85" t="s">
        <v>43</v>
      </c>
      <c r="H19" s="38" t="str">
        <f t="shared" si="1"/>
        <v/>
      </c>
      <c r="I19" s="37" t="str">
        <f t="shared" si="2"/>
        <v/>
      </c>
      <c r="J19" s="60" t="s">
        <v>122</v>
      </c>
      <c r="K19" s="77" t="s">
        <v>123</v>
      </c>
      <c r="L19" s="78" t="s">
        <v>77</v>
      </c>
      <c r="M19" s="78" t="s">
        <v>124</v>
      </c>
    </row>
    <row r="20" spans="1:14" ht="15.6">
      <c r="A20" s="43" t="str">
        <v>Beaver Falls - Felician Sisters</v>
      </c>
      <c r="B20" s="40" t="str">
        <v>PA</v>
      </c>
      <c r="C20" s="28">
        <v>39677</v>
      </c>
      <c r="D20" s="29" t="s">
        <v>43</v>
      </c>
      <c r="E20" s="29"/>
      <c r="F20" s="30"/>
      <c r="G20" s="86" t="s">
        <v>43</v>
      </c>
      <c r="H20" s="31" t="str">
        <f t="shared" si="1"/>
        <v/>
      </c>
      <c r="I20" s="32" t="str">
        <f t="shared" si="2"/>
        <v/>
      </c>
      <c r="J20" s="62"/>
      <c r="K20" s="62"/>
    </row>
    <row r="21" spans="1:14" ht="72">
      <c r="A21" s="41" t="str">
        <v>Livonia - Felician Sisters Ground</v>
      </c>
      <c r="B21" s="42" t="str">
        <v>MI</v>
      </c>
      <c r="C21" s="35">
        <v>0</v>
      </c>
      <c r="D21" s="36" t="s">
        <v>43</v>
      </c>
      <c r="E21" s="36"/>
      <c r="F21" s="37"/>
      <c r="G21" s="85" t="s">
        <v>43</v>
      </c>
      <c r="H21" s="38" t="str">
        <f t="shared" si="1"/>
        <v/>
      </c>
      <c r="I21" s="37" t="str">
        <f t="shared" si="2"/>
        <v/>
      </c>
      <c r="J21" s="88" t="s">
        <v>125</v>
      </c>
      <c r="K21" s="77" t="s">
        <v>126</v>
      </c>
      <c r="L21" s="78" t="s">
        <v>80</v>
      </c>
      <c r="M21" s="78" t="s">
        <v>127</v>
      </c>
      <c r="N21" s="78" t="s">
        <v>80</v>
      </c>
    </row>
    <row r="22" spans="1:14" ht="15.6">
      <c r="A22" s="43" t="str">
        <v>Livonia - Felician Sisters Roof</v>
      </c>
      <c r="B22" s="40" t="str">
        <v>MI</v>
      </c>
      <c r="C22" s="28">
        <v>16168</v>
      </c>
      <c r="D22" s="29" t="s">
        <v>43</v>
      </c>
      <c r="E22" s="29"/>
      <c r="F22" s="30"/>
      <c r="G22" s="86" t="s">
        <v>43</v>
      </c>
      <c r="H22" s="31" t="str">
        <f t="shared" si="1"/>
        <v/>
      </c>
      <c r="I22" s="32" t="str">
        <f t="shared" si="2"/>
        <v/>
      </c>
      <c r="J22" s="62"/>
      <c r="K22" s="62"/>
    </row>
    <row r="23" spans="1:14" ht="15.6">
      <c r="A23" s="41" t="str">
        <v>Monmouth Worship Ctr</v>
      </c>
      <c r="B23" s="42" t="str">
        <v>NJ</v>
      </c>
      <c r="C23" s="35">
        <v>11787.28000000003</v>
      </c>
      <c r="D23" s="36" t="s">
        <v>43</v>
      </c>
      <c r="E23" s="36"/>
      <c r="F23" s="37"/>
      <c r="G23" s="85" t="s">
        <v>43</v>
      </c>
      <c r="H23" s="38" t="str">
        <f t="shared" si="1"/>
        <v/>
      </c>
      <c r="I23" s="37" t="str">
        <f t="shared" si="2"/>
        <v/>
      </c>
      <c r="J23" s="88"/>
      <c r="K23" s="89"/>
    </row>
    <row r="24" spans="1:14" ht="15.6">
      <c r="A24" s="43" t="str">
        <v xml:space="preserve"> Audubon - Senior Citizens United</v>
      </c>
      <c r="B24" s="40" t="str">
        <v>NJ</v>
      </c>
      <c r="C24" s="28">
        <v>8635.375</v>
      </c>
      <c r="D24" s="29" t="s">
        <v>43</v>
      </c>
      <c r="E24" s="29"/>
      <c r="F24" s="30"/>
      <c r="G24" s="86" t="s">
        <v>43</v>
      </c>
      <c r="H24" s="31" t="str">
        <f t="shared" si="1"/>
        <v/>
      </c>
      <c r="I24" s="32" t="str">
        <f t="shared" si="2"/>
        <v/>
      </c>
      <c r="J24" s="62"/>
      <c r="K24" s="62"/>
    </row>
    <row r="25" spans="1:14" ht="14.45">
      <c r="A25" s="8"/>
      <c r="B25" s="13"/>
      <c r="C25" s="8"/>
      <c r="D25" s="8"/>
      <c r="E25" s="8"/>
      <c r="F25" s="9"/>
      <c r="G25" s="8"/>
      <c r="H25" s="8"/>
      <c r="I25" s="9"/>
      <c r="J25" s="8"/>
      <c r="K25" s="8"/>
    </row>
    <row r="26" spans="1:14" ht="14.45">
      <c r="A26" s="8"/>
      <c r="B26" s="13"/>
      <c r="C26" s="8"/>
      <c r="D26" s="8"/>
      <c r="E26" s="8"/>
      <c r="F26" s="9"/>
      <c r="G26" s="8"/>
      <c r="H26" s="8"/>
      <c r="I26" s="9"/>
      <c r="J26" s="8"/>
      <c r="K26" s="8"/>
    </row>
    <row r="27" spans="1:14" ht="14.45">
      <c r="A27" s="8"/>
      <c r="B27" s="13"/>
      <c r="C27" s="8"/>
      <c r="D27" s="8"/>
      <c r="E27" s="8"/>
      <c r="F27" s="9"/>
      <c r="G27" s="8"/>
      <c r="H27" s="8"/>
      <c r="I27" s="9"/>
      <c r="J27" s="8"/>
      <c r="K27" s="8"/>
    </row>
    <row r="28" spans="1:14" ht="14.45">
      <c r="A28" s="8"/>
      <c r="B28" s="13"/>
      <c r="C28" s="8"/>
      <c r="D28" s="8"/>
      <c r="E28" s="8"/>
      <c r="F28" s="9"/>
      <c r="G28" s="8"/>
      <c r="H28" s="8"/>
      <c r="I28" s="9"/>
      <c r="J28" s="8"/>
      <c r="K28" s="8"/>
    </row>
    <row r="29" spans="1:14" ht="14.45">
      <c r="A29" s="8"/>
      <c r="B29" s="13"/>
      <c r="C29" s="8"/>
      <c r="D29" s="8"/>
      <c r="E29" s="8"/>
      <c r="F29" s="9"/>
      <c r="G29" s="8"/>
      <c r="H29" s="8"/>
      <c r="I29" s="9"/>
      <c r="J29" s="8"/>
      <c r="K29" s="8"/>
    </row>
    <row r="30" spans="1:14" ht="14.45">
      <c r="A30" s="8"/>
      <c r="B30" s="13"/>
      <c r="C30" s="8"/>
      <c r="D30" s="8"/>
      <c r="E30" s="8"/>
      <c r="F30" s="9"/>
      <c r="G30" s="8"/>
      <c r="H30" s="8"/>
      <c r="I30" s="9"/>
      <c r="J30" s="8"/>
      <c r="K30" s="8"/>
    </row>
    <row r="31" spans="1:14" ht="14.45">
      <c r="A31" s="8"/>
      <c r="B31" s="13"/>
      <c r="C31" s="8"/>
      <c r="D31" s="8"/>
      <c r="E31" s="8"/>
      <c r="F31" s="9"/>
      <c r="G31" s="8"/>
      <c r="H31" s="8"/>
      <c r="I31" s="9"/>
      <c r="J31" s="8"/>
      <c r="K31" s="8"/>
    </row>
    <row r="32" spans="1:14"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workbookViewId="0">
      <pane xSplit="2" ySplit="3" topLeftCell="C13"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128</v>
      </c>
      <c r="E1" s="93"/>
      <c r="F1" s="93"/>
      <c r="G1" s="91" t="s">
        <v>129</v>
      </c>
      <c r="H1" s="91"/>
      <c r="I1" s="91"/>
      <c r="J1" s="4"/>
      <c r="K1" s="4"/>
    </row>
    <row r="2" spans="1:11" ht="19.5" customHeight="1">
      <c r="A2" s="94" t="s">
        <v>2</v>
      </c>
      <c r="B2" s="94"/>
      <c r="C2" s="5">
        <f>SUM(C4:C85)</f>
        <v>0</v>
      </c>
      <c r="D2" s="5">
        <f>SUM(D4:D85)</f>
        <v>0</v>
      </c>
      <c r="E2" s="5">
        <f>C2-D2</f>
        <v>0</v>
      </c>
      <c r="F2" s="6">
        <f>IFERROR(E2/D2, 0)</f>
        <v>0</v>
      </c>
      <c r="G2" s="5">
        <f>SUM(G4:G85)</f>
        <v>0</v>
      </c>
      <c r="H2" s="7">
        <f>C2-G2</f>
        <v>0</v>
      </c>
      <c r="I2" s="6">
        <f>IFERROR(H2/G2, 0)</f>
        <v>0</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IF(AND(ISNUMBER(C5),ISNUMBER(D5)), C5-D5, "")</f>
        <v/>
      </c>
      <c r="F5" s="37" t="str">
        <f>IFERROR(E5/D5, "")</f>
        <v/>
      </c>
      <c r="G5" s="38"/>
      <c r="H5" s="38" t="str">
        <f t="shared" ref="H5:H12" si="0">IF(AND(ISNUMBER(C5),ISNUMBER(G5)), C5-G5, "")</f>
        <v/>
      </c>
      <c r="I5" s="37" t="str">
        <f t="shared" ref="I5:I12" si="1">IFERROR(H5/G5, "")</f>
        <v/>
      </c>
      <c r="J5" s="50"/>
      <c r="K5" s="50"/>
    </row>
    <row r="6" spans="1:11" ht="15.6">
      <c r="A6" s="43" t="str">
        <v>Hyannis - Sturgis Charter School</v>
      </c>
      <c r="B6" s="40" t="str">
        <v>MA</v>
      </c>
      <c r="C6" s="28"/>
      <c r="D6" s="29"/>
      <c r="E6" s="29" t="str">
        <f t="shared" ref="E6:E12" si="2">IF(AND(ISNUMBER(C6),ISNUMBER(D6)), C6-D6, "")</f>
        <v/>
      </c>
      <c r="F6" s="30" t="str">
        <f t="shared" ref="F6:F12" si="3">IFERROR(E6/D6, "")</f>
        <v/>
      </c>
      <c r="G6" s="31"/>
      <c r="H6" s="31" t="str">
        <f t="shared" si="0"/>
        <v/>
      </c>
      <c r="I6" s="32" t="str">
        <f t="shared" si="1"/>
        <v/>
      </c>
      <c r="J6" s="49"/>
      <c r="K6" s="49"/>
    </row>
    <row r="7" spans="1:11" ht="15.6">
      <c r="A7" s="41" t="str">
        <v>South Dennis - Tony Kent Arena</v>
      </c>
      <c r="B7" s="42" t="str">
        <v>MA</v>
      </c>
      <c r="C7" s="35"/>
      <c r="D7" s="36"/>
      <c r="E7" s="36" t="str">
        <f t="shared" si="2"/>
        <v/>
      </c>
      <c r="F7" s="37" t="str">
        <f t="shared" si="3"/>
        <v/>
      </c>
      <c r="G7" s="38"/>
      <c r="H7" s="38" t="str">
        <f t="shared" si="0"/>
        <v/>
      </c>
      <c r="I7" s="37" t="str">
        <f t="shared" si="1"/>
        <v/>
      </c>
      <c r="J7" s="50"/>
      <c r="K7" s="51"/>
    </row>
    <row r="8" spans="1:11" ht="15.6">
      <c r="A8" s="43" t="str">
        <v xml:space="preserve"> Caropolis - Felician Sisters</v>
      </c>
      <c r="B8" s="40" t="str">
        <v>PA</v>
      </c>
      <c r="C8" s="28"/>
      <c r="D8" s="29"/>
      <c r="E8" s="29" t="str">
        <f t="shared" si="2"/>
        <v/>
      </c>
      <c r="F8" s="30" t="str">
        <f t="shared" si="3"/>
        <v/>
      </c>
      <c r="G8" s="31"/>
      <c r="H8" s="31" t="str">
        <f t="shared" si="0"/>
        <v/>
      </c>
      <c r="I8" s="32" t="str">
        <f t="shared" si="1"/>
        <v/>
      </c>
      <c r="J8" s="49"/>
      <c r="K8" s="49"/>
    </row>
    <row r="9" spans="1:11" ht="15.6">
      <c r="A9" s="41" t="str">
        <v>Clear Lake - Eastlake Gohman</v>
      </c>
      <c r="B9" s="42" t="str">
        <v>MN</v>
      </c>
      <c r="C9" s="35"/>
      <c r="D9" s="36"/>
      <c r="E9" s="36" t="str">
        <f t="shared" si="2"/>
        <v/>
      </c>
      <c r="F9" s="37" t="str">
        <f t="shared" si="3"/>
        <v/>
      </c>
      <c r="G9" s="38"/>
      <c r="H9" s="38" t="str">
        <f t="shared" si="0"/>
        <v/>
      </c>
      <c r="I9" s="37" t="str">
        <f t="shared" si="1"/>
        <v/>
      </c>
      <c r="J9" s="50"/>
      <c r="K9" s="51"/>
    </row>
    <row r="10" spans="1:11" ht="15.6">
      <c r="A10" s="43" t="str">
        <v>Zumbrota - Eastlake Brenda Luhman</v>
      </c>
      <c r="B10" s="40" t="str">
        <v>MN</v>
      </c>
      <c r="C10" s="28"/>
      <c r="D10" s="29"/>
      <c r="E10" s="29" t="str">
        <f t="shared" si="2"/>
        <v/>
      </c>
      <c r="F10" s="30" t="str">
        <f t="shared" si="3"/>
        <v/>
      </c>
      <c r="G10" s="31"/>
      <c r="H10" s="31" t="str">
        <f t="shared" si="0"/>
        <v/>
      </c>
      <c r="I10" s="32" t="str">
        <f t="shared" si="1"/>
        <v/>
      </c>
      <c r="J10" s="49"/>
      <c r="K10" s="49"/>
    </row>
    <row r="11" spans="1:11" ht="15.6">
      <c r="A11" s="41" t="str">
        <v>Cokato - Eastlake Carlson</v>
      </c>
      <c r="B11" s="42" t="str">
        <v>MN</v>
      </c>
      <c r="C11" s="35"/>
      <c r="D11" s="36"/>
      <c r="E11" s="36" t="str">
        <f t="shared" si="2"/>
        <v/>
      </c>
      <c r="F11" s="37" t="str">
        <f t="shared" si="3"/>
        <v/>
      </c>
      <c r="G11" s="38"/>
      <c r="H11" s="38" t="str">
        <f t="shared" si="0"/>
        <v/>
      </c>
      <c r="I11" s="37" t="str">
        <f t="shared" si="1"/>
        <v/>
      </c>
      <c r="J11" s="50"/>
      <c r="K11" s="51"/>
    </row>
    <row r="12" spans="1:11" ht="15.6">
      <c r="A12" s="43" t="str">
        <v>North Branch - Cornille 2</v>
      </c>
      <c r="B12" s="40" t="str">
        <v>MN</v>
      </c>
      <c r="C12" s="28"/>
      <c r="D12" s="29"/>
      <c r="E12" s="29" t="str">
        <f t="shared" si="2"/>
        <v/>
      </c>
      <c r="F12" s="30" t="str">
        <f t="shared" si="3"/>
        <v/>
      </c>
      <c r="G12" s="31"/>
      <c r="H12" s="31" t="str">
        <f t="shared" si="0"/>
        <v/>
      </c>
      <c r="I12" s="32" t="str">
        <f t="shared" si="1"/>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7"/>
  <sheetViews>
    <sheetView zoomScale="80" zoomScaleNormal="8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130</v>
      </c>
      <c r="E1" s="93"/>
      <c r="F1" s="93"/>
      <c r="G1" s="91" t="s">
        <v>131</v>
      </c>
      <c r="H1" s="91"/>
      <c r="I1" s="91"/>
      <c r="J1" s="4"/>
      <c r="K1" s="4"/>
    </row>
    <row r="2" spans="1:11" ht="19.5" customHeight="1">
      <c r="A2" s="94" t="s">
        <v>2</v>
      </c>
      <c r="B2" s="94"/>
      <c r="C2" s="5">
        <f>SUM(C4:C85)</f>
        <v>0</v>
      </c>
      <c r="D2" s="5">
        <f>SUM(D4:D85)</f>
        <v>0</v>
      </c>
      <c r="E2" s="5">
        <f>C2-D2</f>
        <v>0</v>
      </c>
      <c r="F2" s="6">
        <f>IFERROR(E2/D2, 0)</f>
        <v>0</v>
      </c>
      <c r="G2" s="5">
        <f>SUM(G4:G85)</f>
        <v>0</v>
      </c>
      <c r="H2" s="7">
        <f>C2-G2</f>
        <v>0</v>
      </c>
      <c r="I2" s="6">
        <f>IFERROR(H2/G2, 0)</f>
        <v>0</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57"/>
      <c r="K4" s="57"/>
    </row>
    <row r="5" spans="1:11" ht="15.6">
      <c r="A5" s="41" t="str">
        <v>Pacoima - Whiteman Airport</v>
      </c>
      <c r="B5" s="42" t="str">
        <v>CA</v>
      </c>
      <c r="C5" s="35"/>
      <c r="D5" s="58"/>
      <c r="E5" s="36" t="str">
        <f t="shared" ref="E5:E12" si="0">IF(AND(ISNUMBER(C5),ISNUMBER(D5)), C5-D5, "")</f>
        <v/>
      </c>
      <c r="F5" s="37" t="str">
        <f>IFERROR(E5/D5, "")</f>
        <v/>
      </c>
      <c r="G5" s="58"/>
      <c r="H5" s="38" t="str">
        <f t="shared" ref="H5:H12" si="1">IF(AND(ISNUMBER(C5),ISNUMBER(G5)), C5-G5, "")</f>
        <v/>
      </c>
      <c r="I5" s="37" t="str">
        <f t="shared" ref="I5:I12" si="2">IFERROR(H5/G5, "")</f>
        <v/>
      </c>
      <c r="J5" s="63"/>
      <c r="K5" s="64"/>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57"/>
      <c r="K6" s="57"/>
    </row>
    <row r="7" spans="1:11" ht="15.6">
      <c r="A7" s="41" t="str">
        <v>South Dennis - Tony Kent Arena</v>
      </c>
      <c r="B7" s="42" t="str">
        <v>MA</v>
      </c>
      <c r="C7" s="35"/>
      <c r="D7" s="36"/>
      <c r="E7" s="36" t="str">
        <f t="shared" si="0"/>
        <v/>
      </c>
      <c r="F7" s="37" t="str">
        <f t="shared" si="3"/>
        <v/>
      </c>
      <c r="G7" s="38"/>
      <c r="H7" s="38" t="str">
        <f t="shared" si="1"/>
        <v/>
      </c>
      <c r="I7" s="37" t="str">
        <f t="shared" si="2"/>
        <v/>
      </c>
      <c r="J7" s="63"/>
      <c r="K7" s="63"/>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57"/>
      <c r="K8" s="57"/>
    </row>
    <row r="9" spans="1:11" ht="15.6">
      <c r="A9" s="41" t="str">
        <v>Clear Lake - Eastlake Gohman</v>
      </c>
      <c r="B9" s="42" t="str">
        <v>MN</v>
      </c>
      <c r="C9" s="35"/>
      <c r="D9" s="36"/>
      <c r="E9" s="36" t="str">
        <f t="shared" si="0"/>
        <v/>
      </c>
      <c r="F9" s="37" t="str">
        <f t="shared" si="3"/>
        <v/>
      </c>
      <c r="G9" s="38"/>
      <c r="H9" s="38" t="str">
        <f t="shared" si="1"/>
        <v/>
      </c>
      <c r="I9" s="37" t="str">
        <f t="shared" si="2"/>
        <v/>
      </c>
      <c r="J9" s="63"/>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57"/>
      <c r="K10" s="57"/>
    </row>
    <row r="11" spans="1:11" ht="15.6">
      <c r="A11" s="41" t="str">
        <v>Cokato - Eastlake Carlson</v>
      </c>
      <c r="B11" s="42" t="str">
        <v>MN</v>
      </c>
      <c r="C11" s="35"/>
      <c r="D11" s="36"/>
      <c r="E11" s="36" t="str">
        <f t="shared" si="0"/>
        <v/>
      </c>
      <c r="F11" s="37" t="str">
        <f t="shared" si="3"/>
        <v/>
      </c>
      <c r="G11" s="38"/>
      <c r="H11" s="38" t="str">
        <f t="shared" si="1"/>
        <v/>
      </c>
      <c r="I11" s="37" t="str">
        <f t="shared" si="2"/>
        <v/>
      </c>
      <c r="J11" s="63"/>
      <c r="K11" s="63"/>
    </row>
    <row r="12" spans="1:11" ht="15.6">
      <c r="A12" s="43" t="str">
        <v>North Branch - Cornille 2</v>
      </c>
      <c r="B12" s="40" t="str">
        <v>MN</v>
      </c>
      <c r="C12" s="28"/>
      <c r="D12" s="29"/>
      <c r="E12" s="29" t="str">
        <f t="shared" si="0"/>
        <v/>
      </c>
      <c r="F12" s="30" t="str">
        <f t="shared" si="3"/>
        <v/>
      </c>
      <c r="G12" s="31"/>
      <c r="H12" s="31" t="str">
        <f t="shared" si="1"/>
        <v/>
      </c>
      <c r="I12" s="32" t="str">
        <f t="shared" si="2"/>
        <v/>
      </c>
      <c r="J12" s="57"/>
      <c r="K12" s="57"/>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7"/>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132</v>
      </c>
      <c r="E1" s="93"/>
      <c r="F1" s="93"/>
      <c r="G1" s="91" t="s">
        <v>133</v>
      </c>
      <c r="H1" s="91"/>
      <c r="I1" s="91"/>
      <c r="J1" s="4"/>
      <c r="K1" s="4"/>
    </row>
    <row r="2" spans="1:11" ht="19.5" customHeight="1">
      <c r="A2" s="94" t="s">
        <v>2</v>
      </c>
      <c r="B2" s="94"/>
      <c r="C2" s="5">
        <f>SUM(C4:C85)</f>
        <v>0</v>
      </c>
      <c r="D2" s="5">
        <f>SUM(D4:D85)</f>
        <v>0</v>
      </c>
      <c r="E2" s="5">
        <f>C2-D2</f>
        <v>0</v>
      </c>
      <c r="F2" s="6">
        <f>IFERROR(E2/D2, 0)</f>
        <v>0</v>
      </c>
      <c r="G2" s="5">
        <f>SUM(G4:G85)</f>
        <v>0</v>
      </c>
      <c r="H2" s="7">
        <f>C2-G2</f>
        <v>0</v>
      </c>
      <c r="I2" s="6">
        <f>IFERROR(H2/G2, 0)</f>
        <v>0</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78" customHeight="1">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49"/>
      <c r="K4" s="49"/>
    </row>
    <row r="5" spans="1:11" ht="42.75"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5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7"/>
  <sheetViews>
    <sheetView zoomScale="90" zoomScaleNormal="9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134</v>
      </c>
      <c r="E1" s="93"/>
      <c r="F1" s="93"/>
      <c r="G1" s="91" t="s">
        <v>135</v>
      </c>
      <c r="H1" s="91"/>
      <c r="I1" s="91"/>
      <c r="J1" s="4"/>
      <c r="K1" s="4"/>
    </row>
    <row r="2" spans="1:11" ht="19.5" customHeight="1">
      <c r="A2" s="94" t="s">
        <v>2</v>
      </c>
      <c r="B2" s="94"/>
      <c r="C2" s="5">
        <f>SUM(C4:C85)</f>
        <v>0</v>
      </c>
      <c r="D2" s="5">
        <f>SUM(D4:D85)</f>
        <v>0</v>
      </c>
      <c r="E2" s="5">
        <f>C2-D2</f>
        <v>0</v>
      </c>
      <c r="F2" s="6">
        <f>IFERROR(E2/D2, 0)</f>
        <v>0</v>
      </c>
      <c r="G2" s="5">
        <f>SUM(G4:G85)</f>
        <v>0</v>
      </c>
      <c r="H2" s="7">
        <f>C2-G2</f>
        <v>0</v>
      </c>
      <c r="I2" s="6">
        <f>IFERROR(H2/G2, 0)</f>
        <v>0</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0"/>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6"/>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136</v>
      </c>
      <c r="E1" s="93"/>
      <c r="F1" s="93"/>
      <c r="G1" s="91" t="s">
        <v>137</v>
      </c>
      <c r="H1" s="91"/>
      <c r="I1" s="91"/>
      <c r="J1" s="4"/>
      <c r="K1" s="4"/>
    </row>
    <row r="2" spans="1:11" ht="19.5" customHeight="1">
      <c r="A2" s="94" t="s">
        <v>2</v>
      </c>
      <c r="B2" s="94"/>
      <c r="C2" s="5">
        <f>SUM(C4:C84)</f>
        <v>0</v>
      </c>
      <c r="D2" s="5">
        <f>SUM(D4:D84)</f>
        <v>0</v>
      </c>
      <c r="E2" s="5">
        <f>C2-D2</f>
        <v>0</v>
      </c>
      <c r="F2" s="6">
        <f>IFERROR(E2/D2, 0)</f>
        <v>0</v>
      </c>
      <c r="G2" s="5">
        <f>SUM(G4:G84)</f>
        <v>0</v>
      </c>
      <c r="H2" s="7">
        <f>C2-G2</f>
        <v>0</v>
      </c>
      <c r="I2" s="6">
        <f>IFERROR(H2/G2, 0)</f>
        <v>0</v>
      </c>
      <c r="J2" s="11"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61"/>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IFERROR(H11/G11, "")</f>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6"/>
  <sheetViews>
    <sheetView zoomScale="80" zoomScaleNormal="80" workbookViewId="0">
      <pane xSplit="2" ySplit="3" topLeftCell="C6"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92" t="str" cm="1">
        <f t="array" ref="A1">portfolio</f>
        <v>Clean Capital</v>
      </c>
      <c r="B1" s="92"/>
      <c r="C1" s="92"/>
      <c r="D1" s="93" t="s">
        <v>138</v>
      </c>
      <c r="E1" s="93"/>
      <c r="F1" s="93"/>
      <c r="G1" s="91" t="s">
        <v>139</v>
      </c>
      <c r="H1" s="91"/>
      <c r="I1" s="91"/>
      <c r="J1" s="4"/>
      <c r="K1" s="4"/>
    </row>
    <row r="2" spans="1:11" ht="19.5" customHeight="1">
      <c r="A2" s="94" t="s">
        <v>2</v>
      </c>
      <c r="B2" s="94"/>
      <c r="C2" s="5">
        <f>SUM(C4:C84)</f>
        <v>0</v>
      </c>
      <c r="D2" s="5">
        <f>SUM(D4:D84)</f>
        <v>0</v>
      </c>
      <c r="E2" s="5">
        <f>C2-D2</f>
        <v>0</v>
      </c>
      <c r="F2" s="6">
        <f>IFERROR(E2/D2, 0)</f>
        <v>0</v>
      </c>
      <c r="G2" s="5">
        <f>SUM(G4:G84)</f>
        <v>0</v>
      </c>
      <c r="H2" s="7">
        <f>C2-G2</f>
        <v>0</v>
      </c>
      <c r="I2" s="6">
        <f>IFERROR(H2/G2, 0)</f>
        <v>0</v>
      </c>
      <c r="J2" s="11"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62"/>
      <c r="K4" s="62"/>
    </row>
    <row r="5" spans="1:11" ht="84"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59"/>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51"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4"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140</v>
      </c>
      <c r="E1" s="93"/>
      <c r="F1" s="93"/>
      <c r="G1" s="91" t="s">
        <v>141</v>
      </c>
      <c r="H1" s="91"/>
      <c r="I1" s="91"/>
      <c r="J1" s="4"/>
      <c r="K1" s="4"/>
    </row>
    <row r="2" spans="1:11" ht="19.5" customHeight="1">
      <c r="A2" s="94" t="s">
        <v>2</v>
      </c>
      <c r="B2" s="94"/>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5"/>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2" t="str" cm="1">
        <f t="array" ref="A1">portfolio</f>
        <v>Clean Capital</v>
      </c>
      <c r="B1" s="92"/>
      <c r="C1" s="92"/>
      <c r="D1" s="93" t="s">
        <v>142</v>
      </c>
      <c r="E1" s="93"/>
      <c r="F1" s="93"/>
      <c r="G1" s="91" t="s">
        <v>143</v>
      </c>
      <c r="H1" s="91"/>
      <c r="I1" s="91"/>
      <c r="J1" s="4"/>
      <c r="K1" s="4"/>
    </row>
    <row r="2" spans="1:11" ht="19.5" customHeight="1">
      <c r="A2" s="94" t="s">
        <v>2</v>
      </c>
      <c r="B2" s="94"/>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24">Sites[Site]</f>
        <v>Lexington - Cotting School</v>
      </c>
      <c r="B4" s="40" t="str" cm="1">
        <f t="array" ref="B4:B24">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4"/>
  <sheetViews>
    <sheetView workbookViewId="0">
      <pane ySplit="3" topLeftCell="A4" activePane="bottomLeft" state="frozen"/>
      <selection pane="bottomLeft" activeCell="A23" sqref="A23:XFD2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144</v>
      </c>
      <c r="B1" t="s">
        <v>145</v>
      </c>
    </row>
    <row r="3" spans="1:12" ht="13.15">
      <c r="A3" t="s">
        <v>146</v>
      </c>
      <c r="B3" t="s">
        <v>3</v>
      </c>
      <c r="C3" t="s">
        <v>4</v>
      </c>
      <c r="D3" t="s">
        <v>147</v>
      </c>
      <c r="E3" s="2" t="s">
        <v>148</v>
      </c>
    </row>
    <row r="4" spans="1:12" ht="14.45">
      <c r="A4" s="18" t="s">
        <v>149</v>
      </c>
      <c r="B4" t="s">
        <v>150</v>
      </c>
      <c r="C4" s="17" t="s">
        <v>151</v>
      </c>
      <c r="D4" s="16"/>
      <c r="E4" t="s">
        <v>152</v>
      </c>
      <c r="G4" s="3"/>
    </row>
    <row r="5" spans="1:12" ht="14.45">
      <c r="A5" s="18" t="s">
        <v>153</v>
      </c>
      <c r="B5" t="s">
        <v>154</v>
      </c>
      <c r="C5" s="17" t="s">
        <v>155</v>
      </c>
      <c r="D5" s="16"/>
      <c r="E5" t="s">
        <v>156</v>
      </c>
      <c r="G5" s="3"/>
    </row>
    <row r="6" spans="1:12" ht="12.75" customHeight="1">
      <c r="A6" s="18" t="s">
        <v>157</v>
      </c>
      <c r="B6" t="s">
        <v>157</v>
      </c>
      <c r="C6" s="17" t="s">
        <v>151</v>
      </c>
      <c r="D6" s="16"/>
      <c r="E6" t="s">
        <v>158</v>
      </c>
      <c r="K6" s="15"/>
      <c r="L6" s="15"/>
    </row>
    <row r="7" spans="1:12" ht="12.75" customHeight="1">
      <c r="A7" s="66" t="s">
        <v>159</v>
      </c>
      <c r="B7" s="67" t="s">
        <v>160</v>
      </c>
      <c r="C7" s="17" t="s">
        <v>151</v>
      </c>
      <c r="E7" t="s">
        <v>152</v>
      </c>
      <c r="K7" s="15"/>
      <c r="L7" s="15"/>
    </row>
    <row r="8" spans="1:12" ht="12.75" customHeight="1">
      <c r="A8" s="66" t="s">
        <v>161</v>
      </c>
      <c r="B8" s="67" t="s">
        <v>162</v>
      </c>
      <c r="C8" s="17" t="s">
        <v>163</v>
      </c>
      <c r="E8" s="72" t="s">
        <v>164</v>
      </c>
      <c r="K8" s="15"/>
      <c r="L8" s="15"/>
    </row>
    <row r="9" spans="1:12" ht="12.75" customHeight="1">
      <c r="A9" s="66" t="s">
        <v>165</v>
      </c>
      <c r="B9" s="67" t="s">
        <v>166</v>
      </c>
      <c r="C9" s="17" t="s">
        <v>167</v>
      </c>
      <c r="D9" t="s">
        <v>168</v>
      </c>
      <c r="E9" t="s">
        <v>158</v>
      </c>
      <c r="K9" s="15"/>
      <c r="L9" s="15"/>
    </row>
    <row r="10" spans="1:12" ht="12.75" customHeight="1">
      <c r="A10" s="66" t="s">
        <v>169</v>
      </c>
      <c r="B10" s="67" t="s">
        <v>170</v>
      </c>
      <c r="C10" s="17" t="s">
        <v>167</v>
      </c>
      <c r="D10" t="s">
        <v>168</v>
      </c>
      <c r="E10" t="s">
        <v>158</v>
      </c>
    </row>
    <row r="11" spans="1:12" ht="12.75" customHeight="1">
      <c r="A11" s="66" t="s">
        <v>171</v>
      </c>
      <c r="B11" s="67" t="s">
        <v>172</v>
      </c>
      <c r="C11" s="17" t="s">
        <v>167</v>
      </c>
      <c r="D11" t="s">
        <v>168</v>
      </c>
      <c r="E11" t="s">
        <v>158</v>
      </c>
    </row>
    <row r="12" spans="1:12" ht="12.75" customHeight="1">
      <c r="A12" s="66" t="s">
        <v>173</v>
      </c>
      <c r="B12" s="67" t="s">
        <v>174</v>
      </c>
      <c r="C12" s="17" t="s">
        <v>167</v>
      </c>
      <c r="D12" t="s">
        <v>168</v>
      </c>
      <c r="E12" t="s">
        <v>158</v>
      </c>
    </row>
    <row r="13" spans="1:12" ht="12.75" customHeight="1">
      <c r="A13" s="66" t="s">
        <v>175</v>
      </c>
      <c r="B13" s="67" t="s">
        <v>176</v>
      </c>
      <c r="C13" s="17" t="s">
        <v>167</v>
      </c>
      <c r="D13" t="s">
        <v>168</v>
      </c>
      <c r="E13" t="s">
        <v>158</v>
      </c>
    </row>
    <row r="14" spans="1:12" ht="12.75" customHeight="1">
      <c r="A14" s="66" t="s">
        <v>177</v>
      </c>
      <c r="B14" s="67" t="s">
        <v>178</v>
      </c>
      <c r="C14" s="17" t="s">
        <v>167</v>
      </c>
      <c r="E14" t="s">
        <v>158</v>
      </c>
    </row>
    <row r="15" spans="1:12" ht="12.75" customHeight="1">
      <c r="A15" s="66" t="s">
        <v>179</v>
      </c>
      <c r="B15" s="67" t="s">
        <v>180</v>
      </c>
      <c r="C15" s="17" t="s">
        <v>167</v>
      </c>
      <c r="D15" t="s">
        <v>168</v>
      </c>
      <c r="E15" t="s">
        <v>158</v>
      </c>
    </row>
    <row r="16" spans="1:12" ht="12.75" customHeight="1">
      <c r="A16" s="66" t="s">
        <v>181</v>
      </c>
      <c r="B16" s="67" t="s">
        <v>182</v>
      </c>
      <c r="C16" s="17" t="s">
        <v>167</v>
      </c>
      <c r="D16" t="s">
        <v>168</v>
      </c>
      <c r="E16" t="s">
        <v>158</v>
      </c>
    </row>
    <row r="17" spans="1:5" ht="12.75" customHeight="1">
      <c r="A17" s="66" t="s">
        <v>183</v>
      </c>
      <c r="B17" s="67" t="s">
        <v>184</v>
      </c>
      <c r="C17" s="17" t="s">
        <v>185</v>
      </c>
      <c r="E17" t="s">
        <v>186</v>
      </c>
    </row>
    <row r="18" spans="1:5" ht="12.75" customHeight="1">
      <c r="A18" s="66" t="s">
        <v>187</v>
      </c>
      <c r="B18" s="67" t="s">
        <v>188</v>
      </c>
      <c r="C18" s="17" t="s">
        <v>185</v>
      </c>
      <c r="E18" t="s">
        <v>186</v>
      </c>
    </row>
    <row r="19" spans="1:5" ht="12.75" customHeight="1">
      <c r="A19" s="66" t="s">
        <v>189</v>
      </c>
      <c r="B19" s="67" t="s">
        <v>190</v>
      </c>
      <c r="C19" s="17" t="s">
        <v>185</v>
      </c>
      <c r="E19" t="s">
        <v>191</v>
      </c>
    </row>
    <row r="20" spans="1:5" ht="12.75" customHeight="1">
      <c r="A20" s="66" t="s">
        <v>192</v>
      </c>
      <c r="B20" s="67" t="s">
        <v>193</v>
      </c>
      <c r="C20" s="17" t="s">
        <v>163</v>
      </c>
      <c r="E20" t="s">
        <v>191</v>
      </c>
    </row>
    <row r="21" spans="1:5" ht="12.75" customHeight="1">
      <c r="A21" s="66" t="s">
        <v>194</v>
      </c>
      <c r="B21" s="67" t="s">
        <v>195</v>
      </c>
      <c r="C21" s="17" t="s">
        <v>196</v>
      </c>
      <c r="E21" t="s">
        <v>191</v>
      </c>
    </row>
    <row r="22" spans="1:5" ht="12.75" customHeight="1">
      <c r="A22" s="66" t="s">
        <v>197</v>
      </c>
      <c r="B22" s="67" t="s">
        <v>198</v>
      </c>
      <c r="C22" s="17" t="s">
        <v>196</v>
      </c>
      <c r="E22" t="s">
        <v>191</v>
      </c>
    </row>
    <row r="23" spans="1:5" ht="12.75" customHeight="1">
      <c r="A23" s="66" t="s">
        <v>199</v>
      </c>
      <c r="B23" s="67" t="s">
        <v>199</v>
      </c>
      <c r="C23" s="17" t="s">
        <v>185</v>
      </c>
      <c r="E23" t="s">
        <v>200</v>
      </c>
    </row>
    <row r="24" spans="1:5" ht="12.75" customHeight="1">
      <c r="A24" s="66" t="s">
        <v>201</v>
      </c>
      <c r="B24" s="67" t="s">
        <v>202</v>
      </c>
      <c r="C24" s="17" t="s">
        <v>185</v>
      </c>
      <c r="E24" t="s">
        <v>200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0F6C3C6A-5F82-4BFA-9310-8B457A7DEBF1}"/>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CB52044A-5C0B-44A2-99D0-C1C315EC302D}"/>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2025-06-07T03:45:26Z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