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77BFA40-E250-49BB-A8AA-7CA39FC56DC5}" xr6:coauthVersionLast="47" xr6:coauthVersionMax="47" xr10:uidLastSave="{00000000-0000-0000-0000-000000000000}"/>
  <bookViews>
    <workbookView xWindow="28680" yWindow="-120" windowWidth="29040" windowHeight="15720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I5" i="4" s="1"/>
  <c r="I6" i="4"/>
  <c r="E5" i="4"/>
  <c r="F5" i="4" s="1"/>
  <c r="H5" i="3"/>
  <c r="I5" i="3" s="1"/>
  <c r="H6" i="3"/>
  <c r="I6" i="3" s="1"/>
  <c r="H7" i="3"/>
  <c r="I7" i="3" s="1"/>
  <c r="H8" i="3"/>
  <c r="I8" i="3" s="1"/>
  <c r="I9" i="3"/>
  <c r="E5" i="3"/>
  <c r="F5" i="3" s="1"/>
  <c r="E6" i="3"/>
  <c r="F6" i="3" s="1"/>
  <c r="E7" i="3"/>
  <c r="F7" i="3" s="1"/>
  <c r="E8" i="3"/>
  <c r="F8" i="3" s="1"/>
  <c r="E9" i="3"/>
  <c r="F9" i="3" s="1"/>
  <c r="H5" i="72"/>
  <c r="I5" i="72" s="1"/>
  <c r="H6" i="72"/>
  <c r="I6" i="72" s="1"/>
  <c r="H7" i="72"/>
  <c r="I7" i="72" s="1"/>
  <c r="H8" i="72"/>
  <c r="I8" i="72" s="1"/>
  <c r="E6" i="72"/>
  <c r="F6" i="72" s="1"/>
  <c r="E7" i="72"/>
  <c r="F7" i="72" s="1"/>
  <c r="E8" i="72"/>
  <c r="F8" i="72" s="1"/>
  <c r="E5" i="72"/>
  <c r="F5" i="72" s="1"/>
  <c r="G4" i="30"/>
  <c r="G4" i="29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<sst xmlns="http://schemas.openxmlformats.org/spreadsheetml/2006/main" count="251" uniqueCount="63">
  <si>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</si>
  <si>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</si>
  <si>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</si>
  <si>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</si>
  <si>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</si>
  <si>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</si>
  <si>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</si>
  <si>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</si>
  <si>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</si>
  <si>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</si>
  <si>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</si>
  <si>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</si>
  <si>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</si>
  <si>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</si>
  <si>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</si>
  <si>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</si>
  <si>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</si>
  <si>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</si>
  <si>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</si>
  <si>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</si>
  <si>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</si>
  <si>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</si>
  <si>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1.Inverter 128 was not communicating since 12/07/24. Communications card has been RMA'd and will be replaced during a combined dispatch.
2. Low generation due to rain/snow.</t>
  </si>
  <si>
    <t>1.SR096051</t>
  </si>
  <si>
    <t>February Actual v. Expected</t>
  </si>
  <si>
    <t>February Actual v. Forecasted</t>
  </si>
  <si>
    <t>1.Inverter 128 was not communicating since 12/07/24. Communications card has been RMA'd and will be replaced during a combined dispatch.
2.Inverter 84 was not communicating from 02/02, after tehnician powercycled inverter regained communication on 02/24 at 11:00AM.</t>
  </si>
  <si>
    <t>1.SR096051,SR097794
2.SR097657</t>
  </si>
  <si>
    <t>March Actual v. Expected</t>
  </si>
  <si>
    <t>March Actual v. Forecasted</t>
  </si>
  <si>
    <t>1. Inverter 128 was not communicating since 12/07/24. Communications card has been RMA'd and will be replaced during a combined dispatch.
2. Site had brief outage in between 12:20PM to 12:25PM. But inverters 1 to 4, 42 and 104 was not came back online. Inverters self resolved and started for production on 03/08.
3. Inverters 1 to 55 stopped communicating at 12:45 on 03/14, production not confirmed. On 03/18 technician powercyled DAS and comms were restored.</t>
  </si>
  <si>
    <t>1. SR096051,SR097794, SR099300
2. SR098265
3. SR098601</t>
  </si>
  <si>
    <t>April Actual v. Expected</t>
  </si>
  <si>
    <t>April Actual v. Forecasted</t>
  </si>
  <si>
    <t>N/A</t>
  </si>
  <si>
    <t>1. Pad 1 tripped offline at 08:00 on 04/04.On 04/09, a technician closed the relay and pad 1 was back online at 09:00 on 04/009
2. Inverters 24 and 114 are derating by 16kW each compared to its peers throughout the month</t>
  </si>
  <si>
    <t>1.SR099534
2.SR101357</t>
  </si>
  <si>
    <t>SR101357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</si>
  <si>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</si>
  <si>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</si>
  <si>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</si>
  <si>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</si>
  <si>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</si>
  <si>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</si>
  <si>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</si>
  <si>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</si>
  <si>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</si>
  <si>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</si>
  <si>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</si>
  <si>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</si>
  <si>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</si>
  <si>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</si>
  <si>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</si>
  <si>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</si>
  <si>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</si>
  <si>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Bradford - 256 Presidential Dr</t>
  </si>
  <si>
    <t>Site DAS Name</t>
  </si>
  <si>
    <t>Update</t>
  </si>
  <si>
    <t>DAS</t>
  </si>
  <si>
    <t>006 - Bradford O&amp;M</t>
  </si>
  <si>
    <t>MA</t>
  </si>
  <si>
    <t>AF</t>
  </si>
  <si>
    <t>PF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</si>
</sst>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35" fillId="40" borderId="0" xfId="0" applyFont="1" applyFill="1" applyAlignment="1">
      <alignment horizontal="center" vertical="center"/>
    </xf>
    <xf numFmtId="49" fontId="29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49" fontId="36" fillId="0" borderId="0" xfId="45" applyNumberFormat="1" applyAlignment="1">
      <alignment vertical="top" wrapText="1"/>
    </xf>
    <xf numFmtId="0" fontId="36" fillId="0" borderId="0" xfId="45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top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1357" TargetMode="External"/><Relationship Id="rId1" Type="http://schemas.openxmlformats.org/officeDocument/2006/relationships/hyperlink" Target="https://us3.assetplanner.com/service_request?ID=09953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18" sqref="F18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5">
        <f>SUM(C4:C79)</f>
        <v>1921831.5885999999</v>
      </c>
      <c r="D2" s="5">
        <f>SUM(D4:D79)</f>
        <v>1382229.2394999999</v>
      </c>
      <c r="E2" s="5">
        <f>C2-D2</f>
        <v>539602.34909999999</v>
      </c>
      <c r="F2" s="6">
        <f>IFERROR(E2/D2, 0)</f>
        <v>0.39038556968682908</v>
      </c>
      <c r="G2" s="5">
        <f>SUM(G4:G79)</f>
        <v>1600941.7000000002</v>
      </c>
      <c r="H2" s="7">
        <f>C2-G2</f>
        <v>320889.88859999971</v>
      </c>
      <c r="I2" s="6">
        <f>IFERROR(H2/G2, 0)</f>
        <v>0.20043820996104961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Bradford - 256 Presidential Dr</v>
      </c>
      <c r="B4" s="9" t="str" cm="1">
        <f t="array" ref="B4">Sites[State]</f>
        <v>MA</v>
      </c>
      <c r="C4" s="23">
        <f>SUM('1st Qtr'!C4, '2nd Qtr'!C4, '3rd Qtr'!C4, '4th Qtr'!C4)</f>
        <v>1921831.5885999999</v>
      </c>
      <c r="D4" s="12">
        <f>SUM('1st Qtr'!D4, '2nd Qtr'!D4, '3rd Qtr'!D4, '4th Qtr'!D4)</f>
        <v>1382229.2394999999</v>
      </c>
      <c r="E4" s="12">
        <f>IF(AND(ISNUMBER(C4),ISNUMBER(D4)), C4-D4, "")</f>
        <v>539602.34909999999</v>
      </c>
      <c r="F4" s="13">
        <f>IFERROR(E4/D4, "")</f>
        <v>0.39038556968682908</v>
      </c>
      <c r="G4" s="14">
        <f>SUM('1st Qtr'!G4, '2nd Qtr'!G4, '3rd Qtr'!G4, '4th Qtr'!G4)</f>
        <v>1600941.7000000002</v>
      </c>
      <c r="H4" s="14">
        <f>SUM('1st Qtr'!H4, '2nd Qtr'!H4, '3rd Qtr'!H4, '4th Qtr'!H4)</f>
        <v>-306879.11140000005</v>
      </c>
      <c r="I4" s="15">
        <f>IFERROR(H4/G4, "")</f>
        <v>-0.19168662506573475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16" sqref="E16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5">
        <f>SUM(C4:C79)</f>
        <v>1294062.5885999999</v>
      </c>
      <c r="D2" s="5">
        <f>SUM(D4:D79)</f>
        <v>1382229.2394999999</v>
      </c>
      <c r="E2" s="5">
        <f>C2-D2</f>
        <v>-88166.650900000008</v>
      </c>
      <c r="F2" s="6">
        <f>IFERROR(E2/D2, 0)</f>
        <v>-6.3785838398189965E-2</v>
      </c>
      <c r="G2" s="5">
        <f>SUM(G4:G79)</f>
        <v>1600941.7000000002</v>
      </c>
      <c r="H2" s="7">
        <f>C2-G2</f>
        <v>-306879.11140000029</v>
      </c>
      <c r="I2" s="6">
        <f>IFERROR(H2/G2, 0)</f>
        <v>-0.19168662506573492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1" t="str" cm="1">
        <f t="array" ref="A4">Sites[Site]</f>
        <v>Bradford - 256 Presidential Dr</v>
      </c>
      <c r="B4" s="9" t="str" cm="1">
        <f t="array" ref="B4">Sites[State]</f>
        <v>MA</v>
      </c>
      <c r="C4" s="23">
        <f>SUM(Jan!C4, Feb!C4, Mar!C4)</f>
        <v>1294062.5885999999</v>
      </c>
      <c r="D4" s="12">
        <f>SUM(Jan!D4, Feb!D4, Mar!D4)</f>
        <v>1382229.2394999999</v>
      </c>
      <c r="E4" s="12">
        <f>IF(AND(ISNUMBER(C4),ISNUMBER(D4)), C4-D4, "")</f>
        <v>-88166.650900000008</v>
      </c>
      <c r="F4" s="13">
        <f>IFERROR(E4/D4, "")</f>
        <v>-6.3785838398189965E-2</v>
      </c>
      <c r="G4" s="14">
        <f>SUM(Jan!G4, Feb!G4, Mar!G4)</f>
        <v>1600941.7000000002</v>
      </c>
      <c r="H4" s="14">
        <f>SUM(Jan!H4, Feb!H4, Mar!H4)</f>
        <v>-306879.11140000005</v>
      </c>
      <c r="I4" s="15">
        <f>IFERROR(H4/G4, "")</f>
        <v>-0.19168662506573475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E15" sqref="E1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5">
        <f>SUM(C4:C79)</f>
        <v>627769</v>
      </c>
      <c r="D2" s="5">
        <f>SUM(D4:D79)</f>
        <v>0</v>
      </c>
      <c r="E2" s="5">
        <f>C2-D2</f>
        <v>627769</v>
      </c>
      <c r="F2" s="6">
        <f>IFERROR(E2/D2, 0)</f>
        <v>0</v>
      </c>
      <c r="G2" s="5">
        <f>SUM(G4:G79)</f>
        <v>0</v>
      </c>
      <c r="H2" s="7">
        <f>C2-G2</f>
        <v>627769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1" t="str" cm="1">
        <f t="array" ref="A4">Sites[Site]</f>
        <v>Bradford - 256 Presidential Dr</v>
      </c>
      <c r="B4" s="9" t="str" cm="1">
        <f t="array" ref="B4">Sites[State]</f>
        <v>MA</v>
      </c>
      <c r="C4" s="23">
        <f>SUM(Apr!C4, May!C4, Jun!C4)</f>
        <v>627769</v>
      </c>
      <c r="D4" s="12">
        <f>SUM(Apr!D4, May!D4, Jun!D4)</f>
        <v>0</v>
      </c>
      <c r="E4" s="12">
        <f>IF(AND(ISNUMBER(C4),ISNUMBER(D4)), C4-D4, "")</f>
        <v>627769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G5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1" t="str" cm="1">
        <f t="array" ref="A4">Sites[Site]</f>
        <v>Bradford - 256 Presidential Dr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Bradford - 256 Presidential Dr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1" t="str" cm="1">
        <f t="array" ref="A4">Sites[Site]</f>
        <v>Bradford - 256 Presidential Dr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38"/>
      <c r="D5" s="17"/>
      <c r="E5" s="17"/>
      <c r="F5" s="18"/>
      <c r="G5" s="19"/>
      <c r="H5" s="19"/>
      <c r="I5" s="18"/>
    </row>
    <row r="6" spans="1:9" ht="14.45">
      <c r="A6" s="20"/>
      <c r="B6" s="10"/>
      <c r="C6" s="38"/>
      <c r="D6" s="17"/>
      <c r="E6" s="17"/>
      <c r="F6" s="18"/>
      <c r="G6" s="19"/>
      <c r="H6" s="19"/>
      <c r="I6" s="18"/>
    </row>
    <row r="7" spans="1:9" ht="14.45">
      <c r="A7" s="20"/>
      <c r="B7" s="10"/>
      <c r="C7" s="38"/>
      <c r="D7" s="17"/>
      <c r="E7" s="17"/>
      <c r="F7" s="18"/>
      <c r="G7" s="19"/>
      <c r="H7" s="19"/>
      <c r="I7" s="18"/>
    </row>
    <row r="8" spans="1:9" ht="14.45">
      <c r="A8" s="20"/>
      <c r="B8" s="10"/>
      <c r="C8" s="38"/>
      <c r="D8" s="17"/>
      <c r="E8" s="17"/>
      <c r="F8" s="18"/>
      <c r="G8" s="19"/>
      <c r="H8" s="19"/>
      <c r="I8" s="18"/>
    </row>
    <row r="9" spans="1:9" ht="14.45">
      <c r="A9" s="20"/>
      <c r="B9" s="10"/>
      <c r="C9" s="38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zoomScaleNormal="100" workbookViewId="0">
      <pane xSplit="2" ySplit="3" topLeftCell="D4" activePane="bottomRight" state="frozen"/>
      <selection pane="bottomRight" activeCell="D10" sqref="D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SUM(C4:C77)</f>
        <v>306816.58860000002</v>
      </c>
      <c r="D2" s="5">
        <f>SUM(D4:D77)</f>
        <v>339000.33240000001</v>
      </c>
      <c r="E2" s="5">
        <f>C2-D2</f>
        <v>-32183.743799999997</v>
      </c>
      <c r="F2" s="6">
        <f>IFERROR(E2/D2, 0)</f>
        <v>-9.4937204256263424E-2</v>
      </c>
      <c r="G2" s="5">
        <f>SUM(G4:G77)</f>
        <v>401656.5</v>
      </c>
      <c r="H2" s="7">
        <f>C2-G2</f>
        <v>-94839.911399999983</v>
      </c>
      <c r="I2" s="6">
        <f>IFERROR(H2/G2, 0)</f>
        <v>-0.23612193852209534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3" t="s">
        <v>5</v>
      </c>
      <c r="D3" s="44" t="s">
        <v>6</v>
      </c>
      <c r="E3" s="31" t="s">
        <v>7</v>
      </c>
      <c r="F3" s="32" t="s">
        <v>8</v>
      </c>
      <c r="G3" s="45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46" t="str" cm="1">
        <f t="array" ref="A4">Sites[Site]</f>
        <v>Bradford - 256 Presidential Dr</v>
      </c>
      <c r="B4" s="27" t="str" cm="1">
        <f t="array" ref="B4">Sites[State]</f>
        <v>MA</v>
      </c>
      <c r="C4" s="23">
        <v>306816.58860000002</v>
      </c>
      <c r="D4" s="12">
        <v>339000.33240000001</v>
      </c>
      <c r="E4" s="12">
        <f>IF(AND(ISNUMBER(C4),ISNUMBER(D4)), C4-D4, "")</f>
        <v>-32183.743799999997</v>
      </c>
      <c r="F4" s="13">
        <f t="shared" ref="F4:F8" si="0">IFERROR(E4/D4, "")</f>
        <v>-9.4937204256263424E-2</v>
      </c>
      <c r="G4" s="14">
        <v>401656.5</v>
      </c>
      <c r="H4" s="14">
        <f>IF(AND(ISNUMBER(C4),ISNUMBER(G4)), C4-G4, "")</f>
        <v>-94839.911399999983</v>
      </c>
      <c r="I4" s="15">
        <f>IFERROR(H4/G4, "")</f>
        <v>-0.23612193852209534</v>
      </c>
      <c r="J4" s="57" t="s">
        <v>22</v>
      </c>
      <c r="K4" s="58" t="s">
        <v>23</v>
      </c>
    </row>
    <row r="5" spans="1:11" ht="14.45">
      <c r="A5" s="20"/>
      <c r="B5" s="29"/>
      <c r="C5" s="20"/>
      <c r="D5" s="20"/>
      <c r="E5" s="20" t="str">
        <f>IF(AND(ISNUMBER(C5),ISNUMBER(D5)), C5-D5, "")</f>
        <v/>
      </c>
      <c r="F5" s="21" t="str">
        <f t="shared" si="0"/>
        <v/>
      </c>
      <c r="G5" s="20"/>
      <c r="H5" s="20" t="str">
        <f t="shared" ref="H5:H8" si="1">IF(AND(ISNUMBER(C5),ISNUMBER(G5)), C5-G5, "")</f>
        <v/>
      </c>
      <c r="I5" s="21" t="str">
        <f t="shared" ref="I5:I8" si="2">IFERROR(H5/G5, "")</f>
        <v/>
      </c>
      <c r="J5" s="20"/>
      <c r="K5" s="20"/>
    </row>
    <row r="6" spans="1:11" ht="14.45">
      <c r="A6" s="20"/>
      <c r="B6" s="29"/>
      <c r="C6" s="20"/>
      <c r="D6" s="20"/>
      <c r="E6" s="20" t="str">
        <f t="shared" ref="E6:E8" si="3">IF(AND(ISNUMBER(C6),ISNUMBER(D6)), C6-D6, "")</f>
        <v/>
      </c>
      <c r="F6" s="21" t="str">
        <f t="shared" si="0"/>
        <v/>
      </c>
      <c r="G6" s="20"/>
      <c r="H6" s="20" t="str">
        <f t="shared" si="1"/>
        <v/>
      </c>
      <c r="I6" s="21" t="str">
        <f t="shared" si="2"/>
        <v/>
      </c>
      <c r="J6" s="20"/>
      <c r="K6" s="20"/>
    </row>
    <row r="7" spans="1:11" ht="14.45">
      <c r="A7" s="20"/>
      <c r="B7" s="29"/>
      <c r="C7" s="20"/>
      <c r="D7" s="20"/>
      <c r="E7" s="20" t="str">
        <f t="shared" si="3"/>
        <v/>
      </c>
      <c r="F7" s="21" t="str">
        <f t="shared" si="0"/>
        <v/>
      </c>
      <c r="G7" s="20"/>
      <c r="H7" s="20" t="str">
        <f t="shared" si="1"/>
        <v/>
      </c>
      <c r="I7" s="21" t="str">
        <f t="shared" si="2"/>
        <v/>
      </c>
      <c r="J7" s="20"/>
      <c r="K7" s="20"/>
    </row>
    <row r="8" spans="1:11" ht="14.45">
      <c r="A8" s="20"/>
      <c r="B8" s="29"/>
      <c r="C8" s="20"/>
      <c r="D8" s="20"/>
      <c r="E8" s="20" t="str">
        <f t="shared" si="3"/>
        <v/>
      </c>
      <c r="F8" s="21" t="str">
        <f t="shared" si="0"/>
        <v/>
      </c>
      <c r="G8" s="20"/>
      <c r="H8" s="20" t="str">
        <f t="shared" si="1"/>
        <v/>
      </c>
      <c r="I8" s="21" t="str">
        <f t="shared" si="2"/>
        <v/>
      </c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 F4:F77 I4:I77">
    <cfRule type="cellIs" dxfId="30" priority="8" stopIfTrue="1" operator="lessThanOrEqual">
      <formula>-0.1</formula>
    </cfRule>
    <cfRule type="expression" dxfId="29" priority="9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70" zoomScaleNormal="70" workbookViewId="0">
      <pane xSplit="2" ySplit="3" topLeftCell="G25" activePane="bottomRight" state="frozen"/>
      <selection pane="bottomRight" activeCell="G25" sqref="G25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341831</v>
      </c>
      <c r="D2" s="5">
        <f>SUM(D4:D79)</f>
        <v>434992</v>
      </c>
      <c r="E2" s="5">
        <f>C2-D2</f>
        <v>-93161</v>
      </c>
      <c r="F2" s="6">
        <f>IFERROR(E2/D2, 0)</f>
        <v>-0.21416715709714201</v>
      </c>
      <c r="G2" s="5">
        <f>SUM(G4:G79)</f>
        <v>529201.80000000005</v>
      </c>
      <c r="H2" s="7">
        <f>C2-G2</f>
        <v>-187370.80000000005</v>
      </c>
      <c r="I2" s="6">
        <f>IFERROR(H2/G2, 0)</f>
        <v>-0.35406304362532409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.6">
      <c r="A4" s="46" t="str" cm="1">
        <f t="array" ref="A4">Sites[Site]</f>
        <v>Bradford - 256 Presidential Dr</v>
      </c>
      <c r="B4" s="27" t="str" cm="1">
        <f t="array" ref="B4">Sites[State]</f>
        <v>MA</v>
      </c>
      <c r="C4" s="23">
        <v>341831</v>
      </c>
      <c r="D4" s="12">
        <v>434992</v>
      </c>
      <c r="E4" s="12">
        <f>IF(AND(ISNUMBER(C4),ISNUMBER(D4)), C4-D4, "")</f>
        <v>-93161</v>
      </c>
      <c r="F4" s="13">
        <f>IFERROR(E4/D4, "")</f>
        <v>-0.21416715709714201</v>
      </c>
      <c r="G4" s="14">
        <v>529201.80000000005</v>
      </c>
      <c r="H4" s="14">
        <f>IF(AND(ISNUMBER(C4),ISNUMBER(G4)), C4-G4, "")</f>
        <v>-187370.80000000005</v>
      </c>
      <c r="I4" s="15">
        <f>IFERROR(H4/G4, "")</f>
        <v>-0.35406304362532409</v>
      </c>
      <c r="J4" s="47" t="s">
        <v>26</v>
      </c>
      <c r="K4" s="48" t="s">
        <v>27</v>
      </c>
    </row>
    <row r="5" spans="1:11" ht="14.45">
      <c r="A5" s="20"/>
      <c r="B5" s="29"/>
      <c r="C5" s="20"/>
      <c r="D5" s="20"/>
      <c r="E5" s="20" t="str">
        <f t="shared" ref="E5:E9" si="0">IF(AND(ISNUMBER(C5),ISNUMBER(D5)), C5-D5, "")</f>
        <v/>
      </c>
      <c r="F5" s="21" t="str">
        <f t="shared" ref="F5:F9" si="1">IFERROR(E5/D5, "")</f>
        <v/>
      </c>
      <c r="G5" s="20"/>
      <c r="H5" s="20" t="str">
        <f t="shared" ref="H5:H8" si="2">IF(AND(ISNUMBER(C5),ISNUMBER(G5)), C5-G5, "")</f>
        <v/>
      </c>
      <c r="I5" s="21" t="str">
        <f t="shared" ref="I5:I9" si="3">IFERROR(H5/G5, "")</f>
        <v/>
      </c>
      <c r="J5" s="20"/>
      <c r="K5" s="20"/>
    </row>
    <row r="6" spans="1:11" ht="14.45">
      <c r="A6" s="20"/>
      <c r="B6" s="29"/>
      <c r="C6" s="20"/>
      <c r="D6" s="20"/>
      <c r="E6" s="20" t="str">
        <f t="shared" si="0"/>
        <v/>
      </c>
      <c r="F6" s="21" t="str">
        <f t="shared" si="1"/>
        <v/>
      </c>
      <c r="G6" s="20"/>
      <c r="H6" s="20" t="str">
        <f t="shared" si="2"/>
        <v/>
      </c>
      <c r="I6" s="21" t="str">
        <f t="shared" si="3"/>
        <v/>
      </c>
      <c r="J6" s="20"/>
      <c r="K6" s="20"/>
    </row>
    <row r="7" spans="1:11" ht="14.45">
      <c r="A7" s="20"/>
      <c r="B7" s="29"/>
      <c r="C7" s="20"/>
      <c r="D7" s="20"/>
      <c r="E7" s="20" t="str">
        <f t="shared" si="0"/>
        <v/>
      </c>
      <c r="F7" s="21" t="str">
        <f t="shared" si="1"/>
        <v/>
      </c>
      <c r="G7" s="20"/>
      <c r="H7" s="20" t="str">
        <f t="shared" si="2"/>
        <v/>
      </c>
      <c r="I7" s="21" t="str">
        <f t="shared" si="3"/>
        <v/>
      </c>
      <c r="J7" s="20"/>
      <c r="K7" s="20"/>
    </row>
    <row r="8" spans="1:11" ht="14.45">
      <c r="A8" s="20"/>
      <c r="B8" s="29"/>
      <c r="C8" s="20"/>
      <c r="D8" s="20"/>
      <c r="E8" s="20" t="str">
        <f t="shared" si="0"/>
        <v/>
      </c>
      <c r="F8" s="21" t="str">
        <f t="shared" si="1"/>
        <v/>
      </c>
      <c r="G8" s="20"/>
      <c r="H8" s="20" t="str">
        <f t="shared" si="2"/>
        <v/>
      </c>
      <c r="I8" s="21" t="str">
        <f t="shared" si="3"/>
        <v/>
      </c>
      <c r="J8" s="20"/>
      <c r="K8" s="20"/>
    </row>
    <row r="9" spans="1:11" ht="14.45">
      <c r="A9" s="20"/>
      <c r="B9" s="29"/>
      <c r="C9" s="20"/>
      <c r="D9" s="20"/>
      <c r="E9" s="20" t="str">
        <f t="shared" si="0"/>
        <v/>
      </c>
      <c r="F9" s="21" t="str">
        <f t="shared" si="1"/>
        <v/>
      </c>
      <c r="G9" s="20"/>
      <c r="H9" s="20"/>
      <c r="I9" s="21" t="str">
        <f t="shared" si="3"/>
        <v/>
      </c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I4:I79">
    <cfRule type="cellIs" dxfId="28" priority="15" stopIfTrue="1" operator="lessThanOrEqual">
      <formula>-0.1</formula>
    </cfRule>
    <cfRule type="expression" dxfId="27" priority="16">
      <formula>AND(ISNUMBER(F2), F2&gt;=0.1)</formula>
    </cfRule>
  </conditionalFormatting>
  <conditionalFormatting sqref="F4:F79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7"/>
  <sheetViews>
    <sheetView zoomScale="60" zoomScaleNormal="60" workbookViewId="0">
      <pane xSplit="2" ySplit="3" topLeftCell="C4" activePane="bottomRight" state="frozen"/>
      <selection pane="bottomRight" activeCell="J12" sqref="J12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28</v>
      </c>
      <c r="E1" s="55"/>
      <c r="F1" s="55"/>
      <c r="G1" s="53" t="s">
        <v>29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SUM(C4:C75)</f>
        <v>645415</v>
      </c>
      <c r="D2" s="5">
        <f>SUM(D4:D75)</f>
        <v>608236.90709999995</v>
      </c>
      <c r="E2" s="5">
        <f>C2-D2</f>
        <v>37178.092900000047</v>
      </c>
      <c r="F2" s="6">
        <f>IFERROR(E2/D2, 0)</f>
        <v>6.112436201423669E-2</v>
      </c>
      <c r="G2" s="5">
        <f>SUM(G4:G75)</f>
        <v>670083.4</v>
      </c>
      <c r="H2" s="7">
        <f>C2-G2</f>
        <v>-24668.400000000023</v>
      </c>
      <c r="I2" s="6">
        <f>IFERROR(H2/G2, 0)</f>
        <v>-3.6813924953222277E-2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0.9">
      <c r="A4" s="46" t="str" cm="1">
        <f t="array" ref="A4">Sites[Site]</f>
        <v>Bradford - 256 Presidential Dr</v>
      </c>
      <c r="B4" s="27" t="str" cm="1">
        <f t="array" ref="B4">Sites[State]</f>
        <v>MA</v>
      </c>
      <c r="C4" s="49">
        <v>645415</v>
      </c>
      <c r="D4" s="12">
        <v>608236.90709999995</v>
      </c>
      <c r="E4" s="12">
        <f>IF(AND(ISNUMBER(C4),ISNUMBER(D4)), C4-D4, "")</f>
        <v>37178.092900000047</v>
      </c>
      <c r="F4" s="13">
        <f>IFERROR(E4/D4, "")</f>
        <v>6.112436201423669E-2</v>
      </c>
      <c r="G4" s="50">
        <v>670083.4</v>
      </c>
      <c r="H4" s="14">
        <f>IF(AND(ISNUMBER(C4),ISNUMBER(G4)), C4-G4, "")</f>
        <v>-24668.400000000023</v>
      </c>
      <c r="I4" s="15">
        <f>IFERROR(H4/G4, "")</f>
        <v>-3.6813924953222277E-2</v>
      </c>
      <c r="J4" s="48" t="s">
        <v>30</v>
      </c>
      <c r="K4" s="48" t="s">
        <v>31</v>
      </c>
    </row>
    <row r="5" spans="1:11" ht="14.45">
      <c r="A5" s="20"/>
      <c r="B5" s="29"/>
      <c r="C5" s="20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0"/>
      <c r="H5" s="20" t="str">
        <f t="shared" ref="H5" si="2">IF(AND(ISNUMBER(C5),ISNUMBER(G5)), C5-G5, "")</f>
        <v/>
      </c>
      <c r="I5" s="21" t="str">
        <f t="shared" ref="I5:I6" si="3">IFERROR(H5/G5, "")</f>
        <v/>
      </c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 t="str">
        <f t="shared" si="3"/>
        <v/>
      </c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I4:I5 I7:I75">
    <cfRule type="cellIs" dxfId="24" priority="51" stopIfTrue="1" operator="lessThanOrEqual">
      <formula>-0.1</formula>
    </cfRule>
    <cfRule type="expression" dxfId="23" priority="52">
      <formula>AND(ISNUMBER(F2), F2&gt;=0.1)</formula>
    </cfRule>
  </conditionalFormatting>
  <conditionalFormatting sqref="F4:F75">
    <cfRule type="cellIs" dxfId="22" priority="17" stopIfTrue="1" operator="lessThanOrEqual">
      <formula>-0.1</formula>
    </cfRule>
    <cfRule type="expression" dxfId="21" priority="18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1"/>
  <sheetViews>
    <sheetView tabSelected="1" zoomScale="90" zoomScaleNormal="90" workbookViewId="0">
      <pane xSplit="2" ySplit="3" topLeftCell="C4" activePane="bottomRight" state="frozen"/>
      <selection pane="bottomRight" activeCell="N13" sqref="N13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0.140625" bestFit="1" customWidth="1"/>
  </cols>
  <sheetData>
    <row r="1" spans="1:12" ht="19.5" customHeight="1">
      <c r="A1" s="54" t="str" cm="1">
        <f t="array" ref="A1">portfolio</f>
        <v>Bradford - 256 Presidential Dr</v>
      </c>
      <c r="B1" s="54"/>
      <c r="C1" s="54"/>
      <c r="D1" s="55" t="s">
        <v>32</v>
      </c>
      <c r="E1" s="55"/>
      <c r="F1" s="55"/>
      <c r="G1" s="53" t="s">
        <v>33</v>
      </c>
      <c r="H1" s="53"/>
      <c r="I1" s="53"/>
      <c r="J1" s="4"/>
      <c r="K1" s="4"/>
    </row>
    <row r="2" spans="1:12" ht="19.5" customHeight="1">
      <c r="A2" s="56" t="s">
        <v>2</v>
      </c>
      <c r="B2" s="56"/>
      <c r="C2" s="5">
        <f>SUM(C4:C79)</f>
        <v>627769</v>
      </c>
      <c r="D2" s="5">
        <f>SUM(D4:D79)</f>
        <v>0</v>
      </c>
      <c r="E2" s="5">
        <f>C2-D2</f>
        <v>627769</v>
      </c>
      <c r="F2" s="6">
        <f>IFERROR(E2/D2, 0)</f>
        <v>0</v>
      </c>
      <c r="G2" s="5">
        <f>SUM(G4:G79)</f>
        <v>0</v>
      </c>
      <c r="H2" s="7">
        <f>C2-G2</f>
        <v>627769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69.75" customHeight="1">
      <c r="A4" s="46" t="str" cm="1">
        <f t="array" ref="A4">Sites[Site]</f>
        <v>Bradford - 256 Presidential Dr</v>
      </c>
      <c r="B4" s="27" t="str" cm="1">
        <f t="array" ref="B4">Sites[State]</f>
        <v>MA</v>
      </c>
      <c r="C4" s="23">
        <v>627769</v>
      </c>
      <c r="D4" s="12" t="s">
        <v>34</v>
      </c>
      <c r="E4" s="12" t="str">
        <f>IF(AND(ISNUMBER(C4),ISNUMBER(D4)), C4-D4, "")</f>
        <v/>
      </c>
      <c r="F4" s="13" t="str">
        <f>IFERROR(E4/D4, "")</f>
        <v/>
      </c>
      <c r="G4" s="14" t="s">
        <v>34</v>
      </c>
      <c r="H4" s="14" t="str">
        <f>IF(AND(ISNUMBER(C4),ISNUMBER(G4)), C4-G4, "")</f>
        <v/>
      </c>
      <c r="I4" s="15" t="str">
        <f>IFERROR(H4/G4, "")</f>
        <v/>
      </c>
      <c r="J4" s="36" t="s">
        <v>35</v>
      </c>
      <c r="K4" s="51" t="s">
        <v>36</v>
      </c>
      <c r="L4" s="52" t="s">
        <v>37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534" xr:uid="{9F4544DE-F4D5-4C0D-954C-98F594C0C685}"/>
    <hyperlink ref="L4" r:id="rId2" display="https://us3.assetplanner.com/service_request?ID=101357" xr:uid="{3382B965-C0B7-4055-BD0B-3F914A77C14E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H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38</v>
      </c>
      <c r="E1" s="55"/>
      <c r="F1" s="55"/>
      <c r="G1" s="53" t="s">
        <v>39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40</v>
      </c>
      <c r="E1" s="55"/>
      <c r="F1" s="55"/>
      <c r="G1" s="53" t="s">
        <v>41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42</v>
      </c>
      <c r="E1" s="55"/>
      <c r="F1" s="55"/>
      <c r="G1" s="53" t="s">
        <v>43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44</v>
      </c>
      <c r="E1" s="55"/>
      <c r="F1" s="55"/>
      <c r="G1" s="53" t="s">
        <v>45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46</v>
      </c>
      <c r="E1" s="55"/>
      <c r="F1" s="55"/>
      <c r="G1" s="53" t="s">
        <v>47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48</v>
      </c>
      <c r="E1" s="55"/>
      <c r="F1" s="55"/>
      <c r="G1" s="53" t="s">
        <v>49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50</v>
      </c>
      <c r="E1" s="55"/>
      <c r="F1" s="55"/>
      <c r="G1" s="53" t="s">
        <v>51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C23" sqref="C23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Bradford - 256 Presidential Dr</v>
      </c>
      <c r="B1" s="54"/>
      <c r="C1" s="54"/>
      <c r="D1" s="55" t="s">
        <v>52</v>
      </c>
      <c r="E1" s="55"/>
      <c r="F1" s="55"/>
      <c r="G1" s="53" t="s">
        <v>53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Bradford - 256 Presidential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20" sqref="E2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42" t="s">
        <v>59</v>
      </c>
      <c r="B4" t="s">
        <v>55</v>
      </c>
      <c r="C4" s="40" t="s">
        <v>60</v>
      </c>
      <c r="D4" s="39" t="s">
        <v>61</v>
      </c>
      <c r="E4" t="s">
        <v>62</v>
      </c>
      <c r="G4" s="3"/>
    </row>
    <row r="5" spans="1:12" ht="12.75" customHeight="1">
      <c r="A5" s="42"/>
      <c r="C5" s="40"/>
      <c r="D5" s="39"/>
      <c r="K5" s="37"/>
      <c r="L5" s="37"/>
    </row>
    <row r="6" spans="1:12" ht="12.75" customHeight="1">
      <c r="A6" s="42"/>
      <c r="C6" s="40"/>
      <c r="D6" s="39"/>
      <c r="K6" s="37"/>
      <c r="L6" s="37"/>
    </row>
    <row r="7" spans="1:12" ht="12.75" customHeight="1">
      <c r="A7" s="42"/>
      <c r="C7" s="40"/>
      <c r="D7" s="39"/>
    </row>
    <row r="8" spans="1:12" ht="12.75" customHeight="1">
      <c r="A8" s="42"/>
      <c r="C8" s="40"/>
      <c r="D8" s="39"/>
      <c r="K8" s="37"/>
      <c r="L8" s="37"/>
    </row>
    <row r="9" spans="1:12" ht="12.75" customHeight="1">
      <c r="A9" s="42"/>
      <c r="C9" s="40"/>
      <c r="D9" s="39"/>
    </row>
    <row r="10" spans="1:12" ht="12.75" customHeight="1">
      <c r="A10" s="42"/>
      <c r="C10" s="40"/>
      <c r="D10" s="39"/>
      <c r="K10" s="37"/>
      <c r="L10" s="37"/>
    </row>
    <row r="11" spans="1:12" ht="12.75" customHeight="1">
      <c r="A11" s="42"/>
      <c r="C11" s="40"/>
      <c r="D11" s="39"/>
      <c r="K11" s="37"/>
      <c r="L11" s="37"/>
    </row>
    <row r="12" spans="1:12" ht="12.75" customHeight="1">
      <c r="A12" s="42"/>
      <c r="C12" s="40"/>
      <c r="D12" s="39"/>
      <c r="K12" s="37"/>
      <c r="L12" s="37"/>
    </row>
    <row r="13" spans="1:12" ht="12.75" customHeight="1">
      <c r="A13" s="42"/>
      <c r="C13" s="40"/>
      <c r="D13" s="39"/>
      <c r="K13" s="37"/>
      <c r="L13" s="37"/>
    </row>
    <row r="14" spans="1:12" ht="12.75" customHeight="1">
      <c r="A14" s="42"/>
      <c r="C14" s="40"/>
      <c r="D14" s="39"/>
      <c r="K14" s="37"/>
      <c r="L14" s="37"/>
    </row>
    <row r="15" spans="1:12" ht="12.75" customHeight="1">
      <c r="A15" s="42"/>
      <c r="C15" s="40"/>
      <c r="D15" s="39"/>
      <c r="K15" s="37"/>
      <c r="L15" s="37"/>
    </row>
    <row r="16" spans="1:12" ht="12.75" customHeight="1">
      <c r="A16" s="42"/>
      <c r="C16" s="40"/>
      <c r="D16" s="39"/>
      <c r="K16" s="37"/>
      <c r="L16" s="37"/>
    </row>
    <row r="17" spans="1:12" ht="12.75" customHeight="1">
      <c r="A17" s="42"/>
      <c r="C17" s="40"/>
      <c r="D17" s="39"/>
      <c r="K17" s="37"/>
      <c r="L17" s="37"/>
    </row>
    <row r="18" spans="1:12" ht="12.75" customHeight="1">
      <c r="A18" s="42"/>
      <c r="C18" s="40"/>
      <c r="D18" s="39"/>
      <c r="K18" s="37"/>
      <c r="L18" s="37"/>
    </row>
    <row r="19" spans="1:12" ht="12.75" customHeight="1">
      <c r="A19" s="42"/>
      <c r="C19" s="40"/>
      <c r="D19" s="39"/>
      <c r="K19" s="37"/>
      <c r="L19" s="37"/>
    </row>
    <row r="20" spans="1:12" ht="12.75" customHeight="1">
      <c r="A20" s="42"/>
      <c r="C20" s="40"/>
      <c r="D20" s="39"/>
      <c r="K20" s="37"/>
      <c r="L20" s="37"/>
    </row>
    <row r="21" spans="1:12" ht="12.75" customHeight="1">
      <c r="K21" s="37"/>
      <c r="L21" s="37"/>
    </row>
    <row r="22" spans="1:12" ht="12.75" customHeight="1">
      <c r="K22" s="37"/>
      <c r="L22" s="37"/>
    </row>
    <row r="23" spans="1:12" ht="12.75" customHeight="1">
      <c r="K23" s="37"/>
      <c r="L23" s="37"/>
    </row>
    <row r="24" spans="1:12" ht="12.75" customHeight="1">
      <c r="K24" s="37"/>
      <c r="L24" s="37"/>
    </row>
    <row r="25" spans="1:12" ht="12.75" customHeight="1">
      <c r="K25" s="37"/>
      <c r="L25" s="37"/>
    </row>
    <row r="26" spans="1:12" ht="12.75" customHeight="1">
      <c r="K26" s="37"/>
      <c r="L26" s="37"/>
    </row>
    <row r="27" spans="1:12" ht="12.75" customHeight="1">
      <c r="K27" s="37"/>
      <c r="L27" s="37"/>
    </row>
    <row r="28" spans="1:12" ht="12.75" customHeight="1">
      <c r="K28" s="37"/>
      <c r="L28" s="37"/>
    </row>
    <row r="29" spans="1:12" ht="12.75" customHeight="1">
      <c r="K29" s="37"/>
      <c r="L29" s="37"/>
    </row>
    <row r="30" spans="1:12" ht="12.75" customHeight="1">
      <c r="K30" s="37"/>
      <c r="L30" s="37"/>
    </row>
    <row r="31" spans="1:12" ht="12.75" customHeight="1">
      <c r="K31" s="37"/>
      <c r="L31" s="3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F03AEBE5-6222-48D0-A90A-CF5C3CC01C2D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2025-05-13T12:12:32Z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