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B29FA625-4365-406A-8040-AD95F7ADEBCF}" xr6:coauthVersionLast="47" xr6:coauthVersionMax="47" xr10:uidLastSave="{B17014D5-BF59-4A4C-A7C8-A0B6BCEE089D}"/>
  <bookViews>
    <workbookView xWindow="28680" yWindow="-12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30" l="1"/>
  <c r="I19" i="30"/>
  <c r="I20" i="30"/>
  <c r="G21" i="30"/>
  <c r="E21" i="30"/>
  <c r="D21" i="30"/>
  <c r="C21" i="30"/>
  <c r="H21" i="29"/>
  <c r="G21" i="29"/>
  <c r="E21" i="29"/>
  <c r="D21" i="29"/>
  <c r="C21" i="29"/>
  <c r="I17" i="18"/>
  <c r="I18" i="18"/>
  <c r="I19" i="18"/>
  <c r="I20" i="18"/>
  <c r="I21" i="18"/>
  <c r="F14" i="18"/>
  <c r="F15" i="18"/>
  <c r="F16" i="18"/>
  <c r="F17" i="18"/>
  <c r="F18" i="18"/>
  <c r="F19" i="18"/>
  <c r="F20" i="18"/>
  <c r="F21" i="18"/>
  <c r="G21" i="18"/>
  <c r="D21" i="18"/>
  <c r="C21" i="18"/>
  <c r="E21" i="18" s="1"/>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G21" i="34"/>
  <c r="C21" i="1"/>
  <c r="C21" i="34"/>
  <c r="E21" i="1"/>
  <c r="D21" i="1"/>
  <c r="F21" i="1"/>
  <c r="I21" i="1"/>
  <c r="E19" i="1"/>
  <c r="E20" i="1"/>
  <c r="D21" i="34"/>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E21" i="34"/>
  <c r="F21" i="34"/>
  <c r="H20" i="29"/>
  <c r="G20" i="29"/>
  <c r="I20" i="29"/>
  <c r="D20" i="29"/>
  <c r="C20" i="29"/>
  <c r="E20" i="29"/>
  <c r="F20" i="29"/>
  <c r="G20" i="30"/>
  <c r="D20" i="30"/>
  <c r="C20" i="30"/>
  <c r="H18" i="1"/>
  <c r="H19" i="1"/>
  <c r="H20" i="1"/>
  <c r="G18" i="1"/>
  <c r="G19" i="1"/>
  <c r="I19" i="1"/>
  <c r="G20" i="1"/>
  <c r="D20" i="1"/>
  <c r="C20" i="1"/>
  <c r="H18" i="18"/>
  <c r="H19" i="18"/>
  <c r="H20" i="18"/>
  <c r="G18" i="18"/>
  <c r="G18" i="34" s="1"/>
  <c r="G19" i="18"/>
  <c r="G20" i="18"/>
  <c r="G20" i="34" s="1"/>
  <c r="D18" i="18"/>
  <c r="D19" i="18"/>
  <c r="D20" i="18"/>
  <c r="D20" i="34" s="1"/>
  <c r="C18" i="18"/>
  <c r="C19" i="18"/>
  <c r="C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4" i="30"/>
  <c r="H18" i="31"/>
  <c r="I18" i="31"/>
  <c r="H19" i="31"/>
  <c r="I19" i="31"/>
  <c r="F18" i="31"/>
  <c r="E18" i="31"/>
  <c r="E19" i="31"/>
  <c r="F19" i="31"/>
  <c r="E5" i="28"/>
  <c r="F5" i="28"/>
  <c r="E5" i="27"/>
  <c r="D18" i="30"/>
  <c r="D19" i="30"/>
  <c r="C18" i="30"/>
  <c r="C19" i="30"/>
  <c r="D18" i="1"/>
  <c r="D19" i="1"/>
  <c r="C18" i="1"/>
  <c r="C19" i="1"/>
  <c r="H19" i="29"/>
  <c r="I19" i="29"/>
  <c r="G18" i="29"/>
  <c r="G19" i="29"/>
  <c r="D18" i="29"/>
  <c r="E18" i="29"/>
  <c r="D19" i="29"/>
  <c r="E19" i="29"/>
  <c r="F19" i="29"/>
  <c r="C18" i="29"/>
  <c r="C19" i="29"/>
  <c r="H19" i="28"/>
  <c r="I19" i="28"/>
  <c r="E19" i="28"/>
  <c r="F19" i="28"/>
  <c r="H18" i="28"/>
  <c r="E18" i="28"/>
  <c r="F18" i="28"/>
  <c r="G5" i="29"/>
  <c r="G6" i="29"/>
  <c r="G7" i="29"/>
  <c r="G8" i="29"/>
  <c r="G9" i="29"/>
  <c r="G10" i="29"/>
  <c r="G11" i="29"/>
  <c r="G12" i="29"/>
  <c r="G13" i="29"/>
  <c r="G14" i="29"/>
  <c r="G15" i="29"/>
  <c r="G16" i="29"/>
  <c r="G17" i="29"/>
  <c r="G4" i="29"/>
  <c r="H15" i="26"/>
  <c r="E15" i="26"/>
  <c r="H14" i="26"/>
  <c r="E14" i="26"/>
  <c r="E12" i="19"/>
  <c r="E13" i="19"/>
  <c r="E14" i="19"/>
  <c r="E15" i="19"/>
  <c r="E5" i="20"/>
  <c r="G5" i="18"/>
  <c r="G6" i="18"/>
  <c r="G6" i="34" s="1"/>
  <c r="G7" i="18"/>
  <c r="G8" i="18"/>
  <c r="G9" i="18"/>
  <c r="G10" i="18"/>
  <c r="G10" i="34" s="1"/>
  <c r="G11" i="18"/>
  <c r="G12" i="18"/>
  <c r="G13" i="18"/>
  <c r="G14" i="18"/>
  <c r="G15" i="18"/>
  <c r="G15" i="34" s="1"/>
  <c r="G16" i="18"/>
  <c r="G17" i="18"/>
  <c r="G4" i="18"/>
  <c r="G4" i="34" s="1"/>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D17" i="34" s="1"/>
  <c r="I18" i="1"/>
  <c r="I20" i="1"/>
  <c r="E18" i="1"/>
  <c r="F18" i="1"/>
  <c r="F20" i="1"/>
  <c r="F19" i="1"/>
  <c r="H19" i="30"/>
  <c r="H19" i="34"/>
  <c r="H20" i="30"/>
  <c r="H20" i="34"/>
  <c r="H18" i="30"/>
  <c r="F18" i="29"/>
  <c r="C18" i="34"/>
  <c r="E19" i="30"/>
  <c r="F19" i="30"/>
  <c r="C19" i="34"/>
  <c r="E20" i="30"/>
  <c r="F20" i="30"/>
  <c r="E18" i="30"/>
  <c r="F18" i="30"/>
  <c r="I18" i="28"/>
  <c r="H18" i="29"/>
  <c r="I18" i="29"/>
  <c r="E17" i="18"/>
  <c r="C16" i="30"/>
  <c r="D16" i="30"/>
  <c r="C17" i="30"/>
  <c r="D17" i="30"/>
  <c r="C16" i="29"/>
  <c r="D16" i="29"/>
  <c r="C17" i="29"/>
  <c r="D17" i="29"/>
  <c r="E17" i="29"/>
  <c r="F17" i="29"/>
  <c r="C16" i="18"/>
  <c r="D16" i="18"/>
  <c r="E16" i="18" s="1"/>
  <c r="C16" i="1"/>
  <c r="D16" i="1"/>
  <c r="G16" i="1"/>
  <c r="G16" i="34"/>
  <c r="C17" i="1"/>
  <c r="D17" i="1"/>
  <c r="G17" i="1"/>
  <c r="G17" i="34"/>
  <c r="H17" i="32"/>
  <c r="I17" i="32"/>
  <c r="E17" i="32"/>
  <c r="F17" i="32"/>
  <c r="I16" i="32"/>
  <c r="E16" i="32"/>
  <c r="F16" i="32"/>
  <c r="H17" i="31"/>
  <c r="I17" i="31"/>
  <c r="E17" i="31"/>
  <c r="F17" i="31"/>
  <c r="H16" i="31"/>
  <c r="I16" i="31"/>
  <c r="E16" i="31"/>
  <c r="F16" i="31"/>
  <c r="H17" i="28"/>
  <c r="I17" i="28"/>
  <c r="E17" i="28"/>
  <c r="F17" i="28"/>
  <c r="H16" i="28"/>
  <c r="I16" i="28"/>
  <c r="E16" i="28"/>
  <c r="F16" i="28"/>
  <c r="H17" i="27"/>
  <c r="I17" i="27"/>
  <c r="E17" i="27"/>
  <c r="F17" i="27"/>
  <c r="H16" i="27"/>
  <c r="I16" i="27"/>
  <c r="E16" i="27"/>
  <c r="F16" i="27"/>
  <c r="H17" i="26"/>
  <c r="I17" i="26"/>
  <c r="E17" i="26"/>
  <c r="F17" i="26"/>
  <c r="H16" i="26"/>
  <c r="I16" i="26"/>
  <c r="E16" i="26"/>
  <c r="F16" i="26"/>
  <c r="H17" i="19"/>
  <c r="I17" i="19"/>
  <c r="E17" i="19"/>
  <c r="F17" i="19"/>
  <c r="H16" i="19"/>
  <c r="I16" i="19"/>
  <c r="E16" i="19"/>
  <c r="F16" i="19"/>
  <c r="H17" i="20"/>
  <c r="I17" i="20"/>
  <c r="E17" i="20"/>
  <c r="F17" i="20"/>
  <c r="H16" i="20"/>
  <c r="I16" i="20"/>
  <c r="E16" i="20"/>
  <c r="F16" i="20"/>
  <c r="H17" i="21"/>
  <c r="H17" i="18" s="1"/>
  <c r="E17" i="21"/>
  <c r="F17" i="21"/>
  <c r="H16" i="21"/>
  <c r="H16" i="18" s="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7" i="34"/>
  <c r="G8" i="1"/>
  <c r="G8" i="34"/>
  <c r="G9" i="1"/>
  <c r="G9" i="34"/>
  <c r="G10" i="1"/>
  <c r="G11" i="1"/>
  <c r="G11" i="34"/>
  <c r="G12" i="1"/>
  <c r="G12" i="34"/>
  <c r="G13" i="1"/>
  <c r="G13" i="34"/>
  <c r="G14" i="1"/>
  <c r="G14" i="34"/>
  <c r="G15" i="1"/>
  <c r="G5" i="1"/>
  <c r="G5" i="34"/>
  <c r="G4"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D15" i="34" s="1"/>
  <c r="C15" i="18"/>
  <c r="C15" i="34" s="1"/>
  <c r="D14" i="18"/>
  <c r="D14" i="34" s="1"/>
  <c r="C14" i="18"/>
  <c r="C14" i="34" s="1"/>
  <c r="D13" i="18"/>
  <c r="C13" i="18"/>
  <c r="C13" i="34" s="1"/>
  <c r="D12" i="18"/>
  <c r="C12" i="18"/>
  <c r="D11" i="18"/>
  <c r="C11" i="18"/>
  <c r="D10" i="18"/>
  <c r="C10" i="18"/>
  <c r="C10" i="34" s="1"/>
  <c r="D9" i="18"/>
  <c r="D9" i="34" s="1"/>
  <c r="C9" i="18"/>
  <c r="D8" i="18"/>
  <c r="C8" i="18"/>
  <c r="D7" i="18"/>
  <c r="D7" i="34" s="1"/>
  <c r="C7" i="18"/>
  <c r="C7" i="34" s="1"/>
  <c r="D6" i="18"/>
  <c r="D6" i="34" s="1"/>
  <c r="C6" i="18"/>
  <c r="E6" i="18" s="1"/>
  <c r="F6" i="18" s="1"/>
  <c r="D5" i="18"/>
  <c r="C5" i="18"/>
  <c r="D4" i="18"/>
  <c r="D4" i="34" s="1"/>
  <c r="C4" i="18"/>
  <c r="E13" i="29"/>
  <c r="F13" i="29"/>
  <c r="B4" i="30" a="1"/>
  <c r="B4" i="30"/>
  <c r="G2" i="30"/>
  <c r="A1" i="30" a="1"/>
  <c r="A1" i="30"/>
  <c r="B4" i="29" a="1"/>
  <c r="B4" i="29"/>
  <c r="A4" i="29" a="1"/>
  <c r="A4" i="29"/>
  <c r="G2"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D5" i="1"/>
  <c r="D4" i="1"/>
  <c r="B4" i="1" a="1"/>
  <c r="B4" i="1"/>
  <c r="A4" i="1" a="1"/>
  <c r="A4" i="1"/>
  <c r="A1" i="1" a="1"/>
  <c r="A1" i="1"/>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D2" i="31"/>
  <c r="C2" i="31"/>
  <c r="A1" i="31" a="1"/>
  <c r="A1" i="31"/>
  <c r="H15" i="28"/>
  <c r="I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I8" i="28"/>
  <c r="E8" i="28"/>
  <c r="F8" i="28"/>
  <c r="H7" i="28"/>
  <c r="I7" i="28"/>
  <c r="E7" i="28"/>
  <c r="F7" i="28"/>
  <c r="H6" i="28"/>
  <c r="I6" i="28"/>
  <c r="E6" i="28"/>
  <c r="F6" i="28"/>
  <c r="H5" i="28"/>
  <c r="I5" i="28"/>
  <c r="H4" i="28"/>
  <c r="I4" i="28"/>
  <c r="E4" i="28"/>
  <c r="F4" i="28"/>
  <c r="B4" i="28" a="1"/>
  <c r="B4" i="28"/>
  <c r="A4" i="28" a="1"/>
  <c r="A4" i="28"/>
  <c r="G2" i="28"/>
  <c r="D2" i="28"/>
  <c r="C2" i="28"/>
  <c r="A1" i="28" a="1"/>
  <c r="A1" i="28"/>
  <c r="H15" i="27"/>
  <c r="I15" i="27"/>
  <c r="E15" i="27"/>
  <c r="F15" i="27"/>
  <c r="H14" i="27"/>
  <c r="I14" i="27"/>
  <c r="E14" i="27"/>
  <c r="F14" i="27"/>
  <c r="H13" i="27"/>
  <c r="E13" i="27"/>
  <c r="F13" i="27"/>
  <c r="H12" i="27"/>
  <c r="I12" i="27"/>
  <c r="E12" i="27"/>
  <c r="F12" i="27"/>
  <c r="H11" i="27"/>
  <c r="I11" i="27"/>
  <c r="E11" i="27"/>
  <c r="F11" i="27"/>
  <c r="H10" i="27"/>
  <c r="E10" i="27"/>
  <c r="F10" i="27"/>
  <c r="H9" i="27"/>
  <c r="I9" i="27"/>
  <c r="E9" i="27"/>
  <c r="F9" i="27"/>
  <c r="H8" i="27"/>
  <c r="I8" i="27"/>
  <c r="E8" i="27"/>
  <c r="F8" i="27"/>
  <c r="H7" i="27"/>
  <c r="I7" i="27"/>
  <c r="E7" i="27"/>
  <c r="F7" i="27"/>
  <c r="H6" i="27"/>
  <c r="I6" i="27"/>
  <c r="E6" i="27"/>
  <c r="F6" i="27"/>
  <c r="H5" i="27"/>
  <c r="I5" i="27"/>
  <c r="F5" i="27"/>
  <c r="H4" i="27"/>
  <c r="I4" i="27"/>
  <c r="E4" i="27"/>
  <c r="F4" i="27"/>
  <c r="G2" i="27"/>
  <c r="D2" i="27"/>
  <c r="C2" i="27"/>
  <c r="A1" i="27" a="1"/>
  <c r="A1" i="27"/>
  <c r="F15" i="26"/>
  <c r="I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A1" i="26" a="1"/>
  <c r="A1" i="26"/>
  <c r="H15" i="19"/>
  <c r="I15" i="19"/>
  <c r="F15" i="19"/>
  <c r="H14" i="19"/>
  <c r="I14" i="19"/>
  <c r="F14" i="19"/>
  <c r="H13" i="19"/>
  <c r="I13" i="19"/>
  <c r="F13" i="19"/>
  <c r="H12" i="19"/>
  <c r="I12" i="19"/>
  <c r="F12" i="19"/>
  <c r="H11" i="19"/>
  <c r="I11" i="19"/>
  <c r="E11" i="19"/>
  <c r="F11" i="19"/>
  <c r="H10" i="19"/>
  <c r="I10" i="19"/>
  <c r="E10" i="19"/>
  <c r="F10" i="19"/>
  <c r="H9" i="19"/>
  <c r="I9" i="19"/>
  <c r="E9" i="19"/>
  <c r="F9" i="19"/>
  <c r="H8" i="19"/>
  <c r="I8" i="19"/>
  <c r="E8" i="19"/>
  <c r="F8" i="19"/>
  <c r="H7" i="19"/>
  <c r="I7" i="19"/>
  <c r="E7" i="19"/>
  <c r="F7" i="19"/>
  <c r="H6" i="19"/>
  <c r="I6" i="19"/>
  <c r="E6" i="19"/>
  <c r="F6" i="19"/>
  <c r="H5" i="19"/>
  <c r="I5" i="19"/>
  <c r="E5" i="19"/>
  <c r="F5" i="19"/>
  <c r="H4" i="19"/>
  <c r="I4" i="19"/>
  <c r="E4" i="19"/>
  <c r="F4" i="19"/>
  <c r="G2" i="19"/>
  <c r="D2" i="19"/>
  <c r="C2" i="19"/>
  <c r="A1" i="19" a="1"/>
  <c r="A1" i="19"/>
  <c r="H15" i="20"/>
  <c r="I15" i="20"/>
  <c r="E15" i="20"/>
  <c r="F15" i="20"/>
  <c r="H14" i="20"/>
  <c r="I14" i="20"/>
  <c r="E14" i="20"/>
  <c r="F14" i="20"/>
  <c r="H13" i="20"/>
  <c r="I13" i="20"/>
  <c r="E13" i="20"/>
  <c r="F13" i="20"/>
  <c r="H12" i="20"/>
  <c r="I12" i="20"/>
  <c r="E12" i="20"/>
  <c r="F12" i="20"/>
  <c r="H11" i="20"/>
  <c r="I11" i="20"/>
  <c r="E11" i="20"/>
  <c r="F11" i="20"/>
  <c r="H10" i="20"/>
  <c r="I10" i="20"/>
  <c r="E10" i="20"/>
  <c r="F10" i="20"/>
  <c r="H9" i="20"/>
  <c r="I9" i="20"/>
  <c r="E9" i="20"/>
  <c r="F9" i="20"/>
  <c r="H8" i="20"/>
  <c r="I8" i="20"/>
  <c r="E8" i="20"/>
  <c r="F8" i="20"/>
  <c r="H7" i="20"/>
  <c r="I7" i="20"/>
  <c r="E7" i="20"/>
  <c r="F7" i="20"/>
  <c r="H6" i="20"/>
  <c r="I6" i="20"/>
  <c r="E6" i="20"/>
  <c r="F6" i="20"/>
  <c r="H5" i="20"/>
  <c r="I5" i="20"/>
  <c r="F5" i="20"/>
  <c r="H4" i="20"/>
  <c r="I4" i="20"/>
  <c r="E4" i="20"/>
  <c r="F4" i="20"/>
  <c r="G2" i="20"/>
  <c r="D2" i="20"/>
  <c r="C2" i="20"/>
  <c r="A1" i="20" a="1"/>
  <c r="A1" i="20"/>
  <c r="H15" i="21"/>
  <c r="H15" i="18" s="1"/>
  <c r="I15" i="21"/>
  <c r="E15" i="21"/>
  <c r="F15" i="21"/>
  <c r="H14" i="21"/>
  <c r="H14" i="18" s="1"/>
  <c r="I14" i="21"/>
  <c r="E14" i="21"/>
  <c r="F14" i="21"/>
  <c r="H13" i="21"/>
  <c r="H13" i="18" s="1"/>
  <c r="I13" i="21"/>
  <c r="E13" i="21"/>
  <c r="F13" i="21"/>
  <c r="H12" i="21"/>
  <c r="I12" i="21" s="1"/>
  <c r="E12" i="21"/>
  <c r="F12" i="21" s="1"/>
  <c r="H11" i="21"/>
  <c r="I11" i="21" s="1"/>
  <c r="E11" i="21"/>
  <c r="F11" i="21" s="1"/>
  <c r="H10" i="21"/>
  <c r="I10" i="21"/>
  <c r="E10" i="21"/>
  <c r="F10" i="21"/>
  <c r="H9" i="21"/>
  <c r="I9" i="21"/>
  <c r="E9" i="21"/>
  <c r="F9" i="21"/>
  <c r="H8" i="21"/>
  <c r="I8" i="21"/>
  <c r="E8" i="21"/>
  <c r="F8" i="21"/>
  <c r="H7" i="21"/>
  <c r="H7" i="18" s="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C16" i="34"/>
  <c r="C5" i="34"/>
  <c r="D5" i="34"/>
  <c r="D13" i="34"/>
  <c r="C17" i="34"/>
  <c r="H18" i="34"/>
  <c r="D16" i="34"/>
  <c r="I18" i="30"/>
  <c r="D11" i="34"/>
  <c r="C11" i="34"/>
  <c r="E11" i="34"/>
  <c r="F11" i="34"/>
  <c r="D10" i="34"/>
  <c r="D12" i="34"/>
  <c r="C12" i="34"/>
  <c r="C9" i="34"/>
  <c r="D8" i="34"/>
  <c r="C8" i="34"/>
  <c r="E13" i="30"/>
  <c r="F13" i="30"/>
  <c r="E11" i="30"/>
  <c r="F11" i="30"/>
  <c r="E17" i="30"/>
  <c r="F17" i="30"/>
  <c r="E16" i="30"/>
  <c r="F16" i="30"/>
  <c r="H13" i="29"/>
  <c r="I13" i="29"/>
  <c r="H6" i="29"/>
  <c r="I6" i="29"/>
  <c r="E11" i="29"/>
  <c r="F11" i="29"/>
  <c r="E7" i="18"/>
  <c r="F7" i="18"/>
  <c r="E11" i="18"/>
  <c r="F11" i="18" s="1"/>
  <c r="E9" i="18"/>
  <c r="F9" i="18"/>
  <c r="E15" i="30"/>
  <c r="F15" i="30"/>
  <c r="E16" i="29"/>
  <c r="F16" i="29"/>
  <c r="E8" i="30"/>
  <c r="F8" i="30"/>
  <c r="E12" i="30"/>
  <c r="F12" i="30"/>
  <c r="H16" i="30"/>
  <c r="E10" i="30"/>
  <c r="F10" i="30"/>
  <c r="E14" i="30"/>
  <c r="F14" i="30"/>
  <c r="H16" i="1"/>
  <c r="I16" i="1"/>
  <c r="H6" i="30"/>
  <c r="I13" i="27"/>
  <c r="H17" i="1"/>
  <c r="I17" i="1"/>
  <c r="H10" i="29"/>
  <c r="I10" i="29"/>
  <c r="H7" i="29"/>
  <c r="I7" i="29"/>
  <c r="E8" i="18"/>
  <c r="F8" i="18"/>
  <c r="E12" i="18"/>
  <c r="F12" i="18"/>
  <c r="E8" i="29"/>
  <c r="F8" i="29"/>
  <c r="E12" i="29"/>
  <c r="F12" i="29"/>
  <c r="E4" i="30"/>
  <c r="F4" i="30"/>
  <c r="H17" i="30"/>
  <c r="H15" i="29"/>
  <c r="I15" i="29"/>
  <c r="H12" i="29"/>
  <c r="I12" i="29"/>
  <c r="D2" i="29"/>
  <c r="I10" i="27"/>
  <c r="E5" i="18"/>
  <c r="F5" i="18"/>
  <c r="E13" i="18"/>
  <c r="F13" i="18"/>
  <c r="E5" i="29"/>
  <c r="F5" i="29"/>
  <c r="E9" i="29"/>
  <c r="F9" i="29"/>
  <c r="E5" i="30"/>
  <c r="F5" i="30"/>
  <c r="I17" i="21"/>
  <c r="H16" i="29"/>
  <c r="I16" i="29"/>
  <c r="H9" i="29"/>
  <c r="I9" i="29"/>
  <c r="E9" i="30"/>
  <c r="F9" i="30"/>
  <c r="E10" i="18"/>
  <c r="F10" i="18"/>
  <c r="E6" i="29"/>
  <c r="F6" i="29"/>
  <c r="E10" i="29"/>
  <c r="F10" i="29"/>
  <c r="E14" i="29"/>
  <c r="F14" i="29"/>
  <c r="E6" i="30"/>
  <c r="F6" i="30"/>
  <c r="H17" i="29"/>
  <c r="I17" i="29"/>
  <c r="D2" i="30"/>
  <c r="E17" i="1"/>
  <c r="F17" i="1"/>
  <c r="E16" i="1"/>
  <c r="F16" i="1"/>
  <c r="I17" i="72"/>
  <c r="I16" i="72"/>
  <c r="H2" i="33"/>
  <c r="I2" i="33"/>
  <c r="J2" i="33"/>
  <c r="H2" i="32"/>
  <c r="I2" i="32"/>
  <c r="J2" i="32"/>
  <c r="H2" i="31"/>
  <c r="I2" i="31"/>
  <c r="J2" i="31"/>
  <c r="H2" i="28"/>
  <c r="I2" i="28"/>
  <c r="J2" i="28"/>
  <c r="E2" i="28"/>
  <c r="F2" i="28"/>
  <c r="H2" i="27"/>
  <c r="I2" i="27"/>
  <c r="J2" i="27"/>
  <c r="H2" i="26"/>
  <c r="I2" i="26"/>
  <c r="J2" i="26"/>
  <c r="H2" i="19"/>
  <c r="I2" i="19"/>
  <c r="J2" i="19"/>
  <c r="E2" i="20"/>
  <c r="F2" i="20"/>
  <c r="J2" i="20"/>
  <c r="H2" i="20"/>
  <c r="I2" i="20"/>
  <c r="H2" i="4"/>
  <c r="I2" i="4"/>
  <c r="J2" i="4"/>
  <c r="H2" i="3"/>
  <c r="I2" i="3"/>
  <c r="E7" i="1"/>
  <c r="F7" i="1"/>
  <c r="E15" i="1"/>
  <c r="F15" i="1"/>
  <c r="E5" i="34"/>
  <c r="F5" i="34"/>
  <c r="G2" i="1"/>
  <c r="E8" i="1"/>
  <c r="F8" i="1"/>
  <c r="E11" i="1"/>
  <c r="F11" i="1"/>
  <c r="E9" i="1"/>
  <c r="F9" i="1"/>
  <c r="E10" i="1"/>
  <c r="F10" i="1"/>
  <c r="E12" i="1"/>
  <c r="F12" i="1"/>
  <c r="E5" i="1"/>
  <c r="F5" i="1"/>
  <c r="E13" i="1"/>
  <c r="F13" i="1"/>
  <c r="E6" i="1"/>
  <c r="F6" i="1"/>
  <c r="E14" i="1"/>
  <c r="F14" i="1"/>
  <c r="H14" i="30"/>
  <c r="H9" i="30"/>
  <c r="H4" i="30"/>
  <c r="I4" i="30"/>
  <c r="E7" i="30"/>
  <c r="F7" i="30"/>
  <c r="H12" i="30"/>
  <c r="H7" i="30"/>
  <c r="H15" i="30"/>
  <c r="H10" i="30"/>
  <c r="H5" i="30"/>
  <c r="H13" i="30"/>
  <c r="H8" i="30"/>
  <c r="H11" i="30"/>
  <c r="E7" i="29"/>
  <c r="F7" i="29"/>
  <c r="H8" i="29"/>
  <c r="I8" i="29"/>
  <c r="H11" i="29"/>
  <c r="I11" i="29"/>
  <c r="I6" i="26"/>
  <c r="I9" i="26"/>
  <c r="I12" i="26"/>
  <c r="I15" i="26"/>
  <c r="H14" i="29"/>
  <c r="I14" i="29"/>
  <c r="H4" i="29"/>
  <c r="I4" i="29"/>
  <c r="E15" i="29"/>
  <c r="F15" i="29"/>
  <c r="H5" i="29"/>
  <c r="I5" i="29"/>
  <c r="I7" i="26"/>
  <c r="H9" i="18"/>
  <c r="H9" i="34" s="1"/>
  <c r="I9" i="34" s="1"/>
  <c r="I9" i="18"/>
  <c r="H6" i="18"/>
  <c r="H6" i="34" s="1"/>
  <c r="H4" i="18"/>
  <c r="I4" i="18" s="1"/>
  <c r="H10" i="18"/>
  <c r="I10" i="18" s="1"/>
  <c r="C4" i="34"/>
  <c r="H5" i="18"/>
  <c r="I5" i="18"/>
  <c r="H8" i="18"/>
  <c r="H8" i="34" s="1"/>
  <c r="I8" i="34" s="1"/>
  <c r="I8" i="18"/>
  <c r="H11" i="18"/>
  <c r="H11" i="34" s="1"/>
  <c r="I11" i="18"/>
  <c r="C2" i="29"/>
  <c r="C2" i="30"/>
  <c r="E4" i="29"/>
  <c r="F4" i="29"/>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33"/>
  <c r="F2" i="33"/>
  <c r="E2" i="32"/>
  <c r="F2" i="32"/>
  <c r="E2" i="31"/>
  <c r="F2" i="31"/>
  <c r="E2" i="27"/>
  <c r="F2" i="27"/>
  <c r="E2" i="26"/>
  <c r="F2" i="26"/>
  <c r="E2" i="19"/>
  <c r="F2" i="19"/>
  <c r="E2" i="4"/>
  <c r="F2" i="4"/>
  <c r="H2" i="72"/>
  <c r="E8" i="34"/>
  <c r="F8" i="34"/>
  <c r="I5" i="30"/>
  <c r="H5" i="34"/>
  <c r="I5" i="34"/>
  <c r="I15" i="30"/>
  <c r="I14" i="30"/>
  <c r="I13" i="30"/>
  <c r="I17" i="30"/>
  <c r="I16" i="30"/>
  <c r="I11" i="30"/>
  <c r="I10" i="30"/>
  <c r="I9" i="30"/>
  <c r="I8" i="30"/>
  <c r="I7" i="30"/>
  <c r="I12" i="30"/>
  <c r="I6" i="30"/>
  <c r="E2" i="29"/>
  <c r="F2" i="29"/>
  <c r="H2" i="1"/>
  <c r="I2" i="1"/>
  <c r="I4" i="1"/>
  <c r="H2" i="29"/>
  <c r="I2" i="29"/>
  <c r="H2" i="30"/>
  <c r="I2" i="30"/>
  <c r="E2" i="30"/>
  <c r="F2" i="30"/>
  <c r="E2" i="1"/>
  <c r="F2" i="1"/>
  <c r="I2" i="72"/>
  <c r="E2" i="72"/>
  <c r="F2" i="72"/>
  <c r="E12" i="34" l="1"/>
  <c r="F12" i="34" s="1"/>
  <c r="E16" i="34"/>
  <c r="F16" i="34" s="1"/>
  <c r="E9" i="34"/>
  <c r="F9" i="34" s="1"/>
  <c r="E18" i="18"/>
  <c r="H21" i="18"/>
  <c r="I21" i="21"/>
  <c r="I18" i="34"/>
  <c r="I20" i="34"/>
  <c r="E17" i="34"/>
  <c r="F17" i="34" s="1"/>
  <c r="H17" i="34"/>
  <c r="I17" i="34" s="1"/>
  <c r="H16" i="34"/>
  <c r="I16" i="34" s="1"/>
  <c r="I16" i="18"/>
  <c r="I11" i="34"/>
  <c r="E14" i="18"/>
  <c r="E14" i="34"/>
  <c r="F14" i="34" s="1"/>
  <c r="H14" i="34"/>
  <c r="I14" i="34" s="1"/>
  <c r="I14" i="18"/>
  <c r="E13" i="34"/>
  <c r="F13" i="34" s="1"/>
  <c r="I13" i="18"/>
  <c r="H13" i="34"/>
  <c r="I13" i="34" s="1"/>
  <c r="H10" i="34"/>
  <c r="I10" i="34" s="1"/>
  <c r="E10" i="34"/>
  <c r="F10" i="34" s="1"/>
  <c r="H12" i="18"/>
  <c r="I12" i="18" s="1"/>
  <c r="D18" i="34"/>
  <c r="E18" i="34" s="1"/>
  <c r="F18" i="34" s="1"/>
  <c r="D2" i="18"/>
  <c r="E20" i="18"/>
  <c r="C20" i="34"/>
  <c r="E20" i="34" s="1"/>
  <c r="F20" i="34" s="1"/>
  <c r="E7" i="34"/>
  <c r="F7" i="34" s="1"/>
  <c r="H7" i="34"/>
  <c r="I7" i="34" s="1"/>
  <c r="I7" i="18"/>
  <c r="I6" i="18"/>
  <c r="I6" i="34"/>
  <c r="C6" i="34"/>
  <c r="E6" i="34" s="1"/>
  <c r="F6" i="34" s="1"/>
  <c r="G19" i="34"/>
  <c r="I19" i="34" s="1"/>
  <c r="D19" i="34"/>
  <c r="E19" i="34" s="1"/>
  <c r="F19" i="34" s="1"/>
  <c r="E19" i="18"/>
  <c r="E2" i="21"/>
  <c r="F2" i="21" s="1"/>
  <c r="E15" i="34"/>
  <c r="F15" i="34" s="1"/>
  <c r="H15" i="34"/>
  <c r="I15" i="34" s="1"/>
  <c r="I15" i="18"/>
  <c r="E15" i="18"/>
  <c r="H2" i="21"/>
  <c r="I2" i="21" s="1"/>
  <c r="C2" i="18"/>
  <c r="G2" i="18"/>
  <c r="H4" i="34"/>
  <c r="I4" i="34" s="1"/>
  <c r="E4" i="34"/>
  <c r="F4" i="34" s="1"/>
  <c r="E4" i="18"/>
  <c r="F4" i="18" s="1"/>
  <c r="H21" i="34" l="1"/>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<sst xmlns="http://schemas.openxmlformats.org/spreadsheetml/2006/main" count="489" uniqueCount="238">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</sst>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
      <sz val="11"/>
      <color rgb="FF000000"/>
      <name val="Calibri"/>
    </font>
    <font>
      <b/>
      <sz val="11"/>
      <color rgb="FF000000"/>
      <name val="Calibri"/>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2">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0" fontId="39" fillId="0" borderId="0" xfId="0" applyFont="1"/>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0" fontId="39" fillId="0" borderId="0" xfId="0" applyFont="1" applyAlignment="1">
      <alignment horizontal="left" vertical="top" wrapText="1"/>
    </xf>
    <xf numFmtId="49" fontId="40" fillId="0" borderId="1" xfId="0" applyNumberFormat="1" applyFont="1" applyBorder="1" applyAlignment="1">
      <alignment horizontal="left" vertical="top" wrapText="1"/>
    </xf>
    <xf numFmtId="164" fontId="33" fillId="0" borderId="0" xfId="0" applyNumberFormat="1"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1" totalsRowShown="0">
  <autoFilter ref="A3:E21"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E26" sqref="E2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Catalyze</v>
      </c>
      <c r="B1" s="99"/>
      <c r="C1" s="99"/>
      <c r="D1" s="100" t="s">
        <v>0</v>
      </c>
      <c r="E1" s="100"/>
      <c r="F1" s="100"/>
      <c r="G1" s="98" t="s">
        <v>1</v>
      </c>
      <c r="H1" s="98"/>
      <c r="I1" s="98"/>
    </row>
    <row r="2" spans="1:9" ht="19.5" customHeight="1">
      <c r="A2" s="101" t="s">
        <v>2</v>
      </c>
      <c r="B2" s="101"/>
      <c r="C2" s="5">
        <f>SUM(C4:C92)</f>
        <v>13433337.900416978</v>
      </c>
      <c r="D2" s="5">
        <f>SUM(D4:D92)</f>
        <v>15240883.065499999</v>
      </c>
      <c r="E2" s="5">
        <f>C2-D2</f>
        <v>-1807545.1650830209</v>
      </c>
      <c r="F2" s="6">
        <f>IFERROR(E2/D2, 0)</f>
        <v>-0.11859845373229506</v>
      </c>
      <c r="G2" s="5">
        <f>SUM(G4:G92)</f>
        <v>15816759.706999999</v>
      </c>
      <c r="H2" s="7">
        <f>C2-G2</f>
        <v>-2383421.8065830208</v>
      </c>
      <c r="I2" s="6">
        <f>IFERROR(H2/G2, 0)</f>
        <v>-0.15068963875882832</v>
      </c>
    </row>
    <row r="3" spans="1:9" ht="14.25" customHeight="1">
      <c r="A3" s="17" t="s">
        <v>3</v>
      </c>
      <c r="B3" s="17" t="s">
        <v>4</v>
      </c>
      <c r="C3" s="25" t="s">
        <v>5</v>
      </c>
      <c r="D3" s="26" t="s">
        <v>6</v>
      </c>
      <c r="E3" s="26" t="s">
        <v>7</v>
      </c>
      <c r="F3" s="27" t="s">
        <v>8</v>
      </c>
      <c r="G3" s="28" t="s">
        <v>9</v>
      </c>
      <c r="H3" s="29" t="s">
        <v>7</v>
      </c>
      <c r="I3" s="30" t="s">
        <v>8</v>
      </c>
    </row>
    <row r="4" spans="1:9" ht="15.6">
      <c r="A4" s="32" t="str" cm="1">
        <f t="array" ref="A4:A21">Sites[Site]</f>
        <v>Fresno - 3150 Shaw Ave</v>
      </c>
      <c r="B4" s="33" t="str" cm="1">
        <f t="array" ref="B4:B21">Sites[State]</f>
        <v>CA</v>
      </c>
      <c r="C4" s="34">
        <f>SUM('1st Qtr'!C4, '2nd Qtr'!C4, '3rd Qtr'!C4, '4th Qtr'!C4)</f>
        <v>291930.25</v>
      </c>
      <c r="D4" s="35">
        <f>SUM('1st Qtr'!D4, '2nd Qtr'!D4, '3rd Qtr'!D4, '4th Qtr'!D4)</f>
        <v>281534.07999999996</v>
      </c>
      <c r="E4" s="35">
        <f>IF(AND(ISNUMBER(C4),ISNUMBER(D4)), C4-D4, "")</f>
        <v>10396.170000000042</v>
      </c>
      <c r="F4" s="36">
        <f>IFERROR(E4/D4, "")</f>
        <v>3.6926861572140902E-2</v>
      </c>
      <c r="G4" s="37">
        <f>SUM('1st Qtr'!G4, '2nd Qtr'!G4, '3rd Qtr'!G4, '4th Qtr'!G4)</f>
        <v>319369.65999999997</v>
      </c>
      <c r="H4" s="37">
        <f>SUM('1st Qtr'!H4, '2nd Qtr'!H4, '3rd Qtr'!H4, '4th Qtr'!H4)</f>
        <v>-27439.410000000003</v>
      </c>
      <c r="I4" s="38">
        <f>IFERROR(H4/G4, "")</f>
        <v>-8.5917397413392382E-2</v>
      </c>
    </row>
    <row r="5" spans="1:9" ht="15.6">
      <c r="A5" s="39" t="str">
        <v>Adelanto - 1 Sheep Creek Road</v>
      </c>
      <c r="B5" s="40" t="str">
        <v>CA</v>
      </c>
      <c r="C5" s="41">
        <f>SUM('1st Qtr'!C5, '2nd Qtr'!C5, '3rd Qtr'!C5, '4th Qtr'!C5)</f>
        <v>2373649</v>
      </c>
      <c r="D5" s="41">
        <f>SUM('1st Qtr'!D5, '2nd Qtr'!D5, '3rd Qtr'!D5, '4th Qtr'!D5)</f>
        <v>1228232.6875</v>
      </c>
      <c r="E5" s="42">
        <f t="shared" ref="E5:E15" si="0">IF(AND(ISNUMBER(C5),ISNUMBER(D5)), C5-D5, "")</f>
        <v>1145416.3125</v>
      </c>
      <c r="F5" s="43">
        <f>IFERROR(E5/D5, "")</f>
        <v>0.93257273166327448</v>
      </c>
      <c r="G5" s="44">
        <f>SUM('1st Qtr'!G5, '2nd Qtr'!G5, '3rd Qtr'!G5, '4th Qtr'!G5)</f>
        <v>1729663.7399999998</v>
      </c>
      <c r="H5" s="44">
        <f>SUM('1st Qtr'!H5, '2nd Qtr'!H5, '3rd Qtr'!H5, '4th Qtr'!H5)</f>
        <v>-142320.74</v>
      </c>
      <c r="I5" s="43">
        <f>IFERROR(H5/G5, "")</f>
        <v>-8.2282316908603298E-2</v>
      </c>
    </row>
    <row r="6" spans="1:9" ht="15.6">
      <c r="A6" s="32" t="str">
        <v>Blackstone - 83 Federal Street</v>
      </c>
      <c r="B6" s="33" t="str">
        <v>MA</v>
      </c>
      <c r="C6" s="34">
        <f>SUM('1st Qtr'!C6, '2nd Qtr'!C6, '3rd Qtr'!C6, '4th Qtr'!C6)</f>
        <v>1677975.3</v>
      </c>
      <c r="D6" s="35">
        <f>SUM('1st Qtr'!D6, '2nd Qtr'!D6, '3rd Qtr'!D6, '4th Qtr'!D6)</f>
        <v>2388153.2000000002</v>
      </c>
      <c r="E6" s="35">
        <f t="shared" si="0"/>
        <v>-710177.90000000014</v>
      </c>
      <c r="F6" s="36">
        <f t="shared" ref="F6:F15" si="1">IFERROR(E6/D6, "")</f>
        <v>-0.29737535263650594</v>
      </c>
      <c r="G6" s="37">
        <f>SUM('1st Qtr'!G6, '2nd Qtr'!G6, '3rd Qtr'!G6, '4th Qtr'!G6)</f>
        <v>2337925.9</v>
      </c>
      <c r="H6" s="37">
        <f>SUM('1st Qtr'!H6, '2nd Qtr'!H6, '3rd Qtr'!H6, '4th Qtr'!H6)</f>
        <v>-659950.59999999986</v>
      </c>
      <c r="I6" s="38">
        <f t="shared" ref="I6:I15" si="2">IFERROR(H6/G6, "")</f>
        <v>-0.28228037509657594</v>
      </c>
    </row>
    <row r="7" spans="1:9" ht="15.6">
      <c r="A7" s="39" t="str">
        <v>Charlton - 299 Worcester Road</v>
      </c>
      <c r="B7" s="40" t="str">
        <v>MA</v>
      </c>
      <c r="C7" s="41">
        <f>SUM('1st Qtr'!C7, '2nd Qtr'!C7, '3rd Qtr'!C7, '4th Qtr'!C7)</f>
        <v>166674.25</v>
      </c>
      <c r="D7" s="41">
        <f>SUM('1st Qtr'!D7, '2nd Qtr'!D7, '3rd Qtr'!D7, '4th Qtr'!D7)</f>
        <v>192839.41</v>
      </c>
      <c r="E7" s="42">
        <f t="shared" si="0"/>
        <v>-26165.160000000003</v>
      </c>
      <c r="F7" s="43">
        <f t="shared" si="1"/>
        <v>-0.13568367586272953</v>
      </c>
      <c r="G7" s="44">
        <f>SUM('1st Qtr'!G7, '2nd Qtr'!G7, '3rd Qtr'!G7, '4th Qtr'!G7)</f>
        <v>191791.81</v>
      </c>
      <c r="H7" s="44">
        <f>SUM('1st Qtr'!H7, '2nd Qtr'!H7, '3rd Qtr'!H7, '4th Qtr'!H7)</f>
        <v>-25117.560000000005</v>
      </c>
      <c r="I7" s="43">
        <f t="shared" si="2"/>
        <v>-0.13096263078178366</v>
      </c>
    </row>
    <row r="8" spans="1:9" ht="15.6">
      <c r="A8" s="32" t="str">
        <v>Wareham - 8 Thatcher Drive</v>
      </c>
      <c r="B8" s="33" t="str">
        <v>MA</v>
      </c>
      <c r="C8" s="34">
        <f>SUM('1st Qtr'!C8, '2nd Qtr'!C8, '3rd Qtr'!C8, '4th Qtr'!C8)</f>
        <v>48696.25</v>
      </c>
      <c r="D8" s="35">
        <f>SUM('1st Qtr'!D8, '2nd Qtr'!D8, '3rd Qtr'!D8, '4th Qtr'!D8)</f>
        <v>52204.657999999996</v>
      </c>
      <c r="E8" s="35">
        <f t="shared" si="0"/>
        <v>-3508.4079999999958</v>
      </c>
      <c r="F8" s="36">
        <f t="shared" si="1"/>
        <v>-6.7204884284463584E-2</v>
      </c>
      <c r="G8" s="37">
        <f>SUM('1st Qtr'!G8, '2nd Qtr'!G8, '3rd Qtr'!G8, '4th Qtr'!G8)</f>
        <v>57449.880000000005</v>
      </c>
      <c r="H8" s="37">
        <f>SUM('1st Qtr'!H8, '2nd Qtr'!H8, '3rd Qtr'!H8, '4th Qtr'!H8)</f>
        <v>-8753.6299999999992</v>
      </c>
      <c r="I8" s="38">
        <f t="shared" si="2"/>
        <v>-0.15236985699534966</v>
      </c>
    </row>
    <row r="9" spans="1:9" ht="15.6">
      <c r="A9" s="39" t="str">
        <v>West Yarmouth - 42 Mid Tech</v>
      </c>
      <c r="B9" s="40" t="str">
        <v>MA</v>
      </c>
      <c r="C9" s="41">
        <f>SUM('1st Qtr'!C9, '2nd Qtr'!C9, '3rd Qtr'!C9, '4th Qtr'!C9)</f>
        <v>40081.319328894569</v>
      </c>
      <c r="D9" s="41">
        <f>SUM('1st Qtr'!D9, '2nd Qtr'!D9, '3rd Qtr'!D9, '4th Qtr'!D9)</f>
        <v>46126.380000000005</v>
      </c>
      <c r="E9" s="42">
        <f t="shared" si="0"/>
        <v>-6045.0606711054352</v>
      </c>
      <c r="F9" s="43">
        <f t="shared" si="1"/>
        <v>-0.13105430495749795</v>
      </c>
      <c r="G9" s="44">
        <f>SUM('1st Qtr'!G9, '2nd Qtr'!G9, '3rd Qtr'!G9, '4th Qtr'!G9)</f>
        <v>49859.346999999994</v>
      </c>
      <c r="H9" s="44">
        <f>SUM('1st Qtr'!H9, '2nd Qtr'!H9, '3rd Qtr'!H9, '4th Qtr'!H9)</f>
        <v>-9778.0276711054285</v>
      </c>
      <c r="I9" s="43">
        <f t="shared" si="2"/>
        <v>-0.19611222888870625</v>
      </c>
    </row>
    <row r="10" spans="1:9" ht="15.6">
      <c r="A10" s="32" t="str">
        <v>Harrison - 130 Union Street</v>
      </c>
      <c r="B10" s="33" t="str">
        <v>NY</v>
      </c>
      <c r="C10" s="34">
        <f>SUM('1st Qtr'!C10, '2nd Qtr'!C10, '3rd Qtr'!C10, '4th Qtr'!C10)</f>
        <v>70893.6875</v>
      </c>
      <c r="D10" s="35">
        <f>SUM('1st Qtr'!D10, '2nd Qtr'!D10, '3rd Qtr'!D10, '4th Qtr'!D10)</f>
        <v>80619.77</v>
      </c>
      <c r="E10" s="35">
        <f t="shared" si="0"/>
        <v>-9726.0825000000041</v>
      </c>
      <c r="F10" s="36">
        <f t="shared" si="1"/>
        <v>-0.1206414071883361</v>
      </c>
      <c r="G10" s="37">
        <f>SUM('1st Qtr'!G10, '2nd Qtr'!G10, '3rd Qtr'!G10, '4th Qtr'!G10)</f>
        <v>72430.53</v>
      </c>
      <c r="H10" s="37">
        <f>SUM('1st Qtr'!H10, '2nd Qtr'!H10, '3rd Qtr'!H10, '4th Qtr'!H10)</f>
        <v>-1536.8425000000025</v>
      </c>
      <c r="I10" s="38">
        <f t="shared" si="2"/>
        <v>-2.121815897246648E-2</v>
      </c>
    </row>
    <row r="11" spans="1:9" ht="15.6">
      <c r="A11" s="39" t="str">
        <v>Staten Island - Ellis Storage</v>
      </c>
      <c r="B11" s="40" t="str">
        <v>NY</v>
      </c>
      <c r="C11" s="41">
        <f>SUM('1st Qtr'!C11, '2nd Qtr'!C11, '3rd Qtr'!C11, '4th Qtr'!C11)</f>
        <v>162641.375</v>
      </c>
      <c r="D11" s="41">
        <f>SUM('1st Qtr'!D11, '2nd Qtr'!D11, '3rd Qtr'!D11, '4th Qtr'!D11)</f>
        <v>160827.81</v>
      </c>
      <c r="E11" s="42">
        <f t="shared" si="0"/>
        <v>1813.5650000000023</v>
      </c>
      <c r="F11" s="43">
        <f t="shared" si="1"/>
        <v>1.1276439068591448E-2</v>
      </c>
      <c r="G11" s="44">
        <f>SUM('1st Qtr'!G11, '2nd Qtr'!G11, '3rd Qtr'!G11, '4th Qtr'!G11)</f>
        <v>162275.08000000002</v>
      </c>
      <c r="H11" s="44">
        <f>SUM('1st Qtr'!H11, '2nd Qtr'!H11, '3rd Qtr'!H11, '4th Qtr'!H11)</f>
        <v>366.29499999999825</v>
      </c>
      <c r="I11" s="43">
        <f t="shared" si="2"/>
        <v>2.2572473851191336E-3</v>
      </c>
    </row>
    <row r="12" spans="1:9" ht="15.6">
      <c r="A12" s="32" t="str">
        <v>Amherst - 595 Scholles Road</v>
      </c>
      <c r="B12" s="33" t="str">
        <v>NY</v>
      </c>
      <c r="C12" s="34">
        <f>SUM('1st Qtr'!C12, '2nd Qtr'!C12, '3rd Qtr'!C12, '4th Qtr'!C12)</f>
        <v>1792663.5</v>
      </c>
      <c r="D12" s="35">
        <f>SUM('1st Qtr'!D12, '2nd Qtr'!D12, '3rd Qtr'!D12, '4th Qtr'!D12)</f>
        <v>2310767</v>
      </c>
      <c r="E12" s="35">
        <f t="shared" si="0"/>
        <v>-518103.5</v>
      </c>
      <c r="F12" s="36">
        <f t="shared" si="1"/>
        <v>-0.22421278302831918</v>
      </c>
      <c r="G12" s="37">
        <f>SUM('1st Qtr'!G12, '2nd Qtr'!G12, '3rd Qtr'!G12, '4th Qtr'!G12)</f>
        <v>2325289.0999999996</v>
      </c>
      <c r="H12" s="37">
        <f>SUM('1st Qtr'!H12, '2nd Qtr'!H12, '3rd Qtr'!H12, '4th Qtr'!H12)</f>
        <v>-532625.6</v>
      </c>
      <c r="I12" s="38">
        <f t="shared" si="2"/>
        <v>-0.22905779758740538</v>
      </c>
    </row>
    <row r="13" spans="1:9" ht="15.6">
      <c r="A13" s="39" t="str">
        <v>Lancaster 1 - Gunnville Road</v>
      </c>
      <c r="B13" s="40" t="str">
        <v>NY</v>
      </c>
      <c r="C13" s="41">
        <f>SUM('1st Qtr'!C13, '2nd Qtr'!C13, '3rd Qtr'!C13, '4th Qtr'!C13)</f>
        <v>1661925</v>
      </c>
      <c r="D13" s="41">
        <f>SUM('1st Qtr'!D13, '2nd Qtr'!D13, '3rd Qtr'!D13, '4th Qtr'!D13)</f>
        <v>1939679.8</v>
      </c>
      <c r="E13" s="42">
        <f t="shared" si="0"/>
        <v>-277754.80000000005</v>
      </c>
      <c r="F13" s="43">
        <f t="shared" si="1"/>
        <v>-0.14319621207582819</v>
      </c>
      <c r="G13" s="44">
        <f>SUM('1st Qtr'!G13, '2nd Qtr'!G13, '3rd Qtr'!G13, '4th Qtr'!G13)</f>
        <v>1956948.5000000002</v>
      </c>
      <c r="H13" s="44">
        <f>SUM('1st Qtr'!H13, '2nd Qtr'!H13, '3rd Qtr'!H13, '4th Qtr'!H13)</f>
        <v>-295023.50000000012</v>
      </c>
      <c r="I13" s="43">
        <f t="shared" si="2"/>
        <v>-0.15075690545765516</v>
      </c>
    </row>
    <row r="14" spans="1:9" ht="15.6">
      <c r="A14" s="32" t="str">
        <v>Lancaster 2 - Shisler Road</v>
      </c>
      <c r="B14" s="33" t="str">
        <v>NY</v>
      </c>
      <c r="C14" s="34">
        <f>SUM('1st Qtr'!C14, '2nd Qtr'!C14, '3rd Qtr'!C14, '4th Qtr'!C14)</f>
        <v>1720749</v>
      </c>
      <c r="D14" s="35">
        <f>SUM('1st Qtr'!D14, '2nd Qtr'!D14, '3rd Qtr'!D14, '4th Qtr'!D14)</f>
        <v>2170565.5</v>
      </c>
      <c r="E14" s="35">
        <f t="shared" si="0"/>
        <v>-449816.5</v>
      </c>
      <c r="F14" s="36">
        <f t="shared" si="1"/>
        <v>-0.20723470450442522</v>
      </c>
      <c r="G14" s="37">
        <f>SUM('1st Qtr'!G14, '2nd Qtr'!G14, '3rd Qtr'!G14, '4th Qtr'!G14)</f>
        <v>2137363.5</v>
      </c>
      <c r="H14" s="37">
        <f>SUM('1st Qtr'!H14, '2nd Qtr'!H14, '3rd Qtr'!H14, '4th Qtr'!H14)</f>
        <v>-416614.49999999994</v>
      </c>
      <c r="I14" s="38">
        <f t="shared" si="2"/>
        <v>-0.19491981593210511</v>
      </c>
    </row>
    <row r="15" spans="1:9" ht="15.6">
      <c r="A15" s="39" t="str">
        <v>Fullerton - 200 W Orangethorpe</v>
      </c>
      <c r="B15" s="40" t="str">
        <v>CA</v>
      </c>
      <c r="C15" s="41">
        <f>SUM('1st Qtr'!C15, '2nd Qtr'!C15, '3rd Qtr'!C15, '4th Qtr'!C15)</f>
        <v>345313.625</v>
      </c>
      <c r="D15" s="41">
        <f>SUM('1st Qtr'!D15, '2nd Qtr'!D15, '3rd Qtr'!D15, '4th Qtr'!D15)</f>
        <v>360349.78</v>
      </c>
      <c r="E15" s="42">
        <f t="shared" si="0"/>
        <v>-15036.155000000028</v>
      </c>
      <c r="F15" s="43">
        <f t="shared" si="1"/>
        <v>-4.1726555237525123E-2</v>
      </c>
      <c r="G15" s="44">
        <f>SUM('1st Qtr'!G15, '2nd Qtr'!G15, '3rd Qtr'!G15, '4th Qtr'!G15)</f>
        <v>389069.04000000004</v>
      </c>
      <c r="H15" s="44">
        <f>SUM('1st Qtr'!H15, '2nd Qtr'!H15, '3rd Qtr'!H15, '4th Qtr'!H15)</f>
        <v>-43755.414999999994</v>
      </c>
      <c r="I15" s="43">
        <f t="shared" si="2"/>
        <v>-0.11246182682641617</v>
      </c>
    </row>
    <row r="16" spans="1:9" ht="15.6">
      <c r="A16" s="32" t="str">
        <v>El Paso - 10500 Railroad Drive</v>
      </c>
      <c r="B16" s="33" t="str">
        <v>TX</v>
      </c>
      <c r="C16" s="34">
        <f>SUM('1st Qtr'!C16, '2nd Qtr'!C16, '3rd Qtr'!C16, '4th Qtr'!C16)</f>
        <v>490322.25</v>
      </c>
      <c r="D16" s="35">
        <f>SUM('1st Qtr'!D16, '2nd Qtr'!D16, '3rd Qtr'!D16, '4th Qtr'!D16)</f>
        <v>452564.9</v>
      </c>
      <c r="E16" s="35">
        <f t="shared" ref="E16:E21" si="3">IF(AND(ISNUMBER(C16),ISNUMBER(D16)), C16-D16, "")</f>
        <v>37757.349999999977</v>
      </c>
      <c r="F16" s="36">
        <f t="shared" ref="F16:F20" si="4">IFERROR(E16/D16, "")</f>
        <v>8.3429691520486834E-2</v>
      </c>
      <c r="G16" s="37">
        <f>SUM('1st Qtr'!G16, '2nd Qtr'!G16, '3rd Qtr'!G16, '4th Qtr'!G16)</f>
        <v>476941.4</v>
      </c>
      <c r="H16" s="37">
        <f>SUM('1st Qtr'!H16, '2nd Qtr'!H16, '3rd Qtr'!H16, '4th Qtr'!H16)</f>
        <v>13380.850000000006</v>
      </c>
      <c r="I16" s="38">
        <f t="shared" ref="I16:I20" si="5">IFERROR(H16/G16, "")</f>
        <v>2.8055543091876706E-2</v>
      </c>
    </row>
    <row r="17" spans="1:9" ht="15.6">
      <c r="A17" s="39" t="str">
        <v>Friona - 900 Millard Ave</v>
      </c>
      <c r="B17" s="40" t="str">
        <v>TX</v>
      </c>
      <c r="C17" s="41">
        <f>SUM('1st Qtr'!C17, '2nd Qtr'!C17, '3rd Qtr'!C17, '4th Qtr'!C17)</f>
        <v>382907.12500000023</v>
      </c>
      <c r="D17" s="41">
        <f>SUM('1st Qtr'!D17, '2nd Qtr'!D17, '3rd Qtr'!D17, '4th Qtr'!D17)</f>
        <v>360963.41000000003</v>
      </c>
      <c r="E17" s="42">
        <f t="shared" si="3"/>
        <v>21943.7150000002</v>
      </c>
      <c r="F17" s="43">
        <f t="shared" si="4"/>
        <v>6.0792075850569449E-2</v>
      </c>
      <c r="G17" s="44">
        <f>SUM('1st Qtr'!G17, '2nd Qtr'!G17, '3rd Qtr'!G17, '4th Qtr'!G17)</f>
        <v>381888</v>
      </c>
      <c r="H17" s="44">
        <f>SUM('1st Qtr'!H17, '2nd Qtr'!H17, '3rd Qtr'!H17, '4th Qtr'!H17)</f>
        <v>1019.1250000002183</v>
      </c>
      <c r="I17" s="43">
        <f t="shared" si="5"/>
        <v>2.6686489232450828E-3</v>
      </c>
    </row>
    <row r="18" spans="1:9" ht="15.6">
      <c r="A18" s="32" t="str">
        <v>Augusta - 13 York Farm Road</v>
      </c>
      <c r="B18" s="33" t="str">
        <v>ME</v>
      </c>
      <c r="C18" s="34">
        <f>SUM('1st Qtr'!C18, '2nd Qtr'!C18, '3rd Qtr'!C18, '4th Qtr'!C18)</f>
        <v>411228.625</v>
      </c>
      <c r="D18" s="35">
        <f>SUM('1st Qtr'!D18, '2nd Qtr'!D18, '3rd Qtr'!D18, '4th Qtr'!D18)</f>
        <v>592374.4</v>
      </c>
      <c r="E18" s="35">
        <f t="shared" si="3"/>
        <v>-181145.77500000002</v>
      </c>
      <c r="F18" s="36">
        <f t="shared" si="4"/>
        <v>-0.30579608943262915</v>
      </c>
      <c r="G18" s="37">
        <f>SUM('1st Qtr'!G18, '2nd Qtr'!G18, '3rd Qtr'!G18, '4th Qtr'!G18)</f>
        <v>550668.69999999995</v>
      </c>
      <c r="H18" s="37">
        <f>SUM('1st Qtr'!H18, '2nd Qtr'!H18, '3rd Qtr'!H18, '4th Qtr'!H18)</f>
        <v>-139440.07499999998</v>
      </c>
      <c r="I18" s="38">
        <f t="shared" si="5"/>
        <v>-0.25321954016997877</v>
      </c>
    </row>
    <row r="19" spans="1:9" ht="15.6">
      <c r="A19" s="39" t="str">
        <v xml:space="preserve">Santa Ana - 1441 West </v>
      </c>
      <c r="B19" s="40" t="str">
        <v>CA</v>
      </c>
      <c r="C19" s="41">
        <f>SUM('1st Qtr'!C19, '2nd Qtr'!C19, '3rd Qtr'!C19, '4th Qtr'!C19)</f>
        <v>211289.18749999988</v>
      </c>
      <c r="D19" s="41">
        <f>SUM('1st Qtr'!D19, '2nd Qtr'!D19, '3rd Qtr'!D19, '4th Qtr'!D19)</f>
        <v>215376.08000000002</v>
      </c>
      <c r="E19" s="42">
        <f t="shared" si="3"/>
        <v>-4086.8925000001327</v>
      </c>
      <c r="F19" s="43">
        <f t="shared" si="4"/>
        <v>-1.8975610012031664E-2</v>
      </c>
      <c r="G19" s="44">
        <f>SUM('1st Qtr'!G19, '2nd Qtr'!G19, '3rd Qtr'!G19, '4th Qtr'!G19)</f>
        <v>248391.62000000002</v>
      </c>
      <c r="H19" s="44">
        <f>SUM('1st Qtr'!H19, '2nd Qtr'!H19, '3rd Qtr'!H19, '4th Qtr'!H19)</f>
        <v>-37102.432500000104</v>
      </c>
      <c r="I19" s="43">
        <f t="shared" si="5"/>
        <v>-0.14937070944663955</v>
      </c>
    </row>
    <row r="20" spans="1:9" ht="15.6">
      <c r="A20" s="32" t="str">
        <v>Jessup -7950 Oceano Ave</v>
      </c>
      <c r="B20" s="33" t="str">
        <v>MD</v>
      </c>
      <c r="C20" s="34">
        <f>SUM('1st Qtr'!C20, '2nd Qtr'!C20, '3rd Qtr'!C20, '4th Qtr'!C20)</f>
        <v>679285.15608808305</v>
      </c>
      <c r="D20" s="35">
        <f>SUM('1st Qtr'!D20, '2nd Qtr'!D20, '3rd Qtr'!D20, '4th Qtr'!D20)</f>
        <v>730749.89999999991</v>
      </c>
      <c r="E20" s="35">
        <f t="shared" si="3"/>
        <v>-51464.743911916856</v>
      </c>
      <c r="F20" s="36">
        <f t="shared" si="4"/>
        <v>-7.042730202483348E-2</v>
      </c>
      <c r="G20" s="37">
        <f>SUM('1st Qtr'!G20, '2nd Qtr'!G20, '3rd Qtr'!G20, '4th Qtr'!G20)</f>
        <v>739814.2</v>
      </c>
      <c r="H20" s="37">
        <f>SUM('1st Qtr'!H20, '2nd Qtr'!H20, '3rd Qtr'!H20, '4th Qtr'!H20)</f>
        <v>-60529.043911917004</v>
      </c>
      <c r="I20" s="38">
        <f t="shared" si="5"/>
        <v>-8.1816547873664783E-2</v>
      </c>
    </row>
    <row r="21" spans="1:9" ht="15.6">
      <c r="A21" s="39" t="str">
        <v xml:space="preserve">TX: Fort Worth - 5200 Gold Spike Dr </v>
      </c>
      <c r="B21" s="40" t="str">
        <v>TX</v>
      </c>
      <c r="C21" s="41">
        <f>SUM('1st Qtr'!C21, '2nd Qtr'!C21, '3rd Qtr'!C21, '4th Qtr'!C21)</f>
        <v>905113</v>
      </c>
      <c r="D21" s="41">
        <f>SUM('1st Qtr'!D21, '2nd Qtr'!D21, '3rd Qtr'!D21, '4th Qtr'!D21)</f>
        <v>1676954.2999999998</v>
      </c>
      <c r="E21" s="42">
        <f t="shared" si="3"/>
        <v>-771841.29999999981</v>
      </c>
      <c r="F21" s="43">
        <f>IFERROR(E21/D21, "")</f>
        <v>-0.46026376508888756</v>
      </c>
      <c r="G21" s="44">
        <f>SUM('1st Qtr'!G21, '2nd Qtr'!G21, '3rd Qtr'!G21, '4th Qtr'!G21)</f>
        <v>1689619.7000000002</v>
      </c>
      <c r="H21" s="44">
        <f>SUM('1st Qtr'!H21, '2nd Qtr'!H21, '3rd Qtr'!H21, '4th Qtr'!H21)</f>
        <v>-784506.70000000007</v>
      </c>
      <c r="I21" s="43">
        <f>IFERROR(H21/G21, "")</f>
        <v>-0.46430963133301534</v>
      </c>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6" activePane="bottomRight" state="frozen"/>
      <selection pane="bottomRight" activeCell="I21" sqref="I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Catalyze</v>
      </c>
      <c r="B1" s="99"/>
      <c r="C1" s="99"/>
      <c r="D1" s="100" t="s">
        <v>10</v>
      </c>
      <c r="E1" s="100"/>
      <c r="F1" s="100"/>
      <c r="G1" s="98" t="s">
        <v>11</v>
      </c>
      <c r="H1" s="98"/>
      <c r="I1" s="98"/>
    </row>
    <row r="2" spans="1:9" ht="19.5" customHeight="1">
      <c r="A2" s="101" t="s">
        <v>2</v>
      </c>
      <c r="B2" s="101"/>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SUM(Jan!C4, Feb!C4, Mar!C4)</f>
        <v>191319.25</v>
      </c>
      <c r="D4" s="35">
        <f>SUM(Jan!D4, Feb!D4, Mar!D4)</f>
        <v>182900.38999999998</v>
      </c>
      <c r="E4" s="35">
        <f>IF(AND(ISNUMBER(C4),ISNUMBER(D4)), C4-D4, "")</f>
        <v>8418.8600000000151</v>
      </c>
      <c r="F4" s="36">
        <f>IFERROR(E4/D4, "")</f>
        <v>4.6029754228517586E-2</v>
      </c>
      <c r="G4" s="37">
        <f>SUM(Jan!G4, Feb!G4, Mar!G4)</f>
        <v>210362.36</v>
      </c>
      <c r="H4" s="37">
        <f>SUM(Jan!H4, Feb!H4, Mar!H4)</f>
        <v>-19043.11</v>
      </c>
      <c r="I4" s="38">
        <f>IFERROR(H4/G4, "")</f>
        <v>-9.0525272677108221E-2</v>
      </c>
    </row>
    <row r="5" spans="1:9" ht="15.6">
      <c r="A5" s="54" t="str">
        <v>Adelanto - 1 Sheep Creek Road</v>
      </c>
      <c r="B5" s="40" t="str">
        <v>CA</v>
      </c>
      <c r="C5" s="41">
        <f>SUM(Jan!C5, Feb!C5, Mar!C5)</f>
        <v>1587343</v>
      </c>
      <c r="D5" s="42">
        <f>SUM(Jan!D5, Feb!D5, Mar!D5)</f>
        <v>1054002.04</v>
      </c>
      <c r="E5" s="42">
        <f t="shared" ref="E5:E15" si="0">IF(AND(ISNUMBER(C5),ISNUMBER(D5)), C5-D5, "")</f>
        <v>533340.96</v>
      </c>
      <c r="F5" s="43">
        <f>IFERROR(E5/D5, "")</f>
        <v>0.50601511169750668</v>
      </c>
      <c r="G5" s="44">
        <f>SUM(Jan!G5, Feb!G5, Mar!G5)</f>
        <v>1729663.7399999998</v>
      </c>
      <c r="H5" s="44">
        <f>SUM(Jan!H5, Feb!H5, Mar!H5)</f>
        <v>-142320.74</v>
      </c>
      <c r="I5" s="43">
        <f>IFERROR(H5/G5, "")</f>
        <v>-8.2282316908603298E-2</v>
      </c>
    </row>
    <row r="6" spans="1:9" ht="15.6">
      <c r="A6" s="53" t="str">
        <v>Blackstone - 83 Federal Street</v>
      </c>
      <c r="B6" s="33" t="str">
        <v>MA</v>
      </c>
      <c r="C6" s="34">
        <f>SUM(Jan!C6, Feb!C6, Mar!C6)</f>
        <v>1187392.8</v>
      </c>
      <c r="D6" s="35">
        <f>SUM(Jan!D6, Feb!D6, Mar!D6)</f>
        <v>1690571.4</v>
      </c>
      <c r="E6" s="35">
        <f t="shared" si="0"/>
        <v>-503178.59999999986</v>
      </c>
      <c r="F6" s="36">
        <f t="shared" ref="F6:F15" si="1">IFERROR(E6/D6, "")</f>
        <v>-0.29763818316103058</v>
      </c>
      <c r="G6" s="37">
        <f>SUM(Jan!G6, Feb!G6, Mar!G6)</f>
        <v>1569257.0999999999</v>
      </c>
      <c r="H6" s="37">
        <f>SUM(Jan!H6, Feb!H6, Mar!H6)</f>
        <v>-381864.29999999987</v>
      </c>
      <c r="I6" s="38">
        <f t="shared" ref="I6:I15" si="2">IFERROR(H6/G6, "")</f>
        <v>-0.24334081394310716</v>
      </c>
    </row>
    <row r="7" spans="1:9" ht="15.6">
      <c r="A7" s="54" t="str">
        <v>Charlton - 299 Worcester Road</v>
      </c>
      <c r="B7" s="40" t="str">
        <v>MA</v>
      </c>
      <c r="C7" s="41">
        <f>SUM(Jan!C7, Feb!C7, Mar!C7)</f>
        <v>106801.75</v>
      </c>
      <c r="D7" s="42">
        <f>SUM(Jan!D7, Feb!D7, Mar!D7)</f>
        <v>132014.25</v>
      </c>
      <c r="E7" s="42">
        <f t="shared" si="0"/>
        <v>-25212.5</v>
      </c>
      <c r="F7" s="43">
        <f t="shared" si="1"/>
        <v>-0.19098317037744031</v>
      </c>
      <c r="G7" s="44">
        <f>SUM(Jan!G7, Feb!G7, Mar!G7)</f>
        <v>122312.48999999999</v>
      </c>
      <c r="H7" s="44">
        <f>SUM(Jan!H7, Feb!H7, Mar!H7)</f>
        <v>-15510.739999999998</v>
      </c>
      <c r="I7" s="43">
        <f t="shared" si="2"/>
        <v>-0.12681239667347136</v>
      </c>
    </row>
    <row r="8" spans="1:9" ht="15.6">
      <c r="A8" s="53" t="str">
        <v>Wareham - 8 Thatcher Drive</v>
      </c>
      <c r="B8" s="33" t="str">
        <v>MA</v>
      </c>
      <c r="C8" s="34">
        <f>SUM(Jan!C8, Feb!C8, Mar!C8)</f>
        <v>31580.9375</v>
      </c>
      <c r="D8" s="35">
        <f>SUM(Jan!D8, Feb!D8, Mar!D8)</f>
        <v>35070.627999999997</v>
      </c>
      <c r="E8" s="35">
        <f t="shared" si="0"/>
        <v>-3489.690499999997</v>
      </c>
      <c r="F8" s="36">
        <f t="shared" si="1"/>
        <v>-9.9504648163129483E-2</v>
      </c>
      <c r="G8" s="37">
        <f>SUM(Jan!G8, Feb!G8, Mar!G8)</f>
        <v>36936.370000000003</v>
      </c>
      <c r="H8" s="37">
        <f>SUM(Jan!H8, Feb!H8, Mar!H8)</f>
        <v>-5355.4325000000008</v>
      </c>
      <c r="I8" s="38">
        <f t="shared" si="2"/>
        <v>-0.14499076384604118</v>
      </c>
    </row>
    <row r="9" spans="1:9" ht="15.6">
      <c r="A9" s="54" t="str">
        <v>West Yarmouth - 42 Mid Tech</v>
      </c>
      <c r="B9" s="40" t="str">
        <v>MA</v>
      </c>
      <c r="C9" s="41">
        <f>SUM(Jan!C9, Feb!C9, Mar!C9)</f>
        <v>24674.208702191569</v>
      </c>
      <c r="D9" s="42">
        <f>SUM(Jan!D9, Feb!D9, Mar!D9)</f>
        <v>29517.25</v>
      </c>
      <c r="E9" s="42">
        <f t="shared" si="0"/>
        <v>-4843.0412978084314</v>
      </c>
      <c r="F9" s="43">
        <f t="shared" si="1"/>
        <v>-0.16407494931975139</v>
      </c>
      <c r="G9" s="44">
        <f>SUM(Jan!G9, Feb!G9, Mar!G9)</f>
        <v>30853.656999999999</v>
      </c>
      <c r="H9" s="44">
        <f>SUM(Jan!H9, Feb!H9, Mar!H9)</f>
        <v>-6179.4482978084297</v>
      </c>
      <c r="I9" s="43">
        <f t="shared" si="2"/>
        <v>-0.20028252397465979</v>
      </c>
    </row>
    <row r="10" spans="1:9" ht="15.6">
      <c r="A10" s="53" t="str">
        <v>Harrison - 130 Union Street</v>
      </c>
      <c r="B10" s="33" t="str">
        <v>NY</v>
      </c>
      <c r="C10" s="34">
        <f>SUM(Jan!C10, Feb!C10, Mar!C10)</f>
        <v>45554.375</v>
      </c>
      <c r="D10" s="35">
        <f>SUM(Jan!D10, Feb!D10, Mar!D10)</f>
        <v>54840.160000000003</v>
      </c>
      <c r="E10" s="35">
        <f t="shared" si="0"/>
        <v>-9285.7850000000035</v>
      </c>
      <c r="F10" s="36">
        <f t="shared" si="1"/>
        <v>-0.16932454245210085</v>
      </c>
      <c r="G10" s="37">
        <f>SUM(Jan!G10, Feb!G10, Mar!G10)</f>
        <v>46386.630000000005</v>
      </c>
      <c r="H10" s="37">
        <f>SUM(Jan!H10, Feb!H10, Mar!H10)</f>
        <v>-832.25500000000102</v>
      </c>
      <c r="I10" s="38">
        <f t="shared" si="2"/>
        <v>-1.7941700011404167E-2</v>
      </c>
    </row>
    <row r="11" spans="1:9" ht="15.6">
      <c r="A11" s="54" t="str">
        <v>Staten Island - Ellis Storage</v>
      </c>
      <c r="B11" s="40" t="str">
        <v>NY</v>
      </c>
      <c r="C11" s="41">
        <f>SUM(Jan!C11, Feb!C11, Mar!C11)</f>
        <v>107385.75</v>
      </c>
      <c r="D11" s="42">
        <f>SUM(Jan!D11, Feb!D11, Mar!D11)</f>
        <v>111143.44</v>
      </c>
      <c r="E11" s="42">
        <f t="shared" si="0"/>
        <v>-3757.6900000000023</v>
      </c>
      <c r="F11" s="43">
        <f t="shared" si="1"/>
        <v>-3.3809372824882895E-2</v>
      </c>
      <c r="G11" s="44">
        <f>SUM(Jan!G11, Feb!G11, Mar!G11)</f>
        <v>101748.88</v>
      </c>
      <c r="H11" s="44">
        <f>SUM(Jan!H11, Feb!H11, Mar!H11)</f>
        <v>5636.8699999999953</v>
      </c>
      <c r="I11" s="43">
        <f t="shared" si="2"/>
        <v>5.5399823565625443E-2</v>
      </c>
    </row>
    <row r="12" spans="1:9" ht="15.6">
      <c r="A12" s="53" t="str">
        <v>Amherst - 595 Scholles Road</v>
      </c>
      <c r="B12" s="33" t="str">
        <v>NY</v>
      </c>
      <c r="C12" s="34">
        <f>SUM(Jan!C12, Feb!C12, Mar!C12)</f>
        <v>980445</v>
      </c>
      <c r="D12" s="35">
        <f>SUM(Jan!D12, Feb!D12, Mar!D12)</f>
        <v>1472428.2000000002</v>
      </c>
      <c r="E12" s="35">
        <f t="shared" si="0"/>
        <v>-491983.20000000019</v>
      </c>
      <c r="F12" s="36">
        <f t="shared" si="1"/>
        <v>-0.33413051991261788</v>
      </c>
      <c r="G12" s="37">
        <f>SUM(Jan!G12, Feb!G12, Mar!G12)</f>
        <v>1409205.7999999998</v>
      </c>
      <c r="H12" s="37">
        <f>SUM(Jan!H12, Feb!H12, Mar!H12)</f>
        <v>-428760.79999999993</v>
      </c>
      <c r="I12" s="38">
        <f t="shared" si="2"/>
        <v>-0.30425705031869721</v>
      </c>
    </row>
    <row r="13" spans="1:9" ht="15.6">
      <c r="A13" s="54" t="str">
        <v>Lancaster 1 - Gunnville Road</v>
      </c>
      <c r="B13" s="40" t="str">
        <v>NY</v>
      </c>
      <c r="C13" s="41">
        <f>SUM(Jan!C13, Feb!C13, Mar!C13)</f>
        <v>994031</v>
      </c>
      <c r="D13" s="42">
        <f>SUM(Jan!D13, Feb!D13, Mar!D13)</f>
        <v>1280756.5</v>
      </c>
      <c r="E13" s="42">
        <f t="shared" si="0"/>
        <v>-286725.5</v>
      </c>
      <c r="F13" s="43">
        <f t="shared" si="1"/>
        <v>-0.22387198503384523</v>
      </c>
      <c r="G13" s="44">
        <f>SUM(Jan!G13, Feb!G13, Mar!G13)</f>
        <v>1213137.7000000002</v>
      </c>
      <c r="H13" s="44">
        <f>SUM(Jan!H13, Feb!H13, Mar!H13)</f>
        <v>-219106.70000000007</v>
      </c>
      <c r="I13" s="43">
        <f t="shared" si="2"/>
        <v>-0.18061156618906496</v>
      </c>
    </row>
    <row r="14" spans="1:9" ht="15.6">
      <c r="A14" s="53" t="str">
        <v>Lancaster 2 - Shisler Road</v>
      </c>
      <c r="B14" s="33" t="str">
        <v>NY</v>
      </c>
      <c r="C14" s="34">
        <f>SUM(Jan!C14, Feb!C14, Mar!C14)</f>
        <v>1018864</v>
      </c>
      <c r="D14" s="35">
        <f>SUM(Jan!D14, Feb!D14, Mar!D14)</f>
        <v>1447535.4</v>
      </c>
      <c r="E14" s="35">
        <f t="shared" si="0"/>
        <v>-428671.39999999991</v>
      </c>
      <c r="F14" s="36">
        <f t="shared" si="1"/>
        <v>-0.2961388025467287</v>
      </c>
      <c r="G14" s="37">
        <f>SUM(Jan!G14, Feb!G14, Mar!G14)</f>
        <v>1320331.2999999998</v>
      </c>
      <c r="H14" s="37">
        <f>SUM(Jan!H14, Feb!H14, Mar!H14)</f>
        <v>-301467.3</v>
      </c>
      <c r="I14" s="38">
        <f t="shared" si="2"/>
        <v>-0.22832701156141647</v>
      </c>
    </row>
    <row r="15" spans="1:9" ht="15.6">
      <c r="A15" s="54" t="str">
        <v>Fullerton - 200 W Orangethorpe</v>
      </c>
      <c r="B15" s="40" t="str">
        <v>CA</v>
      </c>
      <c r="C15" s="41">
        <f>SUM(Jan!C15, Feb!C15, Mar!C15)</f>
        <v>233829</v>
      </c>
      <c r="D15" s="42">
        <f>SUM(Jan!D15, Feb!D15, Mar!D15)</f>
        <v>248271.58000000002</v>
      </c>
      <c r="E15" s="42">
        <f t="shared" si="0"/>
        <v>-14442.580000000016</v>
      </c>
      <c r="F15" s="43">
        <f t="shared" si="1"/>
        <v>-5.8172506091917632E-2</v>
      </c>
      <c r="G15" s="44">
        <f>SUM(Jan!G15, Feb!G15, Mar!G15)</f>
        <v>267643.14</v>
      </c>
      <c r="H15" s="44">
        <f>SUM(Jan!H15, Feb!H15, Mar!H15)</f>
        <v>-33814.14</v>
      </c>
      <c r="I15" s="43">
        <f t="shared" si="2"/>
        <v>-0.12634039490046334</v>
      </c>
    </row>
    <row r="16" spans="1:9" ht="15.6">
      <c r="A16" s="53" t="str">
        <v>El Paso - 10500 Railroad Drive</v>
      </c>
      <c r="B16" s="33" t="str">
        <v>TX</v>
      </c>
      <c r="C16" s="34">
        <f>SUM(Jan!C16, Feb!C16, Mar!C16)</f>
        <v>336379.75</v>
      </c>
      <c r="D16" s="35">
        <f>SUM(Jan!D16, Feb!D16, Mar!D16)</f>
        <v>316832.5</v>
      </c>
      <c r="E16" s="35">
        <f t="shared" ref="E16:E17" si="3">IF(AND(ISNUMBER(C16),ISNUMBER(D16)), C16-D16, "")</f>
        <v>19547.25</v>
      </c>
      <c r="F16" s="36">
        <f t="shared" ref="F16:F21" si="4">IFERROR(E16/D16, "")</f>
        <v>6.1695848752889935E-2</v>
      </c>
      <c r="G16" s="37">
        <f>SUM(Jan!G16, Feb!G16, Mar!G16)</f>
        <v>329629.5</v>
      </c>
      <c r="H16" s="37">
        <f>SUM(Jan!H16, Feb!H16, Mar!H16)</f>
        <v>6750.25</v>
      </c>
      <c r="I16" s="38">
        <f t="shared" ref="I16:I21" si="5">IFERROR(H16/G16, "")</f>
        <v>2.0478294570115841E-2</v>
      </c>
    </row>
    <row r="17" spans="1:9" ht="15.6">
      <c r="A17" s="54" t="str">
        <v>Friona - 900 Millard Ave</v>
      </c>
      <c r="B17" s="40" t="str">
        <v>TX</v>
      </c>
      <c r="C17" s="41">
        <f>SUM(Jan!C17, Feb!C17, Mar!C17)</f>
        <v>261826.1250000002</v>
      </c>
      <c r="D17" s="42">
        <f>SUM(Jan!D17, Feb!D17, Mar!D17)</f>
        <v>251426.81</v>
      </c>
      <c r="E17" s="42">
        <f t="shared" si="3"/>
        <v>10399.315000000206</v>
      </c>
      <c r="F17" s="43">
        <f t="shared" si="4"/>
        <v>4.1361201695237694E-2</v>
      </c>
      <c r="G17" s="44">
        <f>SUM(Jan!G17, Feb!G17, Mar!G17)</f>
        <v>257416.8</v>
      </c>
      <c r="H17" s="44">
        <f>SUM(Jan!H17, Feb!H17, Mar!H17)</f>
        <v>4409.3250000002154</v>
      </c>
      <c r="I17" s="43">
        <f t="shared" si="5"/>
        <v>1.7129126770281566E-2</v>
      </c>
    </row>
    <row r="18" spans="1:9" ht="15.6">
      <c r="A18" s="53" t="str">
        <v>Augusta - 13 York Farm Road</v>
      </c>
      <c r="B18" s="33" t="str">
        <v>ME</v>
      </c>
      <c r="C18" s="34">
        <f>SUM(Jan!C18, Feb!C18, Mar!C18)</f>
        <v>249165.875</v>
      </c>
      <c r="D18" s="35">
        <f>SUM(Jan!D18, Feb!D18, Mar!D18)</f>
        <v>430137</v>
      </c>
      <c r="E18" s="35">
        <f>IF(AND(ISNUMBER(C18),ISNUMBER(D18)), C18-D18, "")</f>
        <v>-180971.125</v>
      </c>
      <c r="F18" s="36">
        <f t="shared" si="4"/>
        <v>-0.42072903516786514</v>
      </c>
      <c r="G18" s="37">
        <f>SUM(Jan!G18, Feb!G18, Mar!G18)</f>
        <v>370860.9</v>
      </c>
      <c r="H18" s="37">
        <f>SUM(Jan!H18, Feb!H18, Mar!H18)</f>
        <v>-121695.02499999999</v>
      </c>
      <c r="I18" s="38">
        <f t="shared" si="5"/>
        <v>-0.32814196643539395</v>
      </c>
    </row>
    <row r="19" spans="1:9" ht="15.6">
      <c r="A19" s="54" t="str">
        <v xml:space="preserve">Santa Ana - 1441 West </v>
      </c>
      <c r="B19" s="40" t="str">
        <v>CA</v>
      </c>
      <c r="C19" s="41">
        <f>SUM(Jan!C19, Feb!C19, Mar!C19)</f>
        <v>149317.34125</v>
      </c>
      <c r="D19" s="42">
        <f>SUM(Jan!D19, Feb!D19, Mar!D19)</f>
        <v>147455.37</v>
      </c>
      <c r="E19" s="42">
        <f>SUM(Jan!E19, Feb!E19, Mar!E19)</f>
        <v>1861.9712499999951</v>
      </c>
      <c r="F19" s="43">
        <f t="shared" si="4"/>
        <v>1.2627354636185818E-2</v>
      </c>
      <c r="G19" s="44">
        <f>SUM(Jan!G19, Feb!G19, Mar!G19)</f>
        <v>171259.21000000002</v>
      </c>
      <c r="H19" s="44">
        <f>SUM(Jan!H19, Feb!H19, Mar!H19)</f>
        <v>-21941.868750000001</v>
      </c>
      <c r="I19" s="43">
        <f t="shared" si="5"/>
        <v>-0.12812081026182473</v>
      </c>
    </row>
    <row r="20" spans="1:9" ht="15.6">
      <c r="A20" s="53" t="str">
        <v>Jessup -7950 Oceano Ave</v>
      </c>
      <c r="B20" s="33" t="str">
        <v>MD</v>
      </c>
      <c r="C20" s="34">
        <f>SUM(Jan!C20, Feb!C20, Mar!C20)</f>
        <v>468523.25</v>
      </c>
      <c r="D20" s="35">
        <f>SUM(Jan!D20, Feb!D20, Mar!D20)</f>
        <v>510687.1</v>
      </c>
      <c r="E20" s="35">
        <f>SUM(Jan!E20, Feb!E20, Mar!E20)</f>
        <v>-42163.849999999977</v>
      </c>
      <c r="F20" s="36">
        <f t="shared" si="4"/>
        <v>-8.256298230364538E-2</v>
      </c>
      <c r="G20" s="37">
        <f>SUM(Jan!G20, Feb!G20, Mar!G20)</f>
        <v>480450.7</v>
      </c>
      <c r="H20" s="37">
        <f>SUM(Jan!H20, Feb!H20, Mar!H20)</f>
        <v>-11927.449999999997</v>
      </c>
      <c r="I20" s="38">
        <f t="shared" si="5"/>
        <v>-2.4825544015234024E-2</v>
      </c>
    </row>
    <row r="21" spans="1:9" ht="15.6">
      <c r="A21" s="54" t="str">
        <v xml:space="preserve">TX: Fort Worth - 5200 Gold Spike Dr </v>
      </c>
      <c r="B21" s="40" t="str">
        <v>TX</v>
      </c>
      <c r="C21" s="41">
        <f>SUM(Jan!C21, Feb!C21, Mar!C21)</f>
        <v>295518</v>
      </c>
      <c r="D21" s="42">
        <f>SUM(Jan!D21, Feb!D21, Mar!D21)</f>
        <v>1021534.3999999999</v>
      </c>
      <c r="E21" s="42">
        <f>SUM(Jan!E21, Feb!E21, Mar!E21)</f>
        <v>-726016.4</v>
      </c>
      <c r="F21" s="43">
        <f t="shared" si="4"/>
        <v>-0.710711651022227</v>
      </c>
      <c r="G21" s="44">
        <f>SUM(Jan!G21, Feb!G21, Mar!G21)</f>
        <v>948956.4</v>
      </c>
      <c r="H21" s="44">
        <f>SUM(Jan!H21, Feb!H21, Mar!H21)</f>
        <v>-653438.4</v>
      </c>
      <c r="I21" s="43">
        <f t="shared" si="5"/>
        <v>-0.68858632493547645</v>
      </c>
    </row>
    <row r="22" spans="1:9" ht="13.9">
      <c r="A22" s="13"/>
      <c r="B22" s="13"/>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4" activePane="bottomRight" state="frozen"/>
      <selection pane="bottomRight" activeCell="L19" sqref="L19"/>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Catalyze</v>
      </c>
      <c r="B1" s="99"/>
      <c r="C1" s="99"/>
      <c r="D1" s="100" t="s">
        <v>12</v>
      </c>
      <c r="E1" s="100"/>
      <c r="F1" s="100"/>
      <c r="G1" s="98" t="s">
        <v>13</v>
      </c>
      <c r="H1" s="98"/>
      <c r="I1" s="98"/>
    </row>
    <row r="2" spans="1:9" ht="19.5" customHeight="1">
      <c r="A2" s="101" t="s">
        <v>2</v>
      </c>
      <c r="B2" s="101"/>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SUM(Apr!C4, May!C4, Jun!C4)</f>
        <v>100611</v>
      </c>
      <c r="D4" s="35">
        <f>SUM(Apr!D4, May!D4, Jun!D4)</f>
        <v>98633.69</v>
      </c>
      <c r="E4" s="35">
        <f>IF(AND(ISNUMBER(C4),ISNUMBER(D4)), C4-D4, "")</f>
        <v>1977.3099999999977</v>
      </c>
      <c r="F4" s="36">
        <f>IFERROR(E4/D4, "")</f>
        <v>2.0047004223404778E-2</v>
      </c>
      <c r="G4" s="37">
        <f>SUM(Apr!G4+May!G4+Jun!G4)</f>
        <v>109007.3</v>
      </c>
      <c r="H4" s="37">
        <f>SUM(Apr!H4, May!H4, Jun!H4)</f>
        <v>-8396.3000000000029</v>
      </c>
      <c r="I4" s="38">
        <f>IFERROR(H4/G4, "")</f>
        <v>-7.7025116666498514E-2</v>
      </c>
    </row>
    <row r="5" spans="1:9" ht="15.6">
      <c r="A5" s="54" t="str">
        <v>Adelanto - 1 Sheep Creek Road</v>
      </c>
      <c r="B5" s="40" t="str">
        <v>CA</v>
      </c>
      <c r="C5" s="41">
        <f>SUM(Apr!C5, May!C5, Jun!C5)</f>
        <v>786306</v>
      </c>
      <c r="D5" s="42">
        <f>SUM(Apr!D5, May!D5, Jun!D5)</f>
        <v>174230.64749999999</v>
      </c>
      <c r="E5" s="42">
        <f t="shared" ref="E5:E15" si="0">IF(AND(ISNUMBER(C5),ISNUMBER(D5)), C5-D5, "")</f>
        <v>612075.35250000004</v>
      </c>
      <c r="F5" s="43">
        <f>IFERROR(E5/D5, "")</f>
        <v>3.5130177226713233</v>
      </c>
      <c r="G5" s="44">
        <f>SUM(Apr!G5+May!G5+Jun!G5)</f>
        <v>0</v>
      </c>
      <c r="H5" s="44">
        <f>SUM(Apr!H5, May!H5, Jun!H5)</f>
        <v>0</v>
      </c>
      <c r="I5" s="43" t="str">
        <f>IFERROR(H5/G5, "")</f>
        <v/>
      </c>
    </row>
    <row r="6" spans="1:9" ht="15.6">
      <c r="A6" s="53" t="str">
        <v>Blackstone - 83 Federal Street</v>
      </c>
      <c r="B6" s="33" t="str">
        <v>MA</v>
      </c>
      <c r="C6" s="34">
        <f>SUM(Apr!C6, May!C6, Jun!C6)</f>
        <v>490582.5</v>
      </c>
      <c r="D6" s="35">
        <f>SUM(Apr!D6, May!D6, Jun!D6)</f>
        <v>697581.8</v>
      </c>
      <c r="E6" s="35">
        <f t="shared" si="0"/>
        <v>-206999.30000000005</v>
      </c>
      <c r="F6" s="36">
        <f t="shared" ref="F6:F21" si="1">IFERROR(E6/D6, "")</f>
        <v>-0.29673838967702432</v>
      </c>
      <c r="G6" s="37">
        <f>SUM(Apr!G6+May!G6+Jun!G6)</f>
        <v>768668.8</v>
      </c>
      <c r="H6" s="37">
        <f>SUM(Apr!H6, May!H6, Jun!H6)</f>
        <v>-278086.30000000005</v>
      </c>
      <c r="I6" s="38">
        <f t="shared" ref="I6:I21" si="2">IFERROR(H6/G6, "")</f>
        <v>-0.36177648943211954</v>
      </c>
    </row>
    <row r="7" spans="1:9" ht="15.6">
      <c r="A7" s="54" t="str">
        <v>Charlton - 299 Worcester Road</v>
      </c>
      <c r="B7" s="40" t="str">
        <v>MA</v>
      </c>
      <c r="C7" s="41">
        <f>SUM(Apr!C7, May!C7, Jun!C7)</f>
        <v>59872.5</v>
      </c>
      <c r="D7" s="42">
        <f>SUM(Apr!D7, May!D7, Jun!D7)</f>
        <v>60825.16</v>
      </c>
      <c r="E7" s="42">
        <f t="shared" si="0"/>
        <v>-952.66000000000349</v>
      </c>
      <c r="F7" s="43">
        <f t="shared" si="1"/>
        <v>-1.566226870591057E-2</v>
      </c>
      <c r="G7" s="44">
        <f>SUM(Apr!G7+May!G7+Jun!G7)</f>
        <v>69479.320000000007</v>
      </c>
      <c r="H7" s="44">
        <f>SUM(Apr!H7, May!H7, Jun!H7)</f>
        <v>-9606.820000000007</v>
      </c>
      <c r="I7" s="43">
        <f t="shared" si="2"/>
        <v>-0.13826876831840043</v>
      </c>
    </row>
    <row r="8" spans="1:9" ht="15.6">
      <c r="A8" s="53" t="str">
        <v>Wareham - 8 Thatcher Drive</v>
      </c>
      <c r="B8" s="33" t="str">
        <v>MA</v>
      </c>
      <c r="C8" s="34">
        <f>SUM(Apr!C8, May!C8, Jun!C8)</f>
        <v>17115.3125</v>
      </c>
      <c r="D8" s="35">
        <f>SUM(Apr!D8, May!D8, Jun!D8)</f>
        <v>17134.03</v>
      </c>
      <c r="E8" s="35">
        <f t="shared" si="0"/>
        <v>-18.717499999998836</v>
      </c>
      <c r="F8" s="36">
        <f t="shared" si="1"/>
        <v>-1.092416670217038E-3</v>
      </c>
      <c r="G8" s="37">
        <f>SUM(Apr!G8+May!G8+Jun!G8)</f>
        <v>20513.509999999998</v>
      </c>
      <c r="H8" s="37">
        <f>SUM(Apr!H8, May!H8, Jun!H8)</f>
        <v>-3398.1974999999984</v>
      </c>
      <c r="I8" s="38">
        <f t="shared" si="2"/>
        <v>-0.16565655999387713</v>
      </c>
    </row>
    <row r="9" spans="1:9" ht="15.6">
      <c r="A9" s="54" t="str">
        <v>West Yarmouth - 42 Mid Tech</v>
      </c>
      <c r="B9" s="40" t="str">
        <v>MA</v>
      </c>
      <c r="C9" s="41">
        <f>SUM(Apr!C9, May!C9, Jun!C9)</f>
        <v>15407.110626703001</v>
      </c>
      <c r="D9" s="42">
        <f>SUM(Apr!D9, May!D9, Jun!D9)</f>
        <v>16609.13</v>
      </c>
      <c r="E9" s="42">
        <f t="shared" si="0"/>
        <v>-1202.0193732970001</v>
      </c>
      <c r="F9" s="43">
        <f t="shared" si="1"/>
        <v>-7.2371001569438015E-2</v>
      </c>
      <c r="G9" s="44">
        <f>SUM(Apr!G9+May!G9+Jun!G9)</f>
        <v>19005.689999999999</v>
      </c>
      <c r="H9" s="44">
        <f>SUM(Apr!H9, May!H9, Jun!H9)</f>
        <v>-3598.5793732969978</v>
      </c>
      <c r="I9" s="43">
        <f t="shared" si="2"/>
        <v>-0.18934221137443566</v>
      </c>
    </row>
    <row r="10" spans="1:9" ht="15.6">
      <c r="A10" s="53" t="str">
        <v>Harrison - 130 Union Street</v>
      </c>
      <c r="B10" s="33" t="str">
        <v>NY</v>
      </c>
      <c r="C10" s="34">
        <f>SUM(Apr!C10, May!C10, Jun!C10)</f>
        <v>25339.3125</v>
      </c>
      <c r="D10" s="35">
        <f>SUM(Apr!D10, May!D10, Jun!D10)</f>
        <v>25779.61</v>
      </c>
      <c r="E10" s="35">
        <f t="shared" si="0"/>
        <v>-440.29750000000058</v>
      </c>
      <c r="F10" s="36">
        <f t="shared" si="1"/>
        <v>-1.7079292510631488E-2</v>
      </c>
      <c r="G10" s="37">
        <f>SUM(Apr!G10+May!G10+Jun!G10)</f>
        <v>26043.9</v>
      </c>
      <c r="H10" s="37">
        <f>SUM(Apr!H10, May!H10, Jun!H10)</f>
        <v>-704.58750000000146</v>
      </c>
      <c r="I10" s="38">
        <f t="shared" si="2"/>
        <v>-2.705383986269343E-2</v>
      </c>
    </row>
    <row r="11" spans="1:9" ht="15.6">
      <c r="A11" s="54" t="str">
        <v>Staten Island - Ellis Storage</v>
      </c>
      <c r="B11" s="40" t="str">
        <v>NY</v>
      </c>
      <c r="C11" s="41">
        <f>SUM(Apr!C11, May!C11, Jun!C11)</f>
        <v>55255.625</v>
      </c>
      <c r="D11" s="42">
        <f>SUM(Apr!D11, May!D11, Jun!D11)</f>
        <v>49684.37</v>
      </c>
      <c r="E11" s="42">
        <f t="shared" si="0"/>
        <v>5571.2549999999974</v>
      </c>
      <c r="F11" s="43">
        <f t="shared" si="1"/>
        <v>0.11213295046309327</v>
      </c>
      <c r="G11" s="44">
        <f>SUM(Apr!G11+May!G11+Jun!G11)</f>
        <v>60526.2</v>
      </c>
      <c r="H11" s="44">
        <f>SUM(Apr!H11, May!H11, Jun!H11)</f>
        <v>-5270.5749999999971</v>
      </c>
      <c r="I11" s="43">
        <f t="shared" si="2"/>
        <v>-8.7079231803747756E-2</v>
      </c>
    </row>
    <row r="12" spans="1:9" ht="15.6">
      <c r="A12" s="53" t="str">
        <v>Amherst - 595 Scholles Road</v>
      </c>
      <c r="B12" s="33" t="str">
        <v>NY</v>
      </c>
      <c r="C12" s="34">
        <f>SUM(Apr!C12, May!C12, Jun!C12)</f>
        <v>812218.5</v>
      </c>
      <c r="D12" s="35">
        <f>SUM(Apr!D12, May!D12, Jun!D12)</f>
        <v>838338.8</v>
      </c>
      <c r="E12" s="35">
        <f t="shared" si="0"/>
        <v>-26120.300000000047</v>
      </c>
      <c r="F12" s="36">
        <f t="shared" si="1"/>
        <v>-3.1157212334679066E-2</v>
      </c>
      <c r="G12" s="37">
        <f>SUM(Apr!G12+May!G12+Jun!G12)</f>
        <v>916083.3</v>
      </c>
      <c r="H12" s="37">
        <f>SUM(Apr!H12, May!H12, Jun!H12)</f>
        <v>-103864.80000000005</v>
      </c>
      <c r="I12" s="38">
        <f t="shared" si="2"/>
        <v>-0.11337920907410935</v>
      </c>
    </row>
    <row r="13" spans="1:9" ht="15.6">
      <c r="A13" s="54" t="str">
        <v>Lancaster 1 - Gunnville Road</v>
      </c>
      <c r="B13" s="40" t="str">
        <v>NY</v>
      </c>
      <c r="C13" s="41">
        <f>SUM(Apr!C13, May!C13, Jun!C13)</f>
        <v>667894</v>
      </c>
      <c r="D13" s="42">
        <f>SUM(Apr!D13, May!D13, Jun!D13)</f>
        <v>658923.30000000005</v>
      </c>
      <c r="E13" s="42">
        <f t="shared" si="0"/>
        <v>8970.6999999999534</v>
      </c>
      <c r="F13" s="43">
        <f t="shared" si="1"/>
        <v>1.3614179374139529E-2</v>
      </c>
      <c r="G13" s="44">
        <f>SUM(Apr!G13+May!G13+Jun!G13)</f>
        <v>743810.8</v>
      </c>
      <c r="H13" s="44">
        <f>SUM(Apr!H13, May!H13, Jun!H13)</f>
        <v>-75916.800000000047</v>
      </c>
      <c r="I13" s="43">
        <f t="shared" si="2"/>
        <v>-0.10206466483143299</v>
      </c>
    </row>
    <row r="14" spans="1:9" ht="15.6">
      <c r="A14" s="53" t="str">
        <v>Lancaster 2 - Shisler Road</v>
      </c>
      <c r="B14" s="33" t="str">
        <v>NY</v>
      </c>
      <c r="C14" s="34">
        <f>SUM(Apr!C14, May!C14, Jun!C14)</f>
        <v>701885</v>
      </c>
      <c r="D14" s="35">
        <f>SUM(Apr!D14, May!D14, Jun!D14)</f>
        <v>723030.1</v>
      </c>
      <c r="E14" s="35">
        <f t="shared" si="0"/>
        <v>-21145.099999999977</v>
      </c>
      <c r="F14" s="36">
        <f t="shared" si="1"/>
        <v>-2.92451171811519E-2</v>
      </c>
      <c r="G14" s="37">
        <f>SUM(Apr!G14+May!G14+Jun!G14)</f>
        <v>817032.2</v>
      </c>
      <c r="H14" s="37">
        <f>SUM(Apr!H14, May!H14, Jun!H14)</f>
        <v>-115147.19999999995</v>
      </c>
      <c r="I14" s="38">
        <f t="shared" si="2"/>
        <v>-0.1409334907485898</v>
      </c>
    </row>
    <row r="15" spans="1:9" ht="15.6">
      <c r="A15" s="54" t="str">
        <v>Fullerton - 200 W Orangethorpe</v>
      </c>
      <c r="B15" s="40" t="str">
        <v>CA</v>
      </c>
      <c r="C15" s="41">
        <f>SUM(Apr!C15, May!C15, Jun!C15)</f>
        <v>111484.625</v>
      </c>
      <c r="D15" s="42">
        <f>SUM(Apr!D15, May!D15, Jun!D15)</f>
        <v>112078.2</v>
      </c>
      <c r="E15" s="42">
        <f t="shared" si="0"/>
        <v>-593.57499999999709</v>
      </c>
      <c r="F15" s="43">
        <f t="shared" si="1"/>
        <v>-5.2960789877067715E-3</v>
      </c>
      <c r="G15" s="44">
        <f>SUM(Apr!G15+May!G15+Jun!G15)</f>
        <v>121425.9</v>
      </c>
      <c r="H15" s="44">
        <f>SUM(Apr!H15, May!H15, Jun!H15)</f>
        <v>-9941.2749999999942</v>
      </c>
      <c r="I15" s="43">
        <f t="shared" si="2"/>
        <v>-8.1871124694154987E-2</v>
      </c>
    </row>
    <row r="16" spans="1:9" ht="15.6">
      <c r="A16" s="53" t="str">
        <v>El Paso - 10500 Railroad Drive</v>
      </c>
      <c r="B16" s="33" t="str">
        <v>TX</v>
      </c>
      <c r="C16" s="34">
        <f>SUM(Apr!C16, May!C16, Jun!C16)</f>
        <v>153942.5</v>
      </c>
      <c r="D16" s="35">
        <f>SUM(Apr!D16, May!D16, Jun!D16)</f>
        <v>135732.4</v>
      </c>
      <c r="E16" s="35">
        <f t="shared" ref="E16:E21" si="3">IF(AND(ISNUMBER(C16),ISNUMBER(D16)), C16-D16, "")</f>
        <v>18210.100000000006</v>
      </c>
      <c r="F16" s="36">
        <f t="shared" si="1"/>
        <v>0.13416177714385075</v>
      </c>
      <c r="G16" s="37">
        <f>SUM(Apr!G16+May!G16+Jun!G16)</f>
        <v>147311.9</v>
      </c>
      <c r="H16" s="37">
        <f>SUM(Apr!H16, May!H16, Jun!H16)</f>
        <v>6630.6000000000058</v>
      </c>
      <c r="I16" s="38">
        <f>IFERROR(H16/G16, "")</f>
        <v>4.5010620323273312E-2</v>
      </c>
    </row>
    <row r="17" spans="1:9" ht="15.6">
      <c r="A17" s="54" t="str">
        <v>Friona - 900 Millard Ave</v>
      </c>
      <c r="B17" s="40" t="str">
        <v>TX</v>
      </c>
      <c r="C17" s="41">
        <f>SUM(Apr!C17, May!C17, Jun!C17)</f>
        <v>121081</v>
      </c>
      <c r="D17" s="42">
        <f>SUM(Apr!D17, May!D17, Jun!D17)</f>
        <v>109536.6</v>
      </c>
      <c r="E17" s="42">
        <f t="shared" si="3"/>
        <v>11544.399999999994</v>
      </c>
      <c r="F17" s="43">
        <f t="shared" si="1"/>
        <v>0.10539308322515026</v>
      </c>
      <c r="G17" s="44">
        <f>SUM(Apr!G17+May!G17+Jun!G17)</f>
        <v>124471.2</v>
      </c>
      <c r="H17" s="44">
        <f>SUM(Apr!H17, May!H17, Jun!H17)</f>
        <v>-3390.1999999999971</v>
      </c>
      <c r="I17" s="43">
        <f t="shared" si="2"/>
        <v>-2.7236822654557818E-2</v>
      </c>
    </row>
    <row r="18" spans="1:9" ht="15.6">
      <c r="A18" s="53" t="str">
        <v>Augusta - 13 York Farm Road</v>
      </c>
      <c r="B18" s="33" t="str">
        <v>ME</v>
      </c>
      <c r="C18" s="34">
        <f>SUM(Apr!C18, May!C18, Jun!C18)</f>
        <v>162062.75</v>
      </c>
      <c r="D18" s="35">
        <f>SUM(Apr!D18, May!D18, Jun!D18)</f>
        <v>162237.4</v>
      </c>
      <c r="E18" s="35">
        <f t="shared" si="3"/>
        <v>-174.64999999999418</v>
      </c>
      <c r="F18" s="36">
        <f t="shared" si="1"/>
        <v>-1.0765088691016634E-3</v>
      </c>
      <c r="G18" s="37">
        <f>SUM(Apr!G18+May!G18+Jun!G18)</f>
        <v>179807.8</v>
      </c>
      <c r="H18" s="37">
        <f>SUM(Apr!H18, May!H18, Jun!H18)</f>
        <v>-17745.049999999988</v>
      </c>
      <c r="I18" s="38">
        <f t="shared" si="2"/>
        <v>-9.8688989020498497E-2</v>
      </c>
    </row>
    <row r="19" spans="1:9" ht="15.6">
      <c r="A19" s="54" t="str">
        <v xml:space="preserve">Santa Ana - 1441 West </v>
      </c>
      <c r="B19" s="40" t="str">
        <v>CA</v>
      </c>
      <c r="C19" s="41">
        <f>SUM(Apr!C19, May!C19, Jun!C19)</f>
        <v>61971.8462499999</v>
      </c>
      <c r="D19" s="42">
        <f>SUM(Apr!D19, May!D19, Jun!D19)</f>
        <v>67920.710000000006</v>
      </c>
      <c r="E19" s="42">
        <f t="shared" si="3"/>
        <v>-5948.8637500001059</v>
      </c>
      <c r="F19" s="43">
        <f t="shared" si="1"/>
        <v>-8.7585417614157821E-2</v>
      </c>
      <c r="G19" s="44">
        <f>SUM(Apr!G19+May!G19+Jun!G19)</f>
        <v>77132.41</v>
      </c>
      <c r="H19" s="44">
        <f>SUM(Apr!H19, May!H19, Jun!H19)</f>
        <v>-15160.563750000103</v>
      </c>
      <c r="I19" s="43">
        <f t="shared" si="2"/>
        <v>-0.19655244468570479</v>
      </c>
    </row>
    <row r="20" spans="1:9" ht="15.6">
      <c r="A20" s="53" t="str">
        <v>Jessup -7950 Oceano Ave</v>
      </c>
      <c r="B20" s="33" t="str">
        <v>MD</v>
      </c>
      <c r="C20" s="34">
        <f>SUM(Apr!C20, May!C20, Jun!C20)</f>
        <v>210761.90608808299</v>
      </c>
      <c r="D20" s="35">
        <f>SUM(Apr!D20, May!D20, Jun!D20)</f>
        <v>220062.8</v>
      </c>
      <c r="E20" s="35">
        <f t="shared" si="3"/>
        <v>-9300.8939119169954</v>
      </c>
      <c r="F20" s="36">
        <f t="shared" si="1"/>
        <v>-4.2264725850607171E-2</v>
      </c>
      <c r="G20" s="37">
        <f>SUM(Apr!G20+May!G20+Jun!G20)</f>
        <v>259363.5</v>
      </c>
      <c r="H20" s="37">
        <f>SUM(Apr!H20, May!H20, Jun!H20)</f>
        <v>-48601.593911917007</v>
      </c>
      <c r="I20" s="38">
        <f t="shared" si="2"/>
        <v>-0.18738794746337478</v>
      </c>
    </row>
    <row r="21" spans="1:9" ht="15.6">
      <c r="A21" s="54" t="str">
        <v xml:space="preserve">TX: Fort Worth - 5200 Gold Spike Dr </v>
      </c>
      <c r="B21" s="40" t="str">
        <v>TX</v>
      </c>
      <c r="C21" s="41">
        <f>SUM(Apr!C21, May!C21, Jun!C21)</f>
        <v>609595</v>
      </c>
      <c r="D21" s="42">
        <f>SUM(Apr!D21, May!D21, Jun!D21)</f>
        <v>655419.9</v>
      </c>
      <c r="E21" s="42">
        <f t="shared" si="3"/>
        <v>-45824.900000000023</v>
      </c>
      <c r="F21" s="43">
        <f t="shared" si="1"/>
        <v>-6.9916857879963698E-2</v>
      </c>
      <c r="G21" s="44">
        <f>SUM(Apr!G21+May!G21+Jun!G21)</f>
        <v>740663.3</v>
      </c>
      <c r="H21" s="44">
        <f>SUM(Apr!H21, May!H21, Jun!H21)</f>
        <v>-131068.30000000005</v>
      </c>
      <c r="I21" s="43">
        <f t="shared" si="2"/>
        <v>-0.17696070535694158</v>
      </c>
    </row>
    <row r="22" spans="1:9" ht="13.9">
      <c r="A22" s="13"/>
      <c r="B22" s="13"/>
      <c r="C22" s="13"/>
      <c r="D22" s="13"/>
      <c r="E22" s="13"/>
      <c r="F22" s="13"/>
      <c r="G22" s="13"/>
      <c r="H22" s="13"/>
      <c r="I22" s="13"/>
    </row>
    <row r="23" spans="1:9" ht="13.9">
      <c r="A23" s="13"/>
      <c r="B23" s="13"/>
      <c r="C23" s="13"/>
      <c r="D23" s="13"/>
      <c r="E23" s="13"/>
      <c r="F23" s="97"/>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9" activePane="bottomRight" state="frozen"/>
      <selection pane="bottomRight" activeCell="H19" sqref="H19:H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Catalyze</v>
      </c>
      <c r="B1" s="99"/>
      <c r="C1" s="99"/>
      <c r="D1" s="100" t="s">
        <v>14</v>
      </c>
      <c r="E1" s="100"/>
      <c r="F1" s="100"/>
      <c r="G1" s="98" t="s">
        <v>15</v>
      </c>
      <c r="H1" s="98"/>
      <c r="I1" s="98"/>
    </row>
    <row r="2" spans="1:9" ht="19.5" customHeight="1">
      <c r="A2" s="101" t="s">
        <v>2</v>
      </c>
      <c r="B2" s="101"/>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SUM(Jul!C4, Aug!C4, Sep!C4)</f>
        <v>0</v>
      </c>
      <c r="D4" s="35">
        <f>SUM(Jul!D4, Aug!D4, Sep!D4)</f>
        <v>0</v>
      </c>
      <c r="E4" s="35">
        <f>IF(AND(ISNUMBER(C4),ISNUMBER(D4)), C4-D4, "")</f>
        <v>0</v>
      </c>
      <c r="F4" s="36" t="str">
        <f>IFERROR(E4/D4, "")</f>
        <v/>
      </c>
      <c r="G4" s="37">
        <f>SUM(Jul!G4,Aug!G4,Sep!G4)</f>
        <v>0</v>
      </c>
      <c r="H4" s="37">
        <f>SUM(Jul!H4, Aug!H4, Sep!H4)</f>
        <v>0</v>
      </c>
      <c r="I4" s="38" t="str">
        <f>IFERROR(H4/G4, "")</f>
        <v/>
      </c>
    </row>
    <row r="5" spans="1:9" ht="15.6">
      <c r="A5" s="54" t="str">
        <v>Adelanto - 1 Sheep Creek Road</v>
      </c>
      <c r="B5" s="40" t="str">
        <v>CA</v>
      </c>
      <c r="C5" s="41">
        <f>SUM(Jul!C5, Aug!C5, Sep!C5)</f>
        <v>0</v>
      </c>
      <c r="D5" s="42">
        <f>SUM(Jul!D5, Aug!D5, Sep!D5)</f>
        <v>0</v>
      </c>
      <c r="E5" s="42">
        <f t="shared" ref="E5:E15" si="0">IF(AND(ISNUMBER(C5),ISNUMBER(D5)), C5-D5, "")</f>
        <v>0</v>
      </c>
      <c r="F5" s="43" t="str">
        <f>IFERROR(E5/D5, "")</f>
        <v/>
      </c>
      <c r="G5" s="44">
        <f>SUM(Jul!G5,Aug!G5,Sep!G5)</f>
        <v>0</v>
      </c>
      <c r="H5" s="44">
        <f>SUM(Jul!H5, Aug!H5, Sep!H5)</f>
        <v>0</v>
      </c>
      <c r="I5" s="43" t="str">
        <f>IFERROR(H5/G5, "")</f>
        <v/>
      </c>
    </row>
    <row r="6" spans="1:9" ht="15.6">
      <c r="A6" s="53" t="str">
        <v>Blackstone - 83 Federal Street</v>
      </c>
      <c r="B6" s="33" t="str">
        <v>MA</v>
      </c>
      <c r="C6" s="34">
        <f>SUM(Jul!C6, Aug!C6, Sep!C6)</f>
        <v>0</v>
      </c>
      <c r="D6" s="35">
        <f>SUM(Jul!D6, Aug!D6, Sep!D6)</f>
        <v>0</v>
      </c>
      <c r="E6" s="35">
        <f t="shared" si="0"/>
        <v>0</v>
      </c>
      <c r="F6" s="36" t="str">
        <f t="shared" ref="F6:F15" si="1">IFERROR(E6/D6, "")</f>
        <v/>
      </c>
      <c r="G6" s="37">
        <f>SUM(Jul!G6,Aug!G6,Sep!G6)</f>
        <v>0</v>
      </c>
      <c r="H6" s="37">
        <f>SUM(Jul!H6, Aug!H6, Sep!H6)</f>
        <v>0</v>
      </c>
      <c r="I6" s="38" t="str">
        <f t="shared" ref="I6:I15" si="2">IFERROR(H6/G6, "")</f>
        <v/>
      </c>
    </row>
    <row r="7" spans="1:9" ht="15.6">
      <c r="A7" s="54" t="str">
        <v>Charlton - 299 Worcester Road</v>
      </c>
      <c r="B7" s="40" t="str">
        <v>MA</v>
      </c>
      <c r="C7" s="41">
        <f>SUM(Jul!C7, Aug!C7, Sep!C7)</f>
        <v>0</v>
      </c>
      <c r="D7" s="42">
        <f>SUM(Jul!D7, Aug!D7, Sep!D7)</f>
        <v>0</v>
      </c>
      <c r="E7" s="42">
        <f t="shared" si="0"/>
        <v>0</v>
      </c>
      <c r="F7" s="43" t="str">
        <f t="shared" si="1"/>
        <v/>
      </c>
      <c r="G7" s="44">
        <f>SUM(Jul!G7,Aug!G7,Sep!G7)</f>
        <v>0</v>
      </c>
      <c r="H7" s="44">
        <f>SUM(Jul!H7, Aug!H7, Sep!H7)</f>
        <v>0</v>
      </c>
      <c r="I7" s="43" t="str">
        <f t="shared" si="2"/>
        <v/>
      </c>
    </row>
    <row r="8" spans="1:9" ht="15.6">
      <c r="A8" s="53" t="str">
        <v>Wareham - 8 Thatcher Drive</v>
      </c>
      <c r="B8" s="33" t="str">
        <v>MA</v>
      </c>
      <c r="C8" s="34">
        <f>SUM(Jul!C8, Aug!C8, Sep!C8)</f>
        <v>0</v>
      </c>
      <c r="D8" s="35">
        <f>SUM(Jul!D8, Aug!D8, Sep!D8)</f>
        <v>0</v>
      </c>
      <c r="E8" s="35">
        <f t="shared" si="0"/>
        <v>0</v>
      </c>
      <c r="F8" s="36" t="str">
        <f t="shared" si="1"/>
        <v/>
      </c>
      <c r="G8" s="37">
        <f>SUM(Jul!G8,Aug!G8,Sep!G8)</f>
        <v>0</v>
      </c>
      <c r="H8" s="37">
        <f>SUM(Jul!H8, Aug!H8, Sep!H8)</f>
        <v>0</v>
      </c>
      <c r="I8" s="38" t="str">
        <f t="shared" si="2"/>
        <v/>
      </c>
    </row>
    <row r="9" spans="1:9" ht="15.6">
      <c r="A9" s="54" t="str">
        <v>West Yarmouth - 42 Mid Tech</v>
      </c>
      <c r="B9" s="40" t="str">
        <v>MA</v>
      </c>
      <c r="C9" s="41">
        <f>SUM(Jul!C9, Aug!C9, Sep!C9)</f>
        <v>0</v>
      </c>
      <c r="D9" s="42">
        <f>SUM(Jul!D9, Aug!D9, Sep!D9)</f>
        <v>0</v>
      </c>
      <c r="E9" s="42">
        <f t="shared" si="0"/>
        <v>0</v>
      </c>
      <c r="F9" s="43" t="str">
        <f t="shared" si="1"/>
        <v/>
      </c>
      <c r="G9" s="44">
        <f>SUM(Jul!G9,Aug!G9,Sep!G9)</f>
        <v>0</v>
      </c>
      <c r="H9" s="44">
        <f>SUM(Jul!H9, Aug!H9, Sep!H9)</f>
        <v>0</v>
      </c>
      <c r="I9" s="43" t="str">
        <f t="shared" si="2"/>
        <v/>
      </c>
    </row>
    <row r="10" spans="1:9" ht="15.6">
      <c r="A10" s="53" t="str">
        <v>Harrison - 130 Union Street</v>
      </c>
      <c r="B10" s="33" t="str">
        <v>NY</v>
      </c>
      <c r="C10" s="34">
        <f>SUM(Jul!C10, Aug!C10, Sep!C10)</f>
        <v>0</v>
      </c>
      <c r="D10" s="35">
        <f>SUM(Jul!D10, Aug!D10, Sep!D10)</f>
        <v>0</v>
      </c>
      <c r="E10" s="35">
        <f t="shared" si="0"/>
        <v>0</v>
      </c>
      <c r="F10" s="36" t="str">
        <f t="shared" si="1"/>
        <v/>
      </c>
      <c r="G10" s="37">
        <f>SUM(Jul!G10,Aug!G10,Sep!G10)</f>
        <v>0</v>
      </c>
      <c r="H10" s="37">
        <f>SUM(Jul!H10, Aug!H10, Sep!H10)</f>
        <v>0</v>
      </c>
      <c r="I10" s="38" t="str">
        <f t="shared" si="2"/>
        <v/>
      </c>
    </row>
    <row r="11" spans="1:9" ht="15.6">
      <c r="A11" s="54" t="str">
        <v>Staten Island - Ellis Storage</v>
      </c>
      <c r="B11" s="40" t="str">
        <v>NY</v>
      </c>
      <c r="C11" s="41">
        <f>SUM(Jul!C11, Aug!C11, Sep!C11)</f>
        <v>0</v>
      </c>
      <c r="D11" s="42">
        <f>SUM(Jul!D11, Aug!D11, Sep!D11)</f>
        <v>0</v>
      </c>
      <c r="E11" s="42">
        <f t="shared" si="0"/>
        <v>0</v>
      </c>
      <c r="F11" s="43" t="str">
        <f t="shared" si="1"/>
        <v/>
      </c>
      <c r="G11" s="44">
        <f>SUM(Jul!G11,Aug!G11,Sep!G11)</f>
        <v>0</v>
      </c>
      <c r="H11" s="44">
        <f>SUM(Jul!H11, Aug!H11, Sep!H11)</f>
        <v>0</v>
      </c>
      <c r="I11" s="43" t="str">
        <f t="shared" si="2"/>
        <v/>
      </c>
    </row>
    <row r="12" spans="1:9" ht="15.6">
      <c r="A12" s="53" t="str">
        <v>Amherst - 595 Scholles Road</v>
      </c>
      <c r="B12" s="33" t="str">
        <v>NY</v>
      </c>
      <c r="C12" s="34">
        <f>SUM(Jul!C12, Aug!C12, Sep!C12)</f>
        <v>0</v>
      </c>
      <c r="D12" s="35">
        <f>SUM(Jul!D12, Aug!D12, Sep!D12)</f>
        <v>0</v>
      </c>
      <c r="E12" s="35">
        <f t="shared" si="0"/>
        <v>0</v>
      </c>
      <c r="F12" s="36" t="str">
        <f t="shared" si="1"/>
        <v/>
      </c>
      <c r="G12" s="37">
        <f>SUM(Jul!G12,Aug!G12,Sep!G12)</f>
        <v>0</v>
      </c>
      <c r="H12" s="37">
        <f>SUM(Jul!H12, Aug!H12, Sep!H12)</f>
        <v>0</v>
      </c>
      <c r="I12" s="38" t="str">
        <f t="shared" si="2"/>
        <v/>
      </c>
    </row>
    <row r="13" spans="1:9" ht="15.6">
      <c r="A13" s="54" t="str">
        <v>Lancaster 1 - Gunnville Road</v>
      </c>
      <c r="B13" s="40" t="str">
        <v>NY</v>
      </c>
      <c r="C13" s="41">
        <f>SUM(Jul!C13, Aug!C13, Sep!C13)</f>
        <v>0</v>
      </c>
      <c r="D13" s="42">
        <f>SUM(Jul!D13, Aug!D13, Sep!D13)</f>
        <v>0</v>
      </c>
      <c r="E13" s="42">
        <f t="shared" si="0"/>
        <v>0</v>
      </c>
      <c r="F13" s="43" t="str">
        <f t="shared" si="1"/>
        <v/>
      </c>
      <c r="G13" s="44">
        <f>SUM(Jul!G13,Aug!G13,Sep!G13)</f>
        <v>0</v>
      </c>
      <c r="H13" s="44">
        <f>SUM(Jul!H13, Aug!H13, Sep!H13)</f>
        <v>0</v>
      </c>
      <c r="I13" s="43" t="str">
        <f t="shared" si="2"/>
        <v/>
      </c>
    </row>
    <row r="14" spans="1:9" ht="15.6">
      <c r="A14" s="53" t="str">
        <v>Lancaster 2 - Shisler Road</v>
      </c>
      <c r="B14" s="33" t="str">
        <v>NY</v>
      </c>
      <c r="C14" s="34">
        <f>SUM(Jul!C14, Aug!C14, Sep!C14)</f>
        <v>0</v>
      </c>
      <c r="D14" s="35">
        <f>SUM(Jul!D14, Aug!D14, Sep!D14)</f>
        <v>0</v>
      </c>
      <c r="E14" s="35">
        <f t="shared" si="0"/>
        <v>0</v>
      </c>
      <c r="F14" s="36" t="str">
        <f t="shared" si="1"/>
        <v/>
      </c>
      <c r="G14" s="37">
        <f>SUM(Jul!G14,Aug!G14,Sep!G14)</f>
        <v>0</v>
      </c>
      <c r="H14" s="37">
        <f>SUM(Jul!H14, Aug!H14, Sep!H14)</f>
        <v>0</v>
      </c>
      <c r="I14" s="38" t="str">
        <f t="shared" si="2"/>
        <v/>
      </c>
    </row>
    <row r="15" spans="1:9" ht="15.6">
      <c r="A15" s="54" t="str">
        <v>Fullerton - 200 W Orangethorpe</v>
      </c>
      <c r="B15" s="40" t="str">
        <v>CA</v>
      </c>
      <c r="C15" s="41">
        <f>SUM(Jul!C15, Aug!C15, Sep!C15)</f>
        <v>0</v>
      </c>
      <c r="D15" s="42">
        <f>SUM(Jul!D15, Aug!D15, Sep!D15)</f>
        <v>0</v>
      </c>
      <c r="E15" s="42">
        <f t="shared" si="0"/>
        <v>0</v>
      </c>
      <c r="F15" s="43" t="str">
        <f t="shared" si="1"/>
        <v/>
      </c>
      <c r="G15" s="44">
        <f>SUM(Jul!G15,Aug!G15,Sep!G15)</f>
        <v>0</v>
      </c>
      <c r="H15" s="44">
        <f>SUM(Jul!H15, Aug!H15, Sep!H15)</f>
        <v>0</v>
      </c>
      <c r="I15" s="43" t="str">
        <f t="shared" si="2"/>
        <v/>
      </c>
    </row>
    <row r="16" spans="1:9" ht="15.6">
      <c r="A16" s="53" t="str">
        <v>El Paso - 10500 Railroad Drive</v>
      </c>
      <c r="B16" s="33" t="str">
        <v>TX</v>
      </c>
      <c r="C16" s="34">
        <f>SUM(Jul!C16, Aug!C16, Sep!C16)</f>
        <v>0</v>
      </c>
      <c r="D16" s="35">
        <f>SUM(Jul!D16, Aug!D16, Sep!D16)</f>
        <v>0</v>
      </c>
      <c r="E16" s="35">
        <f t="shared" ref="E16:E21" si="3">IF(AND(ISNUMBER(C16),ISNUMBER(D16)), C16-D16, "")</f>
        <v>0</v>
      </c>
      <c r="F16" s="36" t="str">
        <f t="shared" ref="F16:F20" si="4">IFERROR(E16/D16, "")</f>
        <v/>
      </c>
      <c r="G16" s="37">
        <f>SUM(Jul!G16,Aug!G16,Sep!G16)</f>
        <v>0</v>
      </c>
      <c r="H16" s="37">
        <f>SUM(Jul!H16, Aug!H16, Sep!H16)</f>
        <v>0</v>
      </c>
      <c r="I16" s="38" t="str">
        <f t="shared" ref="I16:I20" si="5">IFERROR(H16/G16, "")</f>
        <v/>
      </c>
    </row>
    <row r="17" spans="1:9" ht="15.6">
      <c r="A17" s="54" t="str">
        <v>Friona - 900 Millard Ave</v>
      </c>
      <c r="B17" s="40" t="str">
        <v>TX</v>
      </c>
      <c r="C17" s="41">
        <f>SUM(Jul!C17, Aug!C17, Sep!C17)</f>
        <v>0</v>
      </c>
      <c r="D17" s="42">
        <f>SUM(Jul!D17, Aug!D17, Sep!D17)</f>
        <v>0</v>
      </c>
      <c r="E17" s="42">
        <f t="shared" si="3"/>
        <v>0</v>
      </c>
      <c r="F17" s="43" t="str">
        <f t="shared" si="4"/>
        <v/>
      </c>
      <c r="G17" s="44">
        <f>SUM(Jul!G17,Aug!G17,Sep!G17)</f>
        <v>0</v>
      </c>
      <c r="H17" s="44">
        <f>SUM(Jul!H17, Aug!H17, Sep!H17)</f>
        <v>0</v>
      </c>
      <c r="I17" s="43" t="str">
        <f t="shared" si="5"/>
        <v/>
      </c>
    </row>
    <row r="18" spans="1:9" ht="15.6">
      <c r="A18" s="53" t="str">
        <v>Augusta - 13 York Farm Road</v>
      </c>
      <c r="B18" s="33" t="str">
        <v>ME</v>
      </c>
      <c r="C18" s="34">
        <f>SUM(Jul!C18, Aug!C18, Sep!C18)</f>
        <v>0</v>
      </c>
      <c r="D18" s="35">
        <f>SUM(Jul!D18, Aug!D18, Sep!D18)</f>
        <v>0</v>
      </c>
      <c r="E18" s="35">
        <f t="shared" si="3"/>
        <v>0</v>
      </c>
      <c r="F18" s="36" t="str">
        <f t="shared" si="4"/>
        <v/>
      </c>
      <c r="G18" s="37">
        <f>SUM(Jul!G18,Aug!G18,Sep!G18)</f>
        <v>0</v>
      </c>
      <c r="H18" s="37">
        <f>SUM(Jul!H18, Aug!H18, Sep!H18)</f>
        <v>0</v>
      </c>
      <c r="I18" s="38" t="str">
        <f t="shared" si="5"/>
        <v/>
      </c>
    </row>
    <row r="19" spans="1:9" ht="15.6">
      <c r="A19" s="54" t="str">
        <v xml:space="preserve">Santa Ana - 1441 West </v>
      </c>
      <c r="B19" s="40" t="str">
        <v>CA</v>
      </c>
      <c r="C19" s="41">
        <f>SUM(Jul!C19, Aug!C19, Sep!C19)</f>
        <v>0</v>
      </c>
      <c r="D19" s="42">
        <f>SUM(Jul!D19, Aug!D19, Sep!D19)</f>
        <v>0</v>
      </c>
      <c r="E19" s="42">
        <f t="shared" si="3"/>
        <v>0</v>
      </c>
      <c r="F19" s="43" t="str">
        <f t="shared" si="4"/>
        <v/>
      </c>
      <c r="G19" s="44">
        <f>SUM(Jul!G19,Aug!G19,Sep!G19)</f>
        <v>0</v>
      </c>
      <c r="H19" s="44">
        <f>SUM(Jul!H19, Aug!H19, Sep!H19)</f>
        <v>0</v>
      </c>
      <c r="I19" s="43" t="str">
        <f t="shared" si="5"/>
        <v/>
      </c>
    </row>
    <row r="20" spans="1:9" ht="15.6">
      <c r="A20" s="53" t="str">
        <v>Jessup -7950 Oceano Ave</v>
      </c>
      <c r="B20" s="33" t="str">
        <v>MD</v>
      </c>
      <c r="C20" s="34">
        <f>SUM(Jul!C20, Aug!C20, Sep!C20)</f>
        <v>0</v>
      </c>
      <c r="D20" s="35">
        <f>SUM(Jul!D20, Aug!D20, Sep!D20)</f>
        <v>0</v>
      </c>
      <c r="E20" s="35">
        <f t="shared" si="3"/>
        <v>0</v>
      </c>
      <c r="F20" s="36" t="str">
        <f t="shared" si="4"/>
        <v/>
      </c>
      <c r="G20" s="37">
        <f>SUM(Jul!G20,Aug!G20,Sep!G20)</f>
        <v>0</v>
      </c>
      <c r="H20" s="37">
        <f>SUM(Jul!H20, Aug!H20, Sep!H20)</f>
        <v>0</v>
      </c>
      <c r="I20" s="38" t="str">
        <f t="shared" si="5"/>
        <v/>
      </c>
    </row>
    <row r="21" spans="1:9" ht="15.6">
      <c r="A21" s="54" t="str">
        <v xml:space="preserve">TX: Fort Worth - 5200 Gold Spike Dr </v>
      </c>
      <c r="B21" s="40" t="str">
        <v>TX</v>
      </c>
      <c r="C21" s="41">
        <f>SUM(Jul!C21, Aug!C21, Sep!C21)</f>
        <v>0</v>
      </c>
      <c r="D21" s="42">
        <f>SUM(Jul!D21, Aug!D21, Sep!D21)</f>
        <v>0</v>
      </c>
      <c r="E21" s="42">
        <f t="shared" si="3"/>
        <v>0</v>
      </c>
      <c r="F21" s="43"/>
      <c r="G21" s="44">
        <f>SUM(Jul!G21,Aug!G21,Sep!G21)</f>
        <v>0</v>
      </c>
      <c r="H21" s="44">
        <f>SUM(Jul!H21, Aug!H21, Sep!H21)</f>
        <v>0</v>
      </c>
      <c r="I21" s="43"/>
    </row>
    <row r="22" spans="1:9" ht="15.6">
      <c r="A22" s="9"/>
      <c r="B22" s="13"/>
      <c r="C22" s="13"/>
      <c r="D22" s="13"/>
      <c r="E22" s="13"/>
      <c r="F22" s="13"/>
      <c r="G22" s="13"/>
      <c r="H22" s="13"/>
      <c r="I22" s="13"/>
    </row>
    <row r="23" spans="1:9" ht="15.6">
      <c r="A23" s="9"/>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15" activePane="bottomRight" state="frozen"/>
      <selection pane="bottomRight" activeCell="H19" sqref="H19:H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9" t="str" cm="1">
        <f t="array" ref="A1">portfolio</f>
        <v>Catalyze</v>
      </c>
      <c r="B1" s="99"/>
      <c r="C1" s="99"/>
      <c r="D1" s="100" t="s">
        <v>16</v>
      </c>
      <c r="E1" s="100"/>
      <c r="F1" s="100"/>
      <c r="G1" s="98" t="s">
        <v>17</v>
      </c>
      <c r="H1" s="98"/>
      <c r="I1" s="98"/>
    </row>
    <row r="2" spans="1:9" ht="19.5" customHeight="1">
      <c r="A2" s="101" t="s">
        <v>2</v>
      </c>
      <c r="B2" s="101"/>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1">Sites[Site]</f>
        <v>Fresno - 3150 Shaw Ave</v>
      </c>
      <c r="B4" s="33" t="str" cm="1">
        <f t="array" ref="B4:B21">Sites[State]</f>
        <v>CA</v>
      </c>
      <c r="C4" s="34">
        <f>SUM(Oct!C4, Nov!C4, Dec!C4)</f>
        <v>0</v>
      </c>
      <c r="D4" s="35">
        <f>SUM(Oct!D4, Nov!D4, Dec!D4)</f>
        <v>0</v>
      </c>
      <c r="E4" s="35">
        <f>IF(AND(ISNUMBER(C4),ISNUMBER(D4)), C4-D4, "")</f>
        <v>0</v>
      </c>
      <c r="F4" s="36" t="str">
        <f>IFERROR(E4/D4, "")</f>
        <v/>
      </c>
      <c r="G4" s="37">
        <f>SUM(Oct!G4,Nov!G4,Dec!G4)</f>
        <v>0</v>
      </c>
      <c r="H4" s="37">
        <f>SUM(Oct!H4, Nov!H4, Dec!H4)</f>
        <v>0</v>
      </c>
      <c r="I4" s="38" t="str">
        <f>IFERROR(H4/G4, "")</f>
        <v/>
      </c>
    </row>
    <row r="5" spans="1:9" ht="15.6">
      <c r="A5" s="54" t="str">
        <v>Adelanto - 1 Sheep Creek Road</v>
      </c>
      <c r="B5" s="40" t="str">
        <v>CA</v>
      </c>
      <c r="C5" s="41">
        <f>SUM(Oct!C5, Nov!C5, Dec!C5)</f>
        <v>0</v>
      </c>
      <c r="D5" s="42">
        <f>SUM(Oct!D5, Nov!D5, Dec!D5)</f>
        <v>0</v>
      </c>
      <c r="E5" s="42">
        <f t="shared" ref="E5:E15" si="0">IF(AND(ISNUMBER(C5),ISNUMBER(D5)), C5-D5, "")</f>
        <v>0</v>
      </c>
      <c r="F5" s="43" t="str">
        <f>IFERROR(E5/D5, "")</f>
        <v/>
      </c>
      <c r="G5" s="42">
        <f>SUM(Oct!G5,Nov!G5,Dec!G5)</f>
        <v>0</v>
      </c>
      <c r="H5" s="44">
        <f>SUM(Oct!H5, Nov!H5, Dec!H5)</f>
        <v>0</v>
      </c>
      <c r="I5" s="43" t="str">
        <f>IFERROR(H5/G5, "")</f>
        <v/>
      </c>
    </row>
    <row r="6" spans="1:9" ht="15.6">
      <c r="A6" s="53" t="str">
        <v>Blackstone - 83 Federal Street</v>
      </c>
      <c r="B6" s="33" t="str">
        <v>MA</v>
      </c>
      <c r="C6" s="34">
        <f>SUM(Oct!C6, Nov!C6, Dec!C6)</f>
        <v>0</v>
      </c>
      <c r="D6" s="35">
        <f>SUM(Oct!D6, Nov!D6, Dec!D6)</f>
        <v>0</v>
      </c>
      <c r="E6" s="35">
        <f t="shared" si="0"/>
        <v>0</v>
      </c>
      <c r="F6" s="36" t="str">
        <f t="shared" ref="F6:F15" si="1">IFERROR(E6/D6, "")</f>
        <v/>
      </c>
      <c r="G6" s="37">
        <f>SUM(Oct!G6,Nov!G6,Dec!G6)</f>
        <v>0</v>
      </c>
      <c r="H6" s="37">
        <f>SUM(Oct!H6, Nov!H6, Dec!H6)</f>
        <v>0</v>
      </c>
      <c r="I6" s="38" t="str">
        <f t="shared" ref="I6:I15" si="2">IFERROR(H6/G6, "")</f>
        <v/>
      </c>
    </row>
    <row r="7" spans="1:9" ht="15.6">
      <c r="A7" s="54" t="str">
        <v>Charlton - 299 Worcester Road</v>
      </c>
      <c r="B7" s="40" t="str">
        <v>MA</v>
      </c>
      <c r="C7" s="41">
        <f>SUM(Oct!C7, Nov!C7, Dec!C7)</f>
        <v>0</v>
      </c>
      <c r="D7" s="42">
        <f>SUM(Oct!D7, Nov!D7, Dec!D7)</f>
        <v>0</v>
      </c>
      <c r="E7" s="42">
        <f t="shared" si="0"/>
        <v>0</v>
      </c>
      <c r="F7" s="43" t="str">
        <f t="shared" si="1"/>
        <v/>
      </c>
      <c r="G7" s="42">
        <f>SUM(Oct!G7,Nov!G7,Dec!G7)</f>
        <v>0</v>
      </c>
      <c r="H7" s="44">
        <f>SUM(Oct!H7, Nov!H7, Dec!H7)</f>
        <v>0</v>
      </c>
      <c r="I7" s="43" t="str">
        <f t="shared" si="2"/>
        <v/>
      </c>
    </row>
    <row r="8" spans="1:9" ht="15.6">
      <c r="A8" s="53" t="str">
        <v>Wareham - 8 Thatcher Drive</v>
      </c>
      <c r="B8" s="33" t="str">
        <v>MA</v>
      </c>
      <c r="C8" s="34">
        <f>SUM(Oct!C8, Nov!C8, Dec!C8)</f>
        <v>0</v>
      </c>
      <c r="D8" s="35">
        <f>SUM(Oct!D8, Nov!D8, Dec!D8)</f>
        <v>0</v>
      </c>
      <c r="E8" s="35">
        <f t="shared" si="0"/>
        <v>0</v>
      </c>
      <c r="F8" s="36" t="str">
        <f t="shared" si="1"/>
        <v/>
      </c>
      <c r="G8" s="37">
        <f>SUM(Oct!G8,Nov!G8,Dec!G8)</f>
        <v>0</v>
      </c>
      <c r="H8" s="37">
        <f>SUM(Oct!H8, Nov!H8, Dec!H8)</f>
        <v>0</v>
      </c>
      <c r="I8" s="38" t="str">
        <f t="shared" si="2"/>
        <v/>
      </c>
    </row>
    <row r="9" spans="1:9" ht="15.6">
      <c r="A9" s="54" t="str">
        <v>West Yarmouth - 42 Mid Tech</v>
      </c>
      <c r="B9" s="40" t="str">
        <v>MA</v>
      </c>
      <c r="C9" s="41">
        <f>SUM(Oct!C9, Nov!C9, Dec!C9)</f>
        <v>0</v>
      </c>
      <c r="D9" s="42">
        <f>SUM(Oct!D9, Nov!D9, Dec!D9)</f>
        <v>0</v>
      </c>
      <c r="E9" s="42">
        <f t="shared" si="0"/>
        <v>0</v>
      </c>
      <c r="F9" s="43" t="str">
        <f t="shared" si="1"/>
        <v/>
      </c>
      <c r="G9" s="42">
        <f>SUM(Oct!G9,Nov!G9,Dec!G9)</f>
        <v>0</v>
      </c>
      <c r="H9" s="44">
        <f>SUM(Oct!H9, Nov!H9, Dec!H9)</f>
        <v>0</v>
      </c>
      <c r="I9" s="43" t="str">
        <f t="shared" si="2"/>
        <v/>
      </c>
    </row>
    <row r="10" spans="1:9" ht="15.6">
      <c r="A10" s="53" t="str">
        <v>Harrison - 130 Union Street</v>
      </c>
      <c r="B10" s="33" t="str">
        <v>NY</v>
      </c>
      <c r="C10" s="34">
        <f>SUM(Oct!C10, Nov!C10, Dec!C10)</f>
        <v>0</v>
      </c>
      <c r="D10" s="35">
        <f>SUM(Oct!D10, Nov!D10, Dec!D10)</f>
        <v>0</v>
      </c>
      <c r="E10" s="35">
        <f t="shared" si="0"/>
        <v>0</v>
      </c>
      <c r="F10" s="36" t="str">
        <f t="shared" si="1"/>
        <v/>
      </c>
      <c r="G10" s="37">
        <f>SUM(Oct!G10,Nov!G10,Dec!G10)</f>
        <v>0</v>
      </c>
      <c r="H10" s="37">
        <f>SUM(Oct!H10, Nov!H10, Dec!H10)</f>
        <v>0</v>
      </c>
      <c r="I10" s="38" t="str">
        <f t="shared" si="2"/>
        <v/>
      </c>
    </row>
    <row r="11" spans="1:9" ht="15.6">
      <c r="A11" s="54" t="str">
        <v>Staten Island - Ellis Storage</v>
      </c>
      <c r="B11" s="40" t="str">
        <v>NY</v>
      </c>
      <c r="C11" s="41">
        <f>SUM(Oct!C11, Nov!C11, Dec!C11)</f>
        <v>0</v>
      </c>
      <c r="D11" s="42">
        <f>SUM(Oct!D11, Nov!D11, Dec!D11)</f>
        <v>0</v>
      </c>
      <c r="E11" s="42">
        <f t="shared" si="0"/>
        <v>0</v>
      </c>
      <c r="F11" s="43" t="str">
        <f t="shared" si="1"/>
        <v/>
      </c>
      <c r="G11" s="42">
        <f>SUM(Oct!G11,Nov!G11,Dec!G11)</f>
        <v>0</v>
      </c>
      <c r="H11" s="44">
        <f>SUM(Oct!H11, Nov!H11, Dec!H11)</f>
        <v>0</v>
      </c>
      <c r="I11" s="43" t="str">
        <f t="shared" si="2"/>
        <v/>
      </c>
    </row>
    <row r="12" spans="1:9" ht="15.6">
      <c r="A12" s="53" t="str">
        <v>Amherst - 595 Scholles Road</v>
      </c>
      <c r="B12" s="33" t="str">
        <v>NY</v>
      </c>
      <c r="C12" s="34">
        <f>SUM(Oct!C12, Nov!C12, Dec!C12)</f>
        <v>0</v>
      </c>
      <c r="D12" s="35">
        <f>SUM(Oct!D12, Nov!D12, Dec!D12)</f>
        <v>0</v>
      </c>
      <c r="E12" s="35">
        <f t="shared" si="0"/>
        <v>0</v>
      </c>
      <c r="F12" s="36" t="str">
        <f t="shared" si="1"/>
        <v/>
      </c>
      <c r="G12" s="37">
        <f>SUM(Oct!G12,Nov!G12,Dec!G12)</f>
        <v>0</v>
      </c>
      <c r="H12" s="37">
        <f>SUM(Oct!H12, Nov!H12, Dec!H12)</f>
        <v>0</v>
      </c>
      <c r="I12" s="38" t="str">
        <f t="shared" si="2"/>
        <v/>
      </c>
    </row>
    <row r="13" spans="1:9" ht="15.6">
      <c r="A13" s="54" t="str">
        <v>Lancaster 1 - Gunnville Road</v>
      </c>
      <c r="B13" s="40" t="str">
        <v>NY</v>
      </c>
      <c r="C13" s="41">
        <f>SUM(Oct!C13, Nov!C13, Dec!C13)</f>
        <v>0</v>
      </c>
      <c r="D13" s="42">
        <f>SUM(Oct!D13, Nov!D13, Dec!D13)</f>
        <v>0</v>
      </c>
      <c r="E13" s="42">
        <f t="shared" si="0"/>
        <v>0</v>
      </c>
      <c r="F13" s="43" t="str">
        <f t="shared" si="1"/>
        <v/>
      </c>
      <c r="G13" s="42">
        <f>SUM(Oct!G13,Nov!G13,Dec!G13)</f>
        <v>0</v>
      </c>
      <c r="H13" s="44">
        <f>SUM(Oct!H13, Nov!H13, Dec!H13)</f>
        <v>0</v>
      </c>
      <c r="I13" s="43" t="str">
        <f t="shared" si="2"/>
        <v/>
      </c>
    </row>
    <row r="14" spans="1:9" ht="15.6">
      <c r="A14" s="53" t="str">
        <v>Lancaster 2 - Shisler Road</v>
      </c>
      <c r="B14" s="33" t="str">
        <v>NY</v>
      </c>
      <c r="C14" s="34">
        <f>SUM(Oct!C14, Nov!C14, Dec!C14)</f>
        <v>0</v>
      </c>
      <c r="D14" s="35">
        <f>SUM(Oct!D14, Nov!D14, Dec!D14)</f>
        <v>0</v>
      </c>
      <c r="E14" s="35">
        <f t="shared" si="0"/>
        <v>0</v>
      </c>
      <c r="F14" s="36" t="str">
        <f t="shared" si="1"/>
        <v/>
      </c>
      <c r="G14" s="37">
        <f>SUM(Oct!G14,Nov!G14,Dec!G14)</f>
        <v>0</v>
      </c>
      <c r="H14" s="37">
        <f>SUM(Oct!H14, Nov!H14, Dec!H14)</f>
        <v>0</v>
      </c>
      <c r="I14" s="38" t="str">
        <f t="shared" si="2"/>
        <v/>
      </c>
    </row>
    <row r="15" spans="1:9" ht="15.6">
      <c r="A15" s="54" t="str">
        <v>Fullerton - 200 W Orangethorpe</v>
      </c>
      <c r="B15" s="40" t="str">
        <v>CA</v>
      </c>
      <c r="C15" s="41">
        <f>SUM(Oct!C15, Nov!C15, Dec!C15)</f>
        <v>0</v>
      </c>
      <c r="D15" s="42">
        <f>SUM(Oct!D15, Nov!D15, Dec!D15)</f>
        <v>0</v>
      </c>
      <c r="E15" s="42">
        <f t="shared" si="0"/>
        <v>0</v>
      </c>
      <c r="F15" s="43" t="str">
        <f t="shared" si="1"/>
        <v/>
      </c>
      <c r="G15" s="42">
        <f>SUM(Oct!G15,Nov!G15,Dec!G15)</f>
        <v>0</v>
      </c>
      <c r="H15" s="44">
        <f>SUM(Oct!H15, Nov!H15, Dec!H15)</f>
        <v>0</v>
      </c>
      <c r="I15" s="43" t="str">
        <f t="shared" si="2"/>
        <v/>
      </c>
    </row>
    <row r="16" spans="1:9" ht="15.6">
      <c r="A16" s="53" t="str">
        <v>El Paso - 10500 Railroad Drive</v>
      </c>
      <c r="B16" s="33" t="str">
        <v>TX</v>
      </c>
      <c r="C16" s="34">
        <f>SUM(Oct!C16, Nov!C16, Dec!C16)</f>
        <v>0</v>
      </c>
      <c r="D16" s="35">
        <f>SUM(Oct!D16, Nov!D16, Dec!D16)</f>
        <v>0</v>
      </c>
      <c r="E16" s="35">
        <f t="shared" ref="E16:E21" si="3">IF(AND(ISNUMBER(C16),ISNUMBER(D16)), C16-D16, "")</f>
        <v>0</v>
      </c>
      <c r="F16" s="36" t="str">
        <f t="shared" ref="F16:F20" si="4">IFERROR(E16/D16, "")</f>
        <v/>
      </c>
      <c r="G16" s="37">
        <f>SUM(Oct!G16,Nov!G16,Dec!G16)</f>
        <v>0</v>
      </c>
      <c r="H16" s="37">
        <f>SUM(Oct!H16, Nov!H16, Dec!H16)</f>
        <v>0</v>
      </c>
      <c r="I16" s="38" t="str">
        <f t="shared" ref="I16:I20" si="5">IFERROR(H16/G16, "")</f>
        <v/>
      </c>
    </row>
    <row r="17" spans="1:9" ht="15.6">
      <c r="A17" s="54" t="str">
        <v>Friona - 900 Millard Ave</v>
      </c>
      <c r="B17" s="40" t="str">
        <v>TX</v>
      </c>
      <c r="C17" s="41">
        <f>SUM(Oct!C17, Nov!C17, Dec!C17)</f>
        <v>0</v>
      </c>
      <c r="D17" s="42">
        <f>SUM(Oct!D17, Nov!D17, Dec!D17)</f>
        <v>0</v>
      </c>
      <c r="E17" s="42">
        <f t="shared" si="3"/>
        <v>0</v>
      </c>
      <c r="F17" s="43" t="str">
        <f t="shared" si="4"/>
        <v/>
      </c>
      <c r="G17" s="42">
        <f>SUM(Oct!G17,Nov!G17,Dec!G17)</f>
        <v>0</v>
      </c>
      <c r="H17" s="44">
        <f>SUM(Oct!H17, Nov!H17, Dec!H17)</f>
        <v>0</v>
      </c>
      <c r="I17" s="43" t="str">
        <f t="shared" si="5"/>
        <v/>
      </c>
    </row>
    <row r="18" spans="1:9" ht="15.6">
      <c r="A18" s="53" t="str">
        <v>Augusta - 13 York Farm Road</v>
      </c>
      <c r="B18" s="33" t="str">
        <v>ME</v>
      </c>
      <c r="C18" s="34">
        <f>SUM(Oct!C18, Nov!C18, Dec!C18)</f>
        <v>0</v>
      </c>
      <c r="D18" s="35">
        <f>SUM(Oct!D18, Nov!D18, Dec!D18)</f>
        <v>0</v>
      </c>
      <c r="E18" s="35">
        <f t="shared" si="3"/>
        <v>0</v>
      </c>
      <c r="F18" s="36" t="str">
        <f t="shared" si="4"/>
        <v/>
      </c>
      <c r="G18" s="37">
        <f>SUM(Oct!G18,Nov!G18,Dec!G18)</f>
        <v>0</v>
      </c>
      <c r="H18" s="37">
        <f>SUM(Oct!H18, Nov!H18, Dec!H18)</f>
        <v>0</v>
      </c>
      <c r="I18" s="38" t="str">
        <f t="shared" si="5"/>
        <v/>
      </c>
    </row>
    <row r="19" spans="1:9" ht="15.6">
      <c r="A19" s="54" t="str">
        <v xml:space="preserve">Santa Ana - 1441 West </v>
      </c>
      <c r="B19" s="40" t="str">
        <v>CA</v>
      </c>
      <c r="C19" s="41">
        <f>SUM(Oct!C19, Nov!C19, Dec!C19)</f>
        <v>0</v>
      </c>
      <c r="D19" s="42">
        <f>SUM(Oct!D19, Nov!D19, Dec!D19)</f>
        <v>0</v>
      </c>
      <c r="E19" s="42">
        <f t="shared" si="3"/>
        <v>0</v>
      </c>
      <c r="F19" s="43" t="str">
        <f t="shared" si="4"/>
        <v/>
      </c>
      <c r="G19" s="42">
        <f>SUM(Oct!G19,Nov!G19,Dec!G19)</f>
        <v>0</v>
      </c>
      <c r="H19" s="44">
        <f>SUM(Oct!H19, Nov!H19, Dec!H19)</f>
        <v>0</v>
      </c>
      <c r="I19" s="43" t="str">
        <f t="shared" si="5"/>
        <v/>
      </c>
    </row>
    <row r="20" spans="1:9" ht="15.6">
      <c r="A20" s="53" t="str">
        <v>Jessup -7950 Oceano Ave</v>
      </c>
      <c r="B20" s="33" t="str">
        <v>MD</v>
      </c>
      <c r="C20" s="34">
        <f>SUM(Oct!C20, Nov!C20, Dec!C20)</f>
        <v>0</v>
      </c>
      <c r="D20" s="35">
        <f>SUM(Oct!D20, Nov!D20, Dec!D20)</f>
        <v>0</v>
      </c>
      <c r="E20" s="35">
        <f t="shared" si="3"/>
        <v>0</v>
      </c>
      <c r="F20" s="36" t="str">
        <f t="shared" si="4"/>
        <v/>
      </c>
      <c r="G20" s="37">
        <f>SUM(Oct!G20,Nov!G20,Dec!G20)</f>
        <v>0</v>
      </c>
      <c r="H20" s="37">
        <f>SUM(Oct!H20, Nov!H20, Dec!H20)</f>
        <v>0</v>
      </c>
      <c r="I20" s="38" t="str">
        <f t="shared" si="5"/>
        <v/>
      </c>
    </row>
    <row r="21" spans="1:9" ht="15.6">
      <c r="A21" s="54" t="str">
        <v xml:space="preserve">TX: Fort Worth - 5200 Gold Spike Dr </v>
      </c>
      <c r="B21" s="40" t="str">
        <v>TX</v>
      </c>
      <c r="C21" s="41">
        <f>SUM(Oct!C21, Nov!C21, Dec!C21)</f>
        <v>0</v>
      </c>
      <c r="D21" s="42">
        <f>SUM(Oct!D21, Nov!D21, Dec!D21)</f>
        <v>0</v>
      </c>
      <c r="E21" s="42">
        <f t="shared" si="3"/>
        <v>0</v>
      </c>
      <c r="F21" s="43"/>
      <c r="G21" s="42">
        <f>SUM(Oct!G21,Nov!G21,Dec!G21)</f>
        <v>0</v>
      </c>
      <c r="H21" s="44">
        <f>SUM(Oct!H21, Nov!H21, Dec!H21)</f>
        <v>0</v>
      </c>
      <c r="I21" s="43"/>
    </row>
    <row r="22" spans="1:9" ht="14.45">
      <c r="A22" s="13"/>
      <c r="B22" s="8"/>
      <c r="C22" s="21"/>
      <c r="D22" s="10"/>
      <c r="E22" s="10"/>
      <c r="F22" s="11"/>
      <c r="G22" s="12"/>
      <c r="H22" s="12"/>
      <c r="I22" s="11"/>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E4" activePane="bottomRight" state="frozen"/>
      <selection pane="bottomRight" activeCell="J22" sqref="J22"/>
      <selection pane="bottomLeft" activeCell="E11" sqref="E11"/>
      <selection pane="topRight" activeCell="E11" sqref="E11"/>
    </sheetView>
  </sheetViews>
  <sheetFormatPr defaultRowHeight="13.9"/>
  <cols>
    <col min="1" max="1" width="28.7109375" bestFit="1"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6" ht="15.6">
      <c r="A1" s="99" t="str" cm="1">
        <f t="array" ref="A1">portfolio</f>
        <v>Catalyze</v>
      </c>
      <c r="B1" s="99"/>
      <c r="C1" s="99"/>
      <c r="D1" s="100" t="s">
        <v>18</v>
      </c>
      <c r="E1" s="100"/>
      <c r="F1" s="100"/>
      <c r="G1" s="98" t="s">
        <v>19</v>
      </c>
      <c r="H1" s="98"/>
      <c r="I1" s="98"/>
      <c r="J1" s="4"/>
      <c r="K1" s="4"/>
    </row>
    <row r="2" spans="1:16" ht="15.6">
      <c r="A2" s="101" t="s">
        <v>2</v>
      </c>
      <c r="B2" s="101"/>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7" t="s">
        <v>3</v>
      </c>
      <c r="B3" s="17" t="s">
        <v>4</v>
      </c>
      <c r="C3" s="25" t="s">
        <v>5</v>
      </c>
      <c r="D3" s="26" t="s">
        <v>6</v>
      </c>
      <c r="E3" s="26" t="s">
        <v>7</v>
      </c>
      <c r="F3" s="27" t="s">
        <v>8</v>
      </c>
      <c r="G3" s="31" t="s">
        <v>9</v>
      </c>
      <c r="H3" s="29" t="s">
        <v>7</v>
      </c>
      <c r="I3" s="30" t="s">
        <v>8</v>
      </c>
      <c r="J3" s="15" t="s">
        <v>20</v>
      </c>
      <c r="K3" s="15" t="s">
        <v>21</v>
      </c>
    </row>
    <row r="4" spans="1:16" ht="28.9">
      <c r="A4" s="49" t="str" cm="1">
        <f t="array" ref="A4:A21">Sites[Site]</f>
        <v>Fresno - 3150 Shaw Ave</v>
      </c>
      <c r="B4" s="46" t="str" cm="1">
        <f t="array" ref="B4:B21">Sites[State]</f>
        <v>CA</v>
      </c>
      <c r="C4" s="34">
        <v>53422.875</v>
      </c>
      <c r="D4" s="35">
        <v>50400.42</v>
      </c>
      <c r="E4" s="35">
        <f>IF(AND(ISNUMBER(C4),ISNUMBER(D4)), C4-D4, "")</f>
        <v>3022.4550000000017</v>
      </c>
      <c r="F4" s="38">
        <f>IFERROR(E4/D4, "")</f>
        <v>5.9968845497716125E-2</v>
      </c>
      <c r="G4" s="37">
        <v>49997</v>
      </c>
      <c r="H4" s="37">
        <f>IF(AND(ISNUMBER(C4),ISNUMBER(G4)), C4-G4, "")</f>
        <v>3425.875</v>
      </c>
      <c r="I4" s="38">
        <f>IFERROR(H4/G4, "")</f>
        <v>6.8521611296677803E-2</v>
      </c>
      <c r="J4" s="55" t="s">
        <v>22</v>
      </c>
      <c r="K4" s="73" t="s">
        <v>23</v>
      </c>
      <c r="L4" s="77"/>
      <c r="M4" s="77"/>
      <c r="N4" s="77"/>
      <c r="O4" s="77"/>
    </row>
    <row r="5" spans="1:16" ht="111.75" customHeight="1">
      <c r="A5" s="51" t="str">
        <v>Adelanto - 1 Sheep Creek Road</v>
      </c>
      <c r="B5" s="48" t="str">
        <v>CA</v>
      </c>
      <c r="C5" s="42">
        <v>434343</v>
      </c>
      <c r="D5" s="42">
        <v>163616.26999999999</v>
      </c>
      <c r="E5" s="42">
        <f t="shared" ref="E5:E15" si="0">IF(AND(ISNUMBER(C5),ISNUMBER(D5)), C5-D5, "")</f>
        <v>270726.73</v>
      </c>
      <c r="F5" s="43">
        <f t="shared" ref="F5:F21" si="1">IFERROR(E5/D5, "")</f>
        <v>1.6546443089064431</v>
      </c>
      <c r="G5" s="44">
        <v>479912.62</v>
      </c>
      <c r="H5" s="44">
        <f t="shared" ref="H5:H6" si="2">IF(AND(ISNUMBER(C5),ISNUMBER(G5)), C5-G5, "")</f>
        <v>-45569.619999999995</v>
      </c>
      <c r="I5" s="43">
        <f t="shared" ref="I5:I6" si="3">IFERROR(H5/G5, "")</f>
        <v>-9.4953993916642568E-2</v>
      </c>
      <c r="J5" s="64" t="s">
        <v>24</v>
      </c>
      <c r="K5" s="74" t="s">
        <v>25</v>
      </c>
      <c r="L5" s="78" t="s">
        <v>26</v>
      </c>
      <c r="M5" s="78" t="s">
        <v>27</v>
      </c>
      <c r="N5" s="78" t="s">
        <v>28</v>
      </c>
      <c r="O5" s="77"/>
    </row>
    <row r="6" spans="1:16" ht="171.75" customHeight="1">
      <c r="A6" s="49" t="str">
        <v>Blackstone - 83 Federal Street</v>
      </c>
      <c r="B6" s="46" t="str">
        <v>MA</v>
      </c>
      <c r="C6" s="34">
        <v>221322</v>
      </c>
      <c r="D6" s="35">
        <v>519101.6</v>
      </c>
      <c r="E6" s="35">
        <f t="shared" si="0"/>
        <v>-297779.59999999998</v>
      </c>
      <c r="F6" s="38">
        <f t="shared" si="1"/>
        <v>-0.57364415752137921</v>
      </c>
      <c r="G6" s="37">
        <v>384369.8</v>
      </c>
      <c r="H6" s="37">
        <f t="shared" si="2"/>
        <v>-163047.79999999999</v>
      </c>
      <c r="I6" s="38">
        <f t="shared" si="3"/>
        <v>-0.42419513707892764</v>
      </c>
      <c r="J6" s="55" t="s">
        <v>29</v>
      </c>
      <c r="K6" s="73" t="s">
        <v>30</v>
      </c>
      <c r="L6" s="78" t="s">
        <v>31</v>
      </c>
      <c r="M6" s="78" t="s">
        <v>32</v>
      </c>
      <c r="N6" s="78" t="s">
        <v>33</v>
      </c>
      <c r="O6" s="78" t="s">
        <v>34</v>
      </c>
      <c r="P6" s="75" t="s">
        <v>35</v>
      </c>
    </row>
    <row r="7" spans="1:16" ht="15.6">
      <c r="A7" s="51" t="str">
        <v>Charlton - 299 Worcester Road</v>
      </c>
      <c r="B7" s="48" t="str">
        <v>MA</v>
      </c>
      <c r="C7" s="42">
        <v>23675</v>
      </c>
      <c r="D7" s="42">
        <v>33780.06</v>
      </c>
      <c r="E7" s="42">
        <f t="shared" si="0"/>
        <v>-10105.059999999998</v>
      </c>
      <c r="F7" s="43">
        <f t="shared" si="1"/>
        <v>-0.29914274871033381</v>
      </c>
      <c r="G7" s="44">
        <v>31670.95</v>
      </c>
      <c r="H7" s="44">
        <f t="shared" ref="H7:H15" si="4">IF(AND(ISNUMBER(C7),ISNUMBER(G7)), C7-G7, "")</f>
        <v>-7995.9500000000007</v>
      </c>
      <c r="I7" s="43">
        <f t="shared" ref="I7:I15" si="5">IFERROR(H7/G7, "")</f>
        <v>-0.25246953438403336</v>
      </c>
      <c r="J7" s="56" t="s">
        <v>36</v>
      </c>
      <c r="K7" s="56"/>
      <c r="L7" s="77"/>
      <c r="M7" s="77"/>
      <c r="N7" s="77"/>
      <c r="O7" s="77"/>
    </row>
    <row r="8" spans="1:16" ht="15.6">
      <c r="A8" s="49" t="str">
        <v>Wareham - 8 Thatcher Drive</v>
      </c>
      <c r="B8" s="46" t="str">
        <v>MA</v>
      </c>
      <c r="C8" s="34">
        <v>7554.0625</v>
      </c>
      <c r="D8" s="35">
        <v>9317.2880000000005</v>
      </c>
      <c r="E8" s="35">
        <f t="shared" si="0"/>
        <v>-1763.2255000000005</v>
      </c>
      <c r="F8" s="38">
        <f t="shared" si="1"/>
        <v>-0.18924235249570481</v>
      </c>
      <c r="G8" s="37">
        <v>8974.43</v>
      </c>
      <c r="H8" s="37">
        <f t="shared" si="4"/>
        <v>-1420.3675000000003</v>
      </c>
      <c r="I8" s="38">
        <f t="shared" si="5"/>
        <v>-0.15826826884827228</v>
      </c>
      <c r="J8" s="55" t="s">
        <v>36</v>
      </c>
      <c r="K8" s="55"/>
      <c r="L8" s="77"/>
      <c r="M8" s="77"/>
      <c r="N8" s="77"/>
      <c r="O8" s="77"/>
    </row>
    <row r="9" spans="1:16" ht="26.45">
      <c r="A9" s="51" t="str">
        <v>West Yarmouth - 42 Mid Tech</v>
      </c>
      <c r="B9" s="48" t="str">
        <v>MA</v>
      </c>
      <c r="C9" s="42">
        <v>5192.6951828540796</v>
      </c>
      <c r="D9" s="42">
        <v>6591.808</v>
      </c>
      <c r="E9" s="42">
        <f t="shared" si="0"/>
        <v>-1399.1128171459204</v>
      </c>
      <c r="F9" s="43">
        <f t="shared" si="1"/>
        <v>-0.21225023804484602</v>
      </c>
      <c r="G9" s="44">
        <v>6769.91</v>
      </c>
      <c r="H9" s="44">
        <f t="shared" si="4"/>
        <v>-1577.2148171459203</v>
      </c>
      <c r="I9" s="43">
        <f t="shared" si="5"/>
        <v>-0.2329742665923063</v>
      </c>
      <c r="J9" s="64" t="s">
        <v>37</v>
      </c>
      <c r="K9" s="74" t="s">
        <v>38</v>
      </c>
      <c r="L9" s="78" t="s">
        <v>39</v>
      </c>
      <c r="M9" s="77"/>
      <c r="N9" s="77"/>
      <c r="O9" s="77"/>
    </row>
    <row r="10" spans="1:16" ht="15.6">
      <c r="A10" s="49" t="str">
        <v>Harrison - 130 Union Street</v>
      </c>
      <c r="B10" s="46" t="str">
        <v>NY</v>
      </c>
      <c r="C10" s="34">
        <v>9045.625</v>
      </c>
      <c r="D10" s="35">
        <v>14196.66</v>
      </c>
      <c r="E10" s="35">
        <f t="shared" si="0"/>
        <v>-5151.0349999999999</v>
      </c>
      <c r="F10" s="38">
        <f t="shared" si="1"/>
        <v>-0.36283428637440074</v>
      </c>
      <c r="G10" s="37">
        <v>10694.18</v>
      </c>
      <c r="H10" s="37">
        <f t="shared" si="4"/>
        <v>-1648.5550000000003</v>
      </c>
      <c r="I10" s="38">
        <f t="shared" si="5"/>
        <v>-0.15415440922071633</v>
      </c>
      <c r="J10" s="55" t="s">
        <v>36</v>
      </c>
      <c r="K10" s="55"/>
      <c r="L10" s="77"/>
      <c r="M10" s="77"/>
      <c r="N10" s="77"/>
      <c r="O10" s="77"/>
    </row>
    <row r="11" spans="1:16" ht="15.6">
      <c r="A11" s="51" t="str">
        <v>Staten Island - Ellis Storage</v>
      </c>
      <c r="B11" s="48" t="str">
        <v>NY</v>
      </c>
      <c r="C11" s="42">
        <v>22396.625</v>
      </c>
      <c r="D11" s="42">
        <v>27928.2</v>
      </c>
      <c r="E11" s="42">
        <f t="shared" si="0"/>
        <v>-5531.5750000000007</v>
      </c>
      <c r="F11" s="43">
        <f t="shared" si="1"/>
        <v>-0.19806414305254189</v>
      </c>
      <c r="G11" s="44">
        <v>22865</v>
      </c>
      <c r="H11" s="44">
        <f t="shared" si="4"/>
        <v>-468.375</v>
      </c>
      <c r="I11" s="43">
        <f t="shared" si="5"/>
        <v>-2.0484364749617318E-2</v>
      </c>
      <c r="J11" s="56" t="s">
        <v>36</v>
      </c>
      <c r="K11" s="56"/>
      <c r="L11" s="77"/>
      <c r="M11" s="77"/>
      <c r="N11" s="77"/>
      <c r="O11" s="77"/>
    </row>
    <row r="12" spans="1:16" ht="28.9">
      <c r="A12" s="49" t="str">
        <v>Amherst - 595 Scholles Road</v>
      </c>
      <c r="B12" s="46" t="str">
        <v>NY</v>
      </c>
      <c r="C12" s="34">
        <v>176317</v>
      </c>
      <c r="D12" s="35">
        <v>351737</v>
      </c>
      <c r="E12" s="35">
        <f t="shared" si="0"/>
        <v>-175420</v>
      </c>
      <c r="F12" s="38">
        <f t="shared" si="1"/>
        <v>-0.49872489956984906</v>
      </c>
      <c r="G12" s="37">
        <v>279121.59999999998</v>
      </c>
      <c r="H12" s="37">
        <f t="shared" si="4"/>
        <v>-102804.59999999998</v>
      </c>
      <c r="I12" s="38">
        <f t="shared" si="5"/>
        <v>-0.36831474167531281</v>
      </c>
      <c r="J12" s="55" t="s">
        <v>40</v>
      </c>
      <c r="K12" s="73" t="s">
        <v>41</v>
      </c>
      <c r="L12" s="77"/>
      <c r="M12" s="77"/>
      <c r="N12" s="77"/>
      <c r="O12" s="77"/>
    </row>
    <row r="13" spans="1:16" ht="15.6">
      <c r="A13" s="51" t="str">
        <v>Lancaster 1 - Gunnville Road</v>
      </c>
      <c r="B13" s="48" t="str">
        <v>NY</v>
      </c>
      <c r="C13" s="42">
        <v>167972</v>
      </c>
      <c r="D13" s="42">
        <v>298839.7</v>
      </c>
      <c r="E13" s="42">
        <f t="shared" si="0"/>
        <v>-130867.70000000001</v>
      </c>
      <c r="F13" s="43">
        <f t="shared" si="1"/>
        <v>-0.43791939290529341</v>
      </c>
      <c r="G13" s="44">
        <v>191771</v>
      </c>
      <c r="H13" s="44">
        <f t="shared" si="4"/>
        <v>-23799</v>
      </c>
      <c r="I13" s="43">
        <f t="shared" si="5"/>
        <v>-0.12410114146560221</v>
      </c>
      <c r="J13" s="56" t="s">
        <v>36</v>
      </c>
      <c r="K13" s="56"/>
      <c r="L13" s="77"/>
      <c r="M13" s="77"/>
      <c r="N13" s="77"/>
      <c r="O13" s="77"/>
    </row>
    <row r="14" spans="1:16" ht="62.25" customHeight="1">
      <c r="A14" s="49" t="str">
        <v>Lancaster 2 - Shisler Road</v>
      </c>
      <c r="B14" s="46" t="str">
        <v>NY</v>
      </c>
      <c r="C14" s="34">
        <v>146912</v>
      </c>
      <c r="D14" s="35">
        <v>352791.9</v>
      </c>
      <c r="E14" s="35">
        <f t="shared" si="0"/>
        <v>-205879.90000000002</v>
      </c>
      <c r="F14" s="38">
        <f t="shared" si="1"/>
        <v>-0.58357320562065063</v>
      </c>
      <c r="G14" s="37">
        <v>204880</v>
      </c>
      <c r="H14" s="37">
        <f t="shared" si="4"/>
        <v>-57968</v>
      </c>
      <c r="I14" s="38">
        <f t="shared" si="5"/>
        <v>-0.28293635298711439</v>
      </c>
      <c r="J14" s="55" t="s">
        <v>42</v>
      </c>
      <c r="K14" s="73" t="s">
        <v>43</v>
      </c>
      <c r="L14" s="78" t="s">
        <v>44</v>
      </c>
      <c r="M14" s="78" t="s">
        <v>45</v>
      </c>
      <c r="N14" s="78" t="s">
        <v>46</v>
      </c>
      <c r="O14" s="77"/>
    </row>
    <row r="15" spans="1:16" ht="15.6">
      <c r="A15" s="51" t="str">
        <v>Fullerton - 200 W Orangethorpe</v>
      </c>
      <c r="B15" s="48" t="str">
        <v>CA</v>
      </c>
      <c r="C15" s="42">
        <v>63628.546250000101</v>
      </c>
      <c r="D15" s="42">
        <v>73372.12</v>
      </c>
      <c r="E15" s="42">
        <f t="shared" si="0"/>
        <v>-9743.5737499998941</v>
      </c>
      <c r="F15" s="43">
        <f t="shared" si="1"/>
        <v>-0.13279667740280496</v>
      </c>
      <c r="G15" s="44">
        <v>74894</v>
      </c>
      <c r="H15" s="44">
        <f t="shared" si="4"/>
        <v>-11265.453749999899</v>
      </c>
      <c r="I15" s="43">
        <f t="shared" si="5"/>
        <v>-0.15041864168024005</v>
      </c>
      <c r="J15" s="56" t="s">
        <v>36</v>
      </c>
      <c r="K15" s="56"/>
      <c r="L15" s="77"/>
      <c r="M15" s="77"/>
      <c r="N15" s="77"/>
      <c r="O15" s="77"/>
    </row>
    <row r="16" spans="1:16" ht="15.6">
      <c r="A16" s="49" t="str">
        <v>El Paso - 10500 Railroad Drive</v>
      </c>
      <c r="B16" s="46" t="str">
        <v>TX</v>
      </c>
      <c r="C16" s="34">
        <v>93351.5</v>
      </c>
      <c r="D16" s="35">
        <v>90713.1</v>
      </c>
      <c r="E16" s="35">
        <f t="shared" ref="E16:E21" si="6">IF(AND(ISNUMBER(C16),ISNUMBER(D16)), C16-D16, "")</f>
        <v>2638.3999999999942</v>
      </c>
      <c r="F16" s="38">
        <f t="shared" si="1"/>
        <v>2.9085104576957396E-2</v>
      </c>
      <c r="G16" s="37">
        <v>95865</v>
      </c>
      <c r="H16" s="37">
        <f t="shared" ref="H16:H21" si="7">IF(AND(ISNUMBER(C16),ISNUMBER(G16)), C16-G16, "")</f>
        <v>-2513.5</v>
      </c>
      <c r="I16" s="38">
        <f t="shared" ref="I16:I21" si="8">IFERROR(H16/G16, "")</f>
        <v>-2.6219162363740677E-2</v>
      </c>
      <c r="J16" s="55"/>
      <c r="K16" s="55"/>
      <c r="L16" s="77"/>
      <c r="M16" s="77"/>
      <c r="N16" s="77"/>
      <c r="O16" s="77"/>
    </row>
    <row r="17" spans="1:15" ht="28.9">
      <c r="A17" s="51" t="str">
        <v>Friona - 900 Millard Ave</v>
      </c>
      <c r="B17" s="47" t="str">
        <v>TX</v>
      </c>
      <c r="C17" s="42">
        <v>69688.25</v>
      </c>
      <c r="D17" s="42">
        <v>68867.83</v>
      </c>
      <c r="E17" s="42">
        <f t="shared" si="6"/>
        <v>820.41999999999825</v>
      </c>
      <c r="F17" s="38">
        <f t="shared" si="1"/>
        <v>1.1912964296972885E-2</v>
      </c>
      <c r="G17" s="44">
        <v>72736</v>
      </c>
      <c r="H17" s="44">
        <f t="shared" si="7"/>
        <v>-3047.75</v>
      </c>
      <c r="I17" s="38">
        <f t="shared" si="8"/>
        <v>-4.1901534315882095E-2</v>
      </c>
      <c r="J17" s="56" t="s">
        <v>47</v>
      </c>
      <c r="K17" s="76" t="s">
        <v>48</v>
      </c>
      <c r="L17" s="77"/>
      <c r="M17" s="77"/>
      <c r="N17" s="77"/>
      <c r="O17" s="77"/>
    </row>
    <row r="18" spans="1:15" ht="15.6">
      <c r="A18" s="49" t="str">
        <v>Augusta - 13 York Farm Road</v>
      </c>
      <c r="B18" s="46" t="str">
        <v>ME</v>
      </c>
      <c r="C18" s="34">
        <v>69027.875</v>
      </c>
      <c r="D18" s="35">
        <v>131266.29999999999</v>
      </c>
      <c r="E18" s="35">
        <f t="shared" si="6"/>
        <v>-62238.424999999988</v>
      </c>
      <c r="F18" s="38">
        <f t="shared" si="1"/>
        <v>-0.47413864030600383</v>
      </c>
      <c r="G18" s="37">
        <v>92474</v>
      </c>
      <c r="H18" s="37">
        <f t="shared" si="7"/>
        <v>-23446.125</v>
      </c>
      <c r="I18" s="38">
        <f t="shared" si="8"/>
        <v>-0.25354288773060535</v>
      </c>
      <c r="J18" s="55" t="s">
        <v>36</v>
      </c>
      <c r="K18" s="55"/>
      <c r="L18" s="77"/>
      <c r="M18" s="77"/>
      <c r="N18" s="77"/>
      <c r="O18" s="77"/>
    </row>
    <row r="19" spans="1:15" ht="15.6">
      <c r="A19" s="47" t="str">
        <v xml:space="preserve">Santa Ana - 1441 West </v>
      </c>
      <c r="B19" s="48" t="str">
        <v>CA</v>
      </c>
      <c r="C19" s="41">
        <v>36286.8125</v>
      </c>
      <c r="D19" s="42">
        <v>40826.68</v>
      </c>
      <c r="E19" s="42">
        <f t="shared" si="6"/>
        <v>-4539.8675000000003</v>
      </c>
      <c r="F19" s="38">
        <f t="shared" si="1"/>
        <v>-0.11119854712653589</v>
      </c>
      <c r="G19" s="44">
        <v>47186.47</v>
      </c>
      <c r="H19" s="44">
        <f t="shared" si="7"/>
        <v>-10899.657500000001</v>
      </c>
      <c r="I19" s="71">
        <f t="shared" si="8"/>
        <v>-0.23099116123753272</v>
      </c>
      <c r="J19" s="72" t="s">
        <v>36</v>
      </c>
      <c r="K19" s="57"/>
      <c r="L19" s="77"/>
      <c r="M19" s="77"/>
      <c r="N19" s="77"/>
      <c r="O19" s="77"/>
    </row>
    <row r="20" spans="1:15" ht="15.6">
      <c r="A20" s="49" t="str">
        <v>Jessup -7950 Oceano Ave</v>
      </c>
      <c r="B20" s="46" t="str">
        <v>MD</v>
      </c>
      <c r="C20" s="34">
        <v>84487.625</v>
      </c>
      <c r="D20" s="35">
        <v>145532</v>
      </c>
      <c r="E20" s="35">
        <f t="shared" si="6"/>
        <v>-61044.375</v>
      </c>
      <c r="F20" s="38">
        <f t="shared" si="1"/>
        <v>-0.41945671742297225</v>
      </c>
      <c r="G20" s="37">
        <v>121367.7</v>
      </c>
      <c r="H20" s="37">
        <f t="shared" si="7"/>
        <v>-36880.074999999997</v>
      </c>
      <c r="I20" s="38">
        <f t="shared" si="8"/>
        <v>-0.30387059324680288</v>
      </c>
      <c r="J20" s="55" t="s">
        <v>49</v>
      </c>
      <c r="K20" s="73" t="s">
        <v>50</v>
      </c>
      <c r="L20" s="77"/>
      <c r="M20" s="77"/>
      <c r="N20" s="77"/>
      <c r="O20" s="77"/>
    </row>
    <row r="21" spans="1:15" ht="15.6">
      <c r="A21" s="47" t="str">
        <v xml:space="preserve">TX: Fort Worth - 5200 Gold Spike Dr </v>
      </c>
      <c r="B21" s="48" t="str">
        <v>TX</v>
      </c>
      <c r="C21" s="41"/>
      <c r="D21" s="42"/>
      <c r="E21" s="42" t="str">
        <f t="shared" si="6"/>
        <v/>
      </c>
      <c r="F21" s="38" t="str">
        <f t="shared" si="1"/>
        <v/>
      </c>
      <c r="G21" s="44"/>
      <c r="H21" s="44" t="str">
        <f t="shared" si="7"/>
        <v/>
      </c>
      <c r="I21" s="71" t="str">
        <f t="shared" si="8"/>
        <v/>
      </c>
      <c r="J21" s="72"/>
      <c r="K21" s="57"/>
      <c r="L21" s="77"/>
      <c r="M21" s="77"/>
      <c r="N21" s="77"/>
      <c r="O21" s="77"/>
    </row>
    <row r="22" spans="1:15" ht="14.45">
      <c r="A22" s="13"/>
      <c r="B22" s="18"/>
      <c r="C22" s="13"/>
      <c r="D22" s="13"/>
      <c r="E22" s="13"/>
      <c r="F22" s="13"/>
      <c r="G22" s="13"/>
      <c r="H22" s="13"/>
      <c r="I22" s="13"/>
      <c r="J22" s="13"/>
      <c r="K22" s="13"/>
    </row>
    <row r="23" spans="1:15" ht="14.45">
      <c r="A23" s="13"/>
      <c r="B23" s="18"/>
      <c r="C23" s="13"/>
      <c r="D23" s="13"/>
      <c r="E23" s="13"/>
      <c r="F23" s="13"/>
      <c r="G23" s="13"/>
      <c r="H23" s="13"/>
      <c r="I23" s="13"/>
      <c r="J23" s="13"/>
      <c r="K23" s="13"/>
    </row>
    <row r="24" spans="1:15" ht="14.45">
      <c r="A24" s="13"/>
      <c r="B24" s="18"/>
      <c r="C24" s="13"/>
      <c r="D24" s="13"/>
      <c r="E24" s="13"/>
      <c r="F24" s="14"/>
      <c r="G24" s="13"/>
      <c r="H24" s="13"/>
      <c r="I24" s="14"/>
      <c r="J24" s="13"/>
      <c r="K24" s="13"/>
    </row>
    <row r="25" spans="1:15" ht="14.45">
      <c r="A25" s="13"/>
      <c r="B25" s="18"/>
      <c r="C25" s="13"/>
      <c r="D25" s="13"/>
      <c r="E25" s="13"/>
      <c r="F25" s="14"/>
      <c r="G25" s="13"/>
      <c r="H25" s="13"/>
      <c r="I25" s="14"/>
      <c r="J25" s="13"/>
      <c r="K25" s="13"/>
    </row>
    <row r="26" spans="1:15" ht="14.45">
      <c r="A26" s="13"/>
      <c r="B26" s="18"/>
      <c r="C26" s="13"/>
      <c r="D26" s="13"/>
      <c r="E26" s="13"/>
      <c r="F26" s="14"/>
      <c r="G26" s="13"/>
      <c r="H26" s="13"/>
      <c r="I26" s="14"/>
      <c r="J26" s="13"/>
      <c r="K26" s="13"/>
    </row>
    <row r="27" spans="1:15" ht="14.45">
      <c r="A27" s="13"/>
      <c r="B27" s="18"/>
      <c r="C27" s="13"/>
      <c r="D27" s="13"/>
      <c r="E27" s="13"/>
      <c r="F27" s="14"/>
      <c r="G27" s="13"/>
      <c r="H27" s="13"/>
      <c r="I27" s="14"/>
      <c r="J27" s="13"/>
      <c r="K27" s="13"/>
    </row>
    <row r="28" spans="1:15" ht="14.45">
      <c r="A28" s="13"/>
      <c r="B28" s="18"/>
      <c r="C28" s="13"/>
      <c r="D28" s="13"/>
      <c r="E28" s="13"/>
      <c r="F28" s="14"/>
      <c r="G28" s="13"/>
      <c r="H28" s="13"/>
      <c r="I28" s="14"/>
      <c r="J28" s="13"/>
      <c r="K28" s="13"/>
    </row>
    <row r="29" spans="1:15" ht="14.45">
      <c r="A29" s="13"/>
      <c r="B29" s="18"/>
      <c r="C29" s="13"/>
      <c r="D29" s="13"/>
      <c r="E29" s="13"/>
      <c r="F29" s="14"/>
      <c r="G29" s="13"/>
      <c r="H29" s="13"/>
      <c r="I29" s="14"/>
      <c r="J29" s="13"/>
      <c r="K29" s="13"/>
    </row>
    <row r="30" spans="1:15" ht="14.45">
      <c r="A30" s="13"/>
      <c r="B30" s="18"/>
      <c r="C30" s="13"/>
      <c r="D30" s="13"/>
      <c r="E30" s="13"/>
      <c r="F30" s="14"/>
      <c r="G30" s="13"/>
      <c r="H30" s="13"/>
      <c r="I30" s="14"/>
      <c r="J30" s="13"/>
      <c r="K30" s="13"/>
    </row>
    <row r="31" spans="1:15" ht="14.45">
      <c r="A31" s="13"/>
      <c r="B31" s="18"/>
      <c r="C31" s="13"/>
      <c r="D31" s="13"/>
      <c r="E31" s="13"/>
      <c r="F31" s="14"/>
      <c r="G31" s="13"/>
      <c r="H31" s="13"/>
      <c r="I31" s="14"/>
      <c r="J31" s="13"/>
      <c r="K31" s="13"/>
    </row>
    <row r="32" spans="1:15"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 min="12" max="13" width="8.85546875" style="77"/>
  </cols>
  <sheetData>
    <row r="1" spans="1:13" ht="19.5" customHeight="1">
      <c r="A1" s="99" t="str" cm="1">
        <f t="array" ref="A1">portfolio</f>
        <v>Catalyze</v>
      </c>
      <c r="B1" s="99"/>
      <c r="C1" s="99"/>
      <c r="D1" s="100" t="s">
        <v>51</v>
      </c>
      <c r="E1" s="100"/>
      <c r="F1" s="100"/>
      <c r="G1" s="98" t="s">
        <v>52</v>
      </c>
      <c r="H1" s="98"/>
      <c r="I1" s="98"/>
      <c r="J1" s="4"/>
      <c r="K1" s="4"/>
    </row>
    <row r="2" spans="1:13" ht="19.5" customHeight="1">
      <c r="A2" s="101" t="s">
        <v>2</v>
      </c>
      <c r="B2" s="101"/>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6" t="str">
        <f ca="1">IF(AND(TODAY()&gt;DATE(2024, 2, 1), COUNTA(Sites[Site])&lt;&gt;(COUNT(C:C)-1)), "Some sites are missing actual data; if new sites were added, make sure they are aligned correctly (including prior months!)", "")</f>
        <v/>
      </c>
      <c r="K2" s="4"/>
    </row>
    <row r="3" spans="1:13" ht="14.25" customHeight="1">
      <c r="A3" s="17" t="s">
        <v>3</v>
      </c>
      <c r="B3" s="17" t="s">
        <v>4</v>
      </c>
      <c r="C3" s="25" t="s">
        <v>5</v>
      </c>
      <c r="D3" s="26" t="s">
        <v>6</v>
      </c>
      <c r="E3" s="26" t="s">
        <v>7</v>
      </c>
      <c r="F3" s="27" t="s">
        <v>8</v>
      </c>
      <c r="G3" s="28" t="s">
        <v>9</v>
      </c>
      <c r="H3" s="29" t="s">
        <v>7</v>
      </c>
      <c r="I3" s="30" t="s">
        <v>8</v>
      </c>
      <c r="J3" s="15" t="s">
        <v>20</v>
      </c>
      <c r="K3" s="15" t="s">
        <v>21</v>
      </c>
    </row>
    <row r="4" spans="1:13" ht="57.6">
      <c r="A4" s="50" t="str" cm="1">
        <f t="array" ref="A4:A21">Sites[Site]</f>
        <v>Fresno - 3150 Shaw Ave</v>
      </c>
      <c r="B4" s="46" t="str" cm="1">
        <f t="array" ref="B4:B21">Sites[State]</f>
        <v>CA</v>
      </c>
      <c r="C4" s="34">
        <v>55837</v>
      </c>
      <c r="D4" s="35">
        <v>53033.79</v>
      </c>
      <c r="E4" s="35">
        <f>IF(AND(ISNUMBER(C4),ISNUMBER(D4)), C4-D4, "")</f>
        <v>2803.2099999999991</v>
      </c>
      <c r="F4" s="36">
        <f>IFERROR(E4/D4, "")</f>
        <v>5.2857055850618992E-2</v>
      </c>
      <c r="G4" s="37">
        <v>57896.36</v>
      </c>
      <c r="H4" s="37">
        <f>IF(AND(ISNUMBER(C4),ISNUMBER(G4)), C4-G4, "")</f>
        <v>-2059.3600000000006</v>
      </c>
      <c r="I4" s="38">
        <f>IFERROR(H4/G4, "")</f>
        <v>-3.556976638945869E-2</v>
      </c>
      <c r="J4" s="55" t="s">
        <v>53</v>
      </c>
      <c r="K4" s="73" t="s">
        <v>54</v>
      </c>
      <c r="L4" s="78" t="s">
        <v>55</v>
      </c>
      <c r="M4" s="78" t="s">
        <v>56</v>
      </c>
    </row>
    <row r="5" spans="1:13" ht="43.15">
      <c r="A5" s="51" t="str">
        <v>Adelanto - 1 Sheep Creek Road</v>
      </c>
      <c r="B5" s="48" t="str">
        <v>CA</v>
      </c>
      <c r="C5" s="41">
        <v>539830</v>
      </c>
      <c r="D5" s="42">
        <v>415542.92</v>
      </c>
      <c r="E5" s="42">
        <f t="shared" ref="E5:E15" si="0">IF(AND(ISNUMBER(C5),ISNUMBER(D5)), C5-D5, "")</f>
        <v>124287.08000000002</v>
      </c>
      <c r="F5" s="43">
        <f>IFERROR(E5/D5, "")</f>
        <v>0.29909565057684057</v>
      </c>
      <c r="G5" s="44">
        <v>569668.74</v>
      </c>
      <c r="H5" s="44">
        <f t="shared" ref="H5:H15" si="1">IF(AND(ISNUMBER(C5),ISNUMBER(G5)), C5-G5, "")</f>
        <v>-29838.739999999991</v>
      </c>
      <c r="I5" s="43">
        <f t="shared" ref="I5:I15" si="2">IFERROR(H5/G5, "")</f>
        <v>-5.2379107198334232E-2</v>
      </c>
      <c r="J5" s="64" t="s">
        <v>57</v>
      </c>
      <c r="K5" s="74" t="s">
        <v>58</v>
      </c>
      <c r="L5" s="78" t="s">
        <v>27</v>
      </c>
      <c r="M5" s="78" t="s">
        <v>59</v>
      </c>
    </row>
    <row r="6" spans="1:13" ht="15.6">
      <c r="A6" s="52" t="str">
        <v>Blackstone - 83 Federal Street</v>
      </c>
      <c r="B6" s="46" t="str">
        <v>MA</v>
      </c>
      <c r="C6" s="34">
        <v>344694.9</v>
      </c>
      <c r="D6" s="42">
        <v>508146.2</v>
      </c>
      <c r="E6" s="35">
        <f t="shared" si="0"/>
        <v>-163451.29999999999</v>
      </c>
      <c r="F6" s="36">
        <f t="shared" ref="F6:F15" si="3">IFERROR(E6/D6, "")</f>
        <v>-0.32166195476813558</v>
      </c>
      <c r="G6" s="37">
        <v>491267.1</v>
      </c>
      <c r="H6" s="37">
        <f t="shared" si="1"/>
        <v>-146572.19999999995</v>
      </c>
      <c r="I6" s="38">
        <f t="shared" si="2"/>
        <v>-0.29835541602521309</v>
      </c>
      <c r="J6" s="55" t="s">
        <v>60</v>
      </c>
      <c r="K6" s="73" t="s">
        <v>61</v>
      </c>
    </row>
    <row r="7" spans="1:13" ht="62.25" customHeight="1">
      <c r="A7" s="51" t="str">
        <v>Charlton - 299 Worcester Road</v>
      </c>
      <c r="B7" s="48" t="str">
        <v>MA</v>
      </c>
      <c r="C7" s="41">
        <v>27164.5</v>
      </c>
      <c r="D7" s="42">
        <v>42025.38</v>
      </c>
      <c r="E7" s="42">
        <f t="shared" si="0"/>
        <v>-14860.879999999997</v>
      </c>
      <c r="F7" s="43">
        <f t="shared" si="3"/>
        <v>-0.3536167906155756</v>
      </c>
      <c r="G7" s="44">
        <v>31343.27</v>
      </c>
      <c r="H7" s="44">
        <f t="shared" si="1"/>
        <v>-4178.7700000000004</v>
      </c>
      <c r="I7" s="43">
        <f t="shared" si="2"/>
        <v>-0.13332271967794043</v>
      </c>
      <c r="J7" s="56" t="s">
        <v>62</v>
      </c>
      <c r="K7" s="76" t="s">
        <v>63</v>
      </c>
    </row>
    <row r="8" spans="1:13" ht="15.6">
      <c r="A8" s="52" t="str">
        <v>Wareham - 8 Thatcher Drive</v>
      </c>
      <c r="B8" s="46" t="str">
        <v>MA</v>
      </c>
      <c r="C8" s="34">
        <v>9151.0625</v>
      </c>
      <c r="D8" s="42">
        <v>10698.21</v>
      </c>
      <c r="E8" s="35">
        <f t="shared" si="0"/>
        <v>-1547.1474999999991</v>
      </c>
      <c r="F8" s="36">
        <f t="shared" si="3"/>
        <v>-0.14461741730625957</v>
      </c>
      <c r="G8" s="37">
        <v>11033.87</v>
      </c>
      <c r="H8" s="37">
        <f t="shared" si="1"/>
        <v>-1882.8075000000008</v>
      </c>
      <c r="I8" s="38">
        <f t="shared" si="2"/>
        <v>-0.17063890547921995</v>
      </c>
      <c r="J8" s="55" t="s">
        <v>64</v>
      </c>
      <c r="K8" s="73"/>
    </row>
    <row r="9" spans="1:13" ht="15.6">
      <c r="A9" s="51" t="str">
        <v>West Yarmouth - 42 Mid Tech</v>
      </c>
      <c r="B9" s="48" t="str">
        <v>MA</v>
      </c>
      <c r="C9" s="41">
        <v>7255.8318474293901</v>
      </c>
      <c r="D9" s="42">
        <v>9324.2019999999993</v>
      </c>
      <c r="E9" s="42">
        <f t="shared" si="0"/>
        <v>-2068.3701525706092</v>
      </c>
      <c r="F9" s="43">
        <f t="shared" si="3"/>
        <v>-0.22182811489611759</v>
      </c>
      <c r="G9" s="44">
        <v>9379.7569999999996</v>
      </c>
      <c r="H9" s="44">
        <f t="shared" si="1"/>
        <v>-2123.9251525706095</v>
      </c>
      <c r="I9" s="43">
        <f t="shared" si="2"/>
        <v>-0.22643711906082531</v>
      </c>
      <c r="J9" s="56" t="s">
        <v>64</v>
      </c>
      <c r="K9" s="56"/>
    </row>
    <row r="10" spans="1:13" ht="15.6">
      <c r="A10" s="52" t="str">
        <v>Harrison - 130 Union Street</v>
      </c>
      <c r="B10" s="46" t="str">
        <v>NY</v>
      </c>
      <c r="C10" s="34">
        <v>13226.875</v>
      </c>
      <c r="D10" s="35">
        <v>16424.34</v>
      </c>
      <c r="E10" s="35">
        <f t="shared" si="0"/>
        <v>-3197.4650000000001</v>
      </c>
      <c r="F10" s="36">
        <f t="shared" si="3"/>
        <v>-0.1946784467442832</v>
      </c>
      <c r="G10" s="37">
        <v>14212.59</v>
      </c>
      <c r="H10" s="37">
        <f t="shared" si="1"/>
        <v>-985.71500000000015</v>
      </c>
      <c r="I10" s="38">
        <f t="shared" si="2"/>
        <v>-6.9355057734023159E-2</v>
      </c>
      <c r="J10" s="55" t="s">
        <v>36</v>
      </c>
      <c r="K10" s="55"/>
    </row>
    <row r="11" spans="1:13" ht="15.6">
      <c r="A11" s="51" t="str">
        <v>Staten Island - Ellis Storage</v>
      </c>
      <c r="B11" s="48" t="str">
        <v>NY</v>
      </c>
      <c r="C11" s="41">
        <v>31295.875</v>
      </c>
      <c r="D11" s="42">
        <v>32267.16</v>
      </c>
      <c r="E11" s="42">
        <f t="shared" si="0"/>
        <v>-971.28499999999985</v>
      </c>
      <c r="F11" s="43">
        <f t="shared" si="3"/>
        <v>-3.0101347624023927E-2</v>
      </c>
      <c r="G11" s="44">
        <v>30624.97</v>
      </c>
      <c r="H11" s="44">
        <f t="shared" si="1"/>
        <v>670.90499999999884</v>
      </c>
      <c r="I11" s="43">
        <f t="shared" si="2"/>
        <v>2.1907123500855635E-2</v>
      </c>
      <c r="J11" s="56"/>
      <c r="K11" s="56"/>
    </row>
    <row r="12" spans="1:13" ht="86.45">
      <c r="A12" s="52" t="str">
        <v>Amherst - 595 Scholles Road</v>
      </c>
      <c r="B12" s="46" t="str">
        <v>NY</v>
      </c>
      <c r="C12" s="34">
        <v>232611</v>
      </c>
      <c r="D12" s="35">
        <v>417742.3</v>
      </c>
      <c r="E12" s="35">
        <f t="shared" si="0"/>
        <v>-185131.3</v>
      </c>
      <c r="F12" s="36">
        <f t="shared" si="3"/>
        <v>-0.44317106503219805</v>
      </c>
      <c r="G12" s="37">
        <v>401280.1</v>
      </c>
      <c r="H12" s="37">
        <f t="shared" si="1"/>
        <v>-168669.09999999998</v>
      </c>
      <c r="I12" s="38">
        <f t="shared" si="2"/>
        <v>-0.42032759660895219</v>
      </c>
      <c r="J12" s="55" t="s">
        <v>65</v>
      </c>
      <c r="K12" s="73" t="s">
        <v>66</v>
      </c>
      <c r="L12" s="78" t="s">
        <v>67</v>
      </c>
      <c r="M12" s="78" t="s">
        <v>68</v>
      </c>
    </row>
    <row r="13" spans="1:13" ht="15.6">
      <c r="A13" s="51" t="str">
        <v>Lancaster 1 - Gunnville Road</v>
      </c>
      <c r="B13" s="48" t="str">
        <v>NY</v>
      </c>
      <c r="C13" s="41">
        <v>227486</v>
      </c>
      <c r="D13" s="42">
        <v>352750.8</v>
      </c>
      <c r="E13" s="42">
        <f t="shared" si="0"/>
        <v>-125264.79999999999</v>
      </c>
      <c r="F13" s="43">
        <f t="shared" si="3"/>
        <v>-0.35510847884682328</v>
      </c>
      <c r="G13" s="44">
        <v>379774.4</v>
      </c>
      <c r="H13" s="44">
        <f t="shared" si="1"/>
        <v>-152288.40000000002</v>
      </c>
      <c r="I13" s="43">
        <f t="shared" si="2"/>
        <v>-0.40099701296348572</v>
      </c>
      <c r="J13" s="89" t="s">
        <v>64</v>
      </c>
      <c r="K13" s="56"/>
    </row>
    <row r="14" spans="1:13" ht="43.15">
      <c r="A14" s="52" t="str">
        <v>Lancaster 2 - Shisler Road</v>
      </c>
      <c r="B14" s="46" t="str">
        <v>NY</v>
      </c>
      <c r="C14" s="34">
        <v>223663</v>
      </c>
      <c r="D14" s="35">
        <v>402516.6</v>
      </c>
      <c r="E14" s="35">
        <f t="shared" si="0"/>
        <v>-178853.59999999998</v>
      </c>
      <c r="F14" s="36">
        <f t="shared" si="3"/>
        <v>-0.44433844467532518</v>
      </c>
      <c r="G14" s="37">
        <v>410691.2</v>
      </c>
      <c r="H14" s="37">
        <f t="shared" si="1"/>
        <v>-187028.2</v>
      </c>
      <c r="I14" s="38">
        <f t="shared" si="2"/>
        <v>-0.45539860605730048</v>
      </c>
      <c r="J14" s="55" t="s">
        <v>69</v>
      </c>
      <c r="K14" s="73" t="s">
        <v>70</v>
      </c>
    </row>
    <row r="15" spans="1:13" ht="15.6">
      <c r="A15" s="51" t="str">
        <v>Fullerton - 200 W Orangethorpe</v>
      </c>
      <c r="B15" s="48" t="str">
        <v>CA</v>
      </c>
      <c r="C15" s="41">
        <v>73626.953749999899</v>
      </c>
      <c r="D15" s="42">
        <v>75409.94</v>
      </c>
      <c r="E15" s="42">
        <f t="shared" si="0"/>
        <v>-1782.9862500001036</v>
      </c>
      <c r="F15" s="43">
        <f t="shared" si="3"/>
        <v>-2.3643915510343907E-2</v>
      </c>
      <c r="G15" s="44">
        <v>81220.44</v>
      </c>
      <c r="H15" s="44">
        <f t="shared" si="1"/>
        <v>-7593.4862500001036</v>
      </c>
      <c r="I15" s="43">
        <f t="shared" si="2"/>
        <v>-9.3492306247049434E-2</v>
      </c>
      <c r="J15" s="56"/>
      <c r="K15" s="56"/>
    </row>
    <row r="16" spans="1:13" ht="15.6">
      <c r="A16" s="52" t="str">
        <v>El Paso - 10500 Railroad Drive</v>
      </c>
      <c r="B16" s="46" t="str">
        <v>TX</v>
      </c>
      <c r="C16" s="34">
        <v>105996.5</v>
      </c>
      <c r="D16" s="35">
        <v>100797.2</v>
      </c>
      <c r="E16" s="35">
        <f t="shared" ref="E16:E17" si="4">IF(AND(ISNUMBER(C16),ISNUMBER(D16)), C16-D16, "")</f>
        <v>5199.3000000000029</v>
      </c>
      <c r="F16" s="36">
        <f t="shared" ref="F16:F17" si="5">IFERROR(E16/D16, "")</f>
        <v>5.1581789970356347E-2</v>
      </c>
      <c r="G16" s="37">
        <v>101055</v>
      </c>
      <c r="H16" s="37">
        <f t="shared" ref="H16:H17" si="6">IF(AND(ISNUMBER(C16),ISNUMBER(G16)), C16-G16, "")</f>
        <v>4941.5</v>
      </c>
      <c r="I16" s="38">
        <f t="shared" ref="I16:I17" si="7">IFERROR(H16/G16, "")</f>
        <v>4.8899114343674235E-2</v>
      </c>
      <c r="J16" s="55"/>
      <c r="K16" s="55"/>
    </row>
    <row r="17" spans="1:13" ht="28.9">
      <c r="A17" s="51" t="str">
        <v>Friona - 900 Millard Ave</v>
      </c>
      <c r="B17" s="48" t="str">
        <v>TX</v>
      </c>
      <c r="C17" s="41">
        <v>81985.000000000204</v>
      </c>
      <c r="D17" s="42">
        <v>72229.98</v>
      </c>
      <c r="E17" s="42">
        <f t="shared" si="4"/>
        <v>9755.0200000002078</v>
      </c>
      <c r="F17" s="43">
        <f t="shared" si="5"/>
        <v>0.13505500070746534</v>
      </c>
      <c r="G17" s="44">
        <v>78972.399999999994</v>
      </c>
      <c r="H17" s="44">
        <f t="shared" si="6"/>
        <v>3012.6000000002095</v>
      </c>
      <c r="I17" s="43">
        <f t="shared" si="7"/>
        <v>3.814750469784646E-2</v>
      </c>
      <c r="J17" s="82" t="s">
        <v>71</v>
      </c>
      <c r="K17" s="88" t="s">
        <v>72</v>
      </c>
    </row>
    <row r="18" spans="1:13" ht="15.6">
      <c r="A18" s="52" t="str">
        <v>Augusta - 13 York Farm Road</v>
      </c>
      <c r="B18" s="46" t="str">
        <v>ME</v>
      </c>
      <c r="C18" s="34">
        <v>43748.5</v>
      </c>
      <c r="D18" s="35">
        <v>150180.79999999999</v>
      </c>
      <c r="E18" s="35">
        <f>IF(AND(ISNUMBER(C18),ISNUMBER(D18)), C18-D18, "")</f>
        <v>-106432.29999999999</v>
      </c>
      <c r="F18" s="36">
        <f>IFERROR(E18/D18, "")</f>
        <v>-0.70869445361857175</v>
      </c>
      <c r="G18" s="37">
        <v>115391.9</v>
      </c>
      <c r="H18" s="37">
        <f>IF(AND(ISNUMBER(C18),ISNUMBER(G18)), C18-G18, "")</f>
        <v>-71643.399999999994</v>
      </c>
      <c r="I18" s="38">
        <f>IFERROR(H18/G18, "")</f>
        <v>-0.62087026905701348</v>
      </c>
      <c r="J18" s="55" t="s">
        <v>64</v>
      </c>
      <c r="K18" s="55"/>
    </row>
    <row r="19" spans="1:13" ht="15.6">
      <c r="A19" s="47" t="str">
        <v xml:space="preserve">Santa Ana - 1441 West </v>
      </c>
      <c r="B19" s="48" t="str">
        <v>CA</v>
      </c>
      <c r="C19" s="41">
        <v>47461.375</v>
      </c>
      <c r="D19" s="42">
        <v>45475.040000000001</v>
      </c>
      <c r="E19" s="42">
        <f>IF(AND(ISNUMBER(C19),ISNUMBER(D19)), C19-D19, "")</f>
        <v>1986.3349999999991</v>
      </c>
      <c r="F19" s="43">
        <f>IFERROR(E19/D19, "")</f>
        <v>4.3679675707816841E-2</v>
      </c>
      <c r="G19" s="44">
        <v>53286.01</v>
      </c>
      <c r="H19" s="44">
        <f>IF(AND(ISNUMBER(C19),ISNUMBER(G19)), C19-G19, "")</f>
        <v>-5824.635000000002</v>
      </c>
      <c r="I19" s="43">
        <f>IFERROR(H19/G19, "")</f>
        <v>-0.10930889740102519</v>
      </c>
      <c r="J19" s="56"/>
      <c r="K19" s="57"/>
    </row>
    <row r="20" spans="1:13" ht="36" customHeight="1">
      <c r="A20" s="50" t="str">
        <v>Jessup -7950 Oceano Ave</v>
      </c>
      <c r="B20" s="46" t="str">
        <v>MD</v>
      </c>
      <c r="C20" s="34">
        <v>143523.25</v>
      </c>
      <c r="D20" s="35">
        <v>137903.29999999999</v>
      </c>
      <c r="E20" s="35">
        <f>IF(AND(ISNUMBER(C20),ISNUMBER(D20)), C20-D20, "")</f>
        <v>5619.9500000000116</v>
      </c>
      <c r="F20" s="86">
        <f>IFERROR(E20/D20, "")</f>
        <v>4.0752831875669485E-2</v>
      </c>
      <c r="G20" s="37">
        <v>143903.70000000001</v>
      </c>
      <c r="H20" s="37">
        <f>IF(AND(ISNUMBER(C20),ISNUMBER(G20)), C20-G20, "")</f>
        <v>-380.45000000001164</v>
      </c>
      <c r="I20" s="38">
        <f>IFERROR(H20/G20, "")</f>
        <v>-2.6437819180466634E-3</v>
      </c>
      <c r="J20" s="55" t="s">
        <v>73</v>
      </c>
      <c r="K20" s="73" t="s">
        <v>74</v>
      </c>
    </row>
    <row r="21" spans="1:13" ht="105" customHeight="1">
      <c r="A21" s="47" t="str">
        <v xml:space="preserve">TX: Fort Worth - 5200 Gold Spike Dr </v>
      </c>
      <c r="B21" s="48" t="str">
        <v>TX</v>
      </c>
      <c r="C21" s="41">
        <v>82092.3</v>
      </c>
      <c r="D21" s="42">
        <v>273384.2</v>
      </c>
      <c r="E21" s="84">
        <f>IF(AND(ISNUMBER(C21),ISNUMBER(D21)), C21-D21, "")</f>
        <v>-191291.90000000002</v>
      </c>
      <c r="F21" s="87">
        <f>IFERROR(E21/D21, "")</f>
        <v>-0.69971819878398245</v>
      </c>
      <c r="G21" s="85">
        <v>293318.40000000002</v>
      </c>
      <c r="H21" s="44">
        <f>IF(AND(ISNUMBER(C21),ISNUMBER(G21)), C21-G21, "")</f>
        <v>-211226.10000000003</v>
      </c>
      <c r="I21" s="43">
        <f>IFERROR(H21/G21, "")</f>
        <v>-0.72012563821430919</v>
      </c>
      <c r="J21" s="56" t="s">
        <v>75</v>
      </c>
      <c r="K21" s="74" t="s">
        <v>76</v>
      </c>
      <c r="L21" s="78" t="s">
        <v>77</v>
      </c>
      <c r="M21" s="78" t="s">
        <v>78</v>
      </c>
    </row>
    <row r="22" spans="1:13" ht="14.45">
      <c r="A22" s="13"/>
      <c r="B22" s="18"/>
      <c r="C22" s="13"/>
      <c r="D22" s="13"/>
      <c r="E22" s="13"/>
      <c r="F22" s="10"/>
      <c r="G22" s="13"/>
      <c r="H22" s="13"/>
      <c r="I22" s="13"/>
      <c r="J22" s="13"/>
      <c r="K22" s="13"/>
    </row>
    <row r="23" spans="1:13" ht="14.45">
      <c r="A23" s="13"/>
      <c r="B23" s="18"/>
      <c r="C23" s="13"/>
      <c r="D23" s="13"/>
      <c r="E23" s="13"/>
      <c r="F23" s="13"/>
      <c r="G23" s="13"/>
      <c r="H23" s="13"/>
      <c r="I23" s="13"/>
      <c r="J23" s="13"/>
      <c r="K23" s="13"/>
    </row>
    <row r="24" spans="1:13" ht="14.45">
      <c r="A24" s="13"/>
      <c r="B24" s="18"/>
      <c r="C24" s="13"/>
      <c r="D24" s="13"/>
      <c r="E24" s="13"/>
      <c r="F24" s="14"/>
      <c r="G24" s="13"/>
      <c r="H24" s="13"/>
      <c r="I24" s="14"/>
      <c r="J24" s="13"/>
      <c r="K24" s="13"/>
    </row>
    <row r="25" spans="1:13" ht="14.45">
      <c r="A25" s="13"/>
      <c r="B25" s="18"/>
      <c r="C25" s="13"/>
      <c r="D25" s="13"/>
      <c r="E25" s="13"/>
      <c r="F25" s="14"/>
      <c r="G25" s="13"/>
      <c r="H25" s="13"/>
      <c r="I25" s="14"/>
      <c r="J25" s="13"/>
      <c r="K25" s="13"/>
    </row>
    <row r="26" spans="1:13" ht="14.45">
      <c r="A26" s="13"/>
      <c r="B26" s="18"/>
      <c r="C26" s="13"/>
      <c r="D26" s="13"/>
      <c r="E26" s="13"/>
      <c r="F26" s="14"/>
      <c r="G26" s="13"/>
      <c r="H26" s="13"/>
      <c r="I26" s="14"/>
      <c r="J26" s="13"/>
      <c r="K26" s="13"/>
    </row>
    <row r="27" spans="1:13" ht="14.45">
      <c r="A27" s="13"/>
      <c r="B27" s="18"/>
      <c r="C27" s="13"/>
      <c r="D27" s="13"/>
      <c r="E27" s="13"/>
      <c r="F27" s="14"/>
      <c r="G27" s="13"/>
      <c r="H27" s="13"/>
      <c r="I27" s="14"/>
      <c r="J27" s="13"/>
      <c r="K27" s="13"/>
    </row>
    <row r="28" spans="1:13" ht="14.45">
      <c r="A28" s="13"/>
      <c r="B28" s="18"/>
      <c r="C28" s="13"/>
      <c r="D28" s="13"/>
      <c r="E28" s="13"/>
      <c r="F28" s="14"/>
      <c r="G28" s="13"/>
      <c r="H28" s="13"/>
      <c r="I28" s="14"/>
      <c r="J28" s="13"/>
      <c r="K28" s="13"/>
    </row>
    <row r="29" spans="1:13" ht="14.45">
      <c r="A29" s="13"/>
      <c r="B29" s="18"/>
      <c r="C29" s="13"/>
      <c r="D29" s="13"/>
      <c r="E29" s="13"/>
      <c r="F29" s="14"/>
      <c r="G29" s="13"/>
      <c r="H29" s="13"/>
      <c r="I29" s="14"/>
      <c r="J29" s="13"/>
      <c r="K29" s="13"/>
    </row>
    <row r="30" spans="1:13" ht="14.45">
      <c r="A30" s="13"/>
      <c r="B30" s="18"/>
      <c r="C30" s="13"/>
      <c r="D30" s="13"/>
      <c r="E30" s="13"/>
      <c r="F30" s="14"/>
      <c r="G30" s="13"/>
      <c r="H30" s="13"/>
      <c r="I30" s="14"/>
      <c r="J30" s="13"/>
      <c r="K30" s="13"/>
    </row>
    <row r="31" spans="1:13" ht="14.45">
      <c r="A31" s="13"/>
      <c r="B31" s="18"/>
      <c r="C31" s="13"/>
      <c r="D31" s="13"/>
      <c r="E31" s="13"/>
      <c r="F31" s="14"/>
      <c r="G31" s="13"/>
      <c r="H31" s="13"/>
      <c r="I31" s="14"/>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C333" s="13"/>
      <c r="D333" s="13"/>
      <c r="E333" s="13"/>
      <c r="F333" s="14"/>
      <c r="G333" s="13"/>
      <c r="H333" s="13"/>
      <c r="I333" s="14"/>
      <c r="J333" s="13"/>
      <c r="K333" s="13"/>
    </row>
  </sheetData>
  <mergeCells count="4">
    <mergeCell ref="G1:I1"/>
    <mergeCell ref="A1:C1"/>
    <mergeCell ref="D1:F1"/>
    <mergeCell ref="A2:B2"/>
  </mergeCells>
  <conditionalFormatting sqref="F2 I2 I4:I91 F23:F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C4" activePane="bottomRight" state="frozen"/>
      <selection pane="bottomRight" activeCell="S7" sqref="S7"/>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7" ht="19.5" customHeight="1">
      <c r="A1" s="99" t="str" cm="1">
        <f t="array" ref="A1">portfolio</f>
        <v>Catalyze</v>
      </c>
      <c r="B1" s="99"/>
      <c r="C1" s="99"/>
      <c r="D1" s="100" t="s">
        <v>79</v>
      </c>
      <c r="E1" s="100"/>
      <c r="F1" s="100"/>
      <c r="G1" s="98" t="s">
        <v>80</v>
      </c>
      <c r="H1" s="98"/>
      <c r="I1" s="98"/>
      <c r="J1" s="4"/>
      <c r="K1" s="4"/>
    </row>
    <row r="2" spans="1:17" ht="19.5" customHeight="1">
      <c r="A2" s="101" t="s">
        <v>2</v>
      </c>
      <c r="B2" s="101"/>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6" t="str">
        <f ca="1">IF(AND(TODAY()&gt;DATE(2024, 3, 1), COUNTA(Sites[Site])&lt;&gt;(COUNT(C:C)-1)), "Some sites are missing actual data; if new sites were added, make sure they are aligned correctly (including prior months!)", "")</f>
        <v/>
      </c>
      <c r="K2" s="4"/>
    </row>
    <row r="3" spans="1:17" ht="14.25" customHeight="1">
      <c r="A3" s="17" t="s">
        <v>3</v>
      </c>
      <c r="B3" s="17" t="s">
        <v>4</v>
      </c>
      <c r="C3" s="25" t="s">
        <v>5</v>
      </c>
      <c r="D3" s="26" t="s">
        <v>6</v>
      </c>
      <c r="E3" s="26" t="s">
        <v>7</v>
      </c>
      <c r="F3" s="27" t="s">
        <v>8</v>
      </c>
      <c r="G3" s="28" t="s">
        <v>9</v>
      </c>
      <c r="H3" s="29" t="s">
        <v>7</v>
      </c>
      <c r="I3" s="30" t="s">
        <v>8</v>
      </c>
      <c r="J3" s="15" t="s">
        <v>20</v>
      </c>
      <c r="K3" s="15" t="s">
        <v>21</v>
      </c>
    </row>
    <row r="4" spans="1:17" ht="72">
      <c r="A4" s="50" t="str" cm="1">
        <f t="array" ref="A4:A21">Sites[Site]</f>
        <v>Fresno - 3150 Shaw Ave</v>
      </c>
      <c r="B4" s="46" t="str" cm="1">
        <f t="array" ref="B4:B21">Sites[State]</f>
        <v>CA</v>
      </c>
      <c r="C4" s="34">
        <v>82059.375</v>
      </c>
      <c r="D4" s="35">
        <v>79466.179999999993</v>
      </c>
      <c r="E4" s="35">
        <f>IF(AND(ISNUMBER(C4),ISNUMBER(D4)), C4-D4, "")</f>
        <v>2593.195000000007</v>
      </c>
      <c r="F4" s="36">
        <f>IFERROR(E4/D4, "")</f>
        <v>3.263268726394055E-2</v>
      </c>
      <c r="G4" s="37">
        <v>102469</v>
      </c>
      <c r="H4" s="37">
        <f>IF(AND(ISNUMBER(C4),ISNUMBER(G4)), C4-G4, "")</f>
        <v>-20409.625</v>
      </c>
      <c r="I4" s="38">
        <f>IFERROR(H4/G4, "")</f>
        <v>-0.19917853204383765</v>
      </c>
      <c r="J4" s="70" t="s">
        <v>81</v>
      </c>
      <c r="K4" s="91" t="s">
        <v>82</v>
      </c>
      <c r="L4" s="75" t="s">
        <v>83</v>
      </c>
      <c r="M4" s="92" t="s">
        <v>84</v>
      </c>
    </row>
    <row r="5" spans="1:17" ht="129.75" customHeight="1">
      <c r="A5" s="51" t="str">
        <v>Adelanto - 1 Sheep Creek Road</v>
      </c>
      <c r="B5" s="48" t="str">
        <v>CA</v>
      </c>
      <c r="C5" s="41">
        <v>613170</v>
      </c>
      <c r="D5" s="42">
        <v>474842.85</v>
      </c>
      <c r="E5" s="42">
        <f t="shared" ref="E5:E17" si="0">IF(AND(ISNUMBER(C5),ISNUMBER(D5)), C5-D5, "")</f>
        <v>138327.15000000002</v>
      </c>
      <c r="F5" s="43">
        <f>IFERROR(E5/D5, "")</f>
        <v>0.29131143071860516</v>
      </c>
      <c r="G5" s="44">
        <v>680082.38</v>
      </c>
      <c r="H5" s="44">
        <f t="shared" ref="H5:H17" si="1">IF(AND(ISNUMBER(C5),ISNUMBER(G5)), C5-G5, "")</f>
        <v>-66912.38</v>
      </c>
      <c r="I5" s="43">
        <f t="shared" ref="I5:I17" si="2">IFERROR(H5/G5, "")</f>
        <v>-9.8388639329253028E-2</v>
      </c>
      <c r="J5" s="64" t="s">
        <v>85</v>
      </c>
      <c r="K5" s="76" t="s">
        <v>86</v>
      </c>
      <c r="L5" s="75" t="s">
        <v>87</v>
      </c>
      <c r="M5" s="92" t="s">
        <v>88</v>
      </c>
      <c r="N5" s="75" t="s">
        <v>89</v>
      </c>
      <c r="O5" s="75" t="s">
        <v>88</v>
      </c>
      <c r="P5" s="75" t="s">
        <v>90</v>
      </c>
      <c r="Q5" s="75" t="s">
        <v>91</v>
      </c>
    </row>
    <row r="6" spans="1:17" ht="52.15" customHeight="1">
      <c r="A6" s="52" t="str">
        <v>Blackstone - 83 Federal Street</v>
      </c>
      <c r="B6" s="46" t="str">
        <v>MA</v>
      </c>
      <c r="C6" s="34">
        <v>621375.9</v>
      </c>
      <c r="D6" s="35">
        <v>663323.6</v>
      </c>
      <c r="E6" s="35">
        <f t="shared" si="0"/>
        <v>-41947.699999999953</v>
      </c>
      <c r="F6" s="36">
        <f t="shared" ref="F6:F17" si="3">IFERROR(E6/D6, "")</f>
        <v>-6.3238666617620648E-2</v>
      </c>
      <c r="G6" s="37">
        <v>693620.2</v>
      </c>
      <c r="H6" s="37">
        <f t="shared" si="1"/>
        <v>-72244.29999999993</v>
      </c>
      <c r="I6" s="38">
        <f t="shared" si="2"/>
        <v>-0.10415541531229906</v>
      </c>
      <c r="J6" s="70" t="s">
        <v>92</v>
      </c>
      <c r="K6" s="91" t="s">
        <v>93</v>
      </c>
      <c r="L6" s="75" t="s">
        <v>94</v>
      </c>
      <c r="M6" s="92" t="s">
        <v>88</v>
      </c>
    </row>
    <row r="7" spans="1:17" ht="89.25" customHeight="1">
      <c r="A7" s="51" t="str">
        <v>Charlton - 299 Worcester Road</v>
      </c>
      <c r="B7" s="48" t="str">
        <v>MA</v>
      </c>
      <c r="C7" s="41">
        <v>55962.25</v>
      </c>
      <c r="D7" s="42">
        <v>56208.81</v>
      </c>
      <c r="E7" s="42">
        <f t="shared" si="0"/>
        <v>-246.55999999999767</v>
      </c>
      <c r="F7" s="43">
        <f t="shared" si="3"/>
        <v>-4.3865009773378528E-3</v>
      </c>
      <c r="G7" s="44">
        <v>59298.27</v>
      </c>
      <c r="H7" s="44">
        <f t="shared" si="1"/>
        <v>-3336.0199999999968</v>
      </c>
      <c r="I7" s="43">
        <f t="shared" si="2"/>
        <v>-5.6258302307976217E-2</v>
      </c>
      <c r="J7" s="64" t="s">
        <v>95</v>
      </c>
      <c r="K7" s="74" t="s">
        <v>96</v>
      </c>
      <c r="L7" s="75" t="s">
        <v>97</v>
      </c>
      <c r="M7" s="92" t="s">
        <v>98</v>
      </c>
    </row>
    <row r="8" spans="1:17" ht="28.9">
      <c r="A8" s="52" t="str">
        <v>Wareham - 8 Thatcher Drive</v>
      </c>
      <c r="B8" s="46" t="str">
        <v>MA</v>
      </c>
      <c r="C8" s="34">
        <v>14875.8125</v>
      </c>
      <c r="D8" s="35">
        <v>15055.13</v>
      </c>
      <c r="E8" s="35">
        <f t="shared" si="0"/>
        <v>-179.3174999999992</v>
      </c>
      <c r="F8" s="36">
        <f t="shared" si="3"/>
        <v>-1.1910724118622637E-2</v>
      </c>
      <c r="G8" s="37">
        <v>16928.07</v>
      </c>
      <c r="H8" s="37">
        <f t="shared" si="1"/>
        <v>-2052.2574999999997</v>
      </c>
      <c r="I8" s="38">
        <f t="shared" si="2"/>
        <v>-0.12123399182541186</v>
      </c>
      <c r="J8" s="70" t="s">
        <v>99</v>
      </c>
      <c r="K8" s="70"/>
      <c r="M8" s="58"/>
    </row>
    <row r="9" spans="1:17" ht="28.9">
      <c r="A9" s="51" t="str">
        <v>West Yarmouth - 42 Mid Tech</v>
      </c>
      <c r="B9" s="48" t="str">
        <v>MA</v>
      </c>
      <c r="C9" s="41">
        <v>12225.6816719081</v>
      </c>
      <c r="D9" s="42">
        <v>13601.24</v>
      </c>
      <c r="E9" s="42">
        <f t="shared" si="0"/>
        <v>-1375.5583280919</v>
      </c>
      <c r="F9" s="43">
        <f t="shared" si="3"/>
        <v>-0.10113477360092903</v>
      </c>
      <c r="G9" s="44">
        <v>14703.99</v>
      </c>
      <c r="H9" s="44">
        <f t="shared" si="1"/>
        <v>-2478.3083280919</v>
      </c>
      <c r="I9" s="43">
        <f t="shared" si="2"/>
        <v>-0.16854665489380094</v>
      </c>
      <c r="J9" s="64" t="s">
        <v>99</v>
      </c>
      <c r="K9" s="63"/>
      <c r="M9" s="58"/>
    </row>
    <row r="10" spans="1:17" ht="15.6">
      <c r="A10" s="52" t="str">
        <v>Harrison - 130 Union Street</v>
      </c>
      <c r="B10" s="46" t="str">
        <v>NY</v>
      </c>
      <c r="C10" s="34">
        <v>23281.875</v>
      </c>
      <c r="D10" s="35">
        <v>24219.16</v>
      </c>
      <c r="E10" s="35">
        <f t="shared" si="0"/>
        <v>-937.28499999999985</v>
      </c>
      <c r="F10" s="36">
        <f t="shared" si="3"/>
        <v>-3.8700144843999536E-2</v>
      </c>
      <c r="G10" s="37">
        <v>21479.86</v>
      </c>
      <c r="H10" s="37">
        <f t="shared" si="1"/>
        <v>1802.0149999999994</v>
      </c>
      <c r="I10" s="38">
        <f t="shared" si="2"/>
        <v>8.3893237665422365E-2</v>
      </c>
      <c r="J10" s="70"/>
      <c r="K10" s="70"/>
      <c r="M10" s="58"/>
    </row>
    <row r="11" spans="1:17" ht="15.6">
      <c r="A11" s="51" t="str">
        <v>Staten Island - Ellis Storage</v>
      </c>
      <c r="B11" s="48" t="str">
        <v>NY</v>
      </c>
      <c r="C11" s="41">
        <v>53693.25</v>
      </c>
      <c r="D11" s="42">
        <v>50948.08</v>
      </c>
      <c r="E11" s="42">
        <f t="shared" si="0"/>
        <v>2745.1699999999983</v>
      </c>
      <c r="F11" s="43">
        <f t="shared" si="3"/>
        <v>5.3881716445447959E-2</v>
      </c>
      <c r="G11" s="44">
        <v>48258.91</v>
      </c>
      <c r="H11" s="44">
        <f t="shared" si="1"/>
        <v>5434.3399999999965</v>
      </c>
      <c r="I11" s="43">
        <f t="shared" si="2"/>
        <v>0.11260801373259355</v>
      </c>
      <c r="J11" s="64"/>
      <c r="K11" s="63"/>
      <c r="M11" s="58"/>
    </row>
    <row r="12" spans="1:17" ht="86.45">
      <c r="A12" s="52" t="str">
        <v>Amherst - 595 Scholles Road</v>
      </c>
      <c r="B12" s="46" t="str">
        <v>NY</v>
      </c>
      <c r="C12" s="34">
        <v>571517</v>
      </c>
      <c r="D12" s="35">
        <v>702948.9</v>
      </c>
      <c r="E12" s="35">
        <f t="shared" si="0"/>
        <v>-131431.90000000002</v>
      </c>
      <c r="F12" s="36">
        <f t="shared" si="3"/>
        <v>-0.18697219669879278</v>
      </c>
      <c r="G12" s="37">
        <v>728804.1</v>
      </c>
      <c r="H12" s="37">
        <f t="shared" si="1"/>
        <v>-157287.09999999998</v>
      </c>
      <c r="I12" s="38">
        <f t="shared" si="2"/>
        <v>-0.21581533364041172</v>
      </c>
      <c r="J12" s="70" t="s">
        <v>100</v>
      </c>
      <c r="K12" s="91" t="s">
        <v>101</v>
      </c>
      <c r="L12" s="75" t="s">
        <v>102</v>
      </c>
      <c r="M12" s="92" t="s">
        <v>103</v>
      </c>
      <c r="N12" s="75" t="s">
        <v>104</v>
      </c>
    </row>
    <row r="13" spans="1:17" ht="28.9">
      <c r="A13" s="51" t="str">
        <v>Lancaster 1 - Gunnville Road</v>
      </c>
      <c r="B13" s="48" t="str">
        <v>NY</v>
      </c>
      <c r="C13" s="41">
        <v>598573</v>
      </c>
      <c r="D13" s="42">
        <v>629166</v>
      </c>
      <c r="E13" s="42">
        <f t="shared" si="0"/>
        <v>-30593</v>
      </c>
      <c r="F13" s="43">
        <f t="shared" si="3"/>
        <v>-4.8624687284436856E-2</v>
      </c>
      <c r="G13" s="44">
        <v>641592.30000000005</v>
      </c>
      <c r="H13" s="44">
        <f t="shared" si="1"/>
        <v>-43019.300000000047</v>
      </c>
      <c r="I13" s="43">
        <f t="shared" si="2"/>
        <v>-6.7050835865704816E-2</v>
      </c>
      <c r="J13" s="64" t="s">
        <v>105</v>
      </c>
      <c r="K13" s="74" t="s">
        <v>106</v>
      </c>
      <c r="M13" s="58"/>
    </row>
    <row r="14" spans="1:17" ht="43.15">
      <c r="A14" s="52" t="str">
        <v>Lancaster 2 - Shisler Road</v>
      </c>
      <c r="B14" s="46" t="str">
        <v>NY</v>
      </c>
      <c r="C14" s="34">
        <v>648289</v>
      </c>
      <c r="D14" s="35">
        <v>692226.9</v>
      </c>
      <c r="E14" s="35">
        <f t="shared" si="0"/>
        <v>-43937.900000000023</v>
      </c>
      <c r="F14" s="36">
        <f t="shared" si="3"/>
        <v>-6.3473262885334308E-2</v>
      </c>
      <c r="G14" s="37">
        <v>704760.1</v>
      </c>
      <c r="H14" s="37">
        <f t="shared" si="1"/>
        <v>-56471.099999999977</v>
      </c>
      <c r="I14" s="38">
        <f t="shared" si="2"/>
        <v>-8.01281173551113E-2</v>
      </c>
      <c r="J14" s="70" t="s">
        <v>107</v>
      </c>
      <c r="K14" s="91" t="s">
        <v>108</v>
      </c>
      <c r="M14" s="58"/>
    </row>
    <row r="15" spans="1:17" ht="43.15">
      <c r="A15" s="51" t="str">
        <v>Fullerton - 200 W Orangethorpe</v>
      </c>
      <c r="B15" s="48" t="str">
        <v>CA</v>
      </c>
      <c r="C15" s="41">
        <v>96573.5</v>
      </c>
      <c r="D15" s="42">
        <v>99489.52</v>
      </c>
      <c r="E15" s="42">
        <f t="shared" si="0"/>
        <v>-2916.0200000000041</v>
      </c>
      <c r="F15" s="43">
        <f t="shared" si="3"/>
        <v>-2.930982077308247E-2</v>
      </c>
      <c r="G15" s="44">
        <v>111528.7</v>
      </c>
      <c r="H15" s="44">
        <f t="shared" si="1"/>
        <v>-14955.199999999997</v>
      </c>
      <c r="I15" s="43">
        <f t="shared" si="2"/>
        <v>-0.13409283888362367</v>
      </c>
      <c r="J15" s="64" t="s">
        <v>109</v>
      </c>
      <c r="K15" s="74" t="s">
        <v>110</v>
      </c>
      <c r="M15" s="58"/>
    </row>
    <row r="16" spans="1:17" ht="57.6">
      <c r="A16" s="52" t="str">
        <v>El Paso - 10500 Railroad Drive</v>
      </c>
      <c r="B16" s="46" t="str">
        <v>TX</v>
      </c>
      <c r="C16" s="34">
        <v>137031.75</v>
      </c>
      <c r="D16" s="35">
        <v>125322.2</v>
      </c>
      <c r="E16" s="35">
        <f t="shared" si="0"/>
        <v>11709.550000000003</v>
      </c>
      <c r="F16" s="36">
        <f t="shared" si="3"/>
        <v>9.3435560499257136E-2</v>
      </c>
      <c r="G16" s="37">
        <v>132709.5</v>
      </c>
      <c r="H16" s="37">
        <f t="shared" si="1"/>
        <v>4322.25</v>
      </c>
      <c r="I16" s="38">
        <f t="shared" si="2"/>
        <v>3.2569258417822385E-2</v>
      </c>
      <c r="J16" s="70" t="s">
        <v>111</v>
      </c>
      <c r="K16" s="91" t="s">
        <v>112</v>
      </c>
      <c r="M16" s="58"/>
    </row>
    <row r="17" spans="1:20" ht="100.9">
      <c r="A17" s="51" t="str">
        <v>Friona - 900 Millard Ave</v>
      </c>
      <c r="B17" s="48" t="str">
        <v>TX</v>
      </c>
      <c r="C17" s="41">
        <v>110152.875</v>
      </c>
      <c r="D17" s="42">
        <v>110329</v>
      </c>
      <c r="E17" s="42">
        <f t="shared" si="0"/>
        <v>-176.125</v>
      </c>
      <c r="F17" s="43">
        <f t="shared" si="3"/>
        <v>-1.5963617906443455E-3</v>
      </c>
      <c r="G17" s="44">
        <v>105708.4</v>
      </c>
      <c r="H17" s="44">
        <f t="shared" si="1"/>
        <v>4444.4750000000058</v>
      </c>
      <c r="I17" s="43">
        <f t="shared" si="2"/>
        <v>4.2044671946600325E-2</v>
      </c>
      <c r="J17" s="64" t="s">
        <v>113</v>
      </c>
      <c r="K17" s="74" t="s">
        <v>114</v>
      </c>
      <c r="L17" s="75" t="s">
        <v>115</v>
      </c>
      <c r="M17" s="92" t="s">
        <v>116</v>
      </c>
    </row>
    <row r="18" spans="1:20" ht="28.9">
      <c r="A18" s="49" t="str">
        <v>Augusta - 13 York Farm Road</v>
      </c>
      <c r="B18" s="46" t="str">
        <v>ME</v>
      </c>
      <c r="C18" s="34">
        <v>136389.5</v>
      </c>
      <c r="D18" s="35">
        <v>148689.9</v>
      </c>
      <c r="E18" s="35">
        <f>IF(AND(ISNUMBER(C18),ISNUMBER(D18)), C18-D18, "")</f>
        <v>-12300.399999999994</v>
      </c>
      <c r="F18" s="36">
        <f>IFERROR(E18/D18, "")</f>
        <v>-8.2725188462699856E-2</v>
      </c>
      <c r="G18" s="37">
        <v>162995</v>
      </c>
      <c r="H18" s="37">
        <f>IF(AND(ISNUMBER(C18),ISNUMBER(G18)), C18-G18, "")</f>
        <v>-26605.5</v>
      </c>
      <c r="I18" s="38">
        <f>IFERROR(H18/G18, "")</f>
        <v>-0.16322893340286512</v>
      </c>
      <c r="J18" s="55" t="s">
        <v>99</v>
      </c>
      <c r="K18" s="55"/>
    </row>
    <row r="19" spans="1:20" ht="15.6">
      <c r="A19" s="47" t="str">
        <v xml:space="preserve">Santa Ana - 1441 West </v>
      </c>
      <c r="B19" s="48" t="str">
        <v>CA</v>
      </c>
      <c r="C19" s="41">
        <v>65569.153749999998</v>
      </c>
      <c r="D19" s="42">
        <v>61153.65</v>
      </c>
      <c r="E19" s="42">
        <f>IF(AND(ISNUMBER(C19),ISNUMBER(D19)), C19-D19, "")</f>
        <v>4415.5037499999962</v>
      </c>
      <c r="F19" s="43">
        <f>IFERROR(E19/D19, "")</f>
        <v>7.2203437570774534E-2</v>
      </c>
      <c r="G19" s="44">
        <v>70786.73</v>
      </c>
      <c r="H19" s="44">
        <f>IF(AND(ISNUMBER(C19),ISNUMBER(G19)), C19-G19, "")</f>
        <v>-5217.5762499999983</v>
      </c>
      <c r="I19" s="43">
        <f>IFERROR(H19/G19, "")</f>
        <v>-7.3708394920912412E-2</v>
      </c>
      <c r="J19" s="90"/>
      <c r="K19" s="68"/>
    </row>
    <row r="20" spans="1:20" ht="43.15">
      <c r="A20" s="49" t="str">
        <v>Jessup -7950 Oceano Ave</v>
      </c>
      <c r="B20" s="46" t="str">
        <v>MD</v>
      </c>
      <c r="C20" s="34">
        <v>240512.375</v>
      </c>
      <c r="D20" s="35">
        <v>227251.8</v>
      </c>
      <c r="E20" s="35">
        <f>IF(AND(ISNUMBER(C20),ISNUMBER(D20)), C20-D20, "")</f>
        <v>13260.575000000012</v>
      </c>
      <c r="F20" s="36">
        <f>IFERROR(E20/D20, "")</f>
        <v>5.8351903043232276E-2</v>
      </c>
      <c r="G20" s="37">
        <v>215179.3</v>
      </c>
      <c r="H20" s="37">
        <f>IF(AND(ISNUMBER(C20),ISNUMBER(G20)), C20-G20, "")</f>
        <v>25333.075000000012</v>
      </c>
      <c r="I20" s="38">
        <f>IFERROR(H20/G20, "")</f>
        <v>0.11773007440771494</v>
      </c>
      <c r="J20" s="55" t="s">
        <v>117</v>
      </c>
      <c r="K20" s="73" t="s">
        <v>118</v>
      </c>
      <c r="L20" s="75" t="s">
        <v>119</v>
      </c>
    </row>
    <row r="21" spans="1:20" ht="388.9">
      <c r="A21" s="47" t="str">
        <v xml:space="preserve">TX: Fort Worth - 5200 Gold Spike Dr </v>
      </c>
      <c r="B21" s="48" t="str">
        <v>TX</v>
      </c>
      <c r="C21" s="41">
        <v>213425.7</v>
      </c>
      <c r="D21" s="42">
        <v>748150.2</v>
      </c>
      <c r="E21" s="42">
        <f>IF(AND(ISNUMBER(C21),ISNUMBER(D21)), C21-D21, "")</f>
        <v>-534724.5</v>
      </c>
      <c r="F21" s="43">
        <f>IFERROR(E21/D21, "")</f>
        <v>-0.71472880712990527</v>
      </c>
      <c r="G21" s="44">
        <v>655638</v>
      </c>
      <c r="H21" s="44">
        <f>IF(AND(ISNUMBER(C21),ISNUMBER(G21)), C21-G21, "")</f>
        <v>-442212.3</v>
      </c>
      <c r="I21" s="43">
        <f>IFERROR(H21/G21, "")</f>
        <v>-0.67447631162318233</v>
      </c>
      <c r="J21" s="90" t="s">
        <v>120</v>
      </c>
      <c r="K21" s="76" t="s">
        <v>121</v>
      </c>
      <c r="L21" s="75" t="s">
        <v>122</v>
      </c>
      <c r="M21" s="75" t="s">
        <v>78</v>
      </c>
      <c r="N21" s="75" t="s">
        <v>123</v>
      </c>
      <c r="O21" s="75" t="s">
        <v>124</v>
      </c>
      <c r="P21" s="75" t="s">
        <v>122</v>
      </c>
      <c r="Q21" s="75" t="s">
        <v>125</v>
      </c>
      <c r="R21" s="75" t="s">
        <v>126</v>
      </c>
      <c r="S21" s="75" t="s">
        <v>122</v>
      </c>
      <c r="T21" s="75" t="s">
        <v>127</v>
      </c>
    </row>
    <row r="22" spans="1:20" ht="14.45">
      <c r="A22" s="13"/>
      <c r="B22" s="18"/>
      <c r="C22" s="13"/>
      <c r="D22" s="13"/>
      <c r="E22" s="13"/>
      <c r="F22" s="13"/>
      <c r="G22" s="13"/>
      <c r="H22" s="13"/>
      <c r="I22" s="13"/>
      <c r="J22" s="13"/>
      <c r="K22" s="13"/>
      <c r="M22" s="58"/>
    </row>
    <row r="23" spans="1:20" ht="14.45">
      <c r="A23" s="13"/>
      <c r="B23" s="18"/>
      <c r="C23" s="13"/>
      <c r="D23" s="13"/>
      <c r="E23" s="13"/>
      <c r="F23" s="13"/>
      <c r="G23" s="13"/>
      <c r="H23" s="13"/>
      <c r="I23" s="13"/>
      <c r="J23" s="13"/>
      <c r="K23" s="13"/>
      <c r="M23" s="58"/>
    </row>
    <row r="24" spans="1:20" ht="14.45">
      <c r="A24" s="13"/>
      <c r="B24" s="18"/>
      <c r="C24" s="13"/>
      <c r="D24" s="13"/>
      <c r="E24" s="13"/>
      <c r="F24" s="13"/>
      <c r="G24" s="13"/>
      <c r="H24" s="13"/>
      <c r="I24" s="13"/>
      <c r="J24" s="13"/>
      <c r="K24" s="13"/>
      <c r="M24" s="58"/>
    </row>
    <row r="25" spans="1:20" ht="14.45">
      <c r="A25" s="13"/>
      <c r="B25" s="18"/>
      <c r="C25" s="13"/>
      <c r="D25" s="13"/>
      <c r="E25" s="13"/>
      <c r="F25" s="14"/>
      <c r="G25" s="13"/>
      <c r="H25" s="13"/>
      <c r="I25" s="14"/>
      <c r="J25" s="13"/>
      <c r="K25" s="13"/>
      <c r="M25" s="58"/>
    </row>
    <row r="26" spans="1:20" ht="14.45">
      <c r="A26" s="13"/>
      <c r="B26" s="18"/>
      <c r="C26" s="13"/>
      <c r="D26" s="13"/>
      <c r="E26" s="13"/>
      <c r="F26" s="14"/>
      <c r="G26" s="13"/>
      <c r="H26" s="13"/>
      <c r="I26" s="14"/>
      <c r="J26" s="13"/>
      <c r="K26" s="13"/>
      <c r="M26" s="58"/>
    </row>
    <row r="27" spans="1:20" ht="14.45">
      <c r="A27" s="13"/>
      <c r="B27" s="18"/>
      <c r="C27" s="13"/>
      <c r="D27" s="13"/>
      <c r="E27" s="13"/>
      <c r="F27" s="14"/>
      <c r="G27" s="13"/>
      <c r="H27" s="13"/>
      <c r="I27" s="14"/>
      <c r="J27" s="13"/>
      <c r="K27" s="13"/>
      <c r="M27" s="58"/>
    </row>
    <row r="28" spans="1:20" ht="14.45">
      <c r="A28" s="13"/>
      <c r="B28" s="18"/>
      <c r="C28" s="13"/>
      <c r="D28" s="13"/>
      <c r="E28" s="13"/>
      <c r="F28" s="14"/>
      <c r="G28" s="13"/>
      <c r="H28" s="13"/>
      <c r="I28" s="14"/>
      <c r="J28" s="13"/>
      <c r="K28" s="13"/>
      <c r="M28" s="58"/>
    </row>
    <row r="29" spans="1:20" ht="14.45">
      <c r="A29" s="13"/>
      <c r="B29" s="18"/>
      <c r="C29" s="13"/>
      <c r="D29" s="13"/>
      <c r="E29" s="13"/>
      <c r="F29" s="14"/>
      <c r="G29" s="13"/>
      <c r="H29" s="13"/>
      <c r="I29" s="14"/>
      <c r="J29" s="13"/>
      <c r="K29" s="13"/>
      <c r="M29" s="58"/>
    </row>
    <row r="30" spans="1:20" ht="14.45">
      <c r="A30" s="13"/>
      <c r="B30" s="18"/>
      <c r="C30" s="13"/>
      <c r="D30" s="13"/>
      <c r="E30" s="13"/>
      <c r="F30" s="14"/>
      <c r="G30" s="13"/>
      <c r="H30" s="13"/>
      <c r="I30" s="14"/>
      <c r="J30" s="13"/>
      <c r="K30" s="13"/>
      <c r="M30" s="58"/>
    </row>
    <row r="31" spans="1:20" ht="14.45">
      <c r="A31" s="13"/>
      <c r="B31" s="18"/>
      <c r="C31" s="13"/>
      <c r="D31" s="13"/>
      <c r="E31" s="13"/>
      <c r="F31" s="14"/>
      <c r="G31" s="13"/>
      <c r="H31" s="13"/>
      <c r="I31" s="14"/>
      <c r="J31" s="13"/>
      <c r="K31" s="13"/>
      <c r="M31" s="58"/>
    </row>
    <row r="32" spans="1:20" ht="14.45">
      <c r="A32" s="13"/>
      <c r="B32" s="18"/>
      <c r="C32" s="13"/>
      <c r="D32" s="13"/>
      <c r="E32" s="13"/>
      <c r="F32" s="14"/>
      <c r="G32" s="13"/>
      <c r="H32" s="13"/>
      <c r="I32" s="14"/>
      <c r="J32" s="13"/>
      <c r="K32" s="13"/>
      <c r="M32" s="58"/>
    </row>
    <row r="33" spans="1:13" ht="14.45">
      <c r="A33" s="13"/>
      <c r="B33" s="18"/>
      <c r="C33" s="13"/>
      <c r="D33" s="13"/>
      <c r="E33" s="13"/>
      <c r="F33" s="14"/>
      <c r="G33" s="13"/>
      <c r="H33" s="13"/>
      <c r="I33" s="14"/>
      <c r="J33" s="13"/>
      <c r="K33" s="13"/>
      <c r="M33" s="58"/>
    </row>
    <row r="34" spans="1:13" ht="14.45">
      <c r="A34" s="13"/>
      <c r="B34" s="18"/>
      <c r="C34" s="13"/>
      <c r="D34" s="13"/>
      <c r="E34" s="13"/>
      <c r="F34" s="14"/>
      <c r="G34" s="13"/>
      <c r="H34" s="13"/>
      <c r="I34" s="14"/>
      <c r="J34" s="13"/>
      <c r="K34" s="13"/>
      <c r="M34" s="58"/>
    </row>
    <row r="35" spans="1:13" ht="14.45">
      <c r="A35" s="13"/>
      <c r="B35" s="18"/>
      <c r="C35" s="13"/>
      <c r="D35" s="13"/>
      <c r="E35" s="13"/>
      <c r="F35" s="14"/>
      <c r="G35" s="13"/>
      <c r="H35" s="13"/>
      <c r="I35" s="14"/>
      <c r="J35" s="13"/>
      <c r="K35" s="13"/>
      <c r="M35" s="58"/>
    </row>
    <row r="36" spans="1:13" ht="14.45">
      <c r="A36" s="13"/>
      <c r="B36" s="18"/>
      <c r="C36" s="13"/>
      <c r="D36" s="13"/>
      <c r="E36" s="13"/>
      <c r="F36" s="14"/>
      <c r="G36" s="13"/>
      <c r="H36" s="13"/>
      <c r="I36" s="14"/>
      <c r="J36" s="13"/>
      <c r="K36" s="13"/>
      <c r="M36" s="58"/>
    </row>
    <row r="37" spans="1:13" ht="14.45">
      <c r="A37" s="13"/>
      <c r="B37" s="18"/>
      <c r="C37" s="13"/>
      <c r="D37" s="13"/>
      <c r="E37" s="13"/>
      <c r="F37" s="14"/>
      <c r="G37" s="13"/>
      <c r="H37" s="13"/>
      <c r="I37" s="14"/>
      <c r="J37" s="13"/>
      <c r="K37" s="13"/>
      <c r="M37" s="58"/>
    </row>
    <row r="38" spans="1:13" ht="14.45">
      <c r="A38" s="13"/>
      <c r="B38" s="18"/>
      <c r="C38" s="13"/>
      <c r="D38" s="13"/>
      <c r="E38" s="13"/>
      <c r="F38" s="14"/>
      <c r="G38" s="13"/>
      <c r="H38" s="13"/>
      <c r="I38" s="14"/>
      <c r="J38" s="13"/>
      <c r="K38" s="13"/>
      <c r="M38" s="58"/>
    </row>
    <row r="39" spans="1:13" ht="14.45">
      <c r="A39" s="13"/>
      <c r="B39" s="18"/>
      <c r="C39" s="13"/>
      <c r="D39" s="13"/>
      <c r="E39" s="13"/>
      <c r="F39" s="14"/>
      <c r="G39" s="13"/>
      <c r="H39" s="13"/>
      <c r="I39" s="14"/>
      <c r="J39" s="13"/>
      <c r="K39" s="13"/>
      <c r="M39" s="58"/>
    </row>
    <row r="40" spans="1:13" ht="14.45">
      <c r="A40" s="13"/>
      <c r="B40" s="18"/>
      <c r="C40" s="13"/>
      <c r="D40" s="13"/>
      <c r="E40" s="13"/>
      <c r="F40" s="14"/>
      <c r="G40" s="13"/>
      <c r="H40" s="13"/>
      <c r="I40" s="14"/>
      <c r="J40" s="13"/>
      <c r="K40" s="13"/>
      <c r="M40" s="58"/>
    </row>
    <row r="41" spans="1:13" ht="14.45">
      <c r="A41" s="13"/>
      <c r="B41" s="18"/>
      <c r="C41" s="13"/>
      <c r="D41" s="13"/>
      <c r="E41" s="13"/>
      <c r="F41" s="14"/>
      <c r="G41" s="13"/>
      <c r="H41" s="13"/>
      <c r="I41" s="14"/>
      <c r="J41" s="13"/>
      <c r="K41" s="13"/>
      <c r="M41" s="58"/>
    </row>
    <row r="42" spans="1:13" ht="14.45">
      <c r="A42" s="13"/>
      <c r="B42" s="18"/>
      <c r="C42" s="13"/>
      <c r="D42" s="13"/>
      <c r="E42" s="13"/>
      <c r="F42" s="14"/>
      <c r="G42" s="13"/>
      <c r="H42" s="13"/>
      <c r="I42" s="14"/>
      <c r="J42" s="13"/>
      <c r="K42" s="13"/>
    </row>
    <row r="43" spans="1:13" ht="14.45">
      <c r="A43" s="13"/>
      <c r="B43" s="18"/>
      <c r="C43" s="13"/>
      <c r="D43" s="13"/>
      <c r="E43" s="13"/>
      <c r="F43" s="14"/>
      <c r="G43" s="13"/>
      <c r="H43" s="13"/>
      <c r="I43" s="14"/>
      <c r="J43" s="13"/>
      <c r="K43" s="13"/>
    </row>
    <row r="44" spans="1:13" ht="14.45">
      <c r="A44" s="13"/>
      <c r="B44" s="18"/>
      <c r="C44" s="13"/>
      <c r="D44" s="13"/>
      <c r="E44" s="13"/>
      <c r="F44" s="14"/>
      <c r="G44" s="13"/>
      <c r="H44" s="13"/>
      <c r="I44" s="14"/>
      <c r="J44" s="13"/>
      <c r="K44" s="13"/>
    </row>
    <row r="45" spans="1:13" ht="14.45">
      <c r="A45" s="13"/>
      <c r="B45" s="18"/>
      <c r="C45" s="13"/>
      <c r="D45" s="13"/>
      <c r="E45" s="13"/>
      <c r="F45" s="14"/>
      <c r="G45" s="13"/>
      <c r="H45" s="13"/>
      <c r="I45" s="14"/>
      <c r="J45" s="13"/>
      <c r="K45" s="13"/>
    </row>
    <row r="46" spans="1:13" ht="14.45">
      <c r="A46" s="13"/>
      <c r="B46" s="18"/>
      <c r="C46" s="13"/>
      <c r="D46" s="13"/>
      <c r="E46" s="13"/>
      <c r="F46" s="14"/>
      <c r="G46" s="13"/>
      <c r="H46" s="13"/>
      <c r="I46" s="14"/>
      <c r="J46" s="13"/>
      <c r="K46" s="13"/>
    </row>
    <row r="47" spans="1:13" ht="14.45">
      <c r="A47" s="13"/>
      <c r="B47" s="18"/>
      <c r="C47" s="13"/>
      <c r="D47" s="13"/>
      <c r="E47" s="13"/>
      <c r="F47" s="14"/>
      <c r="G47" s="13"/>
      <c r="H47" s="13"/>
      <c r="I47" s="14"/>
      <c r="J47" s="13"/>
      <c r="K47" s="13"/>
    </row>
    <row r="48" spans="1:13"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tabSelected="1" zoomScale="70" zoomScaleNormal="70" workbookViewId="0">
      <pane xSplit="2" ySplit="3" topLeftCell="C4" activePane="bottomRight" state="frozen"/>
      <selection pane="bottomRight" activeCell="J5" sqref="J5"/>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9" t="str" cm="1">
        <f t="array" ref="A1">portfolio</f>
        <v>Catalyze</v>
      </c>
      <c r="B1" s="99"/>
      <c r="C1" s="99"/>
      <c r="D1" s="100" t="s">
        <v>128</v>
      </c>
      <c r="E1" s="100"/>
      <c r="F1" s="100"/>
      <c r="G1" s="98" t="s">
        <v>129</v>
      </c>
      <c r="H1" s="98"/>
      <c r="I1" s="98"/>
      <c r="J1" s="4"/>
      <c r="K1" s="4"/>
    </row>
    <row r="2" spans="1:17" ht="19.5" customHeight="1">
      <c r="A2" s="101" t="s">
        <v>2</v>
      </c>
      <c r="B2" s="101"/>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6" t="str">
        <f ca="1">IF(AND(TODAY()&gt;DATE(2024, 4, 1), COUNTA(Sites[Site])&lt;&gt;(COUNT(C:C)-1)), "Some sites are missing actual data; if new sites were added, make sure they are aligned correctly (including prior months!)", "")</f>
        <v/>
      </c>
      <c r="K2" s="4"/>
    </row>
    <row r="3" spans="1:17" ht="14.25" customHeight="1">
      <c r="A3" s="17" t="s">
        <v>3</v>
      </c>
      <c r="B3" s="17" t="s">
        <v>4</v>
      </c>
      <c r="C3" s="25" t="s">
        <v>5</v>
      </c>
      <c r="D3" s="26" t="s">
        <v>6</v>
      </c>
      <c r="E3" s="26" t="s">
        <v>7</v>
      </c>
      <c r="F3" s="27" t="s">
        <v>8</v>
      </c>
      <c r="G3" s="28" t="s">
        <v>9</v>
      </c>
      <c r="H3" s="29" t="s">
        <v>7</v>
      </c>
      <c r="I3" s="30" t="s">
        <v>8</v>
      </c>
      <c r="J3" s="15" t="s">
        <v>20</v>
      </c>
      <c r="K3" s="15" t="s">
        <v>21</v>
      </c>
    </row>
    <row r="4" spans="1:17" ht="28.9">
      <c r="A4" s="45" t="str" cm="1">
        <f t="array" ref="A4:A21">Sites[Site]</f>
        <v>Fresno - 3150 Shaw Ave</v>
      </c>
      <c r="B4" s="46" t="str" cm="1">
        <f t="array" ref="B4:B21">Sites[State]</f>
        <v>CA</v>
      </c>
      <c r="C4" s="34">
        <v>100611</v>
      </c>
      <c r="D4" s="35">
        <v>98633.69</v>
      </c>
      <c r="E4" s="35">
        <f>IF(AND(ISNUMBER(C4),ISNUMBER(D4)), C4-D4, "")</f>
        <v>1977.3099999999977</v>
      </c>
      <c r="F4" s="36">
        <f>IFERROR(E4/D4, "")</f>
        <v>2.0047004223404778E-2</v>
      </c>
      <c r="G4" s="37">
        <v>109007.3</v>
      </c>
      <c r="H4" s="37">
        <f>IF(AND(ISNUMBER(C4),ISNUMBER(G4)), C4-G4, "")</f>
        <v>-8396.3000000000029</v>
      </c>
      <c r="I4" s="38">
        <f>IFERROR(H4/G4, "")</f>
        <v>-7.7025116666498514E-2</v>
      </c>
      <c r="J4" s="70" t="s">
        <v>130</v>
      </c>
      <c r="K4" s="91" t="s">
        <v>131</v>
      </c>
      <c r="L4" s="77"/>
      <c r="M4" s="77"/>
      <c r="N4" s="77"/>
      <c r="O4" s="77"/>
      <c r="P4" s="77"/>
      <c r="Q4" s="77"/>
    </row>
    <row r="5" spans="1:17" ht="121.5" customHeight="1">
      <c r="A5" s="47" t="str">
        <v>Adelanto - 1 Sheep Creek Road</v>
      </c>
      <c r="B5" s="48" t="str">
        <v>CA</v>
      </c>
      <c r="C5" s="41">
        <v>786306</v>
      </c>
      <c r="D5" s="42">
        <v>174230.64749999999</v>
      </c>
      <c r="E5" s="42">
        <f t="shared" ref="E5:E21" si="0">IF(AND(ISNUMBER(C5),ISNUMBER(D5)), C5-D5, "")</f>
        <v>612075.35250000004</v>
      </c>
      <c r="F5" s="43">
        <f>IFERROR(E5/D5, "")</f>
        <v>3.5130177226713233</v>
      </c>
      <c r="G5" s="59"/>
      <c r="H5" s="44" t="str">
        <f t="shared" ref="H5:H21" si="1">IF(AND(ISNUMBER(C5),ISNUMBER(G5)), C5-G5, "")</f>
        <v/>
      </c>
      <c r="I5" s="43" t="str">
        <f t="shared" ref="I5:I21" si="2">IFERROR(H5/G5, "")</f>
        <v/>
      </c>
      <c r="J5" s="96" t="s">
        <v>132</v>
      </c>
      <c r="K5" s="74" t="s">
        <v>133</v>
      </c>
      <c r="L5" s="78" t="s">
        <v>134</v>
      </c>
      <c r="M5" s="78" t="s">
        <v>135</v>
      </c>
      <c r="N5" s="77"/>
      <c r="O5" s="77"/>
      <c r="P5" s="77"/>
      <c r="Q5" s="77"/>
    </row>
    <row r="6" spans="1:17" ht="225" customHeight="1">
      <c r="A6" s="49" t="str">
        <v>Blackstone - 83 Federal Street</v>
      </c>
      <c r="B6" s="46" t="str">
        <v>MA</v>
      </c>
      <c r="C6" s="34">
        <v>490582.5</v>
      </c>
      <c r="D6" s="35">
        <v>697581.8</v>
      </c>
      <c r="E6" s="35">
        <f t="shared" si="0"/>
        <v>-206999.30000000005</v>
      </c>
      <c r="F6" s="36">
        <f t="shared" ref="F6:F21" si="3">IFERROR(E6/D6, "")</f>
        <v>-0.29673838967702432</v>
      </c>
      <c r="G6" s="37">
        <v>768668.8</v>
      </c>
      <c r="H6" s="37">
        <f t="shared" si="1"/>
        <v>-278086.30000000005</v>
      </c>
      <c r="I6" s="38">
        <f t="shared" si="2"/>
        <v>-0.36177648943211954</v>
      </c>
      <c r="J6" s="70" t="s">
        <v>136</v>
      </c>
      <c r="K6" s="91" t="s">
        <v>137</v>
      </c>
      <c r="L6" s="78" t="s">
        <v>138</v>
      </c>
      <c r="M6" s="78" t="s">
        <v>139</v>
      </c>
      <c r="N6" s="78" t="s">
        <v>140</v>
      </c>
      <c r="O6" s="78" t="s">
        <v>141</v>
      </c>
      <c r="P6" s="78" t="s">
        <v>141</v>
      </c>
      <c r="Q6" s="78" t="s">
        <v>142</v>
      </c>
    </row>
    <row r="7" spans="1:17" ht="36" customHeight="1">
      <c r="A7" s="47" t="str">
        <v>Charlton - 299 Worcester Road</v>
      </c>
      <c r="B7" s="48" t="str">
        <v>MA</v>
      </c>
      <c r="C7" s="41">
        <v>59872.5</v>
      </c>
      <c r="D7" s="42">
        <v>60825.16</v>
      </c>
      <c r="E7" s="42">
        <f t="shared" si="0"/>
        <v>-952.66000000000349</v>
      </c>
      <c r="F7" s="43">
        <f t="shared" si="3"/>
        <v>-1.566226870591057E-2</v>
      </c>
      <c r="G7" s="44">
        <v>69479.320000000007</v>
      </c>
      <c r="H7" s="44">
        <f t="shared" si="1"/>
        <v>-9606.820000000007</v>
      </c>
      <c r="I7" s="43">
        <f t="shared" si="2"/>
        <v>-0.13826876831840043</v>
      </c>
      <c r="J7" s="64" t="s">
        <v>143</v>
      </c>
      <c r="K7" s="74" t="s">
        <v>144</v>
      </c>
      <c r="L7" s="77"/>
      <c r="M7" s="77"/>
      <c r="N7" s="77"/>
      <c r="O7" s="77"/>
      <c r="P7" s="77"/>
      <c r="Q7" s="77"/>
    </row>
    <row r="8" spans="1:17" ht="15.6">
      <c r="A8" s="49" t="str">
        <v>Wareham - 8 Thatcher Drive</v>
      </c>
      <c r="B8" s="46" t="str">
        <v>MA</v>
      </c>
      <c r="C8" s="34">
        <v>17115.3125</v>
      </c>
      <c r="D8" s="35">
        <v>17134.03</v>
      </c>
      <c r="E8" s="35">
        <f t="shared" si="0"/>
        <v>-18.717499999998836</v>
      </c>
      <c r="F8" s="36">
        <f t="shared" si="3"/>
        <v>-1.092416670217038E-3</v>
      </c>
      <c r="G8" s="37">
        <v>20513.509999999998</v>
      </c>
      <c r="H8" s="37">
        <f t="shared" si="1"/>
        <v>-3398.1974999999984</v>
      </c>
      <c r="I8" s="38">
        <f t="shared" si="2"/>
        <v>-0.16565655999387713</v>
      </c>
      <c r="J8" s="70" t="s">
        <v>145</v>
      </c>
      <c r="K8" s="70"/>
      <c r="L8" s="77"/>
      <c r="M8" s="77"/>
      <c r="N8" s="77"/>
      <c r="O8" s="77"/>
      <c r="P8" s="77"/>
      <c r="Q8" s="77"/>
    </row>
    <row r="9" spans="1:17" ht="15.6">
      <c r="A9" s="47" t="str">
        <v>West Yarmouth - 42 Mid Tech</v>
      </c>
      <c r="B9" s="48" t="str">
        <v>MA</v>
      </c>
      <c r="C9" s="41">
        <v>15407.110626703001</v>
      </c>
      <c r="D9" s="42">
        <v>16609.13</v>
      </c>
      <c r="E9" s="42">
        <f t="shared" si="0"/>
        <v>-1202.0193732970001</v>
      </c>
      <c r="F9" s="43">
        <f t="shared" si="3"/>
        <v>-7.2371001569438015E-2</v>
      </c>
      <c r="G9" s="44">
        <v>19005.689999999999</v>
      </c>
      <c r="H9" s="44">
        <f t="shared" si="1"/>
        <v>-3598.5793732969978</v>
      </c>
      <c r="I9" s="43">
        <f t="shared" si="2"/>
        <v>-0.18934221137443566</v>
      </c>
      <c r="J9" s="93" t="s">
        <v>146</v>
      </c>
      <c r="K9" s="94"/>
      <c r="L9" s="77"/>
      <c r="M9" s="77"/>
      <c r="N9" s="77"/>
      <c r="O9" s="77"/>
      <c r="P9" s="77"/>
      <c r="Q9" s="77"/>
    </row>
    <row r="10" spans="1:17" ht="16.5" customHeight="1">
      <c r="A10" s="49" t="str">
        <v>Harrison - 130 Union Street</v>
      </c>
      <c r="B10" s="46" t="str">
        <v>NY</v>
      </c>
      <c r="C10" s="34">
        <v>25339.3125</v>
      </c>
      <c r="D10" s="35">
        <v>25779.61</v>
      </c>
      <c r="E10" s="35">
        <f t="shared" si="0"/>
        <v>-440.29750000000058</v>
      </c>
      <c r="F10" s="36">
        <f t="shared" si="3"/>
        <v>-1.7079292510631488E-2</v>
      </c>
      <c r="G10" s="37">
        <v>26043.9</v>
      </c>
      <c r="H10" s="37">
        <f t="shared" si="1"/>
        <v>-704.58750000000146</v>
      </c>
      <c r="I10" s="38">
        <f t="shared" si="2"/>
        <v>-2.705383986269343E-2</v>
      </c>
      <c r="J10" s="70"/>
      <c r="K10" s="70"/>
      <c r="L10" s="77"/>
      <c r="M10" s="77"/>
      <c r="N10" s="77"/>
      <c r="O10" s="77"/>
      <c r="P10" s="77"/>
      <c r="Q10" s="77"/>
    </row>
    <row r="11" spans="1:17" ht="15.6">
      <c r="A11" s="47" t="str">
        <v>Staten Island - Ellis Storage</v>
      </c>
      <c r="B11" s="48" t="str">
        <v>NY</v>
      </c>
      <c r="C11" s="41">
        <v>55255.625</v>
      </c>
      <c r="D11" s="42">
        <v>49684.37</v>
      </c>
      <c r="E11" s="42">
        <f t="shared" si="0"/>
        <v>5571.2549999999974</v>
      </c>
      <c r="F11" s="43">
        <f t="shared" si="3"/>
        <v>0.11213295046309327</v>
      </c>
      <c r="G11" s="44">
        <v>60526.2</v>
      </c>
      <c r="H11" s="44">
        <f t="shared" si="1"/>
        <v>-5270.5749999999971</v>
      </c>
      <c r="I11" s="43">
        <f t="shared" si="2"/>
        <v>-8.7079231803747756E-2</v>
      </c>
      <c r="J11" s="93"/>
      <c r="K11" s="94"/>
      <c r="L11" s="77"/>
      <c r="M11" s="77"/>
      <c r="N11" s="77"/>
      <c r="O11" s="77"/>
      <c r="P11" s="77"/>
      <c r="Q11" s="77"/>
    </row>
    <row r="12" spans="1:17" ht="28.9">
      <c r="A12" s="49" t="str">
        <v>Amherst - 595 Scholles Road</v>
      </c>
      <c r="B12" s="46" t="str">
        <v>NY</v>
      </c>
      <c r="C12" s="34">
        <v>812218.5</v>
      </c>
      <c r="D12" s="35">
        <v>838338.8</v>
      </c>
      <c r="E12" s="35">
        <f t="shared" si="0"/>
        <v>-26120.300000000047</v>
      </c>
      <c r="F12" s="36">
        <f t="shared" si="3"/>
        <v>-3.1157212334679066E-2</v>
      </c>
      <c r="G12" s="37">
        <v>916083.3</v>
      </c>
      <c r="H12" s="37">
        <f t="shared" si="1"/>
        <v>-103864.80000000005</v>
      </c>
      <c r="I12" s="38">
        <f t="shared" si="2"/>
        <v>-0.11337920907410935</v>
      </c>
      <c r="J12" s="70" t="s">
        <v>147</v>
      </c>
      <c r="K12" s="91" t="s">
        <v>148</v>
      </c>
      <c r="L12" s="77"/>
      <c r="M12" s="77"/>
      <c r="N12" s="77"/>
      <c r="O12" s="77"/>
      <c r="P12" s="77"/>
      <c r="Q12" s="77"/>
    </row>
    <row r="13" spans="1:17" ht="98.25" customHeight="1">
      <c r="A13" s="47" t="str">
        <v>Lancaster 1 - Gunnville Road</v>
      </c>
      <c r="B13" s="48" t="str">
        <v>NY</v>
      </c>
      <c r="C13" s="41">
        <v>667894</v>
      </c>
      <c r="D13" s="42">
        <v>658923.30000000005</v>
      </c>
      <c r="E13" s="42">
        <f t="shared" si="0"/>
        <v>8970.6999999999534</v>
      </c>
      <c r="F13" s="43">
        <f t="shared" si="3"/>
        <v>1.3614179374139529E-2</v>
      </c>
      <c r="G13" s="44">
        <v>743810.8</v>
      </c>
      <c r="H13" s="44">
        <f t="shared" si="1"/>
        <v>-75916.800000000047</v>
      </c>
      <c r="I13" s="43">
        <f t="shared" si="2"/>
        <v>-0.10206466483143299</v>
      </c>
      <c r="J13" s="64" t="s">
        <v>149</v>
      </c>
      <c r="K13" s="74" t="s">
        <v>150</v>
      </c>
      <c r="L13" s="78" t="s">
        <v>151</v>
      </c>
      <c r="M13" s="78" t="s">
        <v>152</v>
      </c>
      <c r="N13" s="78" t="s">
        <v>151</v>
      </c>
      <c r="O13" s="77"/>
      <c r="P13" s="77"/>
      <c r="Q13" s="77"/>
    </row>
    <row r="14" spans="1:17" ht="86.45">
      <c r="A14" s="49" t="str">
        <v>Lancaster 2 - Shisler Road</v>
      </c>
      <c r="B14" s="46" t="str">
        <v>NY</v>
      </c>
      <c r="C14" s="34">
        <v>701885</v>
      </c>
      <c r="D14" s="35">
        <v>723030.1</v>
      </c>
      <c r="E14" s="35">
        <f t="shared" si="0"/>
        <v>-21145.099999999977</v>
      </c>
      <c r="F14" s="36">
        <f t="shared" si="3"/>
        <v>-2.92451171811519E-2</v>
      </c>
      <c r="G14" s="37">
        <v>817032.2</v>
      </c>
      <c r="H14" s="37">
        <f t="shared" si="1"/>
        <v>-115147.19999999995</v>
      </c>
      <c r="I14" s="38">
        <f t="shared" si="2"/>
        <v>-0.1409334907485898</v>
      </c>
      <c r="J14" s="70" t="s">
        <v>153</v>
      </c>
      <c r="K14" s="91" t="s">
        <v>154</v>
      </c>
      <c r="L14" s="78" t="s">
        <v>155</v>
      </c>
      <c r="M14" s="77"/>
      <c r="N14" s="77"/>
      <c r="O14" s="77"/>
      <c r="P14" s="77"/>
      <c r="Q14" s="77"/>
    </row>
    <row r="15" spans="1:17" ht="15.6">
      <c r="A15" s="47" t="str">
        <v>Fullerton - 200 W Orangethorpe</v>
      </c>
      <c r="B15" s="48" t="str">
        <v>CA</v>
      </c>
      <c r="C15" s="41">
        <v>111484.625</v>
      </c>
      <c r="D15" s="42">
        <v>112078.2</v>
      </c>
      <c r="E15" s="42">
        <f t="shared" si="0"/>
        <v>-593.57499999999709</v>
      </c>
      <c r="F15" s="43">
        <f t="shared" si="3"/>
        <v>-5.2960789877067715E-3</v>
      </c>
      <c r="G15" s="44">
        <v>121425.9</v>
      </c>
      <c r="H15" s="44">
        <f t="shared" si="1"/>
        <v>-9941.2749999999942</v>
      </c>
      <c r="I15" s="43">
        <f t="shared" si="2"/>
        <v>-8.1871124694154987E-2</v>
      </c>
      <c r="J15" s="93"/>
      <c r="K15" s="94"/>
      <c r="L15" s="77"/>
      <c r="M15" s="77"/>
      <c r="N15" s="77"/>
      <c r="O15" s="77"/>
      <c r="P15" s="77"/>
      <c r="Q15" s="77"/>
    </row>
    <row r="16" spans="1:17" ht="28.9">
      <c r="A16" s="49" t="str">
        <v>El Paso - 10500 Railroad Drive</v>
      </c>
      <c r="B16" s="46" t="str">
        <v>TX</v>
      </c>
      <c r="C16" s="34">
        <v>153942.5</v>
      </c>
      <c r="D16" s="35">
        <v>135732.4</v>
      </c>
      <c r="E16" s="35">
        <f t="shared" si="0"/>
        <v>18210.100000000006</v>
      </c>
      <c r="F16" s="36">
        <f t="shared" si="3"/>
        <v>0.13416177714385075</v>
      </c>
      <c r="G16" s="37">
        <v>147311.9</v>
      </c>
      <c r="H16" s="37">
        <f t="shared" si="1"/>
        <v>6630.6000000000058</v>
      </c>
      <c r="I16" s="38">
        <f t="shared" si="2"/>
        <v>4.5010620323273312E-2</v>
      </c>
      <c r="J16" s="95" t="s">
        <v>156</v>
      </c>
      <c r="K16" s="91" t="s">
        <v>157</v>
      </c>
      <c r="L16" s="77"/>
      <c r="M16" s="77"/>
      <c r="N16" s="77"/>
      <c r="O16" s="77"/>
      <c r="P16" s="77"/>
      <c r="Q16" s="77"/>
    </row>
    <row r="17" spans="1:17" ht="28.9">
      <c r="A17" s="47" t="str">
        <v>Friona - 900 Millard Ave</v>
      </c>
      <c r="B17" s="48" t="str">
        <v>TX</v>
      </c>
      <c r="C17" s="41">
        <v>121081</v>
      </c>
      <c r="D17" s="42">
        <v>109536.6</v>
      </c>
      <c r="E17" s="42">
        <f t="shared" si="0"/>
        <v>11544.399999999994</v>
      </c>
      <c r="F17" s="43">
        <f t="shared" si="3"/>
        <v>0.10539308322515026</v>
      </c>
      <c r="G17" s="44">
        <v>124471.2</v>
      </c>
      <c r="H17" s="44">
        <f t="shared" si="1"/>
        <v>-3390.1999999999971</v>
      </c>
      <c r="I17" s="43">
        <f t="shared" si="2"/>
        <v>-2.7236822654557818E-2</v>
      </c>
      <c r="J17" s="70" t="s">
        <v>158</v>
      </c>
      <c r="K17" s="74" t="s">
        <v>159</v>
      </c>
      <c r="L17" s="77"/>
      <c r="M17" s="77"/>
      <c r="N17" s="77"/>
      <c r="O17" s="77"/>
      <c r="P17" s="77"/>
      <c r="Q17" s="77"/>
    </row>
    <row r="18" spans="1:17" ht="15.6">
      <c r="A18" s="49" t="str">
        <v>Augusta - 13 York Farm Road</v>
      </c>
      <c r="B18" s="46" t="str">
        <v>ME</v>
      </c>
      <c r="C18" s="34">
        <v>162062.75</v>
      </c>
      <c r="D18" s="35">
        <v>162237.4</v>
      </c>
      <c r="E18" s="35">
        <f t="shared" si="0"/>
        <v>-174.64999999999418</v>
      </c>
      <c r="F18" s="36">
        <f t="shared" si="3"/>
        <v>-1.0765088691016634E-3</v>
      </c>
      <c r="G18" s="37">
        <v>179807.8</v>
      </c>
      <c r="H18" s="37">
        <f t="shared" si="1"/>
        <v>-17745.049999999988</v>
      </c>
      <c r="I18" s="38">
        <f t="shared" si="2"/>
        <v>-9.8688989020498497E-2</v>
      </c>
      <c r="J18" s="70"/>
      <c r="K18" s="70"/>
      <c r="L18" s="77"/>
      <c r="M18" s="77"/>
      <c r="N18" s="77"/>
      <c r="O18" s="77"/>
      <c r="P18" s="77"/>
      <c r="Q18" s="77"/>
    </row>
    <row r="19" spans="1:17" ht="57.6">
      <c r="A19" s="47" t="str">
        <v xml:space="preserve">Santa Ana - 1441 West </v>
      </c>
      <c r="B19" s="48" t="str">
        <v>CA</v>
      </c>
      <c r="C19" s="41">
        <v>61971.8462499999</v>
      </c>
      <c r="D19" s="42">
        <v>67920.710000000006</v>
      </c>
      <c r="E19" s="42">
        <f t="shared" si="0"/>
        <v>-5948.8637500001059</v>
      </c>
      <c r="F19" s="43">
        <f t="shared" si="3"/>
        <v>-8.7585417614157821E-2</v>
      </c>
      <c r="G19" s="44">
        <v>77132.41</v>
      </c>
      <c r="H19" s="44">
        <f t="shared" si="1"/>
        <v>-15160.563750000103</v>
      </c>
      <c r="I19" s="43">
        <f t="shared" si="2"/>
        <v>-0.19655244468570479</v>
      </c>
      <c r="J19" s="64" t="s">
        <v>160</v>
      </c>
      <c r="K19" s="74" t="s">
        <v>161</v>
      </c>
      <c r="L19" s="77"/>
      <c r="M19" s="77"/>
      <c r="N19" s="77"/>
      <c r="O19" s="77"/>
      <c r="P19" s="77"/>
      <c r="Q19" s="77"/>
    </row>
    <row r="20" spans="1:17" ht="172.5" customHeight="1">
      <c r="A20" s="49" t="str">
        <v>Jessup -7950 Oceano Ave</v>
      </c>
      <c r="B20" s="46" t="str">
        <v>MD</v>
      </c>
      <c r="C20" s="34">
        <v>210761.90608808299</v>
      </c>
      <c r="D20" s="35">
        <v>220062.8</v>
      </c>
      <c r="E20" s="35">
        <f t="shared" si="0"/>
        <v>-9300.8939119169954</v>
      </c>
      <c r="F20" s="36">
        <f t="shared" si="3"/>
        <v>-4.2264725850607171E-2</v>
      </c>
      <c r="G20" s="37">
        <v>259363.5</v>
      </c>
      <c r="H20" s="37">
        <f t="shared" si="1"/>
        <v>-48601.593911917007</v>
      </c>
      <c r="I20" s="38">
        <f t="shared" si="2"/>
        <v>-0.18738794746337478</v>
      </c>
      <c r="J20" s="70" t="s">
        <v>162</v>
      </c>
      <c r="K20" s="91" t="s">
        <v>163</v>
      </c>
      <c r="L20" s="78" t="s">
        <v>164</v>
      </c>
      <c r="M20" s="78" t="s">
        <v>165</v>
      </c>
      <c r="N20" s="78" t="s">
        <v>166</v>
      </c>
      <c r="O20" s="77"/>
      <c r="P20" s="77"/>
      <c r="Q20" s="77"/>
    </row>
    <row r="21" spans="1:17" ht="129.6">
      <c r="A21" s="47" t="str">
        <v xml:space="preserve">TX: Fort Worth - 5200 Gold Spike Dr </v>
      </c>
      <c r="B21" s="48" t="str">
        <v>TX</v>
      </c>
      <c r="C21" s="41">
        <v>609595</v>
      </c>
      <c r="D21" s="42">
        <v>655419.9</v>
      </c>
      <c r="E21" s="42">
        <f t="shared" si="0"/>
        <v>-45824.900000000023</v>
      </c>
      <c r="F21" s="43">
        <f t="shared" si="3"/>
        <v>-6.9916857879963698E-2</v>
      </c>
      <c r="G21" s="44">
        <v>740663.3</v>
      </c>
      <c r="H21" s="44">
        <f t="shared" si="1"/>
        <v>-131068.30000000005</v>
      </c>
      <c r="I21" s="43">
        <f t="shared" si="2"/>
        <v>-0.17696070535694158</v>
      </c>
      <c r="J21" s="93" t="s">
        <v>167</v>
      </c>
      <c r="K21" s="74" t="s">
        <v>168</v>
      </c>
      <c r="L21" s="78" t="s">
        <v>169</v>
      </c>
      <c r="M21" s="78" t="s">
        <v>170</v>
      </c>
      <c r="N21" s="78" t="s">
        <v>171</v>
      </c>
      <c r="O21" s="77"/>
      <c r="P21" s="77"/>
      <c r="Q21" s="77"/>
    </row>
    <row r="22" spans="1:17" ht="14.45">
      <c r="A22" s="13"/>
      <c r="B22" s="18"/>
      <c r="C22" s="13"/>
      <c r="D22" s="13"/>
      <c r="E22" s="13"/>
      <c r="F22" s="13"/>
      <c r="G22" s="13"/>
      <c r="H22" s="13"/>
      <c r="I22" s="13"/>
      <c r="J22" s="13"/>
      <c r="K22" s="13"/>
    </row>
    <row r="23" spans="1:17" ht="14.45">
      <c r="A23" s="13"/>
      <c r="B23" s="18"/>
      <c r="C23" s="13"/>
      <c r="D23" s="13"/>
      <c r="E23" s="13"/>
      <c r="F23" s="13"/>
      <c r="G23" s="13"/>
      <c r="H23" s="13"/>
      <c r="I23" s="13"/>
      <c r="J23" s="13"/>
      <c r="K23" s="13"/>
    </row>
    <row r="24" spans="1:17" ht="14.45">
      <c r="A24" s="13"/>
      <c r="B24" s="18"/>
      <c r="C24" s="13"/>
      <c r="D24" s="13"/>
      <c r="E24" s="13"/>
      <c r="F24" s="13"/>
      <c r="G24" s="13"/>
      <c r="H24" s="13"/>
      <c r="I24" s="13"/>
      <c r="J24" s="13"/>
      <c r="K24" s="13"/>
    </row>
    <row r="25" spans="1:17" ht="14.45">
      <c r="A25" s="13"/>
      <c r="B25" s="18"/>
      <c r="C25" s="13"/>
      <c r="D25" s="13"/>
      <c r="E25" s="13"/>
      <c r="F25" s="14"/>
      <c r="G25" s="13"/>
      <c r="H25" s="13"/>
      <c r="I25" s="14"/>
      <c r="J25" s="13"/>
      <c r="K25" s="13"/>
    </row>
    <row r="26" spans="1:17" ht="14.45">
      <c r="A26" s="13"/>
      <c r="B26" s="18"/>
      <c r="C26" s="13"/>
      <c r="D26" s="13"/>
      <c r="E26" s="13"/>
      <c r="F26" s="14"/>
      <c r="G26" s="13"/>
      <c r="H26" s="13"/>
      <c r="I26" s="14"/>
      <c r="J26" s="13"/>
      <c r="K26" s="13"/>
    </row>
    <row r="27" spans="1:17" ht="14.45">
      <c r="A27" s="13"/>
      <c r="B27" s="18"/>
      <c r="C27" s="13"/>
      <c r="D27" s="13"/>
      <c r="E27" s="13"/>
      <c r="F27" s="14"/>
      <c r="G27" s="13"/>
      <c r="H27" s="13"/>
      <c r="I27" s="14"/>
      <c r="J27" s="13"/>
      <c r="K27" s="13"/>
    </row>
    <row r="28" spans="1:17" ht="14.45">
      <c r="A28" s="13"/>
      <c r="B28" s="18"/>
      <c r="C28" s="13"/>
      <c r="D28" s="13"/>
      <c r="E28" s="13"/>
      <c r="F28" s="14"/>
      <c r="G28" s="13"/>
      <c r="H28" s="13"/>
      <c r="I28" s="14"/>
      <c r="J28" s="13"/>
      <c r="K28" s="13"/>
    </row>
    <row r="29" spans="1:17" ht="14.45">
      <c r="A29" s="13"/>
      <c r="B29" s="18"/>
      <c r="C29" s="13"/>
      <c r="D29" s="13"/>
      <c r="E29" s="13"/>
      <c r="F29" s="14"/>
      <c r="G29" s="13"/>
      <c r="H29" s="13"/>
      <c r="I29" s="14"/>
      <c r="J29" s="13"/>
      <c r="K29" s="13"/>
    </row>
    <row r="30" spans="1:17" ht="14.45">
      <c r="A30" s="13"/>
      <c r="B30" s="18"/>
      <c r="C30" s="13"/>
      <c r="D30" s="13"/>
      <c r="E30" s="13"/>
      <c r="F30" s="14"/>
      <c r="G30" s="13"/>
      <c r="H30" s="13"/>
      <c r="I30" s="14"/>
      <c r="J30" s="13"/>
      <c r="K30" s="13"/>
    </row>
    <row r="31" spans="1:17" ht="14.45">
      <c r="A31" s="13"/>
      <c r="B31" s="18"/>
      <c r="C31" s="13"/>
      <c r="D31" s="13"/>
      <c r="E31" s="13"/>
      <c r="F31" s="14"/>
      <c r="G31" s="13"/>
      <c r="H31" s="13"/>
      <c r="I31" s="14"/>
      <c r="J31" s="13"/>
      <c r="K31" s="13"/>
    </row>
    <row r="32" spans="1:17"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4"/>
  <sheetViews>
    <sheetView workbookViewId="0">
      <pane xSplit="2" ySplit="3" topLeftCell="E11" activePane="bottomRight" state="frozen"/>
      <selection pane="bottomRight" activeCell="E11" sqref="E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Catalyze</v>
      </c>
      <c r="B1" s="99"/>
      <c r="C1" s="99"/>
      <c r="D1" s="100" t="s">
        <v>172</v>
      </c>
      <c r="E1" s="100"/>
      <c r="F1" s="100"/>
      <c r="G1" s="98" t="s">
        <v>173</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IF(AND(ISNUMBER(C5),ISNUMBER(D5)), C5-D5, "")</f>
        <v/>
      </c>
      <c r="F5" s="43" t="str">
        <f>IFERROR(E5/D5, "")</f>
        <v/>
      </c>
      <c r="G5" s="44"/>
      <c r="H5" s="44" t="str">
        <f t="shared" ref="H5:H17" si="0">IF(AND(ISNUMBER(C5),ISNUMBER(G5)), C5-G5, "")</f>
        <v/>
      </c>
      <c r="I5" s="43" t="str">
        <f t="shared" ref="I5:I17" si="1">IFERROR(H5/G5, "")</f>
        <v/>
      </c>
      <c r="J5" s="56"/>
      <c r="K5" s="56"/>
    </row>
    <row r="6" spans="1:11" ht="15.6">
      <c r="A6" s="49" t="str">
        <v>Blackstone - 83 Federal Street</v>
      </c>
      <c r="B6" s="46" t="str">
        <v>MA</v>
      </c>
      <c r="C6" s="34"/>
      <c r="D6" s="35"/>
      <c r="E6" s="35" t="str">
        <f t="shared" ref="E6:E17" si="2">IF(AND(ISNUMBER(C6),ISNUMBER(D6)), C6-D6, "")</f>
        <v/>
      </c>
      <c r="F6" s="36" t="str">
        <f t="shared" ref="F6:F17" si="3">IFERROR(E6/D6, "")</f>
        <v/>
      </c>
      <c r="G6" s="37"/>
      <c r="H6" s="37" t="str">
        <f t="shared" si="0"/>
        <v/>
      </c>
      <c r="I6" s="38" t="str">
        <f t="shared" si="1"/>
        <v/>
      </c>
      <c r="J6" s="55"/>
      <c r="K6" s="55"/>
    </row>
    <row r="7" spans="1:11" ht="15.6">
      <c r="A7" s="47" t="str">
        <v>Charlton - 299 Worcester Road</v>
      </c>
      <c r="B7" s="48" t="str">
        <v>MA</v>
      </c>
      <c r="C7" s="41"/>
      <c r="D7" s="42"/>
      <c r="E7" s="42" t="str">
        <f t="shared" si="2"/>
        <v/>
      </c>
      <c r="F7" s="43" t="str">
        <f t="shared" si="3"/>
        <v/>
      </c>
      <c r="G7" s="44"/>
      <c r="H7" s="44" t="str">
        <f t="shared" si="0"/>
        <v/>
      </c>
      <c r="I7" s="43" t="str">
        <f t="shared" si="1"/>
        <v/>
      </c>
      <c r="J7" s="56"/>
      <c r="K7" s="57"/>
    </row>
    <row r="8" spans="1:11" ht="15.6">
      <c r="A8" s="49" t="str">
        <v>Wareham - 8 Thatcher Drive</v>
      </c>
      <c r="B8" s="46" t="str">
        <v>MA</v>
      </c>
      <c r="C8" s="34"/>
      <c r="D8" s="35"/>
      <c r="E8" s="35" t="str">
        <f t="shared" si="2"/>
        <v/>
      </c>
      <c r="F8" s="36" t="str">
        <f t="shared" si="3"/>
        <v/>
      </c>
      <c r="G8" s="37"/>
      <c r="H8" s="37" t="str">
        <f t="shared" si="0"/>
        <v/>
      </c>
      <c r="I8" s="38" t="str">
        <f t="shared" si="1"/>
        <v/>
      </c>
      <c r="J8" s="55"/>
      <c r="K8" s="55"/>
    </row>
    <row r="9" spans="1:11" ht="15.6">
      <c r="A9" s="47" t="str">
        <v>West Yarmouth - 42 Mid Tech</v>
      </c>
      <c r="B9" s="48" t="str">
        <v>MA</v>
      </c>
      <c r="C9" s="41"/>
      <c r="D9" s="42"/>
      <c r="E9" s="42" t="str">
        <f t="shared" si="2"/>
        <v/>
      </c>
      <c r="F9" s="43" t="str">
        <f t="shared" si="3"/>
        <v/>
      </c>
      <c r="G9" s="44"/>
      <c r="H9" s="44" t="str">
        <f t="shared" si="0"/>
        <v/>
      </c>
      <c r="I9" s="43" t="str">
        <f t="shared" si="1"/>
        <v/>
      </c>
      <c r="J9" s="56"/>
      <c r="K9" s="57"/>
    </row>
    <row r="10" spans="1:11" ht="15.6">
      <c r="A10" s="49" t="str">
        <v>Harrison - 130 Union Street</v>
      </c>
      <c r="B10" s="46" t="str">
        <v>NY</v>
      </c>
      <c r="C10" s="34"/>
      <c r="D10" s="35"/>
      <c r="E10" s="35" t="str">
        <f t="shared" si="2"/>
        <v/>
      </c>
      <c r="F10" s="36" t="str">
        <f t="shared" si="3"/>
        <v/>
      </c>
      <c r="G10" s="37"/>
      <c r="H10" s="37" t="str">
        <f t="shared" si="0"/>
        <v/>
      </c>
      <c r="I10" s="38" t="str">
        <f t="shared" si="1"/>
        <v/>
      </c>
      <c r="J10" s="55"/>
      <c r="K10" s="55"/>
    </row>
    <row r="11" spans="1:11" ht="15.6">
      <c r="A11" s="47" t="str">
        <v>Staten Island - Ellis Storage</v>
      </c>
      <c r="B11" s="48" t="str">
        <v>NY</v>
      </c>
      <c r="C11" s="41"/>
      <c r="D11" s="42"/>
      <c r="E11" s="42" t="str">
        <f t="shared" si="2"/>
        <v/>
      </c>
      <c r="F11" s="43" t="str">
        <f t="shared" si="3"/>
        <v/>
      </c>
      <c r="G11" s="44"/>
      <c r="H11" s="44" t="str">
        <f t="shared" si="0"/>
        <v/>
      </c>
      <c r="I11" s="43" t="str">
        <f t="shared" si="1"/>
        <v/>
      </c>
      <c r="J11" s="56"/>
      <c r="K11" s="57"/>
    </row>
    <row r="12" spans="1:11" ht="15.6">
      <c r="A12" s="49" t="str">
        <v>Amherst - 595 Scholles Road</v>
      </c>
      <c r="B12" s="46" t="str">
        <v>NY</v>
      </c>
      <c r="C12" s="34"/>
      <c r="D12" s="35"/>
      <c r="E12" s="35" t="str">
        <f t="shared" si="2"/>
        <v/>
      </c>
      <c r="F12" s="36" t="str">
        <f t="shared" si="3"/>
        <v/>
      </c>
      <c r="G12" s="37"/>
      <c r="H12" s="37" t="str">
        <f t="shared" si="0"/>
        <v/>
      </c>
      <c r="I12" s="38" t="str">
        <f t="shared" si="1"/>
        <v/>
      </c>
      <c r="J12" s="55"/>
      <c r="K12" s="55"/>
    </row>
    <row r="13" spans="1:11" ht="15.6">
      <c r="A13" s="47" t="str">
        <v>Lancaster 1 - Gunnville Road</v>
      </c>
      <c r="B13" s="48" t="str">
        <v>NY</v>
      </c>
      <c r="C13" s="41"/>
      <c r="D13" s="42"/>
      <c r="E13" s="42" t="str">
        <f t="shared" si="2"/>
        <v/>
      </c>
      <c r="F13" s="43" t="str">
        <f t="shared" si="3"/>
        <v/>
      </c>
      <c r="G13" s="60"/>
      <c r="H13" s="44" t="str">
        <f t="shared" si="0"/>
        <v/>
      </c>
      <c r="I13" s="43" t="str">
        <f t="shared" si="1"/>
        <v/>
      </c>
      <c r="J13" s="56"/>
      <c r="K13" s="57"/>
    </row>
    <row r="14" spans="1:11" ht="156.75" customHeight="1">
      <c r="A14" s="49" t="str">
        <v>Lancaster 2 - Shisler Road</v>
      </c>
      <c r="B14" s="46" t="str">
        <v>NY</v>
      </c>
      <c r="C14" s="34"/>
      <c r="D14" s="35"/>
      <c r="E14" s="35" t="str">
        <f t="shared" si="2"/>
        <v/>
      </c>
      <c r="F14" s="36" t="str">
        <f t="shared" si="3"/>
        <v/>
      </c>
      <c r="G14" s="37"/>
      <c r="H14" s="37" t="str">
        <f t="shared" si="0"/>
        <v/>
      </c>
      <c r="I14" s="38" t="str">
        <f t="shared" si="1"/>
        <v/>
      </c>
      <c r="J14" s="55"/>
      <c r="K14" s="55"/>
    </row>
    <row r="15" spans="1:11" ht="15.6">
      <c r="A15" s="47" t="str">
        <v>Fullerton - 200 W Orangethorpe</v>
      </c>
      <c r="B15" s="48" t="str">
        <v>CA</v>
      </c>
      <c r="C15" s="41"/>
      <c r="D15" s="42"/>
      <c r="E15" s="42" t="str">
        <f t="shared" si="2"/>
        <v/>
      </c>
      <c r="F15" s="43" t="str">
        <f t="shared" si="3"/>
        <v/>
      </c>
      <c r="G15" s="44"/>
      <c r="H15" s="44" t="str">
        <f t="shared" si="0"/>
        <v/>
      </c>
      <c r="I15" s="43" t="str">
        <f t="shared" si="1"/>
        <v/>
      </c>
      <c r="J15" s="56"/>
      <c r="K15" s="57"/>
    </row>
    <row r="16" spans="1:11" ht="15.6">
      <c r="A16" s="49" t="str">
        <v>El Paso - 10500 Railroad Drive</v>
      </c>
      <c r="B16" s="46" t="str">
        <v>TX</v>
      </c>
      <c r="C16" s="34"/>
      <c r="D16" s="35"/>
      <c r="E16" s="35" t="str">
        <f t="shared" si="2"/>
        <v/>
      </c>
      <c r="F16" s="36" t="str">
        <f t="shared" si="3"/>
        <v/>
      </c>
      <c r="G16" s="37"/>
      <c r="H16" s="37" t="str">
        <f t="shared" si="0"/>
        <v/>
      </c>
      <c r="I16" s="38" t="str">
        <f t="shared" si="1"/>
        <v/>
      </c>
      <c r="J16" s="55"/>
      <c r="K16" s="55"/>
    </row>
    <row r="17" spans="1:11" ht="15.6">
      <c r="A17" s="47" t="str">
        <v>Friona - 900 Millard Ave</v>
      </c>
      <c r="B17" s="48" t="str">
        <v>TX</v>
      </c>
      <c r="C17" s="41"/>
      <c r="D17" s="42"/>
      <c r="E17" s="42" t="str">
        <f t="shared" si="2"/>
        <v/>
      </c>
      <c r="F17" s="43" t="str">
        <f t="shared" si="3"/>
        <v/>
      </c>
      <c r="G17" s="44"/>
      <c r="H17" s="44" t="str">
        <f t="shared" si="0"/>
        <v/>
      </c>
      <c r="I17" s="43" t="str">
        <f t="shared" si="1"/>
        <v/>
      </c>
      <c r="J17" s="56"/>
      <c r="K17" s="57"/>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4"/>
  <sheetViews>
    <sheetView zoomScale="80" zoomScaleNormal="80" workbookViewId="0">
      <pane xSplit="2" ySplit="3" topLeftCell="C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Catalyze</v>
      </c>
      <c r="B1" s="99"/>
      <c r="C1" s="99"/>
      <c r="D1" s="100" t="s">
        <v>174</v>
      </c>
      <c r="E1" s="100"/>
      <c r="F1" s="100"/>
      <c r="G1" s="98" t="s">
        <v>175</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61"/>
      <c r="K4" s="61"/>
    </row>
    <row r="5" spans="1:11" ht="15.6">
      <c r="A5" s="47" t="str">
        <v>Adelanto - 1 Sheep Creek Road</v>
      </c>
      <c r="B5" s="48" t="str">
        <v>CA</v>
      </c>
      <c r="C5" s="41"/>
      <c r="D5" s="62"/>
      <c r="E5" s="42" t="str">
        <f t="shared" ref="E5:E17" si="0">IF(AND(ISNUMBER(C5),ISNUMBER(D5)), C5-D5, "")</f>
        <v/>
      </c>
      <c r="F5" s="43" t="str">
        <f>IFERROR(E5/D5, "")</f>
        <v/>
      </c>
      <c r="G5" s="62"/>
      <c r="H5" s="44" t="str">
        <f t="shared" ref="H5:H17" si="1">IF(AND(ISNUMBER(C5),ISNUMBER(G5)), C5-G5, "")</f>
        <v/>
      </c>
      <c r="I5" s="43" t="str">
        <f t="shared" ref="I5:I17" si="2">IFERROR(H5/G5, "")</f>
        <v/>
      </c>
      <c r="J5" s="79"/>
      <c r="K5" s="80"/>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61"/>
      <c r="K6" s="61"/>
    </row>
    <row r="7" spans="1:11" ht="15.6">
      <c r="A7" s="47" t="str">
        <v>Charlton - 299 Worcester Road</v>
      </c>
      <c r="B7" s="48" t="str">
        <v>MA</v>
      </c>
      <c r="C7" s="41"/>
      <c r="D7" s="42"/>
      <c r="E7" s="42" t="str">
        <f t="shared" si="0"/>
        <v/>
      </c>
      <c r="F7" s="43" t="str">
        <f t="shared" si="3"/>
        <v/>
      </c>
      <c r="G7" s="44"/>
      <c r="H7" s="44" t="str">
        <f t="shared" si="1"/>
        <v/>
      </c>
      <c r="I7" s="43" t="str">
        <f t="shared" si="2"/>
        <v/>
      </c>
      <c r="J7" s="79"/>
      <c r="K7" s="79"/>
    </row>
    <row r="8" spans="1:11" ht="15.6">
      <c r="A8" s="49" t="str">
        <v>Wareham - 8 Thatcher Drive</v>
      </c>
      <c r="B8" s="46" t="str">
        <v>MA</v>
      </c>
      <c r="C8" s="34"/>
      <c r="D8" s="35"/>
      <c r="E8" s="35" t="str">
        <f t="shared" si="0"/>
        <v/>
      </c>
      <c r="F8" s="36" t="str">
        <f t="shared" si="3"/>
        <v/>
      </c>
      <c r="G8" s="37"/>
      <c r="H8" s="37" t="str">
        <f t="shared" si="1"/>
        <v/>
      </c>
      <c r="I8" s="38" t="str">
        <f t="shared" si="2"/>
        <v/>
      </c>
      <c r="J8" s="61"/>
      <c r="K8" s="61"/>
    </row>
    <row r="9" spans="1:11" ht="15.6">
      <c r="A9" s="47" t="str">
        <v>West Yarmouth - 42 Mid Tech</v>
      </c>
      <c r="B9" s="48" t="str">
        <v>MA</v>
      </c>
      <c r="C9" s="41"/>
      <c r="D9" s="42"/>
      <c r="E9" s="42" t="str">
        <f t="shared" si="0"/>
        <v/>
      </c>
      <c r="F9" s="43" t="str">
        <f t="shared" si="3"/>
        <v/>
      </c>
      <c r="G9" s="44"/>
      <c r="H9" s="44" t="str">
        <f t="shared" si="1"/>
        <v/>
      </c>
      <c r="I9" s="43" t="str">
        <f t="shared" si="2"/>
        <v/>
      </c>
      <c r="J9" s="79"/>
      <c r="K9" s="79"/>
    </row>
    <row r="10" spans="1:11" ht="15.6">
      <c r="A10" s="49" t="str">
        <v>Harrison - 130 Union Street</v>
      </c>
      <c r="B10" s="46" t="str">
        <v>NY</v>
      </c>
      <c r="C10" s="34"/>
      <c r="D10" s="35"/>
      <c r="E10" s="35" t="str">
        <f t="shared" si="0"/>
        <v/>
      </c>
      <c r="F10" s="36" t="str">
        <f t="shared" si="3"/>
        <v/>
      </c>
      <c r="G10" s="37"/>
      <c r="H10" s="37" t="str">
        <f t="shared" si="1"/>
        <v/>
      </c>
      <c r="I10" s="38" t="str">
        <f t="shared" si="2"/>
        <v/>
      </c>
      <c r="J10" s="61"/>
      <c r="K10" s="61"/>
    </row>
    <row r="11" spans="1:11" ht="15.6">
      <c r="A11" s="47" t="str">
        <v>Staten Island - Ellis Storage</v>
      </c>
      <c r="B11" s="48" t="str">
        <v>NY</v>
      </c>
      <c r="C11" s="41"/>
      <c r="D11" s="42"/>
      <c r="E11" s="42" t="str">
        <f t="shared" si="0"/>
        <v/>
      </c>
      <c r="F11" s="43" t="str">
        <f t="shared" si="3"/>
        <v/>
      </c>
      <c r="G11" s="44"/>
      <c r="H11" s="44" t="str">
        <f t="shared" si="1"/>
        <v/>
      </c>
      <c r="I11" s="43" t="str">
        <f t="shared" si="2"/>
        <v/>
      </c>
      <c r="J11" s="79"/>
      <c r="K11" s="79"/>
    </row>
    <row r="12" spans="1:11" ht="15.6">
      <c r="A12" s="49" t="str">
        <v>Amherst - 595 Scholles Road</v>
      </c>
      <c r="B12" s="46" t="str">
        <v>NY</v>
      </c>
      <c r="C12" s="34"/>
      <c r="D12" s="35"/>
      <c r="E12" s="35" t="str">
        <f t="shared" si="0"/>
        <v/>
      </c>
      <c r="F12" s="36" t="str">
        <f t="shared" si="3"/>
        <v/>
      </c>
      <c r="G12" s="37"/>
      <c r="H12" s="37" t="str">
        <f t="shared" si="1"/>
        <v/>
      </c>
      <c r="I12" s="38" t="str">
        <f t="shared" si="2"/>
        <v/>
      </c>
      <c r="J12" s="61"/>
      <c r="K12" s="61"/>
    </row>
    <row r="13" spans="1:11" ht="15.6">
      <c r="A13" s="47" t="str">
        <v>Lancaster 1 - Gunnville Road</v>
      </c>
      <c r="B13" s="48" t="str">
        <v>NY</v>
      </c>
      <c r="C13" s="41"/>
      <c r="D13" s="42"/>
      <c r="E13" s="42" t="str">
        <f t="shared" si="0"/>
        <v/>
      </c>
      <c r="F13" s="43" t="str">
        <f t="shared" si="3"/>
        <v/>
      </c>
      <c r="G13" s="44"/>
      <c r="H13" s="44" t="str">
        <f t="shared" si="1"/>
        <v/>
      </c>
      <c r="I13" s="43" t="str">
        <f t="shared" si="2"/>
        <v/>
      </c>
      <c r="J13" s="79"/>
      <c r="K13" s="79"/>
    </row>
    <row r="14" spans="1:11" ht="15.6">
      <c r="A14" s="49" t="str">
        <v>Lancaster 2 - Shisler Road</v>
      </c>
      <c r="B14" s="46" t="str">
        <v>NY</v>
      </c>
      <c r="C14" s="34"/>
      <c r="D14" s="35"/>
      <c r="E14" s="35" t="str">
        <f t="shared" si="0"/>
        <v/>
      </c>
      <c r="F14" s="36" t="str">
        <f t="shared" si="3"/>
        <v/>
      </c>
      <c r="G14" s="37"/>
      <c r="H14" s="37" t="str">
        <f t="shared" si="1"/>
        <v/>
      </c>
      <c r="I14" s="38" t="str">
        <f t="shared" si="2"/>
        <v/>
      </c>
      <c r="J14" s="61"/>
      <c r="K14" s="61"/>
    </row>
    <row r="15" spans="1:11" ht="15.6">
      <c r="A15" s="47" t="str">
        <v>Fullerton - 200 W Orangethorpe</v>
      </c>
      <c r="B15" s="48" t="str">
        <v>CA</v>
      </c>
      <c r="C15" s="41"/>
      <c r="D15" s="42"/>
      <c r="E15" s="42" t="str">
        <f t="shared" si="0"/>
        <v/>
      </c>
      <c r="F15" s="43" t="str">
        <f t="shared" si="3"/>
        <v/>
      </c>
      <c r="G15" s="44"/>
      <c r="H15" s="44" t="str">
        <f t="shared" si="1"/>
        <v/>
      </c>
      <c r="I15" s="43" t="str">
        <f t="shared" si="2"/>
        <v/>
      </c>
      <c r="J15" s="79"/>
      <c r="K15" s="79"/>
    </row>
    <row r="16" spans="1:11" ht="15.6">
      <c r="A16" s="49" t="str">
        <v>El Paso - 10500 Railroad Drive</v>
      </c>
      <c r="B16" s="46" t="str">
        <v>TX</v>
      </c>
      <c r="C16" s="34"/>
      <c r="D16" s="35"/>
      <c r="E16" s="35" t="str">
        <f t="shared" si="0"/>
        <v/>
      </c>
      <c r="F16" s="36" t="str">
        <f t="shared" si="3"/>
        <v/>
      </c>
      <c r="G16" s="37"/>
      <c r="H16" s="37" t="str">
        <f t="shared" si="1"/>
        <v/>
      </c>
      <c r="I16" s="38" t="str">
        <f t="shared" si="2"/>
        <v/>
      </c>
      <c r="J16" s="61"/>
      <c r="K16" s="61"/>
    </row>
    <row r="17" spans="1:11" ht="15.6">
      <c r="A17" s="47" t="str">
        <v>Friona - 900 Millard Ave</v>
      </c>
      <c r="B17" s="48" t="str">
        <v>TX</v>
      </c>
      <c r="C17" s="41"/>
      <c r="D17" s="42"/>
      <c r="E17" s="42" t="str">
        <f t="shared" si="0"/>
        <v/>
      </c>
      <c r="F17" s="43" t="str">
        <f t="shared" si="3"/>
        <v/>
      </c>
      <c r="G17" s="44"/>
      <c r="H17" s="44" t="str">
        <f t="shared" si="1"/>
        <v/>
      </c>
      <c r="I17" s="43" t="str">
        <f t="shared" si="2"/>
        <v/>
      </c>
      <c r="J17" s="79"/>
      <c r="K17" s="79"/>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4"/>
  <sheetViews>
    <sheetView zoomScale="70" zoomScaleNormal="7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Catalyze</v>
      </c>
      <c r="B1" s="99"/>
      <c r="C1" s="99"/>
      <c r="D1" s="100" t="s">
        <v>176</v>
      </c>
      <c r="E1" s="100"/>
      <c r="F1" s="100"/>
      <c r="G1" s="98" t="s">
        <v>177</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78" customHeight="1">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42.75" customHeight="1">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64"/>
      <c r="K5" s="56"/>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63"/>
    </row>
    <row r="14" spans="1:11" ht="15.6">
      <c r="A14" s="49" t="str">
        <v>Lancaster 2 - Shisler Road</v>
      </c>
      <c r="B14" s="46" t="str">
        <v>NY</v>
      </c>
      <c r="C14" s="34"/>
      <c r="D14" s="35"/>
      <c r="E14" s="35" t="str">
        <f>IF(AND(ISNUMBER(C14),ISNUMBER(D14)), C14-D14, "")</f>
        <v/>
      </c>
      <c r="F14" s="36" t="str">
        <f t="shared" si="3"/>
        <v/>
      </c>
      <c r="G14" s="37"/>
      <c r="H14" s="37" t="str">
        <f>IF(AND(ISNUMBER(C14),ISNUMBER(G14)), C14-G14, "")</f>
        <v/>
      </c>
      <c r="I14" s="38" t="str">
        <f t="shared" si="2"/>
        <v/>
      </c>
      <c r="J14" s="55"/>
      <c r="K14" s="55"/>
    </row>
    <row r="15" spans="1:11" ht="15.6">
      <c r="A15" s="47" t="str">
        <v>Fullerton - 200 W Orangethorpe</v>
      </c>
      <c r="B15" s="48" t="str">
        <v>CA</v>
      </c>
      <c r="C15" s="41"/>
      <c r="D15" s="42"/>
      <c r="E15" s="60" t="str">
        <f>IF(AND(ISNUMBER(C15),ISNUMBER(D15)), C15-D15, "")</f>
        <v/>
      </c>
      <c r="F15" s="43" t="str">
        <f t="shared" si="3"/>
        <v/>
      </c>
      <c r="G15" s="44"/>
      <c r="H15" s="60" t="str">
        <f>IF(AND(ISNUMBER(C15),ISNUMBER(G15)), C15-G15, "")</f>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63"/>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Catalyze</v>
      </c>
      <c r="B1" s="99"/>
      <c r="C1" s="99"/>
      <c r="D1" s="100" t="s">
        <v>178</v>
      </c>
      <c r="E1" s="100"/>
      <c r="F1" s="100"/>
      <c r="G1" s="98" t="s">
        <v>179</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56"/>
      <c r="K5" s="64"/>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6"/>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6"/>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56"/>
    </row>
    <row r="18" spans="1:11" ht="15.6">
      <c r="A18" s="49" t="str">
        <v>Augusta - 13 York Farm Road</v>
      </c>
      <c r="B18" s="46" t="str">
        <v>ME</v>
      </c>
      <c r="C18" s="34"/>
      <c r="D18" s="35"/>
      <c r="E18" s="35"/>
      <c r="F18" s="36"/>
      <c r="G18" s="37"/>
      <c r="H18" s="37"/>
      <c r="I18" s="38"/>
      <c r="J18" s="56"/>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Catalyze</v>
      </c>
      <c r="B1" s="99"/>
      <c r="C1" s="99"/>
      <c r="D1" s="100" t="s">
        <v>180</v>
      </c>
      <c r="E1" s="100"/>
      <c r="F1" s="100"/>
      <c r="G1" s="98" t="s">
        <v>181</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67"/>
      <c r="D5" s="42"/>
      <c r="E5" s="42" t="str">
        <f t="shared" ref="E5:E19" si="0">IF(AND(ISNUMBER(C5),ISNUMBER(D5)), C5-D5, "")</f>
        <v/>
      </c>
      <c r="F5" s="43" t="str">
        <f>IFERROR(E5/D5, "")</f>
        <v/>
      </c>
      <c r="G5" s="44"/>
      <c r="H5" s="44" t="str">
        <f t="shared" ref="H5:H19" si="1">IF(AND(ISNUMBER(C5),ISNUMBER(G5)), C5-G5, "")</f>
        <v/>
      </c>
      <c r="I5" s="43" t="str">
        <f t="shared" ref="I5:I19" si="2">IFERROR(H5/G5, "")</f>
        <v/>
      </c>
      <c r="J5" s="56"/>
      <c r="K5" s="64"/>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IFERROR(H11/G11, "")</f>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69"/>
      <c r="K17" s="68"/>
    </row>
    <row r="18" spans="1:11" ht="15.6">
      <c r="A18" s="49" t="str">
        <v>Augusta - 13 York Farm Road</v>
      </c>
      <c r="B18" s="46" t="str">
        <v>ME</v>
      </c>
      <c r="C18" s="34"/>
      <c r="D18" s="35"/>
      <c r="E18" s="35" t="str">
        <f t="shared" si="0"/>
        <v/>
      </c>
      <c r="F18" s="36" t="str">
        <f t="shared" si="3"/>
        <v/>
      </c>
      <c r="G18" s="37"/>
      <c r="H18" s="37" t="str">
        <f t="shared" si="1"/>
        <v/>
      </c>
      <c r="I18" s="38" t="str">
        <f t="shared" si="2"/>
        <v/>
      </c>
      <c r="J18" s="55"/>
      <c r="K18" s="55"/>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56"/>
      <c r="K19" s="57"/>
    </row>
    <row r="20" spans="1:11" ht="15.6">
      <c r="A20" s="49" t="str">
        <v>Jessup -7950 Oceano Ave</v>
      </c>
      <c r="B20" s="46" t="str">
        <v>MD</v>
      </c>
      <c r="C20" s="34"/>
      <c r="D20" s="35"/>
      <c r="E20" s="35"/>
      <c r="F20" s="36"/>
      <c r="G20" s="37"/>
      <c r="H20" s="37"/>
      <c r="I20" s="38"/>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99" t="str" cm="1">
        <f t="array" ref="A1">portfolio</f>
        <v>Catalyze</v>
      </c>
      <c r="B1" s="99"/>
      <c r="C1" s="99"/>
      <c r="D1" s="100" t="s">
        <v>182</v>
      </c>
      <c r="E1" s="100"/>
      <c r="F1" s="100"/>
      <c r="G1" s="98" t="s">
        <v>183</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0"/>
      <c r="K4" s="70"/>
    </row>
    <row r="5" spans="1:11" ht="84" customHeight="1">
      <c r="A5" s="47" t="str">
        <v>Adelanto - 1 Sheep Creek Road</v>
      </c>
      <c r="B5" s="48" t="str">
        <v>CA</v>
      </c>
      <c r="C5" s="41"/>
      <c r="D5" s="42"/>
      <c r="E5" s="42" t="str">
        <f t="shared" ref="E5:E19" si="0">IF(AND(ISNUMBER(C5),ISNUMBER(D5)), C5-D5, "")</f>
        <v/>
      </c>
      <c r="F5" s="43" t="str">
        <f>IFERROR(E5/D5, "")</f>
        <v/>
      </c>
      <c r="G5" s="44"/>
      <c r="H5" s="44" t="str">
        <f t="shared" ref="H5:H19" si="1">IF(AND(ISNUMBER(C5),ISNUMBER(G5)), C5-G5, "")</f>
        <v/>
      </c>
      <c r="I5" s="43" t="str">
        <f t="shared" ref="I5:I19" si="2">IFERROR(H5/G5, "")</f>
        <v/>
      </c>
      <c r="J5" s="64"/>
      <c r="K5" s="64"/>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70"/>
      <c r="K6" s="70"/>
    </row>
    <row r="7" spans="1:11" ht="15.6">
      <c r="A7" s="47" t="str">
        <v>Charlton - 299 Worcester Road</v>
      </c>
      <c r="B7" s="48" t="str">
        <v>MA</v>
      </c>
      <c r="C7" s="41"/>
      <c r="D7" s="42"/>
      <c r="E7" s="42" t="str">
        <f t="shared" si="0"/>
        <v/>
      </c>
      <c r="F7" s="43" t="str">
        <f t="shared" si="3"/>
        <v/>
      </c>
      <c r="G7" s="44"/>
      <c r="H7" s="44" t="str">
        <f t="shared" si="1"/>
        <v/>
      </c>
      <c r="I7" s="43" t="str">
        <f t="shared" si="2"/>
        <v/>
      </c>
      <c r="J7" s="64"/>
      <c r="K7" s="63"/>
    </row>
    <row r="8" spans="1:11" ht="15.6">
      <c r="A8" s="49" t="str">
        <v>Wareham - 8 Thatcher Drive</v>
      </c>
      <c r="B8" s="46" t="str">
        <v>MA</v>
      </c>
      <c r="C8" s="34"/>
      <c r="D8" s="35"/>
      <c r="E8" s="35" t="str">
        <f t="shared" si="0"/>
        <v/>
      </c>
      <c r="F8" s="36" t="str">
        <f t="shared" si="3"/>
        <v/>
      </c>
      <c r="G8" s="37"/>
      <c r="H8" s="37" t="str">
        <f t="shared" si="1"/>
        <v/>
      </c>
      <c r="I8" s="38" t="str">
        <f t="shared" si="2"/>
        <v/>
      </c>
      <c r="J8" s="70"/>
      <c r="K8" s="70"/>
    </row>
    <row r="9" spans="1:11" ht="15.6">
      <c r="A9" s="47" t="str">
        <v>West Yarmouth - 42 Mid Tech</v>
      </c>
      <c r="B9" s="48" t="str">
        <v>MA</v>
      </c>
      <c r="C9" s="41"/>
      <c r="D9" s="42"/>
      <c r="E9" s="42" t="str">
        <f t="shared" si="0"/>
        <v/>
      </c>
      <c r="F9" s="43" t="str">
        <f t="shared" si="3"/>
        <v/>
      </c>
      <c r="G9" s="44"/>
      <c r="H9" s="44" t="str">
        <f t="shared" si="1"/>
        <v/>
      </c>
      <c r="I9" s="43" t="str">
        <f t="shared" si="2"/>
        <v/>
      </c>
      <c r="J9" s="64"/>
      <c r="K9" s="63"/>
    </row>
    <row r="10" spans="1:11" ht="15.6">
      <c r="A10" s="49" t="str">
        <v>Harrison - 130 Union Street</v>
      </c>
      <c r="B10" s="46" t="str">
        <v>NY</v>
      </c>
      <c r="C10" s="34"/>
      <c r="D10" s="35"/>
      <c r="E10" s="35" t="str">
        <f t="shared" si="0"/>
        <v/>
      </c>
      <c r="F10" s="36" t="str">
        <f t="shared" si="3"/>
        <v/>
      </c>
      <c r="G10" s="37"/>
      <c r="H10" s="37" t="str">
        <f t="shared" si="1"/>
        <v/>
      </c>
      <c r="I10" s="38" t="str">
        <f t="shared" si="2"/>
        <v/>
      </c>
      <c r="J10" s="70"/>
      <c r="K10" s="70"/>
    </row>
    <row r="11" spans="1:11" ht="15.6">
      <c r="A11" s="47" t="str">
        <v>Staten Island - Ellis Storage</v>
      </c>
      <c r="B11" s="48" t="str">
        <v>NY</v>
      </c>
      <c r="C11" s="41"/>
      <c r="D11" s="42"/>
      <c r="E11" s="42" t="str">
        <f t="shared" si="0"/>
        <v/>
      </c>
      <c r="F11" s="43" t="str">
        <f t="shared" si="3"/>
        <v/>
      </c>
      <c r="G11" s="44"/>
      <c r="H11" s="44" t="str">
        <f t="shared" si="1"/>
        <v/>
      </c>
      <c r="I11" s="43" t="str">
        <f t="shared" si="2"/>
        <v/>
      </c>
      <c r="J11" s="64"/>
      <c r="K11" s="63"/>
    </row>
    <row r="12" spans="1:11" ht="51" customHeight="1">
      <c r="A12" s="49" t="str">
        <v>Amherst - 595 Scholles Road</v>
      </c>
      <c r="B12" s="46" t="str">
        <v>NY</v>
      </c>
      <c r="C12" s="34"/>
      <c r="D12" s="35"/>
      <c r="E12" s="35" t="str">
        <f t="shared" si="0"/>
        <v/>
      </c>
      <c r="F12" s="36" t="str">
        <f t="shared" si="3"/>
        <v/>
      </c>
      <c r="G12" s="37"/>
      <c r="H12" s="37" t="str">
        <f t="shared" si="1"/>
        <v/>
      </c>
      <c r="I12" s="38" t="str">
        <f t="shared" si="2"/>
        <v/>
      </c>
      <c r="J12" s="70"/>
      <c r="K12" s="70"/>
    </row>
    <row r="13" spans="1:11" ht="39.75" customHeight="1">
      <c r="A13" s="47" t="str">
        <v>Lancaster 1 - Gunnville Road</v>
      </c>
      <c r="B13" s="48" t="str">
        <v>NY</v>
      </c>
      <c r="C13" s="41"/>
      <c r="D13" s="42"/>
      <c r="E13" s="42" t="str">
        <f t="shared" si="0"/>
        <v/>
      </c>
      <c r="F13" s="43" t="str">
        <f t="shared" si="3"/>
        <v/>
      </c>
      <c r="G13" s="44"/>
      <c r="H13" s="44" t="str">
        <f t="shared" si="1"/>
        <v/>
      </c>
      <c r="I13" s="43" t="str">
        <f t="shared" si="2"/>
        <v/>
      </c>
      <c r="J13" s="64"/>
      <c r="K13" s="64"/>
    </row>
    <row r="14" spans="1:11" ht="15.6">
      <c r="A14" s="49" t="str">
        <v>Lancaster 2 - Shisler Road</v>
      </c>
      <c r="B14" s="46" t="str">
        <v>NY</v>
      </c>
      <c r="C14" s="34"/>
      <c r="D14" s="35"/>
      <c r="E14" s="35" t="str">
        <f t="shared" si="0"/>
        <v/>
      </c>
      <c r="F14" s="36" t="str">
        <f t="shared" si="3"/>
        <v/>
      </c>
      <c r="G14" s="37"/>
      <c r="H14" s="37" t="str">
        <f t="shared" si="1"/>
        <v/>
      </c>
      <c r="I14" s="38" t="str">
        <f t="shared" si="2"/>
        <v/>
      </c>
      <c r="J14" s="70"/>
      <c r="K14" s="70"/>
    </row>
    <row r="15" spans="1:11" ht="15.6">
      <c r="A15" s="47" t="str">
        <v>Fullerton - 200 W Orangethorpe</v>
      </c>
      <c r="B15" s="48" t="str">
        <v>CA</v>
      </c>
      <c r="C15" s="41"/>
      <c r="D15" s="42"/>
      <c r="E15" s="42" t="str">
        <f t="shared" si="0"/>
        <v/>
      </c>
      <c r="F15" s="43" t="str">
        <f t="shared" si="3"/>
        <v/>
      </c>
      <c r="G15" s="44"/>
      <c r="H15" s="44" t="str">
        <f t="shared" si="1"/>
        <v/>
      </c>
      <c r="I15" s="43" t="str">
        <f t="shared" si="2"/>
        <v/>
      </c>
      <c r="J15" s="64"/>
      <c r="K15" s="63"/>
    </row>
    <row r="16" spans="1:11" ht="15.6">
      <c r="A16" s="49" t="str">
        <v>El Paso - 10500 Railroad Drive</v>
      </c>
      <c r="B16" s="46" t="str">
        <v>TX</v>
      </c>
      <c r="C16" s="34"/>
      <c r="D16" s="35"/>
      <c r="E16" s="35" t="str">
        <f t="shared" si="0"/>
        <v/>
      </c>
      <c r="F16" s="36" t="str">
        <f>IFERROR(E16/D16, "")</f>
        <v/>
      </c>
      <c r="G16" s="37"/>
      <c r="H16" s="37" t="str">
        <f t="shared" si="1"/>
        <v/>
      </c>
      <c r="I16" s="38" t="str">
        <f t="shared" si="2"/>
        <v/>
      </c>
      <c r="J16" s="70"/>
      <c r="K16" s="70"/>
    </row>
    <row r="17" spans="1:11" ht="15.6">
      <c r="A17" s="47" t="str">
        <v>Friona - 900 Millard Ave</v>
      </c>
      <c r="B17" s="48" t="str">
        <v>TX</v>
      </c>
      <c r="C17" s="41"/>
      <c r="D17" s="42"/>
      <c r="E17" s="42" t="str">
        <f t="shared" si="0"/>
        <v/>
      </c>
      <c r="F17" s="43" t="str">
        <f t="shared" si="3"/>
        <v/>
      </c>
      <c r="G17" s="44"/>
      <c r="H17" s="44" t="str">
        <f t="shared" si="1"/>
        <v/>
      </c>
      <c r="I17" s="43" t="str">
        <f t="shared" si="2"/>
        <v/>
      </c>
      <c r="J17" s="64"/>
      <c r="K17" s="64"/>
    </row>
    <row r="18" spans="1:11" ht="15.6">
      <c r="A18" s="49" t="str">
        <v>Augusta - 13 York Farm Road</v>
      </c>
      <c r="B18" s="46" t="str">
        <v>ME</v>
      </c>
      <c r="C18" s="34"/>
      <c r="D18" s="35"/>
      <c r="E18" s="35" t="str">
        <f t="shared" si="0"/>
        <v/>
      </c>
      <c r="F18" s="36" t="str">
        <f>IFERROR(E18/D18, "")</f>
        <v/>
      </c>
      <c r="G18" s="37"/>
      <c r="H18" s="37" t="str">
        <f t="shared" si="1"/>
        <v/>
      </c>
      <c r="I18" s="38" t="str">
        <f t="shared" si="2"/>
        <v/>
      </c>
      <c r="J18" s="70"/>
      <c r="K18" s="70"/>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64"/>
      <c r="K19" s="64"/>
    </row>
    <row r="20" spans="1:11" ht="15.6">
      <c r="A20" s="49" t="str">
        <v>Jessup -7950 Oceano Ave</v>
      </c>
      <c r="B20" s="46" t="str">
        <v>MD</v>
      </c>
      <c r="C20" s="34"/>
      <c r="D20" s="35"/>
      <c r="E20" s="35"/>
      <c r="F20" s="36"/>
      <c r="G20" s="37"/>
      <c r="H20" s="37"/>
      <c r="I20" s="38"/>
      <c r="J20" s="70"/>
      <c r="K20" s="70"/>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Catalyze</v>
      </c>
      <c r="B1" s="99"/>
      <c r="C1" s="99"/>
      <c r="D1" s="100" t="s">
        <v>184</v>
      </c>
      <c r="E1" s="100"/>
      <c r="F1" s="100"/>
      <c r="G1" s="98" t="s">
        <v>185</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0"/>
      <c r="K4" s="70"/>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5" si="2">IFERROR(H5/G5, "")</f>
        <v/>
      </c>
      <c r="J5" s="64"/>
      <c r="K5" s="64"/>
    </row>
    <row r="6" spans="1:11" ht="49.5" customHeight="1">
      <c r="A6" s="49" t="str">
        <v>Blackstone - 83 Federal Street</v>
      </c>
      <c r="B6" s="46" t="str">
        <v>MA</v>
      </c>
      <c r="C6" s="34"/>
      <c r="D6" s="35"/>
      <c r="E6" s="35" t="str">
        <f t="shared" si="0"/>
        <v/>
      </c>
      <c r="F6" s="36" t="str">
        <f t="shared" ref="F6:F17" si="3">IFERROR(E6/D6, "")</f>
        <v/>
      </c>
      <c r="G6" s="37"/>
      <c r="H6" s="37" t="str">
        <f t="shared" si="1"/>
        <v/>
      </c>
      <c r="I6" s="38" t="str">
        <f t="shared" si="2"/>
        <v/>
      </c>
      <c r="J6" s="70"/>
      <c r="K6" s="70"/>
    </row>
    <row r="7" spans="1:11" ht="15.6">
      <c r="A7" s="47" t="str">
        <v>Charlton - 299 Worcester Road</v>
      </c>
      <c r="B7" s="48" t="str">
        <v>MA</v>
      </c>
      <c r="C7" s="41"/>
      <c r="D7" s="42"/>
      <c r="E7" s="42" t="str">
        <f t="shared" si="0"/>
        <v/>
      </c>
      <c r="F7" s="43" t="str">
        <f t="shared" si="3"/>
        <v/>
      </c>
      <c r="G7" s="44"/>
      <c r="H7" s="44" t="str">
        <f t="shared" si="1"/>
        <v/>
      </c>
      <c r="I7" s="43" t="str">
        <f t="shared" si="2"/>
        <v/>
      </c>
      <c r="J7" s="64"/>
      <c r="K7" s="63"/>
    </row>
    <row r="8" spans="1:11" ht="15.6">
      <c r="A8" s="49" t="str">
        <v>Wareham - 8 Thatcher Drive</v>
      </c>
      <c r="B8" s="46" t="str">
        <v>MA</v>
      </c>
      <c r="C8" s="34"/>
      <c r="D8" s="35"/>
      <c r="E8" s="35" t="str">
        <f t="shared" si="0"/>
        <v/>
      </c>
      <c r="F8" s="36" t="str">
        <f t="shared" si="3"/>
        <v/>
      </c>
      <c r="G8" s="37"/>
      <c r="H8" s="37" t="str">
        <f t="shared" si="1"/>
        <v/>
      </c>
      <c r="I8" s="38" t="str">
        <f t="shared" si="2"/>
        <v/>
      </c>
      <c r="J8" s="70"/>
      <c r="K8" s="70"/>
    </row>
    <row r="9" spans="1:11" ht="15.6">
      <c r="A9" s="47" t="str">
        <v>West Yarmouth - 42 Mid Tech</v>
      </c>
      <c r="B9" s="48" t="str">
        <v>MA</v>
      </c>
      <c r="C9" s="41"/>
      <c r="D9" s="42"/>
      <c r="E9" s="42" t="str">
        <f t="shared" si="0"/>
        <v/>
      </c>
      <c r="F9" s="43" t="str">
        <f t="shared" si="3"/>
        <v/>
      </c>
      <c r="G9" s="44"/>
      <c r="H9" s="44" t="str">
        <f t="shared" si="1"/>
        <v/>
      </c>
      <c r="I9" s="43" t="str">
        <f t="shared" si="2"/>
        <v/>
      </c>
      <c r="J9" s="64"/>
      <c r="K9" s="83"/>
    </row>
    <row r="10" spans="1:11" ht="15.6">
      <c r="A10" s="49" t="str">
        <v>Harrison - 130 Union Street</v>
      </c>
      <c r="B10" s="46" t="str">
        <v>NY</v>
      </c>
      <c r="C10" s="34"/>
      <c r="D10" s="35"/>
      <c r="E10" s="35" t="str">
        <f t="shared" si="0"/>
        <v/>
      </c>
      <c r="F10" s="36" t="str">
        <f t="shared" si="3"/>
        <v/>
      </c>
      <c r="G10" s="37"/>
      <c r="H10" s="37" t="str">
        <f t="shared" si="1"/>
        <v/>
      </c>
      <c r="I10" s="38" t="str">
        <f t="shared" si="2"/>
        <v/>
      </c>
      <c r="J10" s="70"/>
      <c r="K10" s="70"/>
    </row>
    <row r="11" spans="1:11" ht="15.6">
      <c r="A11" s="47" t="str">
        <v>Staten Island - Ellis Storage</v>
      </c>
      <c r="B11" s="48" t="str">
        <v>NY</v>
      </c>
      <c r="C11" s="41"/>
      <c r="D11" s="42"/>
      <c r="E11" s="42" t="str">
        <f t="shared" si="0"/>
        <v/>
      </c>
      <c r="F11" s="43" t="str">
        <f t="shared" si="3"/>
        <v/>
      </c>
      <c r="G11" s="44"/>
      <c r="H11" s="44" t="str">
        <f t="shared" si="1"/>
        <v/>
      </c>
      <c r="I11" s="43" t="str">
        <f t="shared" si="2"/>
        <v/>
      </c>
      <c r="J11" s="64"/>
      <c r="K11" s="63"/>
    </row>
    <row r="12" spans="1:11" ht="123" customHeight="1">
      <c r="A12" s="49" t="str">
        <v>Amherst - 595 Scholles Road</v>
      </c>
      <c r="B12" s="46" t="str">
        <v>NY</v>
      </c>
      <c r="C12" s="34"/>
      <c r="D12" s="35"/>
      <c r="E12" s="35" t="str">
        <f t="shared" si="0"/>
        <v/>
      </c>
      <c r="F12" s="36" t="str">
        <f t="shared" si="3"/>
        <v/>
      </c>
      <c r="G12" s="37"/>
      <c r="H12" s="37" t="str">
        <f t="shared" si="1"/>
        <v/>
      </c>
      <c r="I12" s="38" t="str">
        <f t="shared" si="2"/>
        <v/>
      </c>
      <c r="J12" s="70"/>
      <c r="K12" s="70"/>
    </row>
    <row r="13" spans="1:11" ht="15.6">
      <c r="A13" s="47" t="str">
        <v>Lancaster 1 - Gunnville Road</v>
      </c>
      <c r="B13" s="48" t="str">
        <v>NY</v>
      </c>
      <c r="C13" s="41"/>
      <c r="D13" s="42"/>
      <c r="E13" s="42" t="str">
        <f t="shared" si="0"/>
        <v/>
      </c>
      <c r="F13" s="43" t="str">
        <f t="shared" si="3"/>
        <v/>
      </c>
      <c r="G13" s="44"/>
      <c r="H13" s="44" t="str">
        <f t="shared" si="1"/>
        <v/>
      </c>
      <c r="I13" s="43" t="str">
        <f t="shared" si="2"/>
        <v/>
      </c>
      <c r="J13" s="64"/>
      <c r="K13" s="83"/>
    </row>
    <row r="14" spans="1:11" ht="15.6">
      <c r="A14" s="49" t="str">
        <v>Lancaster 2 - Shisler Road</v>
      </c>
      <c r="B14" s="46" t="str">
        <v>NY</v>
      </c>
      <c r="C14" s="34"/>
      <c r="D14" s="35"/>
      <c r="E14" s="35" t="str">
        <f t="shared" si="0"/>
        <v/>
      </c>
      <c r="F14" s="36" t="str">
        <f t="shared" si="3"/>
        <v/>
      </c>
      <c r="G14" s="37"/>
      <c r="H14" s="37" t="str">
        <f t="shared" si="1"/>
        <v/>
      </c>
      <c r="I14" s="38" t="str">
        <f t="shared" si="2"/>
        <v/>
      </c>
      <c r="J14" s="70"/>
      <c r="K14" s="70"/>
    </row>
    <row r="15" spans="1:11" ht="37.5" customHeight="1">
      <c r="A15" s="47" t="str">
        <v>Fullerton - 200 W Orangethorpe</v>
      </c>
      <c r="B15" s="48" t="str">
        <v>CA</v>
      </c>
      <c r="C15" s="41"/>
      <c r="D15" s="42"/>
      <c r="E15" s="42" t="str">
        <f t="shared" si="0"/>
        <v/>
      </c>
      <c r="F15" s="43" t="str">
        <f t="shared" si="3"/>
        <v/>
      </c>
      <c r="G15" s="44"/>
      <c r="H15" s="44" t="str">
        <f t="shared" si="1"/>
        <v/>
      </c>
      <c r="I15" s="43" t="str">
        <f t="shared" si="2"/>
        <v/>
      </c>
      <c r="J15" s="64"/>
      <c r="K15" s="83"/>
    </row>
    <row r="16" spans="1:11" ht="15.6">
      <c r="A16" s="49" t="str">
        <v>El Paso - 10500 Railroad Drive</v>
      </c>
      <c r="B16" s="46" t="str">
        <v>TX</v>
      </c>
      <c r="C16" s="34"/>
      <c r="D16" s="35"/>
      <c r="E16" s="35" t="str">
        <f t="shared" si="0"/>
        <v/>
      </c>
      <c r="F16" s="36" t="str">
        <f t="shared" si="3"/>
        <v/>
      </c>
      <c r="G16" s="37"/>
      <c r="H16" s="37" t="str">
        <f>IF(AND(ISNUMBER(C16),ISNUMBER(G16)), C16-G16, "")</f>
        <v/>
      </c>
      <c r="I16" s="38" t="str">
        <f>IFERROR(H16/G16, "")</f>
        <v/>
      </c>
      <c r="J16" s="70"/>
      <c r="K16" s="70"/>
    </row>
    <row r="17" spans="1:11" ht="15.6">
      <c r="A17" s="47" t="str">
        <v>Friona - 900 Millard Ave</v>
      </c>
      <c r="B17" s="48" t="str">
        <v>TX</v>
      </c>
      <c r="C17" s="41"/>
      <c r="D17" s="42"/>
      <c r="E17" s="42" t="str">
        <f t="shared" si="0"/>
        <v/>
      </c>
      <c r="F17" s="43" t="str">
        <f t="shared" si="3"/>
        <v/>
      </c>
      <c r="G17" s="44"/>
      <c r="H17" s="44" t="str">
        <f t="shared" si="1"/>
        <v/>
      </c>
      <c r="I17" s="43" t="str">
        <f>IFERROR(H17/G17, "")</f>
        <v/>
      </c>
      <c r="J17" s="64"/>
      <c r="K17" s="83"/>
    </row>
    <row r="18" spans="1:11" ht="15.6">
      <c r="A18" s="49" t="str">
        <v>Augusta - 13 York Farm Road</v>
      </c>
      <c r="B18" s="46" t="str">
        <v>ME</v>
      </c>
      <c r="C18" s="34"/>
      <c r="D18" s="35"/>
      <c r="E18" s="35" t="str">
        <f>IF(AND(ISNUMBER(C18),ISNUMBER(D18)), C18-D18, "")</f>
        <v/>
      </c>
      <c r="F18" s="36" t="str">
        <f>IFERROR(E18/D18, "")</f>
        <v/>
      </c>
      <c r="G18" s="37"/>
      <c r="H18" s="37" t="str">
        <f>IF(AND(ISNUMBER(C18),ISNUMBER(G18)), C18-G18, "")</f>
        <v/>
      </c>
      <c r="I18" s="38" t="str">
        <f>IFERROR(H18/G18, "")</f>
        <v/>
      </c>
      <c r="J18" s="70"/>
      <c r="K18" s="70"/>
    </row>
    <row r="19" spans="1:11" ht="15.6">
      <c r="A19" s="47" t="str">
        <v xml:space="preserve">Santa Ana - 1441 West </v>
      </c>
      <c r="B19" s="48" t="str">
        <v>CA</v>
      </c>
      <c r="C19" s="41"/>
      <c r="D19" s="42"/>
      <c r="E19" s="42" t="str">
        <f>IF(AND(ISNUMBER(C19),ISNUMBER(D19)), C19-D19, "")</f>
        <v/>
      </c>
      <c r="F19" s="43" t="str">
        <f>IFERROR(E19/D19, "")</f>
        <v/>
      </c>
      <c r="G19" s="44"/>
      <c r="H19" s="44" t="str">
        <f>IF(AND(ISNUMBER(C19),ISNUMBER(G19)), C19-G19, "")</f>
        <v/>
      </c>
      <c r="I19" s="43" t="str">
        <f>IFERROR(H19/G19, "")</f>
        <v/>
      </c>
      <c r="J19" s="64"/>
      <c r="K19" s="83"/>
    </row>
    <row r="20" spans="1:11" ht="15.6">
      <c r="A20" s="49" t="str">
        <v>Jessup -7950 Oceano Ave</v>
      </c>
      <c r="B20" s="46" t="str">
        <v>MD</v>
      </c>
      <c r="C20" s="34"/>
      <c r="D20" s="35"/>
      <c r="E20" s="35" t="str">
        <f>IF(AND(ISNUMBER(C20),ISNUMBER(D20)), C20-D20, "")</f>
        <v/>
      </c>
      <c r="F20" s="36" t="str">
        <f>IFERROR(E20/D20, "")</f>
        <v/>
      </c>
      <c r="G20" s="37"/>
      <c r="H20" s="37" t="str">
        <f>IF(AND(ISNUMBER(C20),ISNUMBER(G20)), C20-G20, "")</f>
        <v/>
      </c>
      <c r="I20" s="38" t="str">
        <f>IFERROR(H20/G20, "")</f>
        <v/>
      </c>
      <c r="J20" s="70"/>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9" t="str" cm="1">
        <f t="array" ref="A1">portfolio</f>
        <v>Catalyze</v>
      </c>
      <c r="B1" s="99"/>
      <c r="C1" s="99"/>
      <c r="D1" s="100" t="s">
        <v>186</v>
      </c>
      <c r="E1" s="100"/>
      <c r="F1" s="100"/>
      <c r="G1" s="98" t="s">
        <v>187</v>
      </c>
      <c r="H1" s="98"/>
      <c r="I1" s="98"/>
      <c r="J1" s="4"/>
      <c r="K1" s="4"/>
    </row>
    <row r="2" spans="1:11" ht="19.5" customHeight="1">
      <c r="A2" s="101" t="s">
        <v>2</v>
      </c>
      <c r="B2" s="101"/>
      <c r="C2" s="5">
        <f>SUM(C4:C92)</f>
        <v>0</v>
      </c>
      <c r="D2" s="5">
        <f>SUM(D4:D92)</f>
        <v>0</v>
      </c>
      <c r="E2" s="5">
        <f>C2-D2</f>
        <v>0</v>
      </c>
      <c r="F2" s="6">
        <f>IFERROR(E2/D2, 0)</f>
        <v>0</v>
      </c>
      <c r="G2" s="5">
        <f>SUM(G4:G92)</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20" si="0">IF(AND(ISNUMBER(C5),ISNUMBER(D5)), C5-D5, "")</f>
        <v/>
      </c>
      <c r="F5" s="43" t="str">
        <f t="shared" ref="F5:F20" si="1">IFERROR(E5/D5, "")</f>
        <v/>
      </c>
      <c r="G5" s="44"/>
      <c r="H5" s="44" t="str">
        <f t="shared" ref="H5:H20" si="2">IF(AND(ISNUMBER(C5),ISNUMBER(G5)), C5-G5, "")</f>
        <v/>
      </c>
      <c r="I5" s="43" t="str">
        <f t="shared" ref="I5:I20" si="3">IFERROR(H5/G5, "")</f>
        <v/>
      </c>
      <c r="J5" s="64"/>
      <c r="K5" s="64"/>
    </row>
    <row r="6" spans="1:11" ht="15.6">
      <c r="A6" s="49" t="str">
        <v>Blackstone - 83 Federal Street</v>
      </c>
      <c r="B6" s="46" t="str">
        <v>MA</v>
      </c>
      <c r="C6" s="34"/>
      <c r="D6" s="35"/>
      <c r="E6" s="35" t="str">
        <f t="shared" si="0"/>
        <v/>
      </c>
      <c r="F6" s="36" t="str">
        <f t="shared" si="1"/>
        <v/>
      </c>
      <c r="G6" s="37"/>
      <c r="H6" s="37" t="str">
        <f t="shared" si="2"/>
        <v/>
      </c>
      <c r="I6" s="38" t="str">
        <f t="shared" si="3"/>
        <v/>
      </c>
      <c r="J6" s="55"/>
      <c r="K6" s="55"/>
    </row>
    <row r="7" spans="1:11" ht="15.6">
      <c r="A7" s="47" t="str">
        <v>Charlton - 299 Worcester Road</v>
      </c>
      <c r="B7" s="48" t="str">
        <v>MA</v>
      </c>
      <c r="C7" s="41"/>
      <c r="D7" s="42"/>
      <c r="E7" s="42" t="str">
        <f t="shared" si="0"/>
        <v/>
      </c>
      <c r="F7" s="43" t="str">
        <f t="shared" si="1"/>
        <v/>
      </c>
      <c r="G7" s="44"/>
      <c r="H7" s="44" t="str">
        <f t="shared" si="2"/>
        <v/>
      </c>
      <c r="I7" s="43" t="str">
        <f t="shared" si="3"/>
        <v/>
      </c>
      <c r="J7" s="64"/>
      <c r="K7" s="64"/>
    </row>
    <row r="8" spans="1:11" ht="15.6">
      <c r="A8" s="49" t="str">
        <v>Wareham - 8 Thatcher Drive</v>
      </c>
      <c r="B8" s="46" t="str">
        <v>MA</v>
      </c>
      <c r="C8" s="34"/>
      <c r="D8" s="35"/>
      <c r="E8" s="35" t="str">
        <f t="shared" si="0"/>
        <v/>
      </c>
      <c r="F8" s="36" t="str">
        <f t="shared" si="1"/>
        <v/>
      </c>
      <c r="G8" s="37"/>
      <c r="H8" s="37" t="str">
        <f t="shared" si="2"/>
        <v/>
      </c>
      <c r="I8" s="38" t="str">
        <f t="shared" si="3"/>
        <v/>
      </c>
      <c r="J8" s="55"/>
      <c r="K8" s="55"/>
    </row>
    <row r="9" spans="1:11" ht="15.6">
      <c r="A9" s="47" t="str">
        <v>West Yarmouth - 42 Mid Tech</v>
      </c>
      <c r="B9" s="48" t="str">
        <v>MA</v>
      </c>
      <c r="C9" s="41"/>
      <c r="D9" s="42"/>
      <c r="E9" s="42" t="str">
        <f t="shared" si="0"/>
        <v/>
      </c>
      <c r="F9" s="43" t="str">
        <f t="shared" si="1"/>
        <v/>
      </c>
      <c r="G9" s="44"/>
      <c r="H9" s="44" t="str">
        <f t="shared" si="2"/>
        <v/>
      </c>
      <c r="I9" s="43" t="str">
        <f t="shared" si="3"/>
        <v/>
      </c>
      <c r="J9" s="64"/>
      <c r="K9" s="64"/>
    </row>
    <row r="10" spans="1:11" ht="15.6">
      <c r="A10" s="49" t="str">
        <v>Harrison - 130 Union Street</v>
      </c>
      <c r="B10" s="46" t="str">
        <v>NY</v>
      </c>
      <c r="C10" s="34"/>
      <c r="D10" s="35"/>
      <c r="E10" s="35" t="str">
        <f t="shared" si="0"/>
        <v/>
      </c>
      <c r="F10" s="36" t="str">
        <f t="shared" si="1"/>
        <v/>
      </c>
      <c r="G10" s="37"/>
      <c r="H10" s="37" t="str">
        <f t="shared" si="2"/>
        <v/>
      </c>
      <c r="I10" s="38" t="str">
        <f t="shared" si="3"/>
        <v/>
      </c>
      <c r="J10" s="55"/>
      <c r="K10" s="55"/>
    </row>
    <row r="11" spans="1:11" ht="15.6">
      <c r="A11" s="47" t="str">
        <v>Staten Island - Ellis Storage</v>
      </c>
      <c r="B11" s="48" t="str">
        <v>NY</v>
      </c>
      <c r="C11" s="41"/>
      <c r="D11" s="42"/>
      <c r="E11" s="42" t="str">
        <f t="shared" si="0"/>
        <v/>
      </c>
      <c r="F11" s="43" t="str">
        <f t="shared" si="1"/>
        <v/>
      </c>
      <c r="G11" s="44"/>
      <c r="H11" s="44" t="str">
        <f t="shared" si="2"/>
        <v/>
      </c>
      <c r="I11" s="43" t="str">
        <f t="shared" si="3"/>
        <v/>
      </c>
      <c r="J11" s="64"/>
      <c r="K11" s="64"/>
    </row>
    <row r="12" spans="1:11" ht="15.6">
      <c r="A12" s="49" t="str">
        <v>Amherst - 595 Scholles Road</v>
      </c>
      <c r="B12" s="46" t="str">
        <v>NY</v>
      </c>
      <c r="C12" s="34"/>
      <c r="D12" s="35"/>
      <c r="E12" s="35" t="str">
        <f t="shared" si="0"/>
        <v/>
      </c>
      <c r="F12" s="36" t="str">
        <f t="shared" si="1"/>
        <v/>
      </c>
      <c r="G12" s="37"/>
      <c r="H12" s="37" t="str">
        <f t="shared" si="2"/>
        <v/>
      </c>
      <c r="I12" s="38" t="str">
        <f t="shared" si="3"/>
        <v/>
      </c>
      <c r="J12" s="55"/>
      <c r="K12" s="55"/>
    </row>
    <row r="13" spans="1:11" ht="15.6">
      <c r="A13" s="47" t="str">
        <v>Lancaster 1 - Gunnville Road</v>
      </c>
      <c r="B13" s="48" t="str">
        <v>NY</v>
      </c>
      <c r="C13" s="41"/>
      <c r="D13" s="42"/>
      <c r="E13" s="42" t="str">
        <f t="shared" si="0"/>
        <v/>
      </c>
      <c r="F13" s="43" t="str">
        <f t="shared" si="1"/>
        <v/>
      </c>
      <c r="G13" s="44"/>
      <c r="H13" s="44" t="str">
        <f t="shared" si="2"/>
        <v/>
      </c>
      <c r="I13" s="43" t="str">
        <f t="shared" si="3"/>
        <v/>
      </c>
      <c r="J13" s="64"/>
      <c r="K13" s="64"/>
    </row>
    <row r="14" spans="1:11" ht="93.75" customHeight="1">
      <c r="A14" s="49" t="str">
        <v>Lancaster 2 - Shisler Road</v>
      </c>
      <c r="B14" s="46" t="str">
        <v>NY</v>
      </c>
      <c r="C14" s="34"/>
      <c r="D14" s="35"/>
      <c r="E14" s="35" t="str">
        <f t="shared" si="0"/>
        <v/>
      </c>
      <c r="F14" s="36" t="str">
        <f t="shared" si="1"/>
        <v/>
      </c>
      <c r="G14" s="37"/>
      <c r="H14" s="37" t="str">
        <f t="shared" si="2"/>
        <v/>
      </c>
      <c r="I14" s="38" t="str">
        <f t="shared" si="3"/>
        <v/>
      </c>
      <c r="J14" s="55"/>
      <c r="K14" s="55"/>
    </row>
    <row r="15" spans="1:11" ht="15.6">
      <c r="A15" s="47" t="str">
        <v>Fullerton - 200 W Orangethorpe</v>
      </c>
      <c r="B15" s="48" t="str">
        <v>CA</v>
      </c>
      <c r="C15" s="41"/>
      <c r="D15" s="42"/>
      <c r="E15" s="42" t="str">
        <f t="shared" si="0"/>
        <v/>
      </c>
      <c r="F15" s="43" t="str">
        <f t="shared" si="1"/>
        <v/>
      </c>
      <c r="G15" s="44"/>
      <c r="H15" s="44" t="str">
        <f t="shared" si="2"/>
        <v/>
      </c>
      <c r="I15" s="43" t="str">
        <f t="shared" si="3"/>
        <v/>
      </c>
      <c r="J15" s="64"/>
      <c r="K15" s="64"/>
    </row>
    <row r="16" spans="1:11" ht="15.6">
      <c r="A16" s="49" t="str">
        <v>El Paso - 10500 Railroad Drive</v>
      </c>
      <c r="B16" s="46" t="str">
        <v>TX</v>
      </c>
      <c r="C16" s="34"/>
      <c r="D16" s="35"/>
      <c r="E16" s="35" t="str">
        <f t="shared" si="0"/>
        <v/>
      </c>
      <c r="F16" s="36" t="str">
        <f t="shared" si="1"/>
        <v/>
      </c>
      <c r="G16" s="37"/>
      <c r="H16" s="37" t="str">
        <f t="shared" si="2"/>
        <v/>
      </c>
      <c r="I16" s="38" t="str">
        <f t="shared" si="3"/>
        <v/>
      </c>
      <c r="J16" s="55"/>
      <c r="K16" s="55"/>
    </row>
    <row r="17" spans="1:11" ht="15.6">
      <c r="A17" s="47" t="str">
        <v>Friona - 900 Millard Ave</v>
      </c>
      <c r="B17" s="48" t="str">
        <v>TX</v>
      </c>
      <c r="C17" s="41"/>
      <c r="D17" s="42"/>
      <c r="E17" s="42" t="str">
        <f t="shared" si="0"/>
        <v/>
      </c>
      <c r="F17" s="43" t="str">
        <f t="shared" si="1"/>
        <v/>
      </c>
      <c r="G17" s="44"/>
      <c r="H17" s="44" t="str">
        <f t="shared" si="2"/>
        <v/>
      </c>
      <c r="I17" s="43" t="str">
        <f t="shared" si="3"/>
        <v/>
      </c>
      <c r="J17" s="64"/>
      <c r="K17" s="64"/>
    </row>
    <row r="18" spans="1:11" ht="15.6">
      <c r="A18" s="49" t="str">
        <v>Augusta - 13 York Farm Road</v>
      </c>
      <c r="B18" s="46" t="str">
        <v>ME</v>
      </c>
      <c r="C18" s="34"/>
      <c r="D18" s="35"/>
      <c r="E18" s="35" t="str">
        <f t="shared" si="0"/>
        <v/>
      </c>
      <c r="F18" s="36" t="str">
        <f t="shared" si="1"/>
        <v/>
      </c>
      <c r="G18" s="37"/>
      <c r="H18" s="37" t="str">
        <f t="shared" si="2"/>
        <v/>
      </c>
      <c r="I18" s="38" t="str">
        <f t="shared" si="3"/>
        <v/>
      </c>
      <c r="J18" s="70"/>
      <c r="K18" s="70"/>
    </row>
    <row r="19" spans="1:11" ht="15.6">
      <c r="A19" s="47" t="str">
        <v xml:space="preserve">Santa Ana - 1441 West </v>
      </c>
      <c r="B19" s="48" t="str">
        <v>CA</v>
      </c>
      <c r="C19" s="41"/>
      <c r="D19" s="42"/>
      <c r="E19" s="42" t="str">
        <f t="shared" si="0"/>
        <v/>
      </c>
      <c r="F19" s="43" t="str">
        <f t="shared" si="1"/>
        <v/>
      </c>
      <c r="G19" s="44"/>
      <c r="H19" s="44" t="str">
        <f t="shared" si="2"/>
        <v/>
      </c>
      <c r="I19" s="43" t="str">
        <f t="shared" si="3"/>
        <v/>
      </c>
      <c r="J19" s="64"/>
      <c r="K19" s="83"/>
    </row>
    <row r="20" spans="1:11" ht="15.6">
      <c r="A20" s="49" t="str">
        <v>Jessup -7950 Oceano Ave</v>
      </c>
      <c r="B20" s="46" t="str">
        <v>MD</v>
      </c>
      <c r="C20" s="34"/>
      <c r="D20" s="35"/>
      <c r="E20" s="35" t="str">
        <f t="shared" si="0"/>
        <v/>
      </c>
      <c r="F20" s="36" t="str">
        <f t="shared" si="1"/>
        <v/>
      </c>
      <c r="G20" s="37"/>
      <c r="H20" s="37" t="str">
        <f t="shared" si="2"/>
        <v/>
      </c>
      <c r="I20" s="38" t="str">
        <f t="shared" si="3"/>
        <v/>
      </c>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c r="B22" s="18"/>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E30" sqref="E3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188</v>
      </c>
      <c r="B1" t="s">
        <v>189</v>
      </c>
    </row>
    <row r="3" spans="1:12" ht="13.15">
      <c r="A3" t="s">
        <v>190</v>
      </c>
      <c r="B3" t="s">
        <v>3</v>
      </c>
      <c r="C3" t="s">
        <v>4</v>
      </c>
      <c r="D3" t="s">
        <v>191</v>
      </c>
      <c r="E3" s="2" t="s">
        <v>192</v>
      </c>
    </row>
    <row r="4" spans="1:12" ht="14.45">
      <c r="A4" s="24" t="s">
        <v>193</v>
      </c>
      <c r="B4" t="s">
        <v>194</v>
      </c>
      <c r="C4" s="23" t="s">
        <v>195</v>
      </c>
      <c r="D4" s="22" t="s">
        <v>196</v>
      </c>
      <c r="E4" t="s">
        <v>197</v>
      </c>
      <c r="G4" s="3"/>
    </row>
    <row r="5" spans="1:12" ht="14.45">
      <c r="A5" s="24" t="s">
        <v>198</v>
      </c>
      <c r="B5" t="s">
        <v>199</v>
      </c>
      <c r="C5" s="23" t="s">
        <v>195</v>
      </c>
      <c r="D5" s="22"/>
      <c r="E5" t="s">
        <v>200</v>
      </c>
      <c r="G5" s="3"/>
    </row>
    <row r="6" spans="1:12" ht="14.45">
      <c r="A6" s="24" t="s">
        <v>201</v>
      </c>
      <c r="B6" t="s">
        <v>202</v>
      </c>
      <c r="C6" s="23" t="s">
        <v>203</v>
      </c>
      <c r="D6" s="22" t="s">
        <v>196</v>
      </c>
      <c r="E6" t="s">
        <v>197</v>
      </c>
      <c r="G6" s="3"/>
    </row>
    <row r="7" spans="1:12" ht="12.75" customHeight="1">
      <c r="A7" s="24" t="s">
        <v>204</v>
      </c>
      <c r="B7" t="s">
        <v>205</v>
      </c>
      <c r="C7" s="23" t="s">
        <v>203</v>
      </c>
      <c r="D7" s="22" t="s">
        <v>196</v>
      </c>
      <c r="E7" t="s">
        <v>197</v>
      </c>
    </row>
    <row r="8" spans="1:12" ht="12.75" customHeight="1">
      <c r="A8" s="24" t="s">
        <v>206</v>
      </c>
      <c r="B8" t="s">
        <v>207</v>
      </c>
      <c r="C8" s="23" t="s">
        <v>203</v>
      </c>
      <c r="D8" s="22" t="s">
        <v>196</v>
      </c>
      <c r="E8" t="s">
        <v>197</v>
      </c>
    </row>
    <row r="9" spans="1:12" ht="12.75" customHeight="1">
      <c r="A9" s="24" t="s">
        <v>208</v>
      </c>
      <c r="B9" t="s">
        <v>209</v>
      </c>
      <c r="C9" s="23" t="s">
        <v>203</v>
      </c>
      <c r="D9" s="22" t="s">
        <v>196</v>
      </c>
      <c r="E9" t="s">
        <v>197</v>
      </c>
    </row>
    <row r="10" spans="1:12" ht="12.75" customHeight="1">
      <c r="A10" s="24" t="s">
        <v>210</v>
      </c>
      <c r="B10" t="s">
        <v>211</v>
      </c>
      <c r="C10" s="23" t="s">
        <v>212</v>
      </c>
      <c r="D10" s="22" t="s">
        <v>196</v>
      </c>
      <c r="E10" t="s">
        <v>197</v>
      </c>
      <c r="K10" s="20"/>
      <c r="L10" s="20"/>
    </row>
    <row r="11" spans="1:12" ht="12.75" customHeight="1">
      <c r="A11" s="24" t="s">
        <v>213</v>
      </c>
      <c r="B11" t="s">
        <v>214</v>
      </c>
      <c r="C11" s="23" t="s">
        <v>212</v>
      </c>
      <c r="D11" s="22" t="s">
        <v>196</v>
      </c>
      <c r="E11" t="s">
        <v>197</v>
      </c>
      <c r="K11" s="20"/>
      <c r="L11" s="20"/>
    </row>
    <row r="12" spans="1:12" ht="12.75" customHeight="1">
      <c r="A12" s="24" t="s">
        <v>215</v>
      </c>
      <c r="B12" t="s">
        <v>216</v>
      </c>
      <c r="C12" s="23" t="s">
        <v>212</v>
      </c>
      <c r="D12" s="22" t="s">
        <v>196</v>
      </c>
      <c r="E12" t="s">
        <v>200</v>
      </c>
      <c r="K12" s="20"/>
      <c r="L12" s="20"/>
    </row>
    <row r="13" spans="1:12" ht="12.75" customHeight="1">
      <c r="A13" s="24" t="s">
        <v>217</v>
      </c>
      <c r="B13" t="s">
        <v>218</v>
      </c>
      <c r="C13" s="23" t="s">
        <v>212</v>
      </c>
      <c r="D13" s="22" t="s">
        <v>196</v>
      </c>
      <c r="E13" t="s">
        <v>197</v>
      </c>
      <c r="K13" s="20"/>
      <c r="L13" s="20"/>
    </row>
    <row r="14" spans="1:12" ht="12.75" customHeight="1">
      <c r="A14" s="24" t="s">
        <v>219</v>
      </c>
      <c r="B14" t="s">
        <v>220</v>
      </c>
      <c r="C14" s="23" t="s">
        <v>212</v>
      </c>
      <c r="D14" s="22" t="s">
        <v>196</v>
      </c>
      <c r="E14" t="s">
        <v>197</v>
      </c>
      <c r="K14" s="20"/>
      <c r="L14" s="20"/>
    </row>
    <row r="15" spans="1:12" ht="12.75" customHeight="1">
      <c r="A15" s="24" t="s">
        <v>221</v>
      </c>
      <c r="B15" t="s">
        <v>222</v>
      </c>
      <c r="C15" s="23" t="s">
        <v>195</v>
      </c>
      <c r="D15" s="22" t="s">
        <v>196</v>
      </c>
      <c r="E15" t="s">
        <v>197</v>
      </c>
      <c r="K15" s="20"/>
      <c r="L15" s="20"/>
    </row>
    <row r="16" spans="1:12" ht="12.75" customHeight="1">
      <c r="A16" s="24" t="s">
        <v>223</v>
      </c>
      <c r="B16" t="s">
        <v>224</v>
      </c>
      <c r="C16" s="23" t="s">
        <v>225</v>
      </c>
      <c r="D16" s="22" t="s">
        <v>196</v>
      </c>
      <c r="E16" t="s">
        <v>197</v>
      </c>
      <c r="K16" s="20"/>
      <c r="L16" s="20"/>
    </row>
    <row r="17" spans="1:12" ht="12.75" customHeight="1">
      <c r="A17" s="24" t="s">
        <v>226</v>
      </c>
      <c r="B17" t="s">
        <v>227</v>
      </c>
      <c r="C17" s="23" t="s">
        <v>225</v>
      </c>
      <c r="D17" s="22" t="s">
        <v>196</v>
      </c>
      <c r="E17" t="s">
        <v>197</v>
      </c>
      <c r="K17" s="20"/>
      <c r="L17" s="20"/>
    </row>
    <row r="18" spans="1:12" ht="12.75" customHeight="1">
      <c r="A18" s="65" t="s">
        <v>228</v>
      </c>
      <c r="B18" s="66" t="s">
        <v>229</v>
      </c>
      <c r="C18" s="23" t="s">
        <v>230</v>
      </c>
      <c r="D18" s="22" t="s">
        <v>196</v>
      </c>
      <c r="E18" t="s">
        <v>197</v>
      </c>
      <c r="K18" s="20"/>
      <c r="L18" s="20"/>
    </row>
    <row r="19" spans="1:12" ht="12.75" customHeight="1">
      <c r="A19" s="65" t="s">
        <v>231</v>
      </c>
      <c r="B19" s="66" t="s">
        <v>232</v>
      </c>
      <c r="C19" s="23" t="s">
        <v>195</v>
      </c>
      <c r="D19" s="22" t="s">
        <v>196</v>
      </c>
      <c r="E19" t="s">
        <v>197</v>
      </c>
      <c r="K19" s="20"/>
      <c r="L19" s="20"/>
    </row>
    <row r="20" spans="1:12" ht="12.75" customHeight="1">
      <c r="A20" s="65" t="s">
        <v>233</v>
      </c>
      <c r="B20" s="66" t="s">
        <v>234</v>
      </c>
      <c r="C20" s="23" t="s">
        <v>235</v>
      </c>
      <c r="D20" s="22" t="s">
        <v>196</v>
      </c>
      <c r="E20" t="s">
        <v>197</v>
      </c>
      <c r="K20" s="20"/>
      <c r="L20" s="20"/>
    </row>
    <row r="21" spans="1:12" ht="12.75" customHeight="1">
      <c r="A21" s="65" t="s">
        <v>236</v>
      </c>
      <c r="B21" s="66" t="s">
        <v>237</v>
      </c>
      <c r="C21" s="23" t="s">
        <v>225</v>
      </c>
      <c r="D21" t="s">
        <v>196</v>
      </c>
      <c r="E21" s="81" t="s">
        <v>197</v>
      </c>
      <c r="K21" s="20"/>
      <c r="L21" s="20"/>
    </row>
    <row r="22" spans="1:12" ht="12.75" customHeight="1">
      <c r="K22" s="20"/>
      <c r="L22" s="20"/>
    </row>
    <row r="23" spans="1:12" ht="12.75" customHeight="1">
      <c r="K23" s="20"/>
      <c r="L23" s="2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078388C9-06F9-42F4-B857-EF76B5CAF1FD}"/>
</file>

<file path=customXml/itemProps3.xml><?xml version="1.0" encoding="utf-8"?>
<ds:datastoreItem xmlns:ds="http://schemas.openxmlformats.org/officeDocument/2006/customXml" ds:itemID="{5888AE3C-3AC7-4E0E-90FC-2D2DD7010ED3}"/>
</file>

<file path=customXml/itemProps4.xml><?xml version="1.0" encoding="utf-8"?>
<ds:datastoreItem xmlns:ds="http://schemas.openxmlformats.org/officeDocument/2006/customXml" ds:itemID="{BE26B669-A686-459C-A5E9-FEC3409C4C81}"/>
</file>

<file path=customXml/itemProps5.xml><?xml version="1.0" encoding="utf-8"?>
<ds:datastoreItem xmlns:ds="http://schemas.openxmlformats.org/officeDocument/2006/customXml" ds:itemID="{8D732231-4216-4543-A665-18A2886B0EB7}"/>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F12EFA50-0068-4A8C-85A0-F1B26389EBC3}"/>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2025-06-07T03:44:00Z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