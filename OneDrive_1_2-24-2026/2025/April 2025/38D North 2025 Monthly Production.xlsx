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05615212-4DFD-442F-8CE0-DBD2A8621CB5}" xr6:coauthVersionLast="47" xr6:coauthVersionMax="47" xr10:uidLastSave="{00000000-0000-0000-0000-000000000000}"/>
  <bookViews>
    <workbookView xWindow="28680" yWindow="-120" windowWidth="29040" windowHeight="15720" tabRatio="866" firstSheet="8" activeTab="8"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4" l="1"/>
  <c r="F2" i="4"/>
  <c r="I4" i="4"/>
  <c r="E17" i="4"/>
  <c r="E17" i="3"/>
  <c r="E17" i="72"/>
  <c r="F17" i="72"/>
  <c r="H18" i="33"/>
  <c r="I18" i="33" s="1"/>
  <c r="H19" i="33"/>
  <c r="I19" i="33" s="1"/>
  <c r="H20" i="33"/>
  <c r="I20" i="33" s="1"/>
  <c r="H21" i="33"/>
  <c r="I21" i="33" s="1"/>
  <c r="H22" i="33"/>
  <c r="I22" i="33" s="1"/>
  <c r="H23" i="33"/>
  <c r="I23" i="33" s="1"/>
  <c r="H24" i="33"/>
  <c r="I24" i="33" s="1"/>
  <c r="E18" i="33"/>
  <c r="F18" i="33" s="1"/>
  <c r="E19" i="33"/>
  <c r="F19" i="33" s="1"/>
  <c r="E20" i="33"/>
  <c r="F20" i="33" s="1"/>
  <c r="E21" i="33"/>
  <c r="F21" i="33" s="1"/>
  <c r="E22" i="33"/>
  <c r="F22" i="33" s="1"/>
  <c r="E23" i="33"/>
  <c r="F23" i="33" s="1"/>
  <c r="E24" i="33"/>
  <c r="F24" i="33" s="1"/>
  <c r="I18" i="32"/>
  <c r="H18" i="32"/>
  <c r="H19" i="32"/>
  <c r="I19" i="32" s="1"/>
  <c r="H20" i="32"/>
  <c r="I20" i="32" s="1"/>
  <c r="H21" i="32"/>
  <c r="I21" i="32" s="1"/>
  <c r="H22" i="32"/>
  <c r="I22" i="32" s="1"/>
  <c r="H23" i="32"/>
  <c r="I23" i="32" s="1"/>
  <c r="H24" i="32"/>
  <c r="I24" i="32" s="1"/>
  <c r="F24" i="32"/>
  <c r="E18" i="32"/>
  <c r="F18" i="32" s="1"/>
  <c r="E19" i="32"/>
  <c r="F19" i="32" s="1"/>
  <c r="E20" i="32"/>
  <c r="F20" i="32" s="1"/>
  <c r="E21" i="32"/>
  <c r="F21" i="32" s="1"/>
  <c r="E22" i="32"/>
  <c r="F22" i="32" s="1"/>
  <c r="E23" i="32"/>
  <c r="F23" i="32" s="1"/>
  <c r="E24" i="32"/>
  <c r="H18" i="31"/>
  <c r="I18" i="31" s="1"/>
  <c r="H19" i="31"/>
  <c r="I19" i="31" s="1"/>
  <c r="H20" i="31"/>
  <c r="I20" i="31"/>
  <c r="H21" i="31"/>
  <c r="I21" i="31" s="1"/>
  <c r="H22" i="31"/>
  <c r="I22" i="31" s="1"/>
  <c r="H23" i="31"/>
  <c r="I23" i="31" s="1"/>
  <c r="H24" i="31"/>
  <c r="I24" i="31" s="1"/>
  <c r="E18" i="31"/>
  <c r="F18" i="31" s="1"/>
  <c r="E19" i="31"/>
  <c r="F19" i="31" s="1"/>
  <c r="E20" i="31"/>
  <c r="F20" i="31"/>
  <c r="E21" i="31"/>
  <c r="F21" i="31"/>
  <c r="E22" i="31"/>
  <c r="F22" i="31" s="1"/>
  <c r="E23" i="31"/>
  <c r="F23" i="31" s="1"/>
  <c r="E24" i="31"/>
  <c r="F24" i="31"/>
  <c r="H18" i="28" l="1"/>
  <c r="I18" i="28" s="1"/>
  <c r="H19" i="28"/>
  <c r="I19" i="28" s="1"/>
  <c r="H20" i="28"/>
  <c r="I20" i="28" s="1"/>
  <c r="H21" i="28"/>
  <c r="I21" i="28" s="1"/>
  <c r="H22" i="28"/>
  <c r="I22" i="28" s="1"/>
  <c r="H23" i="28"/>
  <c r="I23" i="28" s="1"/>
  <c r="H24" i="28"/>
  <c r="I24" i="28" s="1"/>
  <c r="F21" i="28"/>
  <c r="E18" i="28"/>
  <c r="F18" i="28" s="1"/>
  <c r="E19" i="28"/>
  <c r="F19" i="28" s="1"/>
  <c r="E20" i="28"/>
  <c r="F20" i="28" s="1"/>
  <c r="E21" i="28"/>
  <c r="E22" i="28"/>
  <c r="F22" i="28" s="1"/>
  <c r="E23" i="28"/>
  <c r="F23" i="28" s="1"/>
  <c r="E24" i="28"/>
  <c r="F24" i="28" s="1"/>
  <c r="G5" i="29"/>
  <c r="G6" i="29"/>
  <c r="G7" i="29"/>
  <c r="G8" i="29"/>
  <c r="G9" i="29"/>
  <c r="G10" i="29"/>
  <c r="G11" i="29"/>
  <c r="G12" i="29"/>
  <c r="G13" i="29"/>
  <c r="G14" i="29"/>
  <c r="G15" i="29"/>
  <c r="G16" i="29"/>
  <c r="G17" i="29"/>
  <c r="G18" i="29"/>
  <c r="G19" i="29"/>
  <c r="G20" i="29"/>
  <c r="G21" i="29"/>
  <c r="G22" i="29"/>
  <c r="G23" i="29"/>
  <c r="G24" i="29"/>
  <c r="G4" i="29"/>
  <c r="I23" i="27"/>
  <c r="H18" i="27"/>
  <c r="I18" i="27" s="1"/>
  <c r="H19" i="27"/>
  <c r="I19" i="27" s="1"/>
  <c r="H20" i="27"/>
  <c r="I20" i="27" s="1"/>
  <c r="H21" i="27"/>
  <c r="I21" i="27" s="1"/>
  <c r="H22" i="27"/>
  <c r="I22" i="27" s="1"/>
  <c r="H23" i="27"/>
  <c r="H24" i="27"/>
  <c r="I24" i="27" s="1"/>
  <c r="E18" i="27"/>
  <c r="F18" i="27" s="1"/>
  <c r="E19" i="27"/>
  <c r="F19" i="27" s="1"/>
  <c r="E20" i="27"/>
  <c r="F20" i="27" s="1"/>
  <c r="E21" i="27"/>
  <c r="F21" i="27" s="1"/>
  <c r="E22" i="27"/>
  <c r="F22" i="27" s="1"/>
  <c r="E23" i="27"/>
  <c r="F23" i="27" s="1"/>
  <c r="E24" i="27"/>
  <c r="F24" i="27" s="1"/>
  <c r="I21" i="26"/>
  <c r="H18" i="26"/>
  <c r="I18" i="26" s="1"/>
  <c r="H19" i="26"/>
  <c r="I19" i="26" s="1"/>
  <c r="H20" i="26"/>
  <c r="I20" i="26" s="1"/>
  <c r="H21" i="26"/>
  <c r="H22" i="26"/>
  <c r="I22" i="26" s="1"/>
  <c r="H23" i="26"/>
  <c r="I23" i="26" s="1"/>
  <c r="H24" i="26"/>
  <c r="I24" i="26" s="1"/>
  <c r="F19" i="26"/>
  <c r="E18" i="26"/>
  <c r="F18" i="26" s="1"/>
  <c r="E19" i="26"/>
  <c r="E20" i="26"/>
  <c r="F20" i="26" s="1"/>
  <c r="E21" i="26"/>
  <c r="F21" i="26" s="1"/>
  <c r="E22" i="26"/>
  <c r="F22" i="26" s="1"/>
  <c r="E23" i="26"/>
  <c r="F23" i="26" s="1"/>
  <c r="E24" i="26"/>
  <c r="F24" i="26" s="1"/>
  <c r="I19" i="19"/>
  <c r="I20" i="19"/>
  <c r="I21" i="19"/>
  <c r="H18" i="19"/>
  <c r="I18" i="19" s="1"/>
  <c r="H19" i="19"/>
  <c r="H20" i="19"/>
  <c r="H21" i="19"/>
  <c r="H22" i="19"/>
  <c r="I22" i="19" s="1"/>
  <c r="H23" i="19"/>
  <c r="I23" i="19" s="1"/>
  <c r="H24" i="19"/>
  <c r="I24" i="19" s="1"/>
  <c r="F18" i="19"/>
  <c r="F19" i="19"/>
  <c r="F22" i="19"/>
  <c r="E18" i="19"/>
  <c r="E19" i="19"/>
  <c r="E20" i="19"/>
  <c r="F20" i="19" s="1"/>
  <c r="E21" i="19"/>
  <c r="F21" i="19" s="1"/>
  <c r="E22" i="19"/>
  <c r="E23" i="19"/>
  <c r="F23" i="19" s="1"/>
  <c r="E24" i="19"/>
  <c r="F24" i="19" s="1"/>
  <c r="I18" i="20"/>
  <c r="I19" i="20"/>
  <c r="I21" i="20"/>
  <c r="F20" i="20"/>
  <c r="F23" i="20"/>
  <c r="F24" i="20"/>
  <c r="H18" i="20"/>
  <c r="H19" i="20"/>
  <c r="H20" i="20"/>
  <c r="I20" i="20" s="1"/>
  <c r="H21" i="20"/>
  <c r="H22" i="20"/>
  <c r="I22" i="20" s="1"/>
  <c r="H23" i="20"/>
  <c r="I23" i="20" s="1"/>
  <c r="H24" i="20"/>
  <c r="I24" i="20" s="1"/>
  <c r="E18" i="20"/>
  <c r="F18" i="20" s="1"/>
  <c r="E19" i="20"/>
  <c r="F19" i="20" s="1"/>
  <c r="E20" i="20"/>
  <c r="E21" i="20"/>
  <c r="F21" i="20" s="1"/>
  <c r="E22" i="20"/>
  <c r="F22" i="20" s="1"/>
  <c r="E23" i="20"/>
  <c r="E24" i="20"/>
  <c r="G4" i="18"/>
  <c r="G6" i="18"/>
  <c r="G7" i="18"/>
  <c r="G8" i="18"/>
  <c r="G9" i="18"/>
  <c r="G10" i="18"/>
  <c r="G11" i="18"/>
  <c r="G12" i="18"/>
  <c r="G13" i="18"/>
  <c r="G14" i="18"/>
  <c r="G15" i="18"/>
  <c r="G16" i="18"/>
  <c r="G17" i="18"/>
  <c r="G18" i="18"/>
  <c r="G19" i="18"/>
  <c r="G20" i="18"/>
  <c r="G21" i="18"/>
  <c r="G22" i="18"/>
  <c r="G23" i="18"/>
  <c r="G24" i="18"/>
  <c r="G5" i="18"/>
  <c r="H18" i="21"/>
  <c r="I18" i="21" s="1"/>
  <c r="H19" i="21"/>
  <c r="I19" i="21" s="1"/>
  <c r="H20" i="21"/>
  <c r="I20" i="21" s="1"/>
  <c r="H21" i="21"/>
  <c r="I21" i="21" s="1"/>
  <c r="H22" i="21"/>
  <c r="I22" i="21" s="1"/>
  <c r="H23" i="21"/>
  <c r="I23" i="21" s="1"/>
  <c r="H24" i="21"/>
  <c r="I24" i="21" s="1"/>
  <c r="E18" i="21"/>
  <c r="F18" i="21" s="1"/>
  <c r="E19" i="21"/>
  <c r="F19" i="21" s="1"/>
  <c r="E20" i="21"/>
  <c r="F20" i="21" s="1"/>
  <c r="E21" i="21"/>
  <c r="F21" i="21" s="1"/>
  <c r="E22" i="21"/>
  <c r="F22" i="21" s="1"/>
  <c r="E23" i="21"/>
  <c r="F23" i="21" s="1"/>
  <c r="E24" i="21"/>
  <c r="F24" i="21" s="1"/>
  <c r="H24" i="4"/>
  <c r="I24" i="4" s="1"/>
  <c r="E24" i="4"/>
  <c r="F24" i="4" s="1"/>
  <c r="H23" i="4"/>
  <c r="I23" i="4" s="1"/>
  <c r="E23" i="4"/>
  <c r="F23" i="4" s="1"/>
  <c r="H22" i="4"/>
  <c r="I22" i="4" s="1"/>
  <c r="E22" i="4"/>
  <c r="F22" i="4" s="1"/>
  <c r="H21" i="4"/>
  <c r="I21" i="4" s="1"/>
  <c r="E21" i="4"/>
  <c r="F21" i="4" s="1"/>
  <c r="H20" i="4"/>
  <c r="I20" i="4" s="1"/>
  <c r="E20" i="4"/>
  <c r="F20" i="4" s="1"/>
  <c r="H19" i="4"/>
  <c r="I19" i="4" s="1"/>
  <c r="E19" i="4"/>
  <c r="F19" i="4" s="1"/>
  <c r="H18" i="4"/>
  <c r="I18" i="4" s="1"/>
  <c r="E18" i="4"/>
  <c r="F18" i="4" s="1"/>
  <c r="H24" i="3"/>
  <c r="I24" i="3" s="1"/>
  <c r="H18" i="3"/>
  <c r="I18" i="3" s="1"/>
  <c r="H19" i="3"/>
  <c r="I19" i="3" s="1"/>
  <c r="H20" i="3"/>
  <c r="I20" i="3" s="1"/>
  <c r="H21" i="3"/>
  <c r="I21" i="3" s="1"/>
  <c r="H22" i="3"/>
  <c r="I22" i="3" s="1"/>
  <c r="H23" i="3"/>
  <c r="I23" i="3" s="1"/>
  <c r="E18" i="3"/>
  <c r="F18" i="3" s="1"/>
  <c r="E19" i="3"/>
  <c r="F19" i="3" s="1"/>
  <c r="E20" i="3"/>
  <c r="F20" i="3" s="1"/>
  <c r="E21" i="3"/>
  <c r="F21" i="3" s="1"/>
  <c r="E22" i="3"/>
  <c r="F22" i="3" s="1"/>
  <c r="E23" i="3"/>
  <c r="F23" i="3" s="1"/>
  <c r="E24" i="3"/>
  <c r="F24" i="3" s="1"/>
  <c r="C18" i="29" l="1"/>
  <c r="D18" i="29"/>
  <c r="H18" i="29"/>
  <c r="I18" i="29" s="1"/>
  <c r="C19" i="29"/>
  <c r="D19" i="29"/>
  <c r="H19" i="29"/>
  <c r="I19" i="29" s="1"/>
  <c r="C20" i="29"/>
  <c r="D20" i="29"/>
  <c r="H20" i="29"/>
  <c r="I20" i="29" s="1"/>
  <c r="C21" i="29"/>
  <c r="D21" i="29"/>
  <c r="H21" i="29"/>
  <c r="I21" i="29" s="1"/>
  <c r="C22" i="29"/>
  <c r="D22" i="29"/>
  <c r="H22" i="29"/>
  <c r="I22" i="29" s="1"/>
  <c r="C23" i="29"/>
  <c r="D23" i="29"/>
  <c r="H23" i="29"/>
  <c r="I23" i="29" s="1"/>
  <c r="C24" i="29"/>
  <c r="D24" i="29"/>
  <c r="H24" i="29"/>
  <c r="I24" i="29" s="1"/>
  <c r="C17" i="18"/>
  <c r="D17" i="18"/>
  <c r="C18" i="18"/>
  <c r="D18" i="18"/>
  <c r="H18" i="18"/>
  <c r="C19" i="18"/>
  <c r="D19" i="18"/>
  <c r="H19" i="18"/>
  <c r="C20" i="18"/>
  <c r="D20" i="18"/>
  <c r="H20" i="18"/>
  <c r="C21" i="18"/>
  <c r="D21" i="18"/>
  <c r="H21" i="18"/>
  <c r="C22" i="18"/>
  <c r="D22" i="18"/>
  <c r="H22" i="18"/>
  <c r="C23" i="18"/>
  <c r="D23" i="18"/>
  <c r="H23" i="18"/>
  <c r="C24" i="18"/>
  <c r="D24" i="18"/>
  <c r="H24" i="18"/>
  <c r="E18" i="29" l="1"/>
  <c r="F18" i="29" s="1"/>
  <c r="I22" i="18"/>
  <c r="I20" i="18"/>
  <c r="I24" i="18"/>
  <c r="I21" i="18"/>
  <c r="I18" i="18"/>
  <c r="I19" i="18"/>
  <c r="I23" i="18"/>
  <c r="E20" i="18"/>
  <c r="F20" i="18" s="1"/>
  <c r="E17" i="18"/>
  <c r="F17" i="18" s="1"/>
  <c r="E23" i="29"/>
  <c r="F23" i="29" s="1"/>
  <c r="E20" i="29"/>
  <c r="F20" i="29" s="1"/>
  <c r="E22" i="29"/>
  <c r="F22" i="29" s="1"/>
  <c r="E24" i="29"/>
  <c r="F24" i="29" s="1"/>
  <c r="E21" i="29"/>
  <c r="F21" i="29" s="1"/>
  <c r="E19" i="29"/>
  <c r="F19" i="29" s="1"/>
  <c r="E24" i="18"/>
  <c r="F24" i="18" s="1"/>
  <c r="E22" i="18"/>
  <c r="F22" i="18" s="1"/>
  <c r="E19" i="18"/>
  <c r="F19" i="18" s="1"/>
  <c r="E18" i="18"/>
  <c r="F18" i="18" s="1"/>
  <c r="E23" i="18"/>
  <c r="F23" i="18" s="1"/>
  <c r="E21" i="18"/>
  <c r="F21" i="18" s="1"/>
  <c r="C18" i="1"/>
  <c r="D18" i="1"/>
  <c r="G18" i="1"/>
  <c r="G18" i="34" s="1"/>
  <c r="C19" i="1"/>
  <c r="D19" i="1"/>
  <c r="G19" i="1"/>
  <c r="G19" i="34" s="1"/>
  <c r="C20" i="1"/>
  <c r="D20" i="1"/>
  <c r="G20" i="1"/>
  <c r="C21" i="1"/>
  <c r="D21" i="1"/>
  <c r="G21" i="1"/>
  <c r="G21" i="34" s="1"/>
  <c r="C22" i="1"/>
  <c r="D22" i="1"/>
  <c r="G22" i="1"/>
  <c r="G22" i="34" s="1"/>
  <c r="C23" i="1"/>
  <c r="D23" i="1"/>
  <c r="G23" i="1"/>
  <c r="C24" i="1"/>
  <c r="D24" i="1"/>
  <c r="G24" i="1"/>
  <c r="G24" i="34" s="1"/>
  <c r="C18" i="30"/>
  <c r="D18" i="30"/>
  <c r="H18" i="30"/>
  <c r="I18" i="30" s="1"/>
  <c r="C19" i="30"/>
  <c r="C19" i="34" s="1"/>
  <c r="D19" i="30"/>
  <c r="D19" i="34" s="1"/>
  <c r="H19" i="30"/>
  <c r="I19" i="30" s="1"/>
  <c r="C20" i="30"/>
  <c r="D20" i="30"/>
  <c r="H20" i="30"/>
  <c r="I20" i="30" s="1"/>
  <c r="C21" i="30"/>
  <c r="D21" i="30"/>
  <c r="H21" i="30"/>
  <c r="I21" i="30" s="1"/>
  <c r="C22" i="30"/>
  <c r="D22" i="30"/>
  <c r="H22" i="30"/>
  <c r="I22" i="30" s="1"/>
  <c r="C23" i="30"/>
  <c r="D23" i="30"/>
  <c r="H23" i="30"/>
  <c r="I23" i="30" s="1"/>
  <c r="C24" i="30"/>
  <c r="D24" i="30"/>
  <c r="H24" i="30"/>
  <c r="I24" i="30" s="1"/>
  <c r="E18" i="72"/>
  <c r="F18" i="72" s="1"/>
  <c r="E19" i="72"/>
  <c r="F19" i="72" s="1"/>
  <c r="E20" i="72"/>
  <c r="F20" i="72" s="1"/>
  <c r="E21" i="72"/>
  <c r="F21" i="72" s="1"/>
  <c r="E22" i="72"/>
  <c r="F22" i="72" s="1"/>
  <c r="E23" i="72"/>
  <c r="F23" i="72" s="1"/>
  <c r="E24" i="72"/>
  <c r="F24" i="72" s="1"/>
  <c r="H18" i="72"/>
  <c r="H19" i="72"/>
  <c r="H20" i="72"/>
  <c r="H21" i="72"/>
  <c r="I21" i="72" s="1"/>
  <c r="H22" i="72"/>
  <c r="H23" i="72"/>
  <c r="I23" i="72" s="1"/>
  <c r="H24" i="72"/>
  <c r="I24" i="72" s="1"/>
  <c r="C16" i="30"/>
  <c r="D16" i="30"/>
  <c r="C17" i="30"/>
  <c r="D17" i="30"/>
  <c r="C16" i="29"/>
  <c r="D16" i="29"/>
  <c r="C17" i="29"/>
  <c r="D17" i="29"/>
  <c r="C16" i="18"/>
  <c r="D16" i="18"/>
  <c r="C16" i="1"/>
  <c r="D16" i="1"/>
  <c r="G16" i="1"/>
  <c r="G16" i="34" s="1"/>
  <c r="C17" i="1"/>
  <c r="D17" i="1"/>
  <c r="G17" i="1"/>
  <c r="G17" i="34" s="1"/>
  <c r="H17" i="33"/>
  <c r="I17" i="33" s="1"/>
  <c r="F17" i="33"/>
  <c r="H16" i="33"/>
  <c r="I16" i="33" s="1"/>
  <c r="E16" i="33"/>
  <c r="F16" i="33" s="1"/>
  <c r="H17" i="32"/>
  <c r="I17" i="32" s="1"/>
  <c r="F17" i="32"/>
  <c r="H16" i="32"/>
  <c r="I16" i="32" s="1"/>
  <c r="E16" i="32"/>
  <c r="F16" i="32" s="1"/>
  <c r="H17" i="31"/>
  <c r="I17" i="31" s="1"/>
  <c r="F17" i="31"/>
  <c r="H16" i="31"/>
  <c r="I16" i="31" s="1"/>
  <c r="E16" i="31"/>
  <c r="F16" i="31" s="1"/>
  <c r="H17" i="28"/>
  <c r="I17" i="28" s="1"/>
  <c r="F17" i="28"/>
  <c r="H16" i="28"/>
  <c r="I16" i="28" s="1"/>
  <c r="E16" i="28"/>
  <c r="F16" i="28" s="1"/>
  <c r="H17" i="27"/>
  <c r="I17" i="27" s="1"/>
  <c r="F17" i="27"/>
  <c r="H16" i="27"/>
  <c r="I16" i="27" s="1"/>
  <c r="E16" i="27"/>
  <c r="F16" i="27" s="1"/>
  <c r="H17" i="26"/>
  <c r="I17" i="26" s="1"/>
  <c r="F17" i="26"/>
  <c r="H16" i="26"/>
  <c r="I16" i="26" s="1"/>
  <c r="E16" i="26"/>
  <c r="F16" i="26" s="1"/>
  <c r="H17" i="19"/>
  <c r="I17" i="19" s="1"/>
  <c r="F17" i="19"/>
  <c r="H16" i="19"/>
  <c r="I16" i="19" s="1"/>
  <c r="E16" i="19"/>
  <c r="F16" i="19" s="1"/>
  <c r="H17" i="20"/>
  <c r="I17" i="20" s="1"/>
  <c r="F17" i="20"/>
  <c r="H16" i="20"/>
  <c r="I16" i="20" s="1"/>
  <c r="E16" i="20"/>
  <c r="F16" i="20" s="1"/>
  <c r="H17" i="21"/>
  <c r="I17" i="21" s="1"/>
  <c r="F17" i="21"/>
  <c r="H16" i="21"/>
  <c r="I16" i="21" s="1"/>
  <c r="E16" i="21"/>
  <c r="F16" i="21" s="1"/>
  <c r="H17" i="4"/>
  <c r="I17" i="4" s="1"/>
  <c r="F17" i="4"/>
  <c r="H16" i="4"/>
  <c r="I16" i="4" s="1"/>
  <c r="E16" i="4"/>
  <c r="F16" i="4" s="1"/>
  <c r="E16" i="3"/>
  <c r="F16" i="3"/>
  <c r="H16" i="3"/>
  <c r="I16" i="3"/>
  <c r="F17" i="3"/>
  <c r="H17" i="3"/>
  <c r="I17" i="3" s="1"/>
  <c r="E16" i="72"/>
  <c r="F16" i="72" s="1"/>
  <c r="H16" i="72"/>
  <c r="I16" i="72" s="1"/>
  <c r="H17" i="72"/>
  <c r="I17" i="72" s="1"/>
  <c r="E15" i="72"/>
  <c r="F15" i="72" s="1"/>
  <c r="E14" i="72"/>
  <c r="F14" i="72" s="1"/>
  <c r="E13" i="72"/>
  <c r="F13" i="72" s="1"/>
  <c r="E12" i="72"/>
  <c r="F12" i="72" s="1"/>
  <c r="E11" i="72"/>
  <c r="F11" i="72" s="1"/>
  <c r="E10" i="72"/>
  <c r="F10" i="72" s="1"/>
  <c r="E9" i="72"/>
  <c r="F9" i="72" s="1"/>
  <c r="E8" i="72"/>
  <c r="F8" i="72" s="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E7" i="3"/>
  <c r="F7" i="3" s="1"/>
  <c r="H7" i="3"/>
  <c r="I7" i="3" s="1"/>
  <c r="E8" i="3"/>
  <c r="F8" i="3" s="1"/>
  <c r="H8" i="3"/>
  <c r="I8" i="3" s="1"/>
  <c r="E9" i="3"/>
  <c r="F9" i="3" s="1"/>
  <c r="H9" i="3"/>
  <c r="I9" i="3" s="1"/>
  <c r="E10" i="3"/>
  <c r="F10" i="3" s="1"/>
  <c r="H10" i="3"/>
  <c r="I10" i="3" s="1"/>
  <c r="E11" i="3"/>
  <c r="F11" i="3" s="1"/>
  <c r="H11" i="3"/>
  <c r="I11" i="3" s="1"/>
  <c r="E12" i="3"/>
  <c r="F12" i="3" s="1"/>
  <c r="H12" i="3"/>
  <c r="I12" i="3"/>
  <c r="E13" i="3"/>
  <c r="F13" i="3" s="1"/>
  <c r="H13" i="3"/>
  <c r="I13" i="3" s="1"/>
  <c r="E14" i="3"/>
  <c r="F14" i="3" s="1"/>
  <c r="H14" i="3"/>
  <c r="I14" i="3" s="1"/>
  <c r="E15" i="3"/>
  <c r="F15" i="3" s="1"/>
  <c r="H15" i="3"/>
  <c r="I15" i="3" s="1"/>
  <c r="G6" i="1"/>
  <c r="G6" i="34" s="1"/>
  <c r="G7" i="1"/>
  <c r="G7" i="34" s="1"/>
  <c r="G8" i="1"/>
  <c r="G8" i="34" s="1"/>
  <c r="G9" i="1"/>
  <c r="G9" i="34" s="1"/>
  <c r="G10" i="1"/>
  <c r="G10" i="34" s="1"/>
  <c r="G11" i="1"/>
  <c r="G11" i="34" s="1"/>
  <c r="G12" i="1"/>
  <c r="G12" i="34" s="1"/>
  <c r="G13" i="1"/>
  <c r="G13" i="34" s="1"/>
  <c r="G14" i="1"/>
  <c r="G14" i="34" s="1"/>
  <c r="G15" i="1"/>
  <c r="G15" i="34" s="1"/>
  <c r="G5" i="1"/>
  <c r="G5" i="34" s="1"/>
  <c r="G4" i="1"/>
  <c r="G4" i="34" s="1"/>
  <c r="B4" i="34" a="1"/>
  <c r="B4" i="34" s="1"/>
  <c r="A4" i="34" a="1"/>
  <c r="A4" i="34" s="1"/>
  <c r="A1" i="34" a="1"/>
  <c r="A1" i="34" s="1"/>
  <c r="D15" i="30"/>
  <c r="C15" i="30"/>
  <c r="D14" i="30"/>
  <c r="C14" i="30"/>
  <c r="E14" i="30" s="1"/>
  <c r="F14" i="30" s="1"/>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D4" i="29"/>
  <c r="C4" i="29"/>
  <c r="D15" i="18"/>
  <c r="C15" i="18"/>
  <c r="D14" i="18"/>
  <c r="C14" i="18"/>
  <c r="D13" i="18"/>
  <c r="C13" i="18"/>
  <c r="D12" i="18"/>
  <c r="C12" i="18"/>
  <c r="D11" i="18"/>
  <c r="C11" i="18"/>
  <c r="D10" i="18"/>
  <c r="C10" i="18"/>
  <c r="D9" i="18"/>
  <c r="C9" i="18"/>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s="1"/>
  <c r="H15" i="33"/>
  <c r="I15" i="33" s="1"/>
  <c r="E15" i="33"/>
  <c r="F15" i="33" s="1"/>
  <c r="H14" i="33"/>
  <c r="I14" i="33" s="1"/>
  <c r="E14" i="33"/>
  <c r="F14" i="33" s="1"/>
  <c r="H13" i="33"/>
  <c r="I13" i="33" s="1"/>
  <c r="E13" i="33"/>
  <c r="F13" i="33" s="1"/>
  <c r="H12" i="33"/>
  <c r="I12" i="33" s="1"/>
  <c r="E12" i="33"/>
  <c r="F12" i="33" s="1"/>
  <c r="H11" i="33"/>
  <c r="I11" i="33" s="1"/>
  <c r="E11" i="33"/>
  <c r="F11" i="33" s="1"/>
  <c r="H10" i="33"/>
  <c r="I10" i="33" s="1"/>
  <c r="E10" i="33"/>
  <c r="F10" i="33" s="1"/>
  <c r="H9" i="33"/>
  <c r="I9" i="33" s="1"/>
  <c r="E9" i="33"/>
  <c r="F9" i="33"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5" i="27"/>
  <c r="I15" i="27" s="1"/>
  <c r="E15" i="27"/>
  <c r="F15" i="27"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5" i="19"/>
  <c r="I15" i="19" s="1"/>
  <c r="E15" i="19"/>
  <c r="F15" i="19"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5" i="20"/>
  <c r="I15" i="20" s="1"/>
  <c r="E15" i="20"/>
  <c r="F15" i="20"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E4" i="20"/>
  <c r="F4" i="20" s="1"/>
  <c r="G2" i="20"/>
  <c r="D2" i="20"/>
  <c r="C2" i="20"/>
  <c r="A1" i="20" a="1"/>
  <c r="A1" i="20" s="1"/>
  <c r="H15" i="21"/>
  <c r="I15" i="21" s="1"/>
  <c r="E15" i="21"/>
  <c r="F15" i="21"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5" i="4"/>
  <c r="I15" i="4" s="1"/>
  <c r="E15" i="4"/>
  <c r="F15" i="4"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H5" i="4"/>
  <c r="I5" i="4" s="1"/>
  <c r="E5" i="4"/>
  <c r="F5" i="4" s="1"/>
  <c r="H4" i="4"/>
  <c r="E4" i="4"/>
  <c r="F4" i="4" s="1"/>
  <c r="G2" i="4"/>
  <c r="D2" i="4"/>
  <c r="C2" i="4"/>
  <c r="A1" i="4" a="1"/>
  <c r="A1" i="4" s="1"/>
  <c r="G2" i="3"/>
  <c r="D2" i="3"/>
  <c r="C2" i="3"/>
  <c r="J2" i="3" s="1"/>
  <c r="A1" i="3" a="1"/>
  <c r="A1" i="3" s="1"/>
  <c r="H6" i="72"/>
  <c r="I6" i="72" s="1"/>
  <c r="H7" i="72"/>
  <c r="I7" i="72" s="1"/>
  <c r="H8" i="72"/>
  <c r="I8" i="72" s="1"/>
  <c r="H9" i="72"/>
  <c r="I9" i="72" s="1"/>
  <c r="H10" i="72"/>
  <c r="I10" i="72" s="1"/>
  <c r="H11" i="72"/>
  <c r="I11" i="72" s="1"/>
  <c r="H12" i="72"/>
  <c r="I12" i="72" s="1"/>
  <c r="H13" i="72"/>
  <c r="I13" i="72" s="1"/>
  <c r="H14" i="72"/>
  <c r="I14" i="72" s="1"/>
  <c r="H15" i="72"/>
  <c r="I15" i="72" s="1"/>
  <c r="H5" i="72"/>
  <c r="I5" i="72" s="1"/>
  <c r="H4" i="72"/>
  <c r="I4" i="72" s="1"/>
  <c r="G2" i="72"/>
  <c r="D2" i="72"/>
  <c r="C2" i="72"/>
  <c r="J2" i="72" s="1"/>
  <c r="A1" i="72" a="1"/>
  <c r="A1" i="72" s="1"/>
  <c r="D23" i="34" l="1"/>
  <c r="C23" i="34"/>
  <c r="C14" i="34"/>
  <c r="C13" i="34"/>
  <c r="D24" i="34"/>
  <c r="H22" i="1"/>
  <c r="I22" i="1" s="1"/>
  <c r="I22" i="72"/>
  <c r="H20" i="1"/>
  <c r="I20" i="1" s="1"/>
  <c r="I20" i="72"/>
  <c r="H19" i="1"/>
  <c r="H19" i="34" s="1"/>
  <c r="I19" i="34" s="1"/>
  <c r="I19" i="72"/>
  <c r="H18" i="1"/>
  <c r="I18" i="1" s="1"/>
  <c r="I18" i="72"/>
  <c r="C7" i="34"/>
  <c r="D5" i="34"/>
  <c r="C24" i="34"/>
  <c r="C20" i="34"/>
  <c r="C21" i="34"/>
  <c r="D11" i="34"/>
  <c r="C6" i="34"/>
  <c r="C12" i="34"/>
  <c r="C22" i="34"/>
  <c r="C18" i="34"/>
  <c r="D14" i="34"/>
  <c r="E14" i="34" s="1"/>
  <c r="F14" i="34" s="1"/>
  <c r="D21" i="34"/>
  <c r="D12" i="34"/>
  <c r="C15" i="34"/>
  <c r="D18" i="34"/>
  <c r="D9" i="34"/>
  <c r="E10" i="30"/>
  <c r="F10" i="30" s="1"/>
  <c r="C8" i="34"/>
  <c r="D22" i="34"/>
  <c r="E20" i="30"/>
  <c r="F20" i="30" s="1"/>
  <c r="E11" i="30"/>
  <c r="F11" i="30" s="1"/>
  <c r="E15" i="30"/>
  <c r="F15" i="30" s="1"/>
  <c r="E17" i="30"/>
  <c r="F17" i="30" s="1"/>
  <c r="D17" i="34"/>
  <c r="D15" i="34"/>
  <c r="D13" i="34"/>
  <c r="E13" i="34" s="1"/>
  <c r="F13" i="34" s="1"/>
  <c r="D10" i="34"/>
  <c r="C10" i="34"/>
  <c r="D6" i="34"/>
  <c r="D8" i="34"/>
  <c r="D7" i="34"/>
  <c r="C5" i="34"/>
  <c r="H18" i="34"/>
  <c r="I18" i="34" s="1"/>
  <c r="E19" i="34"/>
  <c r="F19" i="34" s="1"/>
  <c r="D16" i="34"/>
  <c r="E8" i="30"/>
  <c r="F8" i="30" s="1"/>
  <c r="E12" i="30"/>
  <c r="F12" i="30" s="1"/>
  <c r="E13" i="30"/>
  <c r="F13" i="30" s="1"/>
  <c r="D20" i="34"/>
  <c r="C9" i="34"/>
  <c r="E16" i="30"/>
  <c r="F16" i="30" s="1"/>
  <c r="C17" i="34"/>
  <c r="H16" i="30"/>
  <c r="I16" i="30" s="1"/>
  <c r="E13" i="29"/>
  <c r="F13" i="29" s="1"/>
  <c r="H6" i="29"/>
  <c r="I6" i="29" s="1"/>
  <c r="E17" i="29"/>
  <c r="F17" i="29" s="1"/>
  <c r="E11" i="29"/>
  <c r="F11" i="29" s="1"/>
  <c r="C11" i="34"/>
  <c r="E16" i="29"/>
  <c r="F16" i="29" s="1"/>
  <c r="C16" i="34"/>
  <c r="H13" i="29"/>
  <c r="E11" i="18"/>
  <c r="F11" i="18" s="1"/>
  <c r="E15" i="18"/>
  <c r="F15" i="18" s="1"/>
  <c r="D4" i="34"/>
  <c r="I4" i="20"/>
  <c r="H4" i="18"/>
  <c r="I4" i="18" s="1"/>
  <c r="H16" i="18"/>
  <c r="I16" i="18" s="1"/>
  <c r="E16" i="18"/>
  <c r="F16" i="18" s="1"/>
  <c r="E9" i="18"/>
  <c r="F9" i="18" s="1"/>
  <c r="E7" i="18"/>
  <c r="F7" i="18" s="1"/>
  <c r="D2" i="18"/>
  <c r="E23" i="1"/>
  <c r="F23" i="1" s="1"/>
  <c r="H16" i="1"/>
  <c r="I16" i="1" s="1"/>
  <c r="H6" i="30"/>
  <c r="I6" i="30" s="1"/>
  <c r="I13" i="27"/>
  <c r="H17" i="1"/>
  <c r="I17" i="1" s="1"/>
  <c r="H10" i="29"/>
  <c r="H7" i="29"/>
  <c r="E4" i="18"/>
  <c r="F4" i="18" s="1"/>
  <c r="E8" i="18"/>
  <c r="F8" i="18" s="1"/>
  <c r="E12" i="18"/>
  <c r="F12" i="18" s="1"/>
  <c r="E8" i="29"/>
  <c r="F8" i="29" s="1"/>
  <c r="E12" i="29"/>
  <c r="F12" i="29" s="1"/>
  <c r="E4" i="30"/>
  <c r="F4" i="30" s="1"/>
  <c r="H17" i="30"/>
  <c r="I17" i="30" s="1"/>
  <c r="E24" i="1"/>
  <c r="F24" i="1" s="1"/>
  <c r="H15" i="29"/>
  <c r="H12" i="29"/>
  <c r="D2" i="29"/>
  <c r="I10" i="27"/>
  <c r="E5" i="18"/>
  <c r="F5" i="18" s="1"/>
  <c r="E13" i="18"/>
  <c r="F13" i="18" s="1"/>
  <c r="E5" i="29"/>
  <c r="F5" i="29" s="1"/>
  <c r="E9" i="29"/>
  <c r="F9" i="29" s="1"/>
  <c r="E5" i="30"/>
  <c r="F5" i="30" s="1"/>
  <c r="H17" i="18"/>
  <c r="I17" i="18" s="1"/>
  <c r="H16" i="29"/>
  <c r="E19" i="30"/>
  <c r="F19" i="30" s="1"/>
  <c r="H9" i="29"/>
  <c r="E9" i="30"/>
  <c r="F9" i="30" s="1"/>
  <c r="E6" i="18"/>
  <c r="F6" i="18" s="1"/>
  <c r="E10" i="18"/>
  <c r="F10" i="18" s="1"/>
  <c r="E14" i="18"/>
  <c r="F14" i="18" s="1"/>
  <c r="E6" i="29"/>
  <c r="F6" i="29" s="1"/>
  <c r="E10" i="29"/>
  <c r="F10" i="29" s="1"/>
  <c r="E14" i="29"/>
  <c r="F14" i="29" s="1"/>
  <c r="E6" i="30"/>
  <c r="F6" i="30" s="1"/>
  <c r="H17" i="29"/>
  <c r="E21" i="30"/>
  <c r="F21" i="30" s="1"/>
  <c r="E21" i="1"/>
  <c r="F21" i="1" s="1"/>
  <c r="H24" i="1"/>
  <c r="I24" i="1" s="1"/>
  <c r="H23" i="1"/>
  <c r="I23" i="1" s="1"/>
  <c r="H21" i="1"/>
  <c r="I21" i="1" s="1"/>
  <c r="E24" i="30"/>
  <c r="F24" i="30" s="1"/>
  <c r="E23" i="30"/>
  <c r="F23" i="30" s="1"/>
  <c r="E22" i="30"/>
  <c r="F22" i="30" s="1"/>
  <c r="E18" i="30"/>
  <c r="F18" i="30" s="1"/>
  <c r="E19" i="1"/>
  <c r="F19" i="1" s="1"/>
  <c r="E18" i="1"/>
  <c r="F18" i="1" s="1"/>
  <c r="G20" i="34"/>
  <c r="G23" i="34"/>
  <c r="E22" i="1"/>
  <c r="F22" i="1" s="1"/>
  <c r="E20" i="1"/>
  <c r="F20" i="1" s="1"/>
  <c r="D2" i="30"/>
  <c r="E17" i="1"/>
  <c r="F17" i="1" s="1"/>
  <c r="E16" i="1"/>
  <c r="F16" i="1"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6" i="34"/>
  <c r="F6" i="34" s="1"/>
  <c r="E8" i="1"/>
  <c r="F8" i="1" s="1"/>
  <c r="E11" i="1"/>
  <c r="F11" i="1" s="1"/>
  <c r="E9" i="1"/>
  <c r="F9" i="1" s="1"/>
  <c r="E10" i="1"/>
  <c r="F10" i="1" s="1"/>
  <c r="E12" i="1"/>
  <c r="F12" i="1" s="1"/>
  <c r="E5" i="1"/>
  <c r="F5" i="1" s="1"/>
  <c r="E13" i="1"/>
  <c r="F13" i="1" s="1"/>
  <c r="E6" i="1"/>
  <c r="F6" i="1" s="1"/>
  <c r="E14" i="1"/>
  <c r="F14" i="1" s="1"/>
  <c r="H14" i="30"/>
  <c r="I14" i="30" s="1"/>
  <c r="H9" i="30"/>
  <c r="I9" i="30" s="1"/>
  <c r="H4" i="30"/>
  <c r="I4" i="30" s="1"/>
  <c r="E7" i="30"/>
  <c r="F7" i="30" s="1"/>
  <c r="H12" i="30"/>
  <c r="I12" i="30" s="1"/>
  <c r="H7" i="30"/>
  <c r="I7" i="30" s="1"/>
  <c r="H15" i="30"/>
  <c r="I15" i="30" s="1"/>
  <c r="H10" i="30"/>
  <c r="I10" i="30" s="1"/>
  <c r="H5" i="30"/>
  <c r="I5" i="30" s="1"/>
  <c r="H13" i="30"/>
  <c r="I13" i="30" s="1"/>
  <c r="H8" i="30"/>
  <c r="I8" i="30" s="1"/>
  <c r="H11" i="30"/>
  <c r="I11" i="30" s="1"/>
  <c r="E7" i="29"/>
  <c r="F7" i="29" s="1"/>
  <c r="H8" i="29"/>
  <c r="H11" i="29"/>
  <c r="I6" i="26"/>
  <c r="I9" i="26"/>
  <c r="I12" i="26"/>
  <c r="I15" i="26"/>
  <c r="H14" i="29"/>
  <c r="H4" i="29"/>
  <c r="I4" i="29" s="1"/>
  <c r="E15" i="29"/>
  <c r="F15" i="29" s="1"/>
  <c r="H5" i="29"/>
  <c r="I7" i="26"/>
  <c r="H14" i="18"/>
  <c r="I14" i="18" s="1"/>
  <c r="H9" i="18"/>
  <c r="I9" i="18" s="1"/>
  <c r="H6" i="18"/>
  <c r="I6" i="18" s="1"/>
  <c r="H12" i="18"/>
  <c r="I12" i="18" s="1"/>
  <c r="H7" i="18"/>
  <c r="I7" i="18" s="1"/>
  <c r="H15" i="18"/>
  <c r="I15" i="18" s="1"/>
  <c r="H10" i="18"/>
  <c r="I10" i="18" s="1"/>
  <c r="C4" i="34"/>
  <c r="H5" i="18"/>
  <c r="I5" i="18" s="1"/>
  <c r="H13" i="18"/>
  <c r="I13" i="18" s="1"/>
  <c r="H8" i="18"/>
  <c r="I8" i="18" s="1"/>
  <c r="H11" i="18"/>
  <c r="I11" i="18" s="1"/>
  <c r="C2" i="29"/>
  <c r="C2" i="30"/>
  <c r="E4" i="29"/>
  <c r="F4" i="29" s="1"/>
  <c r="C2" i="18"/>
  <c r="H7" i="1"/>
  <c r="I7" i="1" s="1"/>
  <c r="H4" i="1"/>
  <c r="H5" i="1"/>
  <c r="I5" i="1" s="1"/>
  <c r="H15" i="1"/>
  <c r="I15" i="1" s="1"/>
  <c r="H12" i="1"/>
  <c r="I12" i="1" s="1"/>
  <c r="H11" i="1"/>
  <c r="I11" i="1" s="1"/>
  <c r="H10" i="1"/>
  <c r="I10" i="1" s="1"/>
  <c r="H6" i="1"/>
  <c r="I6" i="1" s="1"/>
  <c r="C2" i="1"/>
  <c r="E2" i="3"/>
  <c r="F2" i="3" s="1"/>
  <c r="E4" i="1"/>
  <c r="F4" i="1" s="1"/>
  <c r="H14" i="1"/>
  <c r="I14" i="1" s="1"/>
  <c r="H13" i="1"/>
  <c r="I13" i="1" s="1"/>
  <c r="H9" i="1"/>
  <c r="I9" i="1" s="1"/>
  <c r="H8" i="1"/>
  <c r="I8" i="1" s="1"/>
  <c r="D2" i="1"/>
  <c r="E2" i="33"/>
  <c r="F2" i="33" s="1"/>
  <c r="E2" i="32"/>
  <c r="F2" i="32" s="1"/>
  <c r="E2" i="31"/>
  <c r="F2" i="31" s="1"/>
  <c r="E2" i="27"/>
  <c r="F2" i="27" s="1"/>
  <c r="E2" i="26"/>
  <c r="F2" i="26" s="1"/>
  <c r="E2" i="19"/>
  <c r="F2" i="19" s="1"/>
  <c r="E2" i="21"/>
  <c r="F2" i="21" s="1"/>
  <c r="E2" i="4"/>
  <c r="H2" i="72"/>
  <c r="E9" i="34" l="1"/>
  <c r="F9" i="34" s="1"/>
  <c r="E24" i="34"/>
  <c r="F24" i="34" s="1"/>
  <c r="E23" i="34"/>
  <c r="F23" i="34" s="1"/>
  <c r="H22" i="34"/>
  <c r="I22" i="34" s="1"/>
  <c r="E22" i="34"/>
  <c r="F22" i="34" s="1"/>
  <c r="H20" i="34"/>
  <c r="I20" i="34" s="1"/>
  <c r="I19" i="1"/>
  <c r="E12" i="34"/>
  <c r="F12" i="34" s="1"/>
  <c r="E10" i="34"/>
  <c r="F10" i="34" s="1"/>
  <c r="E5" i="34"/>
  <c r="F5" i="34" s="1"/>
  <c r="E21" i="34"/>
  <c r="F21" i="34" s="1"/>
  <c r="E20" i="34"/>
  <c r="F20" i="34" s="1"/>
  <c r="E17" i="34"/>
  <c r="F17" i="34" s="1"/>
  <c r="E11" i="34"/>
  <c r="F11" i="34" s="1"/>
  <c r="E15" i="34"/>
  <c r="F15" i="34" s="1"/>
  <c r="E8" i="34"/>
  <c r="F8" i="34" s="1"/>
  <c r="E7" i="34"/>
  <c r="F7" i="34" s="1"/>
  <c r="E18" i="34"/>
  <c r="F18" i="34" s="1"/>
  <c r="H21" i="34"/>
  <c r="I21" i="34" s="1"/>
  <c r="H24" i="34"/>
  <c r="I24" i="34" s="1"/>
  <c r="H23" i="34"/>
  <c r="I23" i="34" s="1"/>
  <c r="D2" i="34"/>
  <c r="E16" i="34"/>
  <c r="F16" i="34" s="1"/>
  <c r="H6" i="34"/>
  <c r="I6" i="34" s="1"/>
  <c r="E4" i="34"/>
  <c r="F4" i="34" s="1"/>
  <c r="I17" i="29"/>
  <c r="H17" i="34"/>
  <c r="I17" i="34" s="1"/>
  <c r="I11" i="29"/>
  <c r="H11" i="34"/>
  <c r="I11" i="34" s="1"/>
  <c r="I16" i="29"/>
  <c r="H16" i="34"/>
  <c r="I16" i="34" s="1"/>
  <c r="I15" i="29"/>
  <c r="H15" i="34"/>
  <c r="I15" i="34" s="1"/>
  <c r="I14" i="29"/>
  <c r="H14" i="34"/>
  <c r="I14" i="34" s="1"/>
  <c r="I13" i="29"/>
  <c r="H13" i="34"/>
  <c r="I13" i="34" s="1"/>
  <c r="I12" i="29"/>
  <c r="H12" i="34"/>
  <c r="I12" i="34" s="1"/>
  <c r="I10" i="29"/>
  <c r="H10" i="34"/>
  <c r="I10" i="34" s="1"/>
  <c r="I9" i="29"/>
  <c r="H9" i="34"/>
  <c r="I9" i="34" s="1"/>
  <c r="I8" i="29"/>
  <c r="H8" i="34"/>
  <c r="I8" i="34" s="1"/>
  <c r="I7" i="29"/>
  <c r="H7" i="34"/>
  <c r="I7" i="34" s="1"/>
  <c r="I5" i="29"/>
  <c r="H5" i="34"/>
  <c r="I5" i="34" s="1"/>
  <c r="E2" i="29"/>
  <c r="F2" i="29"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<sst xmlns="http://schemas.openxmlformats.org/spreadsheetml/2006/main" count="484" uniqueCount="204">
  <si>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</si>
  <si>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</si>
  <si>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</si>
  <si>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</si>
  <si>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</si>
  <si>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</si>
  <si>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</si>
  <si>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</si>
  <si>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</si>
  <si>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</si>
  <si>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</si>
  <si>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</si>
  <si>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</si>
  <si>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</si>
  <si>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</si>
  <si>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</si>
  <si>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</si>
  <si>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</si>
  <si>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</si>
  <si>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</si>
  <si>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</si>
  <si>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</si>
  <si>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xml:space="preserve">1. PAD 2 inverters and Meter 2 tripped offline at 13:10 on 01/07 due to missing Phase A voltage. The technician found the main breaker open and closed it, restoring PAD 2 inverters at 09:00 on 01/08.
Additionally, Inverter 19 lost communication at 13:00 on 01/07 due to a thermal event in the power head control board. It was sent for RMA. A spare inverter was installed from storage, bringing the system back online at 13:15 on 01/08.
</t>
  </si>
  <si>
    <t>1.SR095378</t>
  </si>
  <si>
    <t>1.Site was taken offline from 9:00AM to 9:45AM on 01/27 as technician was onsite to collect DGA samples.</t>
  </si>
  <si>
    <t>1.SR095405</t>
  </si>
  <si>
    <t>1. Inverter 4 tripped offline at 07:45 AM on 01/06. The technician power cycled it, restoring operation at 13:00.
2. The site tripped offline at 22:00 on 01/29 and was restored at 07:00 on 01/30 after remotely closing the recloser.</t>
  </si>
  <si>
    <t>1.SR095329
2.SR096129</t>
  </si>
  <si>
    <t>SR096129</t>
  </si>
  <si>
    <t>1.Low generation due to weather/snow.</t>
  </si>
  <si>
    <t>1. The site tripped offline at 14:00 on 01/24 due to a utility outage. After power was restored, the technician re-energized the site, bringing it back online at 08:45 on 01/25.</t>
  </si>
  <si>
    <t>1.SR095966</t>
  </si>
  <si>
    <t>1. The site tripped offline at 06:45 AM and was restored at 08:30 AM on 01/04 after a remote recloser operation.
2. Inverter 2, Module 4 tripped offline at 10:15 on 01/26. PE replaced the fuse and re-energized the inverter. It was back online at 11:00 on 01/27.</t>
  </si>
  <si>
    <t>1.SR095306
2.SR095988</t>
  </si>
  <si>
    <t>SR095988</t>
  </si>
  <si>
    <t xml:space="preserve">1. The site was taken offline from 11:00 AM to 12:00 PM on 01/09 due to technicians was onsite to collect a DGA sample. </t>
  </si>
  <si>
    <t>1.SR095426</t>
  </si>
  <si>
    <t>1.Inverters tripped offline at 8:45AM on 01/08 due to Y3 bushing on the transformer has a leak and B phase BON fuse was blown and back online at 10:30AM on 01/09 after INCOM has been replaced the Bayonet Fuse and re-energized.
2. Inverter 2 did not start production on 01/26 due to a soft shutdown fault. The technician found the keypad bulging due to water and ice intrusion. It was replaced, and the inverter was re-energized and back online at 12:15 PM on the same day.</t>
  </si>
  <si>
    <t>1.SR095387
2.SR095983</t>
  </si>
  <si>
    <t>SR095983</t>
  </si>
  <si>
    <t>1. The site was taken offline from 10:45 AM to 12:00 PM on 01/09 as a technician was onsite to collect DGA samples</t>
  </si>
  <si>
    <t>1. SR095427</t>
  </si>
  <si>
    <t>1.Site was taken offline from 8:10 AM to 9:10 AM on 01/15 due to a technician checking in to replace the capacitors and SRV board in Inverter A.</t>
  </si>
  <si>
    <t>1.SR092409</t>
  </si>
  <si>
    <t>1.Site was tripped offline due to SEL relay open at 02:45 AM on 01/02. The technician stated that a utility pole was leaning on a tree. After being re-energized, the site was back online at 10:15 AM on 01/08.</t>
  </si>
  <si>
    <t>1.SR095216</t>
  </si>
  <si>
    <t>February Actual v. Expected</t>
  </si>
  <si>
    <t>February Actual v. Forecasted</t>
  </si>
  <si>
    <t>1. Inverter 6 has been offline since 02/14/25 due to night mode. On 02/17, the technician performed necessary tests, but it worked for about 5 minutes before returning to night mode. After contacting SE for assistance, it was concluded that the DC main board had an issue. The technician RMA'd Inverter 6, replaced it with a spare, and brought it back online at 09:45 AM the same day.
2. Site was taken offline from 04:00AM to 10:00AM on 02/19/25 to work on quarterly generator load testing.</t>
  </si>
  <si>
    <t>1. SR097092
2. SR097707</t>
  </si>
  <si>
    <t>SR097707</t>
  </si>
  <si>
    <t>1. Due to rain on 2/6 and heavy snow from 02/9 to 02/13, followed by snow shed until 02/23, there was low generation due to the weather."</t>
  </si>
  <si>
    <t>1. Inverter 3 was offline on 02/14/25 due to Phase C voltage dropping to zero at 01:00 AM. The technician found no AC voltage and discovered the main AC breaker was tripped. After resetting the breaker, the inverter was brought back online at 08:00 AM the same day.</t>
  </si>
  <si>
    <t>1. SR097002</t>
  </si>
  <si>
    <t xml:space="preserve">1. Site tripped offline at 22:56 on 02/16/25 and back online at 02:45 on 02/17/25 after a brife utility outage. 
</t>
  </si>
  <si>
    <t xml:space="preserve">1. SR097177
</t>
  </si>
  <si>
    <t>1. Due to rain on 02/6 and heavy snow from 02/9 to 02/13, followed by snow shed until 02/23, there was low generation due to the weather."</t>
  </si>
  <si>
    <t>1. Site was taken offline from 08:15 AM to 10:00 AM on 02/11/25. A technician was on-site to collect transformer DGA samples</t>
  </si>
  <si>
    <t>1. SR095399</t>
  </si>
  <si>
    <t>1. Site was taken offline from 12:00 to 13:30 on 02/11/25. A technician was on-site to collect transformer DGA samples</t>
  </si>
  <si>
    <t>1. SR095398</t>
  </si>
  <si>
    <t>1. Site tripped offline at 08:15AM on 02/17/25 due to a breaker trip and was brought back online at 11:15 AM after a remote reset on the same day.</t>
  </si>
  <si>
    <t>1. SR097186</t>
  </si>
  <si>
    <t>1. Due to rain on 02/6 and heavy snow from 02/9 to 02/13, followed by snow shed until 2/23, there was low generation due to the weather."</t>
  </si>
  <si>
    <t>1.Due to rain on 02/6 and heavy snow from 02/9 to 02/13, followed by snow shed until 02/23, there was low generation due to the weather.</t>
  </si>
  <si>
    <t>1. Site tripped offline at 09:00 on 02/26/25 and brought back online at 09:25AM after utility replaced blown fuse.</t>
  </si>
  <si>
    <t>1. SR097782</t>
  </si>
  <si>
    <t>1. Due to rain on 2/6 and heavy snow from 2/9 to 2/13, followed by snow shed until 2/23, there was low generation due to the weather.</t>
  </si>
  <si>
    <t>1. Site tripped offline at 12:15 on 02/02/25 and was brought back online at 3:00 PM after the technician restored AC power by closing the SEL recloser on the same day.
2. Site tripped offline at 14:15 on 02/21/25, and the technician brought it back online at 13:00 on 02/22/25 after clearing the carcass from the B-phase connections. National Grid was contacted to reset their recloser, and the SEL recloser was closed.</t>
  </si>
  <si>
    <t>1. SR096228
2. SR097629</t>
  </si>
  <si>
    <t>SR097629</t>
  </si>
  <si>
    <t>1. Site tripped offline at 12:15 PM on 02/02 due to a relay open. On 02/03, upon the technician's arrival, it was found that a blown fuse in the B-phase cutout and failed conductors . The site was brought back online at 12:15 PM on 02/12.
2. Site tripped offline at 02:15 PM on 02/21/25, and the technician brought it back online at 12:30PM on 02/22/25 after clearing the carcass from the B-phase connections. National Grid was contacted to reset their recloser, and the SEL recloser was closed.</t>
  </si>
  <si>
    <t>1.SR096225
2.SR097630</t>
  </si>
  <si>
    <t>SR097630</t>
  </si>
  <si>
    <t>1.Due to rain on 2/6 and heavy snow from 2/9 to 2/13, followed by snow shed until 2/23, there was low generation due to the weather.</t>
  </si>
  <si>
    <t>1.Due to rain on 02/6 and heavy snow from 2/9 to 02/13, followed by snow shed until 02/23, there was low generation due to the weather.</t>
  </si>
  <si>
    <t xml:space="preserve">1. Inverter 1, Combiner Box 4, tripped offline at 11:30 AM on 02/25. Upon the technician's arrival, it was found that ARC Card 2 had tripped, most likely due to melting snow. The strings on Cards 1 and 2 were swapped, and brought back online at 10:00 AM on 02/26.
2.Site tripped offline at 22:56 on 02/16/25 and back online at 02:45 on 02/17/25 after a brife utility outage. </t>
  </si>
  <si>
    <t>1.SR097765
2.SR097177</t>
  </si>
  <si>
    <t>SR097177</t>
  </si>
  <si>
    <t>March Actual v. Expected</t>
  </si>
  <si>
    <t>March Actual v. Forecasted</t>
  </si>
  <si>
    <t>1.Site tripped offline at 18:05 on 03/17,and later the site was remotely reclosed at 07:00 AM on 03/18  
2.Inverter D (4) did not start after site recloser closed in after a relay trip on 03/18. Technician dispatched to site and found the inverter was in sleep mode caused by the outage, after troubleshooting he reset the inverter, and it was back online at 11:45 on 03/18
3.Inverters 1 &amp; 2 tripped at 9:35am on 03/20 and were back online at 12:35 on 03/21 after technician replaced the back panel boards</t>
  </si>
  <si>
    <t>1.SR098683
2.SR098696
3.SR098774</t>
  </si>
  <si>
    <t>SR098696</t>
  </si>
  <si>
    <t>SR098774</t>
  </si>
  <si>
    <t>1. The site was offline from 10:42AM to 11:53AM on 03/20 due to technician was onsite to collect DGA samples.</t>
  </si>
  <si>
    <t>1. SR098794</t>
  </si>
  <si>
    <t>1 .Inverter 4 tripped offline at 12:45 on 03/28. The technician found that the inverter's keypad was not working, so he replaced it and restarted the inverter. The inverter came back online at 15:15 on 03/28.</t>
  </si>
  <si>
    <t>1. SR099104</t>
  </si>
  <si>
    <t>1. Inverter A was taken offline from 08:30am to 11:00am on 03/03 by technician to complete preventive maintenance.</t>
  </si>
  <si>
    <t>1. PM6833, SR098027</t>
  </si>
  <si>
    <t>1. Inverters 1 and 2 was offline from 10:45AM to 11:25AM due to technician was onsite for preventive maintenance.</t>
  </si>
  <si>
    <t>1. PM6834</t>
  </si>
  <si>
    <t>1. Inverters 1.1 to 1.5 were taken offline by technician during PM Event on 03/25 from 11:00am to 02:30pm.</t>
  </si>
  <si>
    <t>1. PM6837</t>
  </si>
  <si>
    <t xml:space="preserve">1. Inverter 2 tripped offline at 10:00 AM on 03/12. The technician later troubleshot the inverter, and the bottom DMGI was RMA'd. After the replacement of the bottom DMGI, the inverter came back online at 10:45 AM on 03/19.
2. The site was taken offline from 09:15 AM to 10:30 AM on 03/19/25. Due to technician was on site for a PM event.
</t>
  </si>
  <si>
    <t>1. SR098450
2. SR098450,PM6867</t>
  </si>
  <si>
    <t>SR098450</t>
  </si>
  <si>
    <t xml:space="preserve">1. During PM inspection on 03/14, technician observed that a fallen tree caused minor damage to 4 modules on the array and technician replaced 4 modules on 03/24. </t>
  </si>
  <si>
    <t>1. PM6957, SR098592</t>
  </si>
  <si>
    <t>1. Inverter 1 Combiner box 1 was offline from 11:45am to 02:00pm on 03/20 during the PM Inspection.</t>
  </si>
  <si>
    <t>1. PM7499</t>
  </si>
  <si>
    <t>1. The site was taken offline from 08:35 AM to 09:30 AM on 03/20/25. Due to technician was on site to take DGA samples.</t>
  </si>
  <si>
    <t>1. SR098793</t>
  </si>
  <si>
    <t>1. Meter experienced intermittent communication issue from 03/15 to 03/18, 03/23 and 03/24. But all the time the energy has been backfilled.</t>
  </si>
  <si>
    <t>1. SR098928, SR098611</t>
  </si>
  <si>
    <t>SR098611</t>
  </si>
  <si>
    <t>1.The site was taken offline from 07:30 AM to 08:15 AM  on 03/21 by technicians to collect transformer DGA samples.
2. Inverter 1 was offline from 13:45 to 14:15 on 03/20 due to technician was onsite for preventive maintenance.</t>
  </si>
  <si>
    <t>1.SR098815
2. PM6868</t>
  </si>
  <si>
    <t>1.The site was taken offline from 08:30 AM to 09:45 AM  on 03/21 by technicians to collect transformer DGA samples.
2.The inverters are offline from 10:00AM to 10:45AM on 03/27 for preventive maintenance work.</t>
  </si>
  <si>
    <t>1.SR098816
2.PM6838</t>
  </si>
  <si>
    <t>1.Inverter A was offline from 09:20 AM to 10:15 AM on 03/03 due to technicians onsite to replace the keypad on Inverter A.</t>
  </si>
  <si>
    <t>1.SR091674</t>
  </si>
  <si>
    <t>1. As a part of preventive maintenenace inverter 2 combiner box 5 was offline from 10:45AM to 11:30AM.</t>
  </si>
  <si>
    <t>1. PM6958</t>
  </si>
  <si>
    <t>1.The site lost communication at 2:30PM on restored at 3:30PM on 03/13.</t>
  </si>
  <si>
    <t xml:space="preserve">1.During PM inspection site was taken offline by technician from 12:29 PM to 02:15 PM on 03/20 and on 03/18 durig PM event CBs were experienced tripping on and offline. </t>
  </si>
  <si>
    <t>1.PM6839</t>
  </si>
  <si>
    <t>1.During PM inspection site was taken offline by technician from 02:10 PM  to 03:10 PM on 03/21.</t>
  </si>
  <si>
    <t>1.PM6886</t>
  </si>
  <si>
    <t>1.The site was taken offline by technician from 10:45 to 12:15 on 03/20 to collect transformer DGA samples.
2. Inverters tripped offline from 12:45 to 13:00 on 03/10 for preventive maintenance work.</t>
  </si>
  <si>
    <t>1.SR098795
2.PM6970</t>
  </si>
  <si>
    <t>April Actual v. Expected</t>
  </si>
  <si>
    <t>April Actual v. Forecasted</t>
  </si>
  <si>
    <t>1.Inverter 25 stopped communicating at 10:00 AM PDT on 04/07. On 04/08, a technician replaced the DC board fan, which had been causing the inverter to overheat and trip offline. The inverter has been operating normally since the repair
2.Inverter 25 stopped communicating at 11:15 PDT AM on 04/12, and production couldn’t be verified. On 04/15, a technician reset the breaker, restoring production, and noted overheating due to warm weather, requiring breaker replacement. On 04/23, Inverter 25 and its breaker were replaced; PAD 2 was offline from 14:01 to 15:12 during the work. Inverter 25 is producing normally from 15:00 PDT on 04/23.</t>
  </si>
  <si>
    <t>1.SR099489
2.SR099734</t>
  </si>
  <si>
    <t>SR099734</t>
  </si>
  <si>
    <t>1. Site tripped offline from 20:05 to 21:00 on 04/29 due to utility outage.
2.Inverter 2 tripped offline at 09:45AM on 04/30 and back online at 13:30 on the same day after technician re-energizing the inverter</t>
  </si>
  <si>
    <t>1.SR100677
2.SR100708</t>
  </si>
  <si>
    <t>SR100708</t>
  </si>
  <si>
    <t>1.Inverter 4 DC string 4 has tripped offline at 16:30 on 04/08. On 04/09, technician has reset the combiner box and it has resumed operation at 12:50PM.
2.Inverter 6 did not start due to a ground fault on 04/27. A technician reset the Ground Fault Breaker, and Inverter 6 was back online at 12:30PM on the same day.</t>
  </si>
  <si>
    <t>1.SR099544
2.SR100456</t>
  </si>
  <si>
    <t>SR100456</t>
  </si>
  <si>
    <t>1.Weather station stopped communicating at 22:45 on 04/04 and it regained communication at 06:30AM on 04/05 issue got self resolved</t>
  </si>
  <si>
    <t>1.SR099440</t>
  </si>
  <si>
    <t>1.Site was offline from 04:15AM to 7:45AM on 04/20 due to utility outage.</t>
  </si>
  <si>
    <t>1.SR100031</t>
  </si>
  <si>
    <t>1. SEL Relay 1 and the production meter stopped communicating at 12:30PM on 04/16, although SEL Relay 2 voltages remained available. Technicians visited the site and restored communication by resetting the DAS equipment. However, they found that Inverter 2 had not started production on 04/16. Power Electronics remotely diagnosed the issue and re-energized the inverter. Inverter 2 was back online at 17:20 EST the same day.</t>
  </si>
  <si>
    <t>1.SR099860, SR099891</t>
  </si>
  <si>
    <t>SR099891</t>
  </si>
  <si>
    <t>1.The site tripped offline at 1:00AM on 04/11 due to four utility poles being knocked down in an accident at the intersection of Chestnut and East Main Street. Power was restored and the site came back online at 2:30AM the same day.</t>
  </si>
  <si>
    <t>1.SR099671</t>
  </si>
  <si>
    <t>1.SR099669</t>
  </si>
  <si>
    <t>1.The site tripped offline at 1:00 AM on 04/11 due to four utility poles being knocked down in an accident at the intersection of Chestnut and East Main Street. Power was restored and the site came back online at 14:30 AM the same day.</t>
  </si>
  <si>
    <t>1.SR099670</t>
  </si>
  <si>
    <t>1. Site was taken offline from 07:15AM to 09:00AM on 04/04 due to technician checked in to collect DGA samples.</t>
  </si>
  <si>
    <t>1.SR099381</t>
  </si>
  <si>
    <t>1.Inverters and relay lost communication in both PowerTrack and Locus at 13:30 on 04/11. Later, AlsoEnergy remotely pushed data via the Aquisuite, updated the firmware, and successfully backfilled the missing data.</t>
  </si>
  <si>
    <t>1.SR099675</t>
  </si>
  <si>
    <t>1.Inverter D derated by approximately 220KW compared to its peers on 04/10. On 04/11 technician checked in and RMA'D DMGI of inverter D.</t>
  </si>
  <si>
    <t>1.SR099667</t>
  </si>
  <si>
    <t>1.The site tripped offline at 12:30PM on 04/10 and was restored at 17:00  on the same day after a technician reset the SEL relay.</t>
  </si>
  <si>
    <t>1.SR099654</t>
  </si>
  <si>
    <t>1.Site was taken offline from 9:30AM to 10:30AMon 04/04 due to technician checked in to collect DGA samples.</t>
  </si>
  <si>
    <t>1.SR099382</t>
  </si>
  <si>
    <t>May Actual v. Expected</t>
  </si>
  <si>
    <t>May Actual v. Forecasted</t>
  </si>
  <si>
    <t>June Actual v. Expected</t>
  </si>
  <si>
    <t>June Actual v. Forecasted</t>
  </si>
  <si>
    <t xml:space="preserve"> </t>
  </si>
  <si>
    <t>July Actual v. Expected</t>
  </si>
  <si>
    <t>July Actual v. Forecasted</t>
  </si>
  <si>
    <t>August Actual v. Expected</t>
  </si>
  <si>
    <t>August Actual v. Forecasted</t>
  </si>
  <si>
    <t>s</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</si>
  <si>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</si>
  <si>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</si>
  <si>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</si>
  <si>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</si>
  <si>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</si>
  <si>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</si>
  <si>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</si>
  <si>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</si>
  <si>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 xml:space="preserve">          </t>
  </si>
  <si>
    <t>Portfolio:</t>
  </si>
  <si>
    <t>38 DN</t>
  </si>
  <si>
    <t>Site DAS Name</t>
  </si>
  <si>
    <t>Update</t>
  </si>
  <si>
    <t>DAS</t>
  </si>
  <si>
    <t>6th St.</t>
  </si>
  <si>
    <t>CA</t>
  </si>
  <si>
    <t>AEF</t>
  </si>
  <si>
    <t>PowerTrack</t>
  </si>
  <si>
    <t>Barton Acres</t>
  </si>
  <si>
    <t>MA</t>
  </si>
  <si>
    <t>Bowden</t>
  </si>
  <si>
    <t>Blair Wire Village</t>
  </si>
  <si>
    <t>Boutilier</t>
  </si>
  <si>
    <t>Cherry Valley</t>
  </si>
  <si>
    <t>Cohasse</t>
  </si>
  <si>
    <t>ISM Dighton Solar 2</t>
  </si>
  <si>
    <t>Dudley River 1</t>
  </si>
  <si>
    <t>Dudley River 2</t>
  </si>
  <si>
    <t>Dudley River 3</t>
  </si>
  <si>
    <t>Flint Pond</t>
  </si>
  <si>
    <t>Incom</t>
  </si>
  <si>
    <t>JH</t>
  </si>
  <si>
    <t>Ledeaux</t>
  </si>
  <si>
    <t>Palombo A</t>
  </si>
  <si>
    <t>Palombo B</t>
  </si>
  <si>
    <t>St Josephs Church</t>
  </si>
  <si>
    <t>Sunset A</t>
  </si>
  <si>
    <t>Sunset B</t>
  </si>
  <si>
    <t>Woodchuck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</si>
</sst>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2">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b/>
      <sz val="11"/>
      <name val="Calibri"/>
      <family val="2"/>
      <scheme val="minor"/>
    </font>
    <font>
      <b/>
      <sz val="11"/>
      <color rgb="FFFF0000"/>
      <name val="Calibri"/>
      <family val="2"/>
      <scheme val="minor"/>
    </font>
    <font>
      <sz val="11"/>
      <color rgb="FF000000"/>
      <name val="Calibri"/>
    </font>
    <font>
      <sz val="11"/>
      <name val="Calibri"/>
      <scheme val="minor"/>
    </font>
    <font>
      <u/>
      <sz val="10"/>
      <color theme="10"/>
      <name val="Arial"/>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41" fillId="0" borderId="0" applyNumberFormat="0" applyFill="0" applyBorder="0" applyAlignment="0" applyProtection="0"/>
  </cellStyleXfs>
  <cellXfs count="99">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49" fontId="29" fillId="0" borderId="0" xfId="0" applyNumberFormat="1" applyFont="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49" fontId="29" fillId="0" borderId="0" xfId="0" applyNumberFormat="1" applyFont="1" applyAlignment="1">
      <alignment vertical="center" wrapText="1"/>
    </xf>
    <xf numFmtId="0" fontId="0" fillId="0" borderId="0" xfId="0" applyAlignment="1">
      <alignment horizontal="center" wrapText="1"/>
    </xf>
    <xf numFmtId="49" fontId="31" fillId="0" borderId="0" xfId="2" applyNumberFormat="1" applyFont="1" applyFill="1" applyBorder="1" applyAlignment="1">
      <alignment vertical="top" wrapText="1"/>
    </xf>
    <xf numFmtId="164" fontId="29" fillId="0" borderId="0" xfId="1" applyNumberFormat="1" applyFont="1" applyFill="1" applyBorder="1" applyAlignment="1">
      <alignment horizontal="center" vertical="center"/>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0" fontId="37" fillId="0" borderId="0" xfId="0" applyFont="1" applyAlignment="1">
      <alignment horizontal="left" vertical="top"/>
    </xf>
    <xf numFmtId="0" fontId="38" fillId="0" borderId="0" xfId="0" applyFont="1" applyAlignment="1">
      <alignment horizontal="left" vertical="top"/>
    </xf>
    <xf numFmtId="0" fontId="37" fillId="45" borderId="1" xfId="0" applyFont="1" applyFill="1" applyBorder="1" applyAlignment="1">
      <alignment horizontal="left" vertical="top"/>
    </xf>
    <xf numFmtId="49" fontId="36" fillId="38" borderId="1" xfId="2" applyNumberFormat="1" applyFont="1" applyFill="1" applyBorder="1" applyAlignment="1">
      <alignment horizontal="left" vertical="top" wrapText="1"/>
    </xf>
    <xf numFmtId="0" fontId="36" fillId="0" borderId="0" xfId="0" applyFont="1" applyAlignment="1">
      <alignment horizontal="left" vertical="top"/>
    </xf>
    <xf numFmtId="49" fontId="1" fillId="0" borderId="1" xfId="0" applyNumberFormat="1" applyFont="1" applyBorder="1" applyAlignment="1">
      <alignment horizontal="left" vertical="top" wrapText="1"/>
    </xf>
    <xf numFmtId="49" fontId="31" fillId="38" borderId="1" xfId="2" applyNumberFormat="1" applyFont="1" applyFill="1" applyBorder="1" applyAlignment="1">
      <alignment horizontal="left" vertical="top" wrapText="1"/>
    </xf>
    <xf numFmtId="49" fontId="29" fillId="0" borderId="1" xfId="0" applyNumberFormat="1" applyFont="1" applyBorder="1" applyAlignment="1">
      <alignment horizontal="left" vertical="top" wrapText="1"/>
    </xf>
    <xf numFmtId="49" fontId="28" fillId="0" borderId="1" xfId="0" applyNumberFormat="1" applyFont="1" applyBorder="1" applyAlignment="1">
      <alignment horizontal="left" vertical="top" wrapText="1"/>
    </xf>
    <xf numFmtId="49" fontId="29" fillId="0" borderId="1" xfId="0" applyNumberFormat="1" applyFont="1" applyBorder="1" applyAlignment="1">
      <alignment vertical="top" wrapText="1"/>
    </xf>
    <xf numFmtId="9" fontId="31" fillId="0" borderId="1" xfId="2" applyFont="1" applyBorder="1" applyAlignment="1">
      <alignment horizontal="center" vertical="center"/>
    </xf>
    <xf numFmtId="3" fontId="31" fillId="0" borderId="1" xfId="1" applyNumberFormat="1" applyFont="1" applyBorder="1" applyAlignment="1">
      <alignment vertical="center"/>
    </xf>
    <xf numFmtId="3" fontId="0" fillId="0" borderId="0" xfId="0" applyNumberFormat="1"/>
    <xf numFmtId="164" fontId="0" fillId="0" borderId="0" xfId="0" applyNumberFormat="1"/>
    <xf numFmtId="49" fontId="28" fillId="0" borderId="1" xfId="0" applyNumberFormat="1" applyFont="1" applyBorder="1" applyAlignment="1">
      <alignment wrapText="1"/>
    </xf>
    <xf numFmtId="49" fontId="31" fillId="38" borderId="1" xfId="2" applyNumberFormat="1" applyFont="1" applyFill="1" applyBorder="1" applyAlignment="1">
      <alignment wrapText="1"/>
    </xf>
    <xf numFmtId="49" fontId="28" fillId="0" borderId="1" xfId="0" applyNumberFormat="1" applyFont="1" applyBorder="1" applyAlignment="1">
      <alignment vertical="top" wrapText="1"/>
    </xf>
    <xf numFmtId="49" fontId="29" fillId="0" borderId="1" xfId="0" applyNumberFormat="1" applyFont="1" applyBorder="1" applyAlignment="1">
      <alignment wrapText="1"/>
    </xf>
    <xf numFmtId="49" fontId="24" fillId="0" borderId="1" xfId="0" applyNumberFormat="1" applyFont="1" applyBorder="1" applyAlignment="1">
      <alignment vertical="center" wrapText="1"/>
    </xf>
    <xf numFmtId="49" fontId="39" fillId="0" borderId="1" xfId="0" applyNumberFormat="1" applyFont="1" applyBorder="1" applyAlignment="1">
      <alignment horizontal="left" vertical="top" wrapText="1"/>
    </xf>
    <xf numFmtId="49" fontId="24" fillId="0" borderId="1" xfId="0" applyNumberFormat="1" applyFont="1" applyBorder="1" applyAlignment="1">
      <alignment horizontal="left" vertical="top" wrapText="1"/>
    </xf>
    <xf numFmtId="49" fontId="40" fillId="38" borderId="1" xfId="2" applyNumberFormat="1" applyFont="1" applyFill="1" applyBorder="1" applyAlignment="1">
      <alignment vertical="top" wrapText="1"/>
    </xf>
    <xf numFmtId="0" fontId="40" fillId="0" borderId="0" xfId="0" applyFont="1"/>
    <xf numFmtId="0" fontId="37" fillId="45" borderId="1" xfId="0" applyFont="1" applyFill="1" applyBorder="1" applyAlignment="1">
      <alignment horizontal="center" vertical="center"/>
    </xf>
    <xf numFmtId="49" fontId="29" fillId="0" borderId="1" xfId="0" applyNumberFormat="1" applyFont="1" applyBorder="1" applyAlignment="1">
      <alignment horizontal="left" vertical="center" wrapText="1"/>
    </xf>
    <xf numFmtId="49" fontId="41" fillId="38" borderId="1" xfId="45" applyNumberFormat="1" applyFill="1" applyBorder="1" applyAlignment="1">
      <alignment horizontal="left" vertical="top" wrapText="1"/>
    </xf>
    <xf numFmtId="49" fontId="41" fillId="0" borderId="1" xfId="45" applyNumberFormat="1" applyBorder="1" applyAlignment="1">
      <alignment horizontal="left" vertical="center" wrapText="1"/>
    </xf>
    <xf numFmtId="49" fontId="41" fillId="0" borderId="1" xfId="45" applyNumberFormat="1" applyBorder="1" applyAlignment="1">
      <alignment horizontal="left" vertical="top" wrapText="1"/>
    </xf>
    <xf numFmtId="0" fontId="41" fillId="0" borderId="0" xfId="45" applyAlignment="1">
      <alignment vertical="top"/>
    </xf>
    <xf numFmtId="0" fontId="41" fillId="0" borderId="0" xfId="45"/>
    <xf numFmtId="0" fontId="0" fillId="0" borderId="0" xfId="0" applyAlignment="1">
      <alignment horizontal="left" vertical="top" wrapText="1"/>
    </xf>
    <xf numFmtId="0" fontId="35" fillId="40" borderId="1" xfId="0" applyFont="1" applyFill="1" applyBorder="1" applyAlignment="1">
      <alignment horizontal="center" vertical="center"/>
    </xf>
    <xf numFmtId="0" fontId="0" fillId="0" borderId="0" xfId="0" applyAlignment="1">
      <alignment horizontal="left" vertical="top"/>
    </xf>
    <xf numFmtId="0" fontId="41" fillId="0" borderId="0" xfId="45" applyAlignment="1">
      <alignment horizontal="left" vertical="top"/>
    </xf>
    <xf numFmtId="49" fontId="39" fillId="38" borderId="1" xfId="2" applyNumberFormat="1" applyFont="1" applyFill="1" applyBorder="1" applyAlignment="1">
      <alignment horizontal="lef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9">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4" totalsRowShown="0">
  <autoFilter ref="A3:E2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26" TargetMode="External"/><Relationship Id="rId13" Type="http://schemas.openxmlformats.org/officeDocument/2006/relationships/hyperlink" Target="https://us3.assetplanner.com/service_request?ID=095216" TargetMode="External"/><Relationship Id="rId3" Type="http://schemas.openxmlformats.org/officeDocument/2006/relationships/hyperlink" Target="https://us3.assetplanner.com/service_request?ID=095329" TargetMode="External"/><Relationship Id="rId7" Type="http://schemas.openxmlformats.org/officeDocument/2006/relationships/hyperlink" Target="https://us3.assetplanner.com/service_request?ID=095988" TargetMode="External"/><Relationship Id="rId12" Type="http://schemas.openxmlformats.org/officeDocument/2006/relationships/hyperlink" Target="https://us3.assetplanner.com/service_request?ID=092409" TargetMode="External"/><Relationship Id="rId2" Type="http://schemas.openxmlformats.org/officeDocument/2006/relationships/hyperlink" Target="https://us3.assetplanner.com/service_request?ID=095405" TargetMode="External"/><Relationship Id="rId1" Type="http://schemas.openxmlformats.org/officeDocument/2006/relationships/hyperlink" Target="https://us3.assetplanner.com/service_request?ID=095378" TargetMode="External"/><Relationship Id="rId6" Type="http://schemas.openxmlformats.org/officeDocument/2006/relationships/hyperlink" Target="https://us3.assetplanner.com/service_request?ID=095306" TargetMode="External"/><Relationship Id="rId11" Type="http://schemas.openxmlformats.org/officeDocument/2006/relationships/hyperlink" Target="https://us3.assetplanner.com/service_request?ID=095427" TargetMode="External"/><Relationship Id="rId5" Type="http://schemas.openxmlformats.org/officeDocument/2006/relationships/hyperlink" Target="https://us3.assetplanner.com/service_request?ID=095966" TargetMode="External"/><Relationship Id="rId10" Type="http://schemas.openxmlformats.org/officeDocument/2006/relationships/hyperlink" Target="https://us3.assetplanner.com/service_request?ID=095983" TargetMode="External"/><Relationship Id="rId4" Type="http://schemas.openxmlformats.org/officeDocument/2006/relationships/hyperlink" Target="https://us3.assetplanner.com/service_request?ID=096129" TargetMode="External"/><Relationship Id="rId9" Type="http://schemas.openxmlformats.org/officeDocument/2006/relationships/hyperlink" Target="https://us3.assetplanner.com/service_request?ID=095387"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782" TargetMode="External"/><Relationship Id="rId13" Type="http://schemas.openxmlformats.org/officeDocument/2006/relationships/hyperlink" Target="https://us3.assetplanner.com/service_request?ID=097765" TargetMode="External"/><Relationship Id="rId3" Type="http://schemas.openxmlformats.org/officeDocument/2006/relationships/hyperlink" Target="https://us3.assetplanner.com/service_request?ID=097002" TargetMode="External"/><Relationship Id="rId7" Type="http://schemas.openxmlformats.org/officeDocument/2006/relationships/hyperlink" Target="https://us3.assetplanner.com/service_request?ID=097186" TargetMode="External"/><Relationship Id="rId12" Type="http://schemas.openxmlformats.org/officeDocument/2006/relationships/hyperlink" Target="https://us3.assetplanner.com/service_request?ID=097630" TargetMode="External"/><Relationship Id="rId2" Type="http://schemas.openxmlformats.org/officeDocument/2006/relationships/hyperlink" Target="https://us3.assetplanner.com/service_request?ID=097707" TargetMode="External"/><Relationship Id="rId1" Type="http://schemas.openxmlformats.org/officeDocument/2006/relationships/hyperlink" Target="https://us3.assetplanner.com/service_request?ID=097092" TargetMode="External"/><Relationship Id="rId6" Type="http://schemas.openxmlformats.org/officeDocument/2006/relationships/hyperlink" Target="https://us3.assetplanner.com/service_request?ID=095398" TargetMode="External"/><Relationship Id="rId11" Type="http://schemas.openxmlformats.org/officeDocument/2006/relationships/hyperlink" Target="https://us3.assetplanner.com/service_request?ID=096225" TargetMode="External"/><Relationship Id="rId5" Type="http://schemas.openxmlformats.org/officeDocument/2006/relationships/hyperlink" Target="https://us3.assetplanner.com/service_request?ID=095399" TargetMode="External"/><Relationship Id="rId10" Type="http://schemas.openxmlformats.org/officeDocument/2006/relationships/hyperlink" Target="https://us3.assetplanner.com/service_request?ID=097629" TargetMode="External"/><Relationship Id="rId4" Type="http://schemas.openxmlformats.org/officeDocument/2006/relationships/hyperlink" Target="https://us3.assetplanner.com/service_request?ID=097177" TargetMode="External"/><Relationship Id="rId9" Type="http://schemas.openxmlformats.org/officeDocument/2006/relationships/hyperlink" Target="https://us3.assetplanner.com/service_request?ID=096228" TargetMode="External"/><Relationship Id="rId14" Type="http://schemas.openxmlformats.org/officeDocument/2006/relationships/hyperlink" Target="https://us3.assetplanner.com/service_request?ID=097177"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450" TargetMode="External"/><Relationship Id="rId13" Type="http://schemas.openxmlformats.org/officeDocument/2006/relationships/hyperlink" Target="https://us3.assetplanner.com/service_request?ID=098815" TargetMode="External"/><Relationship Id="rId3" Type="http://schemas.openxmlformats.org/officeDocument/2006/relationships/hyperlink" Target="https://us3.assetplanner.com/service_request?ID=098774" TargetMode="External"/><Relationship Id="rId7" Type="http://schemas.openxmlformats.org/officeDocument/2006/relationships/hyperlink" Target="https://us3.assetplanner.com/service_request?ID=098450" TargetMode="External"/><Relationship Id="rId12" Type="http://schemas.openxmlformats.org/officeDocument/2006/relationships/hyperlink" Target="https://us3.assetplanner.com/service_request?ID=098611" TargetMode="External"/><Relationship Id="rId2" Type="http://schemas.openxmlformats.org/officeDocument/2006/relationships/hyperlink" Target="https://us3.assetplanner.com/service_request?ID=098696" TargetMode="External"/><Relationship Id="rId16" Type="http://schemas.openxmlformats.org/officeDocument/2006/relationships/hyperlink" Target="https://us3.assetplanner.com/service_request?ID=098795" TargetMode="External"/><Relationship Id="rId1" Type="http://schemas.openxmlformats.org/officeDocument/2006/relationships/hyperlink" Target="https://us3.assetplanner.com/service_request?ID=098683" TargetMode="External"/><Relationship Id="rId6" Type="http://schemas.openxmlformats.org/officeDocument/2006/relationships/hyperlink" Target="https://us3.assetplanner.com/service_request?ID=098027" TargetMode="External"/><Relationship Id="rId11" Type="http://schemas.openxmlformats.org/officeDocument/2006/relationships/hyperlink" Target="https://us3.assetplanner.com/service_request?ID=098928" TargetMode="External"/><Relationship Id="rId5" Type="http://schemas.openxmlformats.org/officeDocument/2006/relationships/hyperlink" Target="https://us3.assetplanner.com/service_request?ID=099104" TargetMode="External"/><Relationship Id="rId15" Type="http://schemas.openxmlformats.org/officeDocument/2006/relationships/hyperlink" Target="https://us3.assetplanner.com/service_request?ID=091674" TargetMode="External"/><Relationship Id="rId10" Type="http://schemas.openxmlformats.org/officeDocument/2006/relationships/hyperlink" Target="https://us3.assetplanner.com/service_request?ID=098793" TargetMode="External"/><Relationship Id="rId4" Type="http://schemas.openxmlformats.org/officeDocument/2006/relationships/hyperlink" Target="https://us3.assetplanner.com/service_request?ID=098794" TargetMode="External"/><Relationship Id="rId9" Type="http://schemas.openxmlformats.org/officeDocument/2006/relationships/hyperlink" Target="https://us3.assetplanner.com/service_request?ID=098592" TargetMode="External"/><Relationship Id="rId14" Type="http://schemas.openxmlformats.org/officeDocument/2006/relationships/hyperlink" Target="https://us3.assetplanner.com/service_request?ID=098816"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031" TargetMode="External"/><Relationship Id="rId13" Type="http://schemas.openxmlformats.org/officeDocument/2006/relationships/hyperlink" Target="https://us3.assetplanner.com/service_request?ID=099670" TargetMode="External"/><Relationship Id="rId18" Type="http://schemas.openxmlformats.org/officeDocument/2006/relationships/hyperlink" Target="https://us3.assetplanner.com/service_request?ID=099382" TargetMode="External"/><Relationship Id="rId3" Type="http://schemas.openxmlformats.org/officeDocument/2006/relationships/hyperlink" Target="https://us3.assetplanner.com/service_request?ID=100677" TargetMode="External"/><Relationship Id="rId7" Type="http://schemas.openxmlformats.org/officeDocument/2006/relationships/hyperlink" Target="https://us3.assetplanner.com/service_request?ID=099440" TargetMode="External"/><Relationship Id="rId12" Type="http://schemas.openxmlformats.org/officeDocument/2006/relationships/hyperlink" Target="https://us3.assetplanner.com/service_request?ID=099669" TargetMode="External"/><Relationship Id="rId17" Type="http://schemas.openxmlformats.org/officeDocument/2006/relationships/hyperlink" Target="https://us3.assetplanner.com/service_request?ID=099654" TargetMode="External"/><Relationship Id="rId2" Type="http://schemas.openxmlformats.org/officeDocument/2006/relationships/hyperlink" Target="https://us3.assetplanner.com/service_request?ID=099734" TargetMode="External"/><Relationship Id="rId16" Type="http://schemas.openxmlformats.org/officeDocument/2006/relationships/hyperlink" Target="https://us3.assetplanner.com/service_request?ID=099667" TargetMode="External"/><Relationship Id="rId1" Type="http://schemas.openxmlformats.org/officeDocument/2006/relationships/hyperlink" Target="https://us3.assetplanner.com/service_request?ID=099489" TargetMode="External"/><Relationship Id="rId6" Type="http://schemas.openxmlformats.org/officeDocument/2006/relationships/hyperlink" Target="https://us3.assetplanner.com/service_request?ID=100456" TargetMode="External"/><Relationship Id="rId11" Type="http://schemas.openxmlformats.org/officeDocument/2006/relationships/hyperlink" Target="https://us3.assetplanner.com/service_request?ID=099671" TargetMode="External"/><Relationship Id="rId5" Type="http://schemas.openxmlformats.org/officeDocument/2006/relationships/hyperlink" Target="https://us3.assetplanner.com/service_request?ID=099544" TargetMode="External"/><Relationship Id="rId15" Type="http://schemas.openxmlformats.org/officeDocument/2006/relationships/hyperlink" Target="https://us3.assetplanner.com/service_request?ID=099675" TargetMode="External"/><Relationship Id="rId10" Type="http://schemas.openxmlformats.org/officeDocument/2006/relationships/hyperlink" Target="https://us3.assetplanner.com/service_request?ID=099891"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100708" TargetMode="External"/><Relationship Id="rId9" Type="http://schemas.openxmlformats.org/officeDocument/2006/relationships/hyperlink" Target="https://us3.assetplanner.com/service_request?ID=099860" TargetMode="External"/><Relationship Id="rId14" Type="http://schemas.openxmlformats.org/officeDocument/2006/relationships/hyperlink" Target="https://us3.assetplanner.com/service_request?ID=099381"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L341"/>
  <sheetViews>
    <sheetView zoomScale="90" zoomScaleNormal="90" workbookViewId="0">
      <pane xSplit="2" ySplit="3" topLeftCell="C4" activePane="bottomRight" state="frozen"/>
      <selection pane="bottomRight" activeCell="G4" sqref="G4"/>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2" ht="19.5" customHeight="1">
      <c r="A1" s="96" t="str" cm="1">
        <f t="array" ref="A1">portfolio</f>
        <v>38 DN</v>
      </c>
      <c r="B1" s="96"/>
      <c r="C1" s="96"/>
      <c r="D1" s="97" t="s">
        <v>0</v>
      </c>
      <c r="E1" s="97"/>
      <c r="F1" s="97"/>
      <c r="G1" s="95" t="s">
        <v>1</v>
      </c>
      <c r="H1" s="95"/>
      <c r="I1" s="95"/>
    </row>
    <row r="2" spans="1:12" ht="19.5" customHeight="1">
      <c r="A2" s="98" t="s">
        <v>2</v>
      </c>
      <c r="B2" s="98"/>
      <c r="C2" s="5">
        <f>SUM(C4:C99)</f>
        <v>11315073.996677741</v>
      </c>
      <c r="D2" s="5">
        <f>SUM(D4:D99)</f>
        <v>14523681.709999997</v>
      </c>
      <c r="E2" s="5">
        <f>C2-D2</f>
        <v>-3208607.7133222558</v>
      </c>
      <c r="F2" s="6">
        <f>IFERROR(E2/D2, 0)</f>
        <v>-0.2209224752641771</v>
      </c>
      <c r="G2" s="5">
        <f>SUM(G4:G99)</f>
        <v>13430384.329999998</v>
      </c>
      <c r="H2" s="7">
        <f>C2-G2</f>
        <v>-2115310.3333222568</v>
      </c>
      <c r="I2" s="6">
        <f>IFERROR(H2/G2, 0)</f>
        <v>-0.15750184665953318</v>
      </c>
    </row>
    <row r="3" spans="1:12" ht="14.25" customHeight="1">
      <c r="A3" s="17" t="s">
        <v>3</v>
      </c>
      <c r="B3" s="17" t="s">
        <v>4</v>
      </c>
      <c r="C3" s="27" t="s">
        <v>5</v>
      </c>
      <c r="D3" s="28" t="s">
        <v>6</v>
      </c>
      <c r="E3" s="28" t="s">
        <v>7</v>
      </c>
      <c r="F3" s="29" t="s">
        <v>8</v>
      </c>
      <c r="G3" s="30" t="s">
        <v>9</v>
      </c>
      <c r="H3" s="31" t="s">
        <v>7</v>
      </c>
      <c r="I3" s="32" t="s">
        <v>8</v>
      </c>
    </row>
    <row r="4" spans="1:12" ht="15.6">
      <c r="A4" s="34" t="str" cm="1">
        <f t="array" ref="A4:A24">Sites[Site]</f>
        <v>6th St.</v>
      </c>
      <c r="B4" s="35" t="str" cm="1">
        <f t="array" ref="B4:B24">Sites[State]</f>
        <v>CA</v>
      </c>
      <c r="C4" s="36">
        <f>SUM('1st Qtr'!C4, '2nd Qtr'!C4, '3rd Qtr'!C4, '4th Qtr'!C4)</f>
        <v>643653.5</v>
      </c>
      <c r="D4" s="37">
        <f>SUM('1st Qtr'!D4, '2nd Qtr'!D4, '3rd Qtr'!D4, '4th Qtr'!D4)</f>
        <v>467734.19</v>
      </c>
      <c r="E4" s="37">
        <f>IF(AND(ISNUMBER(C4),ISNUMBER(D4)), C4-D4, "")</f>
        <v>175919.31</v>
      </c>
      <c r="F4" s="38">
        <f>IFERROR(E4/D4, "")</f>
        <v>0.37610958052906074</v>
      </c>
      <c r="G4" s="39">
        <f>SUM('1st Qtr'!G4, '2nd Qtr'!G4, '3rd Qtr'!G4, '4th Qtr'!G4)</f>
        <v>702523.3</v>
      </c>
      <c r="H4" s="39">
        <f>SUM('1st Qtr'!H4, '2nd Qtr'!H4, '3rd Qtr'!H4, '4th Qtr'!H4)</f>
        <v>-58869.799999999988</v>
      </c>
      <c r="I4" s="40">
        <f>IFERROR(H4/G4, "")</f>
        <v>-8.3797647707912301E-2</v>
      </c>
    </row>
    <row r="5" spans="1:12" ht="15.6">
      <c r="A5" s="41" t="str">
        <v>Barton Acres</v>
      </c>
      <c r="B5" s="42" t="str">
        <v>MA</v>
      </c>
      <c r="C5" s="43">
        <f>SUM('1st Qtr'!C5, '2nd Qtr'!C5, '3rd Qtr'!C5, '4th Qtr'!C5)</f>
        <v>392311</v>
      </c>
      <c r="D5" s="44">
        <f>SUM('1st Qtr'!D5, '2nd Qtr'!D5, '3rd Qtr'!D5, '4th Qtr'!D5)</f>
        <v>609048.9</v>
      </c>
      <c r="E5" s="44">
        <f t="shared" ref="E5:E15" si="0">IF(AND(ISNUMBER(C5),ISNUMBER(D5)), C5-D5, "")</f>
        <v>-216737.90000000002</v>
      </c>
      <c r="F5" s="45">
        <f>IFERROR(E5/D5, "")</f>
        <v>-0.35586288720002618</v>
      </c>
      <c r="G5" s="46">
        <f>SUM('1st Qtr'!G5, '2nd Qtr'!G5, '3rd Qtr'!G5, '4th Qtr'!G5)</f>
        <v>471537.46</v>
      </c>
      <c r="H5" s="71">
        <f>SUM('1st Qtr'!H5, '2nd Qtr'!H5, '3rd Qtr'!H5, '4th Qtr'!H5)</f>
        <v>-79226.460000000021</v>
      </c>
      <c r="I5" s="45">
        <f>IFERROR(H5/G5, "")</f>
        <v>-0.16801731934510572</v>
      </c>
      <c r="K5" s="72"/>
    </row>
    <row r="6" spans="1:12" ht="15.6">
      <c r="A6" s="34" t="str">
        <v>Bowden</v>
      </c>
      <c r="B6" s="35" t="str">
        <v>MA</v>
      </c>
      <c r="C6" s="36">
        <f>SUM('1st Qtr'!C6, '2nd Qtr'!C6, '3rd Qtr'!C6, '4th Qtr'!C6)</f>
        <v>862435</v>
      </c>
      <c r="D6" s="37">
        <f>SUM('1st Qtr'!D6, '2nd Qtr'!D6, '3rd Qtr'!D6, '4th Qtr'!D6)</f>
        <v>1056460.6000000001</v>
      </c>
      <c r="E6" s="37">
        <f t="shared" si="0"/>
        <v>-194025.60000000009</v>
      </c>
      <c r="F6" s="38">
        <f t="shared" ref="F6:F15" si="1">IFERROR(E6/D6, "")</f>
        <v>-0.18365625750737896</v>
      </c>
      <c r="G6" s="39">
        <f>SUM('1st Qtr'!G6, '2nd Qtr'!G6, '3rd Qtr'!G6, '4th Qtr'!G6)</f>
        <v>1011764.4</v>
      </c>
      <c r="H6" s="39">
        <f>SUM('1st Qtr'!H6, '2nd Qtr'!H6, '3rd Qtr'!H6, '4th Qtr'!H6)</f>
        <v>-149329.40000000002</v>
      </c>
      <c r="I6" s="40">
        <f t="shared" ref="I6:I15" si="2">IFERROR(H6/G6, "")</f>
        <v>-0.14759305624906355</v>
      </c>
    </row>
    <row r="7" spans="1:12" ht="15.6">
      <c r="A7" s="41" t="str">
        <v>Blair Wire Village</v>
      </c>
      <c r="B7" s="42" t="str">
        <v>MA</v>
      </c>
      <c r="C7" s="43">
        <f>SUM('1st Qtr'!C7, '2nd Qtr'!C7, '3rd Qtr'!C7, '4th Qtr'!C7)</f>
        <v>422160</v>
      </c>
      <c r="D7" s="44">
        <f>SUM('1st Qtr'!D7, '2nd Qtr'!D7, '3rd Qtr'!D7, '4th Qtr'!D7)</f>
        <v>645074.30000000005</v>
      </c>
      <c r="E7" s="44">
        <f t="shared" si="0"/>
        <v>-222914.30000000005</v>
      </c>
      <c r="F7" s="45">
        <f t="shared" si="1"/>
        <v>-0.34556375908945686</v>
      </c>
      <c r="G7" s="46">
        <f>SUM('1st Qtr'!G7, '2nd Qtr'!G7, '3rd Qtr'!G7, '4th Qtr'!G7)</f>
        <v>505858.43000000005</v>
      </c>
      <c r="H7" s="71">
        <f>SUM('1st Qtr'!H7, '2nd Qtr'!H7, '3rd Qtr'!H7, '4th Qtr'!H7)</f>
        <v>-83698.430000000008</v>
      </c>
      <c r="I7" s="45">
        <f t="shared" si="2"/>
        <v>-0.16545820932548264</v>
      </c>
      <c r="L7" s="72"/>
    </row>
    <row r="8" spans="1:12" ht="15.6">
      <c r="A8" s="34" t="str">
        <v>Boutilier</v>
      </c>
      <c r="B8" s="35" t="str">
        <v>MA</v>
      </c>
      <c r="C8" s="36">
        <f>SUM('1st Qtr'!C8, '2nd Qtr'!C8, '3rd Qtr'!C8, '4th Qtr'!C8)</f>
        <v>1189070</v>
      </c>
      <c r="D8" s="37">
        <f>SUM('1st Qtr'!D8, '2nd Qtr'!D8, '3rd Qtr'!D8, '4th Qtr'!D8)</f>
        <v>1548973.6</v>
      </c>
      <c r="E8" s="37">
        <f t="shared" si="0"/>
        <v>-359903.60000000009</v>
      </c>
      <c r="F8" s="38">
        <f t="shared" si="1"/>
        <v>-0.23234973146088486</v>
      </c>
      <c r="G8" s="39">
        <f>SUM('1st Qtr'!G8, '2nd Qtr'!G8, '3rd Qtr'!G8, '4th Qtr'!G8)</f>
        <v>1294425.2</v>
      </c>
      <c r="H8" s="39">
        <f>SUM('1st Qtr'!H8, '2nd Qtr'!H8, '3rd Qtr'!H8, '4th Qtr'!H8)</f>
        <v>-105355.20000000001</v>
      </c>
      <c r="I8" s="40">
        <f t="shared" si="2"/>
        <v>-8.1391493305291038E-2</v>
      </c>
    </row>
    <row r="9" spans="1:12" ht="15.6">
      <c r="A9" s="41" t="str">
        <v>Cherry Valley</v>
      </c>
      <c r="B9" s="42" t="str">
        <v>MA</v>
      </c>
      <c r="C9" s="43">
        <f>SUM('1st Qtr'!C9, '2nd Qtr'!C9, '3rd Qtr'!C9, '4th Qtr'!C9)</f>
        <v>405006</v>
      </c>
      <c r="D9" s="44">
        <f>SUM('1st Qtr'!D9, '2nd Qtr'!D9, '3rd Qtr'!D9, '4th Qtr'!D9)</f>
        <v>625977.80000000005</v>
      </c>
      <c r="E9" s="44">
        <f t="shared" si="0"/>
        <v>-220971.80000000005</v>
      </c>
      <c r="F9" s="45">
        <f t="shared" si="1"/>
        <v>-0.35300261446971448</v>
      </c>
      <c r="G9" s="46">
        <f>SUM('1st Qtr'!G9, '2nd Qtr'!G9, '3rd Qtr'!G9, '4th Qtr'!G9)</f>
        <v>492182</v>
      </c>
      <c r="H9" s="71">
        <f>SUM('1st Qtr'!H9, '2nd Qtr'!H9, '3rd Qtr'!H9, '4th Qtr'!H9)</f>
        <v>-87176</v>
      </c>
      <c r="I9" s="45">
        <f t="shared" si="2"/>
        <v>-0.17712147132564782</v>
      </c>
      <c r="K9" s="73"/>
    </row>
    <row r="10" spans="1:12" ht="15.6">
      <c r="A10" s="34" t="str">
        <v>Cohasse</v>
      </c>
      <c r="B10" s="35" t="str">
        <v>MA</v>
      </c>
      <c r="C10" s="36">
        <f>SUM('1st Qtr'!C10, '2nd Qtr'!C10, '3rd Qtr'!C10, '4th Qtr'!C10)</f>
        <v>408394</v>
      </c>
      <c r="D10" s="37">
        <f>SUM('1st Qtr'!D10, '2nd Qtr'!D10, '3rd Qtr'!D10, '4th Qtr'!D10)</f>
        <v>588254.69999999995</v>
      </c>
      <c r="E10" s="37">
        <f t="shared" si="0"/>
        <v>-179860.69999999995</v>
      </c>
      <c r="F10" s="38">
        <f t="shared" si="1"/>
        <v>-0.30575310320512522</v>
      </c>
      <c r="G10" s="39">
        <f>SUM('1st Qtr'!G10, '2nd Qtr'!G10, '3rd Qtr'!G10, '4th Qtr'!G10)</f>
        <v>592218.4</v>
      </c>
      <c r="H10" s="39">
        <f>SUM('1st Qtr'!H10, '2nd Qtr'!H10, '3rd Qtr'!H10, '4th Qtr'!H10)</f>
        <v>-183824.4</v>
      </c>
      <c r="I10" s="40">
        <f t="shared" si="2"/>
        <v>-0.31039967687596332</v>
      </c>
    </row>
    <row r="11" spans="1:12" ht="15.6">
      <c r="A11" s="41" t="str">
        <v>ISM Dighton Solar 2</v>
      </c>
      <c r="B11" s="42" t="str">
        <v>MA</v>
      </c>
      <c r="C11" s="43">
        <f>SUM('1st Qtr'!C11, '2nd Qtr'!C11, '3rd Qtr'!C11, '4th Qtr'!C11)</f>
        <v>1109175</v>
      </c>
      <c r="D11" s="44">
        <f>SUM('1st Qtr'!D11, '2nd Qtr'!D11, '3rd Qtr'!D11, '4th Qtr'!D11)</f>
        <v>1174302.3</v>
      </c>
      <c r="E11" s="44">
        <f t="shared" si="0"/>
        <v>-65127.300000000047</v>
      </c>
      <c r="F11" s="45">
        <f t="shared" si="1"/>
        <v>-5.54604210517173E-2</v>
      </c>
      <c r="G11" s="46">
        <f>SUM('1st Qtr'!G11, '2nd Qtr'!G11, '3rd Qtr'!G11, '4th Qtr'!G11)</f>
        <v>1060951.3999999999</v>
      </c>
      <c r="H11" s="71">
        <f>SUM('1st Qtr'!H11, '2nd Qtr'!H11, '3rd Qtr'!H11, '4th Qtr'!H11)</f>
        <v>48223.599999999977</v>
      </c>
      <c r="I11" s="45">
        <f t="shared" si="2"/>
        <v>4.5453165903735063E-2</v>
      </c>
    </row>
    <row r="12" spans="1:12" ht="15.6">
      <c r="A12" s="34" t="str">
        <v>Dudley River 1</v>
      </c>
      <c r="B12" s="35" t="str">
        <v>MA</v>
      </c>
      <c r="C12" s="36">
        <f>SUM('1st Qtr'!C12, '2nd Qtr'!C12, '3rd Qtr'!C12, '4th Qtr'!C12)</f>
        <v>441872</v>
      </c>
      <c r="D12" s="37">
        <f>SUM('1st Qtr'!D12, '2nd Qtr'!D12, '3rd Qtr'!D12, '4th Qtr'!D12)</f>
        <v>546414.1</v>
      </c>
      <c r="E12" s="37">
        <f t="shared" si="0"/>
        <v>-104542.09999999998</v>
      </c>
      <c r="F12" s="38">
        <f t="shared" si="1"/>
        <v>-0.19132394277526876</v>
      </c>
      <c r="G12" s="39">
        <f>SUM('1st Qtr'!G12, '2nd Qtr'!G12, '3rd Qtr'!G12, '4th Qtr'!G12)</f>
        <v>514901.05</v>
      </c>
      <c r="H12" s="39">
        <f>SUM('1st Qtr'!H12, '2nd Qtr'!H12, '3rd Qtr'!H12, '4th Qtr'!H12)</f>
        <v>-73029.049999999988</v>
      </c>
      <c r="I12" s="40">
        <f t="shared" si="2"/>
        <v>-0.14183123145699544</v>
      </c>
    </row>
    <row r="13" spans="1:12" ht="15.6">
      <c r="A13" s="41" t="str">
        <v>Dudley River 2</v>
      </c>
      <c r="B13" s="42" t="str">
        <v>MA</v>
      </c>
      <c r="C13" s="43">
        <f>SUM('1st Qtr'!C13, '2nd Qtr'!C13, '3rd Qtr'!C13, '4th Qtr'!C13)</f>
        <v>447851</v>
      </c>
      <c r="D13" s="44">
        <f>SUM('1st Qtr'!D13, '2nd Qtr'!D13, '3rd Qtr'!D13, '4th Qtr'!D13)</f>
        <v>551117.5</v>
      </c>
      <c r="E13" s="44">
        <f t="shared" si="0"/>
        <v>-103266.5</v>
      </c>
      <c r="F13" s="45">
        <f t="shared" si="1"/>
        <v>-0.1873765576306323</v>
      </c>
      <c r="G13" s="46">
        <f>SUM('1st Qtr'!G13, '2nd Qtr'!G13, '3rd Qtr'!G13, '4th Qtr'!G13)</f>
        <v>494478.58999999997</v>
      </c>
      <c r="H13" s="71">
        <f>SUM('1st Qtr'!H13, '2nd Qtr'!H13, '3rd Qtr'!H13, '4th Qtr'!H13)</f>
        <v>-46627.589999999982</v>
      </c>
      <c r="I13" s="45">
        <f t="shared" si="2"/>
        <v>-9.4296479044724629E-2</v>
      </c>
    </row>
    <row r="14" spans="1:12" ht="15.6">
      <c r="A14" s="34" t="str">
        <v>Dudley River 3</v>
      </c>
      <c r="B14" s="35" t="str">
        <v>MA</v>
      </c>
      <c r="C14" s="36">
        <f>SUM('1st Qtr'!C14, '2nd Qtr'!C14, '3rd Qtr'!C14, '4th Qtr'!C14)</f>
        <v>475995</v>
      </c>
      <c r="D14" s="37">
        <f>SUM('1st Qtr'!D14, '2nd Qtr'!D14, '3rd Qtr'!D14, '4th Qtr'!D14)</f>
        <v>554705.4</v>
      </c>
      <c r="E14" s="37">
        <f t="shared" si="0"/>
        <v>-78710.400000000023</v>
      </c>
      <c r="F14" s="38">
        <f t="shared" si="1"/>
        <v>-0.14189586039724875</v>
      </c>
      <c r="G14" s="39">
        <f>SUM('1st Qtr'!G14, '2nd Qtr'!G14, '3rd Qtr'!G14, '4th Qtr'!G14)</f>
        <v>501612.49</v>
      </c>
      <c r="H14" s="39">
        <f>SUM('1st Qtr'!H14, '2nd Qtr'!H14, '3rd Qtr'!H14, '4th Qtr'!H14)</f>
        <v>-25617.489999999976</v>
      </c>
      <c r="I14" s="40">
        <f t="shared" si="2"/>
        <v>-5.1070279370435887E-2</v>
      </c>
    </row>
    <row r="15" spans="1:12" ht="15.6">
      <c r="A15" s="41" t="str">
        <v>Flint Pond</v>
      </c>
      <c r="B15" s="42" t="str">
        <v>MA</v>
      </c>
      <c r="C15" s="43">
        <f>SUM('1st Qtr'!C15, '2nd Qtr'!C15, '3rd Qtr'!C15, '4th Qtr'!C15)</f>
        <v>211924</v>
      </c>
      <c r="D15" s="44">
        <f>SUM('1st Qtr'!D15, '2nd Qtr'!D15, '3rd Qtr'!D15, '4th Qtr'!D15)</f>
        <v>273505.78000000003</v>
      </c>
      <c r="E15" s="44">
        <f t="shared" si="0"/>
        <v>-61581.780000000028</v>
      </c>
      <c r="F15" s="45">
        <f t="shared" si="1"/>
        <v>-0.22515714293131217</v>
      </c>
      <c r="G15" s="46">
        <f>SUM('1st Qtr'!G15, '2nd Qtr'!G15, '3rd Qtr'!G15, '4th Qtr'!G15)</f>
        <v>226552.37</v>
      </c>
      <c r="H15" s="71">
        <f>SUM('1st Qtr'!H15, '2nd Qtr'!H15, '3rd Qtr'!H15, '4th Qtr'!H15)</f>
        <v>-14628.370000000003</v>
      </c>
      <c r="I15" s="45">
        <f t="shared" si="2"/>
        <v>-6.4569485633719045E-2</v>
      </c>
    </row>
    <row r="16" spans="1:12" ht="15.6">
      <c r="A16" s="34" t="str">
        <v>Incom</v>
      </c>
      <c r="B16" s="35" t="str">
        <v>MA</v>
      </c>
      <c r="C16" s="36">
        <f>SUM('1st Qtr'!C16, '2nd Qtr'!C16, '3rd Qtr'!C16, '4th Qtr'!C16)</f>
        <v>918146</v>
      </c>
      <c r="D16" s="37">
        <f>SUM('1st Qtr'!D16, '2nd Qtr'!D16, '3rd Qtr'!D16, '4th Qtr'!D16)</f>
        <v>1242277.5999999999</v>
      </c>
      <c r="E16" s="37">
        <f t="shared" ref="E16:E19" si="3">IF(AND(ISNUMBER(C16),ISNUMBER(D16)), C16-D16, "")</f>
        <v>-324131.59999999986</v>
      </c>
      <c r="F16" s="38">
        <f t="shared" ref="F16:F19" si="4">IFERROR(E16/D16, "")</f>
        <v>-0.26091720562296211</v>
      </c>
      <c r="G16" s="39">
        <f>SUM('1st Qtr'!G16, '2nd Qtr'!G16, '3rd Qtr'!G16, '4th Qtr'!G16)</f>
        <v>1169868.5</v>
      </c>
      <c r="H16" s="39">
        <f>SUM('1st Qtr'!H16, '2nd Qtr'!H16, '3rd Qtr'!H16, '4th Qtr'!H16)</f>
        <v>-251722.50000000003</v>
      </c>
      <c r="I16" s="40">
        <f t="shared" ref="I16:I19" si="5">IFERROR(H16/G16, "")</f>
        <v>-0.21517161971623308</v>
      </c>
    </row>
    <row r="17" spans="1:9" ht="15.6">
      <c r="A17" s="41" t="str">
        <v>JH</v>
      </c>
      <c r="B17" s="42" t="str">
        <v>MA</v>
      </c>
      <c r="C17" s="43">
        <f>SUM('1st Qtr'!C17, '2nd Qtr'!C17, '3rd Qtr'!C17, '4th Qtr'!C17)</f>
        <v>397331</v>
      </c>
      <c r="D17" s="44">
        <f>SUM('1st Qtr'!D17, '2nd Qtr'!D17, '3rd Qtr'!D17, '4th Qtr'!D17)</f>
        <v>585524.69999999995</v>
      </c>
      <c r="E17" s="44">
        <f t="shared" si="3"/>
        <v>-188193.69999999995</v>
      </c>
      <c r="F17" s="45">
        <f t="shared" si="4"/>
        <v>-0.32141035211665703</v>
      </c>
      <c r="G17" s="46">
        <f>SUM('1st Qtr'!G17, '2nd Qtr'!G17, '3rd Qtr'!G17, '4th Qtr'!G17)</f>
        <v>569688</v>
      </c>
      <c r="H17" s="71">
        <f>SUM('1st Qtr'!H17, '2nd Qtr'!H17, '3rd Qtr'!H17, '4th Qtr'!H17)</f>
        <v>-172357</v>
      </c>
      <c r="I17" s="45">
        <f t="shared" si="5"/>
        <v>-0.30254630604822291</v>
      </c>
    </row>
    <row r="18" spans="1:9" ht="12.75" customHeight="1">
      <c r="A18" s="34" t="str">
        <v>Ledeaux</v>
      </c>
      <c r="B18" s="41" t="str">
        <v>MA</v>
      </c>
      <c r="C18" s="36">
        <f>SUM('1st Qtr'!C18, '2nd Qtr'!C18, '3rd Qtr'!C18, '4th Qtr'!C18)</f>
        <v>355535</v>
      </c>
      <c r="D18" s="37">
        <f>SUM('1st Qtr'!D18, '2nd Qtr'!D18, '3rd Qtr'!D18, '4th Qtr'!D18)</f>
        <v>473533.27999999997</v>
      </c>
      <c r="E18" s="37">
        <f t="shared" si="3"/>
        <v>-117998.27999999997</v>
      </c>
      <c r="F18" s="38">
        <f t="shared" si="4"/>
        <v>-0.2491868786920319</v>
      </c>
      <c r="G18" s="39">
        <f>SUM('1st Qtr'!G18, '2nd Qtr'!G18, '3rd Qtr'!G18, '4th Qtr'!G18)</f>
        <v>543989.32999999996</v>
      </c>
      <c r="H18" s="39">
        <f>SUM('1st Qtr'!H18, '2nd Qtr'!H18, '3rd Qtr'!H18, '4th Qtr'!H18)</f>
        <v>-188454.33</v>
      </c>
      <c r="I18" s="40">
        <f t="shared" si="5"/>
        <v>-0.34643019560696164</v>
      </c>
    </row>
    <row r="19" spans="1:9" ht="15.6">
      <c r="A19" s="41" t="str">
        <v>Palombo A</v>
      </c>
      <c r="B19" s="41" t="str">
        <v>MA</v>
      </c>
      <c r="C19" s="43">
        <f>SUM('1st Qtr'!C19, '2nd Qtr'!C19, '3rd Qtr'!C19, '4th Qtr'!C19)</f>
        <v>974189.99667774094</v>
      </c>
      <c r="D19" s="44">
        <f>SUM('1st Qtr'!D19, '2nd Qtr'!D19, '3rd Qtr'!D19, '4th Qtr'!D19)</f>
        <v>1259149.2</v>
      </c>
      <c r="E19" s="44">
        <f t="shared" si="3"/>
        <v>-284959.20332225901</v>
      </c>
      <c r="F19" s="45">
        <f t="shared" si="4"/>
        <v>-0.22631091162370515</v>
      </c>
      <c r="G19" s="46">
        <f>SUM('1st Qtr'!G19, '2nd Qtr'!G19, '3rd Qtr'!G19, '4th Qtr'!G19)</f>
        <v>1267162</v>
      </c>
      <c r="H19" s="71">
        <f>SUM('1st Qtr'!H19, '2nd Qtr'!H19, '3rd Qtr'!H19, '4th Qtr'!H19)</f>
        <v>-292972.003322259</v>
      </c>
      <c r="I19" s="45">
        <f t="shared" si="5"/>
        <v>-0.23120327418456282</v>
      </c>
    </row>
    <row r="20" spans="1:9" ht="15.6">
      <c r="A20" s="34" t="str">
        <v>Palombo B</v>
      </c>
      <c r="B20" s="41" t="str">
        <v>MA</v>
      </c>
      <c r="C20" s="36">
        <f>SUM('1st Qtr'!C20, '2nd Qtr'!C20, '3rd Qtr'!C20, '4th Qtr'!C20)</f>
        <v>462400</v>
      </c>
      <c r="D20" s="37">
        <f>SUM('1st Qtr'!D20, '2nd Qtr'!D20, '3rd Qtr'!D20, '4th Qtr'!D20)</f>
        <v>580917.60000000009</v>
      </c>
      <c r="E20" s="37">
        <f t="shared" ref="E20:E24" si="6">IF(AND(ISNUMBER(C20),ISNUMBER(D20)), C20-D20, "")</f>
        <v>-118517.60000000009</v>
      </c>
      <c r="F20" s="38">
        <f t="shared" ref="F20:F24" si="7">IFERROR(E20/D20, "")</f>
        <v>-0.2040179192367387</v>
      </c>
      <c r="G20" s="39">
        <f>SUM('1st Qtr'!G20, '2nd Qtr'!G20, '3rd Qtr'!G20, '4th Qtr'!G20)</f>
        <v>489686.92</v>
      </c>
      <c r="H20" s="39">
        <f>SUM('1st Qtr'!H20, '2nd Qtr'!H20, '3rd Qtr'!H20, '4th Qtr'!H20)</f>
        <v>-27286.920000000013</v>
      </c>
      <c r="I20" s="40">
        <f t="shared" ref="I20:I24" si="8">IFERROR(H20/G20, "")</f>
        <v>-5.5723195547065077E-2</v>
      </c>
    </row>
    <row r="21" spans="1:9" ht="15.6">
      <c r="A21" s="41" t="str">
        <v>St Josephs Church</v>
      </c>
      <c r="B21" s="41" t="str">
        <v>MA</v>
      </c>
      <c r="C21" s="43">
        <f>SUM('1st Qtr'!C21, '2nd Qtr'!C21, '3rd Qtr'!C21, '4th Qtr'!C21)</f>
        <v>417129</v>
      </c>
      <c r="D21" s="44">
        <f>SUM('1st Qtr'!D21, '2nd Qtr'!D21, '3rd Qtr'!D21, '4th Qtr'!D21)</f>
        <v>628078.69999999995</v>
      </c>
      <c r="E21" s="44">
        <f t="shared" si="6"/>
        <v>-210949.69999999995</v>
      </c>
      <c r="F21" s="45">
        <f t="shared" si="7"/>
        <v>-0.33586507550725725</v>
      </c>
      <c r="G21" s="46">
        <f>SUM('1st Qtr'!G21, '2nd Qtr'!G21, '3rd Qtr'!G21, '4th Qtr'!G21)</f>
        <v>525209.62</v>
      </c>
      <c r="H21" s="71">
        <f>SUM('1st Qtr'!H21, '2nd Qtr'!H21, '3rd Qtr'!H21, '4th Qtr'!H21)</f>
        <v>-108080.62</v>
      </c>
      <c r="I21" s="45">
        <f t="shared" si="8"/>
        <v>-0.20578568229576602</v>
      </c>
    </row>
    <row r="22" spans="1:9" ht="15.6">
      <c r="A22" s="34" t="str">
        <v>Sunset A</v>
      </c>
      <c r="B22" s="41" t="str">
        <v>MA</v>
      </c>
      <c r="C22" s="36">
        <f>SUM('1st Qtr'!C22, '2nd Qtr'!C22, '3rd Qtr'!C22, '4th Qtr'!C22)</f>
        <v>192307.5</v>
      </c>
      <c r="D22" s="37">
        <f>SUM('1st Qtr'!D22, '2nd Qtr'!D22, '3rd Qtr'!D22, '4th Qtr'!D22)</f>
        <v>309382.66000000003</v>
      </c>
      <c r="E22" s="37">
        <f t="shared" si="6"/>
        <v>-117075.16000000003</v>
      </c>
      <c r="F22" s="38">
        <f t="shared" si="7"/>
        <v>-0.37841539018379383</v>
      </c>
      <c r="G22" s="39">
        <f>SUM('1st Qtr'!G22, '2nd Qtr'!G22, '3rd Qtr'!G22, '4th Qtr'!G22)</f>
        <v>222001.77</v>
      </c>
      <c r="H22" s="39">
        <f>SUM('1st Qtr'!H22, '2nd Qtr'!H22, '3rd Qtr'!H22, '4th Qtr'!H22)</f>
        <v>-29694.26999999999</v>
      </c>
      <c r="I22" s="40">
        <f t="shared" si="8"/>
        <v>-0.1337569065327722</v>
      </c>
    </row>
    <row r="23" spans="1:9" ht="15.6">
      <c r="A23" s="41" t="str">
        <v>Sunset B</v>
      </c>
      <c r="B23" s="41" t="str">
        <v>MA</v>
      </c>
      <c r="C23" s="43">
        <f>SUM('1st Qtr'!C23, '2nd Qtr'!C23, '3rd Qtr'!C23, '4th Qtr'!C23)</f>
        <v>184828</v>
      </c>
      <c r="D23" s="44">
        <f>SUM('1st Qtr'!D23, '2nd Qtr'!D23, '3rd Qtr'!D23, '4th Qtr'!D23)</f>
        <v>254597.80000000005</v>
      </c>
      <c r="E23" s="44">
        <f t="shared" si="6"/>
        <v>-69769.800000000047</v>
      </c>
      <c r="F23" s="45">
        <f t="shared" si="7"/>
        <v>-0.27403928863485871</v>
      </c>
      <c r="G23" s="46">
        <f>SUM('1st Qtr'!G23, '2nd Qtr'!G23, '3rd Qtr'!G23, '4th Qtr'!G23)</f>
        <v>219341.37</v>
      </c>
      <c r="H23" s="71">
        <f>SUM('1st Qtr'!H23, '2nd Qtr'!H23, '3rd Qtr'!H23, '4th Qtr'!H23)</f>
        <v>-34513.369999999995</v>
      </c>
      <c r="I23" s="45">
        <f t="shared" si="8"/>
        <v>-0.15735002475821136</v>
      </c>
    </row>
    <row r="24" spans="1:9" ht="15.6">
      <c r="A24" s="34" t="str">
        <v>Woodchuck</v>
      </c>
      <c r="B24" s="41" t="str">
        <v>MA</v>
      </c>
      <c r="C24" s="36">
        <f>SUM('1st Qtr'!C24, '2nd Qtr'!C24, '3rd Qtr'!C24, '4th Qtr'!C24)</f>
        <v>403361</v>
      </c>
      <c r="D24" s="37">
        <f>SUM('1st Qtr'!D24, '2nd Qtr'!D24, '3rd Qtr'!D24, '4th Qtr'!D24)</f>
        <v>548651</v>
      </c>
      <c r="E24" s="37">
        <f t="shared" si="6"/>
        <v>-145290</v>
      </c>
      <c r="F24" s="38">
        <f t="shared" si="7"/>
        <v>-0.26481315080078227</v>
      </c>
      <c r="G24" s="39">
        <f>SUM('1st Qtr'!G24, '2nd Qtr'!G24, '3rd Qtr'!G24, '4th Qtr'!G24)</f>
        <v>554431.73</v>
      </c>
      <c r="H24" s="39">
        <f>SUM('1st Qtr'!H24, '2nd Qtr'!H24, '3rd Qtr'!H24, '4th Qtr'!H24)</f>
        <v>-151070.72999999998</v>
      </c>
      <c r="I24" s="40">
        <f t="shared" si="8"/>
        <v>-0.27247850695702425</v>
      </c>
    </row>
    <row r="25" spans="1:9" ht="13.9">
      <c r="A25" s="13"/>
      <c r="B25" s="13"/>
      <c r="C25" s="13"/>
      <c r="D25" s="13"/>
      <c r="E25" s="13"/>
      <c r="F25" s="13"/>
      <c r="G25" s="13"/>
      <c r="H25" s="13"/>
      <c r="I25" s="13"/>
    </row>
    <row r="26" spans="1:9" ht="13.9">
      <c r="A26" s="13"/>
      <c r="B26" s="13"/>
      <c r="C26" s="13"/>
      <c r="D26" s="13"/>
      <c r="E26" s="13"/>
      <c r="F26" s="13"/>
      <c r="G26" s="13"/>
      <c r="H26" s="13"/>
      <c r="I26" s="13"/>
    </row>
    <row r="27" spans="1:9" ht="13.9">
      <c r="A27" s="13"/>
      <c r="B27" s="13"/>
      <c r="C27" s="13"/>
      <c r="D27" s="13"/>
      <c r="E27" s="13"/>
      <c r="F27" s="13"/>
      <c r="G27" s="13"/>
      <c r="H27" s="13"/>
      <c r="I27" s="13"/>
    </row>
    <row r="28" spans="1:9" ht="13.9">
      <c r="A28" s="13"/>
      <c r="B28" s="13"/>
      <c r="C28" s="13"/>
      <c r="D28" s="13"/>
      <c r="E28" s="13"/>
      <c r="F28" s="13"/>
      <c r="G28" s="13"/>
      <c r="H28" s="13"/>
      <c r="I28" s="13"/>
    </row>
    <row r="29" spans="1:9" ht="13.9">
      <c r="A29" s="13"/>
      <c r="B29" s="13"/>
      <c r="C29" s="13"/>
      <c r="D29" s="13"/>
      <c r="E29" s="13"/>
      <c r="F29" s="13"/>
      <c r="G29" s="13"/>
      <c r="H29" s="13"/>
      <c r="I29" s="13"/>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autoFilter ref="A2:I2" xr:uid="{D5C25034-9971-4A61-864F-C938F31EB1B8}"/>
  <mergeCells count="4">
    <mergeCell ref="G1:I1"/>
    <mergeCell ref="A1:C1"/>
    <mergeCell ref="D1:F1"/>
    <mergeCell ref="A2:B2"/>
  </mergeCells>
  <conditionalFormatting sqref="F2 I2 F4:F99 I4:I99">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1"/>
  <sheetViews>
    <sheetView zoomScale="90" zoomScaleNormal="90" workbookViewId="0">
      <pane xSplit="2" ySplit="3" topLeftCell="G24" activePane="bottomRight" state="frozen"/>
      <selection pane="bottomRight" activeCell="G24" sqref="G24"/>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6" t="str" cm="1">
        <f t="array" ref="A1">portfolio</f>
        <v>38 DN</v>
      </c>
      <c r="B1" s="96"/>
      <c r="C1" s="96"/>
      <c r="D1" s="97" t="s">
        <v>10</v>
      </c>
      <c r="E1" s="97"/>
      <c r="F1" s="97"/>
      <c r="G1" s="95" t="s">
        <v>11</v>
      </c>
      <c r="H1" s="95"/>
      <c r="I1" s="95"/>
    </row>
    <row r="2" spans="1:9" ht="19.5" customHeight="1">
      <c r="A2" s="98" t="s">
        <v>2</v>
      </c>
      <c r="B2" s="98"/>
      <c r="C2" s="5">
        <f>SUM(C4:C99)</f>
        <v>7176121.9966777414</v>
      </c>
      <c r="D2" s="5">
        <f>SUM(D4:D99)</f>
        <v>10259800.799999999</v>
      </c>
      <c r="E2" s="5">
        <f>C2-D2</f>
        <v>-3083678.8033222575</v>
      </c>
      <c r="F2" s="6">
        <f>IFERROR(E2/D2, 0)</f>
        <v>-0.30055932502337257</v>
      </c>
      <c r="G2" s="5">
        <f>SUM(G4:G99)</f>
        <v>9158239.799999997</v>
      </c>
      <c r="H2" s="7">
        <f>C2-G2</f>
        <v>-1982117.8033222556</v>
      </c>
      <c r="I2" s="6">
        <f>IFERROR(H2/G2, 0)</f>
        <v>-0.21642999600450036</v>
      </c>
    </row>
    <row r="3" spans="1:9" ht="14.25" customHeight="1">
      <c r="A3" s="17" t="s">
        <v>3</v>
      </c>
      <c r="B3" s="17" t="s">
        <v>4</v>
      </c>
      <c r="C3" s="27" t="s">
        <v>5</v>
      </c>
      <c r="D3" s="28" t="s">
        <v>6</v>
      </c>
      <c r="E3" s="28" t="s">
        <v>7</v>
      </c>
      <c r="F3" s="29" t="s">
        <v>8</v>
      </c>
      <c r="G3" s="30" t="s">
        <v>9</v>
      </c>
      <c r="H3" s="31" t="s">
        <v>7</v>
      </c>
      <c r="I3" s="32" t="s">
        <v>8</v>
      </c>
    </row>
    <row r="4" spans="1:9" ht="15.6">
      <c r="A4" s="55" t="str" cm="1">
        <f t="array" ref="A4:A24">Sites[Site]</f>
        <v>6th St.</v>
      </c>
      <c r="B4" s="35" t="str" cm="1">
        <f t="array" ref="B4:B24">Sites[State]</f>
        <v>CA</v>
      </c>
      <c r="C4" s="36">
        <f>SUM(Jan!C4, Feb!C4, Mar!C4)</f>
        <v>444186</v>
      </c>
      <c r="D4" s="37">
        <f>SUM(Jan!D4, Feb!D4, Mar!D4)</f>
        <v>287164.39</v>
      </c>
      <c r="E4" s="37">
        <f>IF(AND(ISNUMBER(C4),ISNUMBER(D4)), C4-D4, "")</f>
        <v>157021.60999999999</v>
      </c>
      <c r="F4" s="38">
        <f>IFERROR(E4/D4, "")</f>
        <v>0.54680042326975142</v>
      </c>
      <c r="G4" s="39">
        <f>SUM(Jan!G4, Feb!G4, Mar!G4)</f>
        <v>482812.5</v>
      </c>
      <c r="H4" s="39">
        <f>SUM(Jan!H4, Feb!H4, Mar!H4)</f>
        <v>-38626.5</v>
      </c>
      <c r="I4" s="40">
        <f>IFERROR(H4/G4, "")</f>
        <v>-8.000310679611651E-2</v>
      </c>
    </row>
    <row r="5" spans="1:9" ht="15.6">
      <c r="A5" s="56" t="str">
        <v>Barton Acres</v>
      </c>
      <c r="B5" s="42" t="str">
        <v>MA</v>
      </c>
      <c r="C5" s="43">
        <f>SUM(Jan!C5, Feb!C5, Mar!C5)</f>
        <v>230538</v>
      </c>
      <c r="D5" s="44">
        <f>SUM(Jan!D5, Feb!D5, Mar!D5)</f>
        <v>438008.7</v>
      </c>
      <c r="E5" s="44">
        <f t="shared" ref="E5:E15" si="0">IF(AND(ISNUMBER(C5),ISNUMBER(D5)), C5-D5, "")</f>
        <v>-207470.7</v>
      </c>
      <c r="F5" s="45">
        <f>IFERROR(E5/D5, "")</f>
        <v>-0.47366798878652411</v>
      </c>
      <c r="G5" s="46">
        <f>SUM(Jan!G5, Feb!G5, Mar!G5)</f>
        <v>308750.26</v>
      </c>
      <c r="H5" s="46">
        <f>SUM(Jan!H5, Feb!H5, Mar!H5)</f>
        <v>-78212.260000000009</v>
      </c>
      <c r="I5" s="45">
        <f>IFERROR(H5/G5, "")</f>
        <v>-0.25331884740761029</v>
      </c>
    </row>
    <row r="6" spans="1:9" ht="15.6">
      <c r="A6" s="55" t="str">
        <v>Bowden</v>
      </c>
      <c r="B6" s="35" t="str">
        <v>MA</v>
      </c>
      <c r="C6" s="36">
        <f>SUM(Jan!C6, Feb!C6, Mar!C6)</f>
        <v>530464</v>
      </c>
      <c r="D6" s="37">
        <f>SUM(Jan!D6, Feb!D6, Mar!D6)</f>
        <v>727999</v>
      </c>
      <c r="E6" s="37">
        <f t="shared" si="0"/>
        <v>-197535</v>
      </c>
      <c r="F6" s="38">
        <f t="shared" ref="F6:F15" si="1">IFERROR(E6/D6, "")</f>
        <v>-0.27133965843359675</v>
      </c>
      <c r="G6" s="39">
        <f>SUM(Jan!G6, Feb!G6, Mar!G6)</f>
        <v>680814.9</v>
      </c>
      <c r="H6" s="39">
        <f>SUM(Jan!H6, Feb!H6, Mar!H6)</f>
        <v>-150350.90000000002</v>
      </c>
      <c r="I6" s="40">
        <f t="shared" ref="I6:I15" si="2">IFERROR(H6/G6, "")</f>
        <v>-0.22083961440914412</v>
      </c>
    </row>
    <row r="7" spans="1:9" ht="15.6">
      <c r="A7" s="56" t="str">
        <v>Blair Wire Village</v>
      </c>
      <c r="B7" s="42" t="str">
        <v>MA</v>
      </c>
      <c r="C7" s="43">
        <f>SUM(Jan!C7, Feb!C7, Mar!C7)</f>
        <v>258498</v>
      </c>
      <c r="D7" s="44">
        <f>SUM(Jan!D7, Feb!D7, Mar!D7)</f>
        <v>467163</v>
      </c>
      <c r="E7" s="44">
        <f t="shared" si="0"/>
        <v>-208665</v>
      </c>
      <c r="F7" s="45">
        <f t="shared" si="1"/>
        <v>-0.44666422640491649</v>
      </c>
      <c r="G7" s="46">
        <f>SUM(Jan!G7, Feb!G7, Mar!G7)</f>
        <v>339598.43000000005</v>
      </c>
      <c r="H7" s="46">
        <f>SUM(Jan!H7, Feb!H7, Mar!H7)</f>
        <v>-81100.430000000008</v>
      </c>
      <c r="I7" s="45">
        <f t="shared" si="2"/>
        <v>-0.23881273538278724</v>
      </c>
    </row>
    <row r="8" spans="1:9" ht="15.6">
      <c r="A8" s="55" t="str">
        <v>Boutilier</v>
      </c>
      <c r="B8" s="35" t="str">
        <v>MA</v>
      </c>
      <c r="C8" s="36">
        <f>SUM(Jan!C8, Feb!C8, Mar!C8)</f>
        <v>725439</v>
      </c>
      <c r="D8" s="37">
        <f>SUM(Jan!D8, Feb!D8, Mar!D8)</f>
        <v>1083258.7</v>
      </c>
      <c r="E8" s="37">
        <f t="shared" si="0"/>
        <v>-357819.69999999995</v>
      </c>
      <c r="F8" s="38">
        <f t="shared" si="1"/>
        <v>-0.33031786405223423</v>
      </c>
      <c r="G8" s="39">
        <f>SUM(Jan!G8, Feb!G8, Mar!G8)</f>
        <v>847559.7</v>
      </c>
      <c r="H8" s="39">
        <f>SUM(Jan!H8, Feb!H8, Mar!H8)</f>
        <v>-122120.70000000001</v>
      </c>
      <c r="I8" s="40">
        <f t="shared" si="2"/>
        <v>-0.14408507152947458</v>
      </c>
    </row>
    <row r="9" spans="1:9" ht="15.6">
      <c r="A9" s="56" t="str">
        <v>Cherry Valley</v>
      </c>
      <c r="B9" s="42" t="str">
        <v>MA</v>
      </c>
      <c r="C9" s="43">
        <f>SUM(Jan!C9, Feb!C9, Mar!C9)</f>
        <v>247783</v>
      </c>
      <c r="D9" s="44">
        <f>SUM(Jan!D9, Feb!D9, Mar!D9)</f>
        <v>453570.30000000005</v>
      </c>
      <c r="E9" s="44">
        <f t="shared" si="0"/>
        <v>-205787.30000000005</v>
      </c>
      <c r="F9" s="45">
        <f t="shared" si="1"/>
        <v>-0.45370541236937256</v>
      </c>
      <c r="G9" s="46">
        <f>SUM(Jan!G9, Feb!G9, Mar!G9)</f>
        <v>328696</v>
      </c>
      <c r="H9" s="46">
        <f>SUM(Jan!H9, Feb!H9, Mar!H9)</f>
        <v>-80913</v>
      </c>
      <c r="I9" s="45">
        <f t="shared" si="2"/>
        <v>-0.24616362839827682</v>
      </c>
    </row>
    <row r="10" spans="1:9" ht="15.6">
      <c r="A10" s="55" t="str">
        <v>Cohasse</v>
      </c>
      <c r="B10" s="35" t="str">
        <v>MA</v>
      </c>
      <c r="C10" s="36">
        <f>SUM(Jan!C10, Feb!C10, Mar!C10)</f>
        <v>256962</v>
      </c>
      <c r="D10" s="37">
        <f>SUM(Jan!D10, Feb!D10, Mar!D10)</f>
        <v>429905.6</v>
      </c>
      <c r="E10" s="37">
        <f t="shared" si="0"/>
        <v>-172943.59999999998</v>
      </c>
      <c r="F10" s="38">
        <f t="shared" si="1"/>
        <v>-0.40228273369781642</v>
      </c>
      <c r="G10" s="39">
        <f>SUM(Jan!G10, Feb!G10, Mar!G10)</f>
        <v>419649.4</v>
      </c>
      <c r="H10" s="39">
        <f>SUM(Jan!H10, Feb!H10, Mar!H10)</f>
        <v>-162687.4</v>
      </c>
      <c r="I10" s="40">
        <f t="shared" si="2"/>
        <v>-0.38767456834204933</v>
      </c>
    </row>
    <row r="11" spans="1:9" ht="15.6">
      <c r="A11" s="56" t="str">
        <v>ISM Dighton Solar 2</v>
      </c>
      <c r="B11" s="42" t="str">
        <v>MA</v>
      </c>
      <c r="C11" s="43">
        <f>SUM(Jan!C11, Feb!C11, Mar!C11)</f>
        <v>773019</v>
      </c>
      <c r="D11" s="44">
        <f>SUM(Jan!D11, Feb!D11, Mar!D11)</f>
        <v>846304.4</v>
      </c>
      <c r="E11" s="44">
        <f t="shared" si="0"/>
        <v>-73285.400000000023</v>
      </c>
      <c r="F11" s="45">
        <f t="shared" si="1"/>
        <v>-8.6594610638914341E-2</v>
      </c>
      <c r="G11" s="46">
        <f>SUM(Jan!G11, Feb!G11, Mar!G11)</f>
        <v>723680</v>
      </c>
      <c r="H11" s="46">
        <f>SUM(Jan!H11, Feb!H11, Mar!H11)</f>
        <v>49339</v>
      </c>
      <c r="I11" s="45">
        <f t="shared" si="2"/>
        <v>6.8177923944284763E-2</v>
      </c>
    </row>
    <row r="12" spans="1:9" ht="15.6">
      <c r="A12" s="55" t="str">
        <v>Dudley River 1</v>
      </c>
      <c r="B12" s="35" t="str">
        <v>MA</v>
      </c>
      <c r="C12" s="36">
        <f>SUM(Jan!C12, Feb!C12, Mar!C12)</f>
        <v>278440</v>
      </c>
      <c r="D12" s="37">
        <f>SUM(Jan!D12, Feb!D12, Mar!D12)</f>
        <v>380481</v>
      </c>
      <c r="E12" s="37">
        <f t="shared" si="0"/>
        <v>-102041</v>
      </c>
      <c r="F12" s="38">
        <f t="shared" si="1"/>
        <v>-0.26818947595280712</v>
      </c>
      <c r="G12" s="39">
        <f>SUM(Jan!G12, Feb!G12, Mar!G12)</f>
        <v>348226.75</v>
      </c>
      <c r="H12" s="39">
        <f>SUM(Jan!H12, Feb!H12, Mar!H12)</f>
        <v>-69786.75</v>
      </c>
      <c r="I12" s="40">
        <f t="shared" si="2"/>
        <v>-0.20040605726010421</v>
      </c>
    </row>
    <row r="13" spans="1:9" ht="15.6">
      <c r="A13" s="56" t="str">
        <v>Dudley River 2</v>
      </c>
      <c r="B13" s="42" t="str">
        <v>MA</v>
      </c>
      <c r="C13" s="43">
        <f>SUM(Jan!C13, Feb!C13, Mar!C13)</f>
        <v>290147</v>
      </c>
      <c r="D13" s="44">
        <f>SUM(Jan!D13, Feb!D13, Mar!D13)</f>
        <v>386502.2</v>
      </c>
      <c r="E13" s="44">
        <f t="shared" si="0"/>
        <v>-96355.200000000012</v>
      </c>
      <c r="F13" s="45">
        <f t="shared" si="1"/>
        <v>-0.24930052144593229</v>
      </c>
      <c r="G13" s="46">
        <f>SUM(Jan!G13, Feb!G13, Mar!G13)</f>
        <v>333877.69</v>
      </c>
      <c r="H13" s="46">
        <f>SUM(Jan!H13, Feb!H13, Mar!H13)</f>
        <v>-43730.689999999988</v>
      </c>
      <c r="I13" s="45">
        <f t="shared" si="2"/>
        <v>-0.13097817347424437</v>
      </c>
    </row>
    <row r="14" spans="1:9" ht="15.6">
      <c r="A14" s="55" t="str">
        <v>Dudley River 3</v>
      </c>
      <c r="B14" s="35" t="str">
        <v>MA</v>
      </c>
      <c r="C14" s="36">
        <f>SUM(Jan!C14, Feb!C14, Mar!C14)</f>
        <v>313438</v>
      </c>
      <c r="D14" s="37">
        <f>SUM(Jan!D14, Feb!D14, Mar!D14)</f>
        <v>389853.30000000005</v>
      </c>
      <c r="E14" s="37">
        <f t="shared" si="0"/>
        <v>-76415.300000000047</v>
      </c>
      <c r="F14" s="38">
        <f t="shared" si="1"/>
        <v>-0.19601039673128337</v>
      </c>
      <c r="G14" s="39">
        <f>SUM(Jan!G14, Feb!G14, Mar!G14)</f>
        <v>339181.08999999997</v>
      </c>
      <c r="H14" s="39">
        <f>SUM(Jan!H14, Feb!H14, Mar!H14)</f>
        <v>-25743.089999999982</v>
      </c>
      <c r="I14" s="40">
        <f t="shared" si="2"/>
        <v>-7.5897774843520865E-2</v>
      </c>
    </row>
    <row r="15" spans="1:9" ht="15.6">
      <c r="A15" s="56" t="str">
        <v>Flint Pond</v>
      </c>
      <c r="B15" s="42" t="str">
        <v>MA</v>
      </c>
      <c r="C15" s="43">
        <f>SUM(Jan!C15, Feb!C15, Mar!C15)</f>
        <v>132190</v>
      </c>
      <c r="D15" s="44">
        <f>SUM(Jan!D15, Feb!D15, Mar!D15)</f>
        <v>200200.69</v>
      </c>
      <c r="E15" s="44">
        <f t="shared" si="0"/>
        <v>-68010.69</v>
      </c>
      <c r="F15" s="45">
        <f t="shared" si="1"/>
        <v>-0.33971256542622308</v>
      </c>
      <c r="G15" s="46">
        <f>SUM(Jan!G15, Feb!G15, Mar!G15)</f>
        <v>148836.41999999998</v>
      </c>
      <c r="H15" s="46">
        <f>SUM(Jan!H15, Feb!H15, Mar!H15)</f>
        <v>-16646.420000000006</v>
      </c>
      <c r="I15" s="45">
        <f t="shared" si="2"/>
        <v>-0.11184372749626743</v>
      </c>
    </row>
    <row r="16" spans="1:9" ht="15.6">
      <c r="A16" s="55" t="str">
        <v>Incom</v>
      </c>
      <c r="B16" s="35" t="str">
        <v>MA</v>
      </c>
      <c r="C16" s="36">
        <f>SUM(Jan!C16, Feb!C16, Mar!C16)</f>
        <v>580235</v>
      </c>
      <c r="D16" s="37">
        <f>SUM(Jan!D16, Feb!D16, Mar!D16)</f>
        <v>859821.29999999993</v>
      </c>
      <c r="E16" s="37">
        <f t="shared" ref="E16:E18" si="3">IF(AND(ISNUMBER(C16),ISNUMBER(D16)), C16-D16, "")</f>
        <v>-279586.29999999993</v>
      </c>
      <c r="F16" s="38">
        <f t="shared" ref="F16:F18" si="4">IFERROR(E16/D16, "")</f>
        <v>-0.32516791570527498</v>
      </c>
      <c r="G16" s="39">
        <f>SUM(Jan!G16, Feb!G16, Mar!G16)</f>
        <v>822911.8</v>
      </c>
      <c r="H16" s="39">
        <f>SUM(Jan!H16, Feb!H16, Mar!H16)</f>
        <v>-242676.80000000002</v>
      </c>
      <c r="I16" s="40">
        <f t="shared" ref="I16:I18" si="5">IFERROR(H16/G16, "")</f>
        <v>-0.29490013389041209</v>
      </c>
    </row>
    <row r="17" spans="1:9" ht="15.6">
      <c r="A17" s="56" t="str">
        <v>JH</v>
      </c>
      <c r="B17" s="42" t="str">
        <v>MA</v>
      </c>
      <c r="C17" s="43">
        <f>SUM(Jan!C17, Feb!C17, Mar!C17)</f>
        <v>240983</v>
      </c>
      <c r="D17" s="44">
        <f>SUM(Jan!D17, Feb!D17, Mar!D17)</f>
        <v>419234.4</v>
      </c>
      <c r="E17" s="44">
        <f t="shared" si="3"/>
        <v>-178251.40000000002</v>
      </c>
      <c r="F17" s="45">
        <f t="shared" si="4"/>
        <v>-0.42518314336800611</v>
      </c>
      <c r="G17" s="46">
        <f>SUM(Jan!G17, Feb!G17, Mar!G17)</f>
        <v>399271.1</v>
      </c>
      <c r="H17" s="46">
        <f>SUM(Jan!H17, Feb!H17, Mar!H17)</f>
        <v>-158288.1</v>
      </c>
      <c r="I17" s="45">
        <f t="shared" si="5"/>
        <v>-0.39644266765112729</v>
      </c>
    </row>
    <row r="18" spans="1:9" ht="12.75" customHeight="1">
      <c r="A18" s="55" t="str">
        <v>Ledeaux</v>
      </c>
      <c r="B18" s="35" t="str">
        <v>MA</v>
      </c>
      <c r="C18" s="36">
        <f>SUM(Jan!C18, Feb!C18, Mar!C18)</f>
        <v>208236</v>
      </c>
      <c r="D18" s="37">
        <f>SUM(Jan!D18, Feb!D18, Mar!D18)</f>
        <v>318933.48</v>
      </c>
      <c r="E18" s="37">
        <f t="shared" si="3"/>
        <v>-110697.47999999998</v>
      </c>
      <c r="F18" s="38">
        <f t="shared" si="4"/>
        <v>-0.34708642065423795</v>
      </c>
      <c r="G18" s="39">
        <f>SUM(Jan!G18, Feb!G18, Mar!G18)</f>
        <v>378806.93</v>
      </c>
      <c r="H18" s="39">
        <f>SUM(Jan!H18, Feb!H18, Mar!H18)</f>
        <v>-170570.93</v>
      </c>
      <c r="I18" s="45">
        <f t="shared" si="5"/>
        <v>-0.4502846080455814</v>
      </c>
    </row>
    <row r="19" spans="1:9" ht="15.6">
      <c r="A19" s="56" t="str">
        <v>Palombo A</v>
      </c>
      <c r="B19" s="42" t="str">
        <v>MA</v>
      </c>
      <c r="C19" s="43">
        <f>SUM(Jan!C19, Feb!C19, Mar!C19)</f>
        <v>642572.99667774094</v>
      </c>
      <c r="D19" s="44">
        <f>SUM(Jan!D19, Feb!D19, Mar!D19)</f>
        <v>908872.2</v>
      </c>
      <c r="E19" s="44">
        <f t="shared" ref="E19:E24" si="6">IF(AND(ISNUMBER(C19),ISNUMBER(D19)), C19-D19, "")</f>
        <v>-266299.20332225901</v>
      </c>
      <c r="F19" s="45">
        <f t="shared" ref="F19:F24" si="7">IFERROR(E19/D19, "")</f>
        <v>-0.29299961350150111</v>
      </c>
      <c r="G19" s="46">
        <f>SUM(Jan!G19, Feb!G19, Mar!G19)</f>
        <v>905621</v>
      </c>
      <c r="H19" s="46">
        <f>SUM(Jan!H19, Feb!H19, Mar!H19)</f>
        <v>-263048.003322259</v>
      </c>
      <c r="I19" s="40">
        <f t="shared" ref="I19:I24" si="8">IFERROR(H19/G19, "")</f>
        <v>-0.29046146602415246</v>
      </c>
    </row>
    <row r="20" spans="1:9" ht="15.6">
      <c r="A20" s="55" t="str">
        <v>Palombo B</v>
      </c>
      <c r="B20" s="35" t="str">
        <v>MA</v>
      </c>
      <c r="C20" s="36">
        <f>SUM(Jan!C20, Feb!C20, Mar!C20)</f>
        <v>297674</v>
      </c>
      <c r="D20" s="37">
        <f>SUM(Jan!D20, Feb!D20, Mar!D20)</f>
        <v>430698.10000000003</v>
      </c>
      <c r="E20" s="37">
        <f t="shared" si="6"/>
        <v>-133024.10000000003</v>
      </c>
      <c r="F20" s="38">
        <f t="shared" si="7"/>
        <v>-0.30885694643185102</v>
      </c>
      <c r="G20" s="39">
        <f>SUM(Jan!G20, Feb!G20, Mar!G20)</f>
        <v>320372.21999999997</v>
      </c>
      <c r="H20" s="39">
        <f>SUM(Jan!H20, Feb!H20, Mar!H20)</f>
        <v>-22698.22</v>
      </c>
      <c r="I20" s="45">
        <f t="shared" si="8"/>
        <v>-7.0849526216723788E-2</v>
      </c>
    </row>
    <row r="21" spans="1:9" ht="15.6">
      <c r="A21" s="56" t="str">
        <v>St Josephs Church</v>
      </c>
      <c r="B21" s="42" t="str">
        <v>MA</v>
      </c>
      <c r="C21" s="43">
        <f>SUM(Jan!C21, Feb!C21, Mar!C21)</f>
        <v>259768</v>
      </c>
      <c r="D21" s="44">
        <f>SUM(Jan!D21, Feb!D21, Mar!D21)</f>
        <v>454634.7</v>
      </c>
      <c r="E21" s="44">
        <f t="shared" si="6"/>
        <v>-194866.7</v>
      </c>
      <c r="F21" s="45">
        <f t="shared" si="7"/>
        <v>-0.42862258424180999</v>
      </c>
      <c r="G21" s="46">
        <f>SUM(Jan!G21, Feb!G21, Mar!G21)</f>
        <v>360543.32</v>
      </c>
      <c r="H21" s="46">
        <f>SUM(Jan!H21, Feb!H21, Mar!H21)</f>
        <v>-100775.32</v>
      </c>
      <c r="I21" s="45">
        <f t="shared" si="8"/>
        <v>-0.27950960234126654</v>
      </c>
    </row>
    <row r="22" spans="1:9" ht="15.6">
      <c r="A22" s="55" t="str">
        <v>Sunset A</v>
      </c>
      <c r="B22" s="35" t="str">
        <v>MA</v>
      </c>
      <c r="C22" s="36">
        <f>SUM(Jan!C22, Feb!C22, Mar!C22)</f>
        <v>112615</v>
      </c>
      <c r="D22" s="37">
        <f>SUM(Jan!D22, Feb!D22, Mar!D22)</f>
        <v>221638.56</v>
      </c>
      <c r="E22" s="37">
        <f t="shared" si="6"/>
        <v>-109023.56</v>
      </c>
      <c r="F22" s="38">
        <f t="shared" si="7"/>
        <v>-0.49189798020705422</v>
      </c>
      <c r="G22" s="39">
        <f>SUM(Jan!G22, Feb!G22, Mar!G22)</f>
        <v>145359.43</v>
      </c>
      <c r="H22" s="39">
        <f>SUM(Jan!H22, Feb!H22, Mar!H22)</f>
        <v>-32744.429999999993</v>
      </c>
      <c r="I22" s="40">
        <f t="shared" si="8"/>
        <v>-0.22526526142817149</v>
      </c>
    </row>
    <row r="23" spans="1:9" ht="15.6">
      <c r="A23" s="56" t="str">
        <v>Sunset B</v>
      </c>
      <c r="B23" s="42" t="str">
        <v>MA</v>
      </c>
      <c r="C23" s="43">
        <f>SUM(Jan!C23, Feb!C23, Mar!C23)</f>
        <v>109183</v>
      </c>
      <c r="D23" s="44">
        <f>SUM(Jan!D23, Feb!D23, Mar!D23)</f>
        <v>174489.28000000003</v>
      </c>
      <c r="E23" s="44">
        <f t="shared" si="6"/>
        <v>-65306.280000000028</v>
      </c>
      <c r="F23" s="45">
        <f t="shared" si="7"/>
        <v>-0.37427101538845264</v>
      </c>
      <c r="G23" s="46">
        <f>SUM(Jan!G23, Feb!G23, Mar!G23)</f>
        <v>143619.53</v>
      </c>
      <c r="H23" s="46">
        <f>SUM(Jan!H23, Feb!H23, Mar!H23)</f>
        <v>-34436.53</v>
      </c>
      <c r="I23" s="45">
        <f t="shared" si="8"/>
        <v>-0.23977609451862153</v>
      </c>
    </row>
    <row r="24" spans="1:9" ht="15.6">
      <c r="A24" s="55" t="str">
        <v>Woodchuck</v>
      </c>
      <c r="B24" s="35" t="str">
        <v>MA</v>
      </c>
      <c r="C24" s="36">
        <f>SUM(Jan!C24, Feb!C24, Mar!C24)</f>
        <v>243751</v>
      </c>
      <c r="D24" s="37">
        <f>SUM(Jan!D24, Feb!D24, Mar!D24)</f>
        <v>381067.5</v>
      </c>
      <c r="E24" s="37">
        <f t="shared" si="6"/>
        <v>-137316.5</v>
      </c>
      <c r="F24" s="38">
        <f t="shared" si="7"/>
        <v>-0.36034692016506265</v>
      </c>
      <c r="G24" s="39">
        <f>SUM(Jan!G24, Feb!G24, Mar!G24)</f>
        <v>380051.32999999996</v>
      </c>
      <c r="H24" s="39">
        <f>SUM(Jan!H24, Feb!H24, Mar!H24)</f>
        <v>-136300.32999999999</v>
      </c>
      <c r="I24" s="45">
        <f t="shared" si="8"/>
        <v>-0.35863663468826701</v>
      </c>
    </row>
    <row r="25" spans="1:9" ht="14.45">
      <c r="A25" s="13"/>
      <c r="B25" s="8"/>
      <c r="C25" s="13"/>
      <c r="D25" s="13"/>
      <c r="E25" s="13"/>
      <c r="F25" s="13"/>
      <c r="G25" s="13"/>
      <c r="H25" s="13"/>
      <c r="I25" s="13"/>
    </row>
    <row r="26" spans="1:9" ht="13.9">
      <c r="A26" s="13"/>
      <c r="B26" s="13"/>
      <c r="C26" s="13"/>
      <c r="D26" s="13"/>
      <c r="E26" s="13"/>
      <c r="F26" s="13"/>
      <c r="G26" s="13"/>
      <c r="H26" s="13"/>
      <c r="I26" s="13"/>
    </row>
    <row r="27" spans="1:9" ht="13.9">
      <c r="A27" s="13"/>
      <c r="B27" s="13"/>
      <c r="C27" s="13"/>
      <c r="D27" s="13"/>
      <c r="E27" s="13"/>
      <c r="F27" s="13"/>
      <c r="G27" s="13"/>
      <c r="H27" s="13"/>
      <c r="I27" s="13"/>
    </row>
    <row r="28" spans="1:9" ht="13.9">
      <c r="A28" s="13"/>
      <c r="B28" s="13"/>
      <c r="C28" s="13"/>
      <c r="D28" s="13"/>
      <c r="E28" s="13"/>
      <c r="F28" s="13"/>
      <c r="G28" s="13"/>
      <c r="H28" s="13"/>
      <c r="I28" s="13"/>
    </row>
    <row r="29" spans="1:9" ht="13.9">
      <c r="A29" s="13"/>
      <c r="B29" s="13"/>
      <c r="C29" s="13"/>
      <c r="D29" s="13"/>
      <c r="E29" s="13"/>
      <c r="F29" s="13"/>
      <c r="G29" s="13"/>
      <c r="H29" s="13"/>
      <c r="I29" s="13"/>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sortState xmlns:xlrd2="http://schemas.microsoft.com/office/spreadsheetml/2017/richdata2" ref="A3:I3">
    <sortCondition ref="A3"/>
  </sortState>
  <mergeCells count="4">
    <mergeCell ref="G1:I1"/>
    <mergeCell ref="A1:C1"/>
    <mergeCell ref="D1:F1"/>
    <mergeCell ref="A2:B2"/>
  </mergeCells>
  <conditionalFormatting sqref="F2 I2 F4:F99 I4:I99">
    <cfRule type="cellIs" dxfId="36" priority="1" stopIfTrue="1" operator="lessThanOrEqual">
      <formula>-0.1</formula>
    </cfRule>
    <cfRule type="expression" dxfId="35"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1"/>
  <sheetViews>
    <sheetView workbookViewId="0">
      <pane xSplit="2" ySplit="3" topLeftCell="C4" activePane="bottomRight" state="frozen"/>
      <selection pane="bottomRight" activeCell="L11" sqref="L11"/>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6" t="str" cm="1">
        <f t="array" ref="A1">portfolio</f>
        <v>38 DN</v>
      </c>
      <c r="B1" s="96"/>
      <c r="C1" s="96"/>
      <c r="D1" s="97" t="s">
        <v>12</v>
      </c>
      <c r="E1" s="97"/>
      <c r="F1" s="97"/>
      <c r="G1" s="95" t="s">
        <v>13</v>
      </c>
      <c r="H1" s="95"/>
      <c r="I1" s="95"/>
    </row>
    <row r="2" spans="1:9" ht="19.5" customHeight="1">
      <c r="A2" s="98" t="s">
        <v>2</v>
      </c>
      <c r="B2" s="98"/>
      <c r="C2" s="5">
        <f>SUM(C4:C99)</f>
        <v>4138952</v>
      </c>
      <c r="D2" s="5">
        <f>SUM(D4:D99)</f>
        <v>4263880.9099999992</v>
      </c>
      <c r="E2" s="5">
        <f>C2-D2</f>
        <v>-124928.90999999922</v>
      </c>
      <c r="F2" s="6">
        <f>IFERROR(E2/D2, 0)</f>
        <v>-2.9299343165754419E-2</v>
      </c>
      <c r="G2" s="5">
        <f>SUM(G4:G99)</f>
        <v>4272144.5299999993</v>
      </c>
      <c r="H2" s="7">
        <f>C2-G2</f>
        <v>-133192.52999999933</v>
      </c>
      <c r="I2" s="6">
        <f>IFERROR(H2/G2, 0)</f>
        <v>-3.1176971908298091E-2</v>
      </c>
    </row>
    <row r="3" spans="1:9" ht="14.25" customHeight="1">
      <c r="A3" s="17" t="s">
        <v>3</v>
      </c>
      <c r="B3" s="17" t="s">
        <v>4</v>
      </c>
      <c r="C3" s="27" t="s">
        <v>5</v>
      </c>
      <c r="D3" s="28" t="s">
        <v>6</v>
      </c>
      <c r="E3" s="28" t="s">
        <v>7</v>
      </c>
      <c r="F3" s="29" t="s">
        <v>8</v>
      </c>
      <c r="G3" s="30" t="s">
        <v>9</v>
      </c>
      <c r="H3" s="31" t="s">
        <v>7</v>
      </c>
      <c r="I3" s="32" t="s">
        <v>8</v>
      </c>
    </row>
    <row r="4" spans="1:9" ht="15.6">
      <c r="A4" s="55" t="str" cm="1">
        <f t="array" ref="A4:A24">Sites[Site]</f>
        <v>6th St.</v>
      </c>
      <c r="B4" s="35" t="str" cm="1">
        <f t="array" ref="B4:B24">Sites[State]</f>
        <v>CA</v>
      </c>
      <c r="C4" s="36">
        <f>SUM(Apr!C4, May!C4, Jun!C4)</f>
        <v>199467.5</v>
      </c>
      <c r="D4" s="37">
        <f>SUM(Apr!D4, May!D4, Jun!D4)</f>
        <v>180569.8</v>
      </c>
      <c r="E4" s="37">
        <f>IF(AND(ISNUMBER(C4),ISNUMBER(D4)), C4-D4, "")</f>
        <v>18897.700000000012</v>
      </c>
      <c r="F4" s="38">
        <f>IFERROR(E4/D4, "")</f>
        <v>0.10465592806770574</v>
      </c>
      <c r="G4" s="39">
        <f>SUM(Apr!G4, May!G4, Jun!G4)</f>
        <v>219710.8</v>
      </c>
      <c r="H4" s="39">
        <f>SUM(Apr!H4, May!H4, Jun!H4)</f>
        <v>-20243.299999999988</v>
      </c>
      <c r="I4" s="40">
        <f>IFERROR(H4/G4, "")</f>
        <v>-9.213611711395156E-2</v>
      </c>
    </row>
    <row r="5" spans="1:9" ht="15.6">
      <c r="A5" s="56" t="str">
        <v>Barton Acres</v>
      </c>
      <c r="B5" s="42" t="str">
        <v>MA</v>
      </c>
      <c r="C5" s="43">
        <f>SUM(Apr!C5, May!C5, Jun!C5)</f>
        <v>161773</v>
      </c>
      <c r="D5" s="44">
        <f>SUM(Apr!D5, May!D5, Jun!D5)</f>
        <v>171040.2</v>
      </c>
      <c r="E5" s="44">
        <f t="shared" ref="E5:E15" si="0">IF(AND(ISNUMBER(C5),ISNUMBER(D5)), C5-D5, "")</f>
        <v>-9267.2000000000116</v>
      </c>
      <c r="F5" s="45">
        <f>IFERROR(E5/D5, "")</f>
        <v>-5.4181414661582543E-2</v>
      </c>
      <c r="G5" s="46">
        <f>SUM(Apr!G5, May!G5, Jun!G5)</f>
        <v>162787.20000000001</v>
      </c>
      <c r="H5" s="46">
        <f>SUM(Apr!H5, May!H5, Jun!H5)</f>
        <v>-1014.2000000000116</v>
      </c>
      <c r="I5" s="45">
        <f>IFERROR(H5/G5, "")</f>
        <v>-6.2302195750035113E-3</v>
      </c>
    </row>
    <row r="6" spans="1:9" ht="15.6">
      <c r="A6" s="55" t="str">
        <v>Bowden</v>
      </c>
      <c r="B6" s="35" t="str">
        <v>MA</v>
      </c>
      <c r="C6" s="36">
        <f>SUM(Apr!C6, May!C6, Jun!C6)</f>
        <v>331971</v>
      </c>
      <c r="D6" s="37">
        <f>SUM(Apr!D6, May!D6, Jun!D6)</f>
        <v>328461.59999999998</v>
      </c>
      <c r="E6" s="37">
        <f t="shared" si="0"/>
        <v>3509.4000000000233</v>
      </c>
      <c r="F6" s="38">
        <f t="shared" ref="F6:F15" si="1">IFERROR(E6/D6, "")</f>
        <v>1.0684353970144526E-2</v>
      </c>
      <c r="G6" s="39">
        <f>SUM(Apr!G6, May!G6, Jun!G6)</f>
        <v>330949.5</v>
      </c>
      <c r="H6" s="39">
        <f>SUM(Apr!H6, May!H6, Jun!H6)</f>
        <v>1021.5</v>
      </c>
      <c r="I6" s="40">
        <f t="shared" ref="I6:I15" si="2">IFERROR(H6/G6, "")</f>
        <v>3.0865736313244164E-3</v>
      </c>
    </row>
    <row r="7" spans="1:9" ht="15.6">
      <c r="A7" s="56" t="str">
        <v>Blair Wire Village</v>
      </c>
      <c r="B7" s="42" t="str">
        <v>MA</v>
      </c>
      <c r="C7" s="43">
        <f>SUM(Apr!C7, May!C7, Jun!C7)</f>
        <v>163662</v>
      </c>
      <c r="D7" s="44">
        <f>SUM(Apr!D7, May!D7, Jun!D7)</f>
        <v>177911.3</v>
      </c>
      <c r="E7" s="44">
        <f t="shared" si="0"/>
        <v>-14249.299999999988</v>
      </c>
      <c r="F7" s="45">
        <f t="shared" si="1"/>
        <v>-8.0092158283369241E-2</v>
      </c>
      <c r="G7" s="46">
        <f>SUM(Apr!G7, May!G7, Jun!G7)</f>
        <v>166260</v>
      </c>
      <c r="H7" s="46">
        <f>SUM(Apr!H7, May!H7, Jun!H7)</f>
        <v>-2598</v>
      </c>
      <c r="I7" s="45">
        <f t="shared" si="2"/>
        <v>-1.5626127751714184E-2</v>
      </c>
    </row>
    <row r="8" spans="1:9" ht="15.6">
      <c r="A8" s="55" t="str">
        <v>Boutilier</v>
      </c>
      <c r="B8" s="35" t="str">
        <v>MA</v>
      </c>
      <c r="C8" s="36">
        <f>SUM(Apr!C8, May!C8, Jun!C8)</f>
        <v>463631</v>
      </c>
      <c r="D8" s="37">
        <f>SUM(Apr!D8, May!D8, Jun!D8)</f>
        <v>465714.9</v>
      </c>
      <c r="E8" s="37">
        <f t="shared" si="0"/>
        <v>-2083.9000000000233</v>
      </c>
      <c r="F8" s="38">
        <f t="shared" si="1"/>
        <v>-4.474625999726492E-3</v>
      </c>
      <c r="G8" s="39">
        <f>SUM(Apr!G8, May!G8, Jun!G8)</f>
        <v>446865.5</v>
      </c>
      <c r="H8" s="39">
        <f>SUM(Apr!H8, May!H8, Jun!H8)</f>
        <v>16765.5</v>
      </c>
      <c r="I8" s="40">
        <f t="shared" si="2"/>
        <v>3.7518000382665478E-2</v>
      </c>
    </row>
    <row r="9" spans="1:9" ht="15.6">
      <c r="A9" s="56" t="str">
        <v>Cherry Valley</v>
      </c>
      <c r="B9" s="42" t="str">
        <v>MA</v>
      </c>
      <c r="C9" s="43">
        <f>SUM(Apr!C9, May!C9, Jun!C9)</f>
        <v>157223</v>
      </c>
      <c r="D9" s="44">
        <f>SUM(Apr!D9, May!D9, Jun!D9)</f>
        <v>172407.5</v>
      </c>
      <c r="E9" s="44">
        <f t="shared" si="0"/>
        <v>-15184.5</v>
      </c>
      <c r="F9" s="45">
        <f t="shared" si="1"/>
        <v>-8.807331467598567E-2</v>
      </c>
      <c r="G9" s="46">
        <f>SUM(Apr!G9, May!G9, Jun!G9)</f>
        <v>163486</v>
      </c>
      <c r="H9" s="46">
        <f>SUM(Apr!H9, May!H9, Jun!H9)</f>
        <v>-6263</v>
      </c>
      <c r="I9" s="45">
        <f t="shared" si="2"/>
        <v>-3.8309090686664299E-2</v>
      </c>
    </row>
    <row r="10" spans="1:9" ht="15.6">
      <c r="A10" s="55" t="str">
        <v>Cohasse</v>
      </c>
      <c r="B10" s="35" t="str">
        <v>MA</v>
      </c>
      <c r="C10" s="36">
        <f>SUM(Apr!C10, May!C10, Jun!C10)</f>
        <v>151432</v>
      </c>
      <c r="D10" s="37">
        <f>SUM(Apr!D10, May!D10, Jun!D10)</f>
        <v>158349.1</v>
      </c>
      <c r="E10" s="37">
        <f t="shared" si="0"/>
        <v>-6917.1000000000058</v>
      </c>
      <c r="F10" s="38">
        <f t="shared" si="1"/>
        <v>-4.3682597501343588E-2</v>
      </c>
      <c r="G10" s="39">
        <f>SUM(Apr!G10, May!G10, Jun!G10)</f>
        <v>172569</v>
      </c>
      <c r="H10" s="39">
        <f>SUM(Apr!H10, May!H10, Jun!H10)</f>
        <v>-21137</v>
      </c>
      <c r="I10" s="40">
        <f t="shared" si="2"/>
        <v>-0.12248433959749433</v>
      </c>
    </row>
    <row r="11" spans="1:9" ht="15.6">
      <c r="A11" s="56" t="str">
        <v>ISM Dighton Solar 2</v>
      </c>
      <c r="B11" s="42" t="str">
        <v>MA</v>
      </c>
      <c r="C11" s="43">
        <f>SUM(Apr!C11, May!C11, Jun!C11)</f>
        <v>336156</v>
      </c>
      <c r="D11" s="44">
        <f>SUM(Apr!D11, May!D11, Jun!D11)</f>
        <v>327997.90000000002</v>
      </c>
      <c r="E11" s="44">
        <f t="shared" si="0"/>
        <v>8158.0999999999767</v>
      </c>
      <c r="F11" s="45">
        <f t="shared" si="1"/>
        <v>2.4872415341683517E-2</v>
      </c>
      <c r="G11" s="46">
        <f>SUM(Apr!G11, May!G11, Jun!G11)</f>
        <v>337271.4</v>
      </c>
      <c r="H11" s="46">
        <f>SUM(Apr!H11, May!H11, Jun!H11)</f>
        <v>-1115.4000000000233</v>
      </c>
      <c r="I11" s="45">
        <f t="shared" si="2"/>
        <v>-3.3071289175424399E-3</v>
      </c>
    </row>
    <row r="12" spans="1:9" ht="15.6">
      <c r="A12" s="55" t="str">
        <v>Dudley River 1</v>
      </c>
      <c r="B12" s="35" t="str">
        <v>MA</v>
      </c>
      <c r="C12" s="36">
        <f>SUM(Apr!C12, May!C12, Jun!C12)</f>
        <v>163432</v>
      </c>
      <c r="D12" s="37">
        <f>SUM(Apr!D12, May!D12, Jun!D12)</f>
        <v>165933.1</v>
      </c>
      <c r="E12" s="37">
        <f t="shared" si="0"/>
        <v>-2501.1000000000058</v>
      </c>
      <c r="F12" s="38">
        <f t="shared" si="1"/>
        <v>-1.5072942047126257E-2</v>
      </c>
      <c r="G12" s="39">
        <f>SUM(Apr!G12, May!G12, Jun!G12)</f>
        <v>166674.29999999999</v>
      </c>
      <c r="H12" s="39">
        <f>SUM(Apr!H12, May!H12, Jun!H12)</f>
        <v>-3242.2999999999884</v>
      </c>
      <c r="I12" s="40">
        <f t="shared" si="2"/>
        <v>-1.9452909056765132E-2</v>
      </c>
    </row>
    <row r="13" spans="1:9" ht="15.6">
      <c r="A13" s="56" t="str">
        <v>Dudley River 2</v>
      </c>
      <c r="B13" s="42" t="str">
        <v>MA</v>
      </c>
      <c r="C13" s="43">
        <f>SUM(Apr!C13, May!C13, Jun!C13)</f>
        <v>157704</v>
      </c>
      <c r="D13" s="44">
        <f>SUM(Apr!D13, May!D13, Jun!D13)</f>
        <v>164615.29999999999</v>
      </c>
      <c r="E13" s="44">
        <f t="shared" si="0"/>
        <v>-6911.2999999999884</v>
      </c>
      <c r="F13" s="45">
        <f t="shared" si="1"/>
        <v>-4.1984554291125971E-2</v>
      </c>
      <c r="G13" s="46">
        <f>SUM(Apr!G13, May!G13, Jun!G13)</f>
        <v>160600.9</v>
      </c>
      <c r="H13" s="46">
        <f>SUM(Apr!H13, May!H13, Jun!H13)</f>
        <v>-2896.8999999999942</v>
      </c>
      <c r="I13" s="45">
        <f t="shared" si="2"/>
        <v>-1.8037881481361526E-2</v>
      </c>
    </row>
    <row r="14" spans="1:9" ht="15.6">
      <c r="A14" s="55" t="str">
        <v>Dudley River 3</v>
      </c>
      <c r="B14" s="35" t="str">
        <v>MA</v>
      </c>
      <c r="C14" s="36">
        <f>SUM(Apr!C14, May!C14, Jun!C14)</f>
        <v>162557</v>
      </c>
      <c r="D14" s="37">
        <f>SUM(Apr!D14, May!D14, Jun!D14)</f>
        <v>164852.1</v>
      </c>
      <c r="E14" s="37">
        <f t="shared" si="0"/>
        <v>-2295.1000000000058</v>
      </c>
      <c r="F14" s="38">
        <f t="shared" si="1"/>
        <v>-1.3922176302273406E-2</v>
      </c>
      <c r="G14" s="39">
        <f>SUM(Apr!G14, May!G14, Jun!G14)</f>
        <v>162431.4</v>
      </c>
      <c r="H14" s="39">
        <f>SUM(Apr!H14, May!H14, Jun!H14)</f>
        <v>125.60000000000582</v>
      </c>
      <c r="I14" s="40">
        <f t="shared" si="2"/>
        <v>7.7324950717660393E-4</v>
      </c>
    </row>
    <row r="15" spans="1:9" ht="15.6">
      <c r="A15" s="56" t="str">
        <v>Flint Pond</v>
      </c>
      <c r="B15" s="42" t="str">
        <v>MA</v>
      </c>
      <c r="C15" s="43">
        <f>SUM(Apr!C15, May!C15, Jun!C15)</f>
        <v>79734</v>
      </c>
      <c r="D15" s="44">
        <f>SUM(Apr!D15, May!D15, Jun!D15)</f>
        <v>73305.09</v>
      </c>
      <c r="E15" s="44">
        <f t="shared" si="0"/>
        <v>6428.9100000000035</v>
      </c>
      <c r="F15" s="45">
        <f t="shared" si="1"/>
        <v>8.7700731286190409E-2</v>
      </c>
      <c r="G15" s="46">
        <f>SUM(Apr!G15, May!G15, Jun!G15)</f>
        <v>77715.95</v>
      </c>
      <c r="H15" s="46">
        <f>SUM(Apr!H15, May!H15, Jun!H15)</f>
        <v>2018.0500000000029</v>
      </c>
      <c r="I15" s="45">
        <f t="shared" si="2"/>
        <v>2.5966999052318127E-2</v>
      </c>
    </row>
    <row r="16" spans="1:9" ht="15.6">
      <c r="A16" s="55" t="str">
        <v>Incom</v>
      </c>
      <c r="B16" s="35" t="str">
        <v>MA</v>
      </c>
      <c r="C16" s="36">
        <f>SUM(Apr!C16, May!C16, Jun!C16)</f>
        <v>337911</v>
      </c>
      <c r="D16" s="37">
        <f>SUM(Apr!D16, May!D16, Jun!D16)</f>
        <v>382456.3</v>
      </c>
      <c r="E16" s="37">
        <f t="shared" ref="E16:E18" si="3">IF(AND(ISNUMBER(C16),ISNUMBER(D16)), C16-D16, "")</f>
        <v>-44545.299999999988</v>
      </c>
      <c r="F16" s="38">
        <f t="shared" ref="F16:F18" si="4">IFERROR(E16/D16, "")</f>
        <v>-0.11647160734442076</v>
      </c>
      <c r="G16" s="39">
        <f>SUM(Apr!G16, May!G16, Jun!G16)</f>
        <v>346956.7</v>
      </c>
      <c r="H16" s="39">
        <f>SUM(Apr!H16, May!H16, Jun!H16)</f>
        <v>-9045.7000000000116</v>
      </c>
      <c r="I16" s="40">
        <f t="shared" ref="I16:I18" si="5">IFERROR(H16/G16, "")</f>
        <v>-2.6071553020881311E-2</v>
      </c>
    </row>
    <row r="17" spans="1:9" ht="15.6">
      <c r="A17" s="56" t="str">
        <v>JH</v>
      </c>
      <c r="B17" s="42" t="str">
        <v>MA</v>
      </c>
      <c r="C17" s="43">
        <f>SUM(Apr!C17, May!C17, Jun!C17)</f>
        <v>156348</v>
      </c>
      <c r="D17" s="44">
        <f>SUM(Apr!D17, May!D17, Jun!D17)</f>
        <v>166290.29999999999</v>
      </c>
      <c r="E17" s="44">
        <f t="shared" si="3"/>
        <v>-9942.2999999999884</v>
      </c>
      <c r="F17" s="45">
        <f t="shared" si="4"/>
        <v>-5.9788815102263866E-2</v>
      </c>
      <c r="G17" s="46">
        <f>SUM(Apr!G17, May!G17, Jun!G17)</f>
        <v>170416.9</v>
      </c>
      <c r="H17" s="46">
        <f>SUM(Apr!H17, May!H17, Jun!H17)</f>
        <v>-14068.899999999994</v>
      </c>
      <c r="I17" s="45">
        <f t="shared" si="5"/>
        <v>-8.2555779385729902E-2</v>
      </c>
    </row>
    <row r="18" spans="1:9" ht="12.75" customHeight="1">
      <c r="A18" s="55" t="str">
        <v>Ledeaux</v>
      </c>
      <c r="B18" s="35" t="str">
        <v>MA</v>
      </c>
      <c r="C18" s="36">
        <f>SUM(Apr!C18, May!C18, Jun!C18)</f>
        <v>147299</v>
      </c>
      <c r="D18" s="37">
        <f>SUM(Apr!D18, May!D18, Jun!D18)</f>
        <v>154599.79999999999</v>
      </c>
      <c r="E18" s="37">
        <f t="shared" si="3"/>
        <v>-7300.7999999999884</v>
      </c>
      <c r="F18" s="38">
        <f t="shared" si="4"/>
        <v>-4.7223864455193269E-2</v>
      </c>
      <c r="G18" s="39">
        <f>SUM(Apr!G18, May!G18, Jun!G18)</f>
        <v>165182.39999999999</v>
      </c>
      <c r="H18" s="39">
        <f>SUM(Apr!H18, May!H18, Jun!H18)</f>
        <v>-17883.399999999994</v>
      </c>
      <c r="I18" s="40">
        <f t="shared" si="5"/>
        <v>-0.10826456087331335</v>
      </c>
    </row>
    <row r="19" spans="1:9" ht="15.6">
      <c r="A19" s="56" t="str">
        <v>Palombo A</v>
      </c>
      <c r="B19" s="42" t="str">
        <v>MA</v>
      </c>
      <c r="C19" s="43">
        <f>SUM(Apr!C19, May!C19, Jun!C19)</f>
        <v>331617</v>
      </c>
      <c r="D19" s="44">
        <f>SUM(Apr!D19, May!D19, Jun!D19)</f>
        <v>350277</v>
      </c>
      <c r="E19" s="44">
        <f t="shared" ref="E19:E24" si="6">IF(AND(ISNUMBER(C19),ISNUMBER(D19)), C19-D19, "")</f>
        <v>-18660</v>
      </c>
      <c r="F19" s="45">
        <f t="shared" ref="F19:F24" si="7">IFERROR(E19/D19, "")</f>
        <v>-5.3272124632790623E-2</v>
      </c>
      <c r="G19" s="46">
        <f>SUM(Apr!G19, May!G19, Jun!G19)</f>
        <v>361541</v>
      </c>
      <c r="H19" s="46">
        <f>SUM(Apr!H19, May!H19, Jun!H19)</f>
        <v>-29924</v>
      </c>
      <c r="I19" s="45">
        <f t="shared" ref="I19:I24" si="8">IFERROR(H19/G19, "")</f>
        <v>-8.2767929501771587E-2</v>
      </c>
    </row>
    <row r="20" spans="1:9" ht="15.6">
      <c r="A20" s="55" t="str">
        <v>Palombo B</v>
      </c>
      <c r="B20" s="35" t="str">
        <v>MA</v>
      </c>
      <c r="C20" s="36">
        <f>SUM(Apr!C20, May!C20, Jun!C20)</f>
        <v>164726</v>
      </c>
      <c r="D20" s="37">
        <f>SUM(Apr!D20, May!D20, Jun!D20)</f>
        <v>150219.5</v>
      </c>
      <c r="E20" s="37">
        <f t="shared" si="6"/>
        <v>14506.5</v>
      </c>
      <c r="F20" s="38">
        <f t="shared" si="7"/>
        <v>9.6568687820156499E-2</v>
      </c>
      <c r="G20" s="39">
        <f>SUM(Apr!G20, May!G20, Jun!G20)</f>
        <v>169314.7</v>
      </c>
      <c r="H20" s="39">
        <f>SUM(Apr!H20, May!H20, Jun!H20)</f>
        <v>-4588.7000000000116</v>
      </c>
      <c r="I20" s="40">
        <f t="shared" si="8"/>
        <v>-2.7101604290708434E-2</v>
      </c>
    </row>
    <row r="21" spans="1:9" ht="15.6">
      <c r="A21" s="56" t="str">
        <v>St Josephs Church</v>
      </c>
      <c r="B21" s="42" t="str">
        <v>MA</v>
      </c>
      <c r="C21" s="43">
        <f>SUM(Apr!C21, May!C21, Jun!C21)</f>
        <v>157361</v>
      </c>
      <c r="D21" s="44">
        <f>SUM(Apr!D21, May!D21, Jun!D21)</f>
        <v>173444</v>
      </c>
      <c r="E21" s="44">
        <f t="shared" si="6"/>
        <v>-16083</v>
      </c>
      <c r="F21" s="45">
        <f t="shared" si="7"/>
        <v>-9.2727335624178411E-2</v>
      </c>
      <c r="G21" s="46">
        <f>SUM(Apr!G21, May!G21, Jun!G21)</f>
        <v>164666.29999999999</v>
      </c>
      <c r="H21" s="46">
        <f>SUM(Apr!H21, May!H21, Jun!H21)</f>
        <v>-7305.2999999999884</v>
      </c>
      <c r="I21" s="45">
        <f t="shared" si="8"/>
        <v>-4.4364268827319184E-2</v>
      </c>
    </row>
    <row r="22" spans="1:9" ht="15.6">
      <c r="A22" s="55" t="str">
        <v>Sunset A</v>
      </c>
      <c r="B22" s="35" t="str">
        <v>MA</v>
      </c>
      <c r="C22" s="36">
        <f>SUM(Apr!C22, May!C22, Jun!C22)</f>
        <v>79692.5</v>
      </c>
      <c r="D22" s="37">
        <f>SUM(Apr!D22, May!D22, Jun!D22)</f>
        <v>87744.1</v>
      </c>
      <c r="E22" s="37">
        <f t="shared" si="6"/>
        <v>-8051.6000000000058</v>
      </c>
      <c r="F22" s="38">
        <f t="shared" si="7"/>
        <v>-9.1762295128675384E-2</v>
      </c>
      <c r="G22" s="39">
        <f>SUM(Apr!G22, May!G22, Jun!G22)</f>
        <v>76642.34</v>
      </c>
      <c r="H22" s="39">
        <f>SUM(Apr!H22, May!H22, Jun!H22)</f>
        <v>3050.1600000000035</v>
      </c>
      <c r="I22" s="40">
        <f t="shared" si="8"/>
        <v>3.9797323515957418E-2</v>
      </c>
    </row>
    <row r="23" spans="1:9" ht="15.6">
      <c r="A23" s="56" t="str">
        <v>Sunset B</v>
      </c>
      <c r="B23" s="42" t="str">
        <v>MA</v>
      </c>
      <c r="C23" s="43">
        <f>SUM(Apr!C23, May!C23, Jun!C23)</f>
        <v>75645</v>
      </c>
      <c r="D23" s="44">
        <f>SUM(Apr!D23, May!D23, Jun!D23)</f>
        <v>80108.52</v>
      </c>
      <c r="E23" s="44">
        <f t="shared" si="6"/>
        <v>-4463.5200000000041</v>
      </c>
      <c r="F23" s="45">
        <f t="shared" si="7"/>
        <v>-5.5718417966029131E-2</v>
      </c>
      <c r="G23" s="46">
        <f>SUM(Apr!G23, May!G23, Jun!G23)</f>
        <v>75721.84</v>
      </c>
      <c r="H23" s="46">
        <f>SUM(Apr!H23, May!H23, Jun!H23)</f>
        <v>-76.839999999996508</v>
      </c>
      <c r="I23" s="45">
        <f t="shared" si="8"/>
        <v>-1.014766677618987E-3</v>
      </c>
    </row>
    <row r="24" spans="1:9" ht="15.6">
      <c r="A24" s="55" t="str">
        <v>Woodchuck</v>
      </c>
      <c r="B24" s="35" t="str">
        <v>MA</v>
      </c>
      <c r="C24" s="36">
        <f>SUM(Apr!C24, May!C24, Jun!C24)</f>
        <v>159610</v>
      </c>
      <c r="D24" s="37">
        <f>SUM(Apr!D24, May!D24, Jun!D24)</f>
        <v>167583.5</v>
      </c>
      <c r="E24" s="37">
        <f t="shared" si="6"/>
        <v>-7973.5</v>
      </c>
      <c r="F24" s="38">
        <f t="shared" si="7"/>
        <v>-4.7579266455229779E-2</v>
      </c>
      <c r="G24" s="39">
        <f>SUM(Apr!G24, May!G24, Jun!G24)</f>
        <v>174380.4</v>
      </c>
      <c r="H24" s="39">
        <f>SUM(Apr!H24, May!H24, Jun!H24)</f>
        <v>-14770.399999999994</v>
      </c>
      <c r="I24" s="40">
        <f t="shared" si="8"/>
        <v>-8.470217983213707E-2</v>
      </c>
    </row>
    <row r="25" spans="1:9" ht="13.9">
      <c r="A25" s="13"/>
      <c r="B25" s="13"/>
      <c r="C25" s="13"/>
      <c r="D25" s="13"/>
      <c r="E25" s="13"/>
      <c r="F25" s="13"/>
      <c r="G25" s="13"/>
      <c r="H25" s="13"/>
      <c r="I25" s="13"/>
    </row>
    <row r="26" spans="1:9" ht="13.9">
      <c r="A26" s="13"/>
      <c r="B26" s="13"/>
      <c r="C26" s="13"/>
      <c r="D26" s="13"/>
      <c r="E26" s="13"/>
      <c r="F26" s="13"/>
      <c r="G26" s="13"/>
      <c r="H26" s="13"/>
      <c r="I26" s="13"/>
    </row>
    <row r="27" spans="1:9" ht="13.9">
      <c r="A27" s="13"/>
      <c r="B27" s="13"/>
      <c r="C27" s="13"/>
      <c r="D27" s="13"/>
      <c r="E27" s="13"/>
      <c r="F27" s="13"/>
      <c r="G27" s="13"/>
      <c r="H27" s="13"/>
      <c r="I27" s="13"/>
    </row>
    <row r="28" spans="1:9" ht="13.9">
      <c r="A28" s="13"/>
      <c r="B28" s="13"/>
      <c r="C28" s="13"/>
      <c r="D28" s="13"/>
      <c r="E28" s="13"/>
      <c r="F28" s="13"/>
      <c r="G28" s="13"/>
      <c r="H28" s="13"/>
      <c r="I28" s="13"/>
    </row>
    <row r="29" spans="1:9" ht="13.9">
      <c r="A29" s="13"/>
      <c r="B29" s="13"/>
      <c r="C29" s="13"/>
      <c r="D29" s="13"/>
      <c r="E29" s="13"/>
      <c r="F29" s="13"/>
      <c r="G29" s="13"/>
      <c r="H29" s="13"/>
      <c r="I29" s="13"/>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sortState xmlns:xlrd2="http://schemas.microsoft.com/office/spreadsheetml/2017/richdata2" ref="A3:I4">
    <sortCondition ref="A3:A4"/>
  </sortState>
  <mergeCells count="4">
    <mergeCell ref="G1:I1"/>
    <mergeCell ref="A1:C1"/>
    <mergeCell ref="D1:F1"/>
    <mergeCell ref="A2:B2"/>
  </mergeCells>
  <conditionalFormatting sqref="F2 I2 F4:F99 I4:I99">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1"/>
  <sheetViews>
    <sheetView workbookViewId="0">
      <pane xSplit="2" ySplit="3" topLeftCell="C4" activePane="bottomRight" state="frozen"/>
      <selection pane="bottomRight" activeCell="C4" sqref="C4"/>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6" t="str" cm="1">
        <f t="array" ref="A1">portfolio</f>
        <v>38 DN</v>
      </c>
      <c r="B1" s="96"/>
      <c r="C1" s="96"/>
      <c r="D1" s="97" t="s">
        <v>14</v>
      </c>
      <c r="E1" s="97"/>
      <c r="F1" s="97"/>
      <c r="G1" s="95" t="s">
        <v>15</v>
      </c>
      <c r="H1" s="95"/>
      <c r="I1" s="95"/>
    </row>
    <row r="2" spans="1:9" ht="19.5" customHeight="1">
      <c r="A2" s="98" t="s">
        <v>2</v>
      </c>
      <c r="B2" s="98"/>
      <c r="C2" s="5">
        <f>SUM(C4:C99)</f>
        <v>0</v>
      </c>
      <c r="D2" s="5">
        <f>SUM(D4:D99)</f>
        <v>0</v>
      </c>
      <c r="E2" s="5">
        <f>C2-D2</f>
        <v>0</v>
      </c>
      <c r="F2" s="6">
        <f>IFERROR(E2/D2, 0)</f>
        <v>0</v>
      </c>
      <c r="G2" s="5">
        <f>SUM(G4:G99)</f>
        <v>0</v>
      </c>
      <c r="H2" s="7">
        <f>C2-G2</f>
        <v>0</v>
      </c>
      <c r="I2" s="6">
        <f>IFERROR(H2/G2, 0)</f>
        <v>0</v>
      </c>
    </row>
    <row r="3" spans="1:9" ht="14.25" customHeight="1">
      <c r="A3" s="17" t="s">
        <v>3</v>
      </c>
      <c r="B3" s="17" t="s">
        <v>4</v>
      </c>
      <c r="C3" s="27" t="s">
        <v>5</v>
      </c>
      <c r="D3" s="28" t="s">
        <v>6</v>
      </c>
      <c r="E3" s="28" t="s">
        <v>7</v>
      </c>
      <c r="F3" s="29" t="s">
        <v>8</v>
      </c>
      <c r="G3" s="30" t="s">
        <v>9</v>
      </c>
      <c r="H3" s="31" t="s">
        <v>7</v>
      </c>
      <c r="I3" s="32" t="s">
        <v>8</v>
      </c>
    </row>
    <row r="4" spans="1:9" ht="15.6">
      <c r="A4" s="55" t="str" cm="1">
        <f t="array" ref="A4:A24">Sites[Site]</f>
        <v>6th St.</v>
      </c>
      <c r="B4" s="35" t="str" cm="1">
        <f t="array" ref="B4:B24">Sites[State]</f>
        <v>CA</v>
      </c>
      <c r="C4" s="36">
        <f>SUM(Jul!C4, Aug!C4, Sep!C4)</f>
        <v>0</v>
      </c>
      <c r="D4" s="37">
        <f>SUM(Jul!D4, Aug!D4, Sep!D4)</f>
        <v>0</v>
      </c>
      <c r="E4" s="37">
        <f>IF(AND(ISNUMBER(C4),ISNUMBER(D4)), C4-D4, "")</f>
        <v>0</v>
      </c>
      <c r="F4" s="38" t="str">
        <f>IFERROR(E4/D4, "")</f>
        <v/>
      </c>
      <c r="G4" s="39">
        <f>SUM(Jul!G4,Aug!G4,Sep!G4)</f>
        <v>0</v>
      </c>
      <c r="H4" s="39">
        <f>SUM(Jul!H4, Aug!H4, Sep!H4)</f>
        <v>0</v>
      </c>
      <c r="I4" s="40" t="str">
        <f>IFERROR(H4/G4, "")</f>
        <v/>
      </c>
    </row>
    <row r="5" spans="1:9" ht="15.6">
      <c r="A5" s="56" t="str">
        <v>Barton Acres</v>
      </c>
      <c r="B5" s="42" t="str">
        <v>MA</v>
      </c>
      <c r="C5" s="43">
        <f>SUM(Jul!C5, Aug!C5, Sep!C5)</f>
        <v>0</v>
      </c>
      <c r="D5" s="44">
        <f>SUM(Jul!D5, Aug!D5, Sep!D5)</f>
        <v>0</v>
      </c>
      <c r="E5" s="44">
        <f t="shared" ref="E5:E15" si="0">IF(AND(ISNUMBER(C5),ISNUMBER(D5)), C5-D5, "")</f>
        <v>0</v>
      </c>
      <c r="F5" s="45" t="str">
        <f>IFERROR(E5/D5, "")</f>
        <v/>
      </c>
      <c r="G5" s="46">
        <f>SUM(Jul!G5,Aug!G5,Sep!G5)</f>
        <v>0</v>
      </c>
      <c r="H5" s="46">
        <f>SUM(Jul!H5, Aug!H5, Sep!H5)</f>
        <v>0</v>
      </c>
      <c r="I5" s="45" t="str">
        <f>IFERROR(H5/G5, "")</f>
        <v/>
      </c>
    </row>
    <row r="6" spans="1:9" ht="15.6">
      <c r="A6" s="55" t="str">
        <v>Bowden</v>
      </c>
      <c r="B6" s="35" t="str">
        <v>MA</v>
      </c>
      <c r="C6" s="36">
        <f>SUM(Jul!C6, Aug!C6, Sep!C6)</f>
        <v>0</v>
      </c>
      <c r="D6" s="37">
        <f>SUM(Jul!D6, Aug!D6, Sep!D6)</f>
        <v>0</v>
      </c>
      <c r="E6" s="37">
        <f t="shared" si="0"/>
        <v>0</v>
      </c>
      <c r="F6" s="38" t="str">
        <f t="shared" ref="F6:F15" si="1">IFERROR(E6/D6, "")</f>
        <v/>
      </c>
      <c r="G6" s="39">
        <f>SUM(Jul!G6,Aug!G6,Sep!G6)</f>
        <v>0</v>
      </c>
      <c r="H6" s="39">
        <f>SUM(Jul!H6, Aug!H6, Sep!H6)</f>
        <v>0</v>
      </c>
      <c r="I6" s="40" t="str">
        <f t="shared" ref="I6:I15" si="2">IFERROR(H6/G6, "")</f>
        <v/>
      </c>
    </row>
    <row r="7" spans="1:9" ht="15.6">
      <c r="A7" s="56" t="str">
        <v>Blair Wire Village</v>
      </c>
      <c r="B7" s="42" t="str">
        <v>MA</v>
      </c>
      <c r="C7" s="43">
        <f>SUM(Jul!C7, Aug!C7, Sep!C7)</f>
        <v>0</v>
      </c>
      <c r="D7" s="44">
        <f>SUM(Jul!D7, Aug!D7, Sep!D7)</f>
        <v>0</v>
      </c>
      <c r="E7" s="44">
        <f t="shared" si="0"/>
        <v>0</v>
      </c>
      <c r="F7" s="45" t="str">
        <f t="shared" si="1"/>
        <v/>
      </c>
      <c r="G7" s="46">
        <f>SUM(Jul!G7,Aug!G7,Sep!G7)</f>
        <v>0</v>
      </c>
      <c r="H7" s="46">
        <f>SUM(Jul!H7, Aug!H7, Sep!H7)</f>
        <v>0</v>
      </c>
      <c r="I7" s="45" t="str">
        <f t="shared" si="2"/>
        <v/>
      </c>
    </row>
    <row r="8" spans="1:9" ht="15.6">
      <c r="A8" s="55" t="str">
        <v>Boutilier</v>
      </c>
      <c r="B8" s="35" t="str">
        <v>MA</v>
      </c>
      <c r="C8" s="36">
        <f>SUM(Jul!C8, Aug!C8, Sep!C8)</f>
        <v>0</v>
      </c>
      <c r="D8" s="37">
        <f>SUM(Jul!D8, Aug!D8, Sep!D8)</f>
        <v>0</v>
      </c>
      <c r="E8" s="37">
        <f t="shared" si="0"/>
        <v>0</v>
      </c>
      <c r="F8" s="38" t="str">
        <f t="shared" si="1"/>
        <v/>
      </c>
      <c r="G8" s="39">
        <f>SUM(Jul!G8,Aug!G8,Sep!G8)</f>
        <v>0</v>
      </c>
      <c r="H8" s="39">
        <f>SUM(Jul!H8, Aug!H8, Sep!H8)</f>
        <v>0</v>
      </c>
      <c r="I8" s="40" t="str">
        <f t="shared" si="2"/>
        <v/>
      </c>
    </row>
    <row r="9" spans="1:9" ht="15.6">
      <c r="A9" s="56" t="str">
        <v>Cherry Valley</v>
      </c>
      <c r="B9" s="42" t="str">
        <v>MA</v>
      </c>
      <c r="C9" s="43">
        <f>SUM(Jul!C9, Aug!C9, Sep!C9)</f>
        <v>0</v>
      </c>
      <c r="D9" s="44">
        <f>SUM(Jul!D9, Aug!D9, Sep!D9)</f>
        <v>0</v>
      </c>
      <c r="E9" s="44">
        <f t="shared" si="0"/>
        <v>0</v>
      </c>
      <c r="F9" s="45" t="str">
        <f t="shared" si="1"/>
        <v/>
      </c>
      <c r="G9" s="46">
        <f>SUM(Jul!G9,Aug!G9,Sep!G9)</f>
        <v>0</v>
      </c>
      <c r="H9" s="46">
        <f>SUM(Jul!H9, Aug!H9, Sep!H9)</f>
        <v>0</v>
      </c>
      <c r="I9" s="45" t="str">
        <f t="shared" si="2"/>
        <v/>
      </c>
    </row>
    <row r="10" spans="1:9" ht="15.6">
      <c r="A10" s="55" t="str">
        <v>Cohasse</v>
      </c>
      <c r="B10" s="35" t="str">
        <v>MA</v>
      </c>
      <c r="C10" s="36">
        <f>SUM(Jul!C10, Aug!C10, Sep!C10)</f>
        <v>0</v>
      </c>
      <c r="D10" s="37">
        <f>SUM(Jul!D10, Aug!D10, Sep!D10)</f>
        <v>0</v>
      </c>
      <c r="E10" s="37">
        <f t="shared" si="0"/>
        <v>0</v>
      </c>
      <c r="F10" s="38" t="str">
        <f t="shared" si="1"/>
        <v/>
      </c>
      <c r="G10" s="39">
        <f>SUM(Jul!G10,Aug!G10,Sep!G10)</f>
        <v>0</v>
      </c>
      <c r="H10" s="39">
        <f>SUM(Jul!H10, Aug!H10, Sep!H10)</f>
        <v>0</v>
      </c>
      <c r="I10" s="40" t="str">
        <f t="shared" si="2"/>
        <v/>
      </c>
    </row>
    <row r="11" spans="1:9" ht="15.6">
      <c r="A11" s="56" t="str">
        <v>ISM Dighton Solar 2</v>
      </c>
      <c r="B11" s="42" t="str">
        <v>MA</v>
      </c>
      <c r="C11" s="43">
        <f>SUM(Jul!C11, Aug!C11, Sep!C11)</f>
        <v>0</v>
      </c>
      <c r="D11" s="44">
        <f>SUM(Jul!D11, Aug!D11, Sep!D11)</f>
        <v>0</v>
      </c>
      <c r="E11" s="44">
        <f t="shared" si="0"/>
        <v>0</v>
      </c>
      <c r="F11" s="45" t="str">
        <f t="shared" si="1"/>
        <v/>
      </c>
      <c r="G11" s="46">
        <f>SUM(Jul!G11,Aug!G11,Sep!G11)</f>
        <v>0</v>
      </c>
      <c r="H11" s="46">
        <f>SUM(Jul!H11, Aug!H11, Sep!H11)</f>
        <v>0</v>
      </c>
      <c r="I11" s="45" t="str">
        <f t="shared" si="2"/>
        <v/>
      </c>
    </row>
    <row r="12" spans="1:9" ht="15.6">
      <c r="A12" s="55" t="str">
        <v>Dudley River 1</v>
      </c>
      <c r="B12" s="35" t="str">
        <v>MA</v>
      </c>
      <c r="C12" s="36">
        <f>SUM(Jul!C12, Aug!C12, Sep!C12)</f>
        <v>0</v>
      </c>
      <c r="D12" s="37">
        <f>SUM(Jul!D12, Aug!D12, Sep!D12)</f>
        <v>0</v>
      </c>
      <c r="E12" s="37">
        <f t="shared" si="0"/>
        <v>0</v>
      </c>
      <c r="F12" s="38" t="str">
        <f t="shared" si="1"/>
        <v/>
      </c>
      <c r="G12" s="39">
        <f>SUM(Jul!G12,Aug!G12,Sep!G12)</f>
        <v>0</v>
      </c>
      <c r="H12" s="39">
        <f>SUM(Jul!H12, Aug!H12, Sep!H12)</f>
        <v>0</v>
      </c>
      <c r="I12" s="40" t="str">
        <f t="shared" si="2"/>
        <v/>
      </c>
    </row>
    <row r="13" spans="1:9" ht="15.6">
      <c r="A13" s="56" t="str">
        <v>Dudley River 2</v>
      </c>
      <c r="B13" s="42" t="str">
        <v>MA</v>
      </c>
      <c r="C13" s="43">
        <f>SUM(Jul!C13, Aug!C13, Sep!C13)</f>
        <v>0</v>
      </c>
      <c r="D13" s="44">
        <f>SUM(Jul!D13, Aug!D13, Sep!D13)</f>
        <v>0</v>
      </c>
      <c r="E13" s="44">
        <f t="shared" si="0"/>
        <v>0</v>
      </c>
      <c r="F13" s="45" t="str">
        <f t="shared" si="1"/>
        <v/>
      </c>
      <c r="G13" s="46">
        <f>SUM(Jul!G13,Aug!G13,Sep!G13)</f>
        <v>0</v>
      </c>
      <c r="H13" s="46">
        <f>SUM(Jul!H13, Aug!H13, Sep!H13)</f>
        <v>0</v>
      </c>
      <c r="I13" s="45" t="str">
        <f t="shared" si="2"/>
        <v/>
      </c>
    </row>
    <row r="14" spans="1:9" ht="15.6">
      <c r="A14" s="55" t="str">
        <v>Dudley River 3</v>
      </c>
      <c r="B14" s="35" t="str">
        <v>MA</v>
      </c>
      <c r="C14" s="36">
        <f>SUM(Jul!C14, Aug!C14, Sep!C14)</f>
        <v>0</v>
      </c>
      <c r="D14" s="37">
        <f>SUM(Jul!D14, Aug!D14, Sep!D14)</f>
        <v>0</v>
      </c>
      <c r="E14" s="37">
        <f t="shared" si="0"/>
        <v>0</v>
      </c>
      <c r="F14" s="38" t="str">
        <f t="shared" si="1"/>
        <v/>
      </c>
      <c r="G14" s="39">
        <f>SUM(Jul!G14,Aug!G14,Sep!G14)</f>
        <v>0</v>
      </c>
      <c r="H14" s="39">
        <f>SUM(Jul!H14, Aug!H14, Sep!H14)</f>
        <v>0</v>
      </c>
      <c r="I14" s="40" t="str">
        <f t="shared" si="2"/>
        <v/>
      </c>
    </row>
    <row r="15" spans="1:9" ht="15.6">
      <c r="A15" s="56" t="str">
        <v>Flint Pond</v>
      </c>
      <c r="B15" s="42" t="str">
        <v>MA</v>
      </c>
      <c r="C15" s="43">
        <f>SUM(Jul!C15, Aug!C15, Sep!C15)</f>
        <v>0</v>
      </c>
      <c r="D15" s="44">
        <f>SUM(Jul!D15, Aug!D15, Sep!D15)</f>
        <v>0</v>
      </c>
      <c r="E15" s="44">
        <f t="shared" si="0"/>
        <v>0</v>
      </c>
      <c r="F15" s="45" t="str">
        <f t="shared" si="1"/>
        <v/>
      </c>
      <c r="G15" s="46">
        <f>SUM(Jul!G15,Aug!G15,Sep!G15)</f>
        <v>0</v>
      </c>
      <c r="H15" s="46">
        <f>SUM(Jul!H15, Aug!H15, Sep!H15)</f>
        <v>0</v>
      </c>
      <c r="I15" s="45" t="str">
        <f t="shared" si="2"/>
        <v/>
      </c>
    </row>
    <row r="16" spans="1:9" ht="15.6">
      <c r="A16" s="55" t="str">
        <v>Incom</v>
      </c>
      <c r="B16" s="35" t="str">
        <v>MA</v>
      </c>
      <c r="C16" s="36">
        <f>SUM(Jul!C16, Aug!C16, Sep!C16)</f>
        <v>0</v>
      </c>
      <c r="D16" s="37">
        <f>SUM(Jul!D16, Aug!D16, Sep!D16)</f>
        <v>0</v>
      </c>
      <c r="E16" s="37">
        <f t="shared" ref="E16:E19" si="3">IF(AND(ISNUMBER(C16),ISNUMBER(D16)), C16-D16, "")</f>
        <v>0</v>
      </c>
      <c r="F16" s="38" t="str">
        <f t="shared" ref="F16:F19" si="4">IFERROR(E16/D16, "")</f>
        <v/>
      </c>
      <c r="G16" s="39">
        <f>SUM(Jul!G16,Aug!G16,Sep!G16)</f>
        <v>0</v>
      </c>
      <c r="H16" s="39">
        <f>SUM(Jul!H16, Aug!H16, Sep!H16)</f>
        <v>0</v>
      </c>
      <c r="I16" s="40" t="str">
        <f t="shared" ref="I16:I19" si="5">IFERROR(H16/G16, "")</f>
        <v/>
      </c>
    </row>
    <row r="17" spans="1:9" ht="15.6">
      <c r="A17" s="56" t="str">
        <v>JH</v>
      </c>
      <c r="B17" s="42" t="str">
        <v>MA</v>
      </c>
      <c r="C17" s="43">
        <f>SUM(Jul!C17, Aug!C17, Sep!C17)</f>
        <v>0</v>
      </c>
      <c r="D17" s="44">
        <f>SUM(Jul!D17, Aug!D17, Sep!D17)</f>
        <v>0</v>
      </c>
      <c r="E17" s="44">
        <f t="shared" si="3"/>
        <v>0</v>
      </c>
      <c r="F17" s="45" t="str">
        <f t="shared" si="4"/>
        <v/>
      </c>
      <c r="G17" s="46">
        <f>SUM(Jul!G17,Aug!G17,Sep!G17)</f>
        <v>0</v>
      </c>
      <c r="H17" s="46">
        <f>SUM(Jul!H17, Aug!H17, Sep!H17)</f>
        <v>0</v>
      </c>
      <c r="I17" s="45" t="str">
        <f t="shared" si="5"/>
        <v/>
      </c>
    </row>
    <row r="18" spans="1:9" ht="12.75" customHeight="1">
      <c r="A18" s="55" t="str">
        <v>Ledeaux</v>
      </c>
      <c r="B18" s="34" t="str">
        <v>MA</v>
      </c>
      <c r="C18" s="36">
        <f>SUM(Jul!C18, Aug!C18, Sep!C18)</f>
        <v>0</v>
      </c>
      <c r="D18" s="37">
        <f>SUM(Jul!D18, Aug!D18, Sep!D18)</f>
        <v>0</v>
      </c>
      <c r="E18" s="37">
        <f t="shared" si="3"/>
        <v>0</v>
      </c>
      <c r="F18" s="38" t="str">
        <f t="shared" si="4"/>
        <v/>
      </c>
      <c r="G18" s="39">
        <f>SUM(Jul!G18,Aug!G18,Sep!G18)</f>
        <v>0</v>
      </c>
      <c r="H18" s="39">
        <f>SUM(Jul!H18, Aug!H18, Sep!H18)</f>
        <v>0</v>
      </c>
      <c r="I18" s="40" t="str">
        <f t="shared" si="5"/>
        <v/>
      </c>
    </row>
    <row r="19" spans="1:9" ht="15.6">
      <c r="A19" s="56" t="str">
        <v>Palombo A</v>
      </c>
      <c r="B19" s="41" t="str">
        <v>MA</v>
      </c>
      <c r="C19" s="43">
        <f>SUM(Jul!C19, Aug!C19, Sep!C19)</f>
        <v>0</v>
      </c>
      <c r="D19" s="44">
        <f>SUM(Jul!D19, Aug!D19, Sep!D19)</f>
        <v>0</v>
      </c>
      <c r="E19" s="44">
        <f t="shared" si="3"/>
        <v>0</v>
      </c>
      <c r="F19" s="45" t="str">
        <f t="shared" si="4"/>
        <v/>
      </c>
      <c r="G19" s="46">
        <f>SUM(Jul!G19,Aug!G19,Sep!G19)</f>
        <v>0</v>
      </c>
      <c r="H19" s="46">
        <f>SUM(Jul!H19, Aug!H19, Sep!H19)</f>
        <v>0</v>
      </c>
      <c r="I19" s="45" t="str">
        <f t="shared" si="5"/>
        <v/>
      </c>
    </row>
    <row r="20" spans="1:9" ht="15.6">
      <c r="A20" s="55" t="str">
        <v>Palombo B</v>
      </c>
      <c r="B20" s="34" t="str">
        <v>MA</v>
      </c>
      <c r="C20" s="36">
        <f>SUM(Jul!C20, Aug!C20, Sep!C20)</f>
        <v>0</v>
      </c>
      <c r="D20" s="37">
        <f>SUM(Jul!D20, Aug!D20, Sep!D20)</f>
        <v>0</v>
      </c>
      <c r="E20" s="37">
        <f t="shared" ref="E20:E24" si="6">IF(AND(ISNUMBER(C20),ISNUMBER(D20)), C20-D20, "")</f>
        <v>0</v>
      </c>
      <c r="F20" s="38" t="str">
        <f t="shared" ref="F20:F24" si="7">IFERROR(E20/D20, "")</f>
        <v/>
      </c>
      <c r="G20" s="39">
        <f>SUM(Jul!G20,Aug!G20,Sep!G20)</f>
        <v>0</v>
      </c>
      <c r="H20" s="39">
        <f>SUM(Jul!H20, Aug!H20, Sep!H20)</f>
        <v>0</v>
      </c>
      <c r="I20" s="40" t="str">
        <f t="shared" ref="I20:I24" si="8">IFERROR(H20/G20, "")</f>
        <v/>
      </c>
    </row>
    <row r="21" spans="1:9" ht="15.6">
      <c r="A21" s="56" t="str">
        <v>St Josephs Church</v>
      </c>
      <c r="B21" s="41" t="str">
        <v>MA</v>
      </c>
      <c r="C21" s="43">
        <f>SUM(Jul!C21, Aug!C21, Sep!C21)</f>
        <v>0</v>
      </c>
      <c r="D21" s="44">
        <f>SUM(Jul!D21, Aug!D21, Sep!D21)</f>
        <v>0</v>
      </c>
      <c r="E21" s="44">
        <f t="shared" si="6"/>
        <v>0</v>
      </c>
      <c r="F21" s="45" t="str">
        <f t="shared" si="7"/>
        <v/>
      </c>
      <c r="G21" s="46">
        <f>SUM(Jul!G21,Aug!G21,Sep!G21)</f>
        <v>0</v>
      </c>
      <c r="H21" s="46">
        <f>SUM(Jul!H21, Aug!H21, Sep!H21)</f>
        <v>0</v>
      </c>
      <c r="I21" s="45" t="str">
        <f t="shared" si="8"/>
        <v/>
      </c>
    </row>
    <row r="22" spans="1:9" ht="15.6">
      <c r="A22" s="55" t="str">
        <v>Sunset A</v>
      </c>
      <c r="B22" s="34" t="str">
        <v>MA</v>
      </c>
      <c r="C22" s="36">
        <f>SUM(Jul!C22, Aug!C22, Sep!C22)</f>
        <v>0</v>
      </c>
      <c r="D22" s="37">
        <f>SUM(Jul!D22, Aug!D22, Sep!D22)</f>
        <v>0</v>
      </c>
      <c r="E22" s="37">
        <f t="shared" si="6"/>
        <v>0</v>
      </c>
      <c r="F22" s="38" t="str">
        <f t="shared" si="7"/>
        <v/>
      </c>
      <c r="G22" s="39">
        <f>SUM(Jul!G22,Aug!G22,Sep!G22)</f>
        <v>0</v>
      </c>
      <c r="H22" s="39">
        <f>SUM(Jul!H22, Aug!H22, Sep!H22)</f>
        <v>0</v>
      </c>
      <c r="I22" s="40" t="str">
        <f t="shared" si="8"/>
        <v/>
      </c>
    </row>
    <row r="23" spans="1:9" ht="15.6">
      <c r="A23" s="56" t="str">
        <v>Sunset B</v>
      </c>
      <c r="B23" s="41" t="str">
        <v>MA</v>
      </c>
      <c r="C23" s="43">
        <f>SUM(Jul!C23, Aug!C23, Sep!C23)</f>
        <v>0</v>
      </c>
      <c r="D23" s="44">
        <f>SUM(Jul!D23, Aug!D23, Sep!D23)</f>
        <v>0</v>
      </c>
      <c r="E23" s="44">
        <f t="shared" si="6"/>
        <v>0</v>
      </c>
      <c r="F23" s="45" t="str">
        <f t="shared" si="7"/>
        <v/>
      </c>
      <c r="G23" s="46">
        <f>SUM(Jul!G23,Aug!G23,Sep!G23)</f>
        <v>0</v>
      </c>
      <c r="H23" s="46">
        <f>SUM(Jul!H23, Aug!H23, Sep!H23)</f>
        <v>0</v>
      </c>
      <c r="I23" s="45" t="str">
        <f t="shared" si="8"/>
        <v/>
      </c>
    </row>
    <row r="24" spans="1:9" ht="15.6">
      <c r="A24" s="55" t="str">
        <v>Woodchuck</v>
      </c>
      <c r="B24" s="34" t="str">
        <v>MA</v>
      </c>
      <c r="C24" s="36">
        <f>SUM(Jul!C24, Aug!C24, Sep!C24)</f>
        <v>0</v>
      </c>
      <c r="D24" s="37">
        <f>SUM(Jul!D24, Aug!D24, Sep!D24)</f>
        <v>0</v>
      </c>
      <c r="E24" s="37">
        <f t="shared" si="6"/>
        <v>0</v>
      </c>
      <c r="F24" s="38" t="str">
        <f t="shared" si="7"/>
        <v/>
      </c>
      <c r="G24" s="39">
        <f>SUM(Jul!G24,Aug!G24,Sep!G24)</f>
        <v>0</v>
      </c>
      <c r="H24" s="39">
        <f>SUM(Jul!H24, Aug!H24, Sep!H24)</f>
        <v>0</v>
      </c>
      <c r="I24" s="40" t="str">
        <f t="shared" si="8"/>
        <v/>
      </c>
    </row>
    <row r="25" spans="1:9" ht="15.6">
      <c r="A25" s="9"/>
      <c r="B25" s="13"/>
      <c r="C25" s="13"/>
      <c r="D25" s="13"/>
      <c r="E25" s="13"/>
      <c r="F25" s="13"/>
      <c r="G25" s="13"/>
      <c r="H25" s="13"/>
      <c r="I25" s="13"/>
    </row>
    <row r="26" spans="1:9" ht="15.6">
      <c r="A26" s="9"/>
      <c r="B26" s="13"/>
      <c r="C26" s="13"/>
      <c r="D26" s="13"/>
      <c r="E26" s="13"/>
      <c r="F26" s="13"/>
      <c r="G26" s="13"/>
      <c r="H26" s="13"/>
      <c r="I26" s="13"/>
    </row>
    <row r="27" spans="1:9" ht="15.6">
      <c r="A27" s="9"/>
      <c r="B27" s="13"/>
      <c r="C27" s="13"/>
      <c r="D27" s="13"/>
      <c r="E27" s="13"/>
      <c r="F27" s="13"/>
      <c r="G27" s="13"/>
      <c r="H27" s="13"/>
      <c r="I27" s="13"/>
    </row>
    <row r="28" spans="1:9" ht="15.6">
      <c r="A28" s="9"/>
      <c r="B28" s="13"/>
      <c r="C28" s="13"/>
      <c r="D28" s="13"/>
      <c r="E28" s="13"/>
      <c r="F28" s="13"/>
      <c r="G28" s="13"/>
      <c r="H28" s="13"/>
      <c r="I28" s="13"/>
    </row>
    <row r="29" spans="1:9" ht="15.6">
      <c r="A29" s="9"/>
      <c r="B29" s="13"/>
      <c r="C29" s="13"/>
      <c r="D29" s="13"/>
      <c r="E29" s="13"/>
      <c r="F29" s="13"/>
      <c r="G29" s="13"/>
      <c r="H29" s="13"/>
      <c r="I29" s="13"/>
    </row>
    <row r="30" spans="1:9" ht="15.6">
      <c r="A30" s="9"/>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mergeCells count="4">
    <mergeCell ref="G1:I1"/>
    <mergeCell ref="A1:C1"/>
    <mergeCell ref="D1:F1"/>
    <mergeCell ref="A2:B2"/>
  </mergeCells>
  <conditionalFormatting sqref="F2 I2 F4:F99 I4:I9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1"/>
  <sheetViews>
    <sheetView workbookViewId="0">
      <pane xSplit="2" ySplit="3" topLeftCell="C4" activePane="bottomRight" state="frozen"/>
      <selection pane="bottomRight" activeCell="C4" sqref="C4"/>
      <selection pane="bottomLeft" activeCell="D28" sqref="D28"/>
      <selection pane="topRight" activeCell="D28" sqref="D28"/>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6" t="str" cm="1">
        <f t="array" ref="A1">portfolio</f>
        <v>38 DN</v>
      </c>
      <c r="B1" s="96"/>
      <c r="C1" s="96"/>
      <c r="D1" s="97" t="s">
        <v>16</v>
      </c>
      <c r="E1" s="97"/>
      <c r="F1" s="97"/>
      <c r="G1" s="95" t="s">
        <v>17</v>
      </c>
      <c r="H1" s="95"/>
      <c r="I1" s="95"/>
    </row>
    <row r="2" spans="1:9" ht="19.5" customHeight="1">
      <c r="A2" s="98" t="s">
        <v>2</v>
      </c>
      <c r="B2" s="98"/>
      <c r="C2" s="5">
        <f>SUM(C4:C99)</f>
        <v>0</v>
      </c>
      <c r="D2" s="5">
        <f>SUM(D4:D99)</f>
        <v>0</v>
      </c>
      <c r="E2" s="5">
        <f>C2-D2</f>
        <v>0</v>
      </c>
      <c r="F2" s="6">
        <f>IFERROR(E2/D2, 0)</f>
        <v>0</v>
      </c>
      <c r="G2" s="5">
        <f>SUM(G4:G99)</f>
        <v>0</v>
      </c>
      <c r="H2" s="7">
        <f>C2-G2</f>
        <v>0</v>
      </c>
      <c r="I2" s="6">
        <f>IFERROR(H2/G2, 0)</f>
        <v>0</v>
      </c>
    </row>
    <row r="3" spans="1:9" ht="14.25" customHeight="1">
      <c r="A3" s="17" t="s">
        <v>3</v>
      </c>
      <c r="B3" s="17" t="s">
        <v>4</v>
      </c>
      <c r="C3" s="27" t="s">
        <v>5</v>
      </c>
      <c r="D3" s="28" t="s">
        <v>6</v>
      </c>
      <c r="E3" s="28" t="s">
        <v>7</v>
      </c>
      <c r="F3" s="29" t="s">
        <v>8</v>
      </c>
      <c r="G3" s="30" t="s">
        <v>9</v>
      </c>
      <c r="H3" s="31" t="s">
        <v>7</v>
      </c>
      <c r="I3" s="32" t="s">
        <v>8</v>
      </c>
    </row>
    <row r="4" spans="1:9" ht="15.6">
      <c r="A4" s="55" t="str" cm="1">
        <f t="array" ref="A4:A24">Sites[Site]</f>
        <v>6th St.</v>
      </c>
      <c r="B4" s="35" t="str" cm="1">
        <f t="array" ref="B4:B24">Sites[State]</f>
        <v>CA</v>
      </c>
      <c r="C4" s="36">
        <f>SUM(Oct!C4, Nov!C4, Dec!C4)</f>
        <v>0</v>
      </c>
      <c r="D4" s="37">
        <f>SUM(Oct!D4, Nov!D4, Dec!D4)</f>
        <v>0</v>
      </c>
      <c r="E4" s="37">
        <f>IF(AND(ISNUMBER(C4),ISNUMBER(D4)), C4-D4, "")</f>
        <v>0</v>
      </c>
      <c r="F4" s="38" t="str">
        <f>IFERROR(E4/D4, "")</f>
        <v/>
      </c>
      <c r="G4" s="39"/>
      <c r="H4" s="39">
        <f>SUM(Oct!H4, Nov!H4, Dec!H4)</f>
        <v>0</v>
      </c>
      <c r="I4" s="40" t="str">
        <f>IFERROR(H4/G4, "")</f>
        <v/>
      </c>
    </row>
    <row r="5" spans="1:9" ht="15.6">
      <c r="A5" s="56" t="str">
        <v>Barton Acres</v>
      </c>
      <c r="B5" s="42" t="str">
        <v>MA</v>
      </c>
      <c r="C5" s="43">
        <f>SUM(Oct!C5, Nov!C5, Dec!C5)</f>
        <v>0</v>
      </c>
      <c r="D5" s="44">
        <f>SUM(Oct!D5, Nov!D5, Dec!D5)</f>
        <v>0</v>
      </c>
      <c r="E5" s="44">
        <f t="shared" ref="E5:E15" si="0">IF(AND(ISNUMBER(C5),ISNUMBER(D5)), C5-D5, "")</f>
        <v>0</v>
      </c>
      <c r="F5" s="45" t="str">
        <f>IFERROR(E5/D5, "")</f>
        <v/>
      </c>
      <c r="G5" s="46"/>
      <c r="H5" s="46">
        <f>SUM(Oct!H5, Nov!H5, Dec!H5)</f>
        <v>0</v>
      </c>
      <c r="I5" s="45" t="str">
        <f>IFERROR(H5/G5, "")</f>
        <v/>
      </c>
    </row>
    <row r="6" spans="1:9" ht="15.6">
      <c r="A6" s="55" t="str">
        <v>Bowden</v>
      </c>
      <c r="B6" s="35" t="str">
        <v>MA</v>
      </c>
      <c r="C6" s="36">
        <f>SUM(Oct!C6, Nov!C6, Dec!C6)</f>
        <v>0</v>
      </c>
      <c r="D6" s="37">
        <f>SUM(Oct!D6, Nov!D6, Dec!D6)</f>
        <v>0</v>
      </c>
      <c r="E6" s="37">
        <f t="shared" si="0"/>
        <v>0</v>
      </c>
      <c r="F6" s="38" t="str">
        <f t="shared" ref="F6:F15" si="1">IFERROR(E6/D6, "")</f>
        <v/>
      </c>
      <c r="G6" s="39"/>
      <c r="H6" s="39">
        <f>SUM(Oct!H6, Nov!H6, Dec!H6)</f>
        <v>0</v>
      </c>
      <c r="I6" s="40" t="str">
        <f t="shared" ref="I6:I15" si="2">IFERROR(H6/G6, "")</f>
        <v/>
      </c>
    </row>
    <row r="7" spans="1:9" ht="15.6">
      <c r="A7" s="56" t="str">
        <v>Blair Wire Village</v>
      </c>
      <c r="B7" s="42" t="str">
        <v>MA</v>
      </c>
      <c r="C7" s="43">
        <f>SUM(Oct!C7, Nov!C7, Dec!C7)</f>
        <v>0</v>
      </c>
      <c r="D7" s="44">
        <f>SUM(Oct!D7, Nov!D7, Dec!D7)</f>
        <v>0</v>
      </c>
      <c r="E7" s="44">
        <f t="shared" si="0"/>
        <v>0</v>
      </c>
      <c r="F7" s="45" t="str">
        <f t="shared" si="1"/>
        <v/>
      </c>
      <c r="G7" s="46"/>
      <c r="H7" s="46">
        <f>SUM(Oct!H7, Nov!H7, Dec!H7)</f>
        <v>0</v>
      </c>
      <c r="I7" s="45" t="str">
        <f t="shared" si="2"/>
        <v/>
      </c>
    </row>
    <row r="8" spans="1:9" ht="15.6">
      <c r="A8" s="55" t="str">
        <v>Boutilier</v>
      </c>
      <c r="B8" s="35" t="str">
        <v>MA</v>
      </c>
      <c r="C8" s="36">
        <f>SUM(Oct!C8, Nov!C8, Dec!C8)</f>
        <v>0</v>
      </c>
      <c r="D8" s="37">
        <f>SUM(Oct!D8, Nov!D8, Dec!D8)</f>
        <v>0</v>
      </c>
      <c r="E8" s="37">
        <f t="shared" si="0"/>
        <v>0</v>
      </c>
      <c r="F8" s="38" t="str">
        <f t="shared" si="1"/>
        <v/>
      </c>
      <c r="G8" s="39"/>
      <c r="H8" s="39">
        <f>SUM(Oct!H8, Nov!H8, Dec!H8)</f>
        <v>0</v>
      </c>
      <c r="I8" s="40" t="str">
        <f t="shared" si="2"/>
        <v/>
      </c>
    </row>
    <row r="9" spans="1:9" ht="15.6">
      <c r="A9" s="56" t="str">
        <v>Cherry Valley</v>
      </c>
      <c r="B9" s="42" t="str">
        <v>MA</v>
      </c>
      <c r="C9" s="43">
        <f>SUM(Oct!C9, Nov!C9, Dec!C9)</f>
        <v>0</v>
      </c>
      <c r="D9" s="44">
        <f>SUM(Oct!D9, Nov!D9, Dec!D9)</f>
        <v>0</v>
      </c>
      <c r="E9" s="44">
        <f t="shared" si="0"/>
        <v>0</v>
      </c>
      <c r="F9" s="45" t="str">
        <f t="shared" si="1"/>
        <v/>
      </c>
      <c r="G9" s="46"/>
      <c r="H9" s="46">
        <f>SUM(Oct!H9, Nov!H9, Dec!H9)</f>
        <v>0</v>
      </c>
      <c r="I9" s="45" t="str">
        <f t="shared" si="2"/>
        <v/>
      </c>
    </row>
    <row r="10" spans="1:9" ht="15.6">
      <c r="A10" s="55" t="str">
        <v>Cohasse</v>
      </c>
      <c r="B10" s="35" t="str">
        <v>MA</v>
      </c>
      <c r="C10" s="36">
        <f>SUM(Oct!C10, Nov!C10, Dec!C10)</f>
        <v>0</v>
      </c>
      <c r="D10" s="37">
        <f>SUM(Oct!D10, Nov!D10, Dec!D10)</f>
        <v>0</v>
      </c>
      <c r="E10" s="37">
        <f t="shared" si="0"/>
        <v>0</v>
      </c>
      <c r="F10" s="38" t="str">
        <f t="shared" si="1"/>
        <v/>
      </c>
      <c r="G10" s="39"/>
      <c r="H10" s="39">
        <f>SUM(Oct!H10, Nov!H10, Dec!H10)</f>
        <v>0</v>
      </c>
      <c r="I10" s="40" t="str">
        <f t="shared" si="2"/>
        <v/>
      </c>
    </row>
    <row r="11" spans="1:9" ht="15.6">
      <c r="A11" s="56" t="str">
        <v>ISM Dighton Solar 2</v>
      </c>
      <c r="B11" s="42" t="str">
        <v>MA</v>
      </c>
      <c r="C11" s="43">
        <f>SUM(Oct!C11, Nov!C11, Dec!C11)</f>
        <v>0</v>
      </c>
      <c r="D11" s="44">
        <f>SUM(Oct!D11, Nov!D11, Dec!D11)</f>
        <v>0</v>
      </c>
      <c r="E11" s="44">
        <f t="shared" si="0"/>
        <v>0</v>
      </c>
      <c r="F11" s="45" t="str">
        <f t="shared" si="1"/>
        <v/>
      </c>
      <c r="G11" s="46"/>
      <c r="H11" s="46">
        <f>SUM(Oct!H11, Nov!H11, Dec!H11)</f>
        <v>0</v>
      </c>
      <c r="I11" s="45" t="str">
        <f t="shared" si="2"/>
        <v/>
      </c>
    </row>
    <row r="12" spans="1:9" ht="15.6">
      <c r="A12" s="55" t="str">
        <v>Dudley River 1</v>
      </c>
      <c r="B12" s="35" t="str">
        <v>MA</v>
      </c>
      <c r="C12" s="36">
        <f>SUM(Oct!C12, Nov!C12, Dec!C12)</f>
        <v>0</v>
      </c>
      <c r="D12" s="37">
        <f>SUM(Oct!D12, Nov!D12, Dec!D12)</f>
        <v>0</v>
      </c>
      <c r="E12" s="37">
        <f t="shared" si="0"/>
        <v>0</v>
      </c>
      <c r="F12" s="38" t="str">
        <f t="shared" si="1"/>
        <v/>
      </c>
      <c r="G12" s="39"/>
      <c r="H12" s="39">
        <f>SUM(Oct!H12, Nov!H12, Dec!H12)</f>
        <v>0</v>
      </c>
      <c r="I12" s="40" t="str">
        <f t="shared" si="2"/>
        <v/>
      </c>
    </row>
    <row r="13" spans="1:9" ht="15.6">
      <c r="A13" s="56" t="str">
        <v>Dudley River 2</v>
      </c>
      <c r="B13" s="42" t="str">
        <v>MA</v>
      </c>
      <c r="C13" s="43">
        <f>SUM(Oct!C13, Nov!C13, Dec!C13)</f>
        <v>0</v>
      </c>
      <c r="D13" s="44">
        <f>SUM(Oct!D13, Nov!D13, Dec!D13)</f>
        <v>0</v>
      </c>
      <c r="E13" s="44">
        <f t="shared" si="0"/>
        <v>0</v>
      </c>
      <c r="F13" s="45" t="str">
        <f t="shared" si="1"/>
        <v/>
      </c>
      <c r="G13" s="46"/>
      <c r="H13" s="46">
        <f>SUM(Oct!H13, Nov!H13, Dec!H13)</f>
        <v>0</v>
      </c>
      <c r="I13" s="45" t="str">
        <f t="shared" si="2"/>
        <v/>
      </c>
    </row>
    <row r="14" spans="1:9" ht="15.6">
      <c r="A14" s="55" t="str">
        <v>Dudley River 3</v>
      </c>
      <c r="B14" s="35" t="str">
        <v>MA</v>
      </c>
      <c r="C14" s="36">
        <f>SUM(Oct!C14, Nov!C14, Dec!C14)</f>
        <v>0</v>
      </c>
      <c r="D14" s="37">
        <f>SUM(Oct!D14, Nov!D14, Dec!D14)</f>
        <v>0</v>
      </c>
      <c r="E14" s="37">
        <f t="shared" si="0"/>
        <v>0</v>
      </c>
      <c r="F14" s="38" t="str">
        <f t="shared" si="1"/>
        <v/>
      </c>
      <c r="G14" s="39"/>
      <c r="H14" s="39">
        <f>SUM(Oct!H14, Nov!H14, Dec!H14)</f>
        <v>0</v>
      </c>
      <c r="I14" s="40" t="str">
        <f t="shared" si="2"/>
        <v/>
      </c>
    </row>
    <row r="15" spans="1:9" ht="15.6">
      <c r="A15" s="56" t="str">
        <v>Flint Pond</v>
      </c>
      <c r="B15" s="42" t="str">
        <v>MA</v>
      </c>
      <c r="C15" s="43">
        <f>SUM(Oct!C15, Nov!C15, Dec!C15)</f>
        <v>0</v>
      </c>
      <c r="D15" s="44">
        <f>SUM(Oct!D15, Nov!D15, Dec!D15)</f>
        <v>0</v>
      </c>
      <c r="E15" s="44">
        <f t="shared" si="0"/>
        <v>0</v>
      </c>
      <c r="F15" s="45" t="str">
        <f t="shared" si="1"/>
        <v/>
      </c>
      <c r="G15" s="46"/>
      <c r="H15" s="46">
        <f>SUM(Oct!H15, Nov!H15, Dec!H15)</f>
        <v>0</v>
      </c>
      <c r="I15" s="45" t="str">
        <f t="shared" si="2"/>
        <v/>
      </c>
    </row>
    <row r="16" spans="1:9" ht="15.6">
      <c r="A16" s="55" t="str">
        <v>Incom</v>
      </c>
      <c r="B16" s="35" t="str">
        <v>MA</v>
      </c>
      <c r="C16" s="36">
        <f>SUM(Oct!C16, Nov!C16, Dec!C16)</f>
        <v>0</v>
      </c>
      <c r="D16" s="37">
        <f>SUM(Oct!D16, Nov!D16, Dec!D16)</f>
        <v>0</v>
      </c>
      <c r="E16" s="37">
        <f t="shared" ref="E16:E18" si="3">IF(AND(ISNUMBER(C16),ISNUMBER(D16)), C16-D16, "")</f>
        <v>0</v>
      </c>
      <c r="F16" s="38" t="str">
        <f t="shared" ref="F16:F18" si="4">IFERROR(E16/D16, "")</f>
        <v/>
      </c>
      <c r="G16" s="39"/>
      <c r="H16" s="39">
        <f>SUM(Oct!H16, Nov!H16, Dec!H16)</f>
        <v>0</v>
      </c>
      <c r="I16" s="40" t="str">
        <f t="shared" ref="I16:I18" si="5">IFERROR(H16/G16, "")</f>
        <v/>
      </c>
    </row>
    <row r="17" spans="1:9" ht="15.6">
      <c r="A17" s="56" t="str">
        <v>JH</v>
      </c>
      <c r="B17" s="42" t="str">
        <v>MA</v>
      </c>
      <c r="C17" s="43">
        <f>SUM(Oct!C17, Nov!C17, Dec!C17)</f>
        <v>0</v>
      </c>
      <c r="D17" s="44">
        <f>SUM(Oct!D17, Nov!D17, Dec!D17)</f>
        <v>0</v>
      </c>
      <c r="E17" s="44">
        <f t="shared" si="3"/>
        <v>0</v>
      </c>
      <c r="F17" s="45" t="str">
        <f t="shared" si="4"/>
        <v/>
      </c>
      <c r="G17" s="46"/>
      <c r="H17" s="46">
        <f>SUM(Oct!H17, Nov!H17, Dec!H17)</f>
        <v>0</v>
      </c>
      <c r="I17" s="45" t="str">
        <f t="shared" si="5"/>
        <v/>
      </c>
    </row>
    <row r="18" spans="1:9" ht="12.75" customHeight="1">
      <c r="A18" s="55" t="str">
        <v>Ledeaux</v>
      </c>
      <c r="B18" s="35" t="str">
        <v>MA</v>
      </c>
      <c r="C18" s="43">
        <f>SUM(Oct!C18, Nov!C18, Dec!C18)</f>
        <v>0</v>
      </c>
      <c r="D18" s="44">
        <f>SUM(Oct!D18, Nov!D18, Dec!D18)</f>
        <v>0</v>
      </c>
      <c r="E18" s="44">
        <f t="shared" si="3"/>
        <v>0</v>
      </c>
      <c r="F18" s="45" t="str">
        <f t="shared" si="4"/>
        <v/>
      </c>
      <c r="G18" s="46"/>
      <c r="H18" s="46">
        <f>SUM(Oct!H18, Nov!H18, Dec!H18)</f>
        <v>0</v>
      </c>
      <c r="I18" s="45" t="str">
        <f t="shared" si="5"/>
        <v/>
      </c>
    </row>
    <row r="19" spans="1:9" ht="15.6">
      <c r="A19" s="56" t="str">
        <v>Palombo A</v>
      </c>
      <c r="B19" s="42" t="str">
        <v>MA</v>
      </c>
      <c r="C19" s="36">
        <f>SUM(Oct!C19, Nov!C19, Dec!C19)</f>
        <v>0</v>
      </c>
      <c r="D19" s="37">
        <f>SUM(Oct!D19, Nov!D19, Dec!D19)</f>
        <v>0</v>
      </c>
      <c r="E19" s="37">
        <f t="shared" ref="E19:E24" si="6">IF(AND(ISNUMBER(C19),ISNUMBER(D19)), C19-D19, "")</f>
        <v>0</v>
      </c>
      <c r="F19" s="38" t="str">
        <f t="shared" ref="F19:F24" si="7">IFERROR(E19/D19, "")</f>
        <v/>
      </c>
      <c r="G19" s="39"/>
      <c r="H19" s="39">
        <f>SUM(Oct!H19, Nov!H19, Dec!H19)</f>
        <v>0</v>
      </c>
      <c r="I19" s="40" t="str">
        <f t="shared" ref="I19:I24" si="8">IFERROR(H19/G19, "")</f>
        <v/>
      </c>
    </row>
    <row r="20" spans="1:9" ht="15.6">
      <c r="A20" s="55" t="str">
        <v>Palombo B</v>
      </c>
      <c r="B20" s="35" t="str">
        <v>MA</v>
      </c>
      <c r="C20" s="43">
        <f>SUM(Oct!C20, Nov!C20, Dec!C20)</f>
        <v>0</v>
      </c>
      <c r="D20" s="44">
        <f>SUM(Oct!D20, Nov!D20, Dec!D20)</f>
        <v>0</v>
      </c>
      <c r="E20" s="44">
        <f t="shared" si="6"/>
        <v>0</v>
      </c>
      <c r="F20" s="45" t="str">
        <f t="shared" si="7"/>
        <v/>
      </c>
      <c r="G20" s="46"/>
      <c r="H20" s="46">
        <f>SUM(Oct!H20, Nov!H20, Dec!H20)</f>
        <v>0</v>
      </c>
      <c r="I20" s="45" t="str">
        <f t="shared" si="8"/>
        <v/>
      </c>
    </row>
    <row r="21" spans="1:9" ht="15.6">
      <c r="A21" s="56" t="str">
        <v>St Josephs Church</v>
      </c>
      <c r="B21" s="42" t="str">
        <v>MA</v>
      </c>
      <c r="C21" s="43">
        <f>SUM(Oct!C21, Nov!C21, Dec!C21)</f>
        <v>0</v>
      </c>
      <c r="D21" s="44">
        <f>SUM(Oct!D21, Nov!D21, Dec!D21)</f>
        <v>0</v>
      </c>
      <c r="E21" s="44">
        <f t="shared" si="6"/>
        <v>0</v>
      </c>
      <c r="F21" s="45" t="str">
        <f t="shared" si="7"/>
        <v/>
      </c>
      <c r="G21" s="46"/>
      <c r="H21" s="46">
        <f>SUM(Oct!H21, Nov!H21, Dec!H21)</f>
        <v>0</v>
      </c>
      <c r="I21" s="45" t="str">
        <f t="shared" si="8"/>
        <v/>
      </c>
    </row>
    <row r="22" spans="1:9" ht="15.6">
      <c r="A22" s="55" t="str">
        <v>Sunset A</v>
      </c>
      <c r="B22" s="35" t="str">
        <v>MA</v>
      </c>
      <c r="C22" s="36">
        <f>SUM(Oct!C22, Nov!C22, Dec!C22)</f>
        <v>0</v>
      </c>
      <c r="D22" s="37">
        <f>SUM(Oct!D22, Nov!D22, Dec!D22)</f>
        <v>0</v>
      </c>
      <c r="E22" s="37">
        <f t="shared" si="6"/>
        <v>0</v>
      </c>
      <c r="F22" s="38" t="str">
        <f t="shared" si="7"/>
        <v/>
      </c>
      <c r="G22" s="39"/>
      <c r="H22" s="39">
        <f>SUM(Oct!H22, Nov!H22, Dec!H22)</f>
        <v>0</v>
      </c>
      <c r="I22" s="40" t="str">
        <f t="shared" si="8"/>
        <v/>
      </c>
    </row>
    <row r="23" spans="1:9" ht="15.6">
      <c r="A23" s="56" t="str">
        <v>Sunset B</v>
      </c>
      <c r="B23" s="42" t="str">
        <v>MA</v>
      </c>
      <c r="C23" s="43">
        <f>SUM(Oct!C23, Nov!C23, Dec!C23)</f>
        <v>0</v>
      </c>
      <c r="D23" s="44">
        <f>SUM(Oct!D23, Nov!D23, Dec!D23)</f>
        <v>0</v>
      </c>
      <c r="E23" s="44">
        <f t="shared" si="6"/>
        <v>0</v>
      </c>
      <c r="F23" s="45" t="str">
        <f t="shared" si="7"/>
        <v/>
      </c>
      <c r="G23" s="46"/>
      <c r="H23" s="46">
        <f>SUM(Oct!H23, Nov!H23, Dec!H23)</f>
        <v>0</v>
      </c>
      <c r="I23" s="45" t="str">
        <f t="shared" si="8"/>
        <v/>
      </c>
    </row>
    <row r="24" spans="1:9" ht="15.6">
      <c r="A24" s="55" t="str">
        <v>Woodchuck</v>
      </c>
      <c r="B24" s="35" t="str">
        <v>MA</v>
      </c>
      <c r="C24" s="43">
        <f>SUM(Oct!C24, Nov!C24, Dec!C24)</f>
        <v>0</v>
      </c>
      <c r="D24" s="44">
        <f>SUM(Oct!D24, Nov!D24, Dec!D24)</f>
        <v>0</v>
      </c>
      <c r="E24" s="44">
        <f t="shared" si="6"/>
        <v>0</v>
      </c>
      <c r="F24" s="45" t="str">
        <f t="shared" si="7"/>
        <v/>
      </c>
      <c r="G24" s="46"/>
      <c r="H24" s="46">
        <f>SUM(Oct!H24, Nov!H24, Dec!H24)</f>
        <v>0</v>
      </c>
      <c r="I24" s="45" t="str">
        <f t="shared" si="8"/>
        <v/>
      </c>
    </row>
    <row r="25" spans="1:9" ht="15.6">
      <c r="A25" s="9"/>
      <c r="B25" s="8"/>
      <c r="C25" s="23"/>
      <c r="D25" s="10"/>
      <c r="E25" s="10"/>
      <c r="F25" s="11"/>
      <c r="G25" s="12"/>
      <c r="H25" s="12"/>
      <c r="I25" s="11"/>
    </row>
    <row r="26" spans="1:9" ht="14.45">
      <c r="A26" s="13"/>
      <c r="B26" s="8"/>
      <c r="C26" s="23"/>
      <c r="D26" s="10"/>
      <c r="E26" s="10"/>
      <c r="F26" s="11"/>
      <c r="G26" s="12"/>
      <c r="H26" s="12"/>
      <c r="I26" s="11"/>
    </row>
    <row r="27" spans="1:9" ht="14.45">
      <c r="A27" s="13"/>
      <c r="B27" s="8"/>
      <c r="C27" s="23"/>
      <c r="D27" s="10"/>
      <c r="E27" s="10"/>
      <c r="F27" s="11"/>
      <c r="G27" s="12"/>
      <c r="H27" s="12"/>
      <c r="I27" s="11"/>
    </row>
    <row r="28" spans="1:9" ht="14.45">
      <c r="A28" s="13"/>
      <c r="B28" s="8"/>
      <c r="C28" s="23"/>
      <c r="D28" s="10"/>
      <c r="E28" s="10"/>
      <c r="F28" s="11"/>
      <c r="G28" s="12"/>
      <c r="H28" s="12"/>
      <c r="I28" s="11"/>
    </row>
    <row r="29" spans="1:9" ht="14.45">
      <c r="A29" s="13"/>
      <c r="B29" s="8"/>
      <c r="C29" s="23"/>
      <c r="D29" s="10"/>
      <c r="E29" s="10"/>
      <c r="F29" s="11"/>
      <c r="G29" s="12"/>
      <c r="H29" s="12"/>
      <c r="I29" s="11"/>
    </row>
    <row r="30" spans="1:9" ht="13.9">
      <c r="A30" s="13"/>
      <c r="B30" s="13"/>
      <c r="C30" s="13"/>
      <c r="D30" s="13"/>
      <c r="E30" s="13"/>
      <c r="F30" s="13"/>
      <c r="G30" s="13"/>
      <c r="H30" s="13"/>
      <c r="I30" s="13"/>
    </row>
    <row r="31" spans="1:9" ht="13.9">
      <c r="A31" s="13"/>
      <c r="B31" s="13"/>
      <c r="C31" s="13"/>
      <c r="D31" s="13"/>
      <c r="E31" s="13"/>
      <c r="F31" s="13"/>
      <c r="G31" s="13"/>
      <c r="H31" s="13"/>
      <c r="I31" s="13"/>
    </row>
    <row r="32" spans="1:9" ht="13.9">
      <c r="A32" s="13"/>
      <c r="B32" s="13"/>
      <c r="C32" s="13"/>
      <c r="D32" s="13"/>
      <c r="E32" s="13"/>
      <c r="F32" s="14"/>
      <c r="G32" s="13"/>
      <c r="H32" s="13"/>
      <c r="I32" s="14"/>
    </row>
    <row r="33" spans="1:9" ht="13.9">
      <c r="A33" s="13"/>
      <c r="B33" s="13"/>
      <c r="C33" s="13"/>
      <c r="D33" s="13"/>
      <c r="E33" s="13"/>
      <c r="F33" s="14"/>
      <c r="G33" s="13"/>
      <c r="H33" s="13"/>
      <c r="I33" s="14"/>
    </row>
    <row r="34" spans="1:9" ht="13.9">
      <c r="A34" s="13"/>
      <c r="B34" s="13"/>
      <c r="C34" s="13"/>
      <c r="D34" s="13"/>
      <c r="E34" s="13"/>
      <c r="F34" s="14"/>
      <c r="G34" s="13"/>
      <c r="H34" s="13"/>
      <c r="I34" s="14"/>
    </row>
    <row r="35" spans="1:9" ht="13.9">
      <c r="A35" s="13"/>
      <c r="B35" s="13"/>
      <c r="C35" s="13"/>
      <c r="D35" s="13"/>
      <c r="E35" s="13"/>
      <c r="F35" s="14"/>
      <c r="G35" s="13"/>
      <c r="H35" s="13"/>
      <c r="I35" s="14"/>
    </row>
    <row r="36" spans="1:9" ht="13.9">
      <c r="A36" s="13"/>
      <c r="B36" s="13"/>
      <c r="C36" s="13"/>
      <c r="D36" s="13"/>
      <c r="E36" s="13"/>
      <c r="F36" s="14"/>
      <c r="G36" s="13"/>
      <c r="H36" s="13"/>
      <c r="I36" s="14"/>
    </row>
    <row r="37" spans="1:9" ht="13.9">
      <c r="A37" s="13"/>
      <c r="B37" s="13"/>
      <c r="C37" s="13"/>
      <c r="D37" s="13"/>
      <c r="E37" s="13"/>
      <c r="F37" s="14"/>
      <c r="G37" s="13"/>
      <c r="H37" s="13"/>
      <c r="I37" s="14"/>
    </row>
    <row r="38" spans="1:9" ht="13.9">
      <c r="A38" s="13"/>
      <c r="B38" s="13"/>
      <c r="C38" s="13"/>
      <c r="D38" s="13"/>
      <c r="E38" s="13"/>
      <c r="F38" s="14"/>
      <c r="G38" s="13"/>
      <c r="H38" s="13"/>
      <c r="I38" s="14"/>
    </row>
    <row r="39" spans="1:9" ht="13.9">
      <c r="A39" s="13"/>
      <c r="B39" s="13"/>
      <c r="C39" s="13"/>
      <c r="D39" s="13"/>
      <c r="E39" s="13"/>
      <c r="F39" s="14"/>
      <c r="G39" s="13"/>
      <c r="H39" s="13"/>
      <c r="I39" s="14"/>
    </row>
    <row r="40" spans="1:9" ht="13.9">
      <c r="A40" s="13"/>
      <c r="B40" s="13"/>
      <c r="C40" s="13"/>
      <c r="D40" s="13"/>
      <c r="E40" s="13"/>
      <c r="F40" s="14"/>
      <c r="G40" s="13"/>
      <c r="H40" s="13"/>
      <c r="I40" s="14"/>
    </row>
    <row r="41" spans="1:9" ht="13.9">
      <c r="A41" s="13"/>
      <c r="B41" s="13"/>
      <c r="C41" s="13"/>
      <c r="D41" s="13"/>
      <c r="E41" s="13"/>
      <c r="F41" s="14"/>
      <c r="G41" s="13"/>
      <c r="H41" s="13"/>
      <c r="I41" s="14"/>
    </row>
    <row r="42" spans="1:9" ht="13.9">
      <c r="A42" s="13"/>
      <c r="B42" s="13"/>
      <c r="C42" s="13"/>
      <c r="D42" s="13"/>
      <c r="E42" s="13"/>
      <c r="F42" s="14"/>
      <c r="G42" s="13"/>
      <c r="H42" s="13"/>
      <c r="I42" s="14"/>
    </row>
    <row r="43" spans="1:9" ht="13.9">
      <c r="A43" s="13"/>
      <c r="B43" s="13"/>
      <c r="C43" s="13"/>
      <c r="D43" s="13"/>
      <c r="E43" s="13"/>
      <c r="F43" s="14"/>
      <c r="G43" s="13"/>
      <c r="H43" s="13"/>
      <c r="I43" s="14"/>
    </row>
    <row r="44" spans="1:9" ht="13.9">
      <c r="A44" s="13"/>
      <c r="B44" s="13"/>
      <c r="C44" s="13"/>
      <c r="D44" s="13"/>
      <c r="E44" s="13"/>
      <c r="F44" s="14"/>
      <c r="G44" s="13"/>
      <c r="H44" s="13"/>
      <c r="I44" s="14"/>
    </row>
    <row r="45" spans="1:9" ht="13.9">
      <c r="A45" s="13"/>
      <c r="B45" s="13"/>
      <c r="C45" s="13"/>
      <c r="D45" s="13"/>
      <c r="E45" s="13"/>
      <c r="F45" s="14"/>
      <c r="G45" s="13"/>
      <c r="H45" s="13"/>
      <c r="I45" s="14"/>
    </row>
    <row r="46" spans="1:9" ht="13.9">
      <c r="A46" s="13"/>
      <c r="B46" s="13"/>
      <c r="C46" s="13"/>
      <c r="D46" s="13"/>
      <c r="E46" s="13"/>
      <c r="F46" s="14"/>
      <c r="G46" s="13"/>
      <c r="H46" s="13"/>
      <c r="I46" s="14"/>
    </row>
    <row r="47" spans="1:9" ht="13.9">
      <c r="A47" s="13"/>
      <c r="B47" s="13"/>
      <c r="C47" s="13"/>
      <c r="D47" s="13"/>
      <c r="E47" s="13"/>
      <c r="F47" s="14"/>
      <c r="G47" s="13"/>
      <c r="H47" s="13"/>
      <c r="I47" s="14"/>
    </row>
    <row r="48" spans="1:9" ht="13.9">
      <c r="A48" s="13"/>
      <c r="B48" s="13"/>
      <c r="C48" s="13"/>
      <c r="D48" s="13"/>
      <c r="E48" s="13"/>
      <c r="F48" s="14"/>
      <c r="G48" s="13"/>
      <c r="H48" s="13"/>
      <c r="I48" s="14"/>
    </row>
    <row r="49" spans="1:9" ht="13.9">
      <c r="A49" s="13"/>
      <c r="B49" s="13"/>
      <c r="C49" s="13"/>
      <c r="D49" s="13"/>
      <c r="E49" s="13"/>
      <c r="F49" s="14"/>
      <c r="G49" s="13"/>
      <c r="H49" s="13"/>
      <c r="I49" s="14"/>
    </row>
    <row r="50" spans="1:9" ht="13.9">
      <c r="A50" s="13"/>
      <c r="B50" s="13"/>
      <c r="C50" s="13"/>
      <c r="D50" s="13"/>
      <c r="E50" s="13"/>
      <c r="F50" s="14"/>
      <c r="G50" s="13"/>
      <c r="H50" s="13"/>
      <c r="I50" s="14"/>
    </row>
    <row r="51" spans="1:9" ht="13.9">
      <c r="A51" s="13"/>
      <c r="B51" s="13"/>
      <c r="C51" s="13"/>
      <c r="D51" s="13"/>
      <c r="E51" s="13"/>
      <c r="F51" s="14"/>
      <c r="G51" s="13"/>
      <c r="H51" s="13"/>
      <c r="I51" s="14"/>
    </row>
    <row r="52" spans="1:9" ht="13.9">
      <c r="A52" s="13"/>
      <c r="B52" s="13"/>
      <c r="C52" s="13"/>
      <c r="D52" s="13"/>
      <c r="E52" s="13"/>
      <c r="F52" s="14"/>
      <c r="G52" s="13"/>
      <c r="H52" s="13"/>
      <c r="I52" s="14"/>
    </row>
    <row r="53" spans="1:9" ht="13.9">
      <c r="A53" s="13"/>
      <c r="B53" s="13"/>
      <c r="C53" s="13"/>
      <c r="D53" s="13"/>
      <c r="E53" s="13"/>
      <c r="F53" s="14"/>
      <c r="G53" s="13"/>
      <c r="H53" s="13"/>
      <c r="I53" s="14"/>
    </row>
    <row r="54" spans="1:9" ht="13.9">
      <c r="A54" s="13"/>
      <c r="B54" s="13"/>
      <c r="C54" s="13"/>
      <c r="D54" s="13"/>
      <c r="E54" s="13"/>
      <c r="F54" s="14"/>
      <c r="G54" s="13"/>
      <c r="H54" s="13"/>
      <c r="I54" s="14"/>
    </row>
    <row r="55" spans="1:9" ht="13.9">
      <c r="A55" s="13"/>
      <c r="B55" s="13"/>
      <c r="C55" s="13"/>
      <c r="D55" s="13"/>
      <c r="E55" s="13"/>
      <c r="F55" s="14"/>
      <c r="G55" s="13"/>
      <c r="H55" s="13"/>
      <c r="I55" s="14"/>
    </row>
    <row r="56" spans="1:9" ht="13.9">
      <c r="A56" s="13"/>
      <c r="B56" s="13"/>
      <c r="C56" s="13"/>
      <c r="D56" s="13"/>
      <c r="E56" s="13"/>
      <c r="F56" s="14"/>
      <c r="G56" s="13"/>
      <c r="H56" s="13"/>
      <c r="I56" s="14"/>
    </row>
    <row r="57" spans="1:9" ht="13.9">
      <c r="A57" s="13"/>
      <c r="B57" s="13"/>
      <c r="C57" s="13"/>
      <c r="D57" s="13"/>
      <c r="E57" s="13"/>
      <c r="F57" s="14"/>
      <c r="G57" s="13"/>
      <c r="H57" s="13"/>
      <c r="I57" s="14"/>
    </row>
    <row r="58" spans="1:9" ht="13.9">
      <c r="A58" s="13"/>
      <c r="B58" s="13"/>
      <c r="C58" s="13"/>
      <c r="D58" s="13"/>
      <c r="E58" s="13"/>
      <c r="F58" s="14"/>
      <c r="G58" s="13"/>
      <c r="H58" s="13"/>
      <c r="I58" s="14"/>
    </row>
    <row r="59" spans="1:9" ht="13.9">
      <c r="A59" s="13"/>
      <c r="B59" s="13"/>
      <c r="C59" s="13"/>
      <c r="D59" s="13"/>
      <c r="E59" s="13"/>
      <c r="F59" s="14"/>
      <c r="G59" s="13"/>
      <c r="H59" s="13"/>
      <c r="I59" s="14"/>
    </row>
    <row r="60" spans="1:9" ht="13.9">
      <c r="A60" s="13"/>
      <c r="B60" s="13"/>
      <c r="C60" s="13"/>
      <c r="D60" s="13"/>
      <c r="E60" s="13"/>
      <c r="F60" s="14"/>
      <c r="G60" s="13"/>
      <c r="H60" s="13"/>
      <c r="I60" s="14"/>
    </row>
    <row r="61" spans="1:9" ht="13.9">
      <c r="A61" s="13"/>
      <c r="B61" s="13"/>
      <c r="C61" s="13"/>
      <c r="D61" s="13"/>
      <c r="E61" s="13"/>
      <c r="F61" s="14"/>
      <c r="G61" s="13"/>
      <c r="H61" s="13"/>
      <c r="I61" s="14"/>
    </row>
    <row r="62" spans="1:9" ht="13.9">
      <c r="A62" s="13"/>
      <c r="B62" s="13"/>
      <c r="C62" s="13"/>
      <c r="D62" s="13"/>
      <c r="E62" s="13"/>
      <c r="F62" s="14"/>
      <c r="G62" s="13"/>
      <c r="H62" s="13"/>
      <c r="I62" s="14"/>
    </row>
    <row r="63" spans="1:9" ht="13.9">
      <c r="A63" s="13"/>
      <c r="B63" s="13"/>
      <c r="C63" s="13"/>
      <c r="D63" s="13"/>
      <c r="E63" s="13"/>
      <c r="F63" s="14"/>
      <c r="G63" s="13"/>
      <c r="H63" s="13"/>
      <c r="I63" s="14"/>
    </row>
    <row r="64" spans="1:9" ht="13.9">
      <c r="A64" s="13"/>
      <c r="B64" s="13"/>
      <c r="C64" s="13"/>
      <c r="D64" s="13"/>
      <c r="E64" s="13"/>
      <c r="F64" s="14"/>
      <c r="G64" s="13"/>
      <c r="H64" s="13"/>
      <c r="I64" s="14"/>
    </row>
    <row r="65" spans="1:9" ht="13.9">
      <c r="A65" s="13"/>
      <c r="B65" s="13"/>
      <c r="C65" s="13"/>
      <c r="D65" s="13"/>
      <c r="E65" s="13"/>
      <c r="F65" s="14"/>
      <c r="G65" s="13"/>
      <c r="H65" s="13"/>
      <c r="I65" s="14"/>
    </row>
    <row r="66" spans="1:9" ht="13.9">
      <c r="A66" s="13"/>
      <c r="B66" s="13"/>
      <c r="C66" s="13"/>
      <c r="D66" s="13"/>
      <c r="E66" s="13"/>
      <c r="F66" s="14"/>
      <c r="G66" s="13"/>
      <c r="H66" s="13"/>
      <c r="I66" s="14"/>
    </row>
    <row r="67" spans="1:9" ht="13.9">
      <c r="A67" s="13"/>
      <c r="B67" s="13"/>
      <c r="C67" s="13"/>
      <c r="D67" s="13"/>
      <c r="E67" s="13"/>
      <c r="F67" s="14"/>
      <c r="G67" s="13"/>
      <c r="H67" s="13"/>
      <c r="I67" s="14"/>
    </row>
    <row r="68" spans="1:9" ht="13.9">
      <c r="A68" s="13"/>
      <c r="B68" s="13"/>
      <c r="C68" s="13"/>
      <c r="D68" s="13"/>
      <c r="E68" s="13"/>
      <c r="F68" s="14"/>
      <c r="G68" s="13"/>
      <c r="H68" s="13"/>
      <c r="I68" s="14"/>
    </row>
    <row r="69" spans="1:9" ht="13.9">
      <c r="A69" s="13"/>
      <c r="B69" s="13"/>
      <c r="C69" s="13"/>
      <c r="D69" s="13"/>
      <c r="E69" s="13"/>
      <c r="F69" s="14"/>
      <c r="G69" s="13"/>
      <c r="H69" s="13"/>
      <c r="I69" s="14"/>
    </row>
    <row r="70" spans="1:9" ht="13.9">
      <c r="A70" s="13"/>
      <c r="B70" s="13"/>
      <c r="C70" s="13"/>
      <c r="D70" s="13"/>
      <c r="E70" s="13"/>
      <c r="F70" s="14"/>
      <c r="G70" s="13"/>
      <c r="H70" s="13"/>
      <c r="I70" s="14"/>
    </row>
    <row r="71" spans="1:9" ht="13.9">
      <c r="A71" s="13"/>
      <c r="B71" s="13"/>
      <c r="C71" s="13"/>
      <c r="D71" s="13"/>
      <c r="E71" s="13"/>
      <c r="F71" s="14"/>
      <c r="G71" s="13"/>
      <c r="H71" s="13"/>
      <c r="I71" s="14"/>
    </row>
    <row r="72" spans="1:9" ht="13.9">
      <c r="A72" s="13"/>
      <c r="B72" s="13"/>
      <c r="C72" s="13"/>
      <c r="D72" s="13"/>
      <c r="E72" s="13"/>
      <c r="F72" s="14"/>
      <c r="G72" s="13"/>
      <c r="H72" s="13"/>
      <c r="I72" s="14"/>
    </row>
    <row r="73" spans="1:9" ht="13.9">
      <c r="A73" s="13"/>
      <c r="B73" s="13"/>
      <c r="C73" s="13"/>
      <c r="D73" s="13"/>
      <c r="E73" s="13"/>
      <c r="F73" s="14"/>
      <c r="G73" s="13"/>
      <c r="H73" s="13"/>
      <c r="I73" s="14"/>
    </row>
    <row r="74" spans="1:9" ht="13.9">
      <c r="A74" s="13"/>
      <c r="B74" s="13"/>
      <c r="C74" s="13"/>
      <c r="D74" s="13"/>
      <c r="E74" s="13"/>
      <c r="F74" s="14"/>
      <c r="G74" s="13"/>
      <c r="H74" s="13"/>
      <c r="I74" s="14"/>
    </row>
    <row r="75" spans="1:9" ht="13.9">
      <c r="A75" s="13"/>
      <c r="B75" s="13"/>
      <c r="C75" s="13"/>
      <c r="D75" s="13"/>
      <c r="E75" s="13"/>
      <c r="F75" s="14"/>
      <c r="G75" s="13"/>
      <c r="H75" s="13"/>
      <c r="I75" s="14"/>
    </row>
    <row r="76" spans="1:9" ht="13.9">
      <c r="A76" s="13"/>
      <c r="B76" s="13"/>
      <c r="C76" s="13"/>
      <c r="D76" s="13"/>
      <c r="E76" s="13"/>
      <c r="F76" s="14"/>
      <c r="G76" s="13"/>
      <c r="H76" s="13"/>
      <c r="I76" s="14"/>
    </row>
    <row r="77" spans="1:9" ht="13.9">
      <c r="A77" s="13"/>
      <c r="B77" s="13"/>
      <c r="C77" s="13"/>
      <c r="D77" s="13"/>
      <c r="E77" s="13"/>
      <c r="F77" s="14"/>
      <c r="G77" s="13"/>
      <c r="H77" s="13"/>
      <c r="I77" s="14"/>
    </row>
    <row r="78" spans="1:9" ht="13.9">
      <c r="A78" s="13"/>
      <c r="B78" s="13"/>
      <c r="C78" s="13"/>
      <c r="D78" s="13"/>
      <c r="E78" s="13"/>
      <c r="F78" s="14"/>
      <c r="G78" s="13"/>
      <c r="H78" s="13"/>
      <c r="I78" s="14"/>
    </row>
    <row r="79" spans="1:9" ht="13.9">
      <c r="A79" s="13"/>
      <c r="B79" s="13"/>
      <c r="C79" s="13"/>
      <c r="D79" s="13"/>
      <c r="E79" s="13"/>
      <c r="F79" s="14"/>
      <c r="G79" s="13"/>
      <c r="H79" s="13"/>
      <c r="I79" s="14"/>
    </row>
    <row r="80" spans="1:9" ht="13.9">
      <c r="A80" s="13"/>
      <c r="B80" s="13"/>
      <c r="C80" s="13"/>
      <c r="D80" s="13"/>
      <c r="E80" s="13"/>
      <c r="F80" s="14"/>
      <c r="G80" s="13"/>
      <c r="H80" s="13"/>
      <c r="I80" s="14"/>
    </row>
    <row r="81" spans="1:9" ht="13.9">
      <c r="A81" s="13"/>
      <c r="B81" s="13"/>
      <c r="C81" s="13"/>
      <c r="D81" s="13"/>
      <c r="E81" s="13"/>
      <c r="F81" s="14"/>
      <c r="G81" s="13"/>
      <c r="H81" s="13"/>
      <c r="I81" s="14"/>
    </row>
    <row r="82" spans="1:9" ht="13.9">
      <c r="A82" s="13"/>
      <c r="B82" s="13"/>
      <c r="C82" s="13"/>
      <c r="D82" s="13"/>
      <c r="E82" s="13"/>
      <c r="F82" s="14"/>
      <c r="G82" s="13"/>
      <c r="H82" s="13"/>
      <c r="I82" s="14"/>
    </row>
    <row r="83" spans="1:9" ht="13.9">
      <c r="A83" s="13"/>
      <c r="B83" s="13"/>
      <c r="C83" s="13"/>
      <c r="D83" s="13"/>
      <c r="E83" s="13"/>
      <c r="F83" s="14"/>
      <c r="G83" s="13"/>
      <c r="H83" s="13"/>
      <c r="I83" s="14"/>
    </row>
    <row r="84" spans="1:9" ht="13.9">
      <c r="A84" s="13"/>
      <c r="B84" s="13"/>
      <c r="C84" s="13"/>
      <c r="D84" s="13"/>
      <c r="E84" s="13"/>
      <c r="F84" s="14"/>
      <c r="G84" s="13"/>
      <c r="H84" s="13"/>
      <c r="I84" s="14"/>
    </row>
    <row r="85" spans="1:9" ht="13.9">
      <c r="A85" s="13"/>
      <c r="B85" s="13"/>
      <c r="C85" s="13"/>
      <c r="D85" s="13"/>
      <c r="E85" s="13"/>
      <c r="F85" s="14"/>
      <c r="G85" s="13"/>
      <c r="H85" s="13"/>
      <c r="I85" s="14"/>
    </row>
    <row r="86" spans="1:9" ht="13.9">
      <c r="A86" s="13"/>
      <c r="B86" s="13"/>
      <c r="C86" s="13"/>
      <c r="D86" s="13"/>
      <c r="E86" s="13"/>
      <c r="F86" s="14"/>
      <c r="G86" s="13"/>
      <c r="H86" s="13"/>
      <c r="I86" s="14"/>
    </row>
    <row r="87" spans="1:9" ht="13.9">
      <c r="A87" s="13"/>
      <c r="B87" s="13"/>
      <c r="C87" s="13"/>
      <c r="D87" s="13"/>
      <c r="E87" s="13"/>
      <c r="F87" s="14"/>
      <c r="G87" s="13"/>
      <c r="H87" s="13"/>
      <c r="I87" s="14"/>
    </row>
    <row r="88" spans="1:9" ht="13.9">
      <c r="A88" s="13"/>
      <c r="B88" s="13"/>
      <c r="C88" s="13"/>
      <c r="D88" s="13"/>
      <c r="E88" s="13"/>
      <c r="F88" s="14"/>
      <c r="G88" s="13"/>
      <c r="H88" s="13"/>
      <c r="I88" s="14"/>
    </row>
    <row r="89" spans="1:9" ht="13.9">
      <c r="A89" s="13"/>
      <c r="B89" s="13"/>
      <c r="C89" s="13"/>
      <c r="D89" s="13"/>
      <c r="E89" s="13"/>
      <c r="F89" s="14"/>
      <c r="G89" s="13"/>
      <c r="H89" s="13"/>
      <c r="I89" s="14"/>
    </row>
    <row r="90" spans="1:9" ht="13.9">
      <c r="A90" s="13"/>
      <c r="B90" s="13"/>
      <c r="C90" s="13"/>
      <c r="D90" s="13"/>
      <c r="E90" s="13"/>
      <c r="F90" s="14"/>
      <c r="G90" s="13"/>
      <c r="H90" s="13"/>
      <c r="I90" s="14"/>
    </row>
    <row r="91" spans="1:9" ht="13.9">
      <c r="A91" s="13"/>
      <c r="B91" s="13"/>
      <c r="C91" s="13"/>
      <c r="D91" s="13"/>
      <c r="E91" s="13"/>
      <c r="F91" s="14"/>
      <c r="G91" s="13"/>
      <c r="H91" s="13"/>
      <c r="I91" s="14"/>
    </row>
    <row r="92" spans="1:9" ht="13.9">
      <c r="A92" s="13"/>
      <c r="B92" s="13"/>
      <c r="C92" s="13"/>
      <c r="D92" s="13"/>
      <c r="E92" s="13"/>
      <c r="F92" s="14"/>
      <c r="G92" s="13"/>
      <c r="H92" s="13"/>
      <c r="I92" s="14"/>
    </row>
    <row r="93" spans="1:9" ht="13.9">
      <c r="A93" s="13"/>
      <c r="B93" s="13"/>
      <c r="C93" s="13"/>
      <c r="D93" s="13"/>
      <c r="E93" s="13"/>
      <c r="F93" s="14"/>
      <c r="G93" s="13"/>
      <c r="H93" s="13"/>
      <c r="I93" s="14"/>
    </row>
    <row r="94" spans="1:9" ht="13.9">
      <c r="A94" s="13"/>
      <c r="B94" s="13"/>
      <c r="C94" s="13"/>
      <c r="D94" s="13"/>
      <c r="E94" s="13"/>
      <c r="F94" s="14"/>
      <c r="G94" s="13"/>
      <c r="H94" s="13"/>
      <c r="I94" s="14"/>
    </row>
    <row r="95" spans="1:9" ht="13.9">
      <c r="A95" s="13"/>
      <c r="B95" s="13"/>
      <c r="C95" s="13"/>
      <c r="D95" s="13"/>
      <c r="E95" s="13"/>
      <c r="F95" s="14"/>
      <c r="G95" s="13"/>
      <c r="H95" s="13"/>
      <c r="I95" s="14"/>
    </row>
    <row r="96" spans="1:9" ht="13.9">
      <c r="A96" s="13"/>
      <c r="B96" s="13"/>
      <c r="C96" s="13"/>
      <c r="D96" s="13"/>
      <c r="E96" s="13"/>
      <c r="F96" s="14"/>
      <c r="G96" s="13"/>
      <c r="H96" s="13"/>
      <c r="I96" s="14"/>
    </row>
    <row r="97" spans="1:9" ht="13.9">
      <c r="A97" s="13"/>
      <c r="B97" s="13"/>
      <c r="C97" s="13"/>
      <c r="D97" s="13"/>
      <c r="E97" s="13"/>
      <c r="F97" s="14"/>
      <c r="G97" s="13"/>
      <c r="H97" s="13"/>
      <c r="I97" s="14"/>
    </row>
    <row r="98" spans="1:9" ht="13.9">
      <c r="A98" s="13"/>
      <c r="B98" s="13"/>
      <c r="C98" s="13"/>
      <c r="D98" s="13"/>
      <c r="E98" s="13"/>
      <c r="F98" s="14"/>
      <c r="G98" s="13"/>
      <c r="H98" s="13"/>
      <c r="I98" s="14"/>
    </row>
    <row r="99" spans="1:9" ht="13.9">
      <c r="A99" s="13"/>
      <c r="B99" s="13"/>
      <c r="C99" s="13"/>
      <c r="D99" s="13"/>
      <c r="E99" s="13"/>
      <c r="F99" s="14"/>
      <c r="G99" s="13"/>
      <c r="H99" s="13"/>
      <c r="I99" s="14"/>
    </row>
    <row r="100" spans="1:9" ht="13.9">
      <c r="A100" s="13"/>
      <c r="B100" s="13"/>
      <c r="C100" s="13"/>
      <c r="D100" s="13"/>
      <c r="E100" s="13"/>
      <c r="F100" s="14"/>
      <c r="G100" s="13"/>
      <c r="H100" s="13"/>
      <c r="I100" s="14"/>
    </row>
    <row r="101" spans="1:9" ht="13.9">
      <c r="A101" s="13"/>
      <c r="B101" s="13"/>
      <c r="C101" s="13"/>
      <c r="D101" s="13"/>
      <c r="E101" s="13"/>
      <c r="F101" s="14"/>
      <c r="G101" s="13"/>
      <c r="H101" s="13"/>
      <c r="I101" s="14"/>
    </row>
    <row r="102" spans="1:9" ht="13.9">
      <c r="A102" s="13"/>
      <c r="B102" s="13"/>
      <c r="C102" s="13"/>
      <c r="D102" s="13"/>
      <c r="E102" s="13"/>
      <c r="F102" s="14"/>
      <c r="G102" s="13"/>
      <c r="H102" s="13"/>
      <c r="I102" s="14"/>
    </row>
    <row r="103" spans="1:9" ht="13.9">
      <c r="A103" s="13"/>
      <c r="B103" s="13"/>
      <c r="C103" s="13"/>
      <c r="D103" s="13"/>
      <c r="E103" s="13"/>
      <c r="F103" s="14"/>
      <c r="G103" s="13"/>
      <c r="H103" s="13"/>
      <c r="I103" s="14"/>
    </row>
    <row r="104" spans="1:9" ht="13.9">
      <c r="A104" s="13"/>
      <c r="B104" s="13"/>
      <c r="C104" s="13"/>
      <c r="D104" s="13"/>
      <c r="E104" s="13"/>
      <c r="F104" s="14"/>
      <c r="G104" s="13"/>
      <c r="H104" s="13"/>
      <c r="I104" s="14"/>
    </row>
    <row r="105" spans="1:9" ht="13.9">
      <c r="A105" s="13"/>
      <c r="B105" s="13"/>
      <c r="C105" s="13"/>
      <c r="D105" s="13"/>
      <c r="E105" s="13"/>
      <c r="F105" s="14"/>
      <c r="G105" s="13"/>
      <c r="H105" s="13"/>
      <c r="I105" s="14"/>
    </row>
    <row r="106" spans="1:9" ht="13.9">
      <c r="A106" s="13"/>
      <c r="B106" s="13"/>
      <c r="C106" s="13"/>
      <c r="D106" s="13"/>
      <c r="E106" s="13"/>
      <c r="F106" s="14"/>
      <c r="G106" s="13"/>
      <c r="H106" s="13"/>
      <c r="I106" s="14"/>
    </row>
    <row r="107" spans="1:9" ht="13.9">
      <c r="A107" s="13"/>
      <c r="B107" s="13"/>
      <c r="C107" s="13"/>
      <c r="D107" s="13"/>
      <c r="E107" s="13"/>
      <c r="F107" s="14"/>
      <c r="G107" s="13"/>
      <c r="H107" s="13"/>
      <c r="I107" s="14"/>
    </row>
    <row r="108" spans="1:9" ht="13.9">
      <c r="A108" s="13"/>
      <c r="B108" s="13"/>
      <c r="C108" s="13"/>
      <c r="D108" s="13"/>
      <c r="E108" s="13"/>
      <c r="F108" s="14"/>
      <c r="G108" s="13"/>
      <c r="H108" s="13"/>
      <c r="I108" s="14"/>
    </row>
    <row r="109" spans="1:9" ht="13.9">
      <c r="A109" s="13"/>
      <c r="B109" s="13"/>
      <c r="C109" s="13"/>
      <c r="D109" s="13"/>
      <c r="E109" s="13"/>
      <c r="F109" s="14"/>
      <c r="G109" s="13"/>
      <c r="H109" s="13"/>
      <c r="I109" s="14"/>
    </row>
    <row r="110" spans="1:9" ht="13.9">
      <c r="A110" s="13"/>
      <c r="B110" s="13"/>
      <c r="C110" s="13"/>
      <c r="D110" s="13"/>
      <c r="E110" s="13"/>
      <c r="F110" s="14"/>
      <c r="G110" s="13"/>
      <c r="H110" s="13"/>
      <c r="I110" s="14"/>
    </row>
    <row r="111" spans="1:9" ht="13.9">
      <c r="A111" s="13"/>
      <c r="B111" s="13"/>
      <c r="C111" s="13"/>
      <c r="D111" s="13"/>
      <c r="E111" s="13"/>
      <c r="F111" s="14"/>
      <c r="G111" s="13"/>
      <c r="H111" s="13"/>
      <c r="I111" s="14"/>
    </row>
    <row r="112" spans="1:9" ht="13.9">
      <c r="A112" s="13"/>
      <c r="B112" s="13"/>
      <c r="C112" s="13"/>
      <c r="D112" s="13"/>
      <c r="E112" s="13"/>
      <c r="F112" s="14"/>
      <c r="G112" s="13"/>
      <c r="H112" s="13"/>
      <c r="I112" s="14"/>
    </row>
    <row r="113" spans="1:9" ht="13.9">
      <c r="A113" s="13"/>
      <c r="B113" s="13"/>
      <c r="C113" s="13"/>
      <c r="D113" s="13"/>
      <c r="E113" s="13"/>
      <c r="F113" s="14"/>
      <c r="G113" s="13"/>
      <c r="H113" s="13"/>
      <c r="I113" s="14"/>
    </row>
    <row r="114" spans="1:9" ht="13.9">
      <c r="A114" s="13"/>
      <c r="B114" s="13"/>
      <c r="C114" s="13"/>
      <c r="D114" s="13"/>
      <c r="E114" s="13"/>
      <c r="F114" s="14"/>
      <c r="G114" s="13"/>
      <c r="H114" s="13"/>
      <c r="I114" s="14"/>
    </row>
    <row r="115" spans="1:9" ht="13.9">
      <c r="A115" s="13"/>
      <c r="B115" s="13"/>
      <c r="C115" s="13"/>
      <c r="D115" s="13"/>
      <c r="E115" s="13"/>
      <c r="F115" s="14"/>
      <c r="G115" s="13"/>
      <c r="H115" s="13"/>
      <c r="I115" s="14"/>
    </row>
    <row r="116" spans="1:9" ht="13.9">
      <c r="A116" s="13"/>
      <c r="B116" s="13"/>
      <c r="C116" s="13"/>
      <c r="D116" s="13"/>
      <c r="E116" s="13"/>
      <c r="F116" s="14"/>
      <c r="G116" s="13"/>
      <c r="H116" s="13"/>
      <c r="I116" s="14"/>
    </row>
    <row r="117" spans="1:9" ht="13.9">
      <c r="A117" s="13"/>
      <c r="B117" s="13"/>
      <c r="C117" s="13"/>
      <c r="D117" s="13"/>
      <c r="E117" s="13"/>
      <c r="F117" s="14"/>
      <c r="G117" s="13"/>
      <c r="H117" s="13"/>
      <c r="I117" s="14"/>
    </row>
    <row r="118" spans="1:9" ht="13.9">
      <c r="A118" s="13"/>
      <c r="B118" s="13"/>
      <c r="C118" s="13"/>
      <c r="D118" s="13"/>
      <c r="E118" s="13"/>
      <c r="F118" s="14"/>
      <c r="G118" s="13"/>
      <c r="H118" s="13"/>
      <c r="I118" s="14"/>
    </row>
    <row r="119" spans="1:9" ht="13.9">
      <c r="A119" s="13"/>
      <c r="B119" s="13"/>
      <c r="C119" s="13"/>
      <c r="D119" s="13"/>
      <c r="E119" s="13"/>
      <c r="F119" s="14"/>
      <c r="G119" s="13"/>
      <c r="H119" s="13"/>
      <c r="I119" s="14"/>
    </row>
    <row r="120" spans="1:9" ht="13.9">
      <c r="A120" s="13"/>
      <c r="B120" s="13"/>
      <c r="C120" s="13"/>
      <c r="D120" s="13"/>
      <c r="E120" s="13"/>
      <c r="F120" s="14"/>
      <c r="G120" s="13"/>
      <c r="H120" s="13"/>
      <c r="I120" s="14"/>
    </row>
    <row r="121" spans="1:9" ht="13.9">
      <c r="A121" s="13"/>
      <c r="B121" s="13"/>
      <c r="C121" s="13"/>
      <c r="D121" s="13"/>
      <c r="E121" s="13"/>
      <c r="F121" s="14"/>
      <c r="G121" s="13"/>
      <c r="H121" s="13"/>
      <c r="I121" s="14"/>
    </row>
    <row r="122" spans="1:9" ht="13.9">
      <c r="A122" s="13"/>
      <c r="B122" s="13"/>
      <c r="C122" s="13"/>
      <c r="D122" s="13"/>
      <c r="E122" s="13"/>
      <c r="F122" s="14"/>
      <c r="G122" s="13"/>
      <c r="H122" s="13"/>
      <c r="I122" s="14"/>
    </row>
    <row r="123" spans="1:9" ht="13.9">
      <c r="A123" s="13"/>
      <c r="B123" s="13"/>
      <c r="C123" s="13"/>
      <c r="D123" s="13"/>
      <c r="E123" s="13"/>
      <c r="F123" s="14"/>
      <c r="G123" s="13"/>
      <c r="H123" s="13"/>
      <c r="I123" s="14"/>
    </row>
    <row r="124" spans="1:9" ht="13.9">
      <c r="A124" s="13"/>
      <c r="B124" s="13"/>
      <c r="C124" s="13"/>
      <c r="D124" s="13"/>
      <c r="E124" s="13"/>
      <c r="F124" s="14"/>
      <c r="G124" s="13"/>
      <c r="H124" s="13"/>
      <c r="I124" s="14"/>
    </row>
    <row r="125" spans="1:9" ht="13.9">
      <c r="A125" s="13"/>
      <c r="B125" s="13"/>
      <c r="C125" s="13"/>
      <c r="D125" s="13"/>
      <c r="E125" s="13"/>
      <c r="F125" s="14"/>
      <c r="G125" s="13"/>
      <c r="H125" s="13"/>
      <c r="I125" s="14"/>
    </row>
    <row r="126" spans="1:9" ht="13.9">
      <c r="A126" s="13"/>
      <c r="B126" s="13"/>
      <c r="C126" s="13"/>
      <c r="D126" s="13"/>
      <c r="E126" s="13"/>
      <c r="F126" s="14"/>
      <c r="G126" s="13"/>
      <c r="H126" s="13"/>
      <c r="I126" s="14"/>
    </row>
    <row r="127" spans="1:9" ht="13.9">
      <c r="A127" s="13"/>
      <c r="B127" s="13"/>
      <c r="C127" s="13"/>
      <c r="D127" s="13"/>
      <c r="E127" s="13"/>
      <c r="F127" s="14"/>
      <c r="G127" s="13"/>
      <c r="H127" s="13"/>
      <c r="I127" s="14"/>
    </row>
    <row r="128" spans="1:9" ht="13.9">
      <c r="A128" s="13"/>
      <c r="B128" s="13"/>
      <c r="C128" s="13"/>
      <c r="D128" s="13"/>
      <c r="E128" s="13"/>
      <c r="F128" s="14"/>
      <c r="G128" s="13"/>
      <c r="H128" s="13"/>
      <c r="I128" s="14"/>
    </row>
    <row r="129" spans="1:9" ht="13.9">
      <c r="A129" s="13"/>
      <c r="B129" s="13"/>
      <c r="C129" s="13"/>
      <c r="D129" s="13"/>
      <c r="E129" s="13"/>
      <c r="F129" s="14"/>
      <c r="G129" s="13"/>
      <c r="H129" s="13"/>
      <c r="I129" s="14"/>
    </row>
    <row r="130" spans="1:9" ht="13.9">
      <c r="A130" s="13"/>
      <c r="B130" s="13"/>
      <c r="C130" s="13"/>
      <c r="D130" s="13"/>
      <c r="E130" s="13"/>
      <c r="F130" s="14"/>
      <c r="G130" s="13"/>
      <c r="H130" s="13"/>
      <c r="I130" s="14"/>
    </row>
    <row r="131" spans="1:9" ht="13.9">
      <c r="A131" s="13"/>
      <c r="B131" s="13"/>
      <c r="C131" s="13"/>
      <c r="D131" s="13"/>
      <c r="E131" s="13"/>
      <c r="F131" s="14"/>
      <c r="G131" s="13"/>
      <c r="H131" s="13"/>
      <c r="I131" s="14"/>
    </row>
    <row r="132" spans="1:9" ht="13.9">
      <c r="A132" s="13"/>
      <c r="B132" s="13"/>
      <c r="C132" s="13"/>
      <c r="D132" s="13"/>
      <c r="E132" s="13"/>
      <c r="F132" s="14"/>
      <c r="G132" s="13"/>
      <c r="H132" s="13"/>
      <c r="I132" s="14"/>
    </row>
    <row r="133" spans="1:9" ht="13.9">
      <c r="A133" s="13"/>
      <c r="B133" s="13"/>
      <c r="C133" s="13"/>
      <c r="D133" s="13"/>
      <c r="E133" s="13"/>
      <c r="F133" s="14"/>
      <c r="G133" s="13"/>
      <c r="H133" s="13"/>
      <c r="I133" s="14"/>
    </row>
    <row r="134" spans="1:9" ht="13.9">
      <c r="A134" s="13"/>
      <c r="B134" s="13"/>
      <c r="C134" s="13"/>
      <c r="D134" s="13"/>
      <c r="E134" s="13"/>
      <c r="F134" s="14"/>
      <c r="G134" s="13"/>
      <c r="H134" s="13"/>
      <c r="I134" s="14"/>
    </row>
    <row r="135" spans="1:9" ht="13.9">
      <c r="A135" s="13"/>
      <c r="B135" s="13"/>
      <c r="C135" s="13"/>
      <c r="D135" s="13"/>
      <c r="E135" s="13"/>
      <c r="F135" s="14"/>
      <c r="G135" s="13"/>
      <c r="H135" s="13"/>
      <c r="I135" s="14"/>
    </row>
    <row r="136" spans="1:9" ht="13.9">
      <c r="A136" s="13"/>
      <c r="B136" s="13"/>
      <c r="C136" s="13"/>
      <c r="D136" s="13"/>
      <c r="E136" s="13"/>
      <c r="F136" s="14"/>
      <c r="G136" s="13"/>
      <c r="H136" s="13"/>
      <c r="I136" s="14"/>
    </row>
    <row r="137" spans="1:9" ht="13.9">
      <c r="A137" s="13"/>
      <c r="B137" s="13"/>
      <c r="C137" s="13"/>
      <c r="D137" s="13"/>
      <c r="E137" s="13"/>
      <c r="F137" s="14"/>
      <c r="G137" s="13"/>
      <c r="H137" s="13"/>
      <c r="I137" s="14"/>
    </row>
    <row r="138" spans="1:9" ht="13.9">
      <c r="A138" s="13"/>
      <c r="B138" s="13"/>
      <c r="C138" s="13"/>
      <c r="D138" s="13"/>
      <c r="E138" s="13"/>
      <c r="F138" s="14"/>
      <c r="G138" s="13"/>
      <c r="H138" s="13"/>
      <c r="I138" s="14"/>
    </row>
    <row r="139" spans="1:9" ht="13.9">
      <c r="A139" s="13"/>
      <c r="B139" s="13"/>
      <c r="C139" s="13"/>
      <c r="D139" s="13"/>
      <c r="E139" s="13"/>
      <c r="F139" s="14"/>
      <c r="G139" s="13"/>
      <c r="H139" s="13"/>
      <c r="I139" s="14"/>
    </row>
    <row r="140" spans="1:9" ht="13.9">
      <c r="A140" s="13"/>
      <c r="B140" s="13"/>
      <c r="C140" s="13"/>
      <c r="D140" s="13"/>
      <c r="E140" s="13"/>
      <c r="F140" s="14"/>
      <c r="G140" s="13"/>
      <c r="H140" s="13"/>
      <c r="I140" s="14"/>
    </row>
    <row r="141" spans="1:9" ht="13.9">
      <c r="A141" s="13"/>
      <c r="B141" s="13"/>
      <c r="C141" s="13"/>
      <c r="D141" s="13"/>
      <c r="E141" s="13"/>
      <c r="F141" s="14"/>
      <c r="G141" s="13"/>
      <c r="H141" s="13"/>
      <c r="I141" s="14"/>
    </row>
    <row r="142" spans="1:9" ht="13.9">
      <c r="A142" s="13"/>
      <c r="B142" s="13"/>
      <c r="C142" s="13"/>
      <c r="D142" s="13"/>
      <c r="E142" s="13"/>
      <c r="F142" s="14"/>
      <c r="G142" s="13"/>
      <c r="H142" s="13"/>
      <c r="I142" s="14"/>
    </row>
    <row r="143" spans="1:9" ht="13.9">
      <c r="A143" s="13"/>
      <c r="B143" s="13"/>
      <c r="C143" s="13"/>
      <c r="D143" s="13"/>
      <c r="E143" s="13"/>
      <c r="F143" s="14"/>
      <c r="G143" s="13"/>
      <c r="H143" s="13"/>
      <c r="I143" s="14"/>
    </row>
    <row r="144" spans="1:9" ht="13.9">
      <c r="A144" s="13"/>
      <c r="B144" s="13"/>
      <c r="C144" s="13"/>
      <c r="D144" s="13"/>
      <c r="E144" s="13"/>
      <c r="F144" s="14"/>
      <c r="G144" s="13"/>
      <c r="H144" s="13"/>
      <c r="I144" s="14"/>
    </row>
    <row r="145" spans="1:9" ht="13.9">
      <c r="A145" s="13"/>
      <c r="B145" s="13"/>
      <c r="C145" s="13"/>
      <c r="D145" s="13"/>
      <c r="E145" s="13"/>
      <c r="F145" s="14"/>
      <c r="G145" s="13"/>
      <c r="H145" s="13"/>
      <c r="I145" s="14"/>
    </row>
    <row r="146" spans="1:9" ht="13.9">
      <c r="A146" s="13"/>
      <c r="B146" s="13"/>
      <c r="C146" s="13"/>
      <c r="D146" s="13"/>
      <c r="E146" s="13"/>
      <c r="F146" s="14"/>
      <c r="G146" s="13"/>
      <c r="H146" s="13"/>
      <c r="I146" s="14"/>
    </row>
    <row r="147" spans="1:9" ht="13.9">
      <c r="A147" s="13"/>
      <c r="B147" s="13"/>
      <c r="C147" s="13"/>
      <c r="D147" s="13"/>
      <c r="E147" s="13"/>
      <c r="F147" s="14"/>
      <c r="G147" s="13"/>
      <c r="H147" s="13"/>
      <c r="I147" s="14"/>
    </row>
    <row r="148" spans="1:9" ht="13.9">
      <c r="A148" s="13"/>
      <c r="B148" s="13"/>
      <c r="C148" s="13"/>
      <c r="D148" s="13"/>
      <c r="E148" s="13"/>
      <c r="F148" s="14"/>
      <c r="G148" s="13"/>
      <c r="H148" s="13"/>
      <c r="I148" s="14"/>
    </row>
    <row r="149" spans="1:9" ht="13.9">
      <c r="A149" s="13"/>
      <c r="B149" s="13"/>
      <c r="C149" s="13"/>
      <c r="D149" s="13"/>
      <c r="E149" s="13"/>
      <c r="F149" s="14"/>
      <c r="G149" s="13"/>
      <c r="H149" s="13"/>
      <c r="I149" s="14"/>
    </row>
    <row r="150" spans="1:9" ht="13.9">
      <c r="A150" s="13"/>
      <c r="B150" s="13"/>
      <c r="C150" s="13"/>
      <c r="D150" s="13"/>
      <c r="E150" s="13"/>
      <c r="F150" s="14"/>
      <c r="G150" s="13"/>
      <c r="H150" s="13"/>
      <c r="I150" s="14"/>
    </row>
    <row r="151" spans="1:9" ht="13.9">
      <c r="A151" s="13"/>
      <c r="B151" s="13"/>
      <c r="C151" s="13"/>
      <c r="D151" s="13"/>
      <c r="E151" s="13"/>
      <c r="F151" s="14"/>
      <c r="G151" s="13"/>
      <c r="H151" s="13"/>
      <c r="I151" s="14"/>
    </row>
    <row r="152" spans="1:9" ht="13.9">
      <c r="A152" s="13"/>
      <c r="B152" s="13"/>
      <c r="C152" s="13"/>
      <c r="D152" s="13"/>
      <c r="E152" s="13"/>
      <c r="F152" s="14"/>
      <c r="G152" s="13"/>
      <c r="H152" s="13"/>
      <c r="I152" s="14"/>
    </row>
    <row r="153" spans="1:9" ht="13.9">
      <c r="A153" s="13"/>
      <c r="B153" s="13"/>
      <c r="C153" s="13"/>
      <c r="D153" s="13"/>
      <c r="E153" s="13"/>
      <c r="F153" s="14"/>
      <c r="G153" s="13"/>
      <c r="H153" s="13"/>
      <c r="I153" s="14"/>
    </row>
    <row r="154" spans="1:9" ht="13.9">
      <c r="A154" s="13"/>
      <c r="B154" s="13"/>
      <c r="C154" s="13"/>
      <c r="D154" s="13"/>
      <c r="E154" s="13"/>
      <c r="F154" s="14"/>
      <c r="G154" s="13"/>
      <c r="H154" s="13"/>
      <c r="I154" s="14"/>
    </row>
    <row r="155" spans="1:9" ht="13.9">
      <c r="A155" s="13"/>
      <c r="B155" s="13"/>
      <c r="C155" s="13"/>
      <c r="D155" s="13"/>
      <c r="E155" s="13"/>
      <c r="F155" s="14"/>
      <c r="G155" s="13"/>
      <c r="H155" s="13"/>
      <c r="I155" s="14"/>
    </row>
    <row r="156" spans="1:9" ht="13.9">
      <c r="A156" s="13"/>
      <c r="B156" s="13"/>
      <c r="C156" s="13"/>
      <c r="D156" s="13"/>
      <c r="E156" s="13"/>
      <c r="F156" s="14"/>
      <c r="G156" s="13"/>
      <c r="H156" s="13"/>
      <c r="I156" s="14"/>
    </row>
    <row r="157" spans="1:9" ht="13.9">
      <c r="A157" s="13"/>
      <c r="B157" s="13"/>
      <c r="C157" s="13"/>
      <c r="D157" s="13"/>
      <c r="E157" s="13"/>
      <c r="F157" s="14"/>
      <c r="G157" s="13"/>
      <c r="H157" s="13"/>
      <c r="I157" s="14"/>
    </row>
    <row r="158" spans="1:9" ht="13.9">
      <c r="A158" s="13"/>
      <c r="B158" s="13"/>
      <c r="C158" s="13"/>
      <c r="D158" s="13"/>
      <c r="E158" s="13"/>
      <c r="F158" s="14"/>
      <c r="G158" s="13"/>
      <c r="H158" s="13"/>
      <c r="I158" s="14"/>
    </row>
    <row r="159" spans="1:9" ht="13.9">
      <c r="A159" s="13"/>
      <c r="B159" s="13"/>
      <c r="C159" s="13"/>
      <c r="D159" s="13"/>
      <c r="E159" s="13"/>
      <c r="F159" s="14"/>
      <c r="G159" s="13"/>
      <c r="H159" s="13"/>
      <c r="I159" s="14"/>
    </row>
    <row r="160" spans="1:9" ht="13.9">
      <c r="A160" s="13"/>
      <c r="B160" s="13"/>
      <c r="C160" s="13"/>
      <c r="D160" s="13"/>
      <c r="E160" s="13"/>
      <c r="F160" s="14"/>
      <c r="G160" s="13"/>
      <c r="H160" s="13"/>
      <c r="I160" s="14"/>
    </row>
    <row r="161" spans="1:9" ht="13.9">
      <c r="A161" s="13"/>
      <c r="B161" s="13"/>
      <c r="C161" s="13"/>
      <c r="D161" s="13"/>
      <c r="E161" s="13"/>
      <c r="F161" s="14"/>
      <c r="G161" s="13"/>
      <c r="H161" s="13"/>
      <c r="I161" s="14"/>
    </row>
    <row r="162" spans="1:9" ht="13.9">
      <c r="A162" s="13"/>
      <c r="B162" s="13"/>
      <c r="C162" s="13"/>
      <c r="D162" s="13"/>
      <c r="E162" s="13"/>
      <c r="F162" s="14"/>
      <c r="G162" s="13"/>
      <c r="H162" s="13"/>
      <c r="I162" s="14"/>
    </row>
    <row r="163" spans="1:9" ht="13.9">
      <c r="A163" s="13"/>
      <c r="B163" s="13"/>
      <c r="C163" s="13"/>
      <c r="D163" s="13"/>
      <c r="E163" s="13"/>
      <c r="F163" s="14"/>
      <c r="G163" s="13"/>
      <c r="H163" s="13"/>
      <c r="I163" s="14"/>
    </row>
    <row r="164" spans="1:9" ht="13.9">
      <c r="A164" s="13"/>
      <c r="B164" s="13"/>
      <c r="C164" s="13"/>
      <c r="D164" s="13"/>
      <c r="E164" s="13"/>
      <c r="F164" s="14"/>
      <c r="G164" s="13"/>
      <c r="H164" s="13"/>
      <c r="I164" s="14"/>
    </row>
    <row r="165" spans="1:9" ht="13.9">
      <c r="A165" s="13"/>
      <c r="B165" s="13"/>
      <c r="C165" s="13"/>
      <c r="D165" s="13"/>
      <c r="E165" s="13"/>
      <c r="F165" s="14"/>
      <c r="G165" s="13"/>
      <c r="H165" s="13"/>
      <c r="I165" s="14"/>
    </row>
    <row r="166" spans="1:9" ht="13.9">
      <c r="A166" s="13"/>
      <c r="B166" s="13"/>
      <c r="C166" s="13"/>
      <c r="D166" s="13"/>
      <c r="E166" s="13"/>
      <c r="F166" s="14"/>
      <c r="G166" s="13"/>
      <c r="H166" s="13"/>
      <c r="I166" s="14"/>
    </row>
    <row r="167" spans="1:9" ht="13.9">
      <c r="A167" s="13"/>
      <c r="B167" s="13"/>
      <c r="C167" s="13"/>
      <c r="D167" s="13"/>
      <c r="E167" s="13"/>
      <c r="F167" s="14"/>
      <c r="G167" s="13"/>
      <c r="H167" s="13"/>
      <c r="I167" s="14"/>
    </row>
    <row r="168" spans="1:9" ht="13.9">
      <c r="A168" s="13"/>
      <c r="B168" s="13"/>
      <c r="C168" s="13"/>
      <c r="D168" s="13"/>
      <c r="E168" s="13"/>
      <c r="F168" s="14"/>
      <c r="G168" s="13"/>
      <c r="H168" s="13"/>
      <c r="I168" s="14"/>
    </row>
    <row r="169" spans="1:9" ht="13.9">
      <c r="A169" s="13"/>
      <c r="B169" s="13"/>
      <c r="C169" s="13"/>
      <c r="D169" s="13"/>
      <c r="E169" s="13"/>
      <c r="F169" s="14"/>
      <c r="G169" s="13"/>
      <c r="H169" s="13"/>
      <c r="I169" s="14"/>
    </row>
    <row r="170" spans="1:9" ht="13.9">
      <c r="A170" s="13"/>
      <c r="B170" s="13"/>
      <c r="C170" s="13"/>
      <c r="D170" s="13"/>
      <c r="E170" s="13"/>
      <c r="F170" s="14"/>
      <c r="G170" s="13"/>
      <c r="H170" s="13"/>
      <c r="I170" s="14"/>
    </row>
    <row r="171" spans="1:9" ht="13.9">
      <c r="A171" s="13"/>
      <c r="B171" s="13"/>
      <c r="C171" s="13"/>
      <c r="D171" s="13"/>
      <c r="E171" s="13"/>
      <c r="F171" s="14"/>
      <c r="G171" s="13"/>
      <c r="H171" s="13"/>
      <c r="I171" s="14"/>
    </row>
    <row r="172" spans="1:9" ht="13.9">
      <c r="A172" s="13"/>
      <c r="B172" s="13"/>
      <c r="C172" s="13"/>
      <c r="D172" s="13"/>
      <c r="E172" s="13"/>
      <c r="F172" s="14"/>
      <c r="G172" s="13"/>
      <c r="H172" s="13"/>
      <c r="I172" s="14"/>
    </row>
    <row r="173" spans="1:9" ht="13.9">
      <c r="A173" s="13"/>
      <c r="B173" s="13"/>
      <c r="C173" s="13"/>
      <c r="D173" s="13"/>
      <c r="E173" s="13"/>
      <c r="F173" s="14"/>
      <c r="G173" s="13"/>
      <c r="H173" s="13"/>
      <c r="I173" s="14"/>
    </row>
    <row r="174" spans="1:9" ht="13.9">
      <c r="A174" s="13"/>
      <c r="B174" s="13"/>
      <c r="C174" s="13"/>
      <c r="D174" s="13"/>
      <c r="E174" s="13"/>
      <c r="F174" s="14"/>
      <c r="G174" s="13"/>
      <c r="H174" s="13"/>
      <c r="I174" s="14"/>
    </row>
    <row r="175" spans="1:9" ht="13.9">
      <c r="A175" s="13"/>
      <c r="B175" s="13"/>
      <c r="C175" s="13"/>
      <c r="D175" s="13"/>
      <c r="E175" s="13"/>
      <c r="F175" s="14"/>
      <c r="G175" s="13"/>
      <c r="H175" s="13"/>
      <c r="I175" s="14"/>
    </row>
    <row r="176" spans="1:9" ht="13.9">
      <c r="A176" s="13"/>
      <c r="B176" s="13"/>
      <c r="C176" s="13"/>
      <c r="D176" s="13"/>
      <c r="E176" s="13"/>
      <c r="F176" s="14"/>
      <c r="G176" s="13"/>
      <c r="H176" s="13"/>
      <c r="I176" s="14"/>
    </row>
    <row r="177" spans="1:9" ht="13.9">
      <c r="A177" s="13"/>
      <c r="B177" s="13"/>
      <c r="C177" s="13"/>
      <c r="D177" s="13"/>
      <c r="E177" s="13"/>
      <c r="F177" s="14"/>
      <c r="G177" s="13"/>
      <c r="H177" s="13"/>
      <c r="I177" s="14"/>
    </row>
    <row r="178" spans="1:9" ht="13.9">
      <c r="A178" s="13"/>
      <c r="B178" s="13"/>
      <c r="C178" s="13"/>
      <c r="D178" s="13"/>
      <c r="E178" s="13"/>
      <c r="F178" s="14"/>
      <c r="G178" s="13"/>
      <c r="H178" s="13"/>
      <c r="I178" s="14"/>
    </row>
    <row r="179" spans="1:9" ht="13.9">
      <c r="A179" s="13"/>
      <c r="B179" s="13"/>
      <c r="C179" s="13"/>
      <c r="D179" s="13"/>
      <c r="E179" s="13"/>
      <c r="F179" s="14"/>
      <c r="G179" s="13"/>
      <c r="H179" s="13"/>
      <c r="I179" s="14"/>
    </row>
    <row r="180" spans="1:9" ht="13.9">
      <c r="A180" s="13"/>
      <c r="B180" s="13"/>
      <c r="C180" s="13"/>
      <c r="D180" s="13"/>
      <c r="E180" s="13"/>
      <c r="F180" s="14"/>
      <c r="G180" s="13"/>
      <c r="H180" s="13"/>
      <c r="I180" s="14"/>
    </row>
    <row r="181" spans="1:9" ht="13.9">
      <c r="A181" s="13"/>
      <c r="B181" s="13"/>
      <c r="C181" s="13"/>
      <c r="D181" s="13"/>
      <c r="E181" s="13"/>
      <c r="F181" s="14"/>
      <c r="G181" s="13"/>
      <c r="H181" s="13"/>
      <c r="I181" s="14"/>
    </row>
    <row r="182" spans="1:9" ht="13.9">
      <c r="A182" s="13"/>
      <c r="B182" s="13"/>
      <c r="C182" s="13"/>
      <c r="D182" s="13"/>
      <c r="E182" s="13"/>
      <c r="F182" s="14"/>
      <c r="G182" s="13"/>
      <c r="H182" s="13"/>
      <c r="I182" s="14"/>
    </row>
    <row r="183" spans="1:9" ht="13.9">
      <c r="A183" s="13"/>
      <c r="B183" s="13"/>
      <c r="C183" s="13"/>
      <c r="D183" s="13"/>
      <c r="E183" s="13"/>
      <c r="F183" s="14"/>
      <c r="G183" s="13"/>
      <c r="H183" s="13"/>
      <c r="I183" s="14"/>
    </row>
    <row r="184" spans="1:9" ht="13.9">
      <c r="A184" s="13"/>
      <c r="B184" s="13"/>
      <c r="C184" s="13"/>
      <c r="D184" s="13"/>
      <c r="E184" s="13"/>
      <c r="F184" s="14"/>
      <c r="G184" s="13"/>
      <c r="H184" s="13"/>
      <c r="I184" s="14"/>
    </row>
    <row r="185" spans="1:9" ht="13.9">
      <c r="A185" s="13"/>
      <c r="B185" s="13"/>
      <c r="C185" s="13"/>
      <c r="D185" s="13"/>
      <c r="E185" s="13"/>
      <c r="F185" s="14"/>
      <c r="G185" s="13"/>
      <c r="H185" s="13"/>
      <c r="I185" s="14"/>
    </row>
    <row r="186" spans="1:9" ht="13.9">
      <c r="A186" s="13"/>
      <c r="B186" s="13"/>
      <c r="C186" s="13"/>
      <c r="D186" s="13"/>
      <c r="E186" s="13"/>
      <c r="F186" s="14"/>
      <c r="G186" s="13"/>
      <c r="H186" s="13"/>
      <c r="I186" s="14"/>
    </row>
    <row r="187" spans="1:9" ht="13.9">
      <c r="A187" s="13"/>
      <c r="B187" s="13"/>
      <c r="C187" s="13"/>
      <c r="D187" s="13"/>
      <c r="E187" s="13"/>
      <c r="F187" s="14"/>
      <c r="G187" s="13"/>
      <c r="H187" s="13"/>
      <c r="I187" s="14"/>
    </row>
    <row r="188" spans="1:9" ht="13.9">
      <c r="A188" s="13"/>
      <c r="B188" s="13"/>
      <c r="C188" s="13"/>
      <c r="D188" s="13"/>
      <c r="E188" s="13"/>
      <c r="F188" s="14"/>
      <c r="G188" s="13"/>
      <c r="H188" s="13"/>
      <c r="I188" s="14"/>
    </row>
    <row r="189" spans="1:9" ht="13.9">
      <c r="A189" s="13"/>
      <c r="B189" s="13"/>
      <c r="C189" s="13"/>
      <c r="D189" s="13"/>
      <c r="E189" s="13"/>
      <c r="F189" s="14"/>
      <c r="G189" s="13"/>
      <c r="H189" s="13"/>
      <c r="I189" s="14"/>
    </row>
    <row r="190" spans="1:9" ht="13.9">
      <c r="A190" s="13"/>
      <c r="B190" s="13"/>
      <c r="C190" s="13"/>
      <c r="D190" s="13"/>
      <c r="E190" s="13"/>
      <c r="F190" s="14"/>
      <c r="G190" s="13"/>
      <c r="H190" s="13"/>
      <c r="I190" s="14"/>
    </row>
    <row r="191" spans="1:9" ht="13.9">
      <c r="A191" s="13"/>
      <c r="B191" s="13"/>
      <c r="C191" s="13"/>
      <c r="D191" s="13"/>
      <c r="E191" s="13"/>
      <c r="F191" s="14"/>
      <c r="G191" s="13"/>
      <c r="H191" s="13"/>
      <c r="I191" s="14"/>
    </row>
    <row r="192" spans="1:9" ht="13.9">
      <c r="A192" s="13"/>
      <c r="B192" s="13"/>
      <c r="C192" s="13"/>
      <c r="D192" s="13"/>
      <c r="E192" s="13"/>
      <c r="F192" s="14"/>
      <c r="G192" s="13"/>
      <c r="H192" s="13"/>
      <c r="I192" s="14"/>
    </row>
    <row r="193" spans="1:9" ht="13.9">
      <c r="A193" s="13"/>
      <c r="B193" s="13"/>
      <c r="C193" s="13"/>
      <c r="D193" s="13"/>
      <c r="E193" s="13"/>
      <c r="F193" s="14"/>
      <c r="G193" s="13"/>
      <c r="H193" s="13"/>
      <c r="I193" s="14"/>
    </row>
    <row r="194" spans="1:9" ht="13.9">
      <c r="A194" s="13"/>
      <c r="B194" s="13"/>
      <c r="C194" s="13"/>
      <c r="D194" s="13"/>
      <c r="E194" s="13"/>
      <c r="F194" s="14"/>
      <c r="G194" s="13"/>
      <c r="H194" s="13"/>
      <c r="I194" s="14"/>
    </row>
    <row r="195" spans="1:9" ht="13.9">
      <c r="A195" s="13"/>
      <c r="B195" s="13"/>
      <c r="C195" s="13"/>
      <c r="D195" s="13"/>
      <c r="E195" s="13"/>
      <c r="F195" s="14"/>
      <c r="G195" s="13"/>
      <c r="H195" s="13"/>
      <c r="I195" s="14"/>
    </row>
    <row r="196" spans="1:9" ht="13.9">
      <c r="A196" s="13"/>
      <c r="B196" s="13"/>
      <c r="C196" s="13"/>
      <c r="D196" s="13"/>
      <c r="E196" s="13"/>
      <c r="F196" s="14"/>
      <c r="G196" s="13"/>
      <c r="H196" s="13"/>
      <c r="I196" s="14"/>
    </row>
    <row r="197" spans="1:9" ht="13.9">
      <c r="A197" s="13"/>
      <c r="B197" s="13"/>
      <c r="C197" s="13"/>
      <c r="D197" s="13"/>
      <c r="E197" s="13"/>
      <c r="F197" s="14"/>
      <c r="G197" s="13"/>
      <c r="H197" s="13"/>
      <c r="I197" s="14"/>
    </row>
    <row r="198" spans="1:9" ht="13.9">
      <c r="A198" s="13"/>
      <c r="B198" s="13"/>
      <c r="C198" s="13"/>
      <c r="D198" s="13"/>
      <c r="E198" s="13"/>
      <c r="F198" s="14"/>
      <c r="G198" s="13"/>
      <c r="H198" s="13"/>
      <c r="I198" s="14"/>
    </row>
    <row r="199" spans="1:9" ht="13.9">
      <c r="A199" s="13"/>
      <c r="B199" s="13"/>
      <c r="C199" s="13"/>
      <c r="D199" s="13"/>
      <c r="E199" s="13"/>
      <c r="F199" s="14"/>
      <c r="G199" s="13"/>
      <c r="H199" s="13"/>
      <c r="I199" s="14"/>
    </row>
    <row r="200" spans="1:9" ht="13.9">
      <c r="A200" s="13"/>
      <c r="B200" s="13"/>
      <c r="C200" s="13"/>
      <c r="D200" s="13"/>
      <c r="E200" s="13"/>
      <c r="F200" s="14"/>
      <c r="G200" s="13"/>
      <c r="H200" s="13"/>
      <c r="I200" s="14"/>
    </row>
    <row r="201" spans="1:9" ht="13.9">
      <c r="A201" s="13"/>
      <c r="B201" s="13"/>
      <c r="C201" s="13"/>
      <c r="D201" s="13"/>
      <c r="E201" s="13"/>
      <c r="F201" s="14"/>
      <c r="G201" s="13"/>
      <c r="H201" s="13"/>
      <c r="I201" s="14"/>
    </row>
    <row r="202" spans="1:9" ht="13.9">
      <c r="A202" s="13"/>
      <c r="B202" s="13"/>
      <c r="C202" s="13"/>
      <c r="D202" s="13"/>
      <c r="E202" s="13"/>
      <c r="F202" s="14"/>
      <c r="G202" s="13"/>
      <c r="H202" s="13"/>
      <c r="I202" s="14"/>
    </row>
    <row r="203" spans="1:9" ht="13.9">
      <c r="A203" s="13"/>
      <c r="B203" s="13"/>
      <c r="C203" s="13"/>
      <c r="D203" s="13"/>
      <c r="E203" s="13"/>
      <c r="F203" s="14"/>
      <c r="G203" s="13"/>
      <c r="H203" s="13"/>
      <c r="I203" s="14"/>
    </row>
    <row r="204" spans="1:9" ht="13.9">
      <c r="A204" s="13"/>
      <c r="B204" s="13"/>
      <c r="C204" s="13"/>
      <c r="D204" s="13"/>
      <c r="E204" s="13"/>
      <c r="F204" s="14"/>
      <c r="G204" s="13"/>
      <c r="H204" s="13"/>
      <c r="I204" s="14"/>
    </row>
    <row r="205" spans="1:9" ht="13.9">
      <c r="A205" s="13"/>
      <c r="B205" s="13"/>
      <c r="C205" s="13"/>
      <c r="D205" s="13"/>
      <c r="E205" s="13"/>
      <c r="F205" s="14"/>
      <c r="G205" s="13"/>
      <c r="H205" s="13"/>
      <c r="I205" s="14"/>
    </row>
    <row r="206" spans="1:9" ht="13.9">
      <c r="A206" s="13"/>
      <c r="B206" s="13"/>
      <c r="C206" s="13"/>
      <c r="D206" s="13"/>
      <c r="E206" s="13"/>
      <c r="F206" s="14"/>
      <c r="G206" s="13"/>
      <c r="H206" s="13"/>
      <c r="I206" s="14"/>
    </row>
    <row r="207" spans="1:9" ht="13.9">
      <c r="A207" s="13"/>
      <c r="B207" s="13"/>
      <c r="C207" s="13"/>
      <c r="D207" s="13"/>
      <c r="E207" s="13"/>
      <c r="F207" s="14"/>
      <c r="G207" s="13"/>
      <c r="H207" s="13"/>
      <c r="I207" s="14"/>
    </row>
    <row r="208" spans="1:9" ht="13.9">
      <c r="A208" s="13"/>
      <c r="B208" s="13"/>
      <c r="C208" s="13"/>
      <c r="D208" s="13"/>
      <c r="E208" s="13"/>
      <c r="F208" s="14"/>
      <c r="G208" s="13"/>
      <c r="H208" s="13"/>
      <c r="I208" s="14"/>
    </row>
    <row r="209" spans="1:9" ht="13.9">
      <c r="A209" s="13"/>
      <c r="B209" s="13"/>
      <c r="C209" s="13"/>
      <c r="D209" s="13"/>
      <c r="E209" s="13"/>
      <c r="F209" s="14"/>
      <c r="G209" s="13"/>
      <c r="H209" s="13"/>
      <c r="I209" s="14"/>
    </row>
    <row r="210" spans="1:9" ht="13.9">
      <c r="A210" s="13"/>
      <c r="B210" s="13"/>
      <c r="C210" s="13"/>
      <c r="D210" s="13"/>
      <c r="E210" s="13"/>
      <c r="F210" s="14"/>
      <c r="G210" s="13"/>
      <c r="H210" s="13"/>
      <c r="I210" s="14"/>
    </row>
    <row r="211" spans="1:9" ht="13.9">
      <c r="A211" s="13"/>
      <c r="B211" s="13"/>
      <c r="C211" s="13"/>
      <c r="D211" s="13"/>
      <c r="E211" s="13"/>
      <c r="F211" s="14"/>
      <c r="G211" s="13"/>
      <c r="H211" s="13"/>
      <c r="I211" s="14"/>
    </row>
    <row r="212" spans="1:9" ht="13.9">
      <c r="A212" s="13"/>
      <c r="B212" s="13"/>
      <c r="C212" s="13"/>
      <c r="D212" s="13"/>
      <c r="E212" s="13"/>
      <c r="F212" s="14"/>
      <c r="G212" s="13"/>
      <c r="H212" s="13"/>
      <c r="I212" s="14"/>
    </row>
    <row r="213" spans="1:9" ht="13.9">
      <c r="A213" s="13"/>
      <c r="B213" s="13"/>
      <c r="C213" s="13"/>
      <c r="D213" s="13"/>
      <c r="E213" s="13"/>
      <c r="F213" s="14"/>
      <c r="G213" s="13"/>
      <c r="H213" s="13"/>
      <c r="I213" s="14"/>
    </row>
    <row r="214" spans="1:9" ht="13.9">
      <c r="A214" s="13"/>
      <c r="B214" s="13"/>
      <c r="C214" s="13"/>
      <c r="D214" s="13"/>
      <c r="E214" s="13"/>
      <c r="F214" s="14"/>
      <c r="G214" s="13"/>
      <c r="H214" s="13"/>
      <c r="I214" s="14"/>
    </row>
    <row r="215" spans="1:9" ht="13.9">
      <c r="A215" s="13"/>
      <c r="B215" s="13"/>
      <c r="C215" s="13"/>
      <c r="D215" s="13"/>
      <c r="E215" s="13"/>
      <c r="F215" s="14"/>
      <c r="G215" s="13"/>
      <c r="H215" s="13"/>
      <c r="I215" s="14"/>
    </row>
    <row r="216" spans="1:9" ht="13.9">
      <c r="A216" s="13"/>
      <c r="B216" s="13"/>
      <c r="C216" s="13"/>
      <c r="D216" s="13"/>
      <c r="E216" s="13"/>
      <c r="F216" s="14"/>
      <c r="G216" s="13"/>
      <c r="H216" s="13"/>
      <c r="I216" s="14"/>
    </row>
    <row r="217" spans="1:9" ht="13.9">
      <c r="A217" s="13"/>
      <c r="B217" s="13"/>
      <c r="C217" s="13"/>
      <c r="D217" s="13"/>
      <c r="E217" s="13"/>
      <c r="F217" s="14"/>
      <c r="G217" s="13"/>
      <c r="H217" s="13"/>
      <c r="I217" s="14"/>
    </row>
    <row r="218" spans="1:9" ht="13.9">
      <c r="A218" s="13"/>
      <c r="B218" s="13"/>
      <c r="C218" s="13"/>
      <c r="D218" s="13"/>
      <c r="E218" s="13"/>
      <c r="F218" s="14"/>
      <c r="G218" s="13"/>
      <c r="H218" s="13"/>
      <c r="I218" s="14"/>
    </row>
    <row r="219" spans="1:9" ht="13.9">
      <c r="A219" s="13"/>
      <c r="B219" s="13"/>
      <c r="C219" s="13"/>
      <c r="D219" s="13"/>
      <c r="E219" s="13"/>
      <c r="F219" s="14"/>
      <c r="G219" s="13"/>
      <c r="H219" s="13"/>
      <c r="I219" s="14"/>
    </row>
    <row r="220" spans="1:9" ht="13.9">
      <c r="A220" s="13"/>
      <c r="B220" s="13"/>
      <c r="C220" s="13"/>
      <c r="D220" s="13"/>
      <c r="E220" s="13"/>
      <c r="F220" s="14"/>
      <c r="G220" s="13"/>
      <c r="H220" s="13"/>
      <c r="I220" s="14"/>
    </row>
    <row r="221" spans="1:9" ht="13.9">
      <c r="A221" s="13"/>
      <c r="B221" s="13"/>
      <c r="C221" s="13"/>
      <c r="D221" s="13"/>
      <c r="E221" s="13"/>
      <c r="F221" s="14"/>
      <c r="G221" s="13"/>
      <c r="H221" s="13"/>
      <c r="I221" s="14"/>
    </row>
    <row r="222" spans="1:9" ht="13.9">
      <c r="A222" s="13"/>
      <c r="B222" s="13"/>
      <c r="C222" s="13"/>
      <c r="D222" s="13"/>
      <c r="E222" s="13"/>
      <c r="F222" s="14"/>
      <c r="G222" s="13"/>
      <c r="H222" s="13"/>
      <c r="I222" s="14"/>
    </row>
    <row r="223" spans="1:9" ht="13.9">
      <c r="A223" s="13"/>
      <c r="B223" s="13"/>
      <c r="C223" s="13"/>
      <c r="D223" s="13"/>
      <c r="E223" s="13"/>
      <c r="F223" s="14"/>
      <c r="G223" s="13"/>
      <c r="H223" s="13"/>
      <c r="I223" s="14"/>
    </row>
    <row r="224" spans="1:9" ht="13.9">
      <c r="A224" s="13"/>
      <c r="B224" s="13"/>
      <c r="C224" s="13"/>
      <c r="D224" s="13"/>
      <c r="E224" s="13"/>
      <c r="F224" s="14"/>
      <c r="G224" s="13"/>
      <c r="H224" s="13"/>
      <c r="I224" s="14"/>
    </row>
    <row r="225" spans="1:9" ht="13.9">
      <c r="A225" s="13"/>
      <c r="B225" s="13"/>
      <c r="C225" s="13"/>
      <c r="D225" s="13"/>
      <c r="E225" s="13"/>
      <c r="F225" s="14"/>
      <c r="G225" s="13"/>
      <c r="H225" s="13"/>
      <c r="I225" s="14"/>
    </row>
    <row r="226" spans="1:9" ht="13.9">
      <c r="A226" s="13"/>
      <c r="B226" s="13"/>
      <c r="C226" s="13"/>
      <c r="D226" s="13"/>
      <c r="E226" s="13"/>
      <c r="F226" s="14"/>
      <c r="G226" s="13"/>
      <c r="H226" s="13"/>
      <c r="I226" s="14"/>
    </row>
    <row r="227" spans="1:9" ht="13.9">
      <c r="A227" s="13"/>
      <c r="B227" s="13"/>
      <c r="C227" s="13"/>
      <c r="D227" s="13"/>
      <c r="E227" s="13"/>
      <c r="F227" s="14"/>
      <c r="G227" s="13"/>
      <c r="H227" s="13"/>
      <c r="I227" s="14"/>
    </row>
    <row r="228" spans="1:9" ht="13.9">
      <c r="A228" s="13"/>
      <c r="B228" s="13"/>
      <c r="C228" s="13"/>
      <c r="D228" s="13"/>
      <c r="E228" s="13"/>
      <c r="F228" s="14"/>
      <c r="G228" s="13"/>
      <c r="H228" s="13"/>
      <c r="I228" s="14"/>
    </row>
    <row r="229" spans="1:9" ht="13.9">
      <c r="A229" s="13"/>
      <c r="B229" s="13"/>
      <c r="C229" s="13"/>
      <c r="D229" s="13"/>
      <c r="E229" s="13"/>
      <c r="F229" s="14"/>
      <c r="G229" s="13"/>
      <c r="H229" s="13"/>
      <c r="I229" s="14"/>
    </row>
    <row r="230" spans="1:9" ht="13.9">
      <c r="A230" s="13"/>
      <c r="B230" s="13"/>
      <c r="C230" s="13"/>
      <c r="D230" s="13"/>
      <c r="E230" s="13"/>
      <c r="F230" s="14"/>
      <c r="G230" s="13"/>
      <c r="H230" s="13"/>
      <c r="I230" s="14"/>
    </row>
    <row r="231" spans="1:9" ht="13.9">
      <c r="A231" s="13"/>
      <c r="B231" s="13"/>
      <c r="C231" s="13"/>
      <c r="D231" s="13"/>
      <c r="E231" s="13"/>
      <c r="F231" s="14"/>
      <c r="G231" s="13"/>
      <c r="H231" s="13"/>
      <c r="I231" s="14"/>
    </row>
    <row r="232" spans="1:9" ht="13.9">
      <c r="A232" s="13"/>
      <c r="B232" s="13"/>
      <c r="C232" s="13"/>
      <c r="D232" s="13"/>
      <c r="E232" s="13"/>
      <c r="F232" s="14"/>
      <c r="G232" s="13"/>
      <c r="H232" s="13"/>
      <c r="I232" s="14"/>
    </row>
    <row r="233" spans="1:9" ht="13.9">
      <c r="A233" s="13"/>
      <c r="B233" s="13"/>
      <c r="C233" s="13"/>
      <c r="D233" s="13"/>
      <c r="E233" s="13"/>
      <c r="F233" s="14"/>
      <c r="G233" s="13"/>
      <c r="H233" s="13"/>
      <c r="I233" s="14"/>
    </row>
    <row r="234" spans="1:9" ht="13.9">
      <c r="A234" s="13"/>
      <c r="B234" s="13"/>
      <c r="C234" s="13"/>
      <c r="D234" s="13"/>
      <c r="E234" s="13"/>
      <c r="F234" s="14"/>
      <c r="G234" s="13"/>
      <c r="H234" s="13"/>
      <c r="I234" s="14"/>
    </row>
    <row r="235" spans="1:9" ht="13.9">
      <c r="A235" s="13"/>
      <c r="B235" s="13"/>
      <c r="C235" s="13"/>
      <c r="D235" s="13"/>
      <c r="E235" s="13"/>
      <c r="F235" s="14"/>
      <c r="G235" s="13"/>
      <c r="H235" s="13"/>
      <c r="I235" s="14"/>
    </row>
    <row r="236" spans="1:9" ht="13.9">
      <c r="A236" s="13"/>
      <c r="B236" s="13"/>
      <c r="C236" s="13"/>
      <c r="D236" s="13"/>
      <c r="E236" s="13"/>
      <c r="F236" s="14"/>
      <c r="G236" s="13"/>
      <c r="H236" s="13"/>
      <c r="I236" s="14"/>
    </row>
    <row r="237" spans="1:9" ht="13.9">
      <c r="A237" s="13"/>
      <c r="B237" s="13"/>
      <c r="C237" s="13"/>
      <c r="D237" s="13"/>
      <c r="E237" s="13"/>
      <c r="F237" s="14"/>
      <c r="G237" s="13"/>
      <c r="H237" s="13"/>
      <c r="I237" s="14"/>
    </row>
    <row r="238" spans="1:9" ht="13.9">
      <c r="A238" s="13"/>
      <c r="B238" s="13"/>
      <c r="C238" s="13"/>
      <c r="D238" s="13"/>
      <c r="E238" s="13"/>
      <c r="F238" s="14"/>
      <c r="G238" s="13"/>
      <c r="H238" s="13"/>
      <c r="I238" s="14"/>
    </row>
    <row r="239" spans="1:9" ht="13.9">
      <c r="A239" s="13"/>
      <c r="B239" s="13"/>
      <c r="C239" s="13"/>
      <c r="D239" s="13"/>
      <c r="E239" s="13"/>
      <c r="F239" s="14"/>
      <c r="G239" s="13"/>
      <c r="H239" s="13"/>
      <c r="I239" s="14"/>
    </row>
    <row r="240" spans="1:9" ht="13.9">
      <c r="A240" s="13"/>
      <c r="B240" s="13"/>
      <c r="C240" s="13"/>
      <c r="D240" s="13"/>
      <c r="E240" s="13"/>
      <c r="F240" s="14"/>
      <c r="G240" s="13"/>
      <c r="H240" s="13"/>
      <c r="I240" s="14"/>
    </row>
    <row r="241" spans="1:9" ht="13.9">
      <c r="A241" s="13"/>
      <c r="B241" s="13"/>
      <c r="C241" s="13"/>
      <c r="D241" s="13"/>
      <c r="E241" s="13"/>
      <c r="F241" s="14"/>
      <c r="G241" s="13"/>
      <c r="H241" s="13"/>
      <c r="I241" s="14"/>
    </row>
    <row r="242" spans="1:9" ht="13.9">
      <c r="A242" s="13"/>
      <c r="B242" s="13"/>
      <c r="C242" s="13"/>
      <c r="D242" s="13"/>
      <c r="E242" s="13"/>
      <c r="F242" s="14"/>
      <c r="G242" s="13"/>
      <c r="H242" s="13"/>
      <c r="I242" s="14"/>
    </row>
    <row r="243" spans="1:9" ht="13.9">
      <c r="A243" s="13"/>
      <c r="B243" s="13"/>
      <c r="C243" s="13"/>
      <c r="D243" s="13"/>
      <c r="E243" s="13"/>
      <c r="F243" s="14"/>
      <c r="G243" s="13"/>
      <c r="H243" s="13"/>
      <c r="I243" s="14"/>
    </row>
    <row r="244" spans="1:9" ht="13.9">
      <c r="A244" s="13"/>
      <c r="B244" s="13"/>
      <c r="C244" s="13"/>
      <c r="D244" s="13"/>
      <c r="E244" s="13"/>
      <c r="F244" s="14"/>
      <c r="G244" s="13"/>
      <c r="H244" s="13"/>
      <c r="I244" s="14"/>
    </row>
    <row r="245" spans="1:9" ht="13.9">
      <c r="A245" s="13"/>
      <c r="B245" s="13"/>
      <c r="C245" s="13"/>
      <c r="D245" s="13"/>
      <c r="E245" s="13"/>
      <c r="F245" s="14"/>
      <c r="G245" s="13"/>
      <c r="H245" s="13"/>
      <c r="I245" s="14"/>
    </row>
    <row r="246" spans="1:9" ht="13.9">
      <c r="A246" s="13"/>
      <c r="B246" s="13"/>
      <c r="C246" s="13"/>
      <c r="D246" s="13"/>
      <c r="E246" s="13"/>
      <c r="F246" s="14"/>
      <c r="G246" s="13"/>
      <c r="H246" s="13"/>
      <c r="I246" s="14"/>
    </row>
    <row r="247" spans="1:9" ht="13.9">
      <c r="A247" s="13"/>
      <c r="B247" s="13"/>
      <c r="C247" s="13"/>
      <c r="D247" s="13"/>
      <c r="E247" s="13"/>
      <c r="F247" s="14"/>
      <c r="G247" s="13"/>
      <c r="H247" s="13"/>
      <c r="I247" s="14"/>
    </row>
    <row r="248" spans="1:9" ht="13.9">
      <c r="A248" s="13"/>
      <c r="B248" s="13"/>
      <c r="C248" s="13"/>
      <c r="D248" s="13"/>
      <c r="E248" s="13"/>
      <c r="F248" s="14"/>
      <c r="G248" s="13"/>
      <c r="H248" s="13"/>
      <c r="I248" s="14"/>
    </row>
    <row r="249" spans="1:9" ht="13.9">
      <c r="A249" s="13"/>
      <c r="B249" s="13"/>
      <c r="C249" s="13"/>
      <c r="D249" s="13"/>
      <c r="E249" s="13"/>
      <c r="F249" s="14"/>
      <c r="G249" s="13"/>
      <c r="H249" s="13"/>
      <c r="I249" s="14"/>
    </row>
    <row r="250" spans="1:9" ht="13.9">
      <c r="A250" s="13"/>
      <c r="B250" s="13"/>
      <c r="C250" s="13"/>
      <c r="D250" s="13"/>
      <c r="E250" s="13"/>
      <c r="F250" s="14"/>
      <c r="G250" s="13"/>
      <c r="H250" s="13"/>
      <c r="I250" s="14"/>
    </row>
    <row r="251" spans="1:9" ht="13.9">
      <c r="A251" s="13"/>
      <c r="B251" s="13"/>
      <c r="C251" s="13"/>
      <c r="D251" s="13"/>
      <c r="E251" s="13"/>
      <c r="F251" s="14"/>
      <c r="G251" s="13"/>
      <c r="H251" s="13"/>
      <c r="I251" s="14"/>
    </row>
    <row r="252" spans="1:9" ht="13.9">
      <c r="A252" s="13"/>
      <c r="B252" s="13"/>
      <c r="C252" s="13"/>
      <c r="D252" s="13"/>
      <c r="E252" s="13"/>
      <c r="F252" s="14"/>
      <c r="G252" s="13"/>
      <c r="H252" s="13"/>
      <c r="I252" s="14"/>
    </row>
    <row r="253" spans="1:9" ht="13.9">
      <c r="A253" s="13"/>
      <c r="B253" s="13"/>
      <c r="C253" s="13"/>
      <c r="D253" s="13"/>
      <c r="E253" s="13"/>
      <c r="F253" s="14"/>
      <c r="G253" s="13"/>
      <c r="H253" s="13"/>
      <c r="I253" s="14"/>
    </row>
    <row r="254" spans="1:9" ht="13.9">
      <c r="A254" s="13"/>
      <c r="B254" s="13"/>
      <c r="C254" s="13"/>
      <c r="D254" s="13"/>
      <c r="E254" s="13"/>
      <c r="F254" s="14"/>
      <c r="G254" s="13"/>
      <c r="H254" s="13"/>
      <c r="I254" s="14"/>
    </row>
    <row r="255" spans="1:9" ht="13.9">
      <c r="A255" s="13"/>
      <c r="B255" s="13"/>
      <c r="C255" s="13"/>
      <c r="D255" s="13"/>
      <c r="E255" s="13"/>
      <c r="F255" s="14"/>
      <c r="G255" s="13"/>
      <c r="H255" s="13"/>
      <c r="I255" s="14"/>
    </row>
    <row r="256" spans="1:9" ht="13.9">
      <c r="A256" s="13"/>
      <c r="B256" s="13"/>
      <c r="C256" s="13"/>
      <c r="D256" s="13"/>
      <c r="E256" s="13"/>
      <c r="F256" s="14"/>
      <c r="G256" s="13"/>
      <c r="H256" s="13"/>
      <c r="I256" s="14"/>
    </row>
    <row r="257" spans="1:9" ht="13.9">
      <c r="A257" s="13"/>
      <c r="B257" s="13"/>
      <c r="C257" s="13"/>
      <c r="D257" s="13"/>
      <c r="E257" s="13"/>
      <c r="F257" s="14"/>
      <c r="G257" s="13"/>
      <c r="H257" s="13"/>
      <c r="I257" s="14"/>
    </row>
    <row r="258" spans="1:9" ht="13.9">
      <c r="A258" s="13"/>
      <c r="B258" s="13"/>
      <c r="C258" s="13"/>
      <c r="D258" s="13"/>
      <c r="E258" s="13"/>
      <c r="F258" s="14"/>
      <c r="G258" s="13"/>
      <c r="H258" s="13"/>
      <c r="I258" s="14"/>
    </row>
    <row r="259" spans="1:9" ht="13.9">
      <c r="A259" s="13"/>
      <c r="B259" s="13"/>
      <c r="C259" s="13"/>
      <c r="D259" s="13"/>
      <c r="E259" s="13"/>
      <c r="F259" s="14"/>
      <c r="G259" s="13"/>
      <c r="H259" s="13"/>
      <c r="I259" s="14"/>
    </row>
    <row r="260" spans="1:9" ht="13.9">
      <c r="A260" s="13"/>
      <c r="B260" s="13"/>
      <c r="C260" s="13"/>
      <c r="D260" s="13"/>
      <c r="E260" s="13"/>
      <c r="F260" s="14"/>
      <c r="G260" s="13"/>
      <c r="H260" s="13"/>
      <c r="I260" s="14"/>
    </row>
    <row r="261" spans="1:9" ht="13.9">
      <c r="A261" s="13"/>
      <c r="B261" s="13"/>
      <c r="C261" s="13"/>
      <c r="D261" s="13"/>
      <c r="E261" s="13"/>
      <c r="F261" s="14"/>
      <c r="G261" s="13"/>
      <c r="H261" s="13"/>
      <c r="I261" s="14"/>
    </row>
    <row r="262" spans="1:9" ht="13.9">
      <c r="A262" s="13"/>
      <c r="B262" s="13"/>
      <c r="C262" s="13"/>
      <c r="D262" s="13"/>
      <c r="E262" s="13"/>
      <c r="F262" s="14"/>
      <c r="G262" s="13"/>
      <c r="H262" s="13"/>
      <c r="I262" s="14"/>
    </row>
    <row r="263" spans="1:9" ht="13.9">
      <c r="A263" s="13"/>
      <c r="B263" s="13"/>
      <c r="C263" s="13"/>
      <c r="D263" s="13"/>
      <c r="E263" s="13"/>
      <c r="F263" s="14"/>
      <c r="G263" s="13"/>
      <c r="H263" s="13"/>
      <c r="I263" s="14"/>
    </row>
    <row r="264" spans="1:9" ht="13.9">
      <c r="A264" s="13"/>
      <c r="B264" s="13"/>
      <c r="C264" s="13"/>
      <c r="D264" s="13"/>
      <c r="E264" s="13"/>
      <c r="F264" s="14"/>
      <c r="G264" s="13"/>
      <c r="H264" s="13"/>
      <c r="I264" s="14"/>
    </row>
    <row r="265" spans="1:9" ht="13.9">
      <c r="A265" s="13"/>
      <c r="B265" s="13"/>
      <c r="C265" s="13"/>
      <c r="D265" s="13"/>
      <c r="E265" s="13"/>
      <c r="F265" s="14"/>
      <c r="G265" s="13"/>
      <c r="H265" s="13"/>
      <c r="I265" s="14"/>
    </row>
    <row r="266" spans="1:9" ht="13.9">
      <c r="A266" s="13"/>
      <c r="B266" s="13"/>
      <c r="C266" s="13"/>
      <c r="D266" s="13"/>
      <c r="E266" s="13"/>
      <c r="F266" s="14"/>
      <c r="G266" s="13"/>
      <c r="H266" s="13"/>
      <c r="I266" s="14"/>
    </row>
    <row r="267" spans="1:9" ht="13.9">
      <c r="A267" s="13"/>
      <c r="B267" s="13"/>
      <c r="C267" s="13"/>
      <c r="D267" s="13"/>
      <c r="E267" s="13"/>
      <c r="F267" s="14"/>
      <c r="G267" s="13"/>
      <c r="H267" s="13"/>
      <c r="I267" s="14"/>
    </row>
    <row r="268" spans="1:9" ht="13.9">
      <c r="A268" s="13"/>
      <c r="B268" s="13"/>
      <c r="C268" s="13"/>
      <c r="D268" s="13"/>
      <c r="E268" s="13"/>
      <c r="F268" s="14"/>
      <c r="G268" s="13"/>
      <c r="H268" s="13"/>
      <c r="I268" s="14"/>
    </row>
    <row r="269" spans="1:9" ht="13.9">
      <c r="A269" s="13"/>
      <c r="B269" s="13"/>
      <c r="C269" s="13"/>
      <c r="D269" s="13"/>
      <c r="E269" s="13"/>
      <c r="F269" s="14"/>
      <c r="G269" s="13"/>
      <c r="H269" s="13"/>
      <c r="I269" s="14"/>
    </row>
    <row r="270" spans="1:9" ht="13.9">
      <c r="A270" s="13"/>
      <c r="B270" s="13"/>
      <c r="C270" s="13"/>
      <c r="D270" s="13"/>
      <c r="E270" s="13"/>
      <c r="F270" s="14"/>
      <c r="G270" s="13"/>
      <c r="H270" s="13"/>
      <c r="I270" s="14"/>
    </row>
    <row r="271" spans="1:9" ht="13.9">
      <c r="A271" s="13"/>
      <c r="B271" s="13"/>
      <c r="C271" s="13"/>
      <c r="D271" s="13"/>
      <c r="E271" s="13"/>
      <c r="F271" s="14"/>
      <c r="G271" s="13"/>
      <c r="H271" s="13"/>
      <c r="I271" s="14"/>
    </row>
    <row r="272" spans="1:9" ht="13.9">
      <c r="A272" s="13"/>
      <c r="B272" s="13"/>
      <c r="C272" s="13"/>
      <c r="D272" s="13"/>
      <c r="E272" s="13"/>
      <c r="F272" s="14"/>
      <c r="G272" s="13"/>
      <c r="H272" s="13"/>
      <c r="I272" s="14"/>
    </row>
    <row r="273" spans="1:9" ht="13.9">
      <c r="A273" s="13"/>
      <c r="B273" s="13"/>
      <c r="C273" s="13"/>
      <c r="D273" s="13"/>
      <c r="E273" s="13"/>
      <c r="F273" s="14"/>
      <c r="G273" s="13"/>
      <c r="H273" s="13"/>
      <c r="I273" s="14"/>
    </row>
    <row r="274" spans="1:9" ht="13.9">
      <c r="A274" s="13"/>
      <c r="B274" s="13"/>
      <c r="C274" s="13"/>
      <c r="D274" s="13"/>
      <c r="E274" s="13"/>
      <c r="F274" s="14"/>
      <c r="G274" s="13"/>
      <c r="H274" s="13"/>
      <c r="I274" s="14"/>
    </row>
    <row r="275" spans="1:9" ht="13.9">
      <c r="A275" s="13"/>
      <c r="B275" s="13"/>
      <c r="C275" s="13"/>
      <c r="D275" s="13"/>
      <c r="E275" s="13"/>
      <c r="F275" s="14"/>
      <c r="G275" s="13"/>
      <c r="H275" s="13"/>
      <c r="I275" s="14"/>
    </row>
    <row r="276" spans="1:9" ht="13.9">
      <c r="A276" s="13"/>
      <c r="B276" s="13"/>
      <c r="C276" s="13"/>
      <c r="D276" s="13"/>
      <c r="E276" s="13"/>
      <c r="F276" s="14"/>
      <c r="G276" s="13"/>
      <c r="H276" s="13"/>
      <c r="I276" s="14"/>
    </row>
    <row r="277" spans="1:9" ht="13.9">
      <c r="A277" s="13"/>
      <c r="B277" s="13"/>
      <c r="C277" s="13"/>
      <c r="D277" s="13"/>
      <c r="E277" s="13"/>
      <c r="F277" s="14"/>
      <c r="G277" s="13"/>
      <c r="H277" s="13"/>
      <c r="I277" s="14"/>
    </row>
    <row r="278" spans="1:9" ht="13.9">
      <c r="A278" s="13"/>
      <c r="B278" s="13"/>
      <c r="C278" s="13"/>
      <c r="D278" s="13"/>
      <c r="E278" s="13"/>
      <c r="F278" s="14"/>
      <c r="G278" s="13"/>
      <c r="H278" s="13"/>
      <c r="I278" s="14"/>
    </row>
    <row r="279" spans="1:9" ht="13.9">
      <c r="A279" s="13"/>
      <c r="B279" s="13"/>
      <c r="C279" s="13"/>
      <c r="D279" s="13"/>
      <c r="E279" s="13"/>
      <c r="F279" s="14"/>
      <c r="G279" s="13"/>
      <c r="H279" s="13"/>
      <c r="I279" s="14"/>
    </row>
    <row r="280" spans="1:9" ht="13.9">
      <c r="A280" s="13"/>
      <c r="B280" s="13"/>
      <c r="C280" s="13"/>
      <c r="D280" s="13"/>
      <c r="E280" s="13"/>
      <c r="F280" s="14"/>
      <c r="G280" s="13"/>
      <c r="H280" s="13"/>
      <c r="I280" s="14"/>
    </row>
    <row r="281" spans="1:9" ht="13.9">
      <c r="A281" s="13"/>
      <c r="B281" s="13"/>
      <c r="C281" s="13"/>
      <c r="D281" s="13"/>
      <c r="E281" s="13"/>
      <c r="F281" s="14"/>
      <c r="G281" s="13"/>
      <c r="H281" s="13"/>
      <c r="I281" s="14"/>
    </row>
    <row r="282" spans="1:9" ht="13.9">
      <c r="A282" s="13"/>
      <c r="B282" s="13"/>
      <c r="C282" s="13"/>
      <c r="D282" s="13"/>
      <c r="E282" s="13"/>
      <c r="F282" s="14"/>
      <c r="G282" s="13"/>
      <c r="H282" s="13"/>
      <c r="I282" s="14"/>
    </row>
    <row r="283" spans="1:9" ht="13.9">
      <c r="A283" s="13"/>
      <c r="B283" s="13"/>
      <c r="C283" s="13"/>
      <c r="D283" s="13"/>
      <c r="E283" s="13"/>
      <c r="F283" s="14"/>
      <c r="G283" s="13"/>
      <c r="H283" s="13"/>
      <c r="I283" s="14"/>
    </row>
    <row r="284" spans="1:9" ht="13.9">
      <c r="A284" s="13"/>
      <c r="B284" s="13"/>
      <c r="C284" s="13"/>
      <c r="D284" s="13"/>
      <c r="E284" s="13"/>
      <c r="F284" s="14"/>
      <c r="G284" s="13"/>
      <c r="H284" s="13"/>
      <c r="I284" s="14"/>
    </row>
    <row r="285" spans="1:9" ht="13.9">
      <c r="A285" s="13"/>
      <c r="B285" s="13"/>
      <c r="C285" s="13"/>
      <c r="D285" s="13"/>
      <c r="E285" s="13"/>
      <c r="F285" s="14"/>
      <c r="G285" s="13"/>
      <c r="H285" s="13"/>
      <c r="I285" s="14"/>
    </row>
    <row r="286" spans="1:9" ht="13.9">
      <c r="A286" s="13"/>
      <c r="B286" s="13"/>
      <c r="C286" s="13"/>
      <c r="D286" s="13"/>
      <c r="E286" s="13"/>
      <c r="F286" s="14"/>
      <c r="G286" s="13"/>
      <c r="H286" s="13"/>
      <c r="I286" s="14"/>
    </row>
    <row r="287" spans="1:9" ht="13.9">
      <c r="A287" s="13"/>
      <c r="B287" s="13"/>
      <c r="C287" s="13"/>
      <c r="D287" s="13"/>
      <c r="E287" s="13"/>
      <c r="F287" s="14"/>
      <c r="G287" s="13"/>
      <c r="H287" s="13"/>
      <c r="I287" s="14"/>
    </row>
    <row r="288" spans="1:9" ht="13.9">
      <c r="A288" s="13"/>
      <c r="B288" s="13"/>
      <c r="C288" s="13"/>
      <c r="D288" s="13"/>
      <c r="E288" s="13"/>
      <c r="F288" s="14"/>
      <c r="G288" s="13"/>
      <c r="H288" s="13"/>
      <c r="I288" s="14"/>
    </row>
    <row r="289" spans="1:9" ht="13.9">
      <c r="A289" s="13"/>
      <c r="B289" s="13"/>
      <c r="C289" s="13"/>
      <c r="D289" s="13"/>
      <c r="E289" s="13"/>
      <c r="F289" s="14"/>
      <c r="G289" s="13"/>
      <c r="H289" s="13"/>
      <c r="I289" s="14"/>
    </row>
    <row r="290" spans="1:9" ht="13.9">
      <c r="A290" s="13"/>
      <c r="B290" s="13"/>
      <c r="C290" s="13"/>
      <c r="D290" s="13"/>
      <c r="E290" s="13"/>
      <c r="F290" s="14"/>
      <c r="G290" s="13"/>
      <c r="H290" s="13"/>
      <c r="I290" s="14"/>
    </row>
    <row r="291" spans="1:9" ht="13.9">
      <c r="A291" s="13"/>
      <c r="B291" s="13"/>
      <c r="C291" s="13"/>
      <c r="D291" s="13"/>
      <c r="E291" s="13"/>
      <c r="F291" s="14"/>
      <c r="G291" s="13"/>
      <c r="H291" s="13"/>
      <c r="I291" s="14"/>
    </row>
    <row r="292" spans="1:9" ht="13.9">
      <c r="A292" s="13"/>
      <c r="B292" s="13"/>
      <c r="C292" s="13"/>
      <c r="D292" s="13"/>
      <c r="E292" s="13"/>
      <c r="F292" s="14"/>
      <c r="G292" s="13"/>
      <c r="H292" s="13"/>
      <c r="I292" s="14"/>
    </row>
    <row r="293" spans="1:9" ht="13.9">
      <c r="A293" s="13"/>
      <c r="B293" s="13"/>
      <c r="C293" s="13"/>
      <c r="D293" s="13"/>
      <c r="E293" s="13"/>
      <c r="F293" s="14"/>
      <c r="G293" s="13"/>
      <c r="H293" s="13"/>
      <c r="I293" s="14"/>
    </row>
    <row r="294" spans="1:9" ht="13.9">
      <c r="A294" s="13"/>
      <c r="B294" s="13"/>
      <c r="C294" s="13"/>
      <c r="D294" s="13"/>
      <c r="E294" s="13"/>
      <c r="F294" s="14"/>
      <c r="G294" s="13"/>
      <c r="H294" s="13"/>
      <c r="I294" s="14"/>
    </row>
    <row r="295" spans="1:9" ht="13.9">
      <c r="A295" s="13"/>
      <c r="B295" s="13"/>
      <c r="C295" s="13"/>
      <c r="D295" s="13"/>
      <c r="E295" s="13"/>
      <c r="F295" s="14"/>
      <c r="G295" s="13"/>
      <c r="H295" s="13"/>
      <c r="I295" s="14"/>
    </row>
    <row r="296" spans="1:9" ht="13.9">
      <c r="A296" s="13"/>
      <c r="B296" s="13"/>
      <c r="C296" s="13"/>
      <c r="D296" s="13"/>
      <c r="E296" s="13"/>
      <c r="F296" s="14"/>
      <c r="G296" s="13"/>
      <c r="H296" s="13"/>
      <c r="I296" s="14"/>
    </row>
    <row r="297" spans="1:9" ht="13.9">
      <c r="A297" s="13"/>
      <c r="B297" s="13"/>
      <c r="C297" s="13"/>
      <c r="D297" s="13"/>
      <c r="E297" s="13"/>
      <c r="F297" s="14"/>
      <c r="G297" s="13"/>
      <c r="H297" s="13"/>
      <c r="I297" s="14"/>
    </row>
    <row r="298" spans="1:9" ht="13.9">
      <c r="A298" s="13"/>
      <c r="B298" s="13"/>
      <c r="C298" s="13"/>
      <c r="D298" s="13"/>
      <c r="E298" s="13"/>
      <c r="F298" s="14"/>
      <c r="G298" s="13"/>
      <c r="H298" s="13"/>
      <c r="I298" s="14"/>
    </row>
    <row r="299" spans="1:9" ht="13.9">
      <c r="A299" s="13"/>
      <c r="B299" s="13"/>
      <c r="C299" s="13"/>
      <c r="D299" s="13"/>
      <c r="E299" s="13"/>
      <c r="F299" s="14"/>
      <c r="G299" s="13"/>
      <c r="H299" s="13"/>
      <c r="I299" s="14"/>
    </row>
    <row r="300" spans="1:9" ht="13.9">
      <c r="A300" s="13"/>
      <c r="B300" s="13"/>
      <c r="C300" s="13"/>
      <c r="D300" s="13"/>
      <c r="E300" s="13"/>
      <c r="F300" s="14"/>
      <c r="G300" s="13"/>
      <c r="H300" s="13"/>
      <c r="I300" s="14"/>
    </row>
    <row r="301" spans="1:9" ht="13.9">
      <c r="A301" s="13"/>
      <c r="B301" s="13"/>
      <c r="C301" s="13"/>
      <c r="D301" s="13"/>
      <c r="E301" s="13"/>
      <c r="F301" s="14"/>
      <c r="G301" s="13"/>
      <c r="H301" s="13"/>
      <c r="I301" s="14"/>
    </row>
    <row r="302" spans="1:9" ht="13.9">
      <c r="A302" s="13"/>
      <c r="B302" s="13"/>
      <c r="C302" s="13"/>
      <c r="D302" s="13"/>
      <c r="E302" s="13"/>
      <c r="F302" s="14"/>
      <c r="G302" s="13"/>
      <c r="H302" s="13"/>
      <c r="I302" s="14"/>
    </row>
    <row r="303" spans="1:9" ht="13.9">
      <c r="A303" s="13"/>
      <c r="B303" s="13"/>
      <c r="C303" s="13"/>
      <c r="D303" s="13"/>
      <c r="E303" s="13"/>
      <c r="F303" s="14"/>
      <c r="G303" s="13"/>
      <c r="H303" s="13"/>
      <c r="I303" s="14"/>
    </row>
    <row r="304" spans="1:9" ht="13.9">
      <c r="A304" s="13"/>
      <c r="B304" s="13"/>
      <c r="C304" s="13"/>
      <c r="D304" s="13"/>
      <c r="E304" s="13"/>
      <c r="F304" s="14"/>
      <c r="G304" s="13"/>
      <c r="H304" s="13"/>
      <c r="I304" s="14"/>
    </row>
    <row r="305" spans="1:9" ht="13.9">
      <c r="A305" s="13"/>
      <c r="B305" s="13"/>
      <c r="C305" s="13"/>
      <c r="D305" s="13"/>
      <c r="E305" s="13"/>
      <c r="F305" s="14"/>
      <c r="G305" s="13"/>
      <c r="H305" s="13"/>
      <c r="I305" s="14"/>
    </row>
    <row r="306" spans="1:9" ht="13.9">
      <c r="A306" s="13"/>
      <c r="B306" s="13"/>
      <c r="C306" s="13"/>
      <c r="D306" s="13"/>
      <c r="E306" s="13"/>
      <c r="F306" s="14"/>
      <c r="G306" s="13"/>
      <c r="H306" s="13"/>
      <c r="I306" s="14"/>
    </row>
    <row r="307" spans="1:9" ht="13.9">
      <c r="A307" s="13"/>
      <c r="B307" s="13"/>
      <c r="C307" s="13"/>
      <c r="D307" s="13"/>
      <c r="E307" s="13"/>
      <c r="F307" s="14"/>
      <c r="G307" s="13"/>
      <c r="H307" s="13"/>
      <c r="I307" s="14"/>
    </row>
    <row r="308" spans="1:9" ht="13.9">
      <c r="A308" s="13"/>
      <c r="B308" s="13"/>
      <c r="C308" s="13"/>
      <c r="D308" s="13"/>
      <c r="E308" s="13"/>
      <c r="F308" s="14"/>
      <c r="G308" s="13"/>
      <c r="H308" s="13"/>
      <c r="I308" s="14"/>
    </row>
    <row r="309" spans="1:9" ht="13.9">
      <c r="A309" s="13"/>
      <c r="B309" s="13"/>
      <c r="C309" s="13"/>
      <c r="D309" s="13"/>
      <c r="E309" s="13"/>
      <c r="F309" s="14"/>
      <c r="G309" s="13"/>
      <c r="H309" s="13"/>
      <c r="I309" s="14"/>
    </row>
    <row r="310" spans="1:9" ht="13.9">
      <c r="A310" s="13"/>
      <c r="B310" s="13"/>
      <c r="C310" s="13"/>
      <c r="D310" s="13"/>
      <c r="E310" s="13"/>
      <c r="F310" s="14"/>
      <c r="G310" s="13"/>
      <c r="H310" s="13"/>
      <c r="I310" s="14"/>
    </row>
    <row r="311" spans="1:9" ht="13.9">
      <c r="A311" s="13"/>
      <c r="B311" s="13"/>
      <c r="C311" s="13"/>
      <c r="D311" s="13"/>
      <c r="E311" s="13"/>
      <c r="F311" s="14"/>
      <c r="G311" s="13"/>
      <c r="H311" s="13"/>
      <c r="I311" s="14"/>
    </row>
    <row r="312" spans="1:9" ht="13.9">
      <c r="A312" s="13"/>
      <c r="B312" s="13"/>
      <c r="C312" s="13"/>
      <c r="D312" s="13"/>
      <c r="E312" s="13"/>
      <c r="F312" s="14"/>
      <c r="G312" s="13"/>
      <c r="H312" s="13"/>
      <c r="I312" s="14"/>
    </row>
    <row r="313" spans="1:9" ht="13.9">
      <c r="A313" s="13"/>
      <c r="B313" s="13"/>
      <c r="C313" s="13"/>
      <c r="D313" s="13"/>
      <c r="E313" s="13"/>
      <c r="F313" s="14"/>
      <c r="G313" s="13"/>
      <c r="H313" s="13"/>
      <c r="I313" s="14"/>
    </row>
    <row r="314" spans="1:9" ht="13.9">
      <c r="A314" s="13"/>
      <c r="B314" s="13"/>
      <c r="C314" s="13"/>
      <c r="D314" s="13"/>
      <c r="E314" s="13"/>
      <c r="F314" s="14"/>
      <c r="G314" s="13"/>
      <c r="H314" s="13"/>
      <c r="I314" s="14"/>
    </row>
    <row r="315" spans="1:9" ht="13.9">
      <c r="A315" s="13"/>
      <c r="B315" s="13"/>
      <c r="C315" s="13"/>
      <c r="D315" s="13"/>
      <c r="E315" s="13"/>
      <c r="F315" s="14"/>
      <c r="G315" s="13"/>
      <c r="H315" s="13"/>
      <c r="I315" s="14"/>
    </row>
    <row r="316" spans="1:9" ht="13.9">
      <c r="A316" s="13"/>
      <c r="B316" s="13"/>
      <c r="C316" s="13"/>
      <c r="D316" s="13"/>
      <c r="E316" s="13"/>
      <c r="F316" s="14"/>
      <c r="G316" s="13"/>
      <c r="H316" s="13"/>
      <c r="I316" s="14"/>
    </row>
    <row r="317" spans="1:9" ht="13.9">
      <c r="A317" s="13"/>
      <c r="B317" s="13"/>
      <c r="C317" s="13"/>
      <c r="D317" s="13"/>
      <c r="E317" s="13"/>
      <c r="F317" s="14"/>
      <c r="G317" s="13"/>
      <c r="H317" s="13"/>
      <c r="I317" s="14"/>
    </row>
    <row r="318" spans="1:9" ht="13.9">
      <c r="A318" s="13"/>
      <c r="B318" s="13"/>
      <c r="C318" s="13"/>
      <c r="D318" s="13"/>
      <c r="E318" s="13"/>
      <c r="F318" s="14"/>
      <c r="G318" s="13"/>
      <c r="H318" s="13"/>
      <c r="I318" s="14"/>
    </row>
    <row r="319" spans="1:9" ht="13.9">
      <c r="A319" s="13"/>
      <c r="B319" s="13"/>
      <c r="C319" s="13"/>
      <c r="D319" s="13"/>
      <c r="E319" s="13"/>
      <c r="F319" s="14"/>
      <c r="G319" s="13"/>
      <c r="H319" s="13"/>
      <c r="I319" s="14"/>
    </row>
    <row r="320" spans="1:9" ht="13.9">
      <c r="A320" s="13"/>
      <c r="B320" s="13"/>
      <c r="C320" s="13"/>
      <c r="D320" s="13"/>
      <c r="E320" s="13"/>
      <c r="F320" s="14"/>
      <c r="G320" s="13"/>
      <c r="H320" s="13"/>
      <c r="I320" s="14"/>
    </row>
    <row r="321" spans="1:9" ht="13.9">
      <c r="A321" s="13"/>
      <c r="B321" s="13"/>
      <c r="C321" s="13"/>
      <c r="D321" s="13"/>
      <c r="E321" s="13"/>
      <c r="F321" s="14"/>
      <c r="G321" s="13"/>
      <c r="H321" s="13"/>
      <c r="I321" s="14"/>
    </row>
    <row r="322" spans="1:9" ht="13.9">
      <c r="A322" s="13"/>
      <c r="B322" s="13"/>
      <c r="C322" s="13"/>
      <c r="D322" s="13"/>
      <c r="E322" s="13"/>
      <c r="F322" s="14"/>
      <c r="G322" s="13"/>
      <c r="H322" s="13"/>
      <c r="I322" s="14"/>
    </row>
    <row r="323" spans="1:9" ht="13.9">
      <c r="A323" s="13"/>
      <c r="B323" s="13"/>
      <c r="C323" s="13"/>
      <c r="D323" s="13"/>
      <c r="E323" s="13"/>
      <c r="F323" s="14"/>
      <c r="G323" s="13"/>
      <c r="H323" s="13"/>
      <c r="I323" s="14"/>
    </row>
    <row r="324" spans="1:9" ht="13.9">
      <c r="A324" s="13"/>
      <c r="B324" s="13"/>
      <c r="C324" s="13"/>
      <c r="D324" s="13"/>
      <c r="E324" s="13"/>
      <c r="F324" s="14"/>
      <c r="G324" s="13"/>
      <c r="H324" s="13"/>
      <c r="I324" s="14"/>
    </row>
    <row r="325" spans="1:9" ht="13.9">
      <c r="A325" s="13"/>
      <c r="B325" s="13"/>
      <c r="C325" s="13"/>
      <c r="D325" s="13"/>
      <c r="E325" s="13"/>
      <c r="F325" s="14"/>
      <c r="G325" s="13"/>
      <c r="H325" s="13"/>
      <c r="I325" s="14"/>
    </row>
    <row r="326" spans="1:9" ht="13.9">
      <c r="A326" s="13"/>
      <c r="B326" s="13"/>
      <c r="C326" s="13"/>
      <c r="D326" s="13"/>
      <c r="E326" s="13"/>
      <c r="F326" s="14"/>
      <c r="G326" s="13"/>
      <c r="H326" s="13"/>
      <c r="I326" s="14"/>
    </row>
    <row r="327" spans="1:9" ht="13.9">
      <c r="A327" s="13"/>
      <c r="B327" s="13"/>
      <c r="C327" s="13"/>
      <c r="D327" s="13"/>
      <c r="E327" s="13"/>
      <c r="F327" s="14"/>
      <c r="G327" s="13"/>
      <c r="H327" s="13"/>
      <c r="I327" s="14"/>
    </row>
    <row r="328" spans="1:9" ht="13.9">
      <c r="A328" s="13"/>
      <c r="B328" s="13"/>
      <c r="C328" s="13"/>
      <c r="D328" s="13"/>
      <c r="E328" s="13"/>
      <c r="F328" s="14"/>
      <c r="G328" s="13"/>
      <c r="H328" s="13"/>
      <c r="I328" s="14"/>
    </row>
    <row r="329" spans="1:9" ht="13.9">
      <c r="A329" s="13"/>
      <c r="B329" s="13"/>
      <c r="C329" s="13"/>
      <c r="D329" s="13"/>
      <c r="E329" s="13"/>
      <c r="F329" s="14"/>
      <c r="G329" s="13"/>
      <c r="H329" s="13"/>
      <c r="I329" s="14"/>
    </row>
    <row r="330" spans="1:9" ht="13.9">
      <c r="A330" s="13"/>
      <c r="B330" s="13"/>
      <c r="C330" s="13"/>
      <c r="D330" s="13"/>
      <c r="E330" s="13"/>
      <c r="F330" s="14"/>
      <c r="G330" s="13"/>
      <c r="H330" s="13"/>
      <c r="I330" s="14"/>
    </row>
    <row r="331" spans="1:9" ht="13.9">
      <c r="A331" s="13"/>
      <c r="B331" s="13"/>
      <c r="C331" s="13"/>
      <c r="D331" s="13"/>
      <c r="E331" s="13"/>
      <c r="F331" s="14"/>
      <c r="G331" s="13"/>
      <c r="H331" s="13"/>
      <c r="I331" s="14"/>
    </row>
    <row r="332" spans="1:9" ht="13.9">
      <c r="A332" s="13"/>
      <c r="B332" s="13"/>
      <c r="C332" s="13"/>
      <c r="D332" s="13"/>
      <c r="E332" s="13"/>
      <c r="F332" s="14"/>
      <c r="G332" s="13"/>
      <c r="H332" s="13"/>
      <c r="I332" s="14"/>
    </row>
    <row r="333" spans="1:9" ht="13.9">
      <c r="A333" s="13"/>
      <c r="B333" s="13"/>
      <c r="C333" s="13"/>
      <c r="D333" s="13"/>
      <c r="E333" s="13"/>
      <c r="F333" s="14"/>
      <c r="G333" s="13"/>
      <c r="H333" s="13"/>
      <c r="I333" s="14"/>
    </row>
    <row r="334" spans="1:9" ht="13.9">
      <c r="A334" s="13"/>
      <c r="B334" s="13"/>
      <c r="C334" s="13"/>
      <c r="D334" s="13"/>
      <c r="E334" s="13"/>
      <c r="F334" s="14"/>
      <c r="G334" s="13"/>
      <c r="H334" s="13"/>
      <c r="I334" s="14"/>
    </row>
    <row r="335" spans="1:9" ht="13.9">
      <c r="A335" s="13"/>
      <c r="B335" s="13"/>
      <c r="C335" s="13"/>
      <c r="D335" s="13"/>
      <c r="E335" s="13"/>
      <c r="F335" s="14"/>
      <c r="G335" s="13"/>
      <c r="H335" s="13"/>
      <c r="I335" s="14"/>
    </row>
    <row r="336" spans="1:9" ht="13.9">
      <c r="A336" s="13"/>
      <c r="B336" s="13"/>
      <c r="C336" s="13"/>
      <c r="D336" s="13"/>
      <c r="E336" s="13"/>
      <c r="F336" s="14"/>
      <c r="G336" s="13"/>
      <c r="H336" s="13"/>
      <c r="I336" s="14"/>
    </row>
    <row r="337" spans="1:9" ht="13.9">
      <c r="A337" s="13"/>
      <c r="B337" s="13"/>
      <c r="C337" s="13"/>
      <c r="D337" s="13"/>
      <c r="E337" s="13"/>
      <c r="F337" s="14"/>
      <c r="G337" s="13"/>
      <c r="H337" s="13"/>
      <c r="I337" s="14"/>
    </row>
    <row r="338" spans="1:9" ht="13.9">
      <c r="A338" s="13"/>
      <c r="B338" s="13"/>
      <c r="C338" s="13"/>
      <c r="D338" s="13"/>
      <c r="E338" s="13"/>
      <c r="F338" s="14"/>
      <c r="G338" s="13"/>
      <c r="H338" s="13"/>
      <c r="I338" s="14"/>
    </row>
    <row r="339" spans="1:9" ht="13.9">
      <c r="A339" s="13"/>
      <c r="B339" s="13"/>
      <c r="C339" s="13"/>
      <c r="D339" s="13"/>
      <c r="E339" s="13"/>
      <c r="F339" s="14"/>
      <c r="G339" s="13"/>
      <c r="H339" s="13"/>
      <c r="I339" s="14"/>
    </row>
    <row r="340" spans="1:9" ht="13.9">
      <c r="A340" s="13"/>
      <c r="B340" s="13"/>
      <c r="C340" s="13"/>
      <c r="D340" s="13"/>
      <c r="E340" s="13"/>
      <c r="F340" s="14"/>
      <c r="G340" s="13"/>
      <c r="H340" s="13"/>
      <c r="I340" s="14"/>
    </row>
    <row r="341" spans="1:9" ht="13.9">
      <c r="A341" s="13"/>
      <c r="B341" s="13"/>
      <c r="C341" s="13"/>
      <c r="D341" s="13"/>
      <c r="E341" s="13"/>
      <c r="F341" s="14"/>
      <c r="G341" s="13"/>
      <c r="H341" s="13"/>
      <c r="I341" s="14"/>
    </row>
  </sheetData>
  <mergeCells count="4">
    <mergeCell ref="G1:I1"/>
    <mergeCell ref="A1:C1"/>
    <mergeCell ref="D1:F1"/>
    <mergeCell ref="A2:B2"/>
  </mergeCells>
  <conditionalFormatting sqref="F2 I2 F4:F99 I4:I99">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L340"/>
  <sheetViews>
    <sheetView zoomScale="60" zoomScaleNormal="60" workbookViewId="0">
      <pane xSplit="2" ySplit="3" topLeftCell="C13" activePane="bottomRight" state="frozen"/>
      <selection pane="bottomRight" activeCell="J8" sqref="J8"/>
      <selection pane="bottomLeft" activeCell="D28" sqref="D28"/>
      <selection pane="topRight" activeCell="D28" sqref="D28"/>
    </sheetView>
  </sheetViews>
  <sheetFormatPr defaultRowHeight="13.9"/>
  <cols>
    <col min="1" max="1" width="14.5703125" customWidth="1"/>
    <col min="2" max="2" width="14.5703125" style="19"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2" ht="15.6">
      <c r="A1" s="96" t="str" cm="1">
        <f t="array" ref="A1">portfolio</f>
        <v>38 DN</v>
      </c>
      <c r="B1" s="96"/>
      <c r="C1" s="96"/>
      <c r="D1" s="97" t="s">
        <v>18</v>
      </c>
      <c r="E1" s="97"/>
      <c r="F1" s="97"/>
      <c r="G1" s="95" t="s">
        <v>19</v>
      </c>
      <c r="H1" s="95"/>
      <c r="I1" s="95"/>
      <c r="J1" s="4"/>
      <c r="K1" s="4"/>
    </row>
    <row r="2" spans="1:12" ht="15.6">
      <c r="A2" s="98" t="s">
        <v>2</v>
      </c>
      <c r="B2" s="98"/>
      <c r="C2" s="5">
        <f>SUM(C4:C98)</f>
        <v>1879993.2466777409</v>
      </c>
      <c r="D2" s="5">
        <f>SUM(D4:D98)</f>
        <v>3100330.8500000006</v>
      </c>
      <c r="E2" s="5">
        <f>C2-D2</f>
        <v>-1220337.6033222596</v>
      </c>
      <c r="F2" s="6">
        <f>IFERROR(E2/D2, 0)</f>
        <v>-0.39361528248582223</v>
      </c>
      <c r="G2" s="5">
        <f>SUM(G4:G98)</f>
        <v>2316666.0300000003</v>
      </c>
      <c r="H2" s="7">
        <f>C2-G2</f>
        <v>-436672.78332225932</v>
      </c>
      <c r="I2" s="6">
        <f>IFERROR(H2/G2, 0)</f>
        <v>-0.18849190071745442</v>
      </c>
      <c r="J2" s="16" t="str">
        <f ca="1">IF(AND(TODAY()&gt;DATE(2024, 1, 1), COUNTA(Sites[Site])&lt;&gt;(COUNT(C:C)-1)), "Some sites are missing actual data; if new sites were added, make sure they are aligned correctly (including prior months!)", "")</f>
        <v/>
      </c>
      <c r="K2" s="4"/>
    </row>
    <row r="3" spans="1:12" ht="15.6">
      <c r="A3" s="17" t="s">
        <v>3</v>
      </c>
      <c r="B3" s="17" t="s">
        <v>4</v>
      </c>
      <c r="C3" s="27" t="s">
        <v>5</v>
      </c>
      <c r="D3" s="28" t="s">
        <v>6</v>
      </c>
      <c r="E3" s="28" t="s">
        <v>7</v>
      </c>
      <c r="F3" s="29" t="s">
        <v>8</v>
      </c>
      <c r="G3" s="33" t="s">
        <v>9</v>
      </c>
      <c r="H3" s="31" t="s">
        <v>7</v>
      </c>
      <c r="I3" s="32" t="s">
        <v>8</v>
      </c>
      <c r="J3" s="15" t="s">
        <v>20</v>
      </c>
      <c r="K3" s="15" t="s">
        <v>21</v>
      </c>
    </row>
    <row r="4" spans="1:12" ht="80.25" customHeight="1">
      <c r="A4" s="52" t="str" cm="1">
        <f t="array" ref="A4:A24">Sites[Site]</f>
        <v>6th St.</v>
      </c>
      <c r="B4" s="48" t="str" cm="1">
        <f t="array" ref="B4:B24">Sites[State]</f>
        <v>CA</v>
      </c>
      <c r="C4" s="37">
        <v>129016</v>
      </c>
      <c r="D4" s="37">
        <v>74840.77</v>
      </c>
      <c r="E4" s="37">
        <f>IF(AND(ISNUMBER(C4),ISNUMBER(D4)), C4-D4, "")</f>
        <v>54175.229999999996</v>
      </c>
      <c r="F4" s="40">
        <f>IFERROR(E4/D4, "")</f>
        <v>0.72387323112789981</v>
      </c>
      <c r="G4" s="39">
        <v>144521</v>
      </c>
      <c r="H4" s="39">
        <f>IF(AND(ISNUMBER(C4),ISNUMBER(G4)), C4-G4, "")</f>
        <v>-15505</v>
      </c>
      <c r="I4" s="40">
        <f>IFERROR(H4/G4, "")</f>
        <v>-0.10728544640571266</v>
      </c>
      <c r="J4" s="66" t="s">
        <v>22</v>
      </c>
      <c r="K4" s="85" t="s">
        <v>23</v>
      </c>
    </row>
    <row r="5" spans="1:12" ht="15.6">
      <c r="A5" s="53" t="str">
        <v>Barton Acres</v>
      </c>
      <c r="B5" s="50" t="str">
        <v>MA</v>
      </c>
      <c r="C5" s="44">
        <v>56999</v>
      </c>
      <c r="D5" s="44">
        <v>142857.9</v>
      </c>
      <c r="E5" s="44">
        <f t="shared" ref="E5:E17" si="0">IF(AND(ISNUMBER(C5),ISNUMBER(D5)), C5-D5, "")</f>
        <v>-85858.9</v>
      </c>
      <c r="F5" s="45">
        <f t="shared" ref="F5:F24" si="1">IFERROR(E5/D5, "")</f>
        <v>-0.60100911465169238</v>
      </c>
      <c r="G5" s="46">
        <v>69105.149999999994</v>
      </c>
      <c r="H5" s="46">
        <f t="shared" ref="H5:H6" si="2">IF(AND(ISNUMBER(C5),ISNUMBER(G5)), C5-G5, "")</f>
        <v>-12106.149999999994</v>
      </c>
      <c r="I5" s="45">
        <f t="shared" ref="I5:I6" si="3">IFERROR(H5/G5, "")</f>
        <v>-0.1751844833561608</v>
      </c>
      <c r="J5" s="84" t="s">
        <v>24</v>
      </c>
      <c r="K5" s="86" t="s">
        <v>25</v>
      </c>
    </row>
    <row r="6" spans="1:12" ht="36" customHeight="1">
      <c r="A6" s="54" t="str">
        <v>Bowden</v>
      </c>
      <c r="B6" s="48" t="str">
        <v>MA</v>
      </c>
      <c r="C6" s="37">
        <v>138818</v>
      </c>
      <c r="D6" s="37">
        <v>194548.5</v>
      </c>
      <c r="E6" s="37">
        <f t="shared" si="0"/>
        <v>-55730.5</v>
      </c>
      <c r="F6" s="40">
        <f t="shared" si="1"/>
        <v>-0.28646070260115086</v>
      </c>
      <c r="G6" s="39">
        <v>166837.29999999999</v>
      </c>
      <c r="H6" s="39">
        <f t="shared" si="2"/>
        <v>-28019.299999999988</v>
      </c>
      <c r="I6" s="40">
        <f t="shared" si="3"/>
        <v>-0.16794385907707682</v>
      </c>
      <c r="J6" s="66" t="s">
        <v>26</v>
      </c>
      <c r="K6" s="85" t="s">
        <v>27</v>
      </c>
      <c r="L6" s="88" t="s">
        <v>28</v>
      </c>
    </row>
    <row r="7" spans="1:12" ht="15.6">
      <c r="A7" s="53" t="str">
        <v>Blair Wire Village</v>
      </c>
      <c r="B7" s="50" t="str">
        <v>MA</v>
      </c>
      <c r="C7" s="44">
        <v>67575</v>
      </c>
      <c r="D7" s="44">
        <v>148603.1</v>
      </c>
      <c r="E7" s="44">
        <f t="shared" si="0"/>
        <v>-81028.100000000006</v>
      </c>
      <c r="F7" s="45">
        <f t="shared" si="1"/>
        <v>-0.54526520644589516</v>
      </c>
      <c r="G7" s="46">
        <v>82695.73</v>
      </c>
      <c r="H7" s="46">
        <f t="shared" ref="H7:H15" si="4">IF(AND(ISNUMBER(C7),ISNUMBER(G7)), C7-G7, "")</f>
        <v>-15120.729999999996</v>
      </c>
      <c r="I7" s="45">
        <f t="shared" ref="I7:I24" si="5">IFERROR(H7/G7, "")</f>
        <v>-0.18284777218847933</v>
      </c>
      <c r="J7" s="84" t="s">
        <v>29</v>
      </c>
      <c r="K7" s="84"/>
    </row>
    <row r="8" spans="1:12" ht="15.6">
      <c r="A8" s="54" t="str">
        <v>Boutilier</v>
      </c>
      <c r="B8" s="48" t="str">
        <v>MA</v>
      </c>
      <c r="C8" s="37">
        <v>197770</v>
      </c>
      <c r="D8" s="37">
        <v>316212.5</v>
      </c>
      <c r="E8" s="37">
        <f t="shared" si="0"/>
        <v>-118442.5</v>
      </c>
      <c r="F8" s="40">
        <f t="shared" si="1"/>
        <v>-0.37456615408941774</v>
      </c>
      <c r="G8" s="39">
        <v>189703.5</v>
      </c>
      <c r="H8" s="39">
        <f t="shared" si="4"/>
        <v>8066.5</v>
      </c>
      <c r="I8" s="40">
        <f t="shared" si="5"/>
        <v>4.2521619263745793E-2</v>
      </c>
      <c r="J8" s="66"/>
      <c r="K8" s="66"/>
    </row>
    <row r="9" spans="1:12" ht="28.9">
      <c r="A9" s="53" t="str">
        <v>Cherry Valley</v>
      </c>
      <c r="B9" s="50" t="str">
        <v>MA</v>
      </c>
      <c r="C9" s="44">
        <v>62784</v>
      </c>
      <c r="D9" s="44">
        <v>141889.9</v>
      </c>
      <c r="E9" s="44">
        <f t="shared" si="0"/>
        <v>-79105.899999999994</v>
      </c>
      <c r="F9" s="45">
        <f t="shared" si="1"/>
        <v>-0.55751607408279236</v>
      </c>
      <c r="G9" s="46">
        <v>77483</v>
      </c>
      <c r="H9" s="46">
        <f t="shared" si="4"/>
        <v>-14699</v>
      </c>
      <c r="I9" s="45">
        <f t="shared" si="5"/>
        <v>-0.18970612908638024</v>
      </c>
      <c r="J9" s="84" t="s">
        <v>30</v>
      </c>
      <c r="K9" s="86" t="s">
        <v>31</v>
      </c>
    </row>
    <row r="10" spans="1:12" ht="15.6">
      <c r="A10" s="54" t="str">
        <v>Cohasse</v>
      </c>
      <c r="B10" s="48" t="str">
        <v>MA</v>
      </c>
      <c r="C10" s="37">
        <v>68246</v>
      </c>
      <c r="D10" s="37">
        <v>140408.6</v>
      </c>
      <c r="E10" s="37">
        <f t="shared" si="0"/>
        <v>-72162.600000000006</v>
      </c>
      <c r="F10" s="40">
        <f t="shared" si="1"/>
        <v>-0.51394715138531399</v>
      </c>
      <c r="G10" s="39">
        <v>113608.5</v>
      </c>
      <c r="H10" s="39">
        <f t="shared" si="4"/>
        <v>-45362.5</v>
      </c>
      <c r="I10" s="40">
        <f t="shared" si="5"/>
        <v>-0.39928790539440273</v>
      </c>
      <c r="J10" s="66" t="s">
        <v>29</v>
      </c>
      <c r="K10" s="66"/>
    </row>
    <row r="11" spans="1:12" ht="57.6">
      <c r="A11" s="53" t="str">
        <v>ISM Dighton Solar 2</v>
      </c>
      <c r="B11" s="50" t="str">
        <v>MA</v>
      </c>
      <c r="C11" s="44">
        <v>216783</v>
      </c>
      <c r="D11" s="44">
        <v>272074.2</v>
      </c>
      <c r="E11" s="44">
        <f t="shared" si="0"/>
        <v>-55291.200000000012</v>
      </c>
      <c r="F11" s="45">
        <f t="shared" si="1"/>
        <v>-0.20322103308582737</v>
      </c>
      <c r="G11" s="46">
        <v>194872.6</v>
      </c>
      <c r="H11" s="46">
        <f t="shared" si="4"/>
        <v>21910.399999999994</v>
      </c>
      <c r="I11" s="45">
        <f t="shared" si="5"/>
        <v>0.11243448283647878</v>
      </c>
      <c r="J11" s="84" t="s">
        <v>32</v>
      </c>
      <c r="K11" s="87" t="s">
        <v>33</v>
      </c>
      <c r="L11" s="88" t="s">
        <v>34</v>
      </c>
    </row>
    <row r="12" spans="1:12" ht="28.9">
      <c r="A12" s="54" t="str">
        <v>Dudley River 1</v>
      </c>
      <c r="B12" s="48" t="str">
        <v>MA</v>
      </c>
      <c r="C12" s="37">
        <v>81072</v>
      </c>
      <c r="D12" s="37">
        <v>112668.6</v>
      </c>
      <c r="E12" s="37">
        <f t="shared" si="0"/>
        <v>-31596.600000000006</v>
      </c>
      <c r="F12" s="40">
        <f t="shared" si="1"/>
        <v>-0.28043838300999574</v>
      </c>
      <c r="G12" s="39">
        <v>83342.55</v>
      </c>
      <c r="H12" s="39">
        <f t="shared" si="4"/>
        <v>-2270.5500000000029</v>
      </c>
      <c r="I12" s="40">
        <f t="shared" si="5"/>
        <v>-2.7243586859293397E-2</v>
      </c>
      <c r="J12" s="66" t="s">
        <v>35</v>
      </c>
      <c r="K12" s="85" t="s">
        <v>36</v>
      </c>
    </row>
    <row r="13" spans="1:12" ht="86.45">
      <c r="A13" s="53" t="str">
        <v>Dudley River 2</v>
      </c>
      <c r="B13" s="50" t="str">
        <v>MA</v>
      </c>
      <c r="C13" s="44">
        <v>77646</v>
      </c>
      <c r="D13" s="44">
        <v>116307.2</v>
      </c>
      <c r="E13" s="44">
        <f t="shared" si="0"/>
        <v>-38661.199999999997</v>
      </c>
      <c r="F13" s="45">
        <f t="shared" si="1"/>
        <v>-0.33240590436361633</v>
      </c>
      <c r="G13" s="46">
        <v>81508.990000000005</v>
      </c>
      <c r="H13" s="46">
        <f t="shared" si="4"/>
        <v>-3862.9900000000052</v>
      </c>
      <c r="I13" s="45">
        <f t="shared" si="5"/>
        <v>-4.7393422492414704E-2</v>
      </c>
      <c r="J13" s="84" t="s">
        <v>37</v>
      </c>
      <c r="K13" s="87" t="s">
        <v>38</v>
      </c>
      <c r="L13" s="88" t="s">
        <v>39</v>
      </c>
    </row>
    <row r="14" spans="1:12" ht="28.9">
      <c r="A14" s="54" t="str">
        <v>Dudley River 3</v>
      </c>
      <c r="B14" s="48" t="str">
        <v>MA</v>
      </c>
      <c r="C14" s="37">
        <v>94540</v>
      </c>
      <c r="D14" s="37">
        <v>117412.4</v>
      </c>
      <c r="E14" s="37">
        <f t="shared" si="0"/>
        <v>-22872.399999999994</v>
      </c>
      <c r="F14" s="40">
        <f t="shared" si="1"/>
        <v>-0.19480395597057887</v>
      </c>
      <c r="G14" s="39">
        <v>83727.59</v>
      </c>
      <c r="H14" s="39">
        <f t="shared" si="4"/>
        <v>10812.410000000003</v>
      </c>
      <c r="I14" s="40">
        <f t="shared" si="5"/>
        <v>0.12913795798971406</v>
      </c>
      <c r="J14" s="66" t="s">
        <v>40</v>
      </c>
      <c r="K14" s="85" t="s">
        <v>41</v>
      </c>
    </row>
    <row r="15" spans="1:12" ht="28.9">
      <c r="A15" s="53" t="str">
        <v>Flint Pond</v>
      </c>
      <c r="B15" s="50" t="str">
        <v>MA</v>
      </c>
      <c r="C15" s="44">
        <v>30334</v>
      </c>
      <c r="D15" s="44">
        <v>62237.73</v>
      </c>
      <c r="E15" s="44">
        <f t="shared" si="0"/>
        <v>-31903.730000000003</v>
      </c>
      <c r="F15" s="45">
        <f t="shared" si="1"/>
        <v>-0.51261075877928075</v>
      </c>
      <c r="G15" s="46">
        <v>33375.620000000003</v>
      </c>
      <c r="H15" s="46">
        <f t="shared" si="4"/>
        <v>-3041.6200000000026</v>
      </c>
      <c r="I15" s="45">
        <f t="shared" si="5"/>
        <v>-9.1132988690547242E-2</v>
      </c>
      <c r="J15" s="84" t="s">
        <v>42</v>
      </c>
      <c r="K15" s="86" t="s">
        <v>43</v>
      </c>
    </row>
    <row r="16" spans="1:12" ht="28.9">
      <c r="A16" s="54" t="str">
        <v>Incom</v>
      </c>
      <c r="B16" s="48" t="str">
        <v>MA</v>
      </c>
      <c r="C16" s="37">
        <v>130021</v>
      </c>
      <c r="D16" s="37">
        <v>227416.1</v>
      </c>
      <c r="E16" s="37">
        <f t="shared" ref="E16:E24" si="6">IF(AND(ISNUMBER(C16),ISNUMBER(D16)), C16-D16, "")</f>
        <v>-97395.1</v>
      </c>
      <c r="F16" s="40">
        <f t="shared" si="1"/>
        <v>-0.42826827124376859</v>
      </c>
      <c r="G16" s="39">
        <v>219053.9</v>
      </c>
      <c r="H16" s="39">
        <f t="shared" ref="H16:H17" si="7">IF(AND(ISNUMBER(C16),ISNUMBER(G16)), C16-G16, "")</f>
        <v>-89032.9</v>
      </c>
      <c r="I16" s="40">
        <f t="shared" si="5"/>
        <v>-0.40644288917019966</v>
      </c>
      <c r="J16" s="66" t="s">
        <v>44</v>
      </c>
      <c r="K16" s="85" t="s">
        <v>45</v>
      </c>
    </row>
    <row r="17" spans="1:11" ht="15.6">
      <c r="A17" s="53" t="str">
        <v>JH</v>
      </c>
      <c r="B17" s="49" t="str">
        <v>MA</v>
      </c>
      <c r="C17" s="44">
        <v>61371</v>
      </c>
      <c r="D17" s="44">
        <v>130704.5</v>
      </c>
      <c r="E17" s="44">
        <f t="shared" si="0"/>
        <v>-69333.5</v>
      </c>
      <c r="F17" s="45">
        <f t="shared" si="1"/>
        <v>-0.53045993060682683</v>
      </c>
      <c r="G17" s="46">
        <v>105686.5</v>
      </c>
      <c r="H17" s="46">
        <f t="shared" si="7"/>
        <v>-44315.5</v>
      </c>
      <c r="I17" s="45">
        <f t="shared" si="5"/>
        <v>-0.41931088644245007</v>
      </c>
      <c r="J17" s="58" t="s">
        <v>29</v>
      </c>
      <c r="K17" s="58"/>
    </row>
    <row r="18" spans="1:11" ht="15.6">
      <c r="A18" s="54" t="str">
        <v>Ledeaux</v>
      </c>
      <c r="B18" s="51" t="str">
        <v>MA</v>
      </c>
      <c r="C18" s="37">
        <v>55084</v>
      </c>
      <c r="D18" s="37">
        <v>97988.62</v>
      </c>
      <c r="E18" s="37">
        <f t="shared" si="6"/>
        <v>-42904.619999999995</v>
      </c>
      <c r="F18" s="40">
        <f t="shared" si="1"/>
        <v>-0.43785308947100182</v>
      </c>
      <c r="G18" s="39">
        <v>98275.13</v>
      </c>
      <c r="H18" s="39">
        <f t="shared" ref="H18:H24" si="8">IF(AND(ISNUMBER(C18),ISNUMBER(G18)), C18-G18, "")</f>
        <v>-43191.130000000005</v>
      </c>
      <c r="I18" s="40">
        <f t="shared" si="5"/>
        <v>-0.43949196505769061</v>
      </c>
      <c r="J18" s="57" t="s">
        <v>29</v>
      </c>
      <c r="K18" s="57"/>
    </row>
    <row r="19" spans="1:11" ht="15.6">
      <c r="A19" s="53" t="str">
        <v>Palombo A</v>
      </c>
      <c r="B19" s="49" t="str">
        <v>MA</v>
      </c>
      <c r="C19" s="44">
        <v>160890.996677741</v>
      </c>
      <c r="D19" s="44">
        <v>285170.7</v>
      </c>
      <c r="E19" s="44">
        <f t="shared" si="6"/>
        <v>-124279.70332225901</v>
      </c>
      <c r="F19" s="45">
        <f t="shared" si="1"/>
        <v>-0.43580810834443723</v>
      </c>
      <c r="G19" s="46">
        <v>250093</v>
      </c>
      <c r="H19" s="46">
        <f t="shared" si="8"/>
        <v>-89202.003322258999</v>
      </c>
      <c r="I19" s="45">
        <f t="shared" si="5"/>
        <v>-0.35667533006625135</v>
      </c>
      <c r="J19" s="58" t="s">
        <v>29</v>
      </c>
      <c r="K19" s="58"/>
    </row>
    <row r="20" spans="1:11" ht="15.6">
      <c r="A20" s="54" t="str">
        <v>Palombo B</v>
      </c>
      <c r="B20" s="51" t="str">
        <v>MA</v>
      </c>
      <c r="C20" s="37">
        <v>65753</v>
      </c>
      <c r="D20" s="37">
        <v>144714.1</v>
      </c>
      <c r="E20" s="37">
        <f t="shared" si="6"/>
        <v>-78961.100000000006</v>
      </c>
      <c r="F20" s="40">
        <f t="shared" si="1"/>
        <v>-0.54563515234521032</v>
      </c>
      <c r="G20" s="39">
        <v>71408.820000000007</v>
      </c>
      <c r="H20" s="39">
        <f t="shared" si="8"/>
        <v>-5655.820000000007</v>
      </c>
      <c r="I20" s="40">
        <f t="shared" si="5"/>
        <v>-7.9203381319002425E-2</v>
      </c>
      <c r="J20" s="57" t="s">
        <v>29</v>
      </c>
      <c r="K20" s="57"/>
    </row>
    <row r="21" spans="1:11" ht="15.6">
      <c r="A21" s="53" t="str">
        <v>St Josephs Church</v>
      </c>
      <c r="B21" s="49" t="str">
        <v>MA</v>
      </c>
      <c r="C21" s="44">
        <v>69927</v>
      </c>
      <c r="D21" s="44">
        <v>146021.70000000001</v>
      </c>
      <c r="E21" s="44">
        <f t="shared" si="6"/>
        <v>-76094.700000000012</v>
      </c>
      <c r="F21" s="45">
        <f t="shared" si="1"/>
        <v>-0.52111912133607541</v>
      </c>
      <c r="G21" s="46">
        <v>91072.42</v>
      </c>
      <c r="H21" s="46">
        <f t="shared" si="8"/>
        <v>-21145.42</v>
      </c>
      <c r="I21" s="45">
        <f t="shared" si="5"/>
        <v>-0.23218247631939504</v>
      </c>
      <c r="J21" s="58" t="s">
        <v>29</v>
      </c>
      <c r="K21" s="58"/>
    </row>
    <row r="22" spans="1:11" ht="15.6">
      <c r="A22" s="54" t="str">
        <v>Sunset A</v>
      </c>
      <c r="B22" s="51" t="str">
        <v>MA</v>
      </c>
      <c r="C22" s="37">
        <v>27107</v>
      </c>
      <c r="D22" s="37">
        <v>67386.600000000006</v>
      </c>
      <c r="E22" s="37">
        <f t="shared" si="6"/>
        <v>-40279.600000000006</v>
      </c>
      <c r="F22" s="40">
        <f t="shared" si="1"/>
        <v>-0.59773901636230353</v>
      </c>
      <c r="G22" s="39">
        <v>32533.05</v>
      </c>
      <c r="H22" s="39">
        <f t="shared" si="8"/>
        <v>-5426.0499999999993</v>
      </c>
      <c r="I22" s="40">
        <f t="shared" si="5"/>
        <v>-0.16678577631055186</v>
      </c>
      <c r="J22" s="57" t="s">
        <v>29</v>
      </c>
      <c r="K22" s="57"/>
    </row>
    <row r="23" spans="1:11" ht="15.6">
      <c r="A23" s="53" t="str">
        <v>Sunset B</v>
      </c>
      <c r="B23" s="49" t="str">
        <v>MA</v>
      </c>
      <c r="C23" s="44">
        <v>26946.25</v>
      </c>
      <c r="D23" s="44">
        <v>49373.03</v>
      </c>
      <c r="E23" s="44">
        <f t="shared" si="6"/>
        <v>-22426.78</v>
      </c>
      <c r="F23" s="45">
        <f t="shared" si="1"/>
        <v>-0.45423138908023264</v>
      </c>
      <c r="G23" s="46">
        <v>32145.45</v>
      </c>
      <c r="H23" s="46">
        <f t="shared" si="8"/>
        <v>-5199.2000000000007</v>
      </c>
      <c r="I23" s="45">
        <f t="shared" si="5"/>
        <v>-0.16173984187497767</v>
      </c>
      <c r="J23" s="58" t="s">
        <v>29</v>
      </c>
      <c r="K23" s="58"/>
    </row>
    <row r="24" spans="1:11" ht="15.6">
      <c r="A24" s="54" t="str">
        <v>Woodchuck</v>
      </c>
      <c r="B24" s="51" t="str">
        <v>MA</v>
      </c>
      <c r="C24" s="37">
        <v>61310</v>
      </c>
      <c r="D24" s="37">
        <v>111494.1</v>
      </c>
      <c r="E24" s="37">
        <f t="shared" si="6"/>
        <v>-50184.100000000006</v>
      </c>
      <c r="F24" s="40">
        <f t="shared" si="1"/>
        <v>-0.45010543158785982</v>
      </c>
      <c r="G24" s="39">
        <v>95616.23</v>
      </c>
      <c r="H24" s="39">
        <f t="shared" si="8"/>
        <v>-34306.229999999996</v>
      </c>
      <c r="I24" s="40">
        <f t="shared" si="5"/>
        <v>-0.35879086636233198</v>
      </c>
      <c r="J24" s="57" t="s">
        <v>29</v>
      </c>
      <c r="K24" s="57"/>
    </row>
    <row r="25" spans="1:11" ht="14.45">
      <c r="A25" s="13"/>
      <c r="B25" s="18"/>
      <c r="C25" s="21"/>
      <c r="D25" s="13"/>
      <c r="E25" s="13"/>
      <c r="F25" s="13"/>
      <c r="G25" s="13"/>
      <c r="H25" s="13"/>
      <c r="I25" s="13"/>
      <c r="J25" s="22"/>
      <c r="K25" s="13"/>
    </row>
    <row r="26" spans="1:11" ht="14.45">
      <c r="A26" s="13"/>
      <c r="B26" s="18"/>
      <c r="C26" s="13"/>
      <c r="D26" s="13"/>
      <c r="E26" s="13"/>
      <c r="F26" s="13"/>
      <c r="G26" s="13"/>
      <c r="H26" s="13"/>
      <c r="I26" s="13"/>
      <c r="J26" s="20"/>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4"/>
      <c r="G31" s="13"/>
      <c r="H31" s="13"/>
      <c r="I31" s="14"/>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sheetData>
  <mergeCells count="4">
    <mergeCell ref="D1:F1"/>
    <mergeCell ref="A1:C1"/>
    <mergeCell ref="G1:I1"/>
    <mergeCell ref="A2:B2"/>
  </mergeCells>
  <conditionalFormatting sqref="F2 I2 I4:I98">
    <cfRule type="cellIs" dxfId="28" priority="6" stopIfTrue="1" operator="lessThanOrEqual">
      <formula>-0.1</formula>
    </cfRule>
    <cfRule type="expression" dxfId="27" priority="7">
      <formula>AND(ISNUMBER(F2), F2&gt;=0.1)</formula>
    </cfRule>
  </conditionalFormatting>
  <conditionalFormatting sqref="F4:F98">
    <cfRule type="cellIs" dxfId="26" priority="1" stopIfTrue="1" operator="lessThanOrEqual">
      <formula>-0.1</formula>
    </cfRule>
    <cfRule type="expression" dxfId="25" priority="2">
      <formula>AND(ISNUMBER(F4), F4&gt;=0.1)</formula>
    </cfRule>
  </conditionalFormatting>
  <hyperlinks>
    <hyperlink ref="K4" r:id="rId1" display="https://us3.assetplanner.com/service_request?ID=095378" xr:uid="{43AD1C65-EB2C-4C7E-9249-950E8B7142ED}"/>
    <hyperlink ref="K5" r:id="rId2" display="https://us3.assetplanner.com/service_request?ID=095405" xr:uid="{51302829-C319-4062-9CE8-2D4EAA373FA7}"/>
    <hyperlink ref="K6" r:id="rId3" display="https://us3.assetplanner.com/service_request?ID=095329" xr:uid="{899A955E-5DD1-4C12-9563-206C23772347}"/>
    <hyperlink ref="L6" r:id="rId4" display="https://us3.assetplanner.com/service_request?ID=096129" xr:uid="{6BE29F3D-B3A5-4480-8E14-F97270F1279F}"/>
    <hyperlink ref="K9" r:id="rId5" display="https://us3.assetplanner.com/service_request?ID=095966" xr:uid="{EE37A5CA-A8A4-46BD-A273-917BFE98B602}"/>
    <hyperlink ref="K11" r:id="rId6" display="https://us3.assetplanner.com/service_request?ID=095306" xr:uid="{2B5C4398-D5D1-4455-92C9-F4292E1D7C36}"/>
    <hyperlink ref="L11" r:id="rId7" display="https://us3.assetplanner.com/service_request?ID=095988" xr:uid="{F1540334-6D2F-48ED-B2AE-6811330D605F}"/>
    <hyperlink ref="K12" r:id="rId8" display="https://us3.assetplanner.com/service_request?ID=095426" xr:uid="{87174EDF-BFDC-4FDB-B718-42013D4CF3A0}"/>
    <hyperlink ref="K13" r:id="rId9" display="https://us3.assetplanner.com/service_request?ID=095387" xr:uid="{40A78E8B-664A-47CA-B6E3-3A9AEB77F536}"/>
    <hyperlink ref="L13" r:id="rId10" display="https://us3.assetplanner.com/service_request?ID=095983" xr:uid="{28BF1442-08EE-42A2-A190-CA16704B207C}"/>
    <hyperlink ref="K14" r:id="rId11" display="https://us3.assetplanner.com/service_request?ID=095427" xr:uid="{A0AD1E88-637A-47E7-9B22-057219AB6C2E}"/>
    <hyperlink ref="K15" r:id="rId12" display="https://us3.assetplanner.com/service_request?ID=092409" xr:uid="{D4B8005F-5311-4DCA-872F-5BDBC9FBE19E}"/>
    <hyperlink ref="K16" r:id="rId13" display="https://us3.assetplanner.com/service_request?ID=095216" xr:uid="{01079E08-FC8E-470D-8E4F-5373DA73711C}"/>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L341"/>
  <sheetViews>
    <sheetView zoomScaleNormal="100" workbookViewId="0">
      <pane xSplit="2" ySplit="3" topLeftCell="C11" activePane="bottomRight" state="frozen"/>
      <selection pane="bottomRight" activeCell="I21" sqref="I21"/>
      <selection pane="bottomLeft" activeCell="J14" sqref="J14"/>
      <selection pane="topRight" activeCell="J14" sqref="J14"/>
    </sheetView>
  </sheetViews>
  <sheetFormatPr defaultRowHeight="14.45"/>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style="64" customWidth="1"/>
    <col min="11" max="11" width="20.5703125" style="64" bestFit="1" customWidth="1"/>
  </cols>
  <sheetData>
    <row r="1" spans="1:12" ht="19.5" customHeight="1">
      <c r="A1" s="96" t="str" cm="1">
        <f t="array" ref="A1">portfolio</f>
        <v>38 DN</v>
      </c>
      <c r="B1" s="96"/>
      <c r="C1" s="96"/>
      <c r="D1" s="97" t="s">
        <v>46</v>
      </c>
      <c r="E1" s="97"/>
      <c r="F1" s="97"/>
      <c r="G1" s="95" t="s">
        <v>47</v>
      </c>
      <c r="H1" s="95"/>
      <c r="I1" s="95"/>
      <c r="J1" s="60"/>
      <c r="K1" s="60"/>
    </row>
    <row r="2" spans="1:12" ht="19.5" customHeight="1">
      <c r="A2" s="98" t="s">
        <v>2</v>
      </c>
      <c r="B2" s="98"/>
      <c r="C2" s="5">
        <f>SUM(C4:C99)</f>
        <v>1480981.75</v>
      </c>
      <c r="D2" s="5">
        <f>SUM(D4:D99)</f>
        <v>3093806.68</v>
      </c>
      <c r="E2" s="5">
        <f>C2-D2</f>
        <v>-1612824.9300000002</v>
      </c>
      <c r="F2" s="6">
        <f>IFERROR(E2/D2, 0)</f>
        <v>-0.52130759831444928</v>
      </c>
      <c r="G2" s="5">
        <f>SUM(G4:G99)</f>
        <v>2901680.55</v>
      </c>
      <c r="H2" s="7">
        <f>C2-G2</f>
        <v>-1420698.7999999998</v>
      </c>
      <c r="I2" s="6">
        <f>IFERROR(H2/G2, 0)</f>
        <v>-0.48961240754086449</v>
      </c>
      <c r="J2" s="61" t="str">
        <f ca="1">IF(AND(TODAY()&gt;DATE(2024, 2, 1), COUNTA(Sites[Site])&lt;&gt;(COUNT(C:C)-1)), "Some sites are missing actual data; if new sites were added, make sure they are aligned correctly (including prior months!)", "")</f>
        <v/>
      </c>
      <c r="K2" s="60"/>
    </row>
    <row r="3" spans="1:12" ht="14.25" customHeight="1">
      <c r="A3" s="17" t="s">
        <v>3</v>
      </c>
      <c r="B3" s="17" t="s">
        <v>4</v>
      </c>
      <c r="C3" s="27" t="s">
        <v>5</v>
      </c>
      <c r="D3" s="28" t="s">
        <v>6</v>
      </c>
      <c r="E3" s="28" t="s">
        <v>7</v>
      </c>
      <c r="F3" s="29" t="s">
        <v>8</v>
      </c>
      <c r="G3" s="30" t="s">
        <v>9</v>
      </c>
      <c r="H3" s="31" t="s">
        <v>7</v>
      </c>
      <c r="I3" s="32" t="s">
        <v>8</v>
      </c>
      <c r="J3" s="83" t="s">
        <v>20</v>
      </c>
      <c r="K3" s="62" t="s">
        <v>21</v>
      </c>
    </row>
    <row r="4" spans="1:12" ht="100.9">
      <c r="A4" s="52" t="str" cm="1">
        <f t="array" ref="A4:A24">Sites[Site]</f>
        <v>6th St.</v>
      </c>
      <c r="B4" s="48" t="str" cm="1">
        <f t="array" ref="B4:B24">Sites[State]</f>
        <v>CA</v>
      </c>
      <c r="C4" s="36">
        <v>140097</v>
      </c>
      <c r="D4" s="37">
        <v>83888.82</v>
      </c>
      <c r="E4" s="37">
        <f>IF(AND(ISNUMBER(C4),ISNUMBER(D4)), C4-D4, "")</f>
        <v>56208.179999999993</v>
      </c>
      <c r="F4" s="38">
        <f>IFERROR(E4/D4, "")</f>
        <v>0.67003183499302987</v>
      </c>
      <c r="G4" s="39">
        <v>146883.4</v>
      </c>
      <c r="H4" s="39">
        <f>IF(AND(ISNUMBER(C4),ISNUMBER(G4)), C4-G4, "")</f>
        <v>-6786.3999999999942</v>
      </c>
      <c r="I4" s="40">
        <f>IFERROR(H4/G4, "")</f>
        <v>-4.6202634198282411E-2</v>
      </c>
      <c r="J4" s="63" t="s">
        <v>48</v>
      </c>
      <c r="K4" s="85" t="s">
        <v>49</v>
      </c>
      <c r="L4" s="89" t="s">
        <v>50</v>
      </c>
    </row>
    <row r="5" spans="1:12" ht="28.9">
      <c r="A5" s="53" t="str">
        <v>Barton Acres</v>
      </c>
      <c r="B5" s="50" t="str">
        <v>MA</v>
      </c>
      <c r="C5" s="43">
        <v>24856</v>
      </c>
      <c r="D5" s="44">
        <v>131629.6</v>
      </c>
      <c r="E5" s="44">
        <f t="shared" ref="E5:E17" si="0">IF(AND(ISNUMBER(C5),ISNUMBER(D5)), C5-D5, "")</f>
        <v>-106773.6</v>
      </c>
      <c r="F5" s="45">
        <f>IFERROR(E5/D5, "")</f>
        <v>-0.81116709311583413</v>
      </c>
      <c r="G5" s="46">
        <v>97688.41</v>
      </c>
      <c r="H5" s="46">
        <f t="shared" ref="H5:H15" si="1">IF(AND(ISNUMBER(C5),ISNUMBER(G5)), C5-G5, "")</f>
        <v>-72832.41</v>
      </c>
      <c r="I5" s="45">
        <f t="shared" ref="I5:I23" si="2">IFERROR(H5/G5, "")</f>
        <v>-0.74555835231630851</v>
      </c>
      <c r="J5" s="65" t="s">
        <v>51</v>
      </c>
      <c r="K5" s="65"/>
    </row>
    <row r="6" spans="1:12" ht="57.6">
      <c r="A6" s="54" t="str">
        <v>Bowden</v>
      </c>
      <c r="B6" s="48" t="str">
        <v>MA</v>
      </c>
      <c r="C6" s="36">
        <v>98772</v>
      </c>
      <c r="D6" s="37">
        <v>222831.5</v>
      </c>
      <c r="E6" s="37">
        <f t="shared" si="0"/>
        <v>-124059.5</v>
      </c>
      <c r="F6" s="38">
        <f t="shared" ref="F6:F15" si="3">IFERROR(E6/D6, "")</f>
        <v>-0.5567413045283095</v>
      </c>
      <c r="G6" s="39">
        <v>215787.2</v>
      </c>
      <c r="H6" s="39">
        <f t="shared" si="1"/>
        <v>-117015.20000000001</v>
      </c>
      <c r="I6" s="40">
        <f t="shared" si="2"/>
        <v>-0.5422712746631867</v>
      </c>
      <c r="J6" s="63" t="s">
        <v>52</v>
      </c>
      <c r="K6" s="85" t="s">
        <v>53</v>
      </c>
    </row>
    <row r="7" spans="1:12" ht="41.25" customHeight="1">
      <c r="A7" s="53" t="str">
        <v>Blair Wire Village</v>
      </c>
      <c r="B7" s="50" t="str">
        <v>MA</v>
      </c>
      <c r="C7" s="43">
        <v>38463</v>
      </c>
      <c r="D7" s="44">
        <v>142760</v>
      </c>
      <c r="E7" s="44">
        <f t="shared" si="0"/>
        <v>-104297</v>
      </c>
      <c r="F7" s="45">
        <f t="shared" si="3"/>
        <v>-0.73057579153824603</v>
      </c>
      <c r="G7" s="46">
        <v>107644.1</v>
      </c>
      <c r="H7" s="46">
        <f t="shared" si="1"/>
        <v>-69181.100000000006</v>
      </c>
      <c r="I7" s="45">
        <f t="shared" si="2"/>
        <v>-0.64268362130390799</v>
      </c>
      <c r="J7" s="65" t="s">
        <v>54</v>
      </c>
      <c r="K7" s="87" t="s">
        <v>55</v>
      </c>
    </row>
    <row r="8" spans="1:12" ht="28.9">
      <c r="A8" s="54" t="str">
        <v>Boutilier</v>
      </c>
      <c r="B8" s="48" t="str">
        <v>MA</v>
      </c>
      <c r="C8" s="36">
        <v>99725</v>
      </c>
      <c r="D8" s="37">
        <v>329455.90000000002</v>
      </c>
      <c r="E8" s="37">
        <f t="shared" si="0"/>
        <v>-229730.90000000002</v>
      </c>
      <c r="F8" s="38">
        <f t="shared" si="3"/>
        <v>-0.69730394872272738</v>
      </c>
      <c r="G8" s="39">
        <v>268167.8</v>
      </c>
      <c r="H8" s="39">
        <f t="shared" si="1"/>
        <v>-168442.8</v>
      </c>
      <c r="I8" s="40">
        <f t="shared" si="2"/>
        <v>-0.62812462942978242</v>
      </c>
      <c r="J8" s="63" t="s">
        <v>56</v>
      </c>
      <c r="K8" s="63"/>
    </row>
    <row r="9" spans="1:12" ht="28.9">
      <c r="A9" s="53" t="str">
        <v>Cherry Valley</v>
      </c>
      <c r="B9" s="50" t="str">
        <v>MA</v>
      </c>
      <c r="C9" s="43">
        <v>39146</v>
      </c>
      <c r="D9" s="44">
        <v>139696.5</v>
      </c>
      <c r="E9" s="44">
        <f t="shared" si="0"/>
        <v>-100550.5</v>
      </c>
      <c r="F9" s="45">
        <f t="shared" si="3"/>
        <v>-0.71977823352768322</v>
      </c>
      <c r="G9" s="46">
        <v>104227</v>
      </c>
      <c r="H9" s="46">
        <f t="shared" si="1"/>
        <v>-65081</v>
      </c>
      <c r="I9" s="45">
        <f t="shared" si="2"/>
        <v>-0.62441593828854325</v>
      </c>
      <c r="J9" s="65" t="s">
        <v>57</v>
      </c>
      <c r="K9" s="87" t="s">
        <v>58</v>
      </c>
    </row>
    <row r="10" spans="1:12" ht="28.9">
      <c r="A10" s="54" t="str">
        <v>Cohasse</v>
      </c>
      <c r="B10" s="48" t="str">
        <v>MA</v>
      </c>
      <c r="C10" s="36">
        <v>45443</v>
      </c>
      <c r="D10" s="37">
        <v>128875.9</v>
      </c>
      <c r="E10" s="37">
        <f t="shared" si="0"/>
        <v>-83432.899999999994</v>
      </c>
      <c r="F10" s="38">
        <f t="shared" si="3"/>
        <v>-0.64738946536939801</v>
      </c>
      <c r="G10" s="39">
        <v>135078.29999999999</v>
      </c>
      <c r="H10" s="39">
        <f t="shared" si="1"/>
        <v>-89635.299999999988</v>
      </c>
      <c r="I10" s="40">
        <f t="shared" si="2"/>
        <v>-0.66358030860619355</v>
      </c>
      <c r="J10" s="63" t="s">
        <v>59</v>
      </c>
      <c r="K10" s="85" t="s">
        <v>60</v>
      </c>
    </row>
    <row r="11" spans="1:12" ht="28.9">
      <c r="A11" s="53" t="str">
        <v>ISM Dighton Solar 2</v>
      </c>
      <c r="B11" s="50" t="str">
        <v>MA</v>
      </c>
      <c r="C11" s="43">
        <v>233433</v>
      </c>
      <c r="D11" s="44">
        <v>259693.3</v>
      </c>
      <c r="E11" s="44">
        <f t="shared" si="0"/>
        <v>-26260.299999999988</v>
      </c>
      <c r="F11" s="45">
        <f t="shared" si="3"/>
        <v>-0.10112043706941992</v>
      </c>
      <c r="G11" s="46">
        <v>225679.4</v>
      </c>
      <c r="H11" s="46">
        <f t="shared" si="1"/>
        <v>7753.6000000000058</v>
      </c>
      <c r="I11" s="45">
        <f t="shared" si="2"/>
        <v>3.4356702472622694E-2</v>
      </c>
      <c r="J11" s="65" t="s">
        <v>61</v>
      </c>
      <c r="K11" s="87" t="s">
        <v>62</v>
      </c>
    </row>
    <row r="12" spans="1:12" ht="28.9">
      <c r="A12" s="54" t="str">
        <v>Dudley River 1</v>
      </c>
      <c r="B12" s="48" t="str">
        <v>MA</v>
      </c>
      <c r="C12" s="36">
        <v>61369</v>
      </c>
      <c r="D12" s="37">
        <v>112575.9</v>
      </c>
      <c r="E12" s="37">
        <f t="shared" si="0"/>
        <v>-51206.899999999994</v>
      </c>
      <c r="F12" s="38">
        <f t="shared" si="3"/>
        <v>-0.45486556181207521</v>
      </c>
      <c r="G12" s="39">
        <v>109352.8</v>
      </c>
      <c r="H12" s="39">
        <f t="shared" si="1"/>
        <v>-47983.8</v>
      </c>
      <c r="I12" s="40">
        <f t="shared" si="2"/>
        <v>-0.4387980920470258</v>
      </c>
      <c r="J12" s="63" t="s">
        <v>63</v>
      </c>
      <c r="K12" s="63"/>
    </row>
    <row r="13" spans="1:12" ht="28.9">
      <c r="A13" s="53" t="str">
        <v>Dudley River 2</v>
      </c>
      <c r="B13" s="50" t="str">
        <v>MA</v>
      </c>
      <c r="C13" s="43">
        <v>62968</v>
      </c>
      <c r="D13" s="44">
        <v>114772</v>
      </c>
      <c r="E13" s="44">
        <f t="shared" si="0"/>
        <v>-51804</v>
      </c>
      <c r="F13" s="45">
        <f t="shared" si="3"/>
        <v>-0.45136444428954797</v>
      </c>
      <c r="G13" s="46">
        <v>104036.4</v>
      </c>
      <c r="H13" s="46">
        <f t="shared" si="1"/>
        <v>-41068.399999999994</v>
      </c>
      <c r="I13" s="45">
        <f t="shared" si="2"/>
        <v>-0.39475029893383468</v>
      </c>
      <c r="J13" s="65" t="s">
        <v>56</v>
      </c>
      <c r="K13" s="65"/>
    </row>
    <row r="14" spans="1:12" ht="28.9">
      <c r="A14" s="54" t="str">
        <v>Dudley River 3</v>
      </c>
      <c r="B14" s="48" t="str">
        <v>MA</v>
      </c>
      <c r="C14" s="36">
        <v>64188</v>
      </c>
      <c r="D14" s="37">
        <v>116653.8</v>
      </c>
      <c r="E14" s="37">
        <f t="shared" si="0"/>
        <v>-52465.8</v>
      </c>
      <c r="F14" s="38">
        <f t="shared" si="3"/>
        <v>-0.44975645885517662</v>
      </c>
      <c r="G14" s="39">
        <v>105482.7</v>
      </c>
      <c r="H14" s="39">
        <f t="shared" si="1"/>
        <v>-41294.699999999997</v>
      </c>
      <c r="I14" s="40">
        <f t="shared" si="2"/>
        <v>-0.39148315316160848</v>
      </c>
      <c r="J14" s="63" t="s">
        <v>64</v>
      </c>
      <c r="K14" s="63"/>
    </row>
    <row r="15" spans="1:12" ht="28.9">
      <c r="A15" s="53" t="str">
        <v>Flint Pond</v>
      </c>
      <c r="B15" s="50" t="str">
        <v>MA</v>
      </c>
      <c r="C15" s="43">
        <v>29507.5</v>
      </c>
      <c r="D15" s="44">
        <v>62544.76</v>
      </c>
      <c r="E15" s="44">
        <f t="shared" si="0"/>
        <v>-33037.26</v>
      </c>
      <c r="F15" s="45">
        <f t="shared" si="3"/>
        <v>-0.52821787148915433</v>
      </c>
      <c r="G15" s="46">
        <v>47235.91</v>
      </c>
      <c r="H15" s="46">
        <f t="shared" si="1"/>
        <v>-17728.410000000003</v>
      </c>
      <c r="I15" s="45">
        <f t="shared" si="2"/>
        <v>-0.37531636418140357</v>
      </c>
      <c r="J15" s="65" t="s">
        <v>65</v>
      </c>
      <c r="K15" s="87" t="s">
        <v>66</v>
      </c>
    </row>
    <row r="16" spans="1:12" ht="28.9">
      <c r="A16" s="54" t="str">
        <v>Incom</v>
      </c>
      <c r="B16" s="48" t="str">
        <v>MA</v>
      </c>
      <c r="C16" s="36">
        <v>131063</v>
      </c>
      <c r="D16" s="37">
        <v>271075.59999999998</v>
      </c>
      <c r="E16" s="37">
        <f t="shared" ref="E16:E24" si="4">IF(AND(ISNUMBER(C16),ISNUMBER(D16)), C16-D16, "")</f>
        <v>-140012.59999999998</v>
      </c>
      <c r="F16" s="38">
        <f t="shared" ref="F16:F24" si="5">IFERROR(E16/D16, "")</f>
        <v>-0.51650757205738906</v>
      </c>
      <c r="G16" s="39">
        <v>262450.7</v>
      </c>
      <c r="H16" s="39">
        <f t="shared" ref="H16:H24" si="6">IF(AND(ISNUMBER(C16),ISNUMBER(G16)), C16-G16, "")</f>
        <v>-131387.70000000001</v>
      </c>
      <c r="I16" s="40">
        <f t="shared" ref="I16:I24" si="7">IFERROR(H16/G16, "")</f>
        <v>-0.50061859236801431</v>
      </c>
      <c r="J16" s="63" t="s">
        <v>67</v>
      </c>
      <c r="K16" s="63"/>
    </row>
    <row r="17" spans="1:12" ht="72">
      <c r="A17" s="53" t="str">
        <v>JH</v>
      </c>
      <c r="B17" s="50" t="str">
        <v>MA</v>
      </c>
      <c r="C17" s="43">
        <v>36137</v>
      </c>
      <c r="D17" s="44">
        <v>123566.6</v>
      </c>
      <c r="E17" s="44">
        <f t="shared" si="0"/>
        <v>-87429.6</v>
      </c>
      <c r="F17" s="45">
        <f t="shared" si="5"/>
        <v>-0.70755042220146869</v>
      </c>
      <c r="G17" s="46">
        <v>128903.6</v>
      </c>
      <c r="H17" s="46">
        <f t="shared" si="6"/>
        <v>-92766.6</v>
      </c>
      <c r="I17" s="45">
        <f t="shared" si="2"/>
        <v>-0.71965872171141843</v>
      </c>
      <c r="J17" s="65" t="s">
        <v>68</v>
      </c>
      <c r="K17" s="87" t="s">
        <v>69</v>
      </c>
      <c r="L17" s="89" t="s">
        <v>70</v>
      </c>
    </row>
    <row r="18" spans="1:12" ht="97.9" customHeight="1">
      <c r="A18" s="52" t="str">
        <v>Ledeaux</v>
      </c>
      <c r="B18" s="48" t="str">
        <v>MA</v>
      </c>
      <c r="C18" s="36">
        <v>21586</v>
      </c>
      <c r="D18" s="37">
        <v>77598.960000000006</v>
      </c>
      <c r="E18" s="37">
        <f t="shared" si="4"/>
        <v>-56012.960000000006</v>
      </c>
      <c r="F18" s="38">
        <f t="shared" si="5"/>
        <v>-0.72182616880432415</v>
      </c>
      <c r="G18" s="39">
        <v>121085.5</v>
      </c>
      <c r="H18" s="39">
        <f t="shared" si="6"/>
        <v>-99499.5</v>
      </c>
      <c r="I18" s="40">
        <f t="shared" si="7"/>
        <v>-0.82172927394279249</v>
      </c>
      <c r="J18" s="63" t="s">
        <v>71</v>
      </c>
      <c r="K18" s="85" t="s">
        <v>72</v>
      </c>
      <c r="L18" s="89" t="s">
        <v>73</v>
      </c>
    </row>
    <row r="19" spans="1:12" ht="28.9">
      <c r="A19" s="53" t="str">
        <v>Palombo A</v>
      </c>
      <c r="B19" s="50" t="str">
        <v>MA</v>
      </c>
      <c r="C19" s="43">
        <v>170055</v>
      </c>
      <c r="D19" s="44">
        <v>276728</v>
      </c>
      <c r="E19" s="44">
        <f t="shared" si="4"/>
        <v>-106673</v>
      </c>
      <c r="F19" s="45">
        <f t="shared" si="5"/>
        <v>-0.38547960452140728</v>
      </c>
      <c r="G19" s="46">
        <v>292221</v>
      </c>
      <c r="H19" s="46">
        <f t="shared" si="6"/>
        <v>-122166</v>
      </c>
      <c r="I19" s="45">
        <f t="shared" si="2"/>
        <v>-0.41806030367427394</v>
      </c>
      <c r="J19" s="65" t="s">
        <v>74</v>
      </c>
      <c r="K19" s="65"/>
    </row>
    <row r="20" spans="1:12" ht="28.9">
      <c r="A20" s="54" t="str">
        <v>Palombo B</v>
      </c>
      <c r="B20" s="48" t="str">
        <v>MA</v>
      </c>
      <c r="C20" s="36">
        <v>76780</v>
      </c>
      <c r="D20" s="37">
        <v>129139.3</v>
      </c>
      <c r="E20" s="37">
        <f t="shared" si="4"/>
        <v>-52359.3</v>
      </c>
      <c r="F20" s="38">
        <f t="shared" si="5"/>
        <v>-0.40544822528850633</v>
      </c>
      <c r="G20" s="39">
        <v>101396.5</v>
      </c>
      <c r="H20" s="39">
        <f t="shared" si="6"/>
        <v>-24616.5</v>
      </c>
      <c r="I20" s="40">
        <f t="shared" si="7"/>
        <v>-0.24277465198502907</v>
      </c>
      <c r="J20" s="63" t="s">
        <v>64</v>
      </c>
      <c r="K20" s="63"/>
    </row>
    <row r="21" spans="1:12" ht="28.9">
      <c r="A21" s="53" t="str">
        <v>St Josephs Church</v>
      </c>
      <c r="B21" s="50" t="str">
        <v>MA</v>
      </c>
      <c r="C21" s="43">
        <v>41512</v>
      </c>
      <c r="D21" s="44">
        <v>137398.20000000001</v>
      </c>
      <c r="E21" s="44">
        <f t="shared" si="4"/>
        <v>-95886.200000000012</v>
      </c>
      <c r="F21" s="45">
        <f t="shared" si="5"/>
        <v>-0.69787086002582277</v>
      </c>
      <c r="G21" s="46">
        <v>115376.7</v>
      </c>
      <c r="H21" s="46">
        <f t="shared" si="6"/>
        <v>-73864.7</v>
      </c>
      <c r="I21" s="45">
        <f t="shared" si="2"/>
        <v>-0.64020465137241744</v>
      </c>
      <c r="J21" s="65" t="s">
        <v>64</v>
      </c>
      <c r="K21" s="65"/>
    </row>
    <row r="22" spans="1:12" ht="28.9">
      <c r="A22" s="54" t="str">
        <v>Sunset A</v>
      </c>
      <c r="B22" s="48" t="str">
        <v>MA</v>
      </c>
      <c r="C22" s="36">
        <v>15903.5</v>
      </c>
      <c r="D22" s="37">
        <v>68409.08</v>
      </c>
      <c r="E22" s="37">
        <f t="shared" si="4"/>
        <v>-52505.58</v>
      </c>
      <c r="F22" s="38">
        <f t="shared" si="5"/>
        <v>-0.76752355096721081</v>
      </c>
      <c r="G22" s="39">
        <v>45991.62</v>
      </c>
      <c r="H22" s="39">
        <f t="shared" si="6"/>
        <v>-30088.120000000003</v>
      </c>
      <c r="I22" s="40">
        <f t="shared" si="7"/>
        <v>-0.65420874498441239</v>
      </c>
      <c r="J22" s="63" t="s">
        <v>64</v>
      </c>
      <c r="K22" s="63"/>
    </row>
    <row r="23" spans="1:12" ht="36.75" customHeight="1">
      <c r="A23" s="53" t="str">
        <v>Sunset B</v>
      </c>
      <c r="B23" s="50" t="str">
        <v>MA</v>
      </c>
      <c r="C23" s="43">
        <v>15154.75</v>
      </c>
      <c r="D23" s="44">
        <v>51245.760000000002</v>
      </c>
      <c r="E23" s="44">
        <f t="shared" si="4"/>
        <v>-36091.01</v>
      </c>
      <c r="F23" s="45">
        <f t="shared" si="5"/>
        <v>-0.70427309498385815</v>
      </c>
      <c r="G23" s="46">
        <v>45441.21</v>
      </c>
      <c r="H23" s="46">
        <f t="shared" si="6"/>
        <v>-30286.46</v>
      </c>
      <c r="I23" s="45">
        <f t="shared" si="2"/>
        <v>-0.66649765708263486</v>
      </c>
      <c r="J23" s="90" t="s">
        <v>75</v>
      </c>
      <c r="K23" s="65"/>
    </row>
    <row r="24" spans="1:12" ht="86.45">
      <c r="A24" s="54" t="str">
        <v>Woodchuck</v>
      </c>
      <c r="B24" s="48" t="str">
        <v>MA</v>
      </c>
      <c r="C24" s="36">
        <v>34823</v>
      </c>
      <c r="D24" s="37">
        <v>113267.2</v>
      </c>
      <c r="E24" s="37">
        <f t="shared" si="4"/>
        <v>-78444.2</v>
      </c>
      <c r="F24" s="38">
        <f t="shared" si="5"/>
        <v>-0.69255883433156284</v>
      </c>
      <c r="G24" s="39">
        <v>121550.3</v>
      </c>
      <c r="H24" s="39">
        <f t="shared" si="6"/>
        <v>-86727.3</v>
      </c>
      <c r="I24" s="40">
        <f t="shared" si="7"/>
        <v>-0.71350955118991888</v>
      </c>
      <c r="J24" s="63" t="s">
        <v>76</v>
      </c>
      <c r="K24" s="85" t="s">
        <v>77</v>
      </c>
      <c r="L24" s="89" t="s">
        <v>78</v>
      </c>
    </row>
    <row r="25" spans="1:12">
      <c r="A25" s="13"/>
      <c r="B25" s="18"/>
      <c r="C25" s="13"/>
      <c r="D25" s="13"/>
      <c r="E25" s="13"/>
      <c r="F25" s="13"/>
      <c r="G25" s="13"/>
      <c r="H25" s="13"/>
      <c r="I25" s="13"/>
    </row>
    <row r="26" spans="1:12">
      <c r="A26" s="13"/>
      <c r="B26" s="18"/>
      <c r="C26" s="13"/>
      <c r="D26" s="13"/>
      <c r="E26" s="13"/>
      <c r="F26" s="13"/>
      <c r="G26" s="13"/>
      <c r="H26" s="13"/>
      <c r="I26" s="13"/>
    </row>
    <row r="27" spans="1:12">
      <c r="A27" s="13"/>
      <c r="B27" s="18"/>
      <c r="C27" s="13"/>
      <c r="D27" s="13"/>
      <c r="E27" s="13"/>
      <c r="F27" s="13"/>
      <c r="G27" s="13"/>
      <c r="H27" s="13"/>
      <c r="I27" s="13"/>
    </row>
    <row r="28" spans="1:12">
      <c r="A28" s="13"/>
      <c r="B28" s="18"/>
      <c r="C28" s="13"/>
      <c r="D28" s="13"/>
      <c r="E28" s="13"/>
      <c r="F28" s="13"/>
      <c r="G28" s="13"/>
      <c r="H28" s="13"/>
      <c r="I28" s="13"/>
    </row>
    <row r="29" spans="1:12">
      <c r="A29" s="13"/>
      <c r="B29" s="18"/>
      <c r="C29" s="13"/>
      <c r="D29" s="13"/>
      <c r="E29" s="13"/>
      <c r="F29" s="13"/>
      <c r="G29" s="13"/>
      <c r="H29" s="13"/>
      <c r="I29" s="13"/>
    </row>
    <row r="30" spans="1:12">
      <c r="A30" s="13"/>
      <c r="B30" s="18"/>
      <c r="C30" s="13"/>
      <c r="D30" s="13"/>
      <c r="E30" s="13"/>
      <c r="F30" s="13"/>
      <c r="G30" s="13"/>
      <c r="H30" s="13"/>
      <c r="I30" s="13"/>
    </row>
    <row r="31" spans="1:12">
      <c r="A31" s="13"/>
      <c r="B31" s="18"/>
      <c r="C31" s="13"/>
      <c r="D31" s="13"/>
      <c r="E31" s="13"/>
      <c r="F31" s="13"/>
      <c r="G31" s="13"/>
      <c r="H31" s="13"/>
      <c r="I31" s="13"/>
    </row>
    <row r="32" spans="1:12">
      <c r="A32" s="13"/>
      <c r="B32" s="18"/>
      <c r="C32" s="13"/>
      <c r="D32" s="13"/>
      <c r="E32" s="13"/>
      <c r="F32" s="14"/>
      <c r="G32" s="13"/>
      <c r="H32" s="13"/>
      <c r="I32" s="14"/>
    </row>
    <row r="33" spans="1:9">
      <c r="A33" s="13"/>
      <c r="B33" s="18"/>
      <c r="C33" s="13"/>
      <c r="D33" s="13"/>
      <c r="E33" s="13"/>
      <c r="F33" s="14"/>
      <c r="G33" s="13"/>
      <c r="H33" s="13"/>
      <c r="I33" s="14"/>
    </row>
    <row r="34" spans="1:9">
      <c r="A34" s="13"/>
      <c r="B34" s="18"/>
      <c r="C34" s="13"/>
      <c r="D34" s="13"/>
      <c r="E34" s="13"/>
      <c r="F34" s="14"/>
      <c r="G34" s="13"/>
      <c r="H34" s="13"/>
      <c r="I34" s="14"/>
    </row>
    <row r="35" spans="1:9">
      <c r="A35" s="13"/>
      <c r="B35" s="18"/>
      <c r="C35" s="13"/>
      <c r="D35" s="13"/>
      <c r="E35" s="13"/>
      <c r="F35" s="14"/>
      <c r="G35" s="13"/>
      <c r="H35" s="13"/>
      <c r="I35" s="14"/>
    </row>
    <row r="36" spans="1:9">
      <c r="A36" s="13"/>
      <c r="B36" s="18"/>
      <c r="C36" s="13"/>
      <c r="D36" s="13"/>
      <c r="E36" s="13"/>
      <c r="F36" s="14"/>
      <c r="G36" s="13"/>
      <c r="H36" s="13"/>
      <c r="I36" s="14"/>
    </row>
    <row r="37" spans="1:9">
      <c r="A37" s="13"/>
      <c r="B37" s="18"/>
      <c r="C37" s="13"/>
      <c r="D37" s="13"/>
      <c r="E37" s="13"/>
      <c r="F37" s="14"/>
      <c r="G37" s="13"/>
      <c r="H37" s="13"/>
      <c r="I37" s="14"/>
    </row>
    <row r="38" spans="1:9">
      <c r="A38" s="13"/>
      <c r="B38" s="18"/>
      <c r="C38" s="13"/>
      <c r="D38" s="13"/>
      <c r="E38" s="13"/>
      <c r="F38" s="14"/>
      <c r="G38" s="13"/>
      <c r="H38" s="13"/>
      <c r="I38" s="14"/>
    </row>
    <row r="39" spans="1:9">
      <c r="A39" s="13"/>
      <c r="B39" s="18"/>
      <c r="C39" s="13"/>
      <c r="D39" s="13"/>
      <c r="E39" s="13"/>
      <c r="F39" s="14"/>
      <c r="G39" s="13"/>
      <c r="H39" s="13"/>
      <c r="I39" s="14"/>
    </row>
    <row r="40" spans="1:9">
      <c r="A40" s="13"/>
      <c r="B40" s="18"/>
      <c r="C40" s="13"/>
      <c r="D40" s="13"/>
      <c r="E40" s="13"/>
      <c r="F40" s="14"/>
      <c r="G40" s="13"/>
      <c r="H40" s="13"/>
      <c r="I40" s="14"/>
    </row>
    <row r="41" spans="1:9">
      <c r="A41" s="13"/>
      <c r="B41" s="18"/>
      <c r="C41" s="13"/>
      <c r="D41" s="13"/>
      <c r="E41" s="13"/>
      <c r="F41" s="14"/>
      <c r="G41" s="13"/>
      <c r="H41" s="13"/>
      <c r="I41" s="14"/>
    </row>
    <row r="42" spans="1:9">
      <c r="A42" s="13"/>
      <c r="B42" s="18"/>
      <c r="C42" s="13"/>
      <c r="D42" s="13"/>
      <c r="E42" s="13"/>
      <c r="F42" s="14"/>
      <c r="G42" s="13"/>
      <c r="H42" s="13"/>
      <c r="I42" s="14"/>
    </row>
    <row r="43" spans="1:9">
      <c r="A43" s="13"/>
      <c r="B43" s="18"/>
      <c r="C43" s="13"/>
      <c r="D43" s="13"/>
      <c r="E43" s="13"/>
      <c r="F43" s="14"/>
      <c r="G43" s="13"/>
      <c r="H43" s="13"/>
      <c r="I43" s="14"/>
    </row>
    <row r="44" spans="1:9">
      <c r="A44" s="13"/>
      <c r="B44" s="18"/>
      <c r="C44" s="13"/>
      <c r="D44" s="13"/>
      <c r="E44" s="13"/>
      <c r="F44" s="14"/>
      <c r="G44" s="13"/>
      <c r="H44" s="13"/>
      <c r="I44" s="14"/>
    </row>
    <row r="45" spans="1:9">
      <c r="A45" s="13"/>
      <c r="B45" s="18"/>
      <c r="C45" s="13"/>
      <c r="D45" s="13"/>
      <c r="E45" s="13"/>
      <c r="F45" s="14"/>
      <c r="G45" s="13"/>
      <c r="H45" s="13"/>
      <c r="I45" s="14"/>
    </row>
    <row r="46" spans="1:9">
      <c r="A46" s="13"/>
      <c r="B46" s="18"/>
      <c r="C46" s="13"/>
      <c r="D46" s="13"/>
      <c r="E46" s="13"/>
      <c r="F46" s="14"/>
      <c r="G46" s="13"/>
      <c r="H46" s="13"/>
      <c r="I46" s="14"/>
    </row>
    <row r="47" spans="1:9">
      <c r="A47" s="13"/>
      <c r="B47" s="18"/>
      <c r="C47" s="13"/>
      <c r="D47" s="13"/>
      <c r="E47" s="13"/>
      <c r="F47" s="14"/>
      <c r="G47" s="13"/>
      <c r="H47" s="13"/>
      <c r="I47" s="14"/>
    </row>
    <row r="48" spans="1:9">
      <c r="A48" s="13"/>
      <c r="B48" s="18"/>
      <c r="C48" s="13"/>
      <c r="D48" s="13"/>
      <c r="E48" s="13"/>
      <c r="F48" s="14"/>
      <c r="G48" s="13"/>
      <c r="H48" s="13"/>
      <c r="I48" s="14"/>
    </row>
    <row r="49" spans="1:9">
      <c r="A49" s="13"/>
      <c r="B49" s="18"/>
      <c r="C49" s="13"/>
      <c r="D49" s="13"/>
      <c r="E49" s="13"/>
      <c r="F49" s="14"/>
      <c r="G49" s="13"/>
      <c r="H49" s="13"/>
      <c r="I49" s="14"/>
    </row>
    <row r="50" spans="1:9">
      <c r="A50" s="13"/>
      <c r="B50" s="18"/>
      <c r="C50" s="13"/>
      <c r="D50" s="13"/>
      <c r="E50" s="13"/>
      <c r="F50" s="14"/>
      <c r="G50" s="13"/>
      <c r="H50" s="13"/>
      <c r="I50" s="14"/>
    </row>
    <row r="51" spans="1:9">
      <c r="A51" s="13"/>
      <c r="B51" s="18"/>
      <c r="C51" s="13"/>
      <c r="D51" s="13"/>
      <c r="E51" s="13"/>
      <c r="F51" s="14"/>
      <c r="G51" s="13"/>
      <c r="H51" s="13"/>
      <c r="I51" s="14"/>
    </row>
    <row r="52" spans="1:9">
      <c r="A52" s="13"/>
      <c r="B52" s="18"/>
      <c r="C52" s="13"/>
      <c r="D52" s="13"/>
      <c r="E52" s="13"/>
      <c r="F52" s="14"/>
      <c r="G52" s="13"/>
      <c r="H52" s="13"/>
      <c r="I52" s="14"/>
    </row>
    <row r="53" spans="1:9">
      <c r="A53" s="13"/>
      <c r="B53" s="18"/>
      <c r="C53" s="13"/>
      <c r="D53" s="13"/>
      <c r="E53" s="13"/>
      <c r="F53" s="14"/>
      <c r="G53" s="13"/>
      <c r="H53" s="13"/>
      <c r="I53" s="14"/>
    </row>
    <row r="54" spans="1:9">
      <c r="A54" s="13"/>
      <c r="B54" s="18"/>
      <c r="C54" s="13"/>
      <c r="D54" s="13"/>
      <c r="E54" s="13"/>
      <c r="F54" s="14"/>
      <c r="G54" s="13"/>
      <c r="H54" s="13"/>
      <c r="I54" s="14"/>
    </row>
    <row r="55" spans="1:9">
      <c r="A55" s="13"/>
      <c r="B55" s="18"/>
      <c r="C55" s="13"/>
      <c r="D55" s="13"/>
      <c r="E55" s="13"/>
      <c r="F55" s="14"/>
      <c r="G55" s="13"/>
      <c r="H55" s="13"/>
      <c r="I55" s="14"/>
    </row>
    <row r="56" spans="1:9">
      <c r="A56" s="13"/>
      <c r="B56" s="18"/>
      <c r="C56" s="13"/>
      <c r="D56" s="13"/>
      <c r="E56" s="13"/>
      <c r="F56" s="14"/>
      <c r="G56" s="13"/>
      <c r="H56" s="13"/>
      <c r="I56" s="14"/>
    </row>
    <row r="57" spans="1:9">
      <c r="A57" s="13"/>
      <c r="B57" s="18"/>
      <c r="C57" s="13"/>
      <c r="D57" s="13"/>
      <c r="E57" s="13"/>
      <c r="F57" s="14"/>
      <c r="G57" s="13"/>
      <c r="H57" s="13"/>
      <c r="I57" s="14"/>
    </row>
    <row r="58" spans="1:9">
      <c r="A58" s="13"/>
      <c r="B58" s="18"/>
      <c r="C58" s="13"/>
      <c r="D58" s="13"/>
      <c r="E58" s="13"/>
      <c r="F58" s="14"/>
      <c r="G58" s="13"/>
      <c r="H58" s="13"/>
      <c r="I58" s="14"/>
    </row>
    <row r="59" spans="1:9">
      <c r="A59" s="13"/>
      <c r="B59" s="18"/>
      <c r="C59" s="13"/>
      <c r="D59" s="13"/>
      <c r="E59" s="13"/>
      <c r="F59" s="14"/>
      <c r="G59" s="13"/>
      <c r="H59" s="13"/>
      <c r="I59" s="14"/>
    </row>
    <row r="60" spans="1:9">
      <c r="A60" s="13"/>
      <c r="B60" s="18"/>
      <c r="C60" s="13"/>
      <c r="D60" s="13"/>
      <c r="E60" s="13"/>
      <c r="F60" s="14"/>
      <c r="G60" s="13"/>
      <c r="H60" s="13"/>
      <c r="I60" s="14"/>
    </row>
    <row r="61" spans="1:9">
      <c r="A61" s="13"/>
      <c r="B61" s="18"/>
      <c r="C61" s="13"/>
      <c r="D61" s="13"/>
      <c r="E61" s="13"/>
      <c r="F61" s="14"/>
      <c r="G61" s="13"/>
      <c r="H61" s="13"/>
      <c r="I61" s="14"/>
    </row>
    <row r="62" spans="1:9">
      <c r="A62" s="13"/>
      <c r="B62" s="18"/>
      <c r="C62" s="13"/>
      <c r="D62" s="13"/>
      <c r="E62" s="13"/>
      <c r="F62" s="14"/>
      <c r="G62" s="13"/>
      <c r="H62" s="13"/>
      <c r="I62" s="14"/>
    </row>
    <row r="63" spans="1:9">
      <c r="A63" s="13"/>
      <c r="B63" s="18"/>
      <c r="C63" s="13"/>
      <c r="D63" s="13"/>
      <c r="E63" s="13"/>
      <c r="F63" s="14"/>
      <c r="G63" s="13"/>
      <c r="H63" s="13"/>
      <c r="I63" s="14"/>
    </row>
    <row r="64" spans="1:9">
      <c r="A64" s="13"/>
      <c r="B64" s="18"/>
      <c r="C64" s="13"/>
      <c r="D64" s="13"/>
      <c r="E64" s="13"/>
      <c r="F64" s="14"/>
      <c r="G64" s="13"/>
      <c r="H64" s="13"/>
      <c r="I64" s="14"/>
    </row>
    <row r="65" spans="1:9">
      <c r="A65" s="13"/>
      <c r="B65" s="18"/>
      <c r="C65" s="13"/>
      <c r="D65" s="13"/>
      <c r="E65" s="13"/>
      <c r="F65" s="14"/>
      <c r="G65" s="13"/>
      <c r="H65" s="13"/>
      <c r="I65" s="14"/>
    </row>
    <row r="66" spans="1:9">
      <c r="A66" s="13"/>
      <c r="B66" s="18"/>
      <c r="C66" s="13"/>
      <c r="D66" s="13"/>
      <c r="E66" s="13"/>
      <c r="F66" s="14"/>
      <c r="G66" s="13"/>
      <c r="H66" s="13"/>
      <c r="I66" s="14"/>
    </row>
    <row r="67" spans="1:9">
      <c r="A67" s="13"/>
      <c r="B67" s="18"/>
      <c r="C67" s="13"/>
      <c r="D67" s="13"/>
      <c r="E67" s="13"/>
      <c r="F67" s="14"/>
      <c r="G67" s="13"/>
      <c r="H67" s="13"/>
      <c r="I67" s="14"/>
    </row>
    <row r="68" spans="1:9">
      <c r="A68" s="13"/>
      <c r="B68" s="18"/>
      <c r="C68" s="13"/>
      <c r="D68" s="13"/>
      <c r="E68" s="13"/>
      <c r="F68" s="14"/>
      <c r="G68" s="13"/>
      <c r="H68" s="13"/>
      <c r="I68" s="14"/>
    </row>
    <row r="69" spans="1:9">
      <c r="A69" s="13"/>
      <c r="B69" s="18"/>
      <c r="C69" s="13"/>
      <c r="D69" s="13"/>
      <c r="E69" s="13"/>
      <c r="F69" s="14"/>
      <c r="G69" s="13"/>
      <c r="H69" s="13"/>
      <c r="I69" s="14"/>
    </row>
    <row r="70" spans="1:9">
      <c r="A70" s="13"/>
      <c r="B70" s="18"/>
      <c r="C70" s="13"/>
      <c r="D70" s="13"/>
      <c r="E70" s="13"/>
      <c r="F70" s="14"/>
      <c r="G70" s="13"/>
      <c r="H70" s="13"/>
      <c r="I70" s="14"/>
    </row>
    <row r="71" spans="1:9">
      <c r="A71" s="13"/>
      <c r="B71" s="18"/>
      <c r="C71" s="13"/>
      <c r="D71" s="13"/>
      <c r="E71" s="13"/>
      <c r="F71" s="14"/>
      <c r="G71" s="13"/>
      <c r="H71" s="13"/>
      <c r="I71" s="14"/>
    </row>
    <row r="72" spans="1:9">
      <c r="A72" s="13"/>
      <c r="B72" s="18"/>
      <c r="C72" s="13"/>
      <c r="D72" s="13"/>
      <c r="E72" s="13"/>
      <c r="F72" s="14"/>
      <c r="G72" s="13"/>
      <c r="H72" s="13"/>
      <c r="I72" s="14"/>
    </row>
    <row r="73" spans="1:9">
      <c r="A73" s="13"/>
      <c r="B73" s="18"/>
      <c r="C73" s="13"/>
      <c r="D73" s="13"/>
      <c r="E73" s="13"/>
      <c r="F73" s="14"/>
      <c r="G73" s="13"/>
      <c r="H73" s="13"/>
      <c r="I73" s="14"/>
    </row>
    <row r="74" spans="1:9">
      <c r="A74" s="13"/>
      <c r="B74" s="18"/>
      <c r="C74" s="13"/>
      <c r="D74" s="13"/>
      <c r="E74" s="13"/>
      <c r="F74" s="14"/>
      <c r="G74" s="13"/>
      <c r="H74" s="13"/>
      <c r="I74" s="14"/>
    </row>
    <row r="75" spans="1:9">
      <c r="A75" s="13"/>
      <c r="B75" s="18"/>
      <c r="C75" s="13"/>
      <c r="D75" s="13"/>
      <c r="E75" s="13"/>
      <c r="F75" s="14"/>
      <c r="G75" s="13"/>
      <c r="H75" s="13"/>
      <c r="I75" s="14"/>
    </row>
    <row r="76" spans="1:9">
      <c r="A76" s="13"/>
      <c r="B76" s="18"/>
      <c r="C76" s="13"/>
      <c r="D76" s="13"/>
      <c r="E76" s="13"/>
      <c r="F76" s="14"/>
      <c r="G76" s="13"/>
      <c r="H76" s="13"/>
      <c r="I76" s="14"/>
    </row>
    <row r="77" spans="1:9">
      <c r="A77" s="13"/>
      <c r="B77" s="18"/>
      <c r="C77" s="13"/>
      <c r="D77" s="13"/>
      <c r="E77" s="13"/>
      <c r="F77" s="14"/>
      <c r="G77" s="13"/>
      <c r="H77" s="13"/>
      <c r="I77" s="14"/>
    </row>
    <row r="78" spans="1:9">
      <c r="A78" s="13"/>
      <c r="B78" s="18"/>
      <c r="C78" s="13"/>
      <c r="D78" s="13"/>
      <c r="E78" s="13"/>
      <c r="F78" s="14"/>
      <c r="G78" s="13"/>
      <c r="H78" s="13"/>
      <c r="I78" s="14"/>
    </row>
    <row r="79" spans="1:9">
      <c r="A79" s="13"/>
      <c r="B79" s="18"/>
      <c r="C79" s="13"/>
      <c r="D79" s="13"/>
      <c r="E79" s="13"/>
      <c r="F79" s="14"/>
      <c r="G79" s="13"/>
      <c r="H79" s="13"/>
      <c r="I79" s="14"/>
    </row>
    <row r="80" spans="1:9">
      <c r="A80" s="13"/>
      <c r="B80" s="18"/>
      <c r="C80" s="13"/>
      <c r="D80" s="13"/>
      <c r="E80" s="13"/>
      <c r="F80" s="14"/>
      <c r="G80" s="13"/>
      <c r="H80" s="13"/>
      <c r="I80" s="14"/>
    </row>
    <row r="81" spans="1:9">
      <c r="A81" s="13"/>
      <c r="B81" s="18"/>
      <c r="C81" s="13"/>
      <c r="D81" s="13"/>
      <c r="E81" s="13"/>
      <c r="F81" s="14"/>
      <c r="G81" s="13"/>
      <c r="H81" s="13"/>
      <c r="I81" s="14"/>
    </row>
    <row r="82" spans="1:9">
      <c r="A82" s="13"/>
      <c r="B82" s="18"/>
      <c r="C82" s="13"/>
      <c r="D82" s="13"/>
      <c r="E82" s="13"/>
      <c r="F82" s="14"/>
      <c r="G82" s="13"/>
      <c r="H82" s="13"/>
      <c r="I82" s="14"/>
    </row>
    <row r="83" spans="1:9">
      <c r="A83" s="13"/>
      <c r="B83" s="18"/>
      <c r="C83" s="13"/>
      <c r="D83" s="13"/>
      <c r="E83" s="13"/>
      <c r="F83" s="14"/>
      <c r="G83" s="13"/>
      <c r="H83" s="13"/>
      <c r="I83" s="14"/>
    </row>
    <row r="84" spans="1:9">
      <c r="A84" s="13"/>
      <c r="B84" s="18"/>
      <c r="C84" s="13"/>
      <c r="D84" s="13"/>
      <c r="E84" s="13"/>
      <c r="F84" s="14"/>
      <c r="G84" s="13"/>
      <c r="H84" s="13"/>
      <c r="I84" s="14"/>
    </row>
    <row r="85" spans="1:9">
      <c r="A85" s="13"/>
      <c r="B85" s="18"/>
      <c r="C85" s="13"/>
      <c r="D85" s="13"/>
      <c r="E85" s="13"/>
      <c r="F85" s="14"/>
      <c r="G85" s="13"/>
      <c r="H85" s="13"/>
      <c r="I85" s="14"/>
    </row>
    <row r="86" spans="1:9">
      <c r="A86" s="13"/>
      <c r="B86" s="18"/>
      <c r="C86" s="13"/>
      <c r="D86" s="13"/>
      <c r="E86" s="13"/>
      <c r="F86" s="14"/>
      <c r="G86" s="13"/>
      <c r="H86" s="13"/>
      <c r="I86" s="14"/>
    </row>
    <row r="87" spans="1:9">
      <c r="A87" s="13"/>
      <c r="B87" s="18"/>
      <c r="C87" s="13"/>
      <c r="D87" s="13"/>
      <c r="E87" s="13"/>
      <c r="F87" s="14"/>
      <c r="G87" s="13"/>
      <c r="H87" s="13"/>
      <c r="I87" s="14"/>
    </row>
    <row r="88" spans="1:9">
      <c r="A88" s="13"/>
      <c r="B88" s="18"/>
      <c r="C88" s="13"/>
      <c r="D88" s="13"/>
      <c r="E88" s="13"/>
      <c r="F88" s="14"/>
      <c r="G88" s="13"/>
      <c r="H88" s="13"/>
      <c r="I88" s="14"/>
    </row>
    <row r="89" spans="1:9">
      <c r="A89" s="13"/>
      <c r="B89" s="18"/>
      <c r="C89" s="13"/>
      <c r="D89" s="13"/>
      <c r="E89" s="13"/>
      <c r="F89" s="14"/>
      <c r="G89" s="13"/>
      <c r="H89" s="13"/>
      <c r="I89" s="14"/>
    </row>
    <row r="90" spans="1:9">
      <c r="A90" s="13"/>
      <c r="B90" s="18"/>
      <c r="C90" s="13"/>
      <c r="D90" s="13"/>
      <c r="E90" s="13"/>
      <c r="F90" s="14"/>
      <c r="G90" s="13"/>
      <c r="H90" s="13"/>
      <c r="I90" s="14"/>
    </row>
    <row r="91" spans="1:9">
      <c r="A91" s="13"/>
      <c r="B91" s="18"/>
      <c r="C91" s="13"/>
      <c r="D91" s="13"/>
      <c r="E91" s="13"/>
      <c r="F91" s="14"/>
      <c r="G91" s="13"/>
      <c r="H91" s="13"/>
      <c r="I91" s="14"/>
    </row>
    <row r="92" spans="1:9">
      <c r="A92" s="13"/>
      <c r="B92" s="18"/>
      <c r="C92" s="13"/>
      <c r="D92" s="13"/>
      <c r="E92" s="13"/>
      <c r="F92" s="14"/>
      <c r="G92" s="13"/>
      <c r="H92" s="13"/>
      <c r="I92" s="14"/>
    </row>
    <row r="93" spans="1:9">
      <c r="A93" s="13"/>
      <c r="B93" s="18"/>
      <c r="C93" s="13"/>
      <c r="D93" s="13"/>
      <c r="E93" s="13"/>
      <c r="F93" s="14"/>
      <c r="G93" s="13"/>
      <c r="H93" s="13"/>
      <c r="I93" s="14"/>
    </row>
    <row r="94" spans="1:9">
      <c r="A94" s="13"/>
      <c r="B94" s="18"/>
      <c r="C94" s="13"/>
      <c r="D94" s="13"/>
      <c r="E94" s="13"/>
      <c r="F94" s="14"/>
      <c r="G94" s="13"/>
      <c r="H94" s="13"/>
      <c r="I94" s="14"/>
    </row>
    <row r="95" spans="1:9">
      <c r="A95" s="13"/>
      <c r="B95" s="18"/>
      <c r="C95" s="13"/>
      <c r="D95" s="13"/>
      <c r="E95" s="13"/>
      <c r="F95" s="14"/>
      <c r="G95" s="13"/>
      <c r="H95" s="13"/>
      <c r="I95" s="14"/>
    </row>
    <row r="96" spans="1:9">
      <c r="A96" s="13"/>
      <c r="B96" s="18"/>
      <c r="C96" s="13"/>
      <c r="D96" s="13"/>
      <c r="E96" s="13"/>
      <c r="F96" s="14"/>
      <c r="G96" s="13"/>
      <c r="H96" s="13"/>
      <c r="I96" s="14"/>
    </row>
    <row r="97" spans="1:9">
      <c r="A97" s="13"/>
      <c r="B97" s="18"/>
      <c r="C97" s="13"/>
      <c r="D97" s="13"/>
      <c r="E97" s="13"/>
      <c r="F97" s="14"/>
      <c r="G97" s="13"/>
      <c r="H97" s="13"/>
      <c r="I97" s="14"/>
    </row>
    <row r="98" spans="1:9">
      <c r="A98" s="13"/>
      <c r="B98" s="18"/>
      <c r="C98" s="13"/>
      <c r="D98" s="13"/>
      <c r="E98" s="13"/>
      <c r="F98" s="14"/>
      <c r="G98" s="13"/>
      <c r="H98" s="13"/>
      <c r="I98" s="14"/>
    </row>
    <row r="99" spans="1:9">
      <c r="A99" s="13"/>
      <c r="B99" s="18"/>
      <c r="C99" s="13"/>
      <c r="D99" s="13"/>
      <c r="E99" s="13"/>
      <c r="F99" s="14"/>
      <c r="G99" s="13"/>
      <c r="H99" s="13"/>
      <c r="I99" s="14"/>
    </row>
    <row r="100" spans="1:9">
      <c r="A100" s="13"/>
      <c r="B100" s="18"/>
      <c r="C100" s="13"/>
      <c r="D100" s="13"/>
      <c r="E100" s="13"/>
      <c r="F100" s="14"/>
      <c r="G100" s="13"/>
      <c r="H100" s="13"/>
      <c r="I100" s="14"/>
    </row>
    <row r="101" spans="1:9">
      <c r="A101" s="13"/>
      <c r="B101" s="18"/>
      <c r="C101" s="13"/>
      <c r="D101" s="13"/>
      <c r="E101" s="13"/>
      <c r="F101" s="14"/>
      <c r="G101" s="13"/>
      <c r="H101" s="13"/>
      <c r="I101" s="14"/>
    </row>
    <row r="102" spans="1:9">
      <c r="A102" s="13"/>
      <c r="B102" s="18"/>
      <c r="C102" s="13"/>
      <c r="D102" s="13"/>
      <c r="E102" s="13"/>
      <c r="F102" s="14"/>
      <c r="G102" s="13"/>
      <c r="H102" s="13"/>
      <c r="I102" s="14"/>
    </row>
    <row r="103" spans="1:9">
      <c r="A103" s="13"/>
      <c r="B103" s="18"/>
      <c r="C103" s="13"/>
      <c r="D103" s="13"/>
      <c r="E103" s="13"/>
      <c r="F103" s="14"/>
      <c r="G103" s="13"/>
      <c r="H103" s="13"/>
      <c r="I103" s="14"/>
    </row>
    <row r="104" spans="1:9">
      <c r="A104" s="13"/>
      <c r="B104" s="18"/>
      <c r="C104" s="13"/>
      <c r="D104" s="13"/>
      <c r="E104" s="13"/>
      <c r="F104" s="14"/>
      <c r="G104" s="13"/>
      <c r="H104" s="13"/>
      <c r="I104" s="14"/>
    </row>
    <row r="105" spans="1:9">
      <c r="A105" s="13"/>
      <c r="B105" s="18"/>
      <c r="C105" s="13"/>
      <c r="D105" s="13"/>
      <c r="E105" s="13"/>
      <c r="F105" s="14"/>
      <c r="G105" s="13"/>
      <c r="H105" s="13"/>
      <c r="I105" s="14"/>
    </row>
    <row r="106" spans="1:9">
      <c r="A106" s="13"/>
      <c r="B106" s="18"/>
      <c r="C106" s="13"/>
      <c r="D106" s="13"/>
      <c r="E106" s="13"/>
      <c r="F106" s="14"/>
      <c r="G106" s="13"/>
      <c r="H106" s="13"/>
      <c r="I106" s="14"/>
    </row>
    <row r="107" spans="1:9">
      <c r="A107" s="13"/>
      <c r="B107" s="18"/>
      <c r="C107" s="13"/>
      <c r="D107" s="13"/>
      <c r="E107" s="13"/>
      <c r="F107" s="14"/>
      <c r="G107" s="13"/>
      <c r="H107" s="13"/>
      <c r="I107" s="14"/>
    </row>
    <row r="108" spans="1:9">
      <c r="A108" s="13"/>
      <c r="B108" s="18"/>
      <c r="C108" s="13"/>
      <c r="D108" s="13"/>
      <c r="E108" s="13"/>
      <c r="F108" s="14"/>
      <c r="G108" s="13"/>
      <c r="H108" s="13"/>
      <c r="I108" s="14"/>
    </row>
    <row r="109" spans="1:9">
      <c r="A109" s="13"/>
      <c r="B109" s="18"/>
      <c r="C109" s="13"/>
      <c r="D109" s="13"/>
      <c r="E109" s="13"/>
      <c r="F109" s="14"/>
      <c r="G109" s="13"/>
      <c r="H109" s="13"/>
      <c r="I109" s="14"/>
    </row>
    <row r="110" spans="1:9">
      <c r="A110" s="13"/>
      <c r="B110" s="18"/>
      <c r="C110" s="13"/>
      <c r="D110" s="13"/>
      <c r="E110" s="13"/>
      <c r="F110" s="14"/>
      <c r="G110" s="13"/>
      <c r="H110" s="13"/>
      <c r="I110" s="14"/>
    </row>
    <row r="111" spans="1:9">
      <c r="A111" s="13"/>
      <c r="B111" s="18"/>
      <c r="C111" s="13"/>
      <c r="D111" s="13"/>
      <c r="E111" s="13"/>
      <c r="F111" s="14"/>
      <c r="G111" s="13"/>
      <c r="H111" s="13"/>
      <c r="I111" s="14"/>
    </row>
    <row r="112" spans="1:9">
      <c r="A112" s="13"/>
      <c r="B112" s="18"/>
      <c r="C112" s="13"/>
      <c r="D112" s="13"/>
      <c r="E112" s="13"/>
      <c r="F112" s="14"/>
      <c r="G112" s="13"/>
      <c r="H112" s="13"/>
      <c r="I112" s="14"/>
    </row>
    <row r="113" spans="1:9">
      <c r="A113" s="13"/>
      <c r="B113" s="18"/>
      <c r="C113" s="13"/>
      <c r="D113" s="13"/>
      <c r="E113" s="13"/>
      <c r="F113" s="14"/>
      <c r="G113" s="13"/>
      <c r="H113" s="13"/>
      <c r="I113" s="14"/>
    </row>
    <row r="114" spans="1:9">
      <c r="A114" s="13"/>
      <c r="B114" s="18"/>
      <c r="C114" s="13"/>
      <c r="D114" s="13"/>
      <c r="E114" s="13"/>
      <c r="F114" s="14"/>
      <c r="G114" s="13"/>
      <c r="H114" s="13"/>
      <c r="I114" s="14"/>
    </row>
    <row r="115" spans="1:9">
      <c r="A115" s="13"/>
      <c r="B115" s="18"/>
      <c r="C115" s="13"/>
      <c r="D115" s="13"/>
      <c r="E115" s="13"/>
      <c r="F115" s="14"/>
      <c r="G115" s="13"/>
      <c r="H115" s="13"/>
      <c r="I115" s="14"/>
    </row>
    <row r="116" spans="1:9">
      <c r="A116" s="13"/>
      <c r="B116" s="18"/>
      <c r="C116" s="13"/>
      <c r="D116" s="13"/>
      <c r="E116" s="13"/>
      <c r="F116" s="14"/>
      <c r="G116" s="13"/>
      <c r="H116" s="13"/>
      <c r="I116" s="14"/>
    </row>
    <row r="117" spans="1:9">
      <c r="A117" s="13"/>
      <c r="B117" s="18"/>
      <c r="C117" s="13"/>
      <c r="D117" s="13"/>
      <c r="E117" s="13"/>
      <c r="F117" s="14"/>
      <c r="G117" s="13"/>
      <c r="H117" s="13"/>
      <c r="I117" s="14"/>
    </row>
    <row r="118" spans="1:9">
      <c r="A118" s="13"/>
      <c r="B118" s="18"/>
      <c r="C118" s="13"/>
      <c r="D118" s="13"/>
      <c r="E118" s="13"/>
      <c r="F118" s="14"/>
      <c r="G118" s="13"/>
      <c r="H118" s="13"/>
      <c r="I118" s="14"/>
    </row>
    <row r="119" spans="1:9">
      <c r="A119" s="13"/>
      <c r="B119" s="18"/>
      <c r="C119" s="13"/>
      <c r="D119" s="13"/>
      <c r="E119" s="13"/>
      <c r="F119" s="14"/>
      <c r="G119" s="13"/>
      <c r="H119" s="13"/>
      <c r="I119" s="14"/>
    </row>
    <row r="120" spans="1:9">
      <c r="A120" s="13"/>
      <c r="B120" s="18"/>
      <c r="C120" s="13"/>
      <c r="D120" s="13"/>
      <c r="E120" s="13"/>
      <c r="F120" s="14"/>
      <c r="G120" s="13"/>
      <c r="H120" s="13"/>
      <c r="I120" s="14"/>
    </row>
    <row r="121" spans="1:9">
      <c r="A121" s="13"/>
      <c r="B121" s="18"/>
      <c r="C121" s="13"/>
      <c r="D121" s="13"/>
      <c r="E121" s="13"/>
      <c r="F121" s="14"/>
      <c r="G121" s="13"/>
      <c r="H121" s="13"/>
      <c r="I121" s="14"/>
    </row>
    <row r="122" spans="1:9">
      <c r="A122" s="13"/>
      <c r="B122" s="18"/>
      <c r="C122" s="13"/>
      <c r="D122" s="13"/>
      <c r="E122" s="13"/>
      <c r="F122" s="14"/>
      <c r="G122" s="13"/>
      <c r="H122" s="13"/>
      <c r="I122" s="14"/>
    </row>
    <row r="123" spans="1:9">
      <c r="A123" s="13"/>
      <c r="B123" s="18"/>
      <c r="C123" s="13"/>
      <c r="D123" s="13"/>
      <c r="E123" s="13"/>
      <c r="F123" s="14"/>
      <c r="G123" s="13"/>
      <c r="H123" s="13"/>
      <c r="I123" s="14"/>
    </row>
    <row r="124" spans="1:9">
      <c r="A124" s="13"/>
      <c r="B124" s="18"/>
      <c r="C124" s="13"/>
      <c r="D124" s="13"/>
      <c r="E124" s="13"/>
      <c r="F124" s="14"/>
      <c r="G124" s="13"/>
      <c r="H124" s="13"/>
      <c r="I124" s="14"/>
    </row>
    <row r="125" spans="1:9">
      <c r="A125" s="13"/>
      <c r="B125" s="18"/>
      <c r="C125" s="13"/>
      <c r="D125" s="13"/>
      <c r="E125" s="13"/>
      <c r="F125" s="14"/>
      <c r="G125" s="13"/>
      <c r="H125" s="13"/>
      <c r="I125" s="14"/>
    </row>
    <row r="126" spans="1:9">
      <c r="A126" s="13"/>
      <c r="B126" s="18"/>
      <c r="C126" s="13"/>
      <c r="D126" s="13"/>
      <c r="E126" s="13"/>
      <c r="F126" s="14"/>
      <c r="G126" s="13"/>
      <c r="H126" s="13"/>
      <c r="I126" s="14"/>
    </row>
    <row r="127" spans="1:9">
      <c r="A127" s="13"/>
      <c r="B127" s="18"/>
      <c r="C127" s="13"/>
      <c r="D127" s="13"/>
      <c r="E127" s="13"/>
      <c r="F127" s="14"/>
      <c r="G127" s="13"/>
      <c r="H127" s="13"/>
      <c r="I127" s="14"/>
    </row>
    <row r="128" spans="1:9">
      <c r="A128" s="13"/>
      <c r="B128" s="18"/>
      <c r="C128" s="13"/>
      <c r="D128" s="13"/>
      <c r="E128" s="13"/>
      <c r="F128" s="14"/>
      <c r="G128" s="13"/>
      <c r="H128" s="13"/>
      <c r="I128" s="14"/>
    </row>
    <row r="129" spans="1:9">
      <c r="A129" s="13"/>
      <c r="B129" s="18"/>
      <c r="C129" s="13"/>
      <c r="D129" s="13"/>
      <c r="E129" s="13"/>
      <c r="F129" s="14"/>
      <c r="G129" s="13"/>
      <c r="H129" s="13"/>
      <c r="I129" s="14"/>
    </row>
    <row r="130" spans="1:9">
      <c r="A130" s="13"/>
      <c r="B130" s="18"/>
      <c r="C130" s="13"/>
      <c r="D130" s="13"/>
      <c r="E130" s="13"/>
      <c r="F130" s="14"/>
      <c r="G130" s="13"/>
      <c r="H130" s="13"/>
      <c r="I130" s="14"/>
    </row>
    <row r="131" spans="1:9">
      <c r="A131" s="13"/>
      <c r="B131" s="18"/>
      <c r="C131" s="13"/>
      <c r="D131" s="13"/>
      <c r="E131" s="13"/>
      <c r="F131" s="14"/>
      <c r="G131" s="13"/>
      <c r="H131" s="13"/>
      <c r="I131" s="14"/>
    </row>
    <row r="132" spans="1:9">
      <c r="A132" s="13"/>
      <c r="B132" s="18"/>
      <c r="C132" s="13"/>
      <c r="D132" s="13"/>
      <c r="E132" s="13"/>
      <c r="F132" s="14"/>
      <c r="G132" s="13"/>
      <c r="H132" s="13"/>
      <c r="I132" s="14"/>
    </row>
    <row r="133" spans="1:9">
      <c r="A133" s="13"/>
      <c r="B133" s="18"/>
      <c r="C133" s="13"/>
      <c r="D133" s="13"/>
      <c r="E133" s="13"/>
      <c r="F133" s="14"/>
      <c r="G133" s="13"/>
      <c r="H133" s="13"/>
      <c r="I133" s="14"/>
    </row>
    <row r="134" spans="1:9">
      <c r="A134" s="13"/>
      <c r="B134" s="18"/>
      <c r="C134" s="13"/>
      <c r="D134" s="13"/>
      <c r="E134" s="13"/>
      <c r="F134" s="14"/>
      <c r="G134" s="13"/>
      <c r="H134" s="13"/>
      <c r="I134" s="14"/>
    </row>
    <row r="135" spans="1:9">
      <c r="A135" s="13"/>
      <c r="B135" s="18"/>
      <c r="C135" s="13"/>
      <c r="D135" s="13"/>
      <c r="E135" s="13"/>
      <c r="F135" s="14"/>
      <c r="G135" s="13"/>
      <c r="H135" s="13"/>
      <c r="I135" s="14"/>
    </row>
    <row r="136" spans="1:9">
      <c r="A136" s="13"/>
      <c r="B136" s="18"/>
      <c r="C136" s="13"/>
      <c r="D136" s="13"/>
      <c r="E136" s="13"/>
      <c r="F136" s="14"/>
      <c r="G136" s="13"/>
      <c r="H136" s="13"/>
      <c r="I136" s="14"/>
    </row>
    <row r="137" spans="1:9">
      <c r="A137" s="13"/>
      <c r="B137" s="18"/>
      <c r="C137" s="13"/>
      <c r="D137" s="13"/>
      <c r="E137" s="13"/>
      <c r="F137" s="14"/>
      <c r="G137" s="13"/>
      <c r="H137" s="13"/>
      <c r="I137" s="14"/>
    </row>
    <row r="138" spans="1:9">
      <c r="A138" s="13"/>
      <c r="B138" s="18"/>
      <c r="C138" s="13"/>
      <c r="D138" s="13"/>
      <c r="E138" s="13"/>
      <c r="F138" s="14"/>
      <c r="G138" s="13"/>
      <c r="H138" s="13"/>
      <c r="I138" s="14"/>
    </row>
    <row r="139" spans="1:9">
      <c r="A139" s="13"/>
      <c r="B139" s="18"/>
      <c r="C139" s="13"/>
      <c r="D139" s="13"/>
      <c r="E139" s="13"/>
      <c r="F139" s="14"/>
      <c r="G139" s="13"/>
      <c r="H139" s="13"/>
      <c r="I139" s="14"/>
    </row>
    <row r="140" spans="1:9">
      <c r="A140" s="13"/>
      <c r="B140" s="18"/>
      <c r="C140" s="13"/>
      <c r="D140" s="13"/>
      <c r="E140" s="13"/>
      <c r="F140" s="14"/>
      <c r="G140" s="13"/>
      <c r="H140" s="13"/>
      <c r="I140" s="14"/>
    </row>
    <row r="141" spans="1:9">
      <c r="A141" s="13"/>
      <c r="B141" s="18"/>
      <c r="C141" s="13"/>
      <c r="D141" s="13"/>
      <c r="E141" s="13"/>
      <c r="F141" s="14"/>
      <c r="G141" s="13"/>
      <c r="H141" s="13"/>
      <c r="I141" s="14"/>
    </row>
    <row r="142" spans="1:9">
      <c r="A142" s="13"/>
      <c r="B142" s="18"/>
      <c r="C142" s="13"/>
      <c r="D142" s="13"/>
      <c r="E142" s="13"/>
      <c r="F142" s="14"/>
      <c r="G142" s="13"/>
      <c r="H142" s="13"/>
      <c r="I142" s="14"/>
    </row>
    <row r="143" spans="1:9">
      <c r="A143" s="13"/>
      <c r="B143" s="18"/>
      <c r="C143" s="13"/>
      <c r="D143" s="13"/>
      <c r="E143" s="13"/>
      <c r="F143" s="14"/>
      <c r="G143" s="13"/>
      <c r="H143" s="13"/>
      <c r="I143" s="14"/>
    </row>
    <row r="144" spans="1:9">
      <c r="A144" s="13"/>
      <c r="B144" s="18"/>
      <c r="C144" s="13"/>
      <c r="D144" s="13"/>
      <c r="E144" s="13"/>
      <c r="F144" s="14"/>
      <c r="G144" s="13"/>
      <c r="H144" s="13"/>
      <c r="I144" s="14"/>
    </row>
    <row r="145" spans="1:9">
      <c r="A145" s="13"/>
      <c r="B145" s="18"/>
      <c r="C145" s="13"/>
      <c r="D145" s="13"/>
      <c r="E145" s="13"/>
      <c r="F145" s="14"/>
      <c r="G145" s="13"/>
      <c r="H145" s="13"/>
      <c r="I145" s="14"/>
    </row>
    <row r="146" spans="1:9">
      <c r="A146" s="13"/>
      <c r="B146" s="18"/>
      <c r="C146" s="13"/>
      <c r="D146" s="13"/>
      <c r="E146" s="13"/>
      <c r="F146" s="14"/>
      <c r="G146" s="13"/>
      <c r="H146" s="13"/>
      <c r="I146" s="14"/>
    </row>
    <row r="147" spans="1:9">
      <c r="A147" s="13"/>
      <c r="B147" s="18"/>
      <c r="C147" s="13"/>
      <c r="D147" s="13"/>
      <c r="E147" s="13"/>
      <c r="F147" s="14"/>
      <c r="G147" s="13"/>
      <c r="H147" s="13"/>
      <c r="I147" s="14"/>
    </row>
    <row r="148" spans="1:9">
      <c r="A148" s="13"/>
      <c r="B148" s="18"/>
      <c r="C148" s="13"/>
      <c r="D148" s="13"/>
      <c r="E148" s="13"/>
      <c r="F148" s="14"/>
      <c r="G148" s="13"/>
      <c r="H148" s="13"/>
      <c r="I148" s="14"/>
    </row>
    <row r="149" spans="1:9">
      <c r="A149" s="13"/>
      <c r="B149" s="18"/>
      <c r="C149" s="13"/>
      <c r="D149" s="13"/>
      <c r="E149" s="13"/>
      <c r="F149" s="14"/>
      <c r="G149" s="13"/>
      <c r="H149" s="13"/>
      <c r="I149" s="14"/>
    </row>
    <row r="150" spans="1:9">
      <c r="A150" s="13"/>
      <c r="B150" s="18"/>
      <c r="C150" s="13"/>
      <c r="D150" s="13"/>
      <c r="E150" s="13"/>
      <c r="F150" s="14"/>
      <c r="G150" s="13"/>
      <c r="H150" s="13"/>
      <c r="I150" s="14"/>
    </row>
    <row r="151" spans="1:9">
      <c r="A151" s="13"/>
      <c r="B151" s="18"/>
      <c r="C151" s="13"/>
      <c r="D151" s="13"/>
      <c r="E151" s="13"/>
      <c r="F151" s="14"/>
      <c r="G151" s="13"/>
      <c r="H151" s="13"/>
      <c r="I151" s="14"/>
    </row>
    <row r="152" spans="1:9">
      <c r="A152" s="13"/>
      <c r="B152" s="18"/>
      <c r="C152" s="13"/>
      <c r="D152" s="13"/>
      <c r="E152" s="13"/>
      <c r="F152" s="14"/>
      <c r="G152" s="13"/>
      <c r="H152" s="13"/>
      <c r="I152" s="14"/>
    </row>
    <row r="153" spans="1:9">
      <c r="A153" s="13"/>
      <c r="B153" s="18"/>
      <c r="C153" s="13"/>
      <c r="D153" s="13"/>
      <c r="E153" s="13"/>
      <c r="F153" s="14"/>
      <c r="G153" s="13"/>
      <c r="H153" s="13"/>
      <c r="I153" s="14"/>
    </row>
    <row r="154" spans="1:9">
      <c r="A154" s="13"/>
      <c r="B154" s="18"/>
      <c r="C154" s="13"/>
      <c r="D154" s="13"/>
      <c r="E154" s="13"/>
      <c r="F154" s="14"/>
      <c r="G154" s="13"/>
      <c r="H154" s="13"/>
      <c r="I154" s="14"/>
    </row>
    <row r="155" spans="1:9">
      <c r="A155" s="13"/>
      <c r="B155" s="18"/>
      <c r="C155" s="13"/>
      <c r="D155" s="13"/>
      <c r="E155" s="13"/>
      <c r="F155" s="14"/>
      <c r="G155" s="13"/>
      <c r="H155" s="13"/>
      <c r="I155" s="14"/>
    </row>
    <row r="156" spans="1:9">
      <c r="A156" s="13"/>
      <c r="B156" s="18"/>
      <c r="C156" s="13"/>
      <c r="D156" s="13"/>
      <c r="E156" s="13"/>
      <c r="F156" s="14"/>
      <c r="G156" s="13"/>
      <c r="H156" s="13"/>
      <c r="I156" s="14"/>
    </row>
    <row r="157" spans="1:9">
      <c r="A157" s="13"/>
      <c r="B157" s="18"/>
      <c r="C157" s="13"/>
      <c r="D157" s="13"/>
      <c r="E157" s="13"/>
      <c r="F157" s="14"/>
      <c r="G157" s="13"/>
      <c r="H157" s="13"/>
      <c r="I157" s="14"/>
    </row>
    <row r="158" spans="1:9">
      <c r="A158" s="13"/>
      <c r="B158" s="18"/>
      <c r="C158" s="13"/>
      <c r="D158" s="13"/>
      <c r="E158" s="13"/>
      <c r="F158" s="14"/>
      <c r="G158" s="13"/>
      <c r="H158" s="13"/>
      <c r="I158" s="14"/>
    </row>
    <row r="159" spans="1:9">
      <c r="A159" s="13"/>
      <c r="B159" s="18"/>
      <c r="C159" s="13"/>
      <c r="D159" s="13"/>
      <c r="E159" s="13"/>
      <c r="F159" s="14"/>
      <c r="G159" s="13"/>
      <c r="H159" s="13"/>
      <c r="I159" s="14"/>
    </row>
    <row r="160" spans="1:9">
      <c r="A160" s="13"/>
      <c r="B160" s="18"/>
      <c r="C160" s="13"/>
      <c r="D160" s="13"/>
      <c r="E160" s="13"/>
      <c r="F160" s="14"/>
      <c r="G160" s="13"/>
      <c r="H160" s="13"/>
      <c r="I160" s="14"/>
    </row>
    <row r="161" spans="1:9">
      <c r="A161" s="13"/>
      <c r="B161" s="18"/>
      <c r="C161" s="13"/>
      <c r="D161" s="13"/>
      <c r="E161" s="13"/>
      <c r="F161" s="14"/>
      <c r="G161" s="13"/>
      <c r="H161" s="13"/>
      <c r="I161" s="14"/>
    </row>
    <row r="162" spans="1:9">
      <c r="A162" s="13"/>
      <c r="B162" s="18"/>
      <c r="C162" s="13"/>
      <c r="D162" s="13"/>
      <c r="E162" s="13"/>
      <c r="F162" s="14"/>
      <c r="G162" s="13"/>
      <c r="H162" s="13"/>
      <c r="I162" s="14"/>
    </row>
    <row r="163" spans="1:9">
      <c r="A163" s="13"/>
      <c r="B163" s="18"/>
      <c r="C163" s="13"/>
      <c r="D163" s="13"/>
      <c r="E163" s="13"/>
      <c r="F163" s="14"/>
      <c r="G163" s="13"/>
      <c r="H163" s="13"/>
      <c r="I163" s="14"/>
    </row>
    <row r="164" spans="1:9">
      <c r="A164" s="13"/>
      <c r="B164" s="18"/>
      <c r="C164" s="13"/>
      <c r="D164" s="13"/>
      <c r="E164" s="13"/>
      <c r="F164" s="14"/>
      <c r="G164" s="13"/>
      <c r="H164" s="13"/>
      <c r="I164" s="14"/>
    </row>
    <row r="165" spans="1:9">
      <c r="A165" s="13"/>
      <c r="B165" s="18"/>
      <c r="C165" s="13"/>
      <c r="D165" s="13"/>
      <c r="E165" s="13"/>
      <c r="F165" s="14"/>
      <c r="G165" s="13"/>
      <c r="H165" s="13"/>
      <c r="I165" s="14"/>
    </row>
    <row r="166" spans="1:9">
      <c r="A166" s="13"/>
      <c r="B166" s="18"/>
      <c r="C166" s="13"/>
      <c r="D166" s="13"/>
      <c r="E166" s="13"/>
      <c r="F166" s="14"/>
      <c r="G166" s="13"/>
      <c r="H166" s="13"/>
      <c r="I166" s="14"/>
    </row>
    <row r="167" spans="1:9">
      <c r="A167" s="13"/>
      <c r="B167" s="18"/>
      <c r="C167" s="13"/>
      <c r="D167" s="13"/>
      <c r="E167" s="13"/>
      <c r="F167" s="14"/>
      <c r="G167" s="13"/>
      <c r="H167" s="13"/>
      <c r="I167" s="14"/>
    </row>
    <row r="168" spans="1:9">
      <c r="A168" s="13"/>
      <c r="B168" s="18"/>
      <c r="C168" s="13"/>
      <c r="D168" s="13"/>
      <c r="E168" s="13"/>
      <c r="F168" s="14"/>
      <c r="G168" s="13"/>
      <c r="H168" s="13"/>
      <c r="I168" s="14"/>
    </row>
    <row r="169" spans="1:9">
      <c r="A169" s="13"/>
      <c r="B169" s="18"/>
      <c r="C169" s="13"/>
      <c r="D169" s="13"/>
      <c r="E169" s="13"/>
      <c r="F169" s="14"/>
      <c r="G169" s="13"/>
      <c r="H169" s="13"/>
      <c r="I169" s="14"/>
    </row>
    <row r="170" spans="1:9">
      <c r="A170" s="13"/>
      <c r="B170" s="18"/>
      <c r="C170" s="13"/>
      <c r="D170" s="13"/>
      <c r="E170" s="13"/>
      <c r="F170" s="14"/>
      <c r="G170" s="13"/>
      <c r="H170" s="13"/>
      <c r="I170" s="14"/>
    </row>
    <row r="171" spans="1:9">
      <c r="A171" s="13"/>
      <c r="B171" s="18"/>
      <c r="C171" s="13"/>
      <c r="D171" s="13"/>
      <c r="E171" s="13"/>
      <c r="F171" s="14"/>
      <c r="G171" s="13"/>
      <c r="H171" s="13"/>
      <c r="I171" s="14"/>
    </row>
    <row r="172" spans="1:9">
      <c r="A172" s="13"/>
      <c r="B172" s="18"/>
      <c r="C172" s="13"/>
      <c r="D172" s="13"/>
      <c r="E172" s="13"/>
      <c r="F172" s="14"/>
      <c r="G172" s="13"/>
      <c r="H172" s="13"/>
      <c r="I172" s="14"/>
    </row>
    <row r="173" spans="1:9">
      <c r="A173" s="13"/>
      <c r="B173" s="18"/>
      <c r="C173" s="13"/>
      <c r="D173" s="13"/>
      <c r="E173" s="13"/>
      <c r="F173" s="14"/>
      <c r="G173" s="13"/>
      <c r="H173" s="13"/>
      <c r="I173" s="14"/>
    </row>
    <row r="174" spans="1:9">
      <c r="A174" s="13"/>
      <c r="B174" s="18"/>
      <c r="C174" s="13"/>
      <c r="D174" s="13"/>
      <c r="E174" s="13"/>
      <c r="F174" s="14"/>
      <c r="G174" s="13"/>
      <c r="H174" s="13"/>
      <c r="I174" s="14"/>
    </row>
    <row r="175" spans="1:9">
      <c r="A175" s="13"/>
      <c r="B175" s="18"/>
      <c r="C175" s="13"/>
      <c r="D175" s="13"/>
      <c r="E175" s="13"/>
      <c r="F175" s="14"/>
      <c r="G175" s="13"/>
      <c r="H175" s="13"/>
      <c r="I175" s="14"/>
    </row>
    <row r="176" spans="1:9">
      <c r="A176" s="13"/>
      <c r="B176" s="18"/>
      <c r="C176" s="13"/>
      <c r="D176" s="13"/>
      <c r="E176" s="13"/>
      <c r="F176" s="14"/>
      <c r="G176" s="13"/>
      <c r="H176" s="13"/>
      <c r="I176" s="14"/>
    </row>
    <row r="177" spans="1:9">
      <c r="A177" s="13"/>
      <c r="B177" s="18"/>
      <c r="C177" s="13"/>
      <c r="D177" s="13"/>
      <c r="E177" s="13"/>
      <c r="F177" s="14"/>
      <c r="G177" s="13"/>
      <c r="H177" s="13"/>
      <c r="I177" s="14"/>
    </row>
    <row r="178" spans="1:9">
      <c r="A178" s="13"/>
      <c r="B178" s="18"/>
      <c r="C178" s="13"/>
      <c r="D178" s="13"/>
      <c r="E178" s="13"/>
      <c r="F178" s="14"/>
      <c r="G178" s="13"/>
      <c r="H178" s="13"/>
      <c r="I178" s="14"/>
    </row>
    <row r="179" spans="1:9">
      <c r="A179" s="13"/>
      <c r="B179" s="18"/>
      <c r="C179" s="13"/>
      <c r="D179" s="13"/>
      <c r="E179" s="13"/>
      <c r="F179" s="14"/>
      <c r="G179" s="13"/>
      <c r="H179" s="13"/>
      <c r="I179" s="14"/>
    </row>
    <row r="180" spans="1:9">
      <c r="A180" s="13"/>
      <c r="B180" s="18"/>
      <c r="C180" s="13"/>
      <c r="D180" s="13"/>
      <c r="E180" s="13"/>
      <c r="F180" s="14"/>
      <c r="G180" s="13"/>
      <c r="H180" s="13"/>
      <c r="I180" s="14"/>
    </row>
    <row r="181" spans="1:9">
      <c r="A181" s="13"/>
      <c r="B181" s="18"/>
      <c r="C181" s="13"/>
      <c r="D181" s="13"/>
      <c r="E181" s="13"/>
      <c r="F181" s="14"/>
      <c r="G181" s="13"/>
      <c r="H181" s="13"/>
      <c r="I181" s="14"/>
    </row>
    <row r="182" spans="1:9">
      <c r="A182" s="13"/>
      <c r="B182" s="18"/>
      <c r="C182" s="13"/>
      <c r="D182" s="13"/>
      <c r="E182" s="13"/>
      <c r="F182" s="14"/>
      <c r="G182" s="13"/>
      <c r="H182" s="13"/>
      <c r="I182" s="14"/>
    </row>
    <row r="183" spans="1:9">
      <c r="A183" s="13"/>
      <c r="B183" s="18"/>
      <c r="C183" s="13"/>
      <c r="D183" s="13"/>
      <c r="E183" s="13"/>
      <c r="F183" s="14"/>
      <c r="G183" s="13"/>
      <c r="H183" s="13"/>
      <c r="I183" s="14"/>
    </row>
    <row r="184" spans="1:9">
      <c r="A184" s="13"/>
      <c r="B184" s="18"/>
      <c r="C184" s="13"/>
      <c r="D184" s="13"/>
      <c r="E184" s="13"/>
      <c r="F184" s="14"/>
      <c r="G184" s="13"/>
      <c r="H184" s="13"/>
      <c r="I184" s="14"/>
    </row>
    <row r="185" spans="1:9">
      <c r="A185" s="13"/>
      <c r="B185" s="18"/>
      <c r="C185" s="13"/>
      <c r="D185" s="13"/>
      <c r="E185" s="13"/>
      <c r="F185" s="14"/>
      <c r="G185" s="13"/>
      <c r="H185" s="13"/>
      <c r="I185" s="14"/>
    </row>
    <row r="186" spans="1:9">
      <c r="A186" s="13"/>
      <c r="B186" s="18"/>
      <c r="C186" s="13"/>
      <c r="D186" s="13"/>
      <c r="E186" s="13"/>
      <c r="F186" s="14"/>
      <c r="G186" s="13"/>
      <c r="H186" s="13"/>
      <c r="I186" s="14"/>
    </row>
    <row r="187" spans="1:9">
      <c r="A187" s="13"/>
      <c r="B187" s="18"/>
      <c r="C187" s="13"/>
      <c r="D187" s="13"/>
      <c r="E187" s="13"/>
      <c r="F187" s="14"/>
      <c r="G187" s="13"/>
      <c r="H187" s="13"/>
      <c r="I187" s="14"/>
    </row>
    <row r="188" spans="1:9">
      <c r="A188" s="13"/>
      <c r="B188" s="18"/>
      <c r="C188" s="13"/>
      <c r="D188" s="13"/>
      <c r="E188" s="13"/>
      <c r="F188" s="14"/>
      <c r="G188" s="13"/>
      <c r="H188" s="13"/>
      <c r="I188" s="14"/>
    </row>
    <row r="189" spans="1:9">
      <c r="A189" s="13"/>
      <c r="B189" s="18"/>
      <c r="C189" s="13"/>
      <c r="D189" s="13"/>
      <c r="E189" s="13"/>
      <c r="F189" s="14"/>
      <c r="G189" s="13"/>
      <c r="H189" s="13"/>
      <c r="I189" s="14"/>
    </row>
    <row r="190" spans="1:9">
      <c r="A190" s="13"/>
      <c r="B190" s="18"/>
      <c r="C190" s="13"/>
      <c r="D190" s="13"/>
      <c r="E190" s="13"/>
      <c r="F190" s="14"/>
      <c r="G190" s="13"/>
      <c r="H190" s="13"/>
      <c r="I190" s="14"/>
    </row>
    <row r="191" spans="1:9">
      <c r="A191" s="13"/>
      <c r="B191" s="18"/>
      <c r="C191" s="13"/>
      <c r="D191" s="13"/>
      <c r="E191" s="13"/>
      <c r="F191" s="14"/>
      <c r="G191" s="13"/>
      <c r="H191" s="13"/>
      <c r="I191" s="14"/>
    </row>
    <row r="192" spans="1:9">
      <c r="A192" s="13"/>
      <c r="B192" s="18"/>
      <c r="C192" s="13"/>
      <c r="D192" s="13"/>
      <c r="E192" s="13"/>
      <c r="F192" s="14"/>
      <c r="G192" s="13"/>
      <c r="H192" s="13"/>
      <c r="I192" s="14"/>
    </row>
    <row r="193" spans="1:9">
      <c r="A193" s="13"/>
      <c r="B193" s="18"/>
      <c r="C193" s="13"/>
      <c r="D193" s="13"/>
      <c r="E193" s="13"/>
      <c r="F193" s="14"/>
      <c r="G193" s="13"/>
      <c r="H193" s="13"/>
      <c r="I193" s="14"/>
    </row>
    <row r="194" spans="1:9">
      <c r="A194" s="13"/>
      <c r="B194" s="18"/>
      <c r="C194" s="13"/>
      <c r="D194" s="13"/>
      <c r="E194" s="13"/>
      <c r="F194" s="14"/>
      <c r="G194" s="13"/>
      <c r="H194" s="13"/>
      <c r="I194" s="14"/>
    </row>
    <row r="195" spans="1:9">
      <c r="A195" s="13"/>
      <c r="B195" s="18"/>
      <c r="C195" s="13"/>
      <c r="D195" s="13"/>
      <c r="E195" s="13"/>
      <c r="F195" s="14"/>
      <c r="G195" s="13"/>
      <c r="H195" s="13"/>
      <c r="I195" s="14"/>
    </row>
    <row r="196" spans="1:9">
      <c r="A196" s="13"/>
      <c r="B196" s="18"/>
      <c r="C196" s="13"/>
      <c r="D196" s="13"/>
      <c r="E196" s="13"/>
      <c r="F196" s="14"/>
      <c r="G196" s="13"/>
      <c r="H196" s="13"/>
      <c r="I196" s="14"/>
    </row>
    <row r="197" spans="1:9">
      <c r="A197" s="13"/>
      <c r="B197" s="18"/>
      <c r="C197" s="13"/>
      <c r="D197" s="13"/>
      <c r="E197" s="13"/>
      <c r="F197" s="14"/>
      <c r="G197" s="13"/>
      <c r="H197" s="13"/>
      <c r="I197" s="14"/>
    </row>
    <row r="198" spans="1:9">
      <c r="A198" s="13"/>
      <c r="B198" s="18"/>
      <c r="C198" s="13"/>
      <c r="D198" s="13"/>
      <c r="E198" s="13"/>
      <c r="F198" s="14"/>
      <c r="G198" s="13"/>
      <c r="H198" s="13"/>
      <c r="I198" s="14"/>
    </row>
    <row r="199" spans="1:9">
      <c r="A199" s="13"/>
      <c r="B199" s="18"/>
      <c r="C199" s="13"/>
      <c r="D199" s="13"/>
      <c r="E199" s="13"/>
      <c r="F199" s="14"/>
      <c r="G199" s="13"/>
      <c r="H199" s="13"/>
      <c r="I199" s="14"/>
    </row>
    <row r="200" spans="1:9">
      <c r="A200" s="13"/>
      <c r="B200" s="18"/>
      <c r="C200" s="13"/>
      <c r="D200" s="13"/>
      <c r="E200" s="13"/>
      <c r="F200" s="14"/>
      <c r="G200" s="13"/>
      <c r="H200" s="13"/>
      <c r="I200" s="14"/>
    </row>
    <row r="201" spans="1:9">
      <c r="A201" s="13"/>
      <c r="B201" s="18"/>
      <c r="C201" s="13"/>
      <c r="D201" s="13"/>
      <c r="E201" s="13"/>
      <c r="F201" s="14"/>
      <c r="G201" s="13"/>
      <c r="H201" s="13"/>
      <c r="I201" s="14"/>
    </row>
    <row r="202" spans="1:9">
      <c r="A202" s="13"/>
      <c r="B202" s="18"/>
      <c r="C202" s="13"/>
      <c r="D202" s="13"/>
      <c r="E202" s="13"/>
      <c r="F202" s="14"/>
      <c r="G202" s="13"/>
      <c r="H202" s="13"/>
      <c r="I202" s="14"/>
    </row>
    <row r="203" spans="1:9">
      <c r="A203" s="13"/>
      <c r="B203" s="18"/>
      <c r="C203" s="13"/>
      <c r="D203" s="13"/>
      <c r="E203" s="13"/>
      <c r="F203" s="14"/>
      <c r="G203" s="13"/>
      <c r="H203" s="13"/>
      <c r="I203" s="14"/>
    </row>
    <row r="204" spans="1:9">
      <c r="A204" s="13"/>
      <c r="B204" s="18"/>
      <c r="C204" s="13"/>
      <c r="D204" s="13"/>
      <c r="E204" s="13"/>
      <c r="F204" s="14"/>
      <c r="G204" s="13"/>
      <c r="H204" s="13"/>
      <c r="I204" s="14"/>
    </row>
    <row r="205" spans="1:9">
      <c r="A205" s="13"/>
      <c r="B205" s="18"/>
      <c r="C205" s="13"/>
      <c r="D205" s="13"/>
      <c r="E205" s="13"/>
      <c r="F205" s="14"/>
      <c r="G205" s="13"/>
      <c r="H205" s="13"/>
      <c r="I205" s="14"/>
    </row>
    <row r="206" spans="1:9">
      <c r="A206" s="13"/>
      <c r="B206" s="18"/>
      <c r="C206" s="13"/>
      <c r="D206" s="13"/>
      <c r="E206" s="13"/>
      <c r="F206" s="14"/>
      <c r="G206" s="13"/>
      <c r="H206" s="13"/>
      <c r="I206" s="14"/>
    </row>
    <row r="207" spans="1:9">
      <c r="A207" s="13"/>
      <c r="B207" s="18"/>
      <c r="C207" s="13"/>
      <c r="D207" s="13"/>
      <c r="E207" s="13"/>
      <c r="F207" s="14"/>
      <c r="G207" s="13"/>
      <c r="H207" s="13"/>
      <c r="I207" s="14"/>
    </row>
    <row r="208" spans="1:9">
      <c r="A208" s="13"/>
      <c r="B208" s="18"/>
      <c r="C208" s="13"/>
      <c r="D208" s="13"/>
      <c r="E208" s="13"/>
      <c r="F208" s="14"/>
      <c r="G208" s="13"/>
      <c r="H208" s="13"/>
      <c r="I208" s="14"/>
    </row>
    <row r="209" spans="1:9">
      <c r="A209" s="13"/>
      <c r="B209" s="18"/>
      <c r="C209" s="13"/>
      <c r="D209" s="13"/>
      <c r="E209" s="13"/>
      <c r="F209" s="14"/>
      <c r="G209" s="13"/>
      <c r="H209" s="13"/>
      <c r="I209" s="14"/>
    </row>
    <row r="210" spans="1:9">
      <c r="A210" s="13"/>
      <c r="B210" s="18"/>
      <c r="C210" s="13"/>
      <c r="D210" s="13"/>
      <c r="E210" s="13"/>
      <c r="F210" s="14"/>
      <c r="G210" s="13"/>
      <c r="H210" s="13"/>
      <c r="I210" s="14"/>
    </row>
    <row r="211" spans="1:9">
      <c r="A211" s="13"/>
      <c r="B211" s="18"/>
      <c r="C211" s="13"/>
      <c r="D211" s="13"/>
      <c r="E211" s="13"/>
      <c r="F211" s="14"/>
      <c r="G211" s="13"/>
      <c r="H211" s="13"/>
      <c r="I211" s="14"/>
    </row>
    <row r="212" spans="1:9">
      <c r="A212" s="13"/>
      <c r="B212" s="18"/>
      <c r="C212" s="13"/>
      <c r="D212" s="13"/>
      <c r="E212" s="13"/>
      <c r="F212" s="14"/>
      <c r="G212" s="13"/>
      <c r="H212" s="13"/>
      <c r="I212" s="14"/>
    </row>
    <row r="213" spans="1:9">
      <c r="A213" s="13"/>
      <c r="B213" s="18"/>
      <c r="C213" s="13"/>
      <c r="D213" s="13"/>
      <c r="E213" s="13"/>
      <c r="F213" s="14"/>
      <c r="G213" s="13"/>
      <c r="H213" s="13"/>
      <c r="I213" s="14"/>
    </row>
    <row r="214" spans="1:9">
      <c r="A214" s="13"/>
      <c r="B214" s="18"/>
      <c r="C214" s="13"/>
      <c r="D214" s="13"/>
      <c r="E214" s="13"/>
      <c r="F214" s="14"/>
      <c r="G214" s="13"/>
      <c r="H214" s="13"/>
      <c r="I214" s="14"/>
    </row>
    <row r="215" spans="1:9">
      <c r="A215" s="13"/>
      <c r="B215" s="18"/>
      <c r="C215" s="13"/>
      <c r="D215" s="13"/>
      <c r="E215" s="13"/>
      <c r="F215" s="14"/>
      <c r="G215" s="13"/>
      <c r="H215" s="13"/>
      <c r="I215" s="14"/>
    </row>
    <row r="216" spans="1:9">
      <c r="A216" s="13"/>
      <c r="B216" s="18"/>
      <c r="C216" s="13"/>
      <c r="D216" s="13"/>
      <c r="E216" s="13"/>
      <c r="F216" s="14"/>
      <c r="G216" s="13"/>
      <c r="H216" s="13"/>
      <c r="I216" s="14"/>
    </row>
    <row r="217" spans="1:9">
      <c r="A217" s="13"/>
      <c r="B217" s="18"/>
      <c r="C217" s="13"/>
      <c r="D217" s="13"/>
      <c r="E217" s="13"/>
      <c r="F217" s="14"/>
      <c r="G217" s="13"/>
      <c r="H217" s="13"/>
      <c r="I217" s="14"/>
    </row>
    <row r="218" spans="1:9">
      <c r="A218" s="13"/>
      <c r="B218" s="18"/>
      <c r="C218" s="13"/>
      <c r="D218" s="13"/>
      <c r="E218" s="13"/>
      <c r="F218" s="14"/>
      <c r="G218" s="13"/>
      <c r="H218" s="13"/>
      <c r="I218" s="14"/>
    </row>
    <row r="219" spans="1:9">
      <c r="A219" s="13"/>
      <c r="B219" s="18"/>
      <c r="C219" s="13"/>
      <c r="D219" s="13"/>
      <c r="E219" s="13"/>
      <c r="F219" s="14"/>
      <c r="G219" s="13"/>
      <c r="H219" s="13"/>
      <c r="I219" s="14"/>
    </row>
    <row r="220" spans="1:9">
      <c r="A220" s="13"/>
      <c r="B220" s="18"/>
      <c r="C220" s="13"/>
      <c r="D220" s="13"/>
      <c r="E220" s="13"/>
      <c r="F220" s="14"/>
      <c r="G220" s="13"/>
      <c r="H220" s="13"/>
      <c r="I220" s="14"/>
    </row>
    <row r="221" spans="1:9">
      <c r="A221" s="13"/>
      <c r="B221" s="18"/>
      <c r="C221" s="13"/>
      <c r="D221" s="13"/>
      <c r="E221" s="13"/>
      <c r="F221" s="14"/>
      <c r="G221" s="13"/>
      <c r="H221" s="13"/>
      <c r="I221" s="14"/>
    </row>
    <row r="222" spans="1:9">
      <c r="A222" s="13"/>
      <c r="B222" s="18"/>
      <c r="C222" s="13"/>
      <c r="D222" s="13"/>
      <c r="E222" s="13"/>
      <c r="F222" s="14"/>
      <c r="G222" s="13"/>
      <c r="H222" s="13"/>
      <c r="I222" s="14"/>
    </row>
    <row r="223" spans="1:9">
      <c r="A223" s="13"/>
      <c r="B223" s="18"/>
      <c r="C223" s="13"/>
      <c r="D223" s="13"/>
      <c r="E223" s="13"/>
      <c r="F223" s="14"/>
      <c r="G223" s="13"/>
      <c r="H223" s="13"/>
      <c r="I223" s="14"/>
    </row>
    <row r="224" spans="1:9">
      <c r="A224" s="13"/>
      <c r="B224" s="18"/>
      <c r="C224" s="13"/>
      <c r="D224" s="13"/>
      <c r="E224" s="13"/>
      <c r="F224" s="14"/>
      <c r="G224" s="13"/>
      <c r="H224" s="13"/>
      <c r="I224" s="14"/>
    </row>
    <row r="225" spans="1:9">
      <c r="A225" s="13"/>
      <c r="B225" s="18"/>
      <c r="C225" s="13"/>
      <c r="D225" s="13"/>
      <c r="E225" s="13"/>
      <c r="F225" s="14"/>
      <c r="G225" s="13"/>
      <c r="H225" s="13"/>
      <c r="I225" s="14"/>
    </row>
    <row r="226" spans="1:9">
      <c r="A226" s="13"/>
      <c r="B226" s="18"/>
      <c r="C226" s="13"/>
      <c r="D226" s="13"/>
      <c r="E226" s="13"/>
      <c r="F226" s="14"/>
      <c r="G226" s="13"/>
      <c r="H226" s="13"/>
      <c r="I226" s="14"/>
    </row>
    <row r="227" spans="1:9">
      <c r="A227" s="13"/>
      <c r="B227" s="18"/>
      <c r="C227" s="13"/>
      <c r="D227" s="13"/>
      <c r="E227" s="13"/>
      <c r="F227" s="14"/>
      <c r="G227" s="13"/>
      <c r="H227" s="13"/>
      <c r="I227" s="14"/>
    </row>
    <row r="228" spans="1:9">
      <c r="A228" s="13"/>
      <c r="B228" s="18"/>
      <c r="C228" s="13"/>
      <c r="D228" s="13"/>
      <c r="E228" s="13"/>
      <c r="F228" s="14"/>
      <c r="G228" s="13"/>
      <c r="H228" s="13"/>
      <c r="I228" s="14"/>
    </row>
    <row r="229" spans="1:9">
      <c r="A229" s="13"/>
      <c r="B229" s="18"/>
      <c r="C229" s="13"/>
      <c r="D229" s="13"/>
      <c r="E229" s="13"/>
      <c r="F229" s="14"/>
      <c r="G229" s="13"/>
      <c r="H229" s="13"/>
      <c r="I229" s="14"/>
    </row>
    <row r="230" spans="1:9">
      <c r="A230" s="13"/>
      <c r="B230" s="18"/>
      <c r="C230" s="13"/>
      <c r="D230" s="13"/>
      <c r="E230" s="13"/>
      <c r="F230" s="14"/>
      <c r="G230" s="13"/>
      <c r="H230" s="13"/>
      <c r="I230" s="14"/>
    </row>
    <row r="231" spans="1:9">
      <c r="A231" s="13"/>
      <c r="B231" s="18"/>
      <c r="C231" s="13"/>
      <c r="D231" s="13"/>
      <c r="E231" s="13"/>
      <c r="F231" s="14"/>
      <c r="G231" s="13"/>
      <c r="H231" s="13"/>
      <c r="I231" s="14"/>
    </row>
    <row r="232" spans="1:9">
      <c r="A232" s="13"/>
      <c r="B232" s="18"/>
      <c r="C232" s="13"/>
      <c r="D232" s="13"/>
      <c r="E232" s="13"/>
      <c r="F232" s="14"/>
      <c r="G232" s="13"/>
      <c r="H232" s="13"/>
      <c r="I232" s="14"/>
    </row>
    <row r="233" spans="1:9">
      <c r="A233" s="13"/>
      <c r="B233" s="18"/>
      <c r="C233" s="13"/>
      <c r="D233" s="13"/>
      <c r="E233" s="13"/>
      <c r="F233" s="14"/>
      <c r="G233" s="13"/>
      <c r="H233" s="13"/>
      <c r="I233" s="14"/>
    </row>
    <row r="234" spans="1:9">
      <c r="A234" s="13"/>
      <c r="B234" s="18"/>
      <c r="C234" s="13"/>
      <c r="D234" s="13"/>
      <c r="E234" s="13"/>
      <c r="F234" s="14"/>
      <c r="G234" s="13"/>
      <c r="H234" s="13"/>
      <c r="I234" s="14"/>
    </row>
    <row r="235" spans="1:9">
      <c r="A235" s="13"/>
      <c r="B235" s="18"/>
      <c r="C235" s="13"/>
      <c r="D235" s="13"/>
      <c r="E235" s="13"/>
      <c r="F235" s="14"/>
      <c r="G235" s="13"/>
      <c r="H235" s="13"/>
      <c r="I235" s="14"/>
    </row>
    <row r="236" spans="1:9">
      <c r="A236" s="13"/>
      <c r="B236" s="18"/>
      <c r="C236" s="13"/>
      <c r="D236" s="13"/>
      <c r="E236" s="13"/>
      <c r="F236" s="14"/>
      <c r="G236" s="13"/>
      <c r="H236" s="13"/>
      <c r="I236" s="14"/>
    </row>
    <row r="237" spans="1:9">
      <c r="A237" s="13"/>
      <c r="B237" s="18"/>
      <c r="C237" s="13"/>
      <c r="D237" s="13"/>
      <c r="E237" s="13"/>
      <c r="F237" s="14"/>
      <c r="G237" s="13"/>
      <c r="H237" s="13"/>
      <c r="I237" s="14"/>
    </row>
    <row r="238" spans="1:9">
      <c r="A238" s="13"/>
      <c r="B238" s="18"/>
      <c r="C238" s="13"/>
      <c r="D238" s="13"/>
      <c r="E238" s="13"/>
      <c r="F238" s="14"/>
      <c r="G238" s="13"/>
      <c r="H238" s="13"/>
      <c r="I238" s="14"/>
    </row>
    <row r="239" spans="1:9">
      <c r="A239" s="13"/>
      <c r="B239" s="18"/>
      <c r="C239" s="13"/>
      <c r="D239" s="13"/>
      <c r="E239" s="13"/>
      <c r="F239" s="14"/>
      <c r="G239" s="13"/>
      <c r="H239" s="13"/>
      <c r="I239" s="14"/>
    </row>
    <row r="240" spans="1:9">
      <c r="A240" s="13"/>
      <c r="B240" s="18"/>
      <c r="C240" s="13"/>
      <c r="D240" s="13"/>
      <c r="E240" s="13"/>
      <c r="F240" s="14"/>
      <c r="G240" s="13"/>
      <c r="H240" s="13"/>
      <c r="I240" s="14"/>
    </row>
    <row r="241" spans="1:9">
      <c r="A241" s="13"/>
      <c r="B241" s="18"/>
      <c r="C241" s="13"/>
      <c r="D241" s="13"/>
      <c r="E241" s="13"/>
      <c r="F241" s="14"/>
      <c r="G241" s="13"/>
      <c r="H241" s="13"/>
      <c r="I241" s="14"/>
    </row>
    <row r="242" spans="1:9">
      <c r="A242" s="13"/>
      <c r="B242" s="18"/>
      <c r="C242" s="13"/>
      <c r="D242" s="13"/>
      <c r="E242" s="13"/>
      <c r="F242" s="14"/>
      <c r="G242" s="13"/>
      <c r="H242" s="13"/>
      <c r="I242" s="14"/>
    </row>
    <row r="243" spans="1:9">
      <c r="A243" s="13"/>
      <c r="B243" s="18"/>
      <c r="C243" s="13"/>
      <c r="D243" s="13"/>
      <c r="E243" s="13"/>
      <c r="F243" s="14"/>
      <c r="G243" s="13"/>
      <c r="H243" s="13"/>
      <c r="I243" s="14"/>
    </row>
    <row r="244" spans="1:9">
      <c r="A244" s="13"/>
      <c r="B244" s="18"/>
      <c r="C244" s="13"/>
      <c r="D244" s="13"/>
      <c r="E244" s="13"/>
      <c r="F244" s="14"/>
      <c r="G244" s="13"/>
      <c r="H244" s="13"/>
      <c r="I244" s="14"/>
    </row>
    <row r="245" spans="1:9">
      <c r="A245" s="13"/>
      <c r="B245" s="18"/>
      <c r="C245" s="13"/>
      <c r="D245" s="13"/>
      <c r="E245" s="13"/>
      <c r="F245" s="14"/>
      <c r="G245" s="13"/>
      <c r="H245" s="13"/>
      <c r="I245" s="14"/>
    </row>
    <row r="246" spans="1:9">
      <c r="A246" s="13"/>
      <c r="B246" s="18"/>
      <c r="C246" s="13"/>
      <c r="D246" s="13"/>
      <c r="E246" s="13"/>
      <c r="F246" s="14"/>
      <c r="G246" s="13"/>
      <c r="H246" s="13"/>
      <c r="I246" s="14"/>
    </row>
    <row r="247" spans="1:9">
      <c r="A247" s="13"/>
      <c r="B247" s="18"/>
      <c r="C247" s="13"/>
      <c r="D247" s="13"/>
      <c r="E247" s="13"/>
      <c r="F247" s="14"/>
      <c r="G247" s="13"/>
      <c r="H247" s="13"/>
      <c r="I247" s="14"/>
    </row>
    <row r="248" spans="1:9">
      <c r="A248" s="13"/>
      <c r="B248" s="18"/>
      <c r="C248" s="13"/>
      <c r="D248" s="13"/>
      <c r="E248" s="13"/>
      <c r="F248" s="14"/>
      <c r="G248" s="13"/>
      <c r="H248" s="13"/>
      <c r="I248" s="14"/>
    </row>
    <row r="249" spans="1:9">
      <c r="A249" s="13"/>
      <c r="B249" s="18"/>
      <c r="C249" s="13"/>
      <c r="D249" s="13"/>
      <c r="E249" s="13"/>
      <c r="F249" s="14"/>
      <c r="G249" s="13"/>
      <c r="H249" s="13"/>
      <c r="I249" s="14"/>
    </row>
    <row r="250" spans="1:9">
      <c r="A250" s="13"/>
      <c r="B250" s="18"/>
      <c r="C250" s="13"/>
      <c r="D250" s="13"/>
      <c r="E250" s="13"/>
      <c r="F250" s="14"/>
      <c r="G250" s="13"/>
      <c r="H250" s="13"/>
      <c r="I250" s="14"/>
    </row>
    <row r="251" spans="1:9">
      <c r="A251" s="13"/>
      <c r="B251" s="18"/>
      <c r="C251" s="13"/>
      <c r="D251" s="13"/>
      <c r="E251" s="13"/>
      <c r="F251" s="14"/>
      <c r="G251" s="13"/>
      <c r="H251" s="13"/>
      <c r="I251" s="14"/>
    </row>
    <row r="252" spans="1:9">
      <c r="A252" s="13"/>
      <c r="B252" s="18"/>
      <c r="C252" s="13"/>
      <c r="D252" s="13"/>
      <c r="E252" s="13"/>
      <c r="F252" s="14"/>
      <c r="G252" s="13"/>
      <c r="H252" s="13"/>
      <c r="I252" s="14"/>
    </row>
    <row r="253" spans="1:9">
      <c r="A253" s="13"/>
      <c r="B253" s="18"/>
      <c r="C253" s="13"/>
      <c r="D253" s="13"/>
      <c r="E253" s="13"/>
      <c r="F253" s="14"/>
      <c r="G253" s="13"/>
      <c r="H253" s="13"/>
      <c r="I253" s="14"/>
    </row>
    <row r="254" spans="1:9">
      <c r="A254" s="13"/>
      <c r="B254" s="18"/>
      <c r="C254" s="13"/>
      <c r="D254" s="13"/>
      <c r="E254" s="13"/>
      <c r="F254" s="14"/>
      <c r="G254" s="13"/>
      <c r="H254" s="13"/>
      <c r="I254" s="14"/>
    </row>
    <row r="255" spans="1:9">
      <c r="A255" s="13"/>
      <c r="B255" s="18"/>
      <c r="C255" s="13"/>
      <c r="D255" s="13"/>
      <c r="E255" s="13"/>
      <c r="F255" s="14"/>
      <c r="G255" s="13"/>
      <c r="H255" s="13"/>
      <c r="I255" s="14"/>
    </row>
    <row r="256" spans="1:9">
      <c r="A256" s="13"/>
      <c r="B256" s="18"/>
      <c r="C256" s="13"/>
      <c r="D256" s="13"/>
      <c r="E256" s="13"/>
      <c r="F256" s="14"/>
      <c r="G256" s="13"/>
      <c r="H256" s="13"/>
      <c r="I256" s="14"/>
    </row>
    <row r="257" spans="1:9">
      <c r="A257" s="13"/>
      <c r="B257" s="18"/>
      <c r="C257" s="13"/>
      <c r="D257" s="13"/>
      <c r="E257" s="13"/>
      <c r="F257" s="14"/>
      <c r="G257" s="13"/>
      <c r="H257" s="13"/>
      <c r="I257" s="14"/>
    </row>
    <row r="258" spans="1:9">
      <c r="A258" s="13"/>
      <c r="B258" s="18"/>
      <c r="C258" s="13"/>
      <c r="D258" s="13"/>
      <c r="E258" s="13"/>
      <c r="F258" s="14"/>
      <c r="G258" s="13"/>
      <c r="H258" s="13"/>
      <c r="I258" s="14"/>
    </row>
    <row r="259" spans="1:9">
      <c r="A259" s="13"/>
      <c r="B259" s="18"/>
      <c r="C259" s="13"/>
      <c r="D259" s="13"/>
      <c r="E259" s="13"/>
      <c r="F259" s="14"/>
      <c r="G259" s="13"/>
      <c r="H259" s="13"/>
      <c r="I259" s="14"/>
    </row>
    <row r="260" spans="1:9">
      <c r="A260" s="13"/>
      <c r="B260" s="18"/>
      <c r="C260" s="13"/>
      <c r="D260" s="13"/>
      <c r="E260" s="13"/>
      <c r="F260" s="14"/>
      <c r="G260" s="13"/>
      <c r="H260" s="13"/>
      <c r="I260" s="14"/>
    </row>
    <row r="261" spans="1:9">
      <c r="A261" s="13"/>
      <c r="B261" s="18"/>
      <c r="C261" s="13"/>
      <c r="D261" s="13"/>
      <c r="E261" s="13"/>
      <c r="F261" s="14"/>
      <c r="G261" s="13"/>
      <c r="H261" s="13"/>
      <c r="I261" s="14"/>
    </row>
    <row r="262" spans="1:9">
      <c r="A262" s="13"/>
      <c r="B262" s="18"/>
      <c r="C262" s="13"/>
      <c r="D262" s="13"/>
      <c r="E262" s="13"/>
      <c r="F262" s="14"/>
      <c r="G262" s="13"/>
      <c r="H262" s="13"/>
      <c r="I262" s="14"/>
    </row>
    <row r="263" spans="1:9">
      <c r="A263" s="13"/>
      <c r="B263" s="18"/>
      <c r="C263" s="13"/>
      <c r="D263" s="13"/>
      <c r="E263" s="13"/>
      <c r="F263" s="14"/>
      <c r="G263" s="13"/>
      <c r="H263" s="13"/>
      <c r="I263" s="14"/>
    </row>
    <row r="264" spans="1:9">
      <c r="A264" s="13"/>
      <c r="B264" s="18"/>
      <c r="C264" s="13"/>
      <c r="D264" s="13"/>
      <c r="E264" s="13"/>
      <c r="F264" s="14"/>
      <c r="G264" s="13"/>
      <c r="H264" s="13"/>
      <c r="I264" s="14"/>
    </row>
    <row r="265" spans="1:9">
      <c r="A265" s="13"/>
      <c r="B265" s="18"/>
      <c r="C265" s="13"/>
      <c r="D265" s="13"/>
      <c r="E265" s="13"/>
      <c r="F265" s="14"/>
      <c r="G265" s="13"/>
      <c r="H265" s="13"/>
      <c r="I265" s="14"/>
    </row>
    <row r="266" spans="1:9">
      <c r="A266" s="13"/>
      <c r="B266" s="18"/>
      <c r="C266" s="13"/>
      <c r="D266" s="13"/>
      <c r="E266" s="13"/>
      <c r="F266" s="14"/>
      <c r="G266" s="13"/>
      <c r="H266" s="13"/>
      <c r="I266" s="14"/>
    </row>
    <row r="267" spans="1:9">
      <c r="A267" s="13"/>
      <c r="B267" s="18"/>
      <c r="C267" s="13"/>
      <c r="D267" s="13"/>
      <c r="E267" s="13"/>
      <c r="F267" s="14"/>
      <c r="G267" s="13"/>
      <c r="H267" s="13"/>
      <c r="I267" s="14"/>
    </row>
    <row r="268" spans="1:9">
      <c r="A268" s="13"/>
      <c r="B268" s="18"/>
      <c r="C268" s="13"/>
      <c r="D268" s="13"/>
      <c r="E268" s="13"/>
      <c r="F268" s="14"/>
      <c r="G268" s="13"/>
      <c r="H268" s="13"/>
      <c r="I268" s="14"/>
    </row>
    <row r="269" spans="1:9">
      <c r="A269" s="13"/>
      <c r="B269" s="18"/>
      <c r="C269" s="13"/>
      <c r="D269" s="13"/>
      <c r="E269" s="13"/>
      <c r="F269" s="14"/>
      <c r="G269" s="13"/>
      <c r="H269" s="13"/>
      <c r="I269" s="14"/>
    </row>
    <row r="270" spans="1:9">
      <c r="A270" s="13"/>
      <c r="B270" s="18"/>
      <c r="C270" s="13"/>
      <c r="D270" s="13"/>
      <c r="E270" s="13"/>
      <c r="F270" s="14"/>
      <c r="G270" s="13"/>
      <c r="H270" s="13"/>
      <c r="I270" s="14"/>
    </row>
    <row r="271" spans="1:9">
      <c r="A271" s="13"/>
      <c r="B271" s="18"/>
      <c r="C271" s="13"/>
      <c r="D271" s="13"/>
      <c r="E271" s="13"/>
      <c r="F271" s="14"/>
      <c r="G271" s="13"/>
      <c r="H271" s="13"/>
      <c r="I271" s="14"/>
    </row>
    <row r="272" spans="1:9">
      <c r="A272" s="13"/>
      <c r="B272" s="18"/>
      <c r="C272" s="13"/>
      <c r="D272" s="13"/>
      <c r="E272" s="13"/>
      <c r="F272" s="14"/>
      <c r="G272" s="13"/>
      <c r="H272" s="13"/>
      <c r="I272" s="14"/>
    </row>
    <row r="273" spans="1:9">
      <c r="A273" s="13"/>
      <c r="B273" s="18"/>
      <c r="C273" s="13"/>
      <c r="D273" s="13"/>
      <c r="E273" s="13"/>
      <c r="F273" s="14"/>
      <c r="G273" s="13"/>
      <c r="H273" s="13"/>
      <c r="I273" s="14"/>
    </row>
    <row r="274" spans="1:9">
      <c r="A274" s="13"/>
      <c r="B274" s="18"/>
      <c r="C274" s="13"/>
      <c r="D274" s="13"/>
      <c r="E274" s="13"/>
      <c r="F274" s="14"/>
      <c r="G274" s="13"/>
      <c r="H274" s="13"/>
      <c r="I274" s="14"/>
    </row>
    <row r="275" spans="1:9">
      <c r="A275" s="13"/>
      <c r="B275" s="18"/>
      <c r="C275" s="13"/>
      <c r="D275" s="13"/>
      <c r="E275" s="13"/>
      <c r="F275" s="14"/>
      <c r="G275" s="13"/>
      <c r="H275" s="13"/>
      <c r="I275" s="14"/>
    </row>
    <row r="276" spans="1:9">
      <c r="A276" s="13"/>
      <c r="B276" s="18"/>
      <c r="C276" s="13"/>
      <c r="D276" s="13"/>
      <c r="E276" s="13"/>
      <c r="F276" s="14"/>
      <c r="G276" s="13"/>
      <c r="H276" s="13"/>
      <c r="I276" s="14"/>
    </row>
    <row r="277" spans="1:9">
      <c r="A277" s="13"/>
      <c r="B277" s="18"/>
      <c r="C277" s="13"/>
      <c r="D277" s="13"/>
      <c r="E277" s="13"/>
      <c r="F277" s="14"/>
      <c r="G277" s="13"/>
      <c r="H277" s="13"/>
      <c r="I277" s="14"/>
    </row>
    <row r="278" spans="1:9">
      <c r="A278" s="13"/>
      <c r="B278" s="18"/>
      <c r="C278" s="13"/>
      <c r="D278" s="13"/>
      <c r="E278" s="13"/>
      <c r="F278" s="14"/>
      <c r="G278" s="13"/>
      <c r="H278" s="13"/>
      <c r="I278" s="14"/>
    </row>
    <row r="279" spans="1:9">
      <c r="A279" s="13"/>
      <c r="B279" s="18"/>
      <c r="C279" s="13"/>
      <c r="D279" s="13"/>
      <c r="E279" s="13"/>
      <c r="F279" s="14"/>
      <c r="G279" s="13"/>
      <c r="H279" s="13"/>
      <c r="I279" s="14"/>
    </row>
    <row r="280" spans="1:9">
      <c r="A280" s="13"/>
      <c r="B280" s="18"/>
      <c r="C280" s="13"/>
      <c r="D280" s="13"/>
      <c r="E280" s="13"/>
      <c r="F280" s="14"/>
      <c r="G280" s="13"/>
      <c r="H280" s="13"/>
      <c r="I280" s="14"/>
    </row>
    <row r="281" spans="1:9">
      <c r="A281" s="13"/>
      <c r="B281" s="18"/>
      <c r="C281" s="13"/>
      <c r="D281" s="13"/>
      <c r="E281" s="13"/>
      <c r="F281" s="14"/>
      <c r="G281" s="13"/>
      <c r="H281" s="13"/>
      <c r="I281" s="14"/>
    </row>
    <row r="282" spans="1:9">
      <c r="A282" s="13"/>
      <c r="B282" s="18"/>
      <c r="C282" s="13"/>
      <c r="D282" s="13"/>
      <c r="E282" s="13"/>
      <c r="F282" s="14"/>
      <c r="G282" s="13"/>
      <c r="H282" s="13"/>
      <c r="I282" s="14"/>
    </row>
    <row r="283" spans="1:9">
      <c r="A283" s="13"/>
      <c r="B283" s="18"/>
      <c r="C283" s="13"/>
      <c r="D283" s="13"/>
      <c r="E283" s="13"/>
      <c r="F283" s="14"/>
      <c r="G283" s="13"/>
      <c r="H283" s="13"/>
      <c r="I283" s="14"/>
    </row>
    <row r="284" spans="1:9">
      <c r="A284" s="13"/>
      <c r="B284" s="18"/>
      <c r="C284" s="13"/>
      <c r="D284" s="13"/>
      <c r="E284" s="13"/>
      <c r="F284" s="14"/>
      <c r="G284" s="13"/>
      <c r="H284" s="13"/>
      <c r="I284" s="14"/>
    </row>
    <row r="285" spans="1:9">
      <c r="A285" s="13"/>
      <c r="B285" s="18"/>
      <c r="C285" s="13"/>
      <c r="D285" s="13"/>
      <c r="E285" s="13"/>
      <c r="F285" s="14"/>
      <c r="G285" s="13"/>
      <c r="H285" s="13"/>
      <c r="I285" s="14"/>
    </row>
    <row r="286" spans="1:9">
      <c r="A286" s="13"/>
      <c r="B286" s="18"/>
      <c r="C286" s="13"/>
      <c r="D286" s="13"/>
      <c r="E286" s="13"/>
      <c r="F286" s="14"/>
      <c r="G286" s="13"/>
      <c r="H286" s="13"/>
      <c r="I286" s="14"/>
    </row>
    <row r="287" spans="1:9">
      <c r="A287" s="13"/>
      <c r="B287" s="18"/>
      <c r="C287" s="13"/>
      <c r="D287" s="13"/>
      <c r="E287" s="13"/>
      <c r="F287" s="14"/>
      <c r="G287" s="13"/>
      <c r="H287" s="13"/>
      <c r="I287" s="14"/>
    </row>
    <row r="288" spans="1:9">
      <c r="A288" s="13"/>
      <c r="B288" s="18"/>
      <c r="C288" s="13"/>
      <c r="D288" s="13"/>
      <c r="E288" s="13"/>
      <c r="F288" s="14"/>
      <c r="G288" s="13"/>
      <c r="H288" s="13"/>
      <c r="I288" s="14"/>
    </row>
    <row r="289" spans="1:9">
      <c r="A289" s="13"/>
      <c r="B289" s="18"/>
      <c r="C289" s="13"/>
      <c r="D289" s="13"/>
      <c r="E289" s="13"/>
      <c r="F289" s="14"/>
      <c r="G289" s="13"/>
      <c r="H289" s="13"/>
      <c r="I289" s="14"/>
    </row>
    <row r="290" spans="1:9">
      <c r="A290" s="13"/>
      <c r="B290" s="18"/>
      <c r="C290" s="13"/>
      <c r="D290" s="13"/>
      <c r="E290" s="13"/>
      <c r="F290" s="14"/>
      <c r="G290" s="13"/>
      <c r="H290" s="13"/>
      <c r="I290" s="14"/>
    </row>
    <row r="291" spans="1:9">
      <c r="A291" s="13"/>
      <c r="B291" s="18"/>
      <c r="C291" s="13"/>
      <c r="D291" s="13"/>
      <c r="E291" s="13"/>
      <c r="F291" s="14"/>
      <c r="G291" s="13"/>
      <c r="H291" s="13"/>
      <c r="I291" s="14"/>
    </row>
    <row r="292" spans="1:9">
      <c r="A292" s="13"/>
      <c r="B292" s="18"/>
      <c r="C292" s="13"/>
      <c r="D292" s="13"/>
      <c r="E292" s="13"/>
      <c r="F292" s="14"/>
      <c r="G292" s="13"/>
      <c r="H292" s="13"/>
      <c r="I292" s="14"/>
    </row>
    <row r="293" spans="1:9">
      <c r="A293" s="13"/>
      <c r="B293" s="18"/>
      <c r="C293" s="13"/>
      <c r="D293" s="13"/>
      <c r="E293" s="13"/>
      <c r="F293" s="14"/>
      <c r="G293" s="13"/>
      <c r="H293" s="13"/>
      <c r="I293" s="14"/>
    </row>
    <row r="294" spans="1:9">
      <c r="A294" s="13"/>
      <c r="B294" s="18"/>
      <c r="C294" s="13"/>
      <c r="D294" s="13"/>
      <c r="E294" s="13"/>
      <c r="F294" s="14"/>
      <c r="G294" s="13"/>
      <c r="H294" s="13"/>
      <c r="I294" s="14"/>
    </row>
    <row r="295" spans="1:9">
      <c r="A295" s="13"/>
      <c r="B295" s="18"/>
      <c r="C295" s="13"/>
      <c r="D295" s="13"/>
      <c r="E295" s="13"/>
      <c r="F295" s="14"/>
      <c r="G295" s="13"/>
      <c r="H295" s="13"/>
      <c r="I295" s="14"/>
    </row>
    <row r="296" spans="1:9">
      <c r="A296" s="13"/>
      <c r="B296" s="18"/>
      <c r="C296" s="13"/>
      <c r="D296" s="13"/>
      <c r="E296" s="13"/>
      <c r="F296" s="14"/>
      <c r="G296" s="13"/>
      <c r="H296" s="13"/>
      <c r="I296" s="14"/>
    </row>
    <row r="297" spans="1:9">
      <c r="A297" s="13"/>
      <c r="B297" s="18"/>
      <c r="C297" s="13"/>
      <c r="D297" s="13"/>
      <c r="E297" s="13"/>
      <c r="F297" s="14"/>
      <c r="G297" s="13"/>
      <c r="H297" s="13"/>
      <c r="I297" s="14"/>
    </row>
    <row r="298" spans="1:9">
      <c r="A298" s="13"/>
      <c r="B298" s="18"/>
      <c r="C298" s="13"/>
      <c r="D298" s="13"/>
      <c r="E298" s="13"/>
      <c r="F298" s="14"/>
      <c r="G298" s="13"/>
      <c r="H298" s="13"/>
      <c r="I298" s="14"/>
    </row>
    <row r="299" spans="1:9">
      <c r="A299" s="13"/>
      <c r="B299" s="18"/>
      <c r="C299" s="13"/>
      <c r="D299" s="13"/>
      <c r="E299" s="13"/>
      <c r="F299" s="14"/>
      <c r="G299" s="13"/>
      <c r="H299" s="13"/>
      <c r="I299" s="14"/>
    </row>
    <row r="300" spans="1:9">
      <c r="A300" s="13"/>
      <c r="B300" s="18"/>
      <c r="C300" s="13"/>
      <c r="D300" s="13"/>
      <c r="E300" s="13"/>
      <c r="F300" s="14"/>
      <c r="G300" s="13"/>
      <c r="H300" s="13"/>
      <c r="I300" s="14"/>
    </row>
    <row r="301" spans="1:9">
      <c r="A301" s="13"/>
      <c r="B301" s="18"/>
      <c r="C301" s="13"/>
      <c r="D301" s="13"/>
      <c r="E301" s="13"/>
      <c r="F301" s="14"/>
      <c r="G301" s="13"/>
      <c r="H301" s="13"/>
      <c r="I301" s="14"/>
    </row>
    <row r="302" spans="1:9">
      <c r="A302" s="13"/>
      <c r="B302" s="18"/>
      <c r="C302" s="13"/>
      <c r="D302" s="13"/>
      <c r="E302" s="13"/>
      <c r="F302" s="14"/>
      <c r="G302" s="13"/>
      <c r="H302" s="13"/>
      <c r="I302" s="14"/>
    </row>
    <row r="303" spans="1:9">
      <c r="A303" s="13"/>
      <c r="B303" s="18"/>
      <c r="C303" s="13"/>
      <c r="D303" s="13"/>
      <c r="E303" s="13"/>
      <c r="F303" s="14"/>
      <c r="G303" s="13"/>
      <c r="H303" s="13"/>
      <c r="I303" s="14"/>
    </row>
    <row r="304" spans="1:9">
      <c r="A304" s="13"/>
      <c r="B304" s="18"/>
      <c r="C304" s="13"/>
      <c r="D304" s="13"/>
      <c r="E304" s="13"/>
      <c r="F304" s="14"/>
      <c r="G304" s="13"/>
      <c r="H304" s="13"/>
      <c r="I304" s="14"/>
    </row>
    <row r="305" spans="1:9">
      <c r="A305" s="13"/>
      <c r="B305" s="18"/>
      <c r="C305" s="13"/>
      <c r="D305" s="13"/>
      <c r="E305" s="13"/>
      <c r="F305" s="14"/>
      <c r="G305" s="13"/>
      <c r="H305" s="13"/>
      <c r="I305" s="14"/>
    </row>
    <row r="306" spans="1:9">
      <c r="A306" s="13"/>
      <c r="B306" s="18"/>
      <c r="C306" s="13"/>
      <c r="D306" s="13"/>
      <c r="E306" s="13"/>
      <c r="F306" s="14"/>
      <c r="G306" s="13"/>
      <c r="H306" s="13"/>
      <c r="I306" s="14"/>
    </row>
    <row r="307" spans="1:9">
      <c r="A307" s="13"/>
      <c r="B307" s="18"/>
      <c r="C307" s="13"/>
      <c r="D307" s="13"/>
      <c r="E307" s="13"/>
      <c r="F307" s="14"/>
      <c r="G307" s="13"/>
      <c r="H307" s="13"/>
      <c r="I307" s="14"/>
    </row>
    <row r="308" spans="1:9">
      <c r="A308" s="13"/>
      <c r="B308" s="18"/>
      <c r="C308" s="13"/>
      <c r="D308" s="13"/>
      <c r="E308" s="13"/>
      <c r="F308" s="14"/>
      <c r="G308" s="13"/>
      <c r="H308" s="13"/>
      <c r="I308" s="14"/>
    </row>
    <row r="309" spans="1:9">
      <c r="A309" s="13"/>
      <c r="B309" s="18"/>
      <c r="C309" s="13"/>
      <c r="D309" s="13"/>
      <c r="E309" s="13"/>
      <c r="F309" s="14"/>
      <c r="G309" s="13"/>
      <c r="H309" s="13"/>
      <c r="I309" s="14"/>
    </row>
    <row r="310" spans="1:9">
      <c r="A310" s="13"/>
      <c r="B310" s="18"/>
      <c r="C310" s="13"/>
      <c r="D310" s="13"/>
      <c r="E310" s="13"/>
      <c r="F310" s="14"/>
      <c r="G310" s="13"/>
      <c r="H310" s="13"/>
      <c r="I310" s="14"/>
    </row>
    <row r="311" spans="1:9">
      <c r="A311" s="13"/>
      <c r="B311" s="18"/>
      <c r="C311" s="13"/>
      <c r="D311" s="13"/>
      <c r="E311" s="13"/>
      <c r="F311" s="14"/>
      <c r="G311" s="13"/>
      <c r="H311" s="13"/>
      <c r="I311" s="14"/>
    </row>
    <row r="312" spans="1:9">
      <c r="A312" s="13"/>
      <c r="B312" s="18"/>
      <c r="C312" s="13"/>
      <c r="D312" s="13"/>
      <c r="E312" s="13"/>
      <c r="F312" s="14"/>
      <c r="G312" s="13"/>
      <c r="H312" s="13"/>
      <c r="I312" s="14"/>
    </row>
    <row r="313" spans="1:9">
      <c r="A313" s="13"/>
      <c r="B313" s="18"/>
      <c r="C313" s="13"/>
      <c r="D313" s="13"/>
      <c r="E313" s="13"/>
      <c r="F313" s="14"/>
      <c r="G313" s="13"/>
      <c r="H313" s="13"/>
      <c r="I313" s="14"/>
    </row>
    <row r="314" spans="1:9">
      <c r="A314" s="13"/>
      <c r="B314" s="18"/>
      <c r="C314" s="13"/>
      <c r="D314" s="13"/>
      <c r="E314" s="13"/>
      <c r="F314" s="14"/>
      <c r="G314" s="13"/>
      <c r="H314" s="13"/>
      <c r="I314" s="14"/>
    </row>
    <row r="315" spans="1:9">
      <c r="A315" s="13"/>
      <c r="B315" s="18"/>
      <c r="C315" s="13"/>
      <c r="D315" s="13"/>
      <c r="E315" s="13"/>
      <c r="F315" s="14"/>
      <c r="G315" s="13"/>
      <c r="H315" s="13"/>
      <c r="I315" s="14"/>
    </row>
    <row r="316" spans="1:9">
      <c r="A316" s="13"/>
      <c r="B316" s="18"/>
      <c r="C316" s="13"/>
      <c r="D316" s="13"/>
      <c r="E316" s="13"/>
      <c r="F316" s="14"/>
      <c r="G316" s="13"/>
      <c r="H316" s="13"/>
      <c r="I316" s="14"/>
    </row>
    <row r="317" spans="1:9">
      <c r="A317" s="13"/>
      <c r="B317" s="18"/>
      <c r="C317" s="13"/>
      <c r="D317" s="13"/>
      <c r="E317" s="13"/>
      <c r="F317" s="14"/>
      <c r="G317" s="13"/>
      <c r="H317" s="13"/>
      <c r="I317" s="14"/>
    </row>
    <row r="318" spans="1:9">
      <c r="A318" s="13"/>
      <c r="B318" s="18"/>
      <c r="C318" s="13"/>
      <c r="D318" s="13"/>
      <c r="E318" s="13"/>
      <c r="F318" s="14"/>
      <c r="G318" s="13"/>
      <c r="H318" s="13"/>
      <c r="I318" s="14"/>
    </row>
    <row r="319" spans="1:9">
      <c r="A319" s="13"/>
      <c r="B319" s="18"/>
      <c r="C319" s="13"/>
      <c r="D319" s="13"/>
      <c r="E319" s="13"/>
      <c r="F319" s="14"/>
      <c r="G319" s="13"/>
      <c r="H319" s="13"/>
      <c r="I319" s="14"/>
    </row>
    <row r="320" spans="1:9">
      <c r="A320" s="13"/>
      <c r="B320" s="18"/>
      <c r="C320" s="13"/>
      <c r="D320" s="13"/>
      <c r="E320" s="13"/>
      <c r="F320" s="14"/>
      <c r="G320" s="13"/>
      <c r="H320" s="13"/>
      <c r="I320" s="14"/>
    </row>
    <row r="321" spans="1:9">
      <c r="A321" s="13"/>
      <c r="B321" s="18"/>
      <c r="C321" s="13"/>
      <c r="D321" s="13"/>
      <c r="E321" s="13"/>
      <c r="F321" s="14"/>
      <c r="G321" s="13"/>
      <c r="H321" s="13"/>
      <c r="I321" s="14"/>
    </row>
    <row r="322" spans="1:9">
      <c r="A322" s="13"/>
      <c r="B322" s="18"/>
      <c r="C322" s="13"/>
      <c r="D322" s="13"/>
      <c r="E322" s="13"/>
      <c r="F322" s="14"/>
      <c r="G322" s="13"/>
      <c r="H322" s="13"/>
      <c r="I322" s="14"/>
    </row>
    <row r="323" spans="1:9">
      <c r="A323" s="13"/>
      <c r="B323" s="18"/>
      <c r="C323" s="13"/>
      <c r="D323" s="13"/>
      <c r="E323" s="13"/>
      <c r="F323" s="14"/>
      <c r="G323" s="13"/>
      <c r="H323" s="13"/>
      <c r="I323" s="14"/>
    </row>
    <row r="324" spans="1:9">
      <c r="A324" s="13"/>
      <c r="B324" s="18"/>
      <c r="C324" s="13"/>
      <c r="D324" s="13"/>
      <c r="E324" s="13"/>
      <c r="F324" s="14"/>
      <c r="G324" s="13"/>
      <c r="H324" s="13"/>
      <c r="I324" s="14"/>
    </row>
    <row r="325" spans="1:9">
      <c r="A325" s="13"/>
      <c r="B325" s="18"/>
      <c r="C325" s="13"/>
      <c r="D325" s="13"/>
      <c r="E325" s="13"/>
      <c r="F325" s="14"/>
      <c r="G325" s="13"/>
      <c r="H325" s="13"/>
      <c r="I325" s="14"/>
    </row>
    <row r="326" spans="1:9">
      <c r="A326" s="13"/>
      <c r="B326" s="18"/>
      <c r="C326" s="13"/>
      <c r="D326" s="13"/>
      <c r="E326" s="13"/>
      <c r="F326" s="14"/>
      <c r="G326" s="13"/>
      <c r="H326" s="13"/>
      <c r="I326" s="14"/>
    </row>
    <row r="327" spans="1:9">
      <c r="A327" s="13"/>
      <c r="B327" s="18"/>
      <c r="C327" s="13"/>
      <c r="D327" s="13"/>
      <c r="E327" s="13"/>
      <c r="F327" s="14"/>
      <c r="G327" s="13"/>
      <c r="H327" s="13"/>
      <c r="I327" s="14"/>
    </row>
    <row r="328" spans="1:9">
      <c r="A328" s="13"/>
      <c r="B328" s="18"/>
      <c r="C328" s="13"/>
      <c r="D328" s="13"/>
      <c r="E328" s="13"/>
      <c r="F328" s="14"/>
      <c r="G328" s="13"/>
      <c r="H328" s="13"/>
      <c r="I328" s="14"/>
    </row>
    <row r="329" spans="1:9">
      <c r="A329" s="13"/>
      <c r="B329" s="18"/>
      <c r="C329" s="13"/>
      <c r="D329" s="13"/>
      <c r="E329" s="13"/>
      <c r="F329" s="14"/>
      <c r="G329" s="13"/>
      <c r="H329" s="13"/>
      <c r="I329" s="14"/>
    </row>
    <row r="330" spans="1:9">
      <c r="A330" s="13"/>
      <c r="B330" s="18"/>
      <c r="C330" s="13"/>
      <c r="D330" s="13"/>
      <c r="E330" s="13"/>
      <c r="F330" s="14"/>
      <c r="G330" s="13"/>
      <c r="H330" s="13"/>
      <c r="I330" s="14"/>
    </row>
    <row r="331" spans="1:9">
      <c r="A331" s="13"/>
      <c r="B331" s="18"/>
      <c r="C331" s="13"/>
      <c r="D331" s="13"/>
      <c r="E331" s="13"/>
      <c r="F331" s="14"/>
      <c r="G331" s="13"/>
      <c r="H331" s="13"/>
      <c r="I331" s="14"/>
    </row>
    <row r="332" spans="1:9">
      <c r="A332" s="13"/>
      <c r="B332" s="18"/>
      <c r="C332" s="13"/>
      <c r="D332" s="13"/>
      <c r="E332" s="13"/>
      <c r="F332" s="14"/>
      <c r="G332" s="13"/>
      <c r="H332" s="13"/>
      <c r="I332" s="14"/>
    </row>
    <row r="333" spans="1:9">
      <c r="A333" s="13"/>
      <c r="B333" s="18"/>
      <c r="C333" s="13"/>
      <c r="D333" s="13"/>
      <c r="E333" s="13"/>
      <c r="F333" s="14"/>
      <c r="G333" s="13"/>
      <c r="H333" s="13"/>
      <c r="I333" s="14"/>
    </row>
    <row r="334" spans="1:9">
      <c r="A334" s="13"/>
      <c r="B334" s="18"/>
      <c r="C334" s="13"/>
      <c r="D334" s="13"/>
      <c r="E334" s="13"/>
      <c r="F334" s="14"/>
      <c r="G334" s="13"/>
      <c r="H334" s="13"/>
      <c r="I334" s="14"/>
    </row>
    <row r="335" spans="1:9">
      <c r="A335" s="13"/>
      <c r="B335" s="18"/>
      <c r="C335" s="13"/>
      <c r="D335" s="13"/>
      <c r="E335" s="13"/>
      <c r="F335" s="14"/>
      <c r="G335" s="13"/>
      <c r="H335" s="13"/>
      <c r="I335" s="14"/>
    </row>
    <row r="336" spans="1:9">
      <c r="A336" s="13"/>
      <c r="B336" s="18"/>
      <c r="C336" s="13"/>
      <c r="D336" s="13"/>
      <c r="E336" s="13"/>
      <c r="F336" s="14"/>
      <c r="G336" s="13"/>
      <c r="H336" s="13"/>
      <c r="I336" s="14"/>
    </row>
    <row r="337" spans="1:9">
      <c r="A337" s="13"/>
      <c r="B337" s="18"/>
      <c r="C337" s="13"/>
      <c r="D337" s="13"/>
      <c r="E337" s="13"/>
      <c r="F337" s="14"/>
      <c r="G337" s="13"/>
      <c r="H337" s="13"/>
      <c r="I337" s="14"/>
    </row>
    <row r="338" spans="1:9">
      <c r="A338" s="13"/>
      <c r="B338" s="18"/>
      <c r="C338" s="13"/>
      <c r="D338" s="13"/>
      <c r="E338" s="13"/>
      <c r="F338" s="14"/>
      <c r="G338" s="13"/>
      <c r="H338" s="13"/>
      <c r="I338" s="14"/>
    </row>
    <row r="339" spans="1:9">
      <c r="A339" s="13"/>
      <c r="B339" s="18"/>
      <c r="C339" s="13"/>
      <c r="D339" s="13"/>
      <c r="E339" s="13"/>
      <c r="F339" s="14"/>
      <c r="G339" s="13"/>
      <c r="H339" s="13"/>
      <c r="I339" s="14"/>
    </row>
    <row r="340" spans="1:9">
      <c r="A340" s="13"/>
      <c r="B340" s="18"/>
      <c r="C340" s="13"/>
      <c r="D340" s="13"/>
      <c r="E340" s="13"/>
      <c r="F340" s="14"/>
      <c r="G340" s="13"/>
      <c r="H340" s="13"/>
      <c r="I340" s="14"/>
    </row>
    <row r="341" spans="1:9">
      <c r="C341" s="13"/>
      <c r="D341" s="13"/>
      <c r="E341" s="13"/>
      <c r="F341" s="14"/>
      <c r="G341" s="13"/>
      <c r="H341" s="13"/>
      <c r="I341" s="14"/>
    </row>
  </sheetData>
  <mergeCells count="4">
    <mergeCell ref="G1:I1"/>
    <mergeCell ref="A1:C1"/>
    <mergeCell ref="D1:F1"/>
    <mergeCell ref="A2:B2"/>
  </mergeCells>
  <conditionalFormatting sqref="F2 I2 F4:F99 I4:I99">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7092" xr:uid="{09AAF91E-37BB-4309-BB4B-1D6E936B5889}"/>
    <hyperlink ref="L4" r:id="rId2" display="https://us3.assetplanner.com/service_request?ID=097707" xr:uid="{7D07A56B-69D0-4392-9975-52C9CAE988B5}"/>
    <hyperlink ref="K6" r:id="rId3" display="https://us3.assetplanner.com/service_request?ID=097002" xr:uid="{6C99C264-5491-4324-9AB4-0A51333ADBD7}"/>
    <hyperlink ref="K7" r:id="rId4" display="https://us3.assetplanner.com/service_request?ID=097177" xr:uid="{94EAD14A-4353-4EC5-AFC8-C0D13D1E6AE4}"/>
    <hyperlink ref="K9" r:id="rId5" display="https://us3.assetplanner.com/service_request?ID=095399" xr:uid="{E33F1A33-F38A-4626-8DFC-3F91EDA95B76}"/>
    <hyperlink ref="K10" r:id="rId6" display="https://us3.assetplanner.com/service_request?ID=095398" xr:uid="{42606E2A-4D2D-44FB-AA3B-B8259CB80B50}"/>
    <hyperlink ref="K11" r:id="rId7" display="https://us3.assetplanner.com/service_request?ID=097186" xr:uid="{25EDDBE1-9946-485F-81BF-3DFC3DA1AAED}"/>
    <hyperlink ref="K15" r:id="rId8" display="https://us3.assetplanner.com/service_request?ID=097782" xr:uid="{79E2C1F2-D4B4-4746-B4D8-1FCE5716E713}"/>
    <hyperlink ref="K17" r:id="rId9" display="https://us3.assetplanner.com/service_request?ID=096228" xr:uid="{F30D4116-2D98-4698-9A12-DE9F8553A2EB}"/>
    <hyperlink ref="L17" r:id="rId10" display="https://us3.assetplanner.com/service_request?ID=097629" xr:uid="{4503B9A9-DD81-41C5-A52C-7701F8FCAEFB}"/>
    <hyperlink ref="K18" r:id="rId11" display="https://us3.assetplanner.com/service_request?ID=096225" xr:uid="{3905987B-BC35-4B30-BDF8-0B1ED0269149}"/>
    <hyperlink ref="L18" r:id="rId12" display="https://us3.assetplanner.com/service_request?ID=097630" xr:uid="{5568492F-B3B1-43B7-B800-4699867FB34D}"/>
    <hyperlink ref="K24" r:id="rId13" display="https://us3.assetplanner.com/service_request?ID=097765" xr:uid="{6724D1C3-5AB8-43BB-9C43-BAEDFDDA4B6B}"/>
    <hyperlink ref="L24" r:id="rId14" display="https://us3.assetplanner.com/service_request?ID=097177" xr:uid="{65177CF8-3441-4C2B-A093-57AFA5A7B30B}"/>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N341"/>
  <sheetViews>
    <sheetView zoomScale="90" zoomScaleNormal="90" workbookViewId="0">
      <pane xSplit="2" ySplit="3" topLeftCell="C14" activePane="bottomRight" state="frozen"/>
      <selection pane="bottomRight" activeCell="J20" sqref="J20"/>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96" t="str" cm="1">
        <f t="array" ref="A1">portfolio</f>
        <v>38 DN</v>
      </c>
      <c r="B1" s="96"/>
      <c r="C1" s="96"/>
      <c r="D1" s="97" t="s">
        <v>79</v>
      </c>
      <c r="E1" s="97"/>
      <c r="F1" s="97"/>
      <c r="G1" s="95" t="s">
        <v>80</v>
      </c>
      <c r="H1" s="95"/>
      <c r="I1" s="95"/>
      <c r="J1" s="4"/>
      <c r="K1" s="4"/>
    </row>
    <row r="2" spans="1:14" ht="19.5" customHeight="1">
      <c r="A2" s="98" t="s">
        <v>2</v>
      </c>
      <c r="B2" s="98"/>
      <c r="C2" s="5">
        <f>SUM(C4:C99)</f>
        <v>3815147</v>
      </c>
      <c r="D2" s="5">
        <f>SUM(D4:D99)</f>
        <v>4065663.2700000005</v>
      </c>
      <c r="E2" s="5">
        <f>C2-D2</f>
        <v>-250516.27000000048</v>
      </c>
      <c r="F2" s="6">
        <f>IFERROR(E2/D2, 0)</f>
        <v>-6.1617564801425488E-2</v>
      </c>
      <c r="G2" s="5">
        <f>SUM(G4:G99)</f>
        <v>3939893.22</v>
      </c>
      <c r="H2" s="7">
        <f>C2-G2</f>
        <v>-124746.2200000002</v>
      </c>
      <c r="I2" s="6">
        <f>IFERROR(H2/G2, 0)</f>
        <v>-3.1662335254862617E-2</v>
      </c>
      <c r="J2" s="16" t="str">
        <f ca="1">IF(AND(TODAY()&gt;DATE(2024, 3, 1), COUNTA(Sites[Site])&lt;&gt;(COUNT(C:C)-1)), "Some sites are missing actual data; if new sites were added, make sure they are aligned correctly (including prior months!)", "")</f>
        <v/>
      </c>
      <c r="K2" s="4"/>
    </row>
    <row r="3" spans="1:14" ht="14.25" customHeight="1">
      <c r="A3" s="17" t="s">
        <v>3</v>
      </c>
      <c r="B3" s="17" t="s">
        <v>4</v>
      </c>
      <c r="C3" s="27" t="s">
        <v>5</v>
      </c>
      <c r="D3" s="28" t="s">
        <v>6</v>
      </c>
      <c r="E3" s="28" t="s">
        <v>7</v>
      </c>
      <c r="F3" s="29" t="s">
        <v>8</v>
      </c>
      <c r="G3" s="30" t="s">
        <v>9</v>
      </c>
      <c r="H3" s="31" t="s">
        <v>7</v>
      </c>
      <c r="I3" s="32" t="s">
        <v>8</v>
      </c>
      <c r="J3" s="15" t="s">
        <v>20</v>
      </c>
      <c r="K3" s="15" t="s">
        <v>21</v>
      </c>
    </row>
    <row r="4" spans="1:14" ht="15.6">
      <c r="A4" s="47" t="str" cm="1">
        <f t="array" ref="A4:A24">Sites[Site]</f>
        <v>6th St.</v>
      </c>
      <c r="B4" s="48" t="str" cm="1">
        <f t="array" ref="B4:B24">Sites[State]</f>
        <v>CA</v>
      </c>
      <c r="C4" s="36">
        <v>175073</v>
      </c>
      <c r="D4" s="37">
        <v>128434.8</v>
      </c>
      <c r="E4" s="37">
        <f>IF(AND(ISNUMBER(C4),ISNUMBER(D4)), C4-D4, "")</f>
        <v>46638.2</v>
      </c>
      <c r="F4" s="38">
        <f>IFERROR(E4/D4, "")</f>
        <v>0.36312743898071237</v>
      </c>
      <c r="G4" s="39">
        <v>191408.1</v>
      </c>
      <c r="H4" s="39">
        <f>IF(AND(ISNUMBER(C4),ISNUMBER(G4)), C4-G4, "")</f>
        <v>-16335.100000000006</v>
      </c>
      <c r="I4" s="40">
        <f>IFERROR(H4/G4, "")</f>
        <v>-8.5341738411279386E-2</v>
      </c>
      <c r="J4" s="66"/>
      <c r="K4" s="66"/>
      <c r="L4" s="92"/>
      <c r="M4" s="92"/>
      <c r="N4" s="92"/>
    </row>
    <row r="5" spans="1:14" ht="15.6">
      <c r="A5" s="49" t="str">
        <v>Barton Acres</v>
      </c>
      <c r="B5" s="50" t="str">
        <v>MA</v>
      </c>
      <c r="C5" s="43">
        <v>148683</v>
      </c>
      <c r="D5" s="44">
        <v>163521.20000000001</v>
      </c>
      <c r="E5" s="44">
        <f t="shared" ref="E5:E24" si="0">IF(AND(ISNUMBER(C5),ISNUMBER(D5)), C5-D5, "")</f>
        <v>-14838.200000000012</v>
      </c>
      <c r="F5" s="45">
        <f>IFERROR(E5/D5, "")</f>
        <v>-9.0741750916700781E-2</v>
      </c>
      <c r="G5" s="46">
        <v>141956.70000000001</v>
      </c>
      <c r="H5" s="46">
        <f t="shared" ref="H5:H24" si="1">IF(AND(ISNUMBER(C5),ISNUMBER(G5)), C5-G5, "")</f>
        <v>6726.2999999999884</v>
      </c>
      <c r="I5" s="45">
        <f t="shared" ref="I5:I24" si="2">IFERROR(H5/G5, "")</f>
        <v>4.7382758263611283E-2</v>
      </c>
      <c r="J5" s="67"/>
      <c r="K5" s="67"/>
      <c r="L5" s="92"/>
      <c r="M5" s="92"/>
      <c r="N5" s="92"/>
    </row>
    <row r="6" spans="1:14" ht="115.15">
      <c r="A6" s="51" t="str">
        <v>Bowden</v>
      </c>
      <c r="B6" s="48" t="str">
        <v>MA</v>
      </c>
      <c r="C6" s="36">
        <v>292874</v>
      </c>
      <c r="D6" s="37">
        <v>310619</v>
      </c>
      <c r="E6" s="37">
        <f t="shared" si="0"/>
        <v>-17745</v>
      </c>
      <c r="F6" s="38">
        <f>IFERROR(E6/D6, "")</f>
        <v>-5.7127864039224902E-2</v>
      </c>
      <c r="G6" s="39">
        <v>298190.40000000002</v>
      </c>
      <c r="H6" s="39">
        <f t="shared" si="1"/>
        <v>-5316.4000000000233</v>
      </c>
      <c r="I6" s="40">
        <f t="shared" si="2"/>
        <v>-1.7828877120121985E-2</v>
      </c>
      <c r="J6" s="66" t="s">
        <v>81</v>
      </c>
      <c r="K6" s="85" t="s">
        <v>82</v>
      </c>
      <c r="L6" s="93" t="s">
        <v>83</v>
      </c>
      <c r="M6" s="93" t="s">
        <v>84</v>
      </c>
      <c r="N6" s="92"/>
    </row>
    <row r="7" spans="1:14" ht="28.9">
      <c r="A7" s="49" t="str">
        <v>Blair Wire Village</v>
      </c>
      <c r="B7" s="50" t="str">
        <v>MA</v>
      </c>
      <c r="C7" s="43">
        <v>152460</v>
      </c>
      <c r="D7" s="44">
        <v>175799.9</v>
      </c>
      <c r="E7" s="44">
        <f t="shared" si="0"/>
        <v>-23339.899999999994</v>
      </c>
      <c r="F7" s="45">
        <f t="shared" ref="F7:F24" si="3">IFERROR(E7/D7, "")</f>
        <v>-0.13276401181115571</v>
      </c>
      <c r="G7" s="46">
        <v>149258.6</v>
      </c>
      <c r="H7" s="46">
        <f t="shared" si="1"/>
        <v>3201.3999999999942</v>
      </c>
      <c r="I7" s="45">
        <f t="shared" si="2"/>
        <v>2.1448680344047136E-2</v>
      </c>
      <c r="J7" s="67" t="s">
        <v>85</v>
      </c>
      <c r="K7" s="87" t="s">
        <v>86</v>
      </c>
      <c r="L7" s="92"/>
      <c r="M7" s="92"/>
      <c r="N7" s="92"/>
    </row>
    <row r="8" spans="1:14" ht="43.15">
      <c r="A8" s="51" t="str">
        <v>Boutilier</v>
      </c>
      <c r="B8" s="48" t="str">
        <v>MA</v>
      </c>
      <c r="C8" s="36">
        <v>427944</v>
      </c>
      <c r="D8" s="37">
        <v>437590.3</v>
      </c>
      <c r="E8" s="37">
        <f t="shared" si="0"/>
        <v>-9646.2999999999884</v>
      </c>
      <c r="F8" s="38">
        <f t="shared" si="3"/>
        <v>-2.2044135804655609E-2</v>
      </c>
      <c r="G8" s="39">
        <v>389688.4</v>
      </c>
      <c r="H8" s="39">
        <f t="shared" si="1"/>
        <v>38255.599999999977</v>
      </c>
      <c r="I8" s="40">
        <f t="shared" si="2"/>
        <v>9.8169717138103102E-2</v>
      </c>
      <c r="J8" s="66" t="s">
        <v>87</v>
      </c>
      <c r="K8" s="85" t="s">
        <v>88</v>
      </c>
      <c r="L8" s="92"/>
      <c r="M8" s="92"/>
      <c r="N8" s="92"/>
    </row>
    <row r="9" spans="1:14" ht="28.9">
      <c r="A9" s="49" t="str">
        <v>Cherry Valley</v>
      </c>
      <c r="B9" s="50" t="str">
        <v>MA</v>
      </c>
      <c r="C9" s="43">
        <v>145853</v>
      </c>
      <c r="D9" s="44">
        <v>171983.9</v>
      </c>
      <c r="E9" s="44">
        <f t="shared" si="0"/>
        <v>-26130.899999999994</v>
      </c>
      <c r="F9" s="45">
        <f t="shared" si="3"/>
        <v>-0.15193805931834314</v>
      </c>
      <c r="G9" s="46">
        <v>146986</v>
      </c>
      <c r="H9" s="46">
        <f t="shared" si="1"/>
        <v>-1133</v>
      </c>
      <c r="I9" s="45">
        <f t="shared" si="2"/>
        <v>-7.7082171091124325E-3</v>
      </c>
      <c r="J9" s="67" t="s">
        <v>89</v>
      </c>
      <c r="K9" s="87" t="s">
        <v>90</v>
      </c>
      <c r="L9" s="92"/>
      <c r="M9" s="92"/>
      <c r="N9" s="92"/>
    </row>
    <row r="10" spans="1:14" ht="28.9">
      <c r="A10" s="51" t="str">
        <v>Cohasse</v>
      </c>
      <c r="B10" s="48" t="str">
        <v>MA</v>
      </c>
      <c r="C10" s="36">
        <v>143273</v>
      </c>
      <c r="D10" s="37">
        <v>160621.1</v>
      </c>
      <c r="E10" s="37">
        <f t="shared" si="0"/>
        <v>-17348.100000000006</v>
      </c>
      <c r="F10" s="38">
        <f t="shared" si="3"/>
        <v>-0.10800635781973854</v>
      </c>
      <c r="G10" s="39">
        <v>170962.6</v>
      </c>
      <c r="H10" s="39">
        <f t="shared" si="1"/>
        <v>-27689.600000000006</v>
      </c>
      <c r="I10" s="40">
        <f t="shared" si="2"/>
        <v>-0.16196290884673026</v>
      </c>
      <c r="J10" s="66" t="s">
        <v>91</v>
      </c>
      <c r="K10" s="66" t="s">
        <v>92</v>
      </c>
      <c r="L10" s="92"/>
      <c r="M10" s="92"/>
      <c r="N10" s="92"/>
    </row>
    <row r="11" spans="1:14" ht="28.9">
      <c r="A11" s="49" t="str">
        <v>ISM Dighton Solar 2</v>
      </c>
      <c r="B11" s="50" t="str">
        <v>MA</v>
      </c>
      <c r="C11" s="43">
        <v>322803</v>
      </c>
      <c r="D11" s="44">
        <v>314536.90000000002</v>
      </c>
      <c r="E11" s="44">
        <f t="shared" si="0"/>
        <v>8266.0999999999767</v>
      </c>
      <c r="F11" s="45">
        <f t="shared" si="3"/>
        <v>2.6280223401451391E-2</v>
      </c>
      <c r="G11" s="46">
        <v>303128</v>
      </c>
      <c r="H11" s="46">
        <f t="shared" si="1"/>
        <v>19675</v>
      </c>
      <c r="I11" s="45">
        <f t="shared" si="2"/>
        <v>6.4906574120503546E-2</v>
      </c>
      <c r="J11" s="67" t="s">
        <v>93</v>
      </c>
      <c r="K11" s="67" t="s">
        <v>94</v>
      </c>
      <c r="L11" s="92"/>
      <c r="M11" s="92"/>
      <c r="N11" s="92"/>
    </row>
    <row r="12" spans="1:14" ht="82.5" customHeight="1">
      <c r="A12" s="51" t="str">
        <v>Dudley River 1</v>
      </c>
      <c r="B12" s="48" t="str">
        <v>MA</v>
      </c>
      <c r="C12" s="36">
        <v>135999</v>
      </c>
      <c r="D12" s="37">
        <v>155236.5</v>
      </c>
      <c r="E12" s="37">
        <f t="shared" si="0"/>
        <v>-19237.5</v>
      </c>
      <c r="F12" s="38">
        <f t="shared" si="3"/>
        <v>-0.12392381946256197</v>
      </c>
      <c r="G12" s="39">
        <v>155531.4</v>
      </c>
      <c r="H12" s="39">
        <f t="shared" si="1"/>
        <v>-19532.399999999994</v>
      </c>
      <c r="I12" s="40">
        <f t="shared" si="2"/>
        <v>-0.12558493011700528</v>
      </c>
      <c r="J12" s="66" t="s">
        <v>95</v>
      </c>
      <c r="K12" s="85" t="s">
        <v>96</v>
      </c>
      <c r="L12" s="93" t="s">
        <v>97</v>
      </c>
      <c r="M12" s="92"/>
      <c r="N12" s="92"/>
    </row>
    <row r="13" spans="1:14" ht="43.15">
      <c r="A13" s="49" t="str">
        <v>Dudley River 2</v>
      </c>
      <c r="B13" s="50" t="str">
        <v>MA</v>
      </c>
      <c r="C13" s="43">
        <v>149533</v>
      </c>
      <c r="D13" s="44">
        <v>155423</v>
      </c>
      <c r="E13" s="44">
        <f t="shared" si="0"/>
        <v>-5890</v>
      </c>
      <c r="F13" s="45">
        <f t="shared" si="3"/>
        <v>-3.7896579013402133E-2</v>
      </c>
      <c r="G13" s="46">
        <v>148332.29999999999</v>
      </c>
      <c r="H13" s="46">
        <f t="shared" si="1"/>
        <v>1200.7000000000116</v>
      </c>
      <c r="I13" s="45">
        <f t="shared" si="2"/>
        <v>8.094663131361219E-3</v>
      </c>
      <c r="J13" s="67" t="s">
        <v>98</v>
      </c>
      <c r="K13" s="87" t="s">
        <v>99</v>
      </c>
      <c r="L13" s="92"/>
      <c r="M13" s="92"/>
      <c r="N13" s="92"/>
    </row>
    <row r="14" spans="1:14" ht="28.9">
      <c r="A14" s="51" t="str">
        <v>Dudley River 3</v>
      </c>
      <c r="B14" s="48" t="str">
        <v>MA</v>
      </c>
      <c r="C14" s="36">
        <v>154710</v>
      </c>
      <c r="D14" s="37">
        <v>155787.1</v>
      </c>
      <c r="E14" s="37">
        <f t="shared" si="0"/>
        <v>-1077.1000000000058</v>
      </c>
      <c r="F14" s="38">
        <f t="shared" si="3"/>
        <v>-6.9139229114606139E-3</v>
      </c>
      <c r="G14" s="39">
        <v>149970.79999999999</v>
      </c>
      <c r="H14" s="39">
        <f t="shared" si="1"/>
        <v>4739.2000000000116</v>
      </c>
      <c r="I14" s="40">
        <f t="shared" si="2"/>
        <v>3.160081829262771E-2</v>
      </c>
      <c r="J14" s="66" t="s">
        <v>100</v>
      </c>
      <c r="K14" s="66" t="s">
        <v>101</v>
      </c>
      <c r="L14" s="92"/>
      <c r="M14" s="92"/>
      <c r="N14" s="92"/>
    </row>
    <row r="15" spans="1:14" ht="28.9">
      <c r="A15" s="49" t="str">
        <v>Flint Pond</v>
      </c>
      <c r="B15" s="50" t="str">
        <v>MA</v>
      </c>
      <c r="C15" s="43">
        <v>72348.5</v>
      </c>
      <c r="D15" s="44">
        <v>75418.2</v>
      </c>
      <c r="E15" s="44">
        <f t="shared" si="0"/>
        <v>-3069.6999999999971</v>
      </c>
      <c r="F15" s="45">
        <f t="shared" si="3"/>
        <v>-4.0702376879851246E-2</v>
      </c>
      <c r="G15" s="46">
        <v>68224.89</v>
      </c>
      <c r="H15" s="46">
        <f t="shared" si="1"/>
        <v>4123.6100000000006</v>
      </c>
      <c r="I15" s="45">
        <f t="shared" si="2"/>
        <v>6.0441431272369964E-2</v>
      </c>
      <c r="J15" s="67" t="s">
        <v>102</v>
      </c>
      <c r="K15" s="87" t="s">
        <v>103</v>
      </c>
      <c r="L15" s="92"/>
      <c r="M15" s="92"/>
      <c r="N15" s="92"/>
    </row>
    <row r="16" spans="1:14" ht="28.9">
      <c r="A16" s="51" t="str">
        <v>Incom</v>
      </c>
      <c r="B16" s="48" t="str">
        <v>MA</v>
      </c>
      <c r="C16" s="36">
        <v>319151</v>
      </c>
      <c r="D16" s="37">
        <v>361329.6</v>
      </c>
      <c r="E16" s="37">
        <f t="shared" si="0"/>
        <v>-42178.599999999977</v>
      </c>
      <c r="F16" s="38">
        <f t="shared" si="3"/>
        <v>-0.11673164888788513</v>
      </c>
      <c r="G16" s="39">
        <v>341407.2</v>
      </c>
      <c r="H16" s="39">
        <f t="shared" si="1"/>
        <v>-22256.200000000012</v>
      </c>
      <c r="I16" s="40">
        <f t="shared" si="2"/>
        <v>-6.5189603499867632E-2</v>
      </c>
      <c r="J16" s="66" t="s">
        <v>104</v>
      </c>
      <c r="K16" s="85" t="s">
        <v>105</v>
      </c>
      <c r="L16" s="93" t="s">
        <v>106</v>
      </c>
      <c r="M16" s="92"/>
      <c r="N16" s="92"/>
    </row>
    <row r="17" spans="1:14" ht="57.6">
      <c r="A17" s="49" t="str">
        <v>JH</v>
      </c>
      <c r="B17" s="50" t="str">
        <v>MA</v>
      </c>
      <c r="C17" s="43">
        <v>143475</v>
      </c>
      <c r="D17" s="44">
        <v>164963.29999999999</v>
      </c>
      <c r="E17" s="44">
        <f t="shared" si="0"/>
        <v>-21488.299999999988</v>
      </c>
      <c r="F17" s="45">
        <f t="shared" si="3"/>
        <v>-0.13026109443736875</v>
      </c>
      <c r="G17" s="46">
        <v>164681</v>
      </c>
      <c r="H17" s="46">
        <f t="shared" si="1"/>
        <v>-21206</v>
      </c>
      <c r="I17" s="45">
        <f t="shared" si="2"/>
        <v>-0.12877016777891803</v>
      </c>
      <c r="J17" s="67" t="s">
        <v>107</v>
      </c>
      <c r="K17" s="87" t="s">
        <v>108</v>
      </c>
      <c r="L17" s="92"/>
      <c r="M17" s="92"/>
      <c r="N17" s="92"/>
    </row>
    <row r="18" spans="1:14" ht="57.6">
      <c r="A18" s="91" t="str">
        <v>Ledeaux</v>
      </c>
      <c r="B18" s="48" t="str">
        <v>MA</v>
      </c>
      <c r="C18" s="36">
        <v>131566</v>
      </c>
      <c r="D18" s="37">
        <v>143345.9</v>
      </c>
      <c r="E18" s="37">
        <f t="shared" si="0"/>
        <v>-11779.899999999994</v>
      </c>
      <c r="F18" s="38">
        <f t="shared" si="3"/>
        <v>-8.2178143916219401E-2</v>
      </c>
      <c r="G18" s="39">
        <v>159446.29999999999</v>
      </c>
      <c r="H18" s="39">
        <f t="shared" si="1"/>
        <v>-27880.299999999988</v>
      </c>
      <c r="I18" s="40">
        <f t="shared" si="2"/>
        <v>-0.17485698946918174</v>
      </c>
      <c r="J18" s="66" t="s">
        <v>109</v>
      </c>
      <c r="K18" s="85" t="s">
        <v>110</v>
      </c>
      <c r="L18" s="92"/>
      <c r="M18" s="92"/>
      <c r="N18" s="92"/>
    </row>
    <row r="19" spans="1:14" ht="28.9">
      <c r="A19" s="49" t="str">
        <v>Palombo A</v>
      </c>
      <c r="B19" s="50" t="str">
        <v>MA</v>
      </c>
      <c r="C19" s="43">
        <v>311627</v>
      </c>
      <c r="D19" s="44">
        <v>346973.5</v>
      </c>
      <c r="E19" s="44">
        <f t="shared" si="0"/>
        <v>-35346.5</v>
      </c>
      <c r="F19" s="45">
        <f t="shared" si="3"/>
        <v>-0.10187089215747024</v>
      </c>
      <c r="G19" s="46">
        <v>363307</v>
      </c>
      <c r="H19" s="46">
        <f t="shared" si="1"/>
        <v>-51680</v>
      </c>
      <c r="I19" s="45">
        <f t="shared" si="2"/>
        <v>-0.14224884188854053</v>
      </c>
      <c r="J19" s="67" t="s">
        <v>111</v>
      </c>
      <c r="K19" s="87" t="s">
        <v>112</v>
      </c>
      <c r="L19" s="92"/>
      <c r="M19" s="92"/>
      <c r="N19" s="92"/>
    </row>
    <row r="20" spans="1:14" ht="28.9">
      <c r="A20" s="51" t="str">
        <v>Palombo B</v>
      </c>
      <c r="B20" s="48" t="str">
        <v>MA</v>
      </c>
      <c r="C20" s="36">
        <v>155141</v>
      </c>
      <c r="D20" s="37">
        <v>156844.70000000001</v>
      </c>
      <c r="E20" s="37">
        <f t="shared" si="0"/>
        <v>-1703.7000000000116</v>
      </c>
      <c r="F20" s="38">
        <f t="shared" si="3"/>
        <v>-1.0862337076101465E-2</v>
      </c>
      <c r="G20" s="39">
        <v>147566.9</v>
      </c>
      <c r="H20" s="39">
        <f t="shared" si="1"/>
        <v>7574.1000000000058</v>
      </c>
      <c r="I20" s="40">
        <f t="shared" si="2"/>
        <v>5.1326550872858388E-2</v>
      </c>
      <c r="J20" s="66" t="s">
        <v>113</v>
      </c>
      <c r="K20" s="66" t="s">
        <v>114</v>
      </c>
      <c r="L20" s="92"/>
      <c r="M20" s="92"/>
      <c r="N20" s="92"/>
    </row>
    <row r="21" spans="1:14" ht="15.6">
      <c r="A21" s="49" t="str">
        <v>St Josephs Church</v>
      </c>
      <c r="B21" s="50" t="str">
        <v>MA</v>
      </c>
      <c r="C21" s="43">
        <v>148329</v>
      </c>
      <c r="D21" s="44">
        <v>171214.8</v>
      </c>
      <c r="E21" s="44">
        <f t="shared" si="0"/>
        <v>-22885.799999999988</v>
      </c>
      <c r="F21" s="45">
        <f t="shared" si="3"/>
        <v>-0.13366718297717248</v>
      </c>
      <c r="G21" s="46">
        <v>154094.20000000001</v>
      </c>
      <c r="H21" s="46">
        <f t="shared" si="1"/>
        <v>-5765.2000000000116</v>
      </c>
      <c r="I21" s="45">
        <f t="shared" si="2"/>
        <v>-3.741347824901918E-2</v>
      </c>
      <c r="J21" s="67" t="s">
        <v>115</v>
      </c>
      <c r="K21" s="67"/>
      <c r="L21" s="92"/>
      <c r="M21" s="92"/>
      <c r="N21" s="92"/>
    </row>
    <row r="22" spans="1:14" ht="43.15">
      <c r="A22" s="51" t="str">
        <v>Sunset A</v>
      </c>
      <c r="B22" s="48" t="str">
        <v>MA</v>
      </c>
      <c r="C22" s="36">
        <v>69604.5</v>
      </c>
      <c r="D22" s="37">
        <v>85842.880000000005</v>
      </c>
      <c r="E22" s="37">
        <f t="shared" si="0"/>
        <v>-16238.380000000005</v>
      </c>
      <c r="F22" s="38">
        <f t="shared" si="3"/>
        <v>-0.18916397026754</v>
      </c>
      <c r="G22" s="39">
        <v>66834.759999999995</v>
      </c>
      <c r="H22" s="39">
        <f t="shared" si="1"/>
        <v>2769.7400000000052</v>
      </c>
      <c r="I22" s="40">
        <f t="shared" si="2"/>
        <v>4.1441609126747901E-2</v>
      </c>
      <c r="J22" s="66" t="s">
        <v>116</v>
      </c>
      <c r="K22" s="66" t="s">
        <v>117</v>
      </c>
      <c r="L22" s="92"/>
      <c r="M22" s="92"/>
      <c r="N22" s="92"/>
    </row>
    <row r="23" spans="1:14" ht="28.9">
      <c r="A23" s="49" t="str">
        <v>Sunset B</v>
      </c>
      <c r="B23" s="50" t="str">
        <v>MA</v>
      </c>
      <c r="C23" s="43">
        <v>67082</v>
      </c>
      <c r="D23" s="37">
        <v>73870.490000000005</v>
      </c>
      <c r="E23" s="37">
        <f t="shared" si="0"/>
        <v>-6788.4900000000052</v>
      </c>
      <c r="F23" s="38">
        <f t="shared" si="3"/>
        <v>-9.1897183841612592E-2</v>
      </c>
      <c r="G23" s="46">
        <v>66032.87</v>
      </c>
      <c r="H23" s="46">
        <f t="shared" si="1"/>
        <v>1049.1300000000047</v>
      </c>
      <c r="I23" s="45">
        <f t="shared" si="2"/>
        <v>1.5887996387253873E-2</v>
      </c>
      <c r="J23" s="67" t="s">
        <v>118</v>
      </c>
      <c r="K23" s="67" t="s">
        <v>119</v>
      </c>
      <c r="L23" s="92"/>
      <c r="M23" s="92"/>
      <c r="N23" s="92"/>
    </row>
    <row r="24" spans="1:14" ht="57.6">
      <c r="A24" s="51" t="str">
        <v>Woodchuck</v>
      </c>
      <c r="B24" s="48" t="str">
        <v>MA</v>
      </c>
      <c r="C24" s="36">
        <v>147618</v>
      </c>
      <c r="D24" s="37">
        <v>156306.20000000001</v>
      </c>
      <c r="E24" s="37">
        <f t="shared" si="0"/>
        <v>-8688.2000000000116</v>
      </c>
      <c r="F24" s="38">
        <f t="shared" si="3"/>
        <v>-5.558448737158226E-2</v>
      </c>
      <c r="G24" s="39">
        <v>162884.79999999999</v>
      </c>
      <c r="H24" s="39">
        <f t="shared" si="1"/>
        <v>-15266.799999999988</v>
      </c>
      <c r="I24" s="40">
        <f t="shared" si="2"/>
        <v>-9.3727591524807655E-2</v>
      </c>
      <c r="J24" s="66" t="s">
        <v>120</v>
      </c>
      <c r="K24" s="85" t="s">
        <v>121</v>
      </c>
      <c r="L24" s="92"/>
      <c r="M24" s="92"/>
      <c r="N24" s="92"/>
    </row>
    <row r="25" spans="1:14" ht="14.45">
      <c r="A25" s="13"/>
      <c r="B25" s="18"/>
      <c r="C25" s="13"/>
      <c r="D25" s="13"/>
      <c r="E25" s="13"/>
      <c r="F25" s="13"/>
      <c r="G25" s="13"/>
      <c r="H25" s="13"/>
      <c r="I25" s="13"/>
      <c r="J25" s="13"/>
      <c r="K25" s="13"/>
    </row>
    <row r="26" spans="1:14" ht="14.45">
      <c r="A26" s="13"/>
      <c r="B26" s="18"/>
      <c r="C26" s="13"/>
      <c r="D26" s="13"/>
      <c r="E26" s="13"/>
      <c r="F26" s="13"/>
      <c r="G26" s="13"/>
      <c r="H26" s="13"/>
      <c r="I26" s="13"/>
      <c r="J26" s="13"/>
    </row>
    <row r="27" spans="1:14" ht="14.45">
      <c r="A27" s="13"/>
      <c r="B27" s="18"/>
      <c r="C27" s="13"/>
      <c r="D27" s="13"/>
      <c r="E27" s="13"/>
      <c r="F27" s="13"/>
      <c r="G27" s="13"/>
      <c r="H27" s="13"/>
      <c r="I27" s="13"/>
      <c r="J27" s="13"/>
    </row>
    <row r="28" spans="1:14" ht="14.45">
      <c r="A28" s="13"/>
      <c r="B28" s="18"/>
      <c r="C28" s="13"/>
      <c r="D28" s="13"/>
      <c r="E28" s="13"/>
      <c r="F28" s="13"/>
      <c r="G28" s="13"/>
      <c r="H28" s="13"/>
      <c r="I28" s="13"/>
      <c r="J28" s="13"/>
    </row>
    <row r="29" spans="1:14" ht="14.45">
      <c r="A29" s="13"/>
      <c r="B29" s="18"/>
      <c r="C29" s="13"/>
      <c r="D29" s="13"/>
      <c r="E29" s="13"/>
      <c r="F29" s="13"/>
      <c r="G29" s="13"/>
      <c r="H29" s="13"/>
      <c r="I29" s="13"/>
      <c r="J29" s="13"/>
    </row>
    <row r="30" spans="1:14" ht="14.45">
      <c r="A30" s="13"/>
      <c r="B30" s="18"/>
      <c r="C30" s="13"/>
      <c r="D30" s="13"/>
      <c r="E30" s="13"/>
      <c r="F30" s="13"/>
      <c r="G30" s="13"/>
      <c r="H30" s="13"/>
      <c r="I30" s="13"/>
      <c r="J30" s="13"/>
    </row>
    <row r="31" spans="1:14" ht="14.45">
      <c r="A31" s="13"/>
      <c r="B31" s="18"/>
      <c r="C31" s="13"/>
      <c r="D31" s="13"/>
      <c r="E31" s="13"/>
      <c r="F31" s="13"/>
      <c r="G31" s="13"/>
      <c r="H31" s="13"/>
      <c r="I31" s="13"/>
      <c r="J31" s="13"/>
    </row>
    <row r="32" spans="1:14" ht="14.45">
      <c r="A32" s="13"/>
      <c r="B32" s="18"/>
      <c r="C32" s="13"/>
      <c r="D32" s="13"/>
      <c r="E32" s="13"/>
      <c r="F32" s="14"/>
      <c r="G32" s="13"/>
      <c r="H32" s="14"/>
      <c r="I32" s="13"/>
      <c r="J32" s="13"/>
    </row>
    <row r="33" spans="1:11" ht="14.45">
      <c r="A33" s="13"/>
      <c r="B33" s="18"/>
      <c r="C33" s="13"/>
      <c r="D33" s="13"/>
      <c r="E33" s="13"/>
      <c r="F33" s="14"/>
      <c r="G33" s="13"/>
      <c r="H33" s="14"/>
      <c r="I33" s="13"/>
      <c r="J33" s="13"/>
    </row>
    <row r="34" spans="1:11" ht="14.45">
      <c r="A34" s="13"/>
      <c r="B34" s="18"/>
      <c r="C34" s="13"/>
      <c r="D34" s="13"/>
      <c r="E34" s="13"/>
      <c r="F34" s="14"/>
      <c r="G34" s="13"/>
      <c r="H34" s="14"/>
      <c r="I34" s="13"/>
      <c r="J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I4:I25 F4:F99 H26:H34 I35:I99">
    <cfRule type="cellIs" dxfId="22" priority="3" stopIfTrue="1" operator="lessThanOrEqual">
      <formula>-0.1</formula>
    </cfRule>
    <cfRule type="expression" dxfId="21" priority="4">
      <formula>AND(ISNUMBER(F2), F2&gt;=0.1)</formula>
    </cfRule>
  </conditionalFormatting>
  <hyperlinks>
    <hyperlink ref="K6" r:id="rId1" display="https://us3.assetplanner.com/service_request?ID=098683" xr:uid="{2B3B1042-2A7F-4EF4-B70A-7FBA03BF3CD9}"/>
    <hyperlink ref="L6" r:id="rId2" display="https://us3.assetplanner.com/service_request?ID=098696" xr:uid="{3601806D-4DC6-400C-A205-0DF149F212A4}"/>
    <hyperlink ref="M6" r:id="rId3" display="https://us3.assetplanner.com/service_request?ID=098774" xr:uid="{F6E03D21-A9ED-4112-B2B6-BA8C71044D2C}"/>
    <hyperlink ref="K7" r:id="rId4" display="https://us3.assetplanner.com/service_request?ID=098794" xr:uid="{50E05423-9678-46C6-A2CB-859D97A4E61D}"/>
    <hyperlink ref="K8" r:id="rId5" display="https://us3.assetplanner.com/service_request?ID=099104" xr:uid="{6299B1EA-F637-4D18-A450-44FA565525AA}"/>
    <hyperlink ref="K9" r:id="rId6" display="https://us3.assetplanner.com/service_request?ID=098027" xr:uid="{29DF9275-E374-4F66-8B4A-75AA8239E4D4}"/>
    <hyperlink ref="K12" r:id="rId7" display="https://us3.assetplanner.com/service_request?ID=098450" xr:uid="{67CE5096-CD83-4F97-8D6F-FFEB11FF7046}"/>
    <hyperlink ref="L12" r:id="rId8" display="https://us3.assetplanner.com/service_request?ID=098450" xr:uid="{12EDFA6C-D079-4260-A5BD-B2CCD086182F}"/>
    <hyperlink ref="K13" r:id="rId9" display="https://us3.assetplanner.com/service_request?ID=098592" xr:uid="{7BA0E6FA-9F10-4D75-AF73-DFA0C5885C68}"/>
    <hyperlink ref="K15" r:id="rId10" display="https://us3.assetplanner.com/service_request?ID=098793" xr:uid="{B50A3F8E-F5A4-4E94-A74B-D454045A3652}"/>
    <hyperlink ref="K16" r:id="rId11" display="https://us3.assetplanner.com/service_request?ID=098928" xr:uid="{77C3E1C7-DF50-40D7-A18C-A52FB4FFB0DF}"/>
    <hyperlink ref="L16" r:id="rId12" display="https://us3.assetplanner.com/service_request?ID=098611" xr:uid="{D915855C-9415-4935-9F97-5089C7F3A577}"/>
    <hyperlink ref="K17" r:id="rId13" display="https://us3.assetplanner.com/service_request?ID=098815" xr:uid="{B2D355FF-15E3-45C5-BD4F-E97A57B368AF}"/>
    <hyperlink ref="K18" r:id="rId14" display="https://us3.assetplanner.com/service_request?ID=098816" xr:uid="{90C85349-6761-4803-9E87-890784049E62}"/>
    <hyperlink ref="K19" r:id="rId15" display="https://us3.assetplanner.com/service_request?ID=091674" xr:uid="{BBC8EE36-3ED2-4F8B-BDD8-04D50125649C}"/>
    <hyperlink ref="K24" r:id="rId16" display="https://us3.assetplanner.com/service_request?ID=098795" xr:uid="{8C4272A3-69CD-4198-A02E-9C1F258F737C}"/>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1"/>
  <sheetViews>
    <sheetView tabSelected="1" zoomScale="90" zoomScaleNormal="90" zoomScaleSheetLayoutView="100" workbookViewId="0">
      <pane xSplit="2" ySplit="3" topLeftCell="C12" activePane="bottomRight" state="frozen"/>
      <selection pane="bottomRight" activeCell="F30" sqref="F30"/>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0.140625" customWidth="1"/>
  </cols>
  <sheetData>
    <row r="1" spans="1:13" ht="19.5" customHeight="1">
      <c r="A1" s="96" t="str" cm="1">
        <f t="array" ref="A1">portfolio</f>
        <v>38 DN</v>
      </c>
      <c r="B1" s="96"/>
      <c r="C1" s="96"/>
      <c r="D1" s="97" t="s">
        <v>122</v>
      </c>
      <c r="E1" s="97"/>
      <c r="F1" s="97"/>
      <c r="G1" s="95" t="s">
        <v>123</v>
      </c>
      <c r="H1" s="95"/>
      <c r="I1" s="95"/>
      <c r="J1" s="4"/>
      <c r="K1" s="4"/>
    </row>
    <row r="2" spans="1:13" ht="19.5" customHeight="1">
      <c r="A2" s="98" t="s">
        <v>2</v>
      </c>
      <c r="B2" s="98"/>
      <c r="C2" s="5">
        <f>SUM(C4:C99)</f>
        <v>4138952</v>
      </c>
      <c r="D2" s="5">
        <f>SUM(D4:D99)</f>
        <v>4263880.9099999992</v>
      </c>
      <c r="E2" s="5">
        <f>C2-D2</f>
        <v>-124928.90999999922</v>
      </c>
      <c r="F2" s="6">
        <f>IFERROR(E2/D2, 0)</f>
        <v>-2.9299343165754419E-2</v>
      </c>
      <c r="G2" s="5">
        <f>SUM(G4:G99)</f>
        <v>4272144.5299999993</v>
      </c>
      <c r="H2" s="7">
        <f>C2-G2</f>
        <v>-133192.52999999933</v>
      </c>
      <c r="I2" s="6">
        <f>IFERROR(H2/G2, 0)</f>
        <v>-3.1176971908298091E-2</v>
      </c>
      <c r="J2" s="16" t="str">
        <f ca="1">IF(AND(TODAY()&gt;DATE(2024, 4, 1), COUNTA(Sites[Site])&lt;&gt;(COUNT(C:C)-1)), "Some sites are missing actual data; if new sites were added, make sure they are aligned correctly (including prior months!)", "")</f>
        <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126" customHeight="1">
      <c r="A4" s="91" t="str" cm="1">
        <f t="array" ref="A4:A24">Sites[Site]</f>
        <v>6th St.</v>
      </c>
      <c r="B4" s="48" t="str" cm="1">
        <f t="array" ref="B4:B24">Sites[State]</f>
        <v>CA</v>
      </c>
      <c r="C4" s="36">
        <v>199467.5</v>
      </c>
      <c r="D4" s="37">
        <v>180569.8</v>
      </c>
      <c r="E4" s="37">
        <f>IF(AND(ISNUMBER(C4),ISNUMBER(D4)), C4-D4, "")</f>
        <v>18897.700000000012</v>
      </c>
      <c r="F4" s="38">
        <f>IFERROR(E4/D4, "")</f>
        <v>0.10465592806770574</v>
      </c>
      <c r="G4" s="39">
        <v>219710.8</v>
      </c>
      <c r="H4" s="39">
        <f>IF(AND(ISNUMBER(C4),ISNUMBER(G4)), C4-G4, "")</f>
        <v>-20243.299999999988</v>
      </c>
      <c r="I4" s="40">
        <f>IFERROR(H4/G4, "")</f>
        <v>-9.213611711395156E-2</v>
      </c>
      <c r="J4" s="66" t="s">
        <v>124</v>
      </c>
      <c r="K4" s="85" t="s">
        <v>125</v>
      </c>
      <c r="L4" s="93" t="s">
        <v>126</v>
      </c>
      <c r="M4" s="92"/>
    </row>
    <row r="5" spans="1:13" ht="43.15">
      <c r="A5" s="49" t="str">
        <v>Barton Acres</v>
      </c>
      <c r="B5" s="50" t="str">
        <v>MA</v>
      </c>
      <c r="C5" s="43">
        <v>161773</v>
      </c>
      <c r="D5" s="44">
        <v>171040.2</v>
      </c>
      <c r="E5" s="44">
        <f t="shared" ref="E5:E24" si="0">IF(AND(ISNUMBER(C5),ISNUMBER(D5)), C5-D5, "")</f>
        <v>-9267.2000000000116</v>
      </c>
      <c r="F5" s="45">
        <f>IFERROR(E5/D5, "")</f>
        <v>-5.4181414661582543E-2</v>
      </c>
      <c r="G5" s="46">
        <v>162787.20000000001</v>
      </c>
      <c r="H5" s="46">
        <f t="shared" ref="H5:H24" si="1">IF(AND(ISNUMBER(C5),ISNUMBER(G5)), C5-G5, "")</f>
        <v>-1014.2000000000116</v>
      </c>
      <c r="I5" s="45">
        <f t="shared" ref="I5:I24" si="2">IFERROR(H5/G5, "")</f>
        <v>-6.2302195750035113E-3</v>
      </c>
      <c r="J5" s="67" t="s">
        <v>127</v>
      </c>
      <c r="K5" s="87" t="s">
        <v>128</v>
      </c>
      <c r="L5" s="93" t="s">
        <v>129</v>
      </c>
      <c r="M5" s="92"/>
    </row>
    <row r="6" spans="1:13" ht="15.6">
      <c r="A6" s="51" t="str">
        <v>Bowden</v>
      </c>
      <c r="B6" s="48" t="str">
        <v>MA</v>
      </c>
      <c r="C6" s="36">
        <v>331971</v>
      </c>
      <c r="D6" s="37">
        <v>328461.59999999998</v>
      </c>
      <c r="E6" s="37">
        <f t="shared" si="0"/>
        <v>3509.4000000000233</v>
      </c>
      <c r="F6" s="38">
        <f t="shared" ref="F6:F24" si="3">IFERROR(E6/D6, "")</f>
        <v>1.0684353970144526E-2</v>
      </c>
      <c r="G6" s="39">
        <v>330949.5</v>
      </c>
      <c r="H6" s="39">
        <f t="shared" si="1"/>
        <v>1021.5</v>
      </c>
      <c r="I6" s="40">
        <f t="shared" si="2"/>
        <v>3.0865736313244164E-3</v>
      </c>
      <c r="J6" s="66"/>
      <c r="K6" s="66"/>
      <c r="L6" s="92"/>
      <c r="M6" s="92"/>
    </row>
    <row r="7" spans="1:13" ht="15.6">
      <c r="A7" s="49" t="str">
        <v>Blair Wire Village</v>
      </c>
      <c r="B7" s="50" t="str">
        <v>MA</v>
      </c>
      <c r="C7" s="43">
        <v>163662</v>
      </c>
      <c r="D7" s="44">
        <v>177911.3</v>
      </c>
      <c r="E7" s="44">
        <f t="shared" si="0"/>
        <v>-14249.299999999988</v>
      </c>
      <c r="F7" s="45">
        <f t="shared" si="3"/>
        <v>-8.0092158283369241E-2</v>
      </c>
      <c r="G7" s="46">
        <v>166260</v>
      </c>
      <c r="H7" s="46">
        <f t="shared" si="1"/>
        <v>-2598</v>
      </c>
      <c r="I7" s="45">
        <f t="shared" si="2"/>
        <v>-1.5626127751714184E-2</v>
      </c>
      <c r="J7" s="67"/>
      <c r="K7" s="68"/>
      <c r="L7" s="92"/>
      <c r="M7" s="92"/>
    </row>
    <row r="8" spans="1:13" ht="57.6">
      <c r="A8" s="51" t="str">
        <v>Boutilier</v>
      </c>
      <c r="B8" s="48" t="str">
        <v>MA</v>
      </c>
      <c r="C8" s="36">
        <v>463631</v>
      </c>
      <c r="D8" s="37">
        <v>465714.9</v>
      </c>
      <c r="E8" s="37">
        <f t="shared" si="0"/>
        <v>-2083.9000000000233</v>
      </c>
      <c r="F8" s="38">
        <f t="shared" si="3"/>
        <v>-4.474625999726492E-3</v>
      </c>
      <c r="G8" s="39">
        <v>446865.5</v>
      </c>
      <c r="H8" s="39">
        <f t="shared" si="1"/>
        <v>16765.5</v>
      </c>
      <c r="I8" s="40">
        <f t="shared" si="2"/>
        <v>3.7518000382665478E-2</v>
      </c>
      <c r="J8" s="66" t="s">
        <v>130</v>
      </c>
      <c r="K8" s="85" t="s">
        <v>131</v>
      </c>
      <c r="L8" s="93" t="s">
        <v>132</v>
      </c>
      <c r="M8" s="92"/>
    </row>
    <row r="9" spans="1:13" ht="28.9">
      <c r="A9" s="49" t="str">
        <v>Cherry Valley</v>
      </c>
      <c r="B9" s="50" t="str">
        <v>MA</v>
      </c>
      <c r="C9" s="43">
        <v>157223</v>
      </c>
      <c r="D9" s="44">
        <v>172407.5</v>
      </c>
      <c r="E9" s="44">
        <f t="shared" si="0"/>
        <v>-15184.5</v>
      </c>
      <c r="F9" s="45">
        <f t="shared" si="3"/>
        <v>-8.807331467598567E-2</v>
      </c>
      <c r="G9" s="46">
        <v>163486</v>
      </c>
      <c r="H9" s="46">
        <f t="shared" si="1"/>
        <v>-6263</v>
      </c>
      <c r="I9" s="45">
        <f t="shared" si="2"/>
        <v>-3.8309090686664299E-2</v>
      </c>
      <c r="J9" s="67" t="s">
        <v>133</v>
      </c>
      <c r="K9" s="87" t="s">
        <v>134</v>
      </c>
      <c r="L9" s="92"/>
      <c r="M9" s="92"/>
    </row>
    <row r="10" spans="1:13" ht="15.6">
      <c r="A10" s="51" t="str">
        <v>Cohasse</v>
      </c>
      <c r="B10" s="48" t="str">
        <v>MA</v>
      </c>
      <c r="C10" s="36">
        <v>151432</v>
      </c>
      <c r="D10" s="37">
        <v>158349.1</v>
      </c>
      <c r="E10" s="37">
        <f t="shared" si="0"/>
        <v>-6917.1000000000058</v>
      </c>
      <c r="F10" s="38">
        <f t="shared" si="3"/>
        <v>-4.3682597501343588E-2</v>
      </c>
      <c r="G10" s="39">
        <v>172569</v>
      </c>
      <c r="H10" s="39">
        <f t="shared" si="1"/>
        <v>-21137</v>
      </c>
      <c r="I10" s="40">
        <f t="shared" si="2"/>
        <v>-0.12248433959749433</v>
      </c>
      <c r="J10" s="66" t="s">
        <v>135</v>
      </c>
      <c r="K10" s="85" t="s">
        <v>136</v>
      </c>
      <c r="L10" s="92"/>
      <c r="M10" s="92"/>
    </row>
    <row r="11" spans="1:13" ht="86.45">
      <c r="A11" s="49" t="str">
        <v>ISM Dighton Solar 2</v>
      </c>
      <c r="B11" s="50" t="str">
        <v>MA</v>
      </c>
      <c r="C11" s="43">
        <v>336156</v>
      </c>
      <c r="D11" s="44">
        <v>327997.90000000002</v>
      </c>
      <c r="E11" s="44">
        <f t="shared" si="0"/>
        <v>8158.0999999999767</v>
      </c>
      <c r="F11" s="45">
        <f t="shared" si="3"/>
        <v>2.4872415341683517E-2</v>
      </c>
      <c r="G11" s="46">
        <v>337271.4</v>
      </c>
      <c r="H11" s="46">
        <f t="shared" si="1"/>
        <v>-1115.4000000000233</v>
      </c>
      <c r="I11" s="45">
        <f t="shared" si="2"/>
        <v>-3.3071289175424399E-3</v>
      </c>
      <c r="J11" s="67" t="s">
        <v>137</v>
      </c>
      <c r="K11" s="87" t="s">
        <v>138</v>
      </c>
      <c r="L11" s="93" t="s">
        <v>139</v>
      </c>
      <c r="M11" s="92"/>
    </row>
    <row r="12" spans="1:13" ht="43.15">
      <c r="A12" s="51" t="str">
        <v>Dudley River 1</v>
      </c>
      <c r="B12" s="48" t="str">
        <v>MA</v>
      </c>
      <c r="C12" s="36">
        <v>163432</v>
      </c>
      <c r="D12" s="37">
        <v>165933.1</v>
      </c>
      <c r="E12" s="37">
        <f t="shared" si="0"/>
        <v>-2501.1000000000058</v>
      </c>
      <c r="F12" s="38">
        <f t="shared" si="3"/>
        <v>-1.5072942047126257E-2</v>
      </c>
      <c r="G12" s="39">
        <v>166674.29999999999</v>
      </c>
      <c r="H12" s="39">
        <f t="shared" si="1"/>
        <v>-3242.2999999999884</v>
      </c>
      <c r="I12" s="40">
        <f t="shared" si="2"/>
        <v>-1.9452909056765132E-2</v>
      </c>
      <c r="J12" s="66" t="s">
        <v>140</v>
      </c>
      <c r="K12" s="85" t="s">
        <v>141</v>
      </c>
      <c r="L12" s="92"/>
      <c r="M12" s="92"/>
    </row>
    <row r="13" spans="1:13" ht="43.15">
      <c r="A13" s="49" t="str">
        <v>Dudley River 2</v>
      </c>
      <c r="B13" s="50" t="str">
        <v>MA</v>
      </c>
      <c r="C13" s="43">
        <v>157704</v>
      </c>
      <c r="D13" s="44">
        <v>164615.29999999999</v>
      </c>
      <c r="E13" s="44">
        <f t="shared" si="0"/>
        <v>-6911.2999999999884</v>
      </c>
      <c r="F13" s="45">
        <f t="shared" si="3"/>
        <v>-4.1984554291125971E-2</v>
      </c>
      <c r="G13" s="46">
        <v>160600.9</v>
      </c>
      <c r="H13" s="46">
        <f t="shared" si="1"/>
        <v>-2896.8999999999942</v>
      </c>
      <c r="I13" s="45">
        <f t="shared" si="2"/>
        <v>-1.8037881481361526E-2</v>
      </c>
      <c r="J13" s="67" t="s">
        <v>140</v>
      </c>
      <c r="K13" s="87" t="s">
        <v>142</v>
      </c>
      <c r="L13" s="92"/>
      <c r="M13" s="92"/>
    </row>
    <row r="14" spans="1:13" ht="43.15">
      <c r="A14" s="51" t="str">
        <v>Dudley River 3</v>
      </c>
      <c r="B14" s="48" t="str">
        <v>MA</v>
      </c>
      <c r="C14" s="36">
        <v>162557</v>
      </c>
      <c r="D14" s="37">
        <v>164852.1</v>
      </c>
      <c r="E14" s="37">
        <f t="shared" si="0"/>
        <v>-2295.1000000000058</v>
      </c>
      <c r="F14" s="38">
        <f t="shared" si="3"/>
        <v>-1.3922176302273406E-2</v>
      </c>
      <c r="G14" s="39">
        <v>162431.4</v>
      </c>
      <c r="H14" s="39">
        <f t="shared" si="1"/>
        <v>125.60000000000582</v>
      </c>
      <c r="I14" s="40">
        <f t="shared" si="2"/>
        <v>7.7324950717660393E-4</v>
      </c>
      <c r="J14" s="66" t="s">
        <v>143</v>
      </c>
      <c r="K14" s="85" t="s">
        <v>144</v>
      </c>
      <c r="L14" s="92"/>
      <c r="M14" s="92"/>
    </row>
    <row r="15" spans="1:13" ht="15.6">
      <c r="A15" s="49" t="str">
        <v>Flint Pond</v>
      </c>
      <c r="B15" s="50" t="str">
        <v>MA</v>
      </c>
      <c r="C15" s="43">
        <v>79734</v>
      </c>
      <c r="D15" s="44">
        <v>73305.09</v>
      </c>
      <c r="E15" s="44">
        <f t="shared" si="0"/>
        <v>6428.9100000000035</v>
      </c>
      <c r="F15" s="45">
        <f t="shared" si="3"/>
        <v>8.7700731286190409E-2</v>
      </c>
      <c r="G15" s="46">
        <v>77715.95</v>
      </c>
      <c r="H15" s="46">
        <f t="shared" si="1"/>
        <v>2018.0500000000029</v>
      </c>
      <c r="I15" s="45">
        <f t="shared" si="2"/>
        <v>2.5966999052318127E-2</v>
      </c>
      <c r="J15" s="67"/>
      <c r="K15" s="68"/>
      <c r="L15" s="92"/>
      <c r="M15" s="92"/>
    </row>
    <row r="16" spans="1:13" ht="28.9">
      <c r="A16" s="51" t="str">
        <v>Incom</v>
      </c>
      <c r="B16" s="48" t="str">
        <v>MA</v>
      </c>
      <c r="C16" s="36">
        <v>337911</v>
      </c>
      <c r="D16" s="37">
        <v>382456.3</v>
      </c>
      <c r="E16" s="37">
        <f t="shared" si="0"/>
        <v>-44545.299999999988</v>
      </c>
      <c r="F16" s="38">
        <f t="shared" si="3"/>
        <v>-0.11647160734442076</v>
      </c>
      <c r="G16" s="39">
        <v>346956.7</v>
      </c>
      <c r="H16" s="39">
        <f t="shared" si="1"/>
        <v>-9045.7000000000116</v>
      </c>
      <c r="I16" s="40">
        <f t="shared" si="2"/>
        <v>-2.6071553020881311E-2</v>
      </c>
      <c r="J16" s="94" t="s">
        <v>145</v>
      </c>
      <c r="K16" s="85" t="s">
        <v>146</v>
      </c>
      <c r="L16" s="92"/>
      <c r="M16" s="92"/>
    </row>
    <row r="17" spans="1:13" ht="15.6">
      <c r="A17" s="49" t="str">
        <v>JH</v>
      </c>
      <c r="B17" s="50" t="str">
        <v>MA</v>
      </c>
      <c r="C17" s="43">
        <v>156348</v>
      </c>
      <c r="D17" s="44">
        <v>166290.29999999999</v>
      </c>
      <c r="E17" s="44"/>
      <c r="F17" s="45">
        <f t="shared" si="3"/>
        <v>0</v>
      </c>
      <c r="G17" s="46">
        <v>170416.9</v>
      </c>
      <c r="H17" s="46">
        <f t="shared" si="1"/>
        <v>-14068.899999999994</v>
      </c>
      <c r="I17" s="45">
        <f t="shared" si="2"/>
        <v>-8.2555779385729902E-2</v>
      </c>
      <c r="J17" s="67"/>
      <c r="K17" s="68"/>
      <c r="L17" s="92"/>
      <c r="M17" s="92"/>
    </row>
    <row r="18" spans="1:13" ht="43.15">
      <c r="A18" s="91" t="str">
        <v>Ledeaux</v>
      </c>
      <c r="B18" s="48" t="str">
        <v>MA</v>
      </c>
      <c r="C18" s="36">
        <v>147299</v>
      </c>
      <c r="D18" s="37">
        <v>154599.79999999999</v>
      </c>
      <c r="E18" s="37">
        <f t="shared" si="0"/>
        <v>-7300.7999999999884</v>
      </c>
      <c r="F18" s="38">
        <f t="shared" si="3"/>
        <v>-4.7223864455193269E-2</v>
      </c>
      <c r="G18" s="39">
        <v>165182.39999999999</v>
      </c>
      <c r="H18" s="39">
        <f t="shared" si="1"/>
        <v>-17883.399999999994</v>
      </c>
      <c r="I18" s="40">
        <f t="shared" si="2"/>
        <v>-0.10826456087331335</v>
      </c>
      <c r="J18" s="66" t="s">
        <v>147</v>
      </c>
      <c r="K18" s="85" t="s">
        <v>148</v>
      </c>
      <c r="L18" s="92"/>
      <c r="M18" s="92"/>
    </row>
    <row r="19" spans="1:13" ht="28.9">
      <c r="A19" s="49" t="str">
        <v>Palombo A</v>
      </c>
      <c r="B19" s="50" t="str">
        <v>MA</v>
      </c>
      <c r="C19" s="43">
        <v>331617</v>
      </c>
      <c r="D19" s="44">
        <v>350277</v>
      </c>
      <c r="E19" s="44">
        <f t="shared" si="0"/>
        <v>-18660</v>
      </c>
      <c r="F19" s="45">
        <f t="shared" si="3"/>
        <v>-5.3272124632790623E-2</v>
      </c>
      <c r="G19" s="46">
        <v>361541</v>
      </c>
      <c r="H19" s="46">
        <f t="shared" si="1"/>
        <v>-29924</v>
      </c>
      <c r="I19" s="45">
        <f t="shared" si="2"/>
        <v>-8.2767929501771587E-2</v>
      </c>
      <c r="J19" s="67" t="s">
        <v>149</v>
      </c>
      <c r="K19" s="87" t="s">
        <v>150</v>
      </c>
      <c r="L19" s="92"/>
      <c r="M19" s="92"/>
    </row>
    <row r="20" spans="1:13" ht="28.9">
      <c r="A20" s="51" t="str">
        <v>Palombo B</v>
      </c>
      <c r="B20" s="48" t="str">
        <v>MA</v>
      </c>
      <c r="C20" s="36">
        <v>164726</v>
      </c>
      <c r="D20" s="37">
        <v>150219.5</v>
      </c>
      <c r="E20" s="37">
        <f t="shared" si="0"/>
        <v>14506.5</v>
      </c>
      <c r="F20" s="38">
        <f t="shared" si="3"/>
        <v>9.6568687820156499E-2</v>
      </c>
      <c r="G20" s="39">
        <v>169314.7</v>
      </c>
      <c r="H20" s="39">
        <f t="shared" si="1"/>
        <v>-4588.7000000000116</v>
      </c>
      <c r="I20" s="40">
        <f t="shared" si="2"/>
        <v>-2.7101604290708434E-2</v>
      </c>
      <c r="J20" s="66" t="s">
        <v>151</v>
      </c>
      <c r="K20" s="85" t="s">
        <v>152</v>
      </c>
      <c r="L20" s="92"/>
      <c r="M20" s="92"/>
    </row>
    <row r="21" spans="1:13" ht="28.9">
      <c r="A21" s="49" t="str">
        <v>St Josephs Church</v>
      </c>
      <c r="B21" s="50" t="str">
        <v>MA</v>
      </c>
      <c r="C21" s="43">
        <v>157361</v>
      </c>
      <c r="D21" s="44">
        <v>173444</v>
      </c>
      <c r="E21" s="44">
        <f t="shared" si="0"/>
        <v>-16083</v>
      </c>
      <c r="F21" s="45">
        <f t="shared" si="3"/>
        <v>-9.2727335624178411E-2</v>
      </c>
      <c r="G21" s="46">
        <v>164666.29999999999</v>
      </c>
      <c r="H21" s="46">
        <f t="shared" si="1"/>
        <v>-7305.2999999999884</v>
      </c>
      <c r="I21" s="45">
        <f t="shared" si="2"/>
        <v>-4.4364268827319184E-2</v>
      </c>
      <c r="J21" s="67" t="s">
        <v>153</v>
      </c>
      <c r="K21" s="87" t="s">
        <v>154</v>
      </c>
      <c r="L21" s="92"/>
      <c r="M21" s="92"/>
    </row>
    <row r="22" spans="1:13" ht="15.6">
      <c r="A22" s="51" t="str">
        <v>Sunset A</v>
      </c>
      <c r="B22" s="48" t="str">
        <v>MA</v>
      </c>
      <c r="C22" s="36">
        <v>79692.5</v>
      </c>
      <c r="D22" s="37">
        <v>87744.1</v>
      </c>
      <c r="E22" s="37">
        <f t="shared" si="0"/>
        <v>-8051.6000000000058</v>
      </c>
      <c r="F22" s="38">
        <f t="shared" si="3"/>
        <v>-9.1762295128675384E-2</v>
      </c>
      <c r="G22" s="39">
        <v>76642.34</v>
      </c>
      <c r="H22" s="39">
        <f t="shared" si="1"/>
        <v>3050.1600000000035</v>
      </c>
      <c r="I22" s="40">
        <f t="shared" si="2"/>
        <v>3.9797323515957418E-2</v>
      </c>
      <c r="J22" s="66"/>
      <c r="K22" s="66"/>
      <c r="L22" s="92"/>
      <c r="M22" s="92"/>
    </row>
    <row r="23" spans="1:13" ht="15.6">
      <c r="A23" s="49" t="str">
        <v>Sunset B</v>
      </c>
      <c r="B23" s="50" t="str">
        <v>MA</v>
      </c>
      <c r="C23" s="43">
        <v>75645</v>
      </c>
      <c r="D23" s="44">
        <v>80108.52</v>
      </c>
      <c r="E23" s="44">
        <f t="shared" si="0"/>
        <v>-4463.5200000000041</v>
      </c>
      <c r="F23" s="45">
        <f t="shared" si="3"/>
        <v>-5.5718417966029131E-2</v>
      </c>
      <c r="G23" s="46">
        <v>75721.84</v>
      </c>
      <c r="H23" s="46">
        <f t="shared" si="1"/>
        <v>-76.839999999996508</v>
      </c>
      <c r="I23" s="45">
        <f t="shared" si="2"/>
        <v>-1.014766677618987E-3</v>
      </c>
      <c r="J23" s="67"/>
      <c r="K23" s="67"/>
      <c r="L23" s="92"/>
      <c r="M23" s="92"/>
    </row>
    <row r="24" spans="1:13" ht="15.6">
      <c r="A24" s="51" t="str">
        <v>Woodchuck</v>
      </c>
      <c r="B24" s="48" t="str">
        <v>MA</v>
      </c>
      <c r="C24" s="36">
        <v>159610</v>
      </c>
      <c r="D24" s="37">
        <v>167583.5</v>
      </c>
      <c r="E24" s="37">
        <f t="shared" si="0"/>
        <v>-7973.5</v>
      </c>
      <c r="F24" s="38">
        <f t="shared" si="3"/>
        <v>-4.7579266455229779E-2</v>
      </c>
      <c r="G24" s="39">
        <v>174380.4</v>
      </c>
      <c r="H24" s="39">
        <f t="shared" si="1"/>
        <v>-14770.399999999994</v>
      </c>
      <c r="I24" s="40">
        <f t="shared" si="2"/>
        <v>-8.470217983213707E-2</v>
      </c>
      <c r="J24" s="66"/>
      <c r="K24" s="66"/>
      <c r="L24" s="92"/>
      <c r="M24" s="92"/>
    </row>
    <row r="25" spans="1:13" ht="14.45">
      <c r="A25" s="13"/>
      <c r="B25" s="18"/>
      <c r="C25" s="13"/>
      <c r="D25" s="13"/>
      <c r="E25" s="13"/>
      <c r="F25" s="13"/>
      <c r="G25" s="13"/>
      <c r="H25" s="13"/>
      <c r="I25" s="13"/>
      <c r="J25" s="13"/>
      <c r="K25" s="13"/>
    </row>
    <row r="26" spans="1:13" ht="14.45">
      <c r="A26" s="13"/>
      <c r="B26" s="18"/>
      <c r="C26" s="13"/>
      <c r="D26" s="13"/>
      <c r="E26" s="13"/>
      <c r="F26" s="13"/>
      <c r="G26" s="13"/>
      <c r="H26" s="13"/>
      <c r="I26" s="13"/>
      <c r="J26" s="13"/>
      <c r="K26" s="13"/>
    </row>
    <row r="27" spans="1:13" ht="14.45">
      <c r="A27" s="13"/>
      <c r="B27" s="18"/>
      <c r="C27" s="13"/>
      <c r="D27" s="13"/>
      <c r="E27" s="13"/>
      <c r="F27" s="13"/>
      <c r="G27" s="13"/>
      <c r="H27" s="13"/>
      <c r="I27" s="13"/>
      <c r="J27" s="13"/>
      <c r="K27" s="13"/>
    </row>
    <row r="28" spans="1:13" ht="14.45">
      <c r="A28" s="13"/>
      <c r="B28" s="18"/>
      <c r="C28" s="13"/>
      <c r="D28" s="13"/>
      <c r="E28" s="13"/>
      <c r="F28" s="13"/>
      <c r="G28" s="13"/>
      <c r="H28" s="13"/>
      <c r="I28" s="13"/>
      <c r="J28" s="13"/>
      <c r="K28" s="13"/>
    </row>
    <row r="29" spans="1:13" ht="14.45">
      <c r="A29" s="13"/>
      <c r="B29" s="18"/>
      <c r="C29" s="13"/>
      <c r="D29" s="13"/>
      <c r="E29" s="13"/>
      <c r="F29" s="13"/>
      <c r="G29" s="13"/>
      <c r="H29" s="13"/>
      <c r="I29" s="13"/>
      <c r="J29" s="13"/>
      <c r="K29" s="13"/>
    </row>
    <row r="30" spans="1:13" ht="14.45">
      <c r="A30" s="13"/>
      <c r="B30" s="18"/>
      <c r="C30" s="13"/>
      <c r="D30" s="13"/>
      <c r="E30" s="13"/>
      <c r="F30" s="13"/>
      <c r="G30" s="13"/>
      <c r="H30" s="13"/>
      <c r="I30" s="13"/>
      <c r="J30" s="13"/>
      <c r="K30" s="13"/>
    </row>
    <row r="31" spans="1:13" ht="14.45">
      <c r="A31" s="13"/>
      <c r="B31" s="18"/>
      <c r="C31" s="13"/>
      <c r="D31" s="13"/>
      <c r="E31" s="13"/>
      <c r="F31" s="13"/>
      <c r="G31" s="13"/>
      <c r="H31" s="13"/>
      <c r="I31" s="13"/>
      <c r="J31" s="13"/>
      <c r="K31" s="13"/>
    </row>
    <row r="32" spans="1:13"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099489" xr:uid="{838F8B01-340E-48D1-BCD4-95910D045B30}"/>
    <hyperlink ref="L4" r:id="rId2" display="https://us3.assetplanner.com/service_request?ID=099734" xr:uid="{EEF7A7B3-814F-4F4C-8B00-CAF285630D24}"/>
    <hyperlink ref="K5" r:id="rId3" display="https://us3.assetplanner.com/service_request?ID=100677" xr:uid="{166F6218-FCB9-48E5-BEA9-DDA1D7056EBA}"/>
    <hyperlink ref="L5" r:id="rId4" display="https://us3.assetplanner.com/service_request?ID=100708" xr:uid="{7E4C08B9-AE9F-4AC8-8079-882C5912AC07}"/>
    <hyperlink ref="K8" r:id="rId5" display="https://us3.assetplanner.com/service_request?ID=099544" xr:uid="{4EFB8710-F912-45A9-A0C4-B0F3FB7BF237}"/>
    <hyperlink ref="L8" r:id="rId6" display="https://us3.assetplanner.com/service_request?ID=100456" xr:uid="{1FCF4534-DD09-44A1-AF16-F9DAD9860E26}"/>
    <hyperlink ref="K9" r:id="rId7" display="https://us3.assetplanner.com/service_request?ID=099440" xr:uid="{3E5467F2-9490-4690-A012-D1A4597545C4}"/>
    <hyperlink ref="K10" r:id="rId8" display="https://us3.assetplanner.com/service_request?ID=100031" xr:uid="{A10D30E5-C0FB-45F7-B5BA-CFE79D35CABB}"/>
    <hyperlink ref="K11" r:id="rId9" display="https://us3.assetplanner.com/service_request?ID=099860" xr:uid="{953338C6-E329-42D3-B851-907EF0E99C04}"/>
    <hyperlink ref="L11" r:id="rId10" display="https://us3.assetplanner.com/service_request?ID=099891" xr:uid="{CEBB12A7-BE86-41D5-9EC2-1228B74A108A}"/>
    <hyperlink ref="K12" r:id="rId11" display="https://us3.assetplanner.com/service_request?ID=099671" xr:uid="{C974583E-0FD1-428F-8AFC-3555462E91E5}"/>
    <hyperlink ref="K13" r:id="rId12" display="https://us3.assetplanner.com/service_request?ID=099669" xr:uid="{D48E3405-8CB7-49AF-B0AD-CE9AFB0D8D3E}"/>
    <hyperlink ref="K14" r:id="rId13" display="https://us3.assetplanner.com/service_request?ID=099670" xr:uid="{CEBBBFF1-19AF-4E77-B126-1C3CA890119D}"/>
    <hyperlink ref="K16" r:id="rId14" display="https://us3.assetplanner.com/service_request?ID=099381" xr:uid="{DB370998-45DB-429C-905F-DEF525E2EAA7}"/>
    <hyperlink ref="K18" r:id="rId15" display="https://us3.assetplanner.com/service_request?ID=099675" xr:uid="{3251C639-458B-48D7-88D4-4D49FE963E4B}"/>
    <hyperlink ref="K19" r:id="rId16" display="https://us3.assetplanner.com/service_request?ID=099667" xr:uid="{5113ACB2-6C13-4CF9-AC2B-DF454D8ED6C6}"/>
    <hyperlink ref="K20" r:id="rId17" display="https://us3.assetplanner.com/service_request?ID=099654" xr:uid="{EB8CB5BB-4D1A-44AF-9F7E-8933608431C0}"/>
    <hyperlink ref="K21" r:id="rId18" display="https://us3.assetplanner.com/service_request?ID=099382" xr:uid="{55F171A9-65CC-4659-9A6F-724547EB323D}"/>
  </hyperlinks>
  <pageMargins left="0.4" right="0.7" top="0.25" bottom="0.25" header="0.3" footer="0.3"/>
  <pageSetup scale="54" fitToHeight="99" orientation="landscape" r:id="rId1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41"/>
  <sheetViews>
    <sheetView zoomScaleNormal="100" workbookViewId="0">
      <pane xSplit="2" ySplit="3" topLeftCell="C4"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38 DN</v>
      </c>
      <c r="B1" s="96"/>
      <c r="C1" s="96"/>
      <c r="D1" s="97" t="s">
        <v>155</v>
      </c>
      <c r="E1" s="97"/>
      <c r="F1" s="97"/>
      <c r="G1" s="95" t="s">
        <v>156</v>
      </c>
      <c r="H1" s="95"/>
      <c r="I1" s="95"/>
      <c r="J1" s="4"/>
      <c r="K1" s="4"/>
    </row>
    <row r="2" spans="1:11" ht="19.5" customHeight="1">
      <c r="A2" s="98" t="s">
        <v>2</v>
      </c>
      <c r="B2" s="98"/>
      <c r="C2" s="5">
        <f>SUM(C4:C99)</f>
        <v>0</v>
      </c>
      <c r="D2" s="5">
        <f>SUM(D4:D99)</f>
        <v>0</v>
      </c>
      <c r="E2" s="5">
        <f>C2-D2</f>
        <v>0</v>
      </c>
      <c r="F2" s="6">
        <f>IFERROR(E2/D2, 0)</f>
        <v>0</v>
      </c>
      <c r="G2" s="5">
        <f>SUM(G4:G99)</f>
        <v>0</v>
      </c>
      <c r="H2" s="7">
        <f>C2-G2</f>
        <v>0</v>
      </c>
      <c r="I2" s="6">
        <f>IFERROR(H2/G2, 0)</f>
        <v>0</v>
      </c>
      <c r="J2" s="1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15.6">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6">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1" ht="15.6">
      <c r="A6" s="51" t="str">
        <v>Bowden</v>
      </c>
      <c r="B6" s="48" t="str">
        <v>MA</v>
      </c>
      <c r="C6" s="36"/>
      <c r="D6" s="37"/>
      <c r="E6" s="37" t="str">
        <f t="shared" si="0"/>
        <v/>
      </c>
      <c r="F6" s="38" t="str">
        <f t="shared" ref="F6:F24" si="3">IFERROR(E6/D6, "")</f>
        <v/>
      </c>
      <c r="G6" s="39"/>
      <c r="H6" s="39" t="str">
        <f t="shared" si="1"/>
        <v/>
      </c>
      <c r="I6" s="40" t="str">
        <f t="shared" si="2"/>
        <v/>
      </c>
      <c r="J6" s="57"/>
      <c r="K6" s="57"/>
    </row>
    <row r="7" spans="1:11" ht="118.5" customHeight="1">
      <c r="A7" s="49" t="str">
        <v>Blair Wire Village</v>
      </c>
      <c r="B7" s="50" t="str">
        <v>MA</v>
      </c>
      <c r="C7" s="43"/>
      <c r="D7" s="44"/>
      <c r="E7" s="44" t="str">
        <f t="shared" si="0"/>
        <v/>
      </c>
      <c r="F7" s="45" t="str">
        <f t="shared" si="3"/>
        <v/>
      </c>
      <c r="G7" s="46"/>
      <c r="H7" s="46" t="str">
        <f t="shared" si="1"/>
        <v/>
      </c>
      <c r="I7" s="45" t="str">
        <f t="shared" si="2"/>
        <v/>
      </c>
      <c r="J7" s="69"/>
      <c r="K7" s="69"/>
    </row>
    <row r="8" spans="1:11" ht="15.6">
      <c r="A8" s="51" t="str">
        <v>Boutilier</v>
      </c>
      <c r="B8" s="48" t="str">
        <v>MA</v>
      </c>
      <c r="C8" s="36"/>
      <c r="D8" s="37"/>
      <c r="E8" s="37" t="str">
        <f t="shared" si="0"/>
        <v/>
      </c>
      <c r="F8" s="38" t="str">
        <f t="shared" si="3"/>
        <v/>
      </c>
      <c r="G8" s="39"/>
      <c r="H8" s="39" t="str">
        <f t="shared" si="1"/>
        <v/>
      </c>
      <c r="I8" s="40" t="str">
        <f t="shared" si="2"/>
        <v/>
      </c>
      <c r="J8" s="57"/>
      <c r="K8" s="57"/>
    </row>
    <row r="9" spans="1:11" ht="15.6">
      <c r="A9" s="49" t="str">
        <v>Cherry Valley</v>
      </c>
      <c r="B9" s="50" t="str">
        <v>MA</v>
      </c>
      <c r="C9" s="43"/>
      <c r="D9" s="44"/>
      <c r="E9" s="44" t="str">
        <f t="shared" si="0"/>
        <v/>
      </c>
      <c r="F9" s="45" t="str">
        <f t="shared" si="3"/>
        <v/>
      </c>
      <c r="G9" s="46"/>
      <c r="H9" s="46" t="str">
        <f t="shared" si="1"/>
        <v/>
      </c>
      <c r="I9" s="45" t="str">
        <f t="shared" si="2"/>
        <v/>
      </c>
      <c r="J9" s="58"/>
      <c r="K9" s="58"/>
    </row>
    <row r="10" spans="1:11" ht="15.6">
      <c r="A10" s="51" t="str">
        <v>Cohasse</v>
      </c>
      <c r="B10" s="48" t="str">
        <v>MA</v>
      </c>
      <c r="C10" s="36"/>
      <c r="D10" s="37"/>
      <c r="E10" s="37" t="str">
        <f t="shared" si="0"/>
        <v/>
      </c>
      <c r="F10" s="38" t="str">
        <f t="shared" si="3"/>
        <v/>
      </c>
      <c r="G10" s="39"/>
      <c r="H10" s="39" t="str">
        <f t="shared" si="1"/>
        <v/>
      </c>
      <c r="I10" s="40" t="str">
        <f t="shared" si="2"/>
        <v/>
      </c>
      <c r="J10" s="57"/>
      <c r="K10" s="57"/>
    </row>
    <row r="11" spans="1:11" ht="15.6">
      <c r="A11" s="49" t="str">
        <v>ISM Dighton Solar 2</v>
      </c>
      <c r="B11" s="50" t="str">
        <v>MA</v>
      </c>
      <c r="C11" s="43"/>
      <c r="D11" s="44"/>
      <c r="E11" s="44" t="str">
        <f t="shared" si="0"/>
        <v/>
      </c>
      <c r="F11" s="45" t="str">
        <f t="shared" si="3"/>
        <v/>
      </c>
      <c r="G11" s="46"/>
      <c r="H11" s="46" t="str">
        <f t="shared" si="1"/>
        <v/>
      </c>
      <c r="I11" s="45" t="str">
        <f t="shared" si="2"/>
        <v/>
      </c>
      <c r="J11" s="58"/>
      <c r="K11" s="58"/>
    </row>
    <row r="12" spans="1:11" ht="15.6">
      <c r="A12" s="51" t="str">
        <v>Dudley River 1</v>
      </c>
      <c r="B12" s="48" t="str">
        <v>MA</v>
      </c>
      <c r="C12" s="36"/>
      <c r="D12" s="37"/>
      <c r="E12" s="37" t="str">
        <f t="shared" si="0"/>
        <v/>
      </c>
      <c r="F12" s="38" t="str">
        <f t="shared" si="3"/>
        <v/>
      </c>
      <c r="G12" s="39"/>
      <c r="H12" s="39" t="str">
        <f t="shared" si="1"/>
        <v/>
      </c>
      <c r="I12" s="40" t="str">
        <f t="shared" si="2"/>
        <v/>
      </c>
      <c r="J12" s="57"/>
      <c r="K12" s="57"/>
    </row>
    <row r="13" spans="1:11" ht="15.6">
      <c r="A13" s="49" t="str">
        <v>Dudley River 2</v>
      </c>
      <c r="B13" s="50" t="str">
        <v>MA</v>
      </c>
      <c r="C13" s="43"/>
      <c r="D13" s="44"/>
      <c r="E13" s="44" t="str">
        <f t="shared" si="0"/>
        <v/>
      </c>
      <c r="F13" s="45" t="str">
        <f t="shared" si="3"/>
        <v/>
      </c>
      <c r="G13" s="46"/>
      <c r="H13" s="46" t="str">
        <f t="shared" si="1"/>
        <v/>
      </c>
      <c r="I13" s="45" t="str">
        <f t="shared" si="2"/>
        <v/>
      </c>
      <c r="J13" s="58"/>
      <c r="K13" s="58"/>
    </row>
    <row r="14" spans="1:11" ht="15.6">
      <c r="A14" s="51" t="str">
        <v>Dudley River 3</v>
      </c>
      <c r="B14" s="48" t="str">
        <v>MA</v>
      </c>
      <c r="C14" s="36"/>
      <c r="D14" s="37"/>
      <c r="E14" s="37" t="str">
        <f t="shared" si="0"/>
        <v/>
      </c>
      <c r="F14" s="38" t="str">
        <f t="shared" si="3"/>
        <v/>
      </c>
      <c r="G14" s="39"/>
      <c r="H14" s="39" t="str">
        <f t="shared" si="1"/>
        <v/>
      </c>
      <c r="I14" s="40" t="str">
        <f t="shared" si="2"/>
        <v/>
      </c>
      <c r="J14" s="57"/>
      <c r="K14" s="57"/>
    </row>
    <row r="15" spans="1:11" ht="15.6">
      <c r="A15" s="49" t="str">
        <v>Flint Pond</v>
      </c>
      <c r="B15" s="50" t="str">
        <v>MA</v>
      </c>
      <c r="C15" s="43"/>
      <c r="D15" s="44"/>
      <c r="E15" s="44" t="str">
        <f t="shared" si="0"/>
        <v/>
      </c>
      <c r="F15" s="45" t="str">
        <f t="shared" si="3"/>
        <v/>
      </c>
      <c r="G15" s="46"/>
      <c r="H15" s="46" t="str">
        <f t="shared" si="1"/>
        <v/>
      </c>
      <c r="I15" s="45" t="str">
        <f t="shared" si="2"/>
        <v/>
      </c>
      <c r="J15" s="58"/>
      <c r="K15" s="58"/>
    </row>
    <row r="16" spans="1:11" ht="15.6">
      <c r="A16" s="51" t="str">
        <v>Incom</v>
      </c>
      <c r="B16" s="48" t="str">
        <v>MA</v>
      </c>
      <c r="C16" s="36"/>
      <c r="D16" s="37"/>
      <c r="E16" s="37" t="str">
        <f t="shared" si="0"/>
        <v/>
      </c>
      <c r="F16" s="38" t="str">
        <f t="shared" si="3"/>
        <v/>
      </c>
      <c r="G16" s="39"/>
      <c r="H16" s="39" t="str">
        <f t="shared" si="1"/>
        <v/>
      </c>
      <c r="I16" s="40" t="str">
        <f t="shared" si="2"/>
        <v/>
      </c>
      <c r="J16" s="57"/>
      <c r="K16" s="57"/>
    </row>
    <row r="17" spans="1:11" ht="15.6">
      <c r="A17" s="49" t="str">
        <v>JH</v>
      </c>
      <c r="B17" s="50" t="str">
        <v>MA</v>
      </c>
      <c r="C17" s="43"/>
      <c r="D17" s="44"/>
      <c r="E17" s="44"/>
      <c r="F17" s="45" t="str">
        <f t="shared" si="3"/>
        <v/>
      </c>
      <c r="G17" s="46"/>
      <c r="H17" s="46" t="str">
        <f t="shared" si="1"/>
        <v/>
      </c>
      <c r="I17" s="45" t="str">
        <f t="shared" si="2"/>
        <v/>
      </c>
      <c r="J17" s="58"/>
      <c r="K17" s="58"/>
    </row>
    <row r="18" spans="1:11" ht="12.75" customHeight="1">
      <c r="A18" s="47" t="str">
        <v>Ledeaux</v>
      </c>
      <c r="B18" s="48" t="str">
        <v>MA</v>
      </c>
      <c r="C18" s="36"/>
      <c r="D18" s="37"/>
      <c r="E18" s="37" t="str">
        <f t="shared" si="0"/>
        <v/>
      </c>
      <c r="F18" s="38" t="str">
        <f t="shared" si="3"/>
        <v/>
      </c>
      <c r="G18" s="39"/>
      <c r="H18" s="39" t="str">
        <f t="shared" si="1"/>
        <v/>
      </c>
      <c r="I18" s="40" t="str">
        <f t="shared" si="2"/>
        <v/>
      </c>
      <c r="J18" s="57"/>
      <c r="K18" s="57"/>
    </row>
    <row r="19" spans="1:11" ht="15.6">
      <c r="A19" s="49" t="str">
        <v>Palombo A</v>
      </c>
      <c r="B19" s="50" t="str">
        <v>MA</v>
      </c>
      <c r="C19" s="43"/>
      <c r="D19" s="44"/>
      <c r="E19" s="44" t="str">
        <f t="shared" si="0"/>
        <v/>
      </c>
      <c r="F19" s="45" t="str">
        <f t="shared" si="3"/>
        <v/>
      </c>
      <c r="G19" s="46"/>
      <c r="H19" s="46" t="str">
        <f t="shared" si="1"/>
        <v/>
      </c>
      <c r="I19" s="45" t="str">
        <f t="shared" si="2"/>
        <v/>
      </c>
      <c r="J19" s="58"/>
      <c r="K19" s="58"/>
    </row>
    <row r="20" spans="1:11" ht="15.6">
      <c r="A20" s="51" t="str">
        <v>Palombo B</v>
      </c>
      <c r="B20" s="48" t="str">
        <v>MA</v>
      </c>
      <c r="C20" s="36"/>
      <c r="D20" s="37"/>
      <c r="E20" s="37" t="str">
        <f t="shared" si="0"/>
        <v/>
      </c>
      <c r="F20" s="38" t="str">
        <f t="shared" si="3"/>
        <v/>
      </c>
      <c r="G20" s="39"/>
      <c r="H20" s="39" t="str">
        <f t="shared" si="1"/>
        <v/>
      </c>
      <c r="I20" s="40" t="str">
        <f t="shared" si="2"/>
        <v/>
      </c>
      <c r="J20" s="57"/>
      <c r="K20" s="57"/>
    </row>
    <row r="21" spans="1:11" ht="15.6">
      <c r="A21" s="49" t="str">
        <v>St Josephs Church</v>
      </c>
      <c r="B21" s="50" t="str">
        <v>MA</v>
      </c>
      <c r="C21" s="43"/>
      <c r="D21" s="44"/>
      <c r="E21" s="44" t="str">
        <f t="shared" si="0"/>
        <v/>
      </c>
      <c r="F21" s="45" t="str">
        <f t="shared" si="3"/>
        <v/>
      </c>
      <c r="G21" s="46"/>
      <c r="H21" s="46" t="str">
        <f t="shared" si="1"/>
        <v/>
      </c>
      <c r="I21" s="45" t="str">
        <f t="shared" si="2"/>
        <v/>
      </c>
      <c r="J21" s="58"/>
      <c r="K21" s="58"/>
    </row>
    <row r="22" spans="1:11" ht="15.6">
      <c r="A22" s="51" t="str">
        <v>Sunset A</v>
      </c>
      <c r="B22" s="48" t="str">
        <v>MA</v>
      </c>
      <c r="C22" s="36"/>
      <c r="D22" s="37"/>
      <c r="E22" s="37" t="str">
        <f t="shared" si="0"/>
        <v/>
      </c>
      <c r="F22" s="38" t="str">
        <f t="shared" si="3"/>
        <v/>
      </c>
      <c r="G22" s="39"/>
      <c r="H22" s="39" t="str">
        <f t="shared" si="1"/>
        <v/>
      </c>
      <c r="I22" s="40" t="str">
        <f t="shared" si="2"/>
        <v/>
      </c>
      <c r="J22" s="57"/>
      <c r="K22" s="57"/>
    </row>
    <row r="23" spans="1:11" ht="15.6">
      <c r="A23" s="49" t="str">
        <v>Sunset B</v>
      </c>
      <c r="B23" s="50" t="str">
        <v>MA</v>
      </c>
      <c r="C23" s="43"/>
      <c r="D23" s="44"/>
      <c r="E23" s="44" t="str">
        <f t="shared" si="0"/>
        <v/>
      </c>
      <c r="F23" s="45" t="str">
        <f t="shared" si="3"/>
        <v/>
      </c>
      <c r="G23" s="46"/>
      <c r="H23" s="46" t="str">
        <f t="shared" si="1"/>
        <v/>
      </c>
      <c r="I23" s="45" t="str">
        <f t="shared" si="2"/>
        <v/>
      </c>
      <c r="J23" s="58"/>
      <c r="K23" s="58"/>
    </row>
    <row r="24" spans="1:11" ht="15.6">
      <c r="A24" s="51" t="str">
        <v>Woodchuck</v>
      </c>
      <c r="B24" s="48" t="str">
        <v>MA</v>
      </c>
      <c r="C24" s="36"/>
      <c r="D24" s="37"/>
      <c r="E24" s="37" t="str">
        <f t="shared" si="0"/>
        <v/>
      </c>
      <c r="F24" s="38" t="str">
        <f t="shared" si="3"/>
        <v/>
      </c>
      <c r="G24" s="39"/>
      <c r="H24" s="39" t="str">
        <f t="shared" si="1"/>
        <v/>
      </c>
      <c r="I24" s="40" t="str">
        <f t="shared" si="2"/>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8" priority="3" stopIfTrue="1" operator="lessThanOrEqual">
      <formula>-0.1</formula>
    </cfRule>
    <cfRule type="expression" dxfId="17"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M341"/>
  <sheetViews>
    <sheetView zoomScaleNormal="100" workbookViewId="0">
      <pane xSplit="2" ySplit="3" topLeftCell="C11"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96" t="str" cm="1">
        <f t="array" ref="A1">portfolio</f>
        <v>38 DN</v>
      </c>
      <c r="B1" s="96"/>
      <c r="C1" s="96"/>
      <c r="D1" s="97" t="s">
        <v>157</v>
      </c>
      <c r="E1" s="97"/>
      <c r="F1" s="97"/>
      <c r="G1" s="95" t="s">
        <v>158</v>
      </c>
      <c r="H1" s="95"/>
      <c r="I1" s="95"/>
      <c r="J1" s="4"/>
      <c r="K1" s="4"/>
    </row>
    <row r="2" spans="1:13" ht="19.5" customHeight="1">
      <c r="A2" s="98" t="s">
        <v>2</v>
      </c>
      <c r="B2" s="98"/>
      <c r="C2" s="5">
        <f>SUM(C4:C99)</f>
        <v>0</v>
      </c>
      <c r="D2" s="5">
        <f>SUM(D4:D99)</f>
        <v>0</v>
      </c>
      <c r="E2" s="5">
        <f>C2-D2</f>
        <v>0</v>
      </c>
      <c r="F2" s="6">
        <f>IFERROR(E2/D2, 0)</f>
        <v>0</v>
      </c>
      <c r="G2" s="5">
        <f>SUM(G4:G99)</f>
        <v>0</v>
      </c>
      <c r="H2" s="7">
        <f>C2-G2</f>
        <v>0</v>
      </c>
      <c r="I2" s="6">
        <f>IFERROR(H2/G2, 0)</f>
        <v>0</v>
      </c>
      <c r="J2" s="1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15.6">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3" ht="15.6">
      <c r="A5" s="49" t="str">
        <v>Barton Acres</v>
      </c>
      <c r="B5" s="50" t="str">
        <v>MA</v>
      </c>
      <c r="C5" s="43"/>
      <c r="D5" s="44"/>
      <c r="E5" s="44" t="str">
        <f t="shared" ref="E5:E16" si="0">IF(AND(ISNUMBER(C5),ISNUMBER(D5)), C5-D5, "")</f>
        <v/>
      </c>
      <c r="F5" s="45" t="str">
        <f>IFERROR(E5/D5, "")</f>
        <v/>
      </c>
      <c r="G5" s="46"/>
      <c r="H5" s="46" t="str">
        <f t="shared" ref="H5:H17" si="1">IF(AND(ISNUMBER(C5),ISNUMBER(G5)), C5-G5, "")</f>
        <v/>
      </c>
      <c r="I5" s="45" t="str">
        <f t="shared" ref="I5:I17" si="2">IFERROR(H5/G5, "")</f>
        <v/>
      </c>
      <c r="J5" s="58"/>
      <c r="K5" s="58"/>
    </row>
    <row r="6" spans="1:13" ht="15.6">
      <c r="A6" s="51" t="str">
        <v>Bowden</v>
      </c>
      <c r="B6" s="48" t="str">
        <v>MA</v>
      </c>
      <c r="C6" s="36"/>
      <c r="D6" s="37"/>
      <c r="E6" s="37" t="str">
        <f t="shared" si="0"/>
        <v/>
      </c>
      <c r="F6" s="38" t="str">
        <f t="shared" ref="F6:F17" si="3">IFERROR(E6/D6, "")</f>
        <v/>
      </c>
      <c r="G6" s="39"/>
      <c r="H6" s="39" t="str">
        <f t="shared" si="1"/>
        <v/>
      </c>
      <c r="I6" s="40" t="str">
        <f t="shared" si="2"/>
        <v/>
      </c>
      <c r="J6" s="57"/>
      <c r="K6" s="57"/>
    </row>
    <row r="7" spans="1:13" ht="15.6">
      <c r="A7" s="49" t="str">
        <v>Blair Wire Village</v>
      </c>
      <c r="B7" s="50" t="str">
        <v>MA</v>
      </c>
      <c r="C7" s="43"/>
      <c r="D7" s="44"/>
      <c r="E7" s="44" t="str">
        <f t="shared" si="0"/>
        <v/>
      </c>
      <c r="F7" s="45" t="str">
        <f t="shared" si="3"/>
        <v/>
      </c>
      <c r="G7" s="46"/>
      <c r="H7" s="46" t="str">
        <f t="shared" si="1"/>
        <v/>
      </c>
      <c r="I7" s="45" t="str">
        <f t="shared" si="2"/>
        <v/>
      </c>
      <c r="J7" s="58"/>
      <c r="K7" s="69"/>
    </row>
    <row r="8" spans="1:13" ht="15.6">
      <c r="A8" s="51" t="str">
        <v>Boutilier</v>
      </c>
      <c r="B8" s="48" t="str">
        <v>MA</v>
      </c>
      <c r="C8" s="36"/>
      <c r="D8" s="37"/>
      <c r="E8" s="37" t="str">
        <f t="shared" si="0"/>
        <v/>
      </c>
      <c r="F8" s="38" t="str">
        <f t="shared" si="3"/>
        <v/>
      </c>
      <c r="G8" s="39"/>
      <c r="H8" s="39" t="str">
        <f t="shared" si="1"/>
        <v/>
      </c>
      <c r="I8" s="40" t="str">
        <f t="shared" si="2"/>
        <v/>
      </c>
      <c r="J8" s="57"/>
      <c r="K8" s="57"/>
    </row>
    <row r="9" spans="1:13" ht="15.6">
      <c r="A9" s="49" t="str">
        <v>Cherry Valley</v>
      </c>
      <c r="B9" s="50" t="str">
        <v>MA</v>
      </c>
      <c r="C9" s="43"/>
      <c r="D9" s="44"/>
      <c r="E9" s="44" t="str">
        <f t="shared" si="0"/>
        <v/>
      </c>
      <c r="F9" s="45" t="str">
        <f t="shared" si="3"/>
        <v/>
      </c>
      <c r="G9" s="46"/>
      <c r="H9" s="46" t="str">
        <f t="shared" si="1"/>
        <v/>
      </c>
      <c r="I9" s="45" t="str">
        <f t="shared" si="2"/>
        <v/>
      </c>
      <c r="J9" s="58"/>
      <c r="K9" s="58"/>
    </row>
    <row r="10" spans="1:13" ht="15.6">
      <c r="A10" s="51" t="str">
        <v>Cohasse</v>
      </c>
      <c r="B10" s="48" t="str">
        <v>MA</v>
      </c>
      <c r="C10" s="36"/>
      <c r="D10" s="37"/>
      <c r="E10" s="37" t="str">
        <f t="shared" si="0"/>
        <v/>
      </c>
      <c r="F10" s="38" t="str">
        <f t="shared" si="3"/>
        <v/>
      </c>
      <c r="G10" s="39"/>
      <c r="H10" s="39" t="str">
        <f t="shared" si="1"/>
        <v/>
      </c>
      <c r="I10" s="40" t="str">
        <f t="shared" si="2"/>
        <v/>
      </c>
      <c r="J10" s="57"/>
      <c r="K10" s="57"/>
    </row>
    <row r="11" spans="1:13" ht="104.25" customHeight="1">
      <c r="A11" s="49" t="str">
        <v>ISM Dighton Solar 2</v>
      </c>
      <c r="B11" s="50" t="str">
        <v>MA</v>
      </c>
      <c r="C11" s="43"/>
      <c r="D11" s="44"/>
      <c r="E11" s="44" t="str">
        <f t="shared" si="0"/>
        <v/>
      </c>
      <c r="F11" s="45" t="str">
        <f t="shared" si="3"/>
        <v/>
      </c>
      <c r="G11" s="46"/>
      <c r="H11" s="46" t="str">
        <f t="shared" si="1"/>
        <v/>
      </c>
      <c r="I11" s="45" t="str">
        <f t="shared" si="2"/>
        <v/>
      </c>
      <c r="J11" s="58"/>
      <c r="K11" s="69"/>
    </row>
    <row r="12" spans="1:13" ht="15.6">
      <c r="A12" s="51" t="str">
        <v>Dudley River 1</v>
      </c>
      <c r="B12" s="48" t="str">
        <v>MA</v>
      </c>
      <c r="C12" s="36"/>
      <c r="D12" s="37"/>
      <c r="E12" s="37" t="str">
        <f t="shared" si="0"/>
        <v/>
      </c>
      <c r="F12" s="38" t="str">
        <f t="shared" si="3"/>
        <v/>
      </c>
      <c r="G12" s="39"/>
      <c r="H12" s="39" t="str">
        <f t="shared" si="1"/>
        <v/>
      </c>
      <c r="I12" s="40" t="str">
        <f t="shared" si="2"/>
        <v/>
      </c>
      <c r="J12" s="57"/>
      <c r="K12" s="57"/>
      <c r="M12" t="s">
        <v>159</v>
      </c>
    </row>
    <row r="13" spans="1:13" ht="15.6">
      <c r="A13" s="49" t="str">
        <v>Dudley River 2</v>
      </c>
      <c r="B13" s="50" t="str">
        <v>MA</v>
      </c>
      <c r="C13" s="43"/>
      <c r="D13" s="44"/>
      <c r="E13" s="44" t="str">
        <f t="shared" si="0"/>
        <v/>
      </c>
      <c r="F13" s="45" t="str">
        <f t="shared" si="3"/>
        <v/>
      </c>
      <c r="G13" s="46"/>
      <c r="H13" s="46" t="str">
        <f t="shared" si="1"/>
        <v/>
      </c>
      <c r="I13" s="45" t="str">
        <f t="shared" si="2"/>
        <v/>
      </c>
      <c r="J13" s="58"/>
      <c r="K13" s="69"/>
    </row>
    <row r="14" spans="1:13" ht="15.6">
      <c r="A14" s="51" t="str">
        <v>Dudley River 3</v>
      </c>
      <c r="B14" s="48" t="str">
        <v>MA</v>
      </c>
      <c r="C14" s="36"/>
      <c r="D14" s="37"/>
      <c r="E14" s="37" t="str">
        <f t="shared" si="0"/>
        <v/>
      </c>
      <c r="F14" s="38" t="str">
        <f t="shared" si="3"/>
        <v/>
      </c>
      <c r="G14" s="39"/>
      <c r="H14" s="39" t="str">
        <f t="shared" si="1"/>
        <v/>
      </c>
      <c r="I14" s="40" t="str">
        <f t="shared" si="2"/>
        <v/>
      </c>
      <c r="J14" s="57"/>
      <c r="K14" s="57"/>
    </row>
    <row r="15" spans="1:13" ht="15.6">
      <c r="A15" s="49" t="str">
        <v>Flint Pond</v>
      </c>
      <c r="B15" s="50" t="str">
        <v>MA</v>
      </c>
      <c r="C15" s="43"/>
      <c r="D15" s="44"/>
      <c r="E15" s="44" t="str">
        <f t="shared" si="0"/>
        <v/>
      </c>
      <c r="F15" s="45" t="str">
        <f t="shared" si="3"/>
        <v/>
      </c>
      <c r="G15" s="46"/>
      <c r="H15" s="46" t="str">
        <f t="shared" si="1"/>
        <v/>
      </c>
      <c r="I15" s="45" t="str">
        <f t="shared" si="2"/>
        <v/>
      </c>
      <c r="J15" s="58"/>
      <c r="K15" s="58"/>
    </row>
    <row r="16" spans="1:13" ht="15.6">
      <c r="A16" s="51" t="str">
        <v>Incom</v>
      </c>
      <c r="B16" s="48" t="str">
        <v>MA</v>
      </c>
      <c r="C16" s="36"/>
      <c r="D16" s="37"/>
      <c r="E16" s="37" t="str">
        <f t="shared" si="0"/>
        <v/>
      </c>
      <c r="F16" s="38" t="str">
        <f t="shared" si="3"/>
        <v/>
      </c>
      <c r="G16" s="39"/>
      <c r="H16" s="39" t="str">
        <f t="shared" si="1"/>
        <v/>
      </c>
      <c r="I16" s="40" t="str">
        <f t="shared" si="2"/>
        <v/>
      </c>
      <c r="J16" s="57"/>
      <c r="K16" s="57"/>
    </row>
    <row r="17" spans="1:11" ht="15.6">
      <c r="A17" s="49" t="str">
        <v>JH</v>
      </c>
      <c r="B17" s="50" t="str">
        <v>MA</v>
      </c>
      <c r="C17" s="43"/>
      <c r="D17" s="44"/>
      <c r="E17" s="44"/>
      <c r="F17" s="70" t="str">
        <f t="shared" si="3"/>
        <v/>
      </c>
      <c r="G17" s="46"/>
      <c r="H17" s="46" t="str">
        <f t="shared" si="1"/>
        <v/>
      </c>
      <c r="I17" s="45" t="str">
        <f t="shared" si="2"/>
        <v/>
      </c>
      <c r="J17" s="58"/>
      <c r="K17" s="58"/>
    </row>
    <row r="18" spans="1:11" ht="12.75" customHeight="1">
      <c r="A18" s="47" t="str">
        <v>Ledeaux</v>
      </c>
      <c r="B18" s="48" t="str">
        <v>MA</v>
      </c>
      <c r="C18" s="36"/>
      <c r="D18" s="37"/>
      <c r="E18" s="37" t="str">
        <f t="shared" ref="E18:E24" si="4">IF(AND(ISNUMBER(C18),ISNUMBER(D18)), C18-D18, "")</f>
        <v/>
      </c>
      <c r="F18" s="38" t="str">
        <f t="shared" ref="F18:F24" si="5">IFERROR(E18/D18, "")</f>
        <v/>
      </c>
      <c r="G18" s="39"/>
      <c r="H18" s="39" t="str">
        <f t="shared" ref="H18:H24" si="6">IF(AND(ISNUMBER(C18),ISNUMBER(G18)), C18-G18, "")</f>
        <v/>
      </c>
      <c r="I18" s="40" t="str">
        <f t="shared" ref="I18:I24" si="7">IFERROR(H18/G18, "")</f>
        <v/>
      </c>
      <c r="J18" s="57"/>
      <c r="K18" s="57"/>
    </row>
    <row r="19" spans="1:11" ht="15.6">
      <c r="A19" s="49" t="str">
        <v>Palombo A</v>
      </c>
      <c r="B19" s="50" t="str">
        <v>MA</v>
      </c>
      <c r="C19" s="43"/>
      <c r="D19" s="44"/>
      <c r="E19" s="44" t="str">
        <f t="shared" si="4"/>
        <v/>
      </c>
      <c r="F19" s="70" t="str">
        <f t="shared" si="5"/>
        <v/>
      </c>
      <c r="G19" s="46"/>
      <c r="H19" s="46" t="str">
        <f t="shared" si="6"/>
        <v/>
      </c>
      <c r="I19" s="45" t="str">
        <f t="shared" si="7"/>
        <v/>
      </c>
      <c r="J19" s="58"/>
      <c r="K19" s="58"/>
    </row>
    <row r="20" spans="1:11" ht="15.6">
      <c r="A20" s="51" t="str">
        <v>Palombo B</v>
      </c>
      <c r="B20" s="48" t="str">
        <v>MA</v>
      </c>
      <c r="C20" s="36"/>
      <c r="D20" s="37"/>
      <c r="E20" s="37" t="str">
        <f t="shared" si="4"/>
        <v/>
      </c>
      <c r="F20" s="38" t="str">
        <f t="shared" si="5"/>
        <v/>
      </c>
      <c r="G20" s="39"/>
      <c r="H20" s="39" t="str">
        <f t="shared" si="6"/>
        <v/>
      </c>
      <c r="I20" s="40" t="str">
        <f t="shared" si="7"/>
        <v/>
      </c>
      <c r="J20" s="57"/>
      <c r="K20" s="57"/>
    </row>
    <row r="21" spans="1:11" ht="34.5" customHeight="1">
      <c r="A21" s="49" t="str">
        <v>St Josephs Church</v>
      </c>
      <c r="B21" s="50" t="str">
        <v>MA</v>
      </c>
      <c r="C21" s="43"/>
      <c r="D21" s="44"/>
      <c r="E21" s="44" t="str">
        <f t="shared" si="4"/>
        <v/>
      </c>
      <c r="F21" s="70" t="str">
        <f t="shared" si="5"/>
        <v/>
      </c>
      <c r="G21" s="46"/>
      <c r="H21" s="46" t="str">
        <f t="shared" si="6"/>
        <v/>
      </c>
      <c r="I21" s="45" t="str">
        <f t="shared" si="7"/>
        <v/>
      </c>
      <c r="J21" s="58"/>
      <c r="K21" s="69"/>
    </row>
    <row r="22" spans="1:11" ht="15.6">
      <c r="A22" s="51" t="str">
        <v>Sunset A</v>
      </c>
      <c r="B22" s="48" t="str">
        <v>MA</v>
      </c>
      <c r="C22" s="36"/>
      <c r="D22" s="37"/>
      <c r="E22" s="37" t="str">
        <f t="shared" si="4"/>
        <v/>
      </c>
      <c r="F22" s="38" t="str">
        <f t="shared" si="5"/>
        <v/>
      </c>
      <c r="G22" s="39"/>
      <c r="H22" s="39" t="str">
        <f t="shared" si="6"/>
        <v/>
      </c>
      <c r="I22" s="40" t="str">
        <f t="shared" si="7"/>
        <v/>
      </c>
      <c r="J22" s="57"/>
      <c r="K22" s="57"/>
    </row>
    <row r="23" spans="1:11" ht="15.6">
      <c r="A23" s="49" t="str">
        <v>Sunset B</v>
      </c>
      <c r="B23" s="50" t="str">
        <v>MA</v>
      </c>
      <c r="C23" s="43"/>
      <c r="D23" s="44"/>
      <c r="E23" s="44" t="str">
        <f t="shared" si="4"/>
        <v/>
      </c>
      <c r="F23" s="70" t="str">
        <f t="shared" si="5"/>
        <v/>
      </c>
      <c r="G23" s="46"/>
      <c r="H23" s="46" t="str">
        <f t="shared" si="6"/>
        <v/>
      </c>
      <c r="I23" s="45" t="str">
        <f t="shared" si="7"/>
        <v/>
      </c>
      <c r="J23" s="58"/>
      <c r="K23" s="58"/>
    </row>
    <row r="24" spans="1:11" ht="15.6">
      <c r="A24" s="51" t="str">
        <v>Woodchuck</v>
      </c>
      <c r="B24" s="48" t="str">
        <v>MA</v>
      </c>
      <c r="C24" s="36"/>
      <c r="D24" s="37"/>
      <c r="E24" s="37" t="str">
        <f t="shared" si="4"/>
        <v/>
      </c>
      <c r="F24" s="38" t="str">
        <f t="shared" si="5"/>
        <v/>
      </c>
      <c r="G24" s="39"/>
      <c r="H24" s="39" t="str">
        <f t="shared" si="6"/>
        <v/>
      </c>
      <c r="I24" s="40" t="str">
        <f t="shared" si="7"/>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41"/>
  <sheetViews>
    <sheetView zoomScaleNormal="100" workbookViewId="0">
      <pane xSplit="2" ySplit="3" topLeftCell="C9"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38 DN</v>
      </c>
      <c r="B1" s="96"/>
      <c r="C1" s="96"/>
      <c r="D1" s="97" t="s">
        <v>160</v>
      </c>
      <c r="E1" s="97"/>
      <c r="F1" s="97"/>
      <c r="G1" s="95" t="s">
        <v>161</v>
      </c>
      <c r="H1" s="95"/>
      <c r="I1" s="95"/>
      <c r="J1" s="4"/>
      <c r="K1" s="4"/>
    </row>
    <row r="2" spans="1:11" ht="19.5" customHeight="1">
      <c r="A2" s="98" t="s">
        <v>2</v>
      </c>
      <c r="B2" s="98"/>
      <c r="C2" s="5">
        <f>SUM(C4:C99)</f>
        <v>0</v>
      </c>
      <c r="D2" s="5">
        <f>SUM(D4:D99)</f>
        <v>0</v>
      </c>
      <c r="E2" s="5">
        <f>C2-D2</f>
        <v>0</v>
      </c>
      <c r="F2" s="6">
        <f>IFERROR(E2/D2, 0)</f>
        <v>0</v>
      </c>
      <c r="G2" s="5">
        <f>SUM(G4:G99)</f>
        <v>0</v>
      </c>
      <c r="H2" s="7">
        <f>C2-G2</f>
        <v>0</v>
      </c>
      <c r="I2" s="6">
        <f>IFERROR(H2/G2, 0)</f>
        <v>0</v>
      </c>
      <c r="J2" s="1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15.6">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6">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1" ht="15.6">
      <c r="A6" s="51" t="str">
        <v>Bowden</v>
      </c>
      <c r="B6" s="48" t="str">
        <v>MA</v>
      </c>
      <c r="C6" s="36"/>
      <c r="D6" s="37"/>
      <c r="E6" s="37" t="str">
        <f t="shared" si="0"/>
        <v/>
      </c>
      <c r="F6" s="38" t="str">
        <f t="shared" ref="F6:F24" si="3">IFERROR(E6/D6, "")</f>
        <v/>
      </c>
      <c r="G6" s="39"/>
      <c r="H6" s="39" t="str">
        <f t="shared" si="1"/>
        <v/>
      </c>
      <c r="I6" s="40" t="str">
        <f t="shared" si="2"/>
        <v/>
      </c>
      <c r="J6" s="57"/>
      <c r="K6" s="57"/>
    </row>
    <row r="7" spans="1:11" ht="15.6">
      <c r="A7" s="49" t="str">
        <v>Blair Wire Village</v>
      </c>
      <c r="B7" s="50" t="str">
        <v>MA</v>
      </c>
      <c r="C7" s="43"/>
      <c r="D7" s="44"/>
      <c r="E7" s="44" t="str">
        <f t="shared" si="0"/>
        <v/>
      </c>
      <c r="F7" s="45" t="str">
        <f t="shared" si="3"/>
        <v/>
      </c>
      <c r="G7" s="46"/>
      <c r="H7" s="46" t="str">
        <f t="shared" si="1"/>
        <v/>
      </c>
      <c r="I7" s="45" t="str">
        <f t="shared" si="2"/>
        <v/>
      </c>
      <c r="J7" s="58"/>
      <c r="K7" s="59"/>
    </row>
    <row r="8" spans="1:11" ht="15.6">
      <c r="A8" s="51" t="str">
        <v>Boutilier</v>
      </c>
      <c r="B8" s="48" t="str">
        <v>MA</v>
      </c>
      <c r="C8" s="36"/>
      <c r="D8" s="37"/>
      <c r="E8" s="37" t="str">
        <f t="shared" si="0"/>
        <v/>
      </c>
      <c r="F8" s="38" t="str">
        <f t="shared" si="3"/>
        <v/>
      </c>
      <c r="G8" s="39"/>
      <c r="H8" s="39" t="str">
        <f t="shared" si="1"/>
        <v/>
      </c>
      <c r="I8" s="40" t="str">
        <f t="shared" si="2"/>
        <v/>
      </c>
      <c r="J8" s="57"/>
      <c r="K8" s="57"/>
    </row>
    <row r="9" spans="1:11" ht="15.6">
      <c r="A9" s="49" t="str">
        <v>Cherry Valley</v>
      </c>
      <c r="B9" s="50" t="str">
        <v>MA</v>
      </c>
      <c r="C9" s="43"/>
      <c r="D9" s="44"/>
      <c r="E9" s="44" t="str">
        <f t="shared" si="0"/>
        <v/>
      </c>
      <c r="F9" s="45" t="str">
        <f t="shared" si="3"/>
        <v/>
      </c>
      <c r="G9" s="46"/>
      <c r="H9" s="46" t="str">
        <f t="shared" si="1"/>
        <v/>
      </c>
      <c r="I9" s="45" t="str">
        <f t="shared" si="2"/>
        <v/>
      </c>
      <c r="J9" s="58"/>
      <c r="K9" s="59"/>
    </row>
    <row r="10" spans="1:11" ht="15.6">
      <c r="A10" s="51" t="str">
        <v>Cohasse</v>
      </c>
      <c r="B10" s="48" t="str">
        <v>MA</v>
      </c>
      <c r="C10" s="36"/>
      <c r="D10" s="37"/>
      <c r="E10" s="37" t="str">
        <f t="shared" si="0"/>
        <v/>
      </c>
      <c r="F10" s="38" t="str">
        <f t="shared" si="3"/>
        <v/>
      </c>
      <c r="G10" s="39"/>
      <c r="H10" s="39" t="str">
        <f t="shared" si="1"/>
        <v/>
      </c>
      <c r="I10" s="40" t="str">
        <f t="shared" si="2"/>
        <v/>
      </c>
      <c r="J10" s="57"/>
      <c r="K10" s="57"/>
    </row>
    <row r="11" spans="1:11" ht="15.6">
      <c r="A11" s="49" t="str">
        <v>ISM Dighton Solar 2</v>
      </c>
      <c r="B11" s="50" t="str">
        <v>MA</v>
      </c>
      <c r="C11" s="43"/>
      <c r="D11" s="44"/>
      <c r="E11" s="44" t="str">
        <f t="shared" si="0"/>
        <v/>
      </c>
      <c r="F11" s="45" t="str">
        <f t="shared" si="3"/>
        <v/>
      </c>
      <c r="G11" s="46"/>
      <c r="H11" s="46" t="str">
        <f t="shared" si="1"/>
        <v/>
      </c>
      <c r="I11" s="45" t="str">
        <f t="shared" si="2"/>
        <v/>
      </c>
      <c r="J11" s="58"/>
      <c r="K11" s="59"/>
    </row>
    <row r="12" spans="1:11" ht="15.6">
      <c r="A12" s="51" t="str">
        <v>Dudley River 1</v>
      </c>
      <c r="B12" s="48" t="str">
        <v>MA</v>
      </c>
      <c r="C12" s="36"/>
      <c r="D12" s="37"/>
      <c r="E12" s="37" t="str">
        <f t="shared" si="0"/>
        <v/>
      </c>
      <c r="F12" s="38" t="str">
        <f t="shared" si="3"/>
        <v/>
      </c>
      <c r="G12" s="39"/>
      <c r="H12" s="39" t="str">
        <f t="shared" si="1"/>
        <v/>
      </c>
      <c r="I12" s="40" t="str">
        <f t="shared" si="2"/>
        <v/>
      </c>
      <c r="J12" s="57"/>
      <c r="K12" s="57"/>
    </row>
    <row r="13" spans="1:11" ht="15.6">
      <c r="A13" s="49" t="str">
        <v>Dudley River 2</v>
      </c>
      <c r="B13" s="50" t="str">
        <v>MA</v>
      </c>
      <c r="C13" s="43"/>
      <c r="D13" s="44"/>
      <c r="E13" s="44" t="str">
        <f t="shared" si="0"/>
        <v/>
      </c>
      <c r="F13" s="45" t="str">
        <f t="shared" si="3"/>
        <v/>
      </c>
      <c r="G13" s="46"/>
      <c r="H13" s="46" t="str">
        <f t="shared" si="1"/>
        <v/>
      </c>
      <c r="I13" s="45" t="str">
        <f t="shared" si="2"/>
        <v/>
      </c>
      <c r="J13" s="58"/>
      <c r="K13" s="59"/>
    </row>
    <row r="14" spans="1:11" ht="15.6">
      <c r="A14" s="51" t="str">
        <v>Dudley River 3</v>
      </c>
      <c r="B14" s="48" t="str">
        <v>MA</v>
      </c>
      <c r="C14" s="36"/>
      <c r="D14" s="37"/>
      <c r="E14" s="37" t="str">
        <f t="shared" si="0"/>
        <v/>
      </c>
      <c r="F14" s="38" t="str">
        <f t="shared" si="3"/>
        <v/>
      </c>
      <c r="G14" s="39"/>
      <c r="H14" s="39" t="str">
        <f t="shared" si="1"/>
        <v/>
      </c>
      <c r="I14" s="40" t="str">
        <f t="shared" si="2"/>
        <v/>
      </c>
      <c r="J14" s="57"/>
      <c r="K14" s="57"/>
    </row>
    <row r="15" spans="1:11" ht="15.6">
      <c r="A15" s="49" t="str">
        <v>Flint Pond</v>
      </c>
      <c r="B15" s="50" t="str">
        <v>MA</v>
      </c>
      <c r="C15" s="43"/>
      <c r="D15" s="44"/>
      <c r="E15" s="44" t="str">
        <f t="shared" si="0"/>
        <v/>
      </c>
      <c r="F15" s="45" t="str">
        <f t="shared" si="3"/>
        <v/>
      </c>
      <c r="G15" s="46"/>
      <c r="H15" s="46" t="str">
        <f t="shared" si="1"/>
        <v/>
      </c>
      <c r="I15" s="45" t="str">
        <f t="shared" si="2"/>
        <v/>
      </c>
      <c r="J15" s="58"/>
      <c r="K15" s="59"/>
    </row>
    <row r="16" spans="1:11" ht="15.6">
      <c r="A16" s="51" t="str">
        <v>Incom</v>
      </c>
      <c r="B16" s="48" t="str">
        <v>MA</v>
      </c>
      <c r="C16" s="36"/>
      <c r="D16" s="37"/>
      <c r="E16" s="37" t="str">
        <f t="shared" si="0"/>
        <v/>
      </c>
      <c r="F16" s="38" t="str">
        <f t="shared" si="3"/>
        <v/>
      </c>
      <c r="G16" s="39"/>
      <c r="H16" s="39" t="str">
        <f t="shared" si="1"/>
        <v/>
      </c>
      <c r="I16" s="40" t="str">
        <f t="shared" si="2"/>
        <v/>
      </c>
      <c r="J16" s="57"/>
      <c r="K16" s="57"/>
    </row>
    <row r="17" spans="1:11" ht="15.6">
      <c r="A17" s="49" t="str">
        <v>JH</v>
      </c>
      <c r="B17" s="50" t="str">
        <v>MA</v>
      </c>
      <c r="C17" s="43"/>
      <c r="D17" s="44"/>
      <c r="E17" s="44"/>
      <c r="F17" s="45" t="str">
        <f t="shared" si="3"/>
        <v/>
      </c>
      <c r="G17" s="46"/>
      <c r="H17" s="46" t="str">
        <f t="shared" si="1"/>
        <v/>
      </c>
      <c r="I17" s="45" t="str">
        <f t="shared" si="2"/>
        <v/>
      </c>
      <c r="J17" s="58"/>
      <c r="K17" s="59"/>
    </row>
    <row r="18" spans="1:11" ht="12.75" customHeight="1">
      <c r="A18" s="51" t="str">
        <v>Ledeaux</v>
      </c>
      <c r="B18" s="48" t="str">
        <v>MA</v>
      </c>
      <c r="C18" s="36"/>
      <c r="D18" s="37"/>
      <c r="E18" s="37" t="str">
        <f t="shared" si="0"/>
        <v/>
      </c>
      <c r="F18" s="38" t="str">
        <f t="shared" si="3"/>
        <v/>
      </c>
      <c r="G18" s="39"/>
      <c r="H18" s="39" t="str">
        <f t="shared" si="1"/>
        <v/>
      </c>
      <c r="I18" s="40" t="str">
        <f t="shared" si="2"/>
        <v/>
      </c>
      <c r="J18" s="57"/>
      <c r="K18" s="57"/>
    </row>
    <row r="19" spans="1:11" ht="15.6">
      <c r="A19" s="49" t="str">
        <v>Palombo A</v>
      </c>
      <c r="B19" s="50" t="str">
        <v>MA</v>
      </c>
      <c r="C19" s="43"/>
      <c r="D19" s="44"/>
      <c r="E19" s="44" t="str">
        <f t="shared" si="0"/>
        <v/>
      </c>
      <c r="F19" s="45" t="str">
        <f t="shared" si="3"/>
        <v/>
      </c>
      <c r="G19" s="46"/>
      <c r="H19" s="46" t="str">
        <f t="shared" si="1"/>
        <v/>
      </c>
      <c r="I19" s="45" t="str">
        <f t="shared" si="2"/>
        <v/>
      </c>
      <c r="J19" s="58"/>
      <c r="K19" s="69"/>
    </row>
    <row r="20" spans="1:11" ht="15.6">
      <c r="A20" s="51" t="str">
        <v>Palombo B</v>
      </c>
      <c r="B20" s="48" t="str">
        <v>MA</v>
      </c>
      <c r="C20" s="36"/>
      <c r="D20" s="37"/>
      <c r="E20" s="37" t="str">
        <f t="shared" si="0"/>
        <v/>
      </c>
      <c r="F20" s="38" t="str">
        <f t="shared" si="3"/>
        <v/>
      </c>
      <c r="G20" s="39"/>
      <c r="H20" s="39" t="str">
        <f t="shared" si="1"/>
        <v/>
      </c>
      <c r="I20" s="40" t="str">
        <f t="shared" si="2"/>
        <v/>
      </c>
      <c r="J20" s="57"/>
      <c r="K20" s="57"/>
    </row>
    <row r="21" spans="1:11" ht="15.6">
      <c r="A21" s="49" t="str">
        <v>St Josephs Church</v>
      </c>
      <c r="B21" s="50" t="str">
        <v>MA</v>
      </c>
      <c r="C21" s="43"/>
      <c r="D21" s="44"/>
      <c r="E21" s="44" t="str">
        <f t="shared" si="0"/>
        <v/>
      </c>
      <c r="F21" s="45" t="str">
        <f t="shared" si="3"/>
        <v/>
      </c>
      <c r="G21" s="46"/>
      <c r="H21" s="46" t="str">
        <f t="shared" si="1"/>
        <v/>
      </c>
      <c r="I21" s="45" t="str">
        <f t="shared" si="2"/>
        <v/>
      </c>
      <c r="J21" s="67"/>
      <c r="K21" s="68"/>
    </row>
    <row r="22" spans="1:11" ht="15.6">
      <c r="A22" s="51" t="str">
        <v>Sunset A</v>
      </c>
      <c r="B22" s="48" t="str">
        <v>MA</v>
      </c>
      <c r="C22" s="36"/>
      <c r="D22" s="37"/>
      <c r="E22" s="37" t="str">
        <f t="shared" si="0"/>
        <v/>
      </c>
      <c r="F22" s="38" t="str">
        <f t="shared" si="3"/>
        <v/>
      </c>
      <c r="G22" s="39"/>
      <c r="H22" s="39" t="str">
        <f t="shared" si="1"/>
        <v/>
      </c>
      <c r="I22" s="40" t="str">
        <f t="shared" si="2"/>
        <v/>
      </c>
      <c r="J22" s="57"/>
      <c r="K22" s="57"/>
    </row>
    <row r="23" spans="1:11" ht="15.6">
      <c r="A23" s="49" t="str">
        <v>Sunset B</v>
      </c>
      <c r="B23" s="50" t="str">
        <v>MA</v>
      </c>
      <c r="C23" s="43"/>
      <c r="D23" s="44"/>
      <c r="E23" s="44" t="str">
        <f t="shared" si="0"/>
        <v/>
      </c>
      <c r="F23" s="45" t="str">
        <f t="shared" si="3"/>
        <v/>
      </c>
      <c r="G23" s="46"/>
      <c r="H23" s="46" t="str">
        <f t="shared" si="1"/>
        <v/>
      </c>
      <c r="I23" s="45" t="str">
        <f t="shared" si="2"/>
        <v/>
      </c>
      <c r="J23" s="58"/>
      <c r="K23" s="59"/>
    </row>
    <row r="24" spans="1:11" ht="15.6">
      <c r="A24" s="51" t="str">
        <v>Woodchuck</v>
      </c>
      <c r="B24" s="48" t="str">
        <v>MA</v>
      </c>
      <c r="C24" s="36"/>
      <c r="D24" s="37"/>
      <c r="E24" s="37" t="str">
        <f t="shared" si="0"/>
        <v/>
      </c>
      <c r="F24" s="38" t="str">
        <f t="shared" si="3"/>
        <v/>
      </c>
      <c r="G24" s="39"/>
      <c r="H24" s="39" t="str">
        <f t="shared" si="1"/>
        <v/>
      </c>
      <c r="I24" s="40" t="str">
        <f t="shared" si="2"/>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sortState xmlns:xlrd2="http://schemas.microsoft.com/office/spreadsheetml/2017/richdata2" ref="A3:K15">
    <sortCondition ref="A3:A15"/>
  </sortState>
  <mergeCells count="4">
    <mergeCell ref="G1:I1"/>
    <mergeCell ref="A1:C1"/>
    <mergeCell ref="D1:F1"/>
    <mergeCell ref="A2:B2"/>
  </mergeCells>
  <conditionalFormatting sqref="F2 I2 F4:F99 I4:I99">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41"/>
  <sheetViews>
    <sheetView zoomScaleNormal="100" workbookViewId="0">
      <pane xSplit="2" ySplit="3" topLeftCell="C4"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38 DN</v>
      </c>
      <c r="B1" s="96"/>
      <c r="C1" s="96"/>
      <c r="D1" s="97" t="s">
        <v>162</v>
      </c>
      <c r="E1" s="97"/>
      <c r="F1" s="97"/>
      <c r="G1" s="95" t="s">
        <v>163</v>
      </c>
      <c r="H1" s="95"/>
      <c r="I1" s="95"/>
      <c r="J1" s="4"/>
      <c r="K1" s="4"/>
    </row>
    <row r="2" spans="1:11" ht="19.5" customHeight="1">
      <c r="A2" s="98" t="s">
        <v>2</v>
      </c>
      <c r="B2" s="98"/>
      <c r="C2" s="5">
        <f>SUM(C4:C99)</f>
        <v>0</v>
      </c>
      <c r="D2" s="5">
        <f>SUM(D4:D99)</f>
        <v>0</v>
      </c>
      <c r="E2" s="5">
        <f>C2-D2</f>
        <v>0</v>
      </c>
      <c r="F2" s="6">
        <f>IFERROR(E2/D2, 0)</f>
        <v>0</v>
      </c>
      <c r="G2" s="5">
        <f>SUM(G4:G99)</f>
        <v>0</v>
      </c>
      <c r="H2" s="7">
        <f>C2-G2</f>
        <v>0</v>
      </c>
      <c r="I2" s="6">
        <f>IFERROR(H2/G2, 0)</f>
        <v>0</v>
      </c>
      <c r="J2" s="1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15.6">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6">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1" ht="15.6">
      <c r="A6" s="51" t="str">
        <v>Bowden</v>
      </c>
      <c r="B6" s="48" t="str">
        <v>MA</v>
      </c>
      <c r="C6" s="36"/>
      <c r="D6" s="37"/>
      <c r="E6" s="37" t="str">
        <f t="shared" si="0"/>
        <v/>
      </c>
      <c r="F6" s="38" t="str">
        <f t="shared" ref="F6:F24" si="3">IFERROR(E6/D6, "")</f>
        <v/>
      </c>
      <c r="G6" s="39"/>
      <c r="H6" s="39" t="str">
        <f t="shared" si="1"/>
        <v/>
      </c>
      <c r="I6" s="40" t="str">
        <f t="shared" si="2"/>
        <v/>
      </c>
      <c r="J6" s="57"/>
      <c r="K6" s="57"/>
    </row>
    <row r="7" spans="1:11" ht="15.6">
      <c r="A7" s="49" t="str">
        <v>Blair Wire Village</v>
      </c>
      <c r="B7" s="50" t="str">
        <v>MA</v>
      </c>
      <c r="C7" s="43"/>
      <c r="D7" s="44"/>
      <c r="E7" s="44" t="str">
        <f t="shared" si="0"/>
        <v/>
      </c>
      <c r="F7" s="45" t="str">
        <f t="shared" si="3"/>
        <v/>
      </c>
      <c r="G7" s="46"/>
      <c r="H7" s="46" t="str">
        <f t="shared" si="1"/>
        <v/>
      </c>
      <c r="I7" s="45" t="str">
        <f t="shared" si="2"/>
        <v/>
      </c>
      <c r="J7" s="58"/>
      <c r="K7" s="59"/>
    </row>
    <row r="8" spans="1:11" ht="15.6">
      <c r="A8" s="51" t="str">
        <v>Boutilier</v>
      </c>
      <c r="B8" s="48" t="str">
        <v>MA</v>
      </c>
      <c r="C8" s="36"/>
      <c r="D8" s="37"/>
      <c r="E8" s="37" t="str">
        <f t="shared" si="0"/>
        <v/>
      </c>
      <c r="F8" s="38" t="str">
        <f t="shared" si="3"/>
        <v/>
      </c>
      <c r="G8" s="39"/>
      <c r="H8" s="39" t="str">
        <f t="shared" si="1"/>
        <v/>
      </c>
      <c r="I8" s="40" t="str">
        <f t="shared" si="2"/>
        <v/>
      </c>
      <c r="J8" s="57"/>
      <c r="K8" s="57"/>
    </row>
    <row r="9" spans="1:11" ht="15.6">
      <c r="A9" s="49" t="str">
        <v>Cherry Valley</v>
      </c>
      <c r="B9" s="50" t="str">
        <v>MA</v>
      </c>
      <c r="C9" s="43"/>
      <c r="D9" s="44"/>
      <c r="E9" s="44" t="str">
        <f t="shared" si="0"/>
        <v/>
      </c>
      <c r="F9" s="45" t="str">
        <f t="shared" si="3"/>
        <v/>
      </c>
      <c r="G9" s="46"/>
      <c r="H9" s="46" t="str">
        <f t="shared" si="1"/>
        <v/>
      </c>
      <c r="I9" s="45" t="str">
        <f t="shared" si="2"/>
        <v/>
      </c>
      <c r="J9" s="58"/>
      <c r="K9" s="59"/>
    </row>
    <row r="10" spans="1:11" ht="15.6">
      <c r="A10" s="51" t="str">
        <v>Cohasse</v>
      </c>
      <c r="B10" s="48" t="str">
        <v>MA</v>
      </c>
      <c r="C10" s="36"/>
      <c r="D10" s="37"/>
      <c r="E10" s="37" t="str">
        <f t="shared" si="0"/>
        <v/>
      </c>
      <c r="F10" s="38" t="str">
        <f t="shared" si="3"/>
        <v/>
      </c>
      <c r="G10" s="39"/>
      <c r="H10" s="39" t="str">
        <f t="shared" si="1"/>
        <v/>
      </c>
      <c r="I10" s="40" t="str">
        <f t="shared" si="2"/>
        <v/>
      </c>
      <c r="J10" s="57"/>
      <c r="K10" s="57"/>
    </row>
    <row r="11" spans="1:11" ht="15.6">
      <c r="A11" s="49" t="str">
        <v>ISM Dighton Solar 2</v>
      </c>
      <c r="B11" s="50" t="str">
        <v>MA</v>
      </c>
      <c r="C11" s="43"/>
      <c r="D11" s="44"/>
      <c r="E11" s="44" t="str">
        <f t="shared" si="0"/>
        <v/>
      </c>
      <c r="F11" s="45" t="str">
        <f t="shared" si="3"/>
        <v/>
      </c>
      <c r="G11" s="46"/>
      <c r="H11" s="46" t="str">
        <f t="shared" si="1"/>
        <v/>
      </c>
      <c r="I11" s="45" t="str">
        <f t="shared" si="2"/>
        <v/>
      </c>
      <c r="J11" s="58"/>
      <c r="K11" s="59"/>
    </row>
    <row r="12" spans="1:11" ht="15.6">
      <c r="A12" s="51" t="str">
        <v>Dudley River 1</v>
      </c>
      <c r="B12" s="48" t="str">
        <v>MA</v>
      </c>
      <c r="C12" s="36"/>
      <c r="D12" s="37"/>
      <c r="E12" s="37" t="str">
        <f t="shared" si="0"/>
        <v/>
      </c>
      <c r="F12" s="38" t="str">
        <f t="shared" si="3"/>
        <v/>
      </c>
      <c r="G12" s="39"/>
      <c r="H12" s="39" t="str">
        <f t="shared" si="1"/>
        <v/>
      </c>
      <c r="I12" s="40" t="str">
        <f t="shared" si="2"/>
        <v/>
      </c>
      <c r="J12" s="57"/>
      <c r="K12" s="57"/>
    </row>
    <row r="13" spans="1:11" ht="15.6">
      <c r="A13" s="49" t="str">
        <v>Dudley River 2</v>
      </c>
      <c r="B13" s="50" t="str">
        <v>MA</v>
      </c>
      <c r="C13" s="43"/>
      <c r="D13" s="44"/>
      <c r="E13" s="44" t="str">
        <f t="shared" si="0"/>
        <v/>
      </c>
      <c r="F13" s="45" t="str">
        <f t="shared" si="3"/>
        <v/>
      </c>
      <c r="G13" s="46"/>
      <c r="H13" s="46" t="str">
        <f t="shared" si="1"/>
        <v/>
      </c>
      <c r="I13" s="45" t="str">
        <f t="shared" si="2"/>
        <v/>
      </c>
      <c r="J13" s="58"/>
      <c r="K13" s="59"/>
    </row>
    <row r="14" spans="1:11" ht="15.6">
      <c r="A14" s="51" t="str">
        <v>Dudley River 3</v>
      </c>
      <c r="B14" s="48" t="str">
        <v>MA</v>
      </c>
      <c r="C14" s="36"/>
      <c r="D14" s="37"/>
      <c r="E14" s="37" t="str">
        <f t="shared" si="0"/>
        <v/>
      </c>
      <c r="F14" s="38" t="str">
        <f t="shared" si="3"/>
        <v/>
      </c>
      <c r="G14" s="39"/>
      <c r="H14" s="39" t="str">
        <f t="shared" si="1"/>
        <v/>
      </c>
      <c r="I14" s="40" t="str">
        <f t="shared" si="2"/>
        <v/>
      </c>
      <c r="J14" s="57"/>
      <c r="K14" s="57"/>
    </row>
    <row r="15" spans="1:11" ht="15.6">
      <c r="A15" s="49" t="str">
        <v>Flint Pond</v>
      </c>
      <c r="B15" s="50" t="str">
        <v>MA</v>
      </c>
      <c r="C15" s="43"/>
      <c r="D15" s="44"/>
      <c r="E15" s="44" t="str">
        <f t="shared" si="0"/>
        <v/>
      </c>
      <c r="F15" s="45" t="str">
        <f t="shared" si="3"/>
        <v/>
      </c>
      <c r="G15" s="46"/>
      <c r="H15" s="46" t="str">
        <f t="shared" si="1"/>
        <v/>
      </c>
      <c r="I15" s="45" t="str">
        <f t="shared" si="2"/>
        <v/>
      </c>
      <c r="J15" s="58"/>
      <c r="K15" s="59"/>
    </row>
    <row r="16" spans="1:11" ht="15.6">
      <c r="A16" s="51" t="str">
        <v>Incom</v>
      </c>
      <c r="B16" s="48" t="str">
        <v>MA</v>
      </c>
      <c r="C16" s="36"/>
      <c r="D16" s="37"/>
      <c r="E16" s="37" t="str">
        <f t="shared" si="0"/>
        <v/>
      </c>
      <c r="F16" s="38" t="str">
        <f t="shared" si="3"/>
        <v/>
      </c>
      <c r="G16" s="39"/>
      <c r="H16" s="39" t="str">
        <f t="shared" si="1"/>
        <v/>
      </c>
      <c r="I16" s="40" t="str">
        <f t="shared" si="2"/>
        <v/>
      </c>
      <c r="J16" s="57"/>
      <c r="K16" s="57"/>
    </row>
    <row r="17" spans="1:11" ht="15.6">
      <c r="A17" s="49" t="str">
        <v>JH</v>
      </c>
      <c r="B17" s="50" t="str">
        <v>MA</v>
      </c>
      <c r="C17" s="43"/>
      <c r="D17" s="44"/>
      <c r="E17" s="44"/>
      <c r="F17" s="45" t="str">
        <f t="shared" si="3"/>
        <v/>
      </c>
      <c r="G17" s="46"/>
      <c r="H17" s="46" t="str">
        <f t="shared" si="1"/>
        <v/>
      </c>
      <c r="I17" s="45" t="str">
        <f t="shared" si="2"/>
        <v/>
      </c>
      <c r="J17" s="58"/>
      <c r="K17" s="59"/>
    </row>
    <row r="18" spans="1:11" ht="12.75" customHeight="1">
      <c r="A18" s="51" t="str">
        <v>Ledeaux</v>
      </c>
      <c r="B18" s="48" t="str">
        <v>MA</v>
      </c>
      <c r="C18" s="36"/>
      <c r="D18" s="37"/>
      <c r="E18" s="37" t="str">
        <f t="shared" si="0"/>
        <v/>
      </c>
      <c r="F18" s="38" t="str">
        <f t="shared" si="3"/>
        <v/>
      </c>
      <c r="G18" s="39"/>
      <c r="H18" s="39" t="str">
        <f t="shared" si="1"/>
        <v/>
      </c>
      <c r="I18" s="40" t="str">
        <f t="shared" si="2"/>
        <v/>
      </c>
      <c r="J18" s="57"/>
      <c r="K18" s="57"/>
    </row>
    <row r="19" spans="1:11" ht="15.6">
      <c r="A19" s="49" t="str">
        <v>Palombo A</v>
      </c>
      <c r="B19" s="50" t="str">
        <v>MA</v>
      </c>
      <c r="C19" s="43"/>
      <c r="D19" s="44"/>
      <c r="E19" s="44" t="str">
        <f t="shared" si="0"/>
        <v/>
      </c>
      <c r="F19" s="45" t="str">
        <f t="shared" si="3"/>
        <v/>
      </c>
      <c r="G19" s="46"/>
      <c r="H19" s="46" t="str">
        <f t="shared" si="1"/>
        <v/>
      </c>
      <c r="I19" s="45" t="str">
        <f t="shared" si="2"/>
        <v/>
      </c>
      <c r="J19" s="58"/>
      <c r="K19" s="58"/>
    </row>
    <row r="20" spans="1:11" ht="15.6">
      <c r="A20" s="51" t="str">
        <v>Palombo B</v>
      </c>
      <c r="B20" s="48" t="str">
        <v>MA</v>
      </c>
      <c r="C20" s="36"/>
      <c r="D20" s="37"/>
      <c r="E20" s="37" t="str">
        <f t="shared" si="0"/>
        <v/>
      </c>
      <c r="F20" s="38" t="str">
        <f t="shared" si="3"/>
        <v/>
      </c>
      <c r="G20" s="39"/>
      <c r="H20" s="39" t="str">
        <f t="shared" si="1"/>
        <v/>
      </c>
      <c r="I20" s="40" t="str">
        <f t="shared" si="2"/>
        <v/>
      </c>
      <c r="J20" s="57"/>
      <c r="K20" s="57"/>
    </row>
    <row r="21" spans="1:11" ht="15.6">
      <c r="A21" s="49" t="str">
        <v>St Josephs Church</v>
      </c>
      <c r="B21" s="50" t="str">
        <v>MA</v>
      </c>
      <c r="C21" s="43"/>
      <c r="D21" s="44"/>
      <c r="E21" s="44" t="str">
        <f t="shared" si="0"/>
        <v/>
      </c>
      <c r="F21" s="45" t="str">
        <f t="shared" si="3"/>
        <v/>
      </c>
      <c r="G21" s="46"/>
      <c r="H21" s="46" t="str">
        <f t="shared" si="1"/>
        <v/>
      </c>
      <c r="I21" s="45" t="str">
        <f t="shared" si="2"/>
        <v/>
      </c>
      <c r="J21" s="58"/>
      <c r="K21" s="59"/>
    </row>
    <row r="22" spans="1:11" ht="15.6">
      <c r="A22" s="51" t="str">
        <v>Sunset A</v>
      </c>
      <c r="B22" s="48" t="str">
        <v>MA</v>
      </c>
      <c r="C22" s="36"/>
      <c r="D22" s="37"/>
      <c r="E22" s="37" t="str">
        <f t="shared" si="0"/>
        <v/>
      </c>
      <c r="F22" s="38" t="str">
        <f t="shared" si="3"/>
        <v/>
      </c>
      <c r="G22" s="39"/>
      <c r="H22" s="39" t="str">
        <f t="shared" si="1"/>
        <v/>
      </c>
      <c r="I22" s="40" t="str">
        <f t="shared" si="2"/>
        <v/>
      </c>
      <c r="J22" s="57"/>
      <c r="K22" s="57"/>
    </row>
    <row r="23" spans="1:11" ht="15.6">
      <c r="A23" s="49" t="str">
        <v>Sunset B</v>
      </c>
      <c r="B23" s="50" t="str">
        <v>MA</v>
      </c>
      <c r="C23" s="43"/>
      <c r="D23" s="44"/>
      <c r="E23" s="44" t="str">
        <f t="shared" si="0"/>
        <v/>
      </c>
      <c r="F23" s="45" t="str">
        <f t="shared" si="3"/>
        <v/>
      </c>
      <c r="G23" s="46"/>
      <c r="H23" s="46" t="str">
        <f t="shared" si="1"/>
        <v/>
      </c>
      <c r="I23" s="45" t="str">
        <f t="shared" si="2"/>
        <v/>
      </c>
      <c r="J23" s="58"/>
      <c r="K23" s="59"/>
    </row>
    <row r="24" spans="1:11" ht="15.6">
      <c r="A24" s="51" t="str">
        <v>Woodchuck</v>
      </c>
      <c r="B24" s="48" t="str">
        <v>MA</v>
      </c>
      <c r="C24" s="36"/>
      <c r="D24" s="37"/>
      <c r="E24" s="37" t="str">
        <f t="shared" si="0"/>
        <v/>
      </c>
      <c r="F24" s="38" t="str">
        <f t="shared" si="3"/>
        <v/>
      </c>
      <c r="G24" s="39"/>
      <c r="H24" s="39" t="str">
        <f t="shared" si="1"/>
        <v/>
      </c>
      <c r="I24" s="40" t="str">
        <f t="shared" si="2"/>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t="s">
        <v>164</v>
      </c>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1"/>
  <sheetViews>
    <sheetView zoomScaleNormal="100" workbookViewId="0">
      <pane xSplit="2" ySplit="3" topLeftCell="C12"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38 DN</v>
      </c>
      <c r="B1" s="96"/>
      <c r="C1" s="96"/>
      <c r="D1" s="97" t="s">
        <v>165</v>
      </c>
      <c r="E1" s="97"/>
      <c r="F1" s="97"/>
      <c r="G1" s="95" t="s">
        <v>166</v>
      </c>
      <c r="H1" s="95"/>
      <c r="I1" s="95"/>
      <c r="J1" s="4"/>
      <c r="K1" s="4"/>
    </row>
    <row r="2" spans="1:11" ht="19.5" customHeight="1">
      <c r="A2" s="98" t="s">
        <v>2</v>
      </c>
      <c r="B2" s="98"/>
      <c r="C2" s="5">
        <f>SUM(C4:C99)</f>
        <v>0</v>
      </c>
      <c r="D2" s="5">
        <f>SUM(D4:D99)</f>
        <v>0</v>
      </c>
      <c r="E2" s="5">
        <f>C2-D2</f>
        <v>0</v>
      </c>
      <c r="F2" s="6">
        <f>IFERROR(E2/D2, 0)</f>
        <v>0</v>
      </c>
      <c r="G2" s="5">
        <f>SUM(G4:G99)</f>
        <v>0</v>
      </c>
      <c r="H2" s="7">
        <f>C2-G2</f>
        <v>0</v>
      </c>
      <c r="I2" s="6">
        <f>IFERROR(H2/G2, 0)</f>
        <v>0</v>
      </c>
      <c r="J2" s="1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15.6">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6">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1" ht="15.6">
      <c r="A6" s="51" t="str">
        <v>Bowden</v>
      </c>
      <c r="B6" s="48" t="str">
        <v>MA</v>
      </c>
      <c r="C6" s="36"/>
      <c r="D6" s="37"/>
      <c r="E6" s="37" t="str">
        <f t="shared" si="0"/>
        <v/>
      </c>
      <c r="F6" s="38" t="str">
        <f t="shared" ref="F6:F24" si="3">IFERROR(E6/D6, "")</f>
        <v/>
      </c>
      <c r="G6" s="39"/>
      <c r="H6" s="39" t="str">
        <f t="shared" si="1"/>
        <v/>
      </c>
      <c r="I6" s="40" t="str">
        <f t="shared" si="2"/>
        <v/>
      </c>
      <c r="J6" s="57"/>
      <c r="K6" s="57"/>
    </row>
    <row r="7" spans="1:11" ht="15.6">
      <c r="A7" s="49" t="str">
        <v>Blair Wire Village</v>
      </c>
      <c r="B7" s="50" t="str">
        <v>MA</v>
      </c>
      <c r="C7" s="43"/>
      <c r="D7" s="44"/>
      <c r="E7" s="44" t="str">
        <f t="shared" si="0"/>
        <v/>
      </c>
      <c r="F7" s="45" t="str">
        <f t="shared" si="3"/>
        <v/>
      </c>
      <c r="G7" s="46"/>
      <c r="H7" s="46" t="str">
        <f t="shared" si="1"/>
        <v/>
      </c>
      <c r="I7" s="45" t="str">
        <f t="shared" si="2"/>
        <v/>
      </c>
      <c r="J7" s="58"/>
      <c r="K7" s="59"/>
    </row>
    <row r="8" spans="1:11" ht="15.6">
      <c r="A8" s="51" t="str">
        <v>Boutilier</v>
      </c>
      <c r="B8" s="48" t="str">
        <v>MA</v>
      </c>
      <c r="C8" s="36"/>
      <c r="D8" s="37"/>
      <c r="E8" s="37" t="str">
        <f t="shared" si="0"/>
        <v/>
      </c>
      <c r="F8" s="38" t="str">
        <f t="shared" si="3"/>
        <v/>
      </c>
      <c r="G8" s="39"/>
      <c r="H8" s="39" t="str">
        <f t="shared" si="1"/>
        <v/>
      </c>
      <c r="I8" s="40" t="str">
        <f t="shared" si="2"/>
        <v/>
      </c>
      <c r="J8" s="57"/>
      <c r="K8" s="57"/>
    </row>
    <row r="9" spans="1:11" ht="15.6">
      <c r="A9" s="49" t="str">
        <v>Cherry Valley</v>
      </c>
      <c r="B9" s="50" t="str">
        <v>MA</v>
      </c>
      <c r="C9" s="43"/>
      <c r="D9" s="44"/>
      <c r="E9" s="44" t="str">
        <f t="shared" si="0"/>
        <v/>
      </c>
      <c r="F9" s="45" t="str">
        <f t="shared" si="3"/>
        <v/>
      </c>
      <c r="G9" s="46"/>
      <c r="H9" s="46" t="str">
        <f t="shared" si="1"/>
        <v/>
      </c>
      <c r="I9" s="45" t="str">
        <f t="shared" si="2"/>
        <v/>
      </c>
      <c r="J9" s="58"/>
      <c r="K9" s="58"/>
    </row>
    <row r="10" spans="1:11" ht="15.6">
      <c r="A10" s="51" t="str">
        <v>Cohasse</v>
      </c>
      <c r="B10" s="48" t="str">
        <v>MA</v>
      </c>
      <c r="C10" s="36"/>
      <c r="D10" s="37"/>
      <c r="E10" s="37" t="str">
        <f t="shared" si="0"/>
        <v/>
      </c>
      <c r="F10" s="38" t="str">
        <f t="shared" si="3"/>
        <v/>
      </c>
      <c r="G10" s="39"/>
      <c r="H10" s="39" t="str">
        <f t="shared" si="1"/>
        <v/>
      </c>
      <c r="I10" s="40" t="str">
        <f t="shared" si="2"/>
        <v/>
      </c>
      <c r="J10" s="57"/>
      <c r="K10" s="57"/>
    </row>
    <row r="11" spans="1:11" ht="134.25" customHeight="1">
      <c r="A11" s="49" t="str">
        <v>ISM Dighton Solar 2</v>
      </c>
      <c r="B11" s="50" t="str">
        <v>MA</v>
      </c>
      <c r="C11" s="43"/>
      <c r="D11" s="44"/>
      <c r="E11" s="44" t="str">
        <f t="shared" si="0"/>
        <v/>
      </c>
      <c r="F11" s="45" t="str">
        <f t="shared" si="3"/>
        <v/>
      </c>
      <c r="G11" s="46"/>
      <c r="H11" s="46" t="str">
        <f t="shared" si="1"/>
        <v/>
      </c>
      <c r="I11" s="45" t="str">
        <f t="shared" si="2"/>
        <v/>
      </c>
      <c r="J11" s="67"/>
      <c r="K11" s="67"/>
    </row>
    <row r="12" spans="1:11" ht="55.5" customHeight="1">
      <c r="A12" s="51" t="str">
        <v>Dudley River 1</v>
      </c>
      <c r="B12" s="48" t="str">
        <v>MA</v>
      </c>
      <c r="C12" s="36"/>
      <c r="D12" s="37"/>
      <c r="E12" s="37" t="str">
        <f t="shared" si="0"/>
        <v/>
      </c>
      <c r="F12" s="38" t="str">
        <f t="shared" si="3"/>
        <v/>
      </c>
      <c r="G12" s="39"/>
      <c r="H12" s="39" t="str">
        <f t="shared" si="1"/>
        <v/>
      </c>
      <c r="I12" s="40" t="str">
        <f t="shared" si="2"/>
        <v/>
      </c>
      <c r="J12" s="57"/>
      <c r="K12" s="57"/>
    </row>
    <row r="13" spans="1:11" ht="15.6">
      <c r="A13" s="49" t="str">
        <v>Dudley River 2</v>
      </c>
      <c r="B13" s="50" t="str">
        <v>MA</v>
      </c>
      <c r="C13" s="43"/>
      <c r="D13" s="44"/>
      <c r="E13" s="44" t="str">
        <f t="shared" si="0"/>
        <v/>
      </c>
      <c r="F13" s="45" t="str">
        <f t="shared" si="3"/>
        <v/>
      </c>
      <c r="G13" s="46"/>
      <c r="H13" s="46" t="str">
        <f t="shared" si="1"/>
        <v/>
      </c>
      <c r="I13" s="45" t="str">
        <f t="shared" si="2"/>
        <v/>
      </c>
      <c r="J13" s="58"/>
      <c r="K13" s="59"/>
    </row>
    <row r="14" spans="1:11" ht="15.6">
      <c r="A14" s="51" t="str">
        <v>Dudley River 3</v>
      </c>
      <c r="B14" s="48" t="str">
        <v>MA</v>
      </c>
      <c r="C14" s="36"/>
      <c r="D14" s="37"/>
      <c r="E14" s="37" t="str">
        <f t="shared" si="0"/>
        <v/>
      </c>
      <c r="F14" s="38" t="str">
        <f t="shared" si="3"/>
        <v/>
      </c>
      <c r="G14" s="39"/>
      <c r="H14" s="39" t="str">
        <f t="shared" si="1"/>
        <v/>
      </c>
      <c r="I14" s="40" t="str">
        <f t="shared" si="2"/>
        <v/>
      </c>
      <c r="J14" s="57"/>
      <c r="K14" s="57"/>
    </row>
    <row r="15" spans="1:11" ht="15.6">
      <c r="A15" s="49" t="str">
        <v>Flint Pond</v>
      </c>
      <c r="B15" s="50" t="str">
        <v>MA</v>
      </c>
      <c r="C15" s="43"/>
      <c r="D15" s="44"/>
      <c r="E15" s="44" t="str">
        <f t="shared" si="0"/>
        <v/>
      </c>
      <c r="F15" s="45" t="str">
        <f t="shared" si="3"/>
        <v/>
      </c>
      <c r="G15" s="46"/>
      <c r="H15" s="46" t="str">
        <f t="shared" si="1"/>
        <v/>
      </c>
      <c r="I15" s="45" t="str">
        <f t="shared" si="2"/>
        <v/>
      </c>
      <c r="J15" s="58"/>
      <c r="K15" s="59"/>
    </row>
    <row r="16" spans="1:11" ht="15.6">
      <c r="A16" s="51" t="str">
        <v>Incom</v>
      </c>
      <c r="B16" s="48" t="str">
        <v>MA</v>
      </c>
      <c r="C16" s="36"/>
      <c r="D16" s="37"/>
      <c r="E16" s="37" t="str">
        <f t="shared" si="0"/>
        <v/>
      </c>
      <c r="F16" s="38" t="str">
        <f t="shared" si="3"/>
        <v/>
      </c>
      <c r="G16" s="39"/>
      <c r="H16" s="39" t="str">
        <f t="shared" si="1"/>
        <v/>
      </c>
      <c r="I16" s="40" t="str">
        <f t="shared" si="2"/>
        <v/>
      </c>
      <c r="J16" s="57"/>
      <c r="K16" s="57"/>
    </row>
    <row r="17" spans="1:11" ht="15.6">
      <c r="A17" s="49" t="str">
        <v>JH</v>
      </c>
      <c r="B17" s="50" t="str">
        <v>MA</v>
      </c>
      <c r="C17" s="43"/>
      <c r="D17" s="44"/>
      <c r="E17" s="44"/>
      <c r="F17" s="45" t="str">
        <f t="shared" si="3"/>
        <v/>
      </c>
      <c r="G17" s="46"/>
      <c r="H17" s="46" t="str">
        <f t="shared" si="1"/>
        <v/>
      </c>
      <c r="I17" s="45" t="str">
        <f t="shared" si="2"/>
        <v/>
      </c>
      <c r="J17" s="58"/>
      <c r="K17" s="59"/>
    </row>
    <row r="18" spans="1:11" ht="12.75" customHeight="1">
      <c r="A18" s="51" t="str">
        <v>Ledeaux</v>
      </c>
      <c r="B18" s="48" t="str">
        <v>MA</v>
      </c>
      <c r="C18" s="36"/>
      <c r="D18" s="37"/>
      <c r="E18" s="37" t="str">
        <f t="shared" si="0"/>
        <v/>
      </c>
      <c r="F18" s="38" t="str">
        <f t="shared" si="3"/>
        <v/>
      </c>
      <c r="G18" s="39"/>
      <c r="H18" s="39" t="str">
        <f t="shared" si="1"/>
        <v/>
      </c>
      <c r="I18" s="40" t="str">
        <f t="shared" si="2"/>
        <v/>
      </c>
      <c r="J18" s="57"/>
      <c r="K18" s="57"/>
    </row>
    <row r="19" spans="1:11" ht="15.6">
      <c r="A19" s="49" t="str">
        <v>Palombo A</v>
      </c>
      <c r="B19" s="50" t="str">
        <v>MA</v>
      </c>
      <c r="C19" s="43"/>
      <c r="D19" s="44"/>
      <c r="E19" s="44" t="str">
        <f t="shared" si="0"/>
        <v/>
      </c>
      <c r="F19" s="45" t="str">
        <f t="shared" si="3"/>
        <v/>
      </c>
      <c r="G19" s="46"/>
      <c r="H19" s="46" t="str">
        <f t="shared" si="1"/>
        <v/>
      </c>
      <c r="I19" s="45" t="str">
        <f t="shared" si="2"/>
        <v/>
      </c>
      <c r="J19" s="58"/>
      <c r="K19" s="58"/>
    </row>
    <row r="20" spans="1:11" ht="15.6">
      <c r="A20" s="51" t="str">
        <v>Palombo B</v>
      </c>
      <c r="B20" s="48" t="str">
        <v>MA</v>
      </c>
      <c r="C20" s="36"/>
      <c r="D20" s="37"/>
      <c r="E20" s="37" t="str">
        <f t="shared" si="0"/>
        <v/>
      </c>
      <c r="F20" s="38" t="str">
        <f t="shared" si="3"/>
        <v/>
      </c>
      <c r="G20" s="39"/>
      <c r="H20" s="39" t="str">
        <f t="shared" si="1"/>
        <v/>
      </c>
      <c r="I20" s="40" t="str">
        <f t="shared" si="2"/>
        <v/>
      </c>
      <c r="J20" s="57"/>
      <c r="K20" s="57"/>
    </row>
    <row r="21" spans="1:11" ht="15.6">
      <c r="A21" s="49" t="str">
        <v>St Josephs Church</v>
      </c>
      <c r="B21" s="50" t="str">
        <v>MA</v>
      </c>
      <c r="C21" s="43"/>
      <c r="D21" s="44"/>
      <c r="E21" s="44" t="str">
        <f t="shared" si="0"/>
        <v/>
      </c>
      <c r="F21" s="45" t="str">
        <f t="shared" si="3"/>
        <v/>
      </c>
      <c r="G21" s="46"/>
      <c r="H21" s="46" t="str">
        <f t="shared" si="1"/>
        <v/>
      </c>
      <c r="I21" s="45" t="str">
        <f t="shared" si="2"/>
        <v/>
      </c>
      <c r="J21" s="67"/>
      <c r="K21" s="67"/>
    </row>
    <row r="22" spans="1:11" ht="15.6">
      <c r="A22" s="51" t="str">
        <v>Sunset A</v>
      </c>
      <c r="B22" s="48" t="str">
        <v>MA</v>
      </c>
      <c r="C22" s="36"/>
      <c r="D22" s="37"/>
      <c r="E22" s="37" t="str">
        <f t="shared" si="0"/>
        <v/>
      </c>
      <c r="F22" s="38" t="str">
        <f t="shared" si="3"/>
        <v/>
      </c>
      <c r="G22" s="39"/>
      <c r="H22" s="39" t="str">
        <f t="shared" si="1"/>
        <v/>
      </c>
      <c r="I22" s="40" t="str">
        <f t="shared" si="2"/>
        <v/>
      </c>
      <c r="J22" s="57"/>
      <c r="K22" s="57"/>
    </row>
    <row r="23" spans="1:11" ht="15.6">
      <c r="A23" s="49" t="str">
        <v>Sunset B</v>
      </c>
      <c r="B23" s="50" t="str">
        <v>MA</v>
      </c>
      <c r="C23" s="43"/>
      <c r="D23" s="44"/>
      <c r="E23" s="44" t="str">
        <f t="shared" si="0"/>
        <v/>
      </c>
      <c r="F23" s="45" t="str">
        <f t="shared" si="3"/>
        <v/>
      </c>
      <c r="G23" s="46"/>
      <c r="H23" s="46" t="str">
        <f t="shared" si="1"/>
        <v/>
      </c>
      <c r="I23" s="45" t="str">
        <f t="shared" si="2"/>
        <v/>
      </c>
      <c r="J23" s="58"/>
      <c r="K23" s="59"/>
    </row>
    <row r="24" spans="1:11" ht="15.6">
      <c r="A24" s="51" t="str">
        <v>Woodchuck</v>
      </c>
      <c r="B24" s="48" t="str">
        <v>MA</v>
      </c>
      <c r="C24" s="36"/>
      <c r="D24" s="37"/>
      <c r="E24" s="37" t="str">
        <f t="shared" si="0"/>
        <v/>
      </c>
      <c r="F24" s="38" t="str">
        <f t="shared" si="3"/>
        <v/>
      </c>
      <c r="G24" s="39"/>
      <c r="H24" s="39" t="str">
        <f t="shared" si="1"/>
        <v/>
      </c>
      <c r="I24" s="40" t="str">
        <f t="shared" si="2"/>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1"/>
  <sheetViews>
    <sheetView zoomScaleNormal="100" workbookViewId="0">
      <pane xSplit="2" ySplit="3" topLeftCell="C13"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38 DN</v>
      </c>
      <c r="B1" s="96"/>
      <c r="C1" s="96"/>
      <c r="D1" s="97" t="s">
        <v>167</v>
      </c>
      <c r="E1" s="97"/>
      <c r="F1" s="97"/>
      <c r="G1" s="95" t="s">
        <v>168</v>
      </c>
      <c r="H1" s="95"/>
      <c r="I1" s="95"/>
      <c r="J1" s="4"/>
      <c r="K1" s="4"/>
    </row>
    <row r="2" spans="1:11" ht="19.5" customHeight="1">
      <c r="A2" s="98" t="s">
        <v>2</v>
      </c>
      <c r="B2" s="98"/>
      <c r="C2" s="5">
        <f>SUM(C4:C99)</f>
        <v>0</v>
      </c>
      <c r="D2" s="5">
        <f>SUM(D4:D99)</f>
        <v>0</v>
      </c>
      <c r="E2" s="5">
        <f>C2-D2</f>
        <v>0</v>
      </c>
      <c r="F2" s="6">
        <f>IFERROR(E2/D2, 0)</f>
        <v>0</v>
      </c>
      <c r="G2" s="5">
        <f>SUM(G4:G99)</f>
        <v>0</v>
      </c>
      <c r="H2" s="7">
        <f>C2-G2</f>
        <v>0</v>
      </c>
      <c r="I2" s="6">
        <f>IFERROR(H2/G2, 0)</f>
        <v>0</v>
      </c>
      <c r="J2" s="1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36" customHeight="1">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6">
      <c r="A5" s="49" t="str">
        <v>Barton Acres</v>
      </c>
      <c r="B5" s="50" t="str">
        <v>MA</v>
      </c>
      <c r="C5" s="43"/>
      <c r="D5" s="44"/>
      <c r="E5" s="44" t="str">
        <f t="shared" ref="E5:E16" si="0">IF(AND(ISNUMBER(C5),ISNUMBER(D5)), C5-D5, "")</f>
        <v/>
      </c>
      <c r="F5" s="45" t="str">
        <f>IFERROR(E5/D5, "")</f>
        <v/>
      </c>
      <c r="G5" s="46"/>
      <c r="H5" s="46" t="str">
        <f t="shared" ref="H5:H17" si="1">IF(AND(ISNUMBER(C5),ISNUMBER(G5)), C5-G5, "")</f>
        <v/>
      </c>
      <c r="I5" s="45" t="str">
        <f t="shared" ref="I5:I17" si="2">IFERROR(H5/G5, "")</f>
        <v/>
      </c>
      <c r="J5" s="58"/>
      <c r="K5" s="58"/>
    </row>
    <row r="6" spans="1:11" ht="15.6">
      <c r="A6" s="51" t="str">
        <v>Bowden</v>
      </c>
      <c r="B6" s="48" t="str">
        <v>MA</v>
      </c>
      <c r="C6" s="36"/>
      <c r="D6" s="37"/>
      <c r="E6" s="37" t="str">
        <f t="shared" si="0"/>
        <v/>
      </c>
      <c r="F6" s="38" t="str">
        <f t="shared" ref="F6:F17" si="3">IFERROR(E6/D6, "")</f>
        <v/>
      </c>
      <c r="G6" s="39"/>
      <c r="H6" s="39" t="str">
        <f t="shared" si="1"/>
        <v/>
      </c>
      <c r="I6" s="40" t="str">
        <f t="shared" si="2"/>
        <v/>
      </c>
      <c r="J6" s="57"/>
      <c r="K6" s="57"/>
    </row>
    <row r="7" spans="1:11" ht="15.6">
      <c r="A7" s="49" t="str">
        <v>Blair Wire Village</v>
      </c>
      <c r="B7" s="50" t="str">
        <v>MA</v>
      </c>
      <c r="C7" s="43"/>
      <c r="D7" s="44"/>
      <c r="E7" s="44" t="str">
        <f t="shared" si="0"/>
        <v/>
      </c>
      <c r="F7" s="45" t="str">
        <f t="shared" si="3"/>
        <v/>
      </c>
      <c r="G7" s="46"/>
      <c r="H7" s="46" t="str">
        <f t="shared" si="1"/>
        <v/>
      </c>
      <c r="I7" s="45" t="str">
        <f t="shared" si="2"/>
        <v/>
      </c>
      <c r="J7" s="58"/>
      <c r="K7" s="58"/>
    </row>
    <row r="8" spans="1:11" ht="15.6">
      <c r="A8" s="51" t="str">
        <v>Boutilier</v>
      </c>
      <c r="B8" s="48" t="str">
        <v>MA</v>
      </c>
      <c r="C8" s="36"/>
      <c r="D8" s="37"/>
      <c r="E8" s="37" t="str">
        <f t="shared" si="0"/>
        <v/>
      </c>
      <c r="F8" s="38" t="str">
        <f t="shared" si="3"/>
        <v/>
      </c>
      <c r="G8" s="39"/>
      <c r="H8" s="39" t="str">
        <f t="shared" si="1"/>
        <v/>
      </c>
      <c r="I8" s="40" t="str">
        <f t="shared" si="2"/>
        <v/>
      </c>
      <c r="J8" s="57"/>
      <c r="K8" s="57"/>
    </row>
    <row r="9" spans="1:11" ht="15.6">
      <c r="A9" s="49" t="str">
        <v>Cherry Valley</v>
      </c>
      <c r="B9" s="50" t="str">
        <v>MA</v>
      </c>
      <c r="C9" s="43"/>
      <c r="D9" s="44"/>
      <c r="E9" s="44" t="str">
        <f t="shared" si="0"/>
        <v/>
      </c>
      <c r="F9" s="45" t="str">
        <f t="shared" si="3"/>
        <v/>
      </c>
      <c r="G9" s="46"/>
      <c r="H9" s="46" t="str">
        <f t="shared" si="1"/>
        <v/>
      </c>
      <c r="I9" s="45" t="str">
        <f t="shared" si="2"/>
        <v/>
      </c>
      <c r="J9" s="67"/>
      <c r="K9" s="69"/>
    </row>
    <row r="10" spans="1:11" ht="15.6">
      <c r="A10" s="51" t="str">
        <v>Cohasse</v>
      </c>
      <c r="B10" s="48" t="str">
        <v>MA</v>
      </c>
      <c r="C10" s="36"/>
      <c r="D10" s="37"/>
      <c r="E10" s="37" t="str">
        <f t="shared" si="0"/>
        <v/>
      </c>
      <c r="F10" s="38" t="str">
        <f t="shared" si="3"/>
        <v/>
      </c>
      <c r="G10" s="39"/>
      <c r="H10" s="39" t="str">
        <f t="shared" si="1"/>
        <v/>
      </c>
      <c r="I10" s="40" t="str">
        <f t="shared" si="2"/>
        <v/>
      </c>
      <c r="J10" s="57"/>
      <c r="K10" s="75"/>
    </row>
    <row r="11" spans="1:11" ht="15.6">
      <c r="A11" s="49" t="str">
        <v>ISM Dighton Solar 2</v>
      </c>
      <c r="B11" s="50" t="str">
        <v>MA</v>
      </c>
      <c r="C11" s="43"/>
      <c r="D11" s="44"/>
      <c r="E11" s="44" t="str">
        <f t="shared" si="0"/>
        <v/>
      </c>
      <c r="F11" s="45" t="str">
        <f t="shared" si="3"/>
        <v/>
      </c>
      <c r="G11" s="46"/>
      <c r="H11" s="46" t="str">
        <f t="shared" si="1"/>
        <v/>
      </c>
      <c r="I11" s="45" t="str">
        <f t="shared" si="2"/>
        <v/>
      </c>
      <c r="J11" s="58"/>
      <c r="K11" s="74"/>
    </row>
    <row r="12" spans="1:11" ht="15.6">
      <c r="A12" s="51" t="str">
        <v>Dudley River 1</v>
      </c>
      <c r="B12" s="48" t="str">
        <v>MA</v>
      </c>
      <c r="C12" s="36"/>
      <c r="D12" s="37"/>
      <c r="E12" s="37" t="str">
        <f t="shared" si="0"/>
        <v/>
      </c>
      <c r="F12" s="38" t="str">
        <f t="shared" si="3"/>
        <v/>
      </c>
      <c r="G12" s="39"/>
      <c r="H12" s="39" t="str">
        <f t="shared" si="1"/>
        <v/>
      </c>
      <c r="I12" s="40" t="str">
        <f t="shared" si="2"/>
        <v/>
      </c>
      <c r="J12" s="57"/>
      <c r="K12" s="75"/>
    </row>
    <row r="13" spans="1:11" ht="15.6">
      <c r="A13" s="49" t="str">
        <v>Dudley River 2</v>
      </c>
      <c r="B13" s="50" t="str">
        <v>MA</v>
      </c>
      <c r="C13" s="43"/>
      <c r="D13" s="44"/>
      <c r="E13" s="44" t="str">
        <f t="shared" si="0"/>
        <v/>
      </c>
      <c r="F13" s="45" t="str">
        <f t="shared" si="3"/>
        <v/>
      </c>
      <c r="G13" s="46"/>
      <c r="H13" s="46" t="str">
        <f t="shared" si="1"/>
        <v/>
      </c>
      <c r="I13" s="45" t="str">
        <f t="shared" si="2"/>
        <v/>
      </c>
      <c r="J13" s="58"/>
      <c r="K13" s="77"/>
    </row>
    <row r="14" spans="1:11" ht="15.6">
      <c r="A14" s="51" t="str">
        <v>Dudley River 3</v>
      </c>
      <c r="B14" s="48" t="str">
        <v>MA</v>
      </c>
      <c r="C14" s="36"/>
      <c r="D14" s="37"/>
      <c r="E14" s="37" t="str">
        <f t="shared" si="0"/>
        <v/>
      </c>
      <c r="F14" s="38" t="str">
        <f t="shared" si="3"/>
        <v/>
      </c>
      <c r="G14" s="39"/>
      <c r="H14" s="39" t="str">
        <f t="shared" si="1"/>
        <v/>
      </c>
      <c r="I14" s="40" t="str">
        <f t="shared" si="2"/>
        <v/>
      </c>
      <c r="J14" s="57"/>
      <c r="K14" s="75"/>
    </row>
    <row r="15" spans="1:11" ht="15.6">
      <c r="A15" s="49" t="str">
        <v>Flint Pond</v>
      </c>
      <c r="B15" s="50" t="str">
        <v>MA</v>
      </c>
      <c r="C15" s="43"/>
      <c r="D15" s="44"/>
      <c r="E15" s="44" t="str">
        <f t="shared" si="0"/>
        <v/>
      </c>
      <c r="F15" s="45" t="str">
        <f t="shared" si="3"/>
        <v/>
      </c>
      <c r="G15" s="46"/>
      <c r="H15" s="46" t="str">
        <f t="shared" si="1"/>
        <v/>
      </c>
      <c r="I15" s="45" t="str">
        <f t="shared" si="2"/>
        <v/>
      </c>
      <c r="J15" s="69"/>
      <c r="K15" s="76"/>
    </row>
    <row r="16" spans="1:11" ht="15.6">
      <c r="A16" s="51" t="str">
        <v>Incom</v>
      </c>
      <c r="B16" s="48" t="str">
        <v>MA</v>
      </c>
      <c r="C16" s="36"/>
      <c r="D16" s="37"/>
      <c r="E16" s="37" t="str">
        <f t="shared" si="0"/>
        <v/>
      </c>
      <c r="F16" s="38" t="str">
        <f t="shared" si="3"/>
        <v/>
      </c>
      <c r="G16" s="39"/>
      <c r="H16" s="39" t="str">
        <f t="shared" si="1"/>
        <v/>
      </c>
      <c r="I16" s="40" t="str">
        <f t="shared" si="2"/>
        <v/>
      </c>
      <c r="J16" s="57"/>
      <c r="K16" s="75"/>
    </row>
    <row r="17" spans="1:11" ht="15.6">
      <c r="A17" s="49" t="str">
        <v>JH</v>
      </c>
      <c r="B17" s="50" t="str">
        <v>MA</v>
      </c>
      <c r="C17" s="43"/>
      <c r="D17" s="44"/>
      <c r="E17" s="44"/>
      <c r="F17" s="45" t="str">
        <f t="shared" si="3"/>
        <v/>
      </c>
      <c r="G17" s="46"/>
      <c r="H17" s="46" t="str">
        <f t="shared" si="1"/>
        <v/>
      </c>
      <c r="I17" s="45" t="str">
        <f t="shared" si="2"/>
        <v/>
      </c>
      <c r="J17" s="58"/>
      <c r="K17" s="59"/>
    </row>
    <row r="18" spans="1:11" ht="12.75" customHeight="1">
      <c r="A18" s="47" t="str">
        <v>Ledeaux</v>
      </c>
      <c r="B18" s="48" t="str">
        <v>MA</v>
      </c>
      <c r="C18" s="36"/>
      <c r="D18" s="37"/>
      <c r="E18" s="37" t="str">
        <f t="shared" ref="E18:E24" si="4">IF(AND(ISNUMBER(C18),ISNUMBER(D18)), C18-D18, "")</f>
        <v/>
      </c>
      <c r="F18" s="38" t="str">
        <f t="shared" ref="F18:F24" si="5">IFERROR(E18/D18, "")</f>
        <v/>
      </c>
      <c r="G18" s="39"/>
      <c r="H18" s="39" t="str">
        <f t="shared" ref="H18:H24" si="6">IF(AND(ISNUMBER(C18),ISNUMBER(G18)), C18-G18, "")</f>
        <v/>
      </c>
      <c r="I18" s="40" t="str">
        <f t="shared" ref="I18:I24" si="7">IFERROR(H18/G18, "")</f>
        <v/>
      </c>
      <c r="J18" s="57"/>
      <c r="K18" s="57"/>
    </row>
    <row r="19" spans="1:11" ht="15.6">
      <c r="A19" s="49" t="str">
        <v>Palombo A</v>
      </c>
      <c r="B19" s="50" t="str">
        <v>MA</v>
      </c>
      <c r="C19" s="43"/>
      <c r="D19" s="44"/>
      <c r="E19" s="44" t="str">
        <f t="shared" si="4"/>
        <v/>
      </c>
      <c r="F19" s="45" t="str">
        <f t="shared" si="5"/>
        <v/>
      </c>
      <c r="G19" s="46"/>
      <c r="H19" s="46" t="str">
        <f t="shared" si="6"/>
        <v/>
      </c>
      <c r="I19" s="45" t="str">
        <f t="shared" si="7"/>
        <v/>
      </c>
      <c r="J19" s="58"/>
      <c r="K19" s="58"/>
    </row>
    <row r="20" spans="1:11" ht="15.6">
      <c r="A20" s="51" t="str">
        <v>Palombo B</v>
      </c>
      <c r="B20" s="48" t="str">
        <v>MA</v>
      </c>
      <c r="C20" s="36"/>
      <c r="D20" s="37"/>
      <c r="E20" s="37" t="str">
        <f t="shared" si="4"/>
        <v/>
      </c>
      <c r="F20" s="38" t="str">
        <f t="shared" si="5"/>
        <v/>
      </c>
      <c r="G20" s="39"/>
      <c r="H20" s="39" t="str">
        <f t="shared" si="6"/>
        <v/>
      </c>
      <c r="I20" s="40" t="str">
        <f t="shared" si="7"/>
        <v/>
      </c>
      <c r="J20" s="57"/>
      <c r="K20" s="57"/>
    </row>
    <row r="21" spans="1:11" ht="15.6">
      <c r="A21" s="49" t="str">
        <v>St Josephs Church</v>
      </c>
      <c r="B21" s="50" t="str">
        <v>MA</v>
      </c>
      <c r="C21" s="43"/>
      <c r="D21" s="44"/>
      <c r="E21" s="44" t="str">
        <f t="shared" si="4"/>
        <v/>
      </c>
      <c r="F21" s="45" t="str">
        <f t="shared" si="5"/>
        <v/>
      </c>
      <c r="G21" s="46"/>
      <c r="H21" s="46" t="str">
        <f t="shared" si="6"/>
        <v/>
      </c>
      <c r="I21" s="45" t="str">
        <f t="shared" si="7"/>
        <v/>
      </c>
      <c r="J21" s="58"/>
      <c r="K21" s="59"/>
    </row>
    <row r="22" spans="1:11" ht="15.6">
      <c r="A22" s="51" t="str">
        <v>Sunset A</v>
      </c>
      <c r="B22" s="48" t="str">
        <v>MA</v>
      </c>
      <c r="C22" s="36"/>
      <c r="D22" s="37"/>
      <c r="E22" s="37" t="str">
        <f t="shared" si="4"/>
        <v/>
      </c>
      <c r="F22" s="38" t="str">
        <f t="shared" si="5"/>
        <v/>
      </c>
      <c r="G22" s="39"/>
      <c r="H22" s="39" t="str">
        <f t="shared" si="6"/>
        <v/>
      </c>
      <c r="I22" s="40" t="str">
        <f t="shared" si="7"/>
        <v/>
      </c>
      <c r="J22" s="57"/>
      <c r="K22" s="57"/>
    </row>
    <row r="23" spans="1:11" ht="15.6">
      <c r="A23" s="49" t="str">
        <v>Sunset B</v>
      </c>
      <c r="B23" s="50" t="str">
        <v>MA</v>
      </c>
      <c r="C23" s="43"/>
      <c r="D23" s="44"/>
      <c r="E23" s="44" t="str">
        <f t="shared" si="4"/>
        <v/>
      </c>
      <c r="F23" s="45" t="str">
        <f t="shared" si="5"/>
        <v/>
      </c>
      <c r="G23" s="46"/>
      <c r="H23" s="46" t="str">
        <f t="shared" si="6"/>
        <v/>
      </c>
      <c r="I23" s="45" t="str">
        <f t="shared" si="7"/>
        <v/>
      </c>
      <c r="J23" s="58"/>
      <c r="K23" s="59"/>
    </row>
    <row r="24" spans="1:11" ht="15.6">
      <c r="A24" s="51" t="str">
        <v>Woodchuck</v>
      </c>
      <c r="B24" s="48" t="str">
        <v>MA</v>
      </c>
      <c r="C24" s="36"/>
      <c r="D24" s="37"/>
      <c r="E24" s="37" t="str">
        <f t="shared" si="4"/>
        <v/>
      </c>
      <c r="F24" s="38" t="str">
        <f t="shared" si="5"/>
        <v/>
      </c>
      <c r="G24" s="39"/>
      <c r="H24" s="39" t="str">
        <f t="shared" si="6"/>
        <v/>
      </c>
      <c r="I24" s="40" t="str">
        <f t="shared" si="7"/>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1"/>
  <sheetViews>
    <sheetView zoomScaleNormal="100" workbookViewId="0">
      <pane xSplit="2" ySplit="3" topLeftCell="C4" activePane="bottomRight" state="frozen"/>
      <selection pane="bottomRight" activeCell="J14" sqref="J14"/>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6" t="str" cm="1">
        <f t="array" ref="A1">portfolio</f>
        <v>38 DN</v>
      </c>
      <c r="B1" s="96"/>
      <c r="C1" s="96"/>
      <c r="D1" s="97" t="s">
        <v>169</v>
      </c>
      <c r="E1" s="97"/>
      <c r="F1" s="97"/>
      <c r="G1" s="95" t="s">
        <v>170</v>
      </c>
      <c r="H1" s="95"/>
      <c r="I1" s="95"/>
      <c r="J1" s="4"/>
      <c r="K1" s="4"/>
    </row>
    <row r="2" spans="1:11" ht="19.5" customHeight="1">
      <c r="A2" s="98" t="s">
        <v>2</v>
      </c>
      <c r="B2" s="98"/>
      <c r="C2" s="5">
        <f>SUM(C4:C99)</f>
        <v>0</v>
      </c>
      <c r="D2" s="5">
        <f>SUM(D4:D99)</f>
        <v>0</v>
      </c>
      <c r="E2" s="5">
        <f>C2-D2</f>
        <v>0</v>
      </c>
      <c r="F2" s="6">
        <f>IFERROR(E2/D2, 0)</f>
        <v>0</v>
      </c>
      <c r="G2" s="5">
        <f>SUM(G4:G99)</f>
        <v>0</v>
      </c>
      <c r="H2" s="7">
        <f>C2-G2</f>
        <v>0</v>
      </c>
      <c r="I2" s="6">
        <f>IFERROR(H2/G2, 0)</f>
        <v>0</v>
      </c>
      <c r="J2" s="1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7" t="s">
        <v>3</v>
      </c>
      <c r="B3" s="17" t="s">
        <v>4</v>
      </c>
      <c r="C3" s="27" t="s">
        <v>5</v>
      </c>
      <c r="D3" s="28" t="s">
        <v>6</v>
      </c>
      <c r="E3" s="28" t="s">
        <v>7</v>
      </c>
      <c r="F3" s="29" t="s">
        <v>8</v>
      </c>
      <c r="G3" s="30" t="s">
        <v>9</v>
      </c>
      <c r="H3" s="31" t="s">
        <v>7</v>
      </c>
      <c r="I3" s="32" t="s">
        <v>8</v>
      </c>
      <c r="J3" s="15" t="s">
        <v>20</v>
      </c>
      <c r="K3" s="15" t="s">
        <v>21</v>
      </c>
    </row>
    <row r="4" spans="1:11" ht="15.6">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1" ht="15.6">
      <c r="A5" s="49" t="str">
        <v>Barton Acres</v>
      </c>
      <c r="B5" s="50" t="str">
        <v>MA</v>
      </c>
      <c r="C5" s="43"/>
      <c r="D5" s="44"/>
      <c r="E5" s="44" t="str">
        <f t="shared" ref="E5:E16" si="0">IF(AND(ISNUMBER(C5),ISNUMBER(D5)), C5-D5, "")</f>
        <v/>
      </c>
      <c r="F5" s="45" t="str">
        <f>IFERROR(E5/D5, "")</f>
        <v/>
      </c>
      <c r="G5" s="46"/>
      <c r="H5" s="46" t="str">
        <f t="shared" ref="H5:H17" si="1">IF(AND(ISNUMBER(C5),ISNUMBER(G5)), C5-G5, "")</f>
        <v/>
      </c>
      <c r="I5" s="45" t="str">
        <f t="shared" ref="I5:I17" si="2">IFERROR(H5/G5, "")</f>
        <v/>
      </c>
      <c r="J5" s="58"/>
      <c r="K5" s="58"/>
    </row>
    <row r="6" spans="1:11" ht="15.6">
      <c r="A6" s="51" t="str">
        <v>Bowden</v>
      </c>
      <c r="B6" s="48" t="str">
        <v>MA</v>
      </c>
      <c r="C6" s="36"/>
      <c r="D6" s="37"/>
      <c r="E6" s="37" t="str">
        <f t="shared" si="0"/>
        <v/>
      </c>
      <c r="F6" s="38" t="str">
        <f t="shared" ref="F6:F17" si="3">IFERROR(E6/D6, "")</f>
        <v/>
      </c>
      <c r="G6" s="39"/>
      <c r="H6" s="39" t="str">
        <f t="shared" si="1"/>
        <v/>
      </c>
      <c r="I6" s="40" t="str">
        <f t="shared" si="2"/>
        <v/>
      </c>
      <c r="J6" s="57"/>
      <c r="K6" s="57"/>
    </row>
    <row r="7" spans="1:11" ht="15.6">
      <c r="A7" s="49" t="str">
        <v>Blair Wire Village</v>
      </c>
      <c r="B7" s="50" t="str">
        <v>MA</v>
      </c>
      <c r="C7" s="43"/>
      <c r="D7" s="44"/>
      <c r="E7" s="44" t="str">
        <f t="shared" si="0"/>
        <v/>
      </c>
      <c r="F7" s="45" t="str">
        <f t="shared" si="3"/>
        <v/>
      </c>
      <c r="G7" s="46"/>
      <c r="H7" s="46" t="str">
        <f t="shared" si="1"/>
        <v/>
      </c>
      <c r="I7" s="45" t="str">
        <f t="shared" si="2"/>
        <v/>
      </c>
      <c r="J7" s="58"/>
      <c r="K7" s="59"/>
    </row>
    <row r="8" spans="1:11" ht="15.6">
      <c r="A8" s="51" t="str">
        <v>Boutilier</v>
      </c>
      <c r="B8" s="48" t="str">
        <v>MA</v>
      </c>
      <c r="C8" s="36"/>
      <c r="D8" s="37"/>
      <c r="E8" s="37" t="str">
        <f t="shared" si="0"/>
        <v/>
      </c>
      <c r="F8" s="38" t="str">
        <f t="shared" si="3"/>
        <v/>
      </c>
      <c r="G8" s="39"/>
      <c r="H8" s="39" t="str">
        <f t="shared" si="1"/>
        <v/>
      </c>
      <c r="I8" s="40" t="str">
        <f t="shared" si="2"/>
        <v/>
      </c>
      <c r="J8" s="57"/>
      <c r="K8" s="57"/>
    </row>
    <row r="9" spans="1:11" ht="15.6">
      <c r="A9" s="49" t="str">
        <v>Cherry Valley</v>
      </c>
      <c r="B9" s="50" t="str">
        <v>MA</v>
      </c>
      <c r="C9" s="43"/>
      <c r="D9" s="44"/>
      <c r="E9" s="44" t="str">
        <f t="shared" si="0"/>
        <v/>
      </c>
      <c r="F9" s="45" t="str">
        <f t="shared" si="3"/>
        <v/>
      </c>
      <c r="G9" s="46"/>
      <c r="H9" s="46" t="str">
        <f t="shared" si="1"/>
        <v/>
      </c>
      <c r="I9" s="45" t="str">
        <f t="shared" si="2"/>
        <v/>
      </c>
      <c r="J9" s="58"/>
      <c r="K9" s="59"/>
    </row>
    <row r="10" spans="1:11" ht="15.6">
      <c r="A10" s="51" t="str">
        <v>Cohasse</v>
      </c>
      <c r="B10" s="48" t="str">
        <v>MA</v>
      </c>
      <c r="C10" s="36"/>
      <c r="D10" s="37"/>
      <c r="E10" s="37" t="str">
        <f t="shared" si="0"/>
        <v/>
      </c>
      <c r="F10" s="38" t="str">
        <f t="shared" si="3"/>
        <v/>
      </c>
      <c r="G10" s="39"/>
      <c r="H10" s="39" t="str">
        <f t="shared" si="1"/>
        <v/>
      </c>
      <c r="I10" s="40" t="str">
        <f t="shared" si="2"/>
        <v/>
      </c>
      <c r="J10" s="57"/>
      <c r="K10" s="57"/>
    </row>
    <row r="11" spans="1:11" ht="15.6">
      <c r="A11" s="49" t="str">
        <v>ISM Dighton Solar 2</v>
      </c>
      <c r="B11" s="50" t="str">
        <v>MA</v>
      </c>
      <c r="C11" s="43"/>
      <c r="D11" s="44"/>
      <c r="E11" s="44" t="str">
        <f t="shared" si="0"/>
        <v/>
      </c>
      <c r="F11" s="45" t="str">
        <f t="shared" si="3"/>
        <v/>
      </c>
      <c r="G11" s="46"/>
      <c r="H11" s="46" t="str">
        <f t="shared" si="1"/>
        <v/>
      </c>
      <c r="I11" s="45" t="str">
        <f t="shared" si="2"/>
        <v/>
      </c>
      <c r="J11" s="58"/>
      <c r="K11" s="78"/>
    </row>
    <row r="12" spans="1:11" ht="15.6">
      <c r="A12" s="51" t="str">
        <v>Dudley River 1</v>
      </c>
      <c r="B12" s="48" t="str">
        <v>MA</v>
      </c>
      <c r="C12" s="36"/>
      <c r="D12" s="37"/>
      <c r="E12" s="37" t="str">
        <f t="shared" si="0"/>
        <v/>
      </c>
      <c r="F12" s="38" t="str">
        <f t="shared" si="3"/>
        <v/>
      </c>
      <c r="G12" s="39"/>
      <c r="H12" s="39" t="str">
        <f t="shared" si="1"/>
        <v/>
      </c>
      <c r="I12" s="40" t="str">
        <f t="shared" si="2"/>
        <v/>
      </c>
      <c r="J12" s="57"/>
      <c r="K12" s="57"/>
    </row>
    <row r="13" spans="1:11" ht="15.6">
      <c r="A13" s="49" t="str">
        <v>Dudley River 2</v>
      </c>
      <c r="B13" s="50" t="str">
        <v>MA</v>
      </c>
      <c r="C13" s="43"/>
      <c r="D13" s="44"/>
      <c r="E13" s="44" t="str">
        <f t="shared" si="0"/>
        <v/>
      </c>
      <c r="F13" s="45" t="str">
        <f t="shared" si="3"/>
        <v/>
      </c>
      <c r="G13" s="46"/>
      <c r="H13" s="46" t="str">
        <f t="shared" si="1"/>
        <v/>
      </c>
      <c r="I13" s="45" t="str">
        <f t="shared" si="2"/>
        <v/>
      </c>
      <c r="J13" s="58"/>
      <c r="K13" s="59"/>
    </row>
    <row r="14" spans="1:11" ht="15.6">
      <c r="A14" s="51" t="str">
        <v>Dudley River 3</v>
      </c>
      <c r="B14" s="48" t="str">
        <v>MA</v>
      </c>
      <c r="C14" s="36"/>
      <c r="D14" s="37"/>
      <c r="E14" s="37" t="str">
        <f t="shared" si="0"/>
        <v/>
      </c>
      <c r="F14" s="38" t="str">
        <f t="shared" si="3"/>
        <v/>
      </c>
      <c r="G14" s="39"/>
      <c r="H14" s="39" t="str">
        <f t="shared" si="1"/>
        <v/>
      </c>
      <c r="I14" s="40" t="str">
        <f t="shared" si="2"/>
        <v/>
      </c>
      <c r="J14" s="57"/>
      <c r="K14" s="57"/>
    </row>
    <row r="15" spans="1:11" ht="15.6">
      <c r="A15" s="49" t="str">
        <v>Flint Pond</v>
      </c>
      <c r="B15" s="50" t="str">
        <v>MA</v>
      </c>
      <c r="C15" s="43"/>
      <c r="D15" s="44"/>
      <c r="E15" s="44" t="str">
        <f t="shared" si="0"/>
        <v/>
      </c>
      <c r="F15" s="45" t="str">
        <f t="shared" si="3"/>
        <v/>
      </c>
      <c r="G15" s="46"/>
      <c r="H15" s="46" t="str">
        <f t="shared" si="1"/>
        <v/>
      </c>
      <c r="I15" s="45" t="str">
        <f t="shared" si="2"/>
        <v/>
      </c>
      <c r="J15" s="58"/>
      <c r="K15" s="59"/>
    </row>
    <row r="16" spans="1:11" ht="15.6">
      <c r="A16" s="51" t="str">
        <v>Incom</v>
      </c>
      <c r="B16" s="48" t="str">
        <v>MA</v>
      </c>
      <c r="C16" s="36"/>
      <c r="D16" s="37"/>
      <c r="E16" s="37" t="str">
        <f t="shared" si="0"/>
        <v/>
      </c>
      <c r="F16" s="38" t="str">
        <f>IFERROR(E16/D16, "")</f>
        <v/>
      </c>
      <c r="G16" s="39"/>
      <c r="H16" s="39" t="str">
        <f t="shared" si="1"/>
        <v/>
      </c>
      <c r="I16" s="40" t="str">
        <f t="shared" si="2"/>
        <v/>
      </c>
      <c r="J16" s="57"/>
      <c r="K16" s="57"/>
    </row>
    <row r="17" spans="1:11" ht="15.6">
      <c r="A17" s="49" t="str">
        <v>JH</v>
      </c>
      <c r="B17" s="50" t="str">
        <v>MA</v>
      </c>
      <c r="C17" s="43"/>
      <c r="D17" s="44"/>
      <c r="E17" s="44"/>
      <c r="F17" s="45" t="str">
        <f t="shared" si="3"/>
        <v/>
      </c>
      <c r="G17" s="46"/>
      <c r="H17" s="46" t="str">
        <f t="shared" si="1"/>
        <v/>
      </c>
      <c r="I17" s="45" t="str">
        <f t="shared" si="2"/>
        <v/>
      </c>
      <c r="J17" s="58"/>
      <c r="K17" s="59"/>
    </row>
    <row r="18" spans="1:11" ht="12.75" customHeight="1">
      <c r="A18" s="47" t="str">
        <v>Ledeaux</v>
      </c>
      <c r="B18" s="48" t="str">
        <v>MA</v>
      </c>
      <c r="C18" s="36"/>
      <c r="D18" s="37"/>
      <c r="E18" s="37" t="str">
        <f t="shared" ref="E18:E24" si="4">IF(AND(ISNUMBER(C18),ISNUMBER(D18)), C18-D18, "")</f>
        <v/>
      </c>
      <c r="F18" s="38" t="str">
        <f t="shared" ref="F18:F24" si="5">IFERROR(E18/D18, "")</f>
        <v/>
      </c>
      <c r="G18" s="39"/>
      <c r="H18" s="39" t="str">
        <f t="shared" ref="H18:H24" si="6">IF(AND(ISNUMBER(C18),ISNUMBER(G18)), C18-G18, "")</f>
        <v/>
      </c>
      <c r="I18" s="40" t="str">
        <f t="shared" ref="I18:I24" si="7">IFERROR(H18/G18, "")</f>
        <v/>
      </c>
      <c r="J18" s="57"/>
      <c r="K18" s="57"/>
    </row>
    <row r="19" spans="1:11" ht="15.6">
      <c r="A19" s="49" t="str">
        <v>Palombo A</v>
      </c>
      <c r="B19" s="50" t="str">
        <v>MA</v>
      </c>
      <c r="C19" s="43"/>
      <c r="D19" s="44"/>
      <c r="E19" s="44" t="str">
        <f t="shared" si="4"/>
        <v/>
      </c>
      <c r="F19" s="45" t="str">
        <f t="shared" si="5"/>
        <v/>
      </c>
      <c r="G19" s="46"/>
      <c r="H19" s="46" t="str">
        <f t="shared" si="6"/>
        <v/>
      </c>
      <c r="I19" s="45" t="str">
        <f t="shared" si="7"/>
        <v/>
      </c>
      <c r="J19" s="58"/>
      <c r="K19" s="58"/>
    </row>
    <row r="20" spans="1:11" ht="15.6">
      <c r="A20" s="51" t="str">
        <v>Palombo B</v>
      </c>
      <c r="B20" s="48" t="str">
        <v>MA</v>
      </c>
      <c r="C20" s="36"/>
      <c r="D20" s="37"/>
      <c r="E20" s="37" t="str">
        <f t="shared" si="4"/>
        <v/>
      </c>
      <c r="F20" s="38" t="str">
        <f t="shared" si="5"/>
        <v/>
      </c>
      <c r="G20" s="39"/>
      <c r="H20" s="39" t="str">
        <f t="shared" si="6"/>
        <v/>
      </c>
      <c r="I20" s="40" t="str">
        <f t="shared" si="7"/>
        <v/>
      </c>
      <c r="J20" s="57"/>
      <c r="K20" s="57"/>
    </row>
    <row r="21" spans="1:11" ht="15.6">
      <c r="A21" s="49" t="str">
        <v>St Josephs Church</v>
      </c>
      <c r="B21" s="50" t="str">
        <v>MA</v>
      </c>
      <c r="C21" s="43"/>
      <c r="D21" s="44"/>
      <c r="E21" s="44" t="str">
        <f t="shared" si="4"/>
        <v/>
      </c>
      <c r="F21" s="45" t="str">
        <f t="shared" si="5"/>
        <v/>
      </c>
      <c r="G21" s="46"/>
      <c r="H21" s="46" t="str">
        <f t="shared" si="6"/>
        <v/>
      </c>
      <c r="I21" s="45" t="str">
        <f t="shared" si="7"/>
        <v/>
      </c>
      <c r="J21" s="58"/>
      <c r="K21" s="59"/>
    </row>
    <row r="22" spans="1:11" ht="15.6">
      <c r="A22" s="51" t="str">
        <v>Sunset A</v>
      </c>
      <c r="B22" s="48" t="str">
        <v>MA</v>
      </c>
      <c r="C22" s="36"/>
      <c r="D22" s="37"/>
      <c r="E22" s="37" t="str">
        <f t="shared" si="4"/>
        <v/>
      </c>
      <c r="F22" s="38" t="str">
        <f t="shared" si="5"/>
        <v/>
      </c>
      <c r="G22" s="39"/>
      <c r="H22" s="39" t="str">
        <f t="shared" si="6"/>
        <v/>
      </c>
      <c r="I22" s="40" t="str">
        <f t="shared" si="7"/>
        <v/>
      </c>
      <c r="J22" s="57"/>
      <c r="K22" s="57"/>
    </row>
    <row r="23" spans="1:11" ht="15.6">
      <c r="A23" s="49" t="str">
        <v>Sunset B</v>
      </c>
      <c r="B23" s="50" t="str">
        <v>MA</v>
      </c>
      <c r="C23" s="43"/>
      <c r="D23" s="44"/>
      <c r="E23" s="44" t="str">
        <f t="shared" si="4"/>
        <v/>
      </c>
      <c r="F23" s="45" t="str">
        <f t="shared" si="5"/>
        <v/>
      </c>
      <c r="G23" s="46"/>
      <c r="H23" s="46" t="str">
        <f t="shared" si="6"/>
        <v/>
      </c>
      <c r="I23" s="45" t="str">
        <f t="shared" si="7"/>
        <v/>
      </c>
      <c r="J23" s="58"/>
      <c r="K23" s="59"/>
    </row>
    <row r="24" spans="1:11" ht="15.6">
      <c r="A24" s="51" t="str">
        <v>Woodchuck</v>
      </c>
      <c r="B24" s="48" t="str">
        <v>MA</v>
      </c>
      <c r="C24" s="36"/>
      <c r="D24" s="37"/>
      <c r="E24" s="37" t="str">
        <f t="shared" si="4"/>
        <v/>
      </c>
      <c r="F24" s="38" t="str">
        <f t="shared" si="5"/>
        <v/>
      </c>
      <c r="G24" s="39"/>
      <c r="H24" s="39" t="str">
        <f t="shared" si="6"/>
        <v/>
      </c>
      <c r="I24" s="40" t="str">
        <f t="shared" si="7"/>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41"/>
  <sheetViews>
    <sheetView zoomScaleNormal="100" workbookViewId="0">
      <pane xSplit="2" ySplit="3" topLeftCell="C4" activePane="bottomRight" state="frozen"/>
      <selection pane="bottomRight" activeCell="G13" sqref="G13"/>
      <selection pane="bottomLeft" activeCell="J14" sqref="J14"/>
      <selection pane="topRight" activeCell="J14" sqref="J14"/>
    </sheetView>
  </sheetViews>
  <sheetFormatPr defaultRowHeight="13.9"/>
  <cols>
    <col min="1" max="1" width="35.85546875" bestFit="1" customWidth="1"/>
    <col min="2" max="2" width="8.42578125" style="19"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96" t="str" cm="1">
        <f t="array" ref="A1">portfolio</f>
        <v>38 DN</v>
      </c>
      <c r="B1" s="96"/>
      <c r="C1" s="96"/>
      <c r="D1" s="97" t="s">
        <v>171</v>
      </c>
      <c r="E1" s="97"/>
      <c r="F1" s="97"/>
      <c r="G1" s="95" t="s">
        <v>172</v>
      </c>
      <c r="H1" s="95"/>
      <c r="I1" s="95"/>
      <c r="J1" s="4"/>
      <c r="K1" s="4"/>
    </row>
    <row r="2" spans="1:13" ht="19.5" customHeight="1">
      <c r="A2" s="98" t="s">
        <v>2</v>
      </c>
      <c r="B2" s="98"/>
      <c r="C2" s="5">
        <f>SUM(C4:C99)</f>
        <v>0</v>
      </c>
      <c r="D2" s="5">
        <f>SUM(D4:D99)</f>
        <v>0</v>
      </c>
      <c r="E2" s="5">
        <f>C2-D2</f>
        <v>0</v>
      </c>
      <c r="F2" s="6">
        <f>IFERROR(E2/D2, 0)</f>
        <v>0</v>
      </c>
      <c r="G2" s="5">
        <f>SUM(G4:G99)</f>
        <v>0</v>
      </c>
      <c r="H2" s="7">
        <f>C2-G2</f>
        <v>0</v>
      </c>
      <c r="I2" s="6">
        <f>IFERROR(H2/G2, 0)</f>
        <v>0</v>
      </c>
      <c r="J2" s="1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7" t="s">
        <v>3</v>
      </c>
      <c r="B3" s="17" t="s">
        <v>4</v>
      </c>
      <c r="C3" s="27" t="s">
        <v>5</v>
      </c>
      <c r="D3" s="28" t="s">
        <v>6</v>
      </c>
      <c r="E3" s="28" t="s">
        <v>7</v>
      </c>
      <c r="F3" s="29" t="s">
        <v>8</v>
      </c>
      <c r="G3" s="30" t="s">
        <v>9</v>
      </c>
      <c r="H3" s="31" t="s">
        <v>7</v>
      </c>
      <c r="I3" s="32" t="s">
        <v>8</v>
      </c>
      <c r="J3" s="15" t="s">
        <v>20</v>
      </c>
      <c r="K3" s="15" t="s">
        <v>21</v>
      </c>
    </row>
    <row r="4" spans="1:13" ht="15.6">
      <c r="A4" s="47" t="str" cm="1">
        <f t="array" ref="A4:A24">Sites[Site]</f>
        <v>6th St.</v>
      </c>
      <c r="B4" s="48" t="str" cm="1">
        <f t="array" ref="B4:B24">Sites[State]</f>
        <v>CA</v>
      </c>
      <c r="C4" s="36"/>
      <c r="D4" s="37"/>
      <c r="E4" s="37" t="str">
        <f>IF(AND(ISNUMBER(C4),ISNUMBER(D4)), C4-D4, "")</f>
        <v/>
      </c>
      <c r="F4" s="38" t="str">
        <f>IFERROR(E4/D4, "")</f>
        <v/>
      </c>
      <c r="G4" s="39"/>
      <c r="H4" s="39" t="str">
        <f>IF(AND(ISNUMBER(C4),ISNUMBER(G4)), C4-G4, "")</f>
        <v/>
      </c>
      <c r="I4" s="40" t="str">
        <f>IFERROR(H4/G4, "")</f>
        <v/>
      </c>
      <c r="J4" s="57"/>
      <c r="K4" s="57"/>
    </row>
    <row r="5" spans="1:13" ht="15.6">
      <c r="A5" s="49" t="str">
        <v>Barton Acres</v>
      </c>
      <c r="B5" s="50" t="str">
        <v>MA</v>
      </c>
      <c r="C5" s="43"/>
      <c r="D5" s="44"/>
      <c r="E5" s="44" t="str">
        <f t="shared" ref="E5:E24" si="0">IF(AND(ISNUMBER(C5),ISNUMBER(D5)), C5-D5, "")</f>
        <v/>
      </c>
      <c r="F5" s="45" t="str">
        <f>IFERROR(E5/D5, "")</f>
        <v/>
      </c>
      <c r="G5" s="46"/>
      <c r="H5" s="46" t="str">
        <f t="shared" ref="H5:H24" si="1">IF(AND(ISNUMBER(C5),ISNUMBER(G5)), C5-G5, "")</f>
        <v/>
      </c>
      <c r="I5" s="45" t="str">
        <f t="shared" ref="I5:I24" si="2">IFERROR(H5/G5, "")</f>
        <v/>
      </c>
      <c r="J5" s="58"/>
      <c r="K5" s="58"/>
    </row>
    <row r="6" spans="1:13" ht="15.6">
      <c r="A6" s="51" t="str">
        <v>Bowden</v>
      </c>
      <c r="B6" s="48" t="str">
        <v>MA</v>
      </c>
      <c r="C6" s="36"/>
      <c r="D6" s="37"/>
      <c r="E6" s="37" t="str">
        <f t="shared" si="0"/>
        <v/>
      </c>
      <c r="F6" s="38" t="str">
        <f t="shared" ref="F6:F24" si="3">IFERROR(E6/D6, "")</f>
        <v/>
      </c>
      <c r="G6" s="39"/>
      <c r="H6" s="39" t="str">
        <f t="shared" si="1"/>
        <v/>
      </c>
      <c r="I6" s="40" t="str">
        <f t="shared" si="2"/>
        <v/>
      </c>
      <c r="J6" s="57"/>
      <c r="K6" s="57"/>
    </row>
    <row r="7" spans="1:13" ht="15.6">
      <c r="A7" s="49" t="str">
        <v>Blair Wire Village</v>
      </c>
      <c r="B7" s="50" t="str">
        <v>MA</v>
      </c>
      <c r="C7" s="43"/>
      <c r="D7" s="44"/>
      <c r="E7" s="44" t="str">
        <f t="shared" si="0"/>
        <v/>
      </c>
      <c r="F7" s="45" t="str">
        <f t="shared" si="3"/>
        <v/>
      </c>
      <c r="G7" s="46"/>
      <c r="H7" s="46" t="str">
        <f t="shared" si="1"/>
        <v/>
      </c>
      <c r="I7" s="45" t="str">
        <f t="shared" si="2"/>
        <v/>
      </c>
      <c r="J7" s="58"/>
      <c r="K7" s="59"/>
    </row>
    <row r="8" spans="1:13" ht="15.6">
      <c r="A8" s="51" t="str">
        <v>Boutilier</v>
      </c>
      <c r="B8" s="48" t="str">
        <v>MA</v>
      </c>
      <c r="C8" s="36"/>
      <c r="D8" s="37"/>
      <c r="E8" s="37" t="str">
        <f t="shared" si="0"/>
        <v/>
      </c>
      <c r="F8" s="38" t="str">
        <f t="shared" si="3"/>
        <v/>
      </c>
      <c r="G8" s="39"/>
      <c r="H8" s="39" t="str">
        <f t="shared" si="1"/>
        <v/>
      </c>
      <c r="I8" s="40" t="str">
        <f t="shared" si="2"/>
        <v/>
      </c>
      <c r="J8" s="57"/>
      <c r="K8" s="57"/>
    </row>
    <row r="9" spans="1:13" ht="15.6">
      <c r="A9" s="49" t="str">
        <v>Cherry Valley</v>
      </c>
      <c r="B9" s="50" t="str">
        <v>MA</v>
      </c>
      <c r="C9" s="43"/>
      <c r="D9" s="44"/>
      <c r="E9" s="44" t="str">
        <f t="shared" si="0"/>
        <v/>
      </c>
      <c r="F9" s="45" t="str">
        <f t="shared" si="3"/>
        <v/>
      </c>
      <c r="G9" s="46"/>
      <c r="H9" s="46" t="str">
        <f t="shared" si="1"/>
        <v/>
      </c>
      <c r="I9" s="45" t="str">
        <f t="shared" si="2"/>
        <v/>
      </c>
      <c r="J9" s="67"/>
      <c r="K9" s="80"/>
    </row>
    <row r="10" spans="1:13" ht="15.6">
      <c r="A10" s="51" t="str">
        <v>Cohasse</v>
      </c>
      <c r="B10" s="48" t="str">
        <v>MA</v>
      </c>
      <c r="C10" s="36"/>
      <c r="D10" s="37"/>
      <c r="E10" s="37" t="str">
        <f t="shared" si="0"/>
        <v/>
      </c>
      <c r="F10" s="38" t="str">
        <f t="shared" si="3"/>
        <v/>
      </c>
      <c r="G10" s="39"/>
      <c r="H10" s="39" t="str">
        <f t="shared" si="1"/>
        <v/>
      </c>
      <c r="I10" s="40" t="str">
        <f t="shared" si="2"/>
        <v/>
      </c>
      <c r="J10" s="57"/>
      <c r="K10" s="57"/>
    </row>
    <row r="11" spans="1:13" ht="15.6">
      <c r="A11" s="49" t="str">
        <v>ISM Dighton Solar 2</v>
      </c>
      <c r="B11" s="50" t="str">
        <v>MA</v>
      </c>
      <c r="C11" s="43"/>
      <c r="D11" s="44"/>
      <c r="E11" s="44" t="str">
        <f t="shared" si="0"/>
        <v/>
      </c>
      <c r="F11" s="45" t="str">
        <f t="shared" si="3"/>
        <v/>
      </c>
      <c r="G11" s="46"/>
      <c r="H11" s="46" t="str">
        <f t="shared" si="1"/>
        <v/>
      </c>
      <c r="I11" s="45" t="str">
        <f t="shared" si="2"/>
        <v/>
      </c>
      <c r="J11" s="58"/>
      <c r="K11" s="78"/>
      <c r="M11" t="s">
        <v>173</v>
      </c>
    </row>
    <row r="12" spans="1:13" ht="15.6">
      <c r="A12" s="51" t="str">
        <v>Dudley River 1</v>
      </c>
      <c r="B12" s="48" t="str">
        <v>MA</v>
      </c>
      <c r="C12" s="36"/>
      <c r="D12" s="37"/>
      <c r="E12" s="37" t="str">
        <f t="shared" si="0"/>
        <v/>
      </c>
      <c r="F12" s="38" t="str">
        <f t="shared" si="3"/>
        <v/>
      </c>
      <c r="G12" s="39"/>
      <c r="H12" s="39" t="str">
        <f t="shared" si="1"/>
        <v/>
      </c>
      <c r="I12" s="40" t="str">
        <f t="shared" si="2"/>
        <v/>
      </c>
      <c r="J12" s="66"/>
      <c r="K12" s="66"/>
    </row>
    <row r="13" spans="1:13" ht="15.6">
      <c r="A13" s="49" t="str">
        <v>Dudley River 2</v>
      </c>
      <c r="B13" s="50" t="str">
        <v>MA</v>
      </c>
      <c r="C13" s="43"/>
      <c r="D13" s="44"/>
      <c r="E13" s="44" t="str">
        <f t="shared" si="0"/>
        <v/>
      </c>
      <c r="F13" s="45" t="str">
        <f t="shared" si="3"/>
        <v/>
      </c>
      <c r="G13" s="46"/>
      <c r="H13" s="46" t="str">
        <f t="shared" si="1"/>
        <v/>
      </c>
      <c r="I13" s="45" t="str">
        <f t="shared" si="2"/>
        <v/>
      </c>
      <c r="J13" s="58"/>
      <c r="K13" s="59"/>
    </row>
    <row r="14" spans="1:13" ht="15.6">
      <c r="A14" s="51" t="str">
        <v>Dudley River 3</v>
      </c>
      <c r="B14" s="48" t="str">
        <v>MA</v>
      </c>
      <c r="C14" s="36"/>
      <c r="D14" s="37"/>
      <c r="E14" s="37" t="str">
        <f t="shared" si="0"/>
        <v/>
      </c>
      <c r="F14" s="38" t="str">
        <f t="shared" si="3"/>
        <v/>
      </c>
      <c r="G14" s="39"/>
      <c r="H14" s="39" t="str">
        <f t="shared" si="1"/>
        <v/>
      </c>
      <c r="I14" s="40" t="str">
        <f t="shared" si="2"/>
        <v/>
      </c>
      <c r="J14" s="66"/>
      <c r="K14" s="66"/>
    </row>
    <row r="15" spans="1:13" ht="15.6">
      <c r="A15" s="49" t="str">
        <v>Flint Pond</v>
      </c>
      <c r="B15" s="50" t="str">
        <v>MA</v>
      </c>
      <c r="C15" s="43"/>
      <c r="D15" s="44"/>
      <c r="E15" s="44" t="str">
        <f t="shared" si="0"/>
        <v/>
      </c>
      <c r="F15" s="45" t="str">
        <f t="shared" si="3"/>
        <v/>
      </c>
      <c r="G15" s="46"/>
      <c r="H15" s="46" t="str">
        <f t="shared" si="1"/>
        <v/>
      </c>
      <c r="I15" s="45" t="str">
        <f t="shared" si="2"/>
        <v/>
      </c>
      <c r="J15" s="82"/>
      <c r="K15" s="79"/>
    </row>
    <row r="16" spans="1:13" ht="15.6">
      <c r="A16" s="51" t="str">
        <v>Incom</v>
      </c>
      <c r="B16" s="48" t="str">
        <v>MA</v>
      </c>
      <c r="C16" s="36"/>
      <c r="D16" s="37"/>
      <c r="E16" s="37" t="str">
        <f t="shared" si="0"/>
        <v/>
      </c>
      <c r="F16" s="38" t="str">
        <f t="shared" si="3"/>
        <v/>
      </c>
      <c r="G16" s="39"/>
      <c r="H16" s="39" t="str">
        <f t="shared" si="1"/>
        <v/>
      </c>
      <c r="I16" s="40" t="str">
        <f t="shared" si="2"/>
        <v/>
      </c>
      <c r="J16" s="81"/>
      <c r="K16" s="57"/>
    </row>
    <row r="17" spans="1:11" ht="15.6">
      <c r="A17" s="49" t="str">
        <v>JH</v>
      </c>
      <c r="B17" s="50" t="str">
        <v>MA</v>
      </c>
      <c r="C17" s="43"/>
      <c r="D17" s="44"/>
      <c r="E17" s="44"/>
      <c r="F17" s="45" t="str">
        <f t="shared" si="3"/>
        <v/>
      </c>
      <c r="G17" s="46"/>
      <c r="H17" s="46" t="str">
        <f t="shared" si="1"/>
        <v/>
      </c>
      <c r="I17" s="45" t="str">
        <f t="shared" si="2"/>
        <v/>
      </c>
      <c r="J17" s="58"/>
      <c r="K17" s="79"/>
    </row>
    <row r="18" spans="1:11" ht="16.5" customHeight="1">
      <c r="A18" s="51" t="str">
        <v>Ledeaux</v>
      </c>
      <c r="B18" s="48" t="str">
        <v>MA</v>
      </c>
      <c r="C18" s="36"/>
      <c r="D18" s="37"/>
      <c r="E18" s="37" t="str">
        <f t="shared" si="0"/>
        <v/>
      </c>
      <c r="F18" s="38" t="str">
        <f t="shared" si="3"/>
        <v/>
      </c>
      <c r="G18" s="39"/>
      <c r="H18" s="39" t="str">
        <f t="shared" si="1"/>
        <v/>
      </c>
      <c r="I18" s="40" t="str">
        <f t="shared" si="2"/>
        <v/>
      </c>
      <c r="J18" s="57"/>
      <c r="K18" s="57"/>
    </row>
    <row r="19" spans="1:11" ht="15.6">
      <c r="A19" s="49" t="str">
        <v>Palombo A</v>
      </c>
      <c r="B19" s="50" t="str">
        <v>MA</v>
      </c>
      <c r="C19" s="43"/>
      <c r="D19" s="44"/>
      <c r="E19" s="44" t="str">
        <f t="shared" si="0"/>
        <v/>
      </c>
      <c r="F19" s="45" t="str">
        <f t="shared" si="3"/>
        <v/>
      </c>
      <c r="G19" s="46"/>
      <c r="H19" s="46" t="str">
        <f t="shared" si="1"/>
        <v/>
      </c>
      <c r="I19" s="45" t="str">
        <f t="shared" si="2"/>
        <v/>
      </c>
      <c r="J19" s="58"/>
      <c r="K19" s="58"/>
    </row>
    <row r="20" spans="1:11" ht="15.6">
      <c r="A20" s="51" t="str">
        <v>Palombo B</v>
      </c>
      <c r="B20" s="48" t="str">
        <v>MA</v>
      </c>
      <c r="C20" s="36"/>
      <c r="D20" s="37"/>
      <c r="E20" s="37" t="str">
        <f t="shared" si="0"/>
        <v/>
      </c>
      <c r="F20" s="38" t="str">
        <f t="shared" si="3"/>
        <v/>
      </c>
      <c r="G20" s="39"/>
      <c r="H20" s="39" t="str">
        <f t="shared" si="1"/>
        <v/>
      </c>
      <c r="I20" s="40" t="str">
        <f t="shared" si="2"/>
        <v/>
      </c>
      <c r="J20" s="57"/>
      <c r="K20" s="57"/>
    </row>
    <row r="21" spans="1:11" ht="15.6">
      <c r="A21" s="49" t="str">
        <v>St Josephs Church</v>
      </c>
      <c r="B21" s="50" t="str">
        <v>MA</v>
      </c>
      <c r="C21" s="43"/>
      <c r="D21" s="44"/>
      <c r="E21" s="44" t="str">
        <f t="shared" si="0"/>
        <v/>
      </c>
      <c r="F21" s="45" t="str">
        <f t="shared" si="3"/>
        <v/>
      </c>
      <c r="G21" s="46"/>
      <c r="H21" s="46" t="str">
        <f t="shared" si="1"/>
        <v/>
      </c>
      <c r="I21" s="45" t="str">
        <f t="shared" si="2"/>
        <v/>
      </c>
      <c r="J21" s="58"/>
      <c r="K21" s="59"/>
    </row>
    <row r="22" spans="1:11" ht="15.6">
      <c r="A22" s="51" t="str">
        <v>Sunset A</v>
      </c>
      <c r="B22" s="48" t="str">
        <v>MA</v>
      </c>
      <c r="C22" s="36"/>
      <c r="D22" s="37"/>
      <c r="E22" s="37" t="str">
        <f t="shared" si="0"/>
        <v/>
      </c>
      <c r="F22" s="38" t="str">
        <f t="shared" si="3"/>
        <v/>
      </c>
      <c r="G22" s="39"/>
      <c r="H22" s="39" t="str">
        <f t="shared" si="1"/>
        <v/>
      </c>
      <c r="I22" s="40" t="str">
        <f t="shared" si="2"/>
        <v/>
      </c>
      <c r="J22" s="75"/>
      <c r="K22" s="57"/>
    </row>
    <row r="23" spans="1:11" ht="15.6">
      <c r="A23" s="49" t="str">
        <v>Sunset B</v>
      </c>
      <c r="B23" s="50" t="str">
        <v>MA</v>
      </c>
      <c r="C23" s="43"/>
      <c r="D23" s="44"/>
      <c r="E23" s="44" t="str">
        <f t="shared" si="0"/>
        <v/>
      </c>
      <c r="F23" s="45" t="str">
        <f t="shared" si="3"/>
        <v/>
      </c>
      <c r="G23" s="46"/>
      <c r="H23" s="46" t="str">
        <f t="shared" si="1"/>
        <v/>
      </c>
      <c r="I23" s="45" t="str">
        <f t="shared" si="2"/>
        <v/>
      </c>
      <c r="J23" s="69"/>
      <c r="K23" s="76"/>
    </row>
    <row r="24" spans="1:11" ht="15.6">
      <c r="A24" s="51" t="str">
        <v>Woodchuck</v>
      </c>
      <c r="B24" s="48" t="str">
        <v>MA</v>
      </c>
      <c r="C24" s="36"/>
      <c r="D24" s="37"/>
      <c r="E24" s="37" t="str">
        <f t="shared" si="0"/>
        <v/>
      </c>
      <c r="F24" s="38" t="str">
        <f t="shared" si="3"/>
        <v/>
      </c>
      <c r="G24" s="39"/>
      <c r="H24" s="39" t="str">
        <f t="shared" si="1"/>
        <v/>
      </c>
      <c r="I24" s="40" t="str">
        <f t="shared" si="2"/>
        <v/>
      </c>
      <c r="J24" s="57"/>
      <c r="K24" s="57"/>
    </row>
    <row r="25" spans="1:11" ht="14.45">
      <c r="A25" s="13"/>
      <c r="B25" s="18"/>
      <c r="C25" s="13"/>
      <c r="D25" s="13"/>
      <c r="E25" s="13"/>
      <c r="F25" s="13"/>
      <c r="G25" s="13"/>
      <c r="H25" s="13"/>
      <c r="I25" s="13"/>
      <c r="J25" s="13"/>
      <c r="K25" s="13"/>
    </row>
    <row r="26" spans="1:11" ht="14.45">
      <c r="A26" s="13"/>
      <c r="B26" s="18"/>
      <c r="C26" s="13"/>
      <c r="D26" s="13"/>
      <c r="E26" s="13"/>
      <c r="F26" s="13"/>
      <c r="G26" s="13"/>
      <c r="H26" s="13"/>
      <c r="I26" s="13"/>
      <c r="J26" s="13"/>
      <c r="K26" s="13"/>
    </row>
    <row r="27" spans="1:11" ht="14.45">
      <c r="A27" s="13"/>
      <c r="B27" s="18"/>
      <c r="C27" s="13"/>
      <c r="D27" s="13"/>
      <c r="E27" s="13"/>
      <c r="F27" s="13"/>
      <c r="G27" s="13"/>
      <c r="H27" s="13"/>
      <c r="I27" s="13"/>
      <c r="J27" s="13"/>
      <c r="K27" s="13"/>
    </row>
    <row r="28" spans="1:11" ht="14.45">
      <c r="A28" s="13"/>
      <c r="B28" s="18"/>
      <c r="C28" s="13"/>
      <c r="D28" s="13"/>
      <c r="E28" s="13"/>
      <c r="F28" s="13"/>
      <c r="G28" s="13"/>
      <c r="H28" s="13"/>
      <c r="I28" s="13"/>
      <c r="J28" s="13"/>
      <c r="K28" s="13"/>
    </row>
    <row r="29" spans="1:11" ht="14.45">
      <c r="A29" s="13"/>
      <c r="B29" s="18"/>
      <c r="C29" s="13"/>
      <c r="D29" s="13"/>
      <c r="E29" s="13"/>
      <c r="F29" s="13"/>
      <c r="G29" s="13"/>
      <c r="H29" s="13"/>
      <c r="I29" s="13"/>
      <c r="J29" s="13"/>
      <c r="K29" s="13"/>
    </row>
    <row r="30" spans="1:11" ht="14.45">
      <c r="A30" s="13"/>
      <c r="B30" s="18"/>
      <c r="C30" s="13"/>
      <c r="D30" s="13"/>
      <c r="E30" s="13"/>
      <c r="F30" s="13"/>
      <c r="G30" s="13"/>
      <c r="H30" s="13"/>
      <c r="I30" s="13"/>
      <c r="J30" s="13"/>
      <c r="K30" s="13"/>
    </row>
    <row r="31" spans="1:11" ht="14.45">
      <c r="A31" s="13"/>
      <c r="B31" s="18"/>
      <c r="C31" s="13"/>
      <c r="D31" s="13"/>
      <c r="E31" s="13"/>
      <c r="F31" s="13"/>
      <c r="G31" s="13"/>
      <c r="H31" s="13"/>
      <c r="I31" s="13"/>
      <c r="J31" s="13"/>
      <c r="K31" s="13"/>
    </row>
    <row r="32" spans="1:11" ht="14.45">
      <c r="A32" s="13"/>
      <c r="B32" s="18"/>
      <c r="C32" s="13"/>
      <c r="D32" s="13"/>
      <c r="E32" s="13"/>
      <c r="F32" s="14"/>
      <c r="G32" s="13"/>
      <c r="H32" s="13"/>
      <c r="I32" s="14"/>
      <c r="J32" s="13"/>
      <c r="K32" s="13"/>
    </row>
    <row r="33" spans="1:11" ht="14.45">
      <c r="A33" s="13"/>
      <c r="B33" s="18"/>
      <c r="C33" s="13"/>
      <c r="D33" s="13"/>
      <c r="E33" s="13"/>
      <c r="F33" s="14"/>
      <c r="G33" s="13"/>
      <c r="H33" s="13"/>
      <c r="I33" s="14"/>
      <c r="J33" s="13"/>
      <c r="K33" s="13"/>
    </row>
    <row r="34" spans="1:11" ht="14.45">
      <c r="A34" s="13"/>
      <c r="B34" s="18"/>
      <c r="C34" s="13"/>
      <c r="D34" s="13"/>
      <c r="E34" s="13"/>
      <c r="F34" s="14"/>
      <c r="G34" s="13"/>
      <c r="H34" s="13"/>
      <c r="I34" s="14"/>
      <c r="J34" s="13"/>
      <c r="K34" s="13"/>
    </row>
    <row r="35" spans="1:11" ht="14.45">
      <c r="A35" s="13"/>
      <c r="B35" s="18"/>
      <c r="C35" s="13"/>
      <c r="D35" s="13"/>
      <c r="E35" s="13"/>
      <c r="F35" s="14"/>
      <c r="G35" s="13"/>
      <c r="H35" s="13"/>
      <c r="I35" s="14"/>
      <c r="J35" s="13"/>
      <c r="K35" s="13"/>
    </row>
    <row r="36" spans="1:11" ht="14.45">
      <c r="A36" s="13"/>
      <c r="B36" s="18"/>
      <c r="C36" s="13"/>
      <c r="D36" s="13"/>
      <c r="E36" s="13"/>
      <c r="F36" s="14"/>
      <c r="G36" s="13"/>
      <c r="H36" s="13"/>
      <c r="I36" s="14"/>
      <c r="J36" s="13"/>
      <c r="K36" s="13"/>
    </row>
    <row r="37" spans="1:11" ht="14.45">
      <c r="A37" s="13"/>
      <c r="B37" s="18"/>
      <c r="C37" s="13"/>
      <c r="D37" s="13"/>
      <c r="E37" s="13"/>
      <c r="F37" s="14"/>
      <c r="G37" s="13"/>
      <c r="H37" s="13"/>
      <c r="I37" s="14"/>
      <c r="J37" s="13"/>
      <c r="K37" s="13"/>
    </row>
    <row r="38" spans="1:11" ht="14.45">
      <c r="A38" s="13"/>
      <c r="B38" s="18"/>
      <c r="C38" s="13"/>
      <c r="D38" s="13"/>
      <c r="E38" s="13"/>
      <c r="F38" s="14"/>
      <c r="G38" s="13"/>
      <c r="H38" s="13"/>
      <c r="I38" s="14"/>
      <c r="J38" s="13"/>
      <c r="K38" s="13"/>
    </row>
    <row r="39" spans="1:11" ht="14.45">
      <c r="A39" s="13"/>
      <c r="B39" s="18"/>
      <c r="C39" s="13"/>
      <c r="D39" s="13"/>
      <c r="E39" s="13"/>
      <c r="F39" s="14"/>
      <c r="G39" s="13"/>
      <c r="H39" s="13"/>
      <c r="I39" s="14"/>
      <c r="J39" s="13"/>
      <c r="K39" s="13"/>
    </row>
    <row r="40" spans="1:11" ht="14.45">
      <c r="A40" s="13"/>
      <c r="B40" s="18"/>
      <c r="C40" s="13"/>
      <c r="D40" s="13"/>
      <c r="E40" s="13"/>
      <c r="F40" s="14"/>
      <c r="G40" s="13"/>
      <c r="H40" s="13"/>
      <c r="I40" s="14"/>
      <c r="J40" s="13"/>
      <c r="K40" s="13"/>
    </row>
    <row r="41" spans="1:11" ht="14.45">
      <c r="A41" s="13"/>
      <c r="B41" s="18"/>
      <c r="C41" s="13"/>
      <c r="D41" s="13"/>
      <c r="E41" s="13"/>
      <c r="F41" s="14"/>
      <c r="G41" s="13"/>
      <c r="H41" s="13"/>
      <c r="I41" s="14"/>
      <c r="J41" s="13"/>
      <c r="K41" s="13"/>
    </row>
    <row r="42" spans="1:11" ht="14.45">
      <c r="A42" s="13"/>
      <c r="B42" s="18"/>
      <c r="C42" s="13"/>
      <c r="D42" s="13"/>
      <c r="E42" s="13"/>
      <c r="F42" s="14"/>
      <c r="G42" s="13"/>
      <c r="H42" s="13"/>
      <c r="I42" s="14"/>
      <c r="J42" s="13"/>
      <c r="K42" s="13"/>
    </row>
    <row r="43" spans="1:11" ht="14.45">
      <c r="A43" s="13"/>
      <c r="B43" s="18"/>
      <c r="C43" s="13"/>
      <c r="D43" s="13"/>
      <c r="E43" s="13"/>
      <c r="F43" s="14"/>
      <c r="G43" s="13"/>
      <c r="H43" s="13"/>
      <c r="I43" s="14"/>
      <c r="J43" s="13"/>
      <c r="K43" s="13"/>
    </row>
    <row r="44" spans="1:11" ht="14.45">
      <c r="A44" s="13"/>
      <c r="B44" s="18"/>
      <c r="C44" s="13"/>
      <c r="D44" s="13"/>
      <c r="E44" s="13"/>
      <c r="F44" s="14"/>
      <c r="G44" s="13"/>
      <c r="H44" s="13"/>
      <c r="I44" s="14"/>
      <c r="J44" s="13"/>
      <c r="K44" s="13"/>
    </row>
    <row r="45" spans="1:11" ht="14.45">
      <c r="A45" s="13"/>
      <c r="B45" s="18"/>
      <c r="C45" s="13"/>
      <c r="D45" s="13"/>
      <c r="E45" s="13"/>
      <c r="F45" s="14"/>
      <c r="G45" s="13"/>
      <c r="H45" s="13"/>
      <c r="I45" s="14"/>
      <c r="J45" s="13"/>
      <c r="K45" s="13"/>
    </row>
    <row r="46" spans="1:11" ht="14.45">
      <c r="A46" s="13"/>
      <c r="B46" s="18"/>
      <c r="C46" s="13"/>
      <c r="D46" s="13"/>
      <c r="E46" s="13"/>
      <c r="F46" s="14"/>
      <c r="G46" s="13"/>
      <c r="H46" s="13"/>
      <c r="I46" s="14"/>
      <c r="J46" s="13"/>
      <c r="K46" s="13"/>
    </row>
    <row r="47" spans="1:11" ht="14.45">
      <c r="A47" s="13"/>
      <c r="B47" s="18"/>
      <c r="C47" s="13"/>
      <c r="D47" s="13"/>
      <c r="E47" s="13"/>
      <c r="F47" s="14"/>
      <c r="G47" s="13"/>
      <c r="H47" s="13"/>
      <c r="I47" s="14"/>
      <c r="J47" s="13"/>
      <c r="K47" s="13"/>
    </row>
    <row r="48" spans="1:11" ht="14.45">
      <c r="A48" s="13"/>
      <c r="B48" s="18"/>
      <c r="C48" s="13"/>
      <c r="D48" s="13"/>
      <c r="E48" s="13"/>
      <c r="F48" s="14"/>
      <c r="G48" s="13"/>
      <c r="H48" s="13"/>
      <c r="I48" s="14"/>
      <c r="J48" s="13"/>
      <c r="K48" s="13"/>
    </row>
    <row r="49" spans="1:11" ht="14.45">
      <c r="A49" s="13"/>
      <c r="B49" s="18"/>
      <c r="C49" s="13"/>
      <c r="D49" s="13"/>
      <c r="E49" s="13"/>
      <c r="F49" s="14"/>
      <c r="G49" s="13"/>
      <c r="H49" s="13"/>
      <c r="I49" s="14"/>
      <c r="J49" s="13"/>
      <c r="K49" s="13"/>
    </row>
    <row r="50" spans="1:11" ht="14.45">
      <c r="A50" s="13"/>
      <c r="B50" s="18"/>
      <c r="C50" s="13"/>
      <c r="D50" s="13"/>
      <c r="E50" s="13"/>
      <c r="F50" s="14"/>
      <c r="G50" s="13"/>
      <c r="H50" s="13"/>
      <c r="I50" s="14"/>
      <c r="J50" s="13"/>
      <c r="K50" s="13"/>
    </row>
    <row r="51" spans="1:11" ht="14.45">
      <c r="A51" s="13"/>
      <c r="B51" s="18"/>
      <c r="C51" s="13"/>
      <c r="D51" s="13"/>
      <c r="E51" s="13"/>
      <c r="F51" s="14"/>
      <c r="G51" s="13"/>
      <c r="H51" s="13"/>
      <c r="I51" s="14"/>
      <c r="J51" s="13"/>
      <c r="K51" s="13"/>
    </row>
    <row r="52" spans="1:11" ht="14.45">
      <c r="A52" s="13"/>
      <c r="B52" s="18"/>
      <c r="C52" s="13"/>
      <c r="D52" s="13"/>
      <c r="E52" s="13"/>
      <c r="F52" s="14"/>
      <c r="G52" s="13"/>
      <c r="H52" s="13"/>
      <c r="I52" s="14"/>
      <c r="J52" s="13"/>
      <c r="K52" s="13"/>
    </row>
    <row r="53" spans="1:11" ht="14.45">
      <c r="A53" s="13"/>
      <c r="B53" s="18"/>
      <c r="C53" s="13"/>
      <c r="D53" s="13"/>
      <c r="E53" s="13"/>
      <c r="F53" s="14"/>
      <c r="G53" s="13"/>
      <c r="H53" s="13"/>
      <c r="I53" s="14"/>
      <c r="J53" s="13"/>
      <c r="K53" s="13"/>
    </row>
    <row r="54" spans="1:11" ht="14.45">
      <c r="A54" s="13"/>
      <c r="B54" s="18"/>
      <c r="C54" s="13"/>
      <c r="D54" s="13"/>
      <c r="E54" s="13"/>
      <c r="F54" s="14"/>
      <c r="G54" s="13"/>
      <c r="H54" s="13"/>
      <c r="I54" s="14"/>
      <c r="J54" s="13"/>
      <c r="K54" s="13"/>
    </row>
    <row r="55" spans="1:11" ht="14.45">
      <c r="A55" s="13"/>
      <c r="B55" s="18"/>
      <c r="C55" s="13"/>
      <c r="D55" s="13"/>
      <c r="E55" s="13"/>
      <c r="F55" s="14"/>
      <c r="G55" s="13"/>
      <c r="H55" s="13"/>
      <c r="I55" s="14"/>
      <c r="J55" s="13"/>
      <c r="K55" s="13"/>
    </row>
    <row r="56" spans="1:11" ht="14.45">
      <c r="A56" s="13"/>
      <c r="B56" s="18"/>
      <c r="C56" s="13"/>
      <c r="D56" s="13"/>
      <c r="E56" s="13"/>
      <c r="F56" s="14"/>
      <c r="G56" s="13"/>
      <c r="H56" s="13"/>
      <c r="I56" s="14"/>
      <c r="J56" s="13"/>
      <c r="K56" s="13"/>
    </row>
    <row r="57" spans="1:11" ht="14.45">
      <c r="A57" s="13"/>
      <c r="B57" s="18"/>
      <c r="C57" s="13"/>
      <c r="D57" s="13"/>
      <c r="E57" s="13"/>
      <c r="F57" s="14"/>
      <c r="G57" s="13"/>
      <c r="H57" s="13"/>
      <c r="I57" s="14"/>
      <c r="J57" s="13"/>
      <c r="K57" s="13"/>
    </row>
    <row r="58" spans="1:11" ht="14.45">
      <c r="A58" s="13"/>
      <c r="B58" s="18"/>
      <c r="C58" s="13"/>
      <c r="D58" s="13"/>
      <c r="E58" s="13"/>
      <c r="F58" s="14"/>
      <c r="G58" s="13"/>
      <c r="H58" s="13"/>
      <c r="I58" s="14"/>
      <c r="J58" s="13"/>
      <c r="K58" s="13"/>
    </row>
    <row r="59" spans="1:11" ht="14.45">
      <c r="A59" s="13"/>
      <c r="B59" s="18"/>
      <c r="C59" s="13"/>
      <c r="D59" s="13"/>
      <c r="E59" s="13"/>
      <c r="F59" s="14"/>
      <c r="G59" s="13"/>
      <c r="H59" s="13"/>
      <c r="I59" s="14"/>
      <c r="J59" s="13"/>
      <c r="K59" s="13"/>
    </row>
    <row r="60" spans="1:11" ht="14.45">
      <c r="A60" s="13"/>
      <c r="B60" s="18"/>
      <c r="C60" s="13"/>
      <c r="D60" s="13"/>
      <c r="E60" s="13"/>
      <c r="F60" s="14"/>
      <c r="G60" s="13"/>
      <c r="H60" s="13"/>
      <c r="I60" s="14"/>
      <c r="J60" s="13"/>
      <c r="K60" s="13"/>
    </row>
    <row r="61" spans="1:11" ht="14.45">
      <c r="A61" s="13"/>
      <c r="B61" s="18"/>
      <c r="C61" s="13"/>
      <c r="D61" s="13"/>
      <c r="E61" s="13"/>
      <c r="F61" s="14"/>
      <c r="G61" s="13"/>
      <c r="H61" s="13"/>
      <c r="I61" s="14"/>
      <c r="J61" s="13"/>
      <c r="K61" s="13"/>
    </row>
    <row r="62" spans="1:11" ht="14.45">
      <c r="A62" s="13"/>
      <c r="B62" s="18"/>
      <c r="C62" s="13"/>
      <c r="D62" s="13"/>
      <c r="E62" s="13"/>
      <c r="F62" s="14"/>
      <c r="G62" s="13"/>
      <c r="H62" s="13"/>
      <c r="I62" s="14"/>
      <c r="J62" s="13"/>
      <c r="K62" s="13"/>
    </row>
    <row r="63" spans="1:11" ht="14.45">
      <c r="A63" s="13"/>
      <c r="B63" s="18"/>
      <c r="C63" s="13"/>
      <c r="D63" s="13"/>
      <c r="E63" s="13"/>
      <c r="F63" s="14"/>
      <c r="G63" s="13"/>
      <c r="H63" s="13"/>
      <c r="I63" s="14"/>
      <c r="J63" s="13"/>
      <c r="K63" s="13"/>
    </row>
    <row r="64" spans="1:11" ht="14.45">
      <c r="A64" s="13"/>
      <c r="B64" s="18"/>
      <c r="C64" s="13"/>
      <c r="D64" s="13"/>
      <c r="E64" s="13"/>
      <c r="F64" s="14"/>
      <c r="G64" s="13"/>
      <c r="H64" s="13"/>
      <c r="I64" s="14"/>
      <c r="J64" s="13"/>
      <c r="K64" s="13"/>
    </row>
    <row r="65" spans="1:11" ht="14.45">
      <c r="A65" s="13"/>
      <c r="B65" s="18"/>
      <c r="C65" s="13"/>
      <c r="D65" s="13"/>
      <c r="E65" s="13"/>
      <c r="F65" s="14"/>
      <c r="G65" s="13"/>
      <c r="H65" s="13"/>
      <c r="I65" s="14"/>
      <c r="J65" s="13"/>
      <c r="K65" s="13"/>
    </row>
    <row r="66" spans="1:11" ht="14.45">
      <c r="A66" s="13"/>
      <c r="B66" s="18"/>
      <c r="C66" s="13"/>
      <c r="D66" s="13"/>
      <c r="E66" s="13"/>
      <c r="F66" s="14"/>
      <c r="G66" s="13"/>
      <c r="H66" s="13"/>
      <c r="I66" s="14"/>
      <c r="J66" s="13"/>
      <c r="K66" s="13"/>
    </row>
    <row r="67" spans="1:11" ht="14.45">
      <c r="A67" s="13"/>
      <c r="B67" s="18"/>
      <c r="C67" s="13"/>
      <c r="D67" s="13"/>
      <c r="E67" s="13"/>
      <c r="F67" s="14"/>
      <c r="G67" s="13"/>
      <c r="H67" s="13"/>
      <c r="I67" s="14"/>
      <c r="J67" s="13"/>
      <c r="K67" s="13"/>
    </row>
    <row r="68" spans="1:11" ht="14.45">
      <c r="A68" s="13"/>
      <c r="B68" s="18"/>
      <c r="C68" s="13"/>
      <c r="D68" s="13"/>
      <c r="E68" s="13"/>
      <c r="F68" s="14"/>
      <c r="G68" s="13"/>
      <c r="H68" s="13"/>
      <c r="I68" s="14"/>
      <c r="J68" s="13"/>
      <c r="K68" s="13"/>
    </row>
    <row r="69" spans="1:11" ht="14.45">
      <c r="A69" s="13"/>
      <c r="B69" s="18"/>
      <c r="C69" s="13"/>
      <c r="D69" s="13"/>
      <c r="E69" s="13"/>
      <c r="F69" s="14"/>
      <c r="G69" s="13"/>
      <c r="H69" s="13"/>
      <c r="I69" s="14"/>
      <c r="J69" s="13"/>
      <c r="K69" s="13"/>
    </row>
    <row r="70" spans="1:11" ht="14.45">
      <c r="A70" s="13"/>
      <c r="B70" s="18"/>
      <c r="C70" s="13"/>
      <c r="D70" s="13"/>
      <c r="E70" s="13"/>
      <c r="F70" s="14"/>
      <c r="G70" s="13"/>
      <c r="H70" s="13"/>
      <c r="I70" s="14"/>
      <c r="J70" s="13"/>
      <c r="K70" s="13"/>
    </row>
    <row r="71" spans="1:11" ht="14.45">
      <c r="A71" s="13"/>
      <c r="B71" s="18"/>
      <c r="C71" s="13"/>
      <c r="D71" s="13"/>
      <c r="E71" s="13"/>
      <c r="F71" s="14"/>
      <c r="G71" s="13"/>
      <c r="H71" s="13"/>
      <c r="I71" s="14"/>
      <c r="J71" s="13"/>
      <c r="K71" s="13"/>
    </row>
    <row r="72" spans="1:11" ht="14.45">
      <c r="A72" s="13"/>
      <c r="B72" s="18"/>
      <c r="C72" s="13"/>
      <c r="D72" s="13"/>
      <c r="E72" s="13"/>
      <c r="F72" s="14"/>
      <c r="G72" s="13"/>
      <c r="H72" s="13"/>
      <c r="I72" s="14"/>
      <c r="J72" s="13"/>
      <c r="K72" s="13"/>
    </row>
    <row r="73" spans="1:11" ht="14.45">
      <c r="A73" s="13"/>
      <c r="B73" s="18"/>
      <c r="C73" s="13"/>
      <c r="D73" s="13"/>
      <c r="E73" s="13"/>
      <c r="F73" s="14"/>
      <c r="G73" s="13"/>
      <c r="H73" s="13"/>
      <c r="I73" s="14"/>
      <c r="J73" s="13"/>
      <c r="K73" s="13"/>
    </row>
    <row r="74" spans="1:11" ht="14.45">
      <c r="A74" s="13"/>
      <c r="B74" s="18"/>
      <c r="C74" s="13"/>
      <c r="D74" s="13"/>
      <c r="E74" s="13"/>
      <c r="F74" s="14"/>
      <c r="G74" s="13"/>
      <c r="H74" s="13"/>
      <c r="I74" s="14"/>
      <c r="J74" s="13"/>
      <c r="K74" s="13"/>
    </row>
    <row r="75" spans="1:11" ht="14.45">
      <c r="A75" s="13"/>
      <c r="B75" s="18"/>
      <c r="C75" s="13"/>
      <c r="D75" s="13"/>
      <c r="E75" s="13"/>
      <c r="F75" s="14"/>
      <c r="G75" s="13"/>
      <c r="H75" s="13"/>
      <c r="I75" s="14"/>
      <c r="J75" s="13"/>
      <c r="K75" s="13"/>
    </row>
    <row r="76" spans="1:11" ht="14.45">
      <c r="A76" s="13"/>
      <c r="B76" s="18"/>
      <c r="C76" s="13"/>
      <c r="D76" s="13"/>
      <c r="E76" s="13"/>
      <c r="F76" s="14"/>
      <c r="G76" s="13"/>
      <c r="H76" s="13"/>
      <c r="I76" s="14"/>
      <c r="J76" s="13"/>
      <c r="K76" s="13"/>
    </row>
    <row r="77" spans="1:11" ht="14.45">
      <c r="A77" s="13"/>
      <c r="B77" s="18"/>
      <c r="C77" s="13"/>
      <c r="D77" s="13"/>
      <c r="E77" s="13"/>
      <c r="F77" s="14"/>
      <c r="G77" s="13"/>
      <c r="H77" s="13"/>
      <c r="I77" s="14"/>
      <c r="J77" s="13"/>
      <c r="K77" s="13"/>
    </row>
    <row r="78" spans="1:11" ht="14.45">
      <c r="A78" s="13"/>
      <c r="B78" s="18"/>
      <c r="C78" s="13"/>
      <c r="D78" s="13"/>
      <c r="E78" s="13"/>
      <c r="F78" s="14"/>
      <c r="G78" s="13"/>
      <c r="H78" s="13"/>
      <c r="I78" s="14"/>
      <c r="J78" s="13"/>
      <c r="K78" s="13"/>
    </row>
    <row r="79" spans="1:11" ht="14.45">
      <c r="A79" s="13"/>
      <c r="B79" s="18"/>
      <c r="C79" s="13"/>
      <c r="D79" s="13"/>
      <c r="E79" s="13"/>
      <c r="F79" s="14"/>
      <c r="G79" s="13"/>
      <c r="H79" s="13"/>
      <c r="I79" s="14"/>
      <c r="J79" s="13"/>
      <c r="K79" s="13"/>
    </row>
    <row r="80" spans="1:11" ht="14.45">
      <c r="A80" s="13"/>
      <c r="B80" s="18"/>
      <c r="C80" s="13"/>
      <c r="D80" s="13"/>
      <c r="E80" s="13"/>
      <c r="F80" s="14"/>
      <c r="G80" s="13"/>
      <c r="H80" s="13"/>
      <c r="I80" s="14"/>
      <c r="J80" s="13"/>
      <c r="K80" s="13"/>
    </row>
    <row r="81" spans="1:11" ht="14.45">
      <c r="A81" s="13"/>
      <c r="B81" s="18"/>
      <c r="C81" s="13"/>
      <c r="D81" s="13"/>
      <c r="E81" s="13"/>
      <c r="F81" s="14"/>
      <c r="G81" s="13"/>
      <c r="H81" s="13"/>
      <c r="I81" s="14"/>
      <c r="J81" s="13"/>
      <c r="K81" s="13"/>
    </row>
    <row r="82" spans="1:11" ht="14.45">
      <c r="A82" s="13"/>
      <c r="B82" s="18"/>
      <c r="C82" s="13"/>
      <c r="D82" s="13"/>
      <c r="E82" s="13"/>
      <c r="F82" s="14"/>
      <c r="G82" s="13"/>
      <c r="H82" s="13"/>
      <c r="I82" s="14"/>
      <c r="J82" s="13"/>
      <c r="K82" s="13"/>
    </row>
    <row r="83" spans="1:11" ht="14.45">
      <c r="A83" s="13"/>
      <c r="B83" s="18"/>
      <c r="C83" s="13"/>
      <c r="D83" s="13"/>
      <c r="E83" s="13"/>
      <c r="F83" s="14"/>
      <c r="G83" s="13"/>
      <c r="H83" s="13"/>
      <c r="I83" s="14"/>
      <c r="J83" s="13"/>
      <c r="K83" s="13"/>
    </row>
    <row r="84" spans="1:11" ht="14.45">
      <c r="A84" s="13"/>
      <c r="B84" s="18"/>
      <c r="C84" s="13"/>
      <c r="D84" s="13"/>
      <c r="E84" s="13"/>
      <c r="F84" s="14"/>
      <c r="G84" s="13"/>
      <c r="H84" s="13"/>
      <c r="I84" s="14"/>
      <c r="J84" s="13"/>
      <c r="K84" s="13"/>
    </row>
    <row r="85" spans="1:11" ht="14.45">
      <c r="A85" s="13"/>
      <c r="B85" s="18"/>
      <c r="C85" s="13"/>
      <c r="D85" s="13"/>
      <c r="E85" s="13"/>
      <c r="F85" s="14"/>
      <c r="G85" s="13"/>
      <c r="H85" s="13"/>
      <c r="I85" s="14"/>
      <c r="J85" s="13"/>
      <c r="K85" s="13"/>
    </row>
    <row r="86" spans="1:11" ht="14.45">
      <c r="A86" s="13"/>
      <c r="B86" s="18"/>
      <c r="C86" s="13"/>
      <c r="D86" s="13"/>
      <c r="E86" s="13"/>
      <c r="F86" s="14"/>
      <c r="G86" s="13"/>
      <c r="H86" s="13"/>
      <c r="I86" s="14"/>
      <c r="J86" s="13"/>
      <c r="K86" s="13"/>
    </row>
    <row r="87" spans="1:11" ht="14.45">
      <c r="A87" s="13"/>
      <c r="B87" s="18"/>
      <c r="C87" s="13"/>
      <c r="D87" s="13"/>
      <c r="E87" s="13"/>
      <c r="F87" s="14"/>
      <c r="G87" s="13"/>
      <c r="H87" s="13"/>
      <c r="I87" s="14"/>
      <c r="J87" s="13"/>
      <c r="K87" s="13"/>
    </row>
    <row r="88" spans="1:11" ht="14.45">
      <c r="A88" s="13"/>
      <c r="B88" s="18"/>
      <c r="C88" s="13"/>
      <c r="D88" s="13"/>
      <c r="E88" s="13"/>
      <c r="F88" s="14"/>
      <c r="G88" s="13"/>
      <c r="H88" s="13"/>
      <c r="I88" s="14"/>
      <c r="J88" s="13"/>
      <c r="K88" s="13"/>
    </row>
    <row r="89" spans="1:11" ht="14.45">
      <c r="A89" s="13"/>
      <c r="B89" s="18"/>
      <c r="C89" s="13"/>
      <c r="D89" s="13"/>
      <c r="E89" s="13"/>
      <c r="F89" s="14"/>
      <c r="G89" s="13"/>
      <c r="H89" s="13"/>
      <c r="I89" s="14"/>
      <c r="J89" s="13"/>
      <c r="K89" s="13"/>
    </row>
    <row r="90" spans="1:11" ht="14.45">
      <c r="A90" s="13"/>
      <c r="B90" s="18"/>
      <c r="C90" s="13"/>
      <c r="D90" s="13"/>
      <c r="E90" s="13"/>
      <c r="F90" s="14"/>
      <c r="G90" s="13"/>
      <c r="H90" s="13"/>
      <c r="I90" s="14"/>
      <c r="J90" s="13"/>
      <c r="K90" s="13"/>
    </row>
    <row r="91" spans="1:11" ht="14.45">
      <c r="A91" s="13"/>
      <c r="B91" s="18"/>
      <c r="C91" s="13"/>
      <c r="D91" s="13"/>
      <c r="E91" s="13"/>
      <c r="F91" s="14"/>
      <c r="G91" s="13"/>
      <c r="H91" s="13"/>
      <c r="I91" s="14"/>
      <c r="J91" s="13"/>
      <c r="K91" s="13"/>
    </row>
    <row r="92" spans="1:11" ht="14.45">
      <c r="A92" s="13"/>
      <c r="B92" s="18"/>
      <c r="C92" s="13"/>
      <c r="D92" s="13"/>
      <c r="E92" s="13"/>
      <c r="F92" s="14"/>
      <c r="G92" s="13"/>
      <c r="H92" s="13"/>
      <c r="I92" s="14"/>
      <c r="J92" s="13"/>
      <c r="K92" s="13"/>
    </row>
    <row r="93" spans="1:11" ht="14.45">
      <c r="A93" s="13"/>
      <c r="B93" s="18"/>
      <c r="C93" s="13"/>
      <c r="D93" s="13"/>
      <c r="E93" s="13"/>
      <c r="F93" s="14"/>
      <c r="G93" s="13"/>
      <c r="H93" s="13"/>
      <c r="I93" s="14"/>
      <c r="J93" s="13"/>
      <c r="K93" s="13"/>
    </row>
    <row r="94" spans="1:11" ht="14.45">
      <c r="A94" s="13"/>
      <c r="B94" s="18"/>
      <c r="C94" s="13"/>
      <c r="D94" s="13"/>
      <c r="E94" s="13"/>
      <c r="F94" s="14"/>
      <c r="G94" s="13"/>
      <c r="H94" s="13"/>
      <c r="I94" s="14"/>
      <c r="J94" s="13"/>
      <c r="K94" s="13"/>
    </row>
    <row r="95" spans="1:11" ht="14.45">
      <c r="A95" s="13"/>
      <c r="B95" s="18"/>
      <c r="C95" s="13"/>
      <c r="D95" s="13"/>
      <c r="E95" s="13"/>
      <c r="F95" s="14"/>
      <c r="G95" s="13"/>
      <c r="H95" s="13"/>
      <c r="I95" s="14"/>
      <c r="J95" s="13"/>
      <c r="K95" s="13"/>
    </row>
    <row r="96" spans="1:11" ht="14.45">
      <c r="A96" s="13"/>
      <c r="B96" s="18"/>
      <c r="C96" s="13"/>
      <c r="D96" s="13"/>
      <c r="E96" s="13"/>
      <c r="F96" s="14"/>
      <c r="G96" s="13"/>
      <c r="H96" s="13"/>
      <c r="I96" s="14"/>
      <c r="J96" s="13"/>
      <c r="K96" s="13"/>
    </row>
    <row r="97" spans="1:11" ht="14.45">
      <c r="A97" s="13"/>
      <c r="B97" s="18"/>
      <c r="C97" s="13"/>
      <c r="D97" s="13"/>
      <c r="E97" s="13"/>
      <c r="F97" s="14"/>
      <c r="G97" s="13"/>
      <c r="H97" s="13"/>
      <c r="I97" s="14"/>
      <c r="J97" s="13"/>
      <c r="K97" s="13"/>
    </row>
    <row r="98" spans="1:11" ht="14.45">
      <c r="A98" s="13"/>
      <c r="B98" s="18"/>
      <c r="C98" s="13"/>
      <c r="D98" s="13"/>
      <c r="E98" s="13"/>
      <c r="F98" s="14"/>
      <c r="G98" s="13"/>
      <c r="H98" s="13"/>
      <c r="I98" s="14"/>
      <c r="J98" s="13"/>
      <c r="K98" s="13"/>
    </row>
    <row r="99" spans="1:11" ht="14.45">
      <c r="A99" s="13"/>
      <c r="B99" s="18"/>
      <c r="C99" s="13"/>
      <c r="D99" s="13"/>
      <c r="E99" s="13"/>
      <c r="F99" s="14"/>
      <c r="G99" s="13"/>
      <c r="H99" s="13"/>
      <c r="I99" s="14"/>
      <c r="J99" s="13"/>
      <c r="K99" s="13"/>
    </row>
    <row r="100" spans="1:11" ht="14.45">
      <c r="A100" s="13"/>
      <c r="B100" s="18"/>
      <c r="C100" s="13"/>
      <c r="D100" s="13"/>
      <c r="E100" s="13"/>
      <c r="F100" s="14"/>
      <c r="G100" s="13"/>
      <c r="H100" s="13"/>
      <c r="I100" s="14"/>
      <c r="J100" s="13"/>
      <c r="K100" s="13"/>
    </row>
    <row r="101" spans="1:11" ht="14.45">
      <c r="A101" s="13"/>
      <c r="B101" s="18"/>
      <c r="C101" s="13"/>
      <c r="D101" s="13"/>
      <c r="E101" s="13"/>
      <c r="F101" s="14"/>
      <c r="G101" s="13"/>
      <c r="H101" s="13"/>
      <c r="I101" s="14"/>
      <c r="J101" s="13"/>
      <c r="K101" s="13"/>
    </row>
    <row r="102" spans="1:11" ht="14.45">
      <c r="A102" s="13"/>
      <c r="B102" s="18"/>
      <c r="C102" s="13"/>
      <c r="D102" s="13"/>
      <c r="E102" s="13"/>
      <c r="F102" s="14"/>
      <c r="G102" s="13"/>
      <c r="H102" s="13"/>
      <c r="I102" s="14"/>
      <c r="J102" s="13"/>
      <c r="K102" s="13"/>
    </row>
    <row r="103" spans="1:11" ht="14.45">
      <c r="A103" s="13"/>
      <c r="B103" s="18"/>
      <c r="C103" s="13"/>
      <c r="D103" s="13"/>
      <c r="E103" s="13"/>
      <c r="F103" s="14"/>
      <c r="G103" s="13"/>
      <c r="H103" s="13"/>
      <c r="I103" s="14"/>
      <c r="J103" s="13"/>
      <c r="K103" s="13"/>
    </row>
    <row r="104" spans="1:11" ht="14.45">
      <c r="A104" s="13"/>
      <c r="B104" s="18"/>
      <c r="C104" s="13"/>
      <c r="D104" s="13"/>
      <c r="E104" s="13"/>
      <c r="F104" s="14"/>
      <c r="G104" s="13"/>
      <c r="H104" s="13"/>
      <c r="I104" s="14"/>
      <c r="J104" s="13"/>
      <c r="K104" s="13"/>
    </row>
    <row r="105" spans="1:11" ht="14.45">
      <c r="A105" s="13"/>
      <c r="B105" s="18"/>
      <c r="C105" s="13"/>
      <c r="D105" s="13"/>
      <c r="E105" s="13"/>
      <c r="F105" s="14"/>
      <c r="G105" s="13"/>
      <c r="H105" s="13"/>
      <c r="I105" s="14"/>
      <c r="J105" s="13"/>
      <c r="K105" s="13"/>
    </row>
    <row r="106" spans="1:11" ht="14.45">
      <c r="A106" s="13"/>
      <c r="B106" s="18"/>
      <c r="C106" s="13"/>
      <c r="D106" s="13"/>
      <c r="E106" s="13"/>
      <c r="F106" s="14"/>
      <c r="G106" s="13"/>
      <c r="H106" s="13"/>
      <c r="I106" s="14"/>
      <c r="J106" s="13"/>
      <c r="K106" s="13"/>
    </row>
    <row r="107" spans="1:11" ht="14.45">
      <c r="A107" s="13"/>
      <c r="B107" s="18"/>
      <c r="C107" s="13"/>
      <c r="D107" s="13"/>
      <c r="E107" s="13"/>
      <c r="F107" s="14"/>
      <c r="G107" s="13"/>
      <c r="H107" s="13"/>
      <c r="I107" s="14"/>
      <c r="J107" s="13"/>
      <c r="K107" s="13"/>
    </row>
    <row r="108" spans="1:11" ht="14.45">
      <c r="A108" s="13"/>
      <c r="B108" s="18"/>
      <c r="C108" s="13"/>
      <c r="D108" s="13"/>
      <c r="E108" s="13"/>
      <c r="F108" s="14"/>
      <c r="G108" s="13"/>
      <c r="H108" s="13"/>
      <c r="I108" s="14"/>
      <c r="J108" s="13"/>
      <c r="K108" s="13"/>
    </row>
    <row r="109" spans="1:11" ht="14.45">
      <c r="A109" s="13"/>
      <c r="B109" s="18"/>
      <c r="C109" s="13"/>
      <c r="D109" s="13"/>
      <c r="E109" s="13"/>
      <c r="F109" s="14"/>
      <c r="G109" s="13"/>
      <c r="H109" s="13"/>
      <c r="I109" s="14"/>
      <c r="J109" s="13"/>
      <c r="K109" s="13"/>
    </row>
    <row r="110" spans="1:11" ht="14.45">
      <c r="A110" s="13"/>
      <c r="B110" s="18"/>
      <c r="C110" s="13"/>
      <c r="D110" s="13"/>
      <c r="E110" s="13"/>
      <c r="F110" s="14"/>
      <c r="G110" s="13"/>
      <c r="H110" s="13"/>
      <c r="I110" s="14"/>
      <c r="J110" s="13"/>
      <c r="K110" s="13"/>
    </row>
    <row r="111" spans="1:11" ht="14.45">
      <c r="A111" s="13"/>
      <c r="B111" s="18"/>
      <c r="C111" s="13"/>
      <c r="D111" s="13"/>
      <c r="E111" s="13"/>
      <c r="F111" s="14"/>
      <c r="G111" s="13"/>
      <c r="H111" s="13"/>
      <c r="I111" s="14"/>
      <c r="J111" s="13"/>
      <c r="K111" s="13"/>
    </row>
    <row r="112" spans="1:11" ht="14.45">
      <c r="A112" s="13"/>
      <c r="B112" s="18"/>
      <c r="C112" s="13"/>
      <c r="D112" s="13"/>
      <c r="E112" s="13"/>
      <c r="F112" s="14"/>
      <c r="G112" s="13"/>
      <c r="H112" s="13"/>
      <c r="I112" s="14"/>
      <c r="J112" s="13"/>
      <c r="K112" s="13"/>
    </row>
    <row r="113" spans="1:11" ht="14.45">
      <c r="A113" s="13"/>
      <c r="B113" s="18"/>
      <c r="C113" s="13"/>
      <c r="D113" s="13"/>
      <c r="E113" s="13"/>
      <c r="F113" s="14"/>
      <c r="G113" s="13"/>
      <c r="H113" s="13"/>
      <c r="I113" s="14"/>
      <c r="J113" s="13"/>
      <c r="K113" s="13"/>
    </row>
    <row r="114" spans="1:11" ht="14.45">
      <c r="A114" s="13"/>
      <c r="B114" s="18"/>
      <c r="C114" s="13"/>
      <c r="D114" s="13"/>
      <c r="E114" s="13"/>
      <c r="F114" s="14"/>
      <c r="G114" s="13"/>
      <c r="H114" s="13"/>
      <c r="I114" s="14"/>
      <c r="J114" s="13"/>
      <c r="K114" s="13"/>
    </row>
    <row r="115" spans="1:11" ht="14.45">
      <c r="A115" s="13"/>
      <c r="B115" s="18"/>
      <c r="C115" s="13"/>
      <c r="D115" s="13"/>
      <c r="E115" s="13"/>
      <c r="F115" s="14"/>
      <c r="G115" s="13"/>
      <c r="H115" s="13"/>
      <c r="I115" s="14"/>
      <c r="J115" s="13"/>
      <c r="K115" s="13"/>
    </row>
    <row r="116" spans="1:11" ht="14.45">
      <c r="A116" s="13"/>
      <c r="B116" s="18"/>
      <c r="C116" s="13"/>
      <c r="D116" s="13"/>
      <c r="E116" s="13"/>
      <c r="F116" s="14"/>
      <c r="G116" s="13"/>
      <c r="H116" s="13"/>
      <c r="I116" s="14"/>
      <c r="J116" s="13"/>
      <c r="K116" s="13"/>
    </row>
    <row r="117" spans="1:11" ht="14.45">
      <c r="A117" s="13"/>
      <c r="B117" s="18"/>
      <c r="C117" s="13"/>
      <c r="D117" s="13"/>
      <c r="E117" s="13"/>
      <c r="F117" s="14"/>
      <c r="G117" s="13"/>
      <c r="H117" s="13"/>
      <c r="I117" s="14"/>
      <c r="J117" s="13"/>
      <c r="K117" s="13"/>
    </row>
    <row r="118" spans="1:11" ht="14.45">
      <c r="A118" s="13"/>
      <c r="B118" s="18"/>
      <c r="C118" s="13"/>
      <c r="D118" s="13"/>
      <c r="E118" s="13"/>
      <c r="F118" s="14"/>
      <c r="G118" s="13"/>
      <c r="H118" s="13"/>
      <c r="I118" s="14"/>
      <c r="J118" s="13"/>
      <c r="K118" s="13"/>
    </row>
    <row r="119" spans="1:11" ht="14.45">
      <c r="A119" s="13"/>
      <c r="B119" s="18"/>
      <c r="C119" s="13"/>
      <c r="D119" s="13"/>
      <c r="E119" s="13"/>
      <c r="F119" s="14"/>
      <c r="G119" s="13"/>
      <c r="H119" s="13"/>
      <c r="I119" s="14"/>
      <c r="J119" s="13"/>
      <c r="K119" s="13"/>
    </row>
    <row r="120" spans="1:11" ht="14.45">
      <c r="A120" s="13"/>
      <c r="B120" s="18"/>
      <c r="C120" s="13"/>
      <c r="D120" s="13"/>
      <c r="E120" s="13"/>
      <c r="F120" s="14"/>
      <c r="G120" s="13"/>
      <c r="H120" s="13"/>
      <c r="I120" s="14"/>
      <c r="J120" s="13"/>
      <c r="K120" s="13"/>
    </row>
    <row r="121" spans="1:11" ht="14.45">
      <c r="A121" s="13"/>
      <c r="B121" s="18"/>
      <c r="C121" s="13"/>
      <c r="D121" s="13"/>
      <c r="E121" s="13"/>
      <c r="F121" s="14"/>
      <c r="G121" s="13"/>
      <c r="H121" s="13"/>
      <c r="I121" s="14"/>
      <c r="J121" s="13"/>
      <c r="K121" s="13"/>
    </row>
    <row r="122" spans="1:11" ht="14.45">
      <c r="A122" s="13"/>
      <c r="B122" s="18"/>
      <c r="C122" s="13"/>
      <c r="D122" s="13"/>
      <c r="E122" s="13"/>
      <c r="F122" s="14"/>
      <c r="G122" s="13"/>
      <c r="H122" s="13"/>
      <c r="I122" s="14"/>
      <c r="J122" s="13"/>
      <c r="K122" s="13"/>
    </row>
    <row r="123" spans="1:11" ht="14.45">
      <c r="A123" s="13"/>
      <c r="B123" s="18"/>
      <c r="C123" s="13"/>
      <c r="D123" s="13"/>
      <c r="E123" s="13"/>
      <c r="F123" s="14"/>
      <c r="G123" s="13"/>
      <c r="H123" s="13"/>
      <c r="I123" s="14"/>
      <c r="J123" s="13"/>
      <c r="K123" s="13"/>
    </row>
    <row r="124" spans="1:11" ht="14.45">
      <c r="A124" s="13"/>
      <c r="B124" s="18"/>
      <c r="C124" s="13"/>
      <c r="D124" s="13"/>
      <c r="E124" s="13"/>
      <c r="F124" s="14"/>
      <c r="G124" s="13"/>
      <c r="H124" s="13"/>
      <c r="I124" s="14"/>
      <c r="J124" s="13"/>
      <c r="K124" s="13"/>
    </row>
    <row r="125" spans="1:11" ht="14.45">
      <c r="A125" s="13"/>
      <c r="B125" s="18"/>
      <c r="C125" s="13"/>
      <c r="D125" s="13"/>
      <c r="E125" s="13"/>
      <c r="F125" s="14"/>
      <c r="G125" s="13"/>
      <c r="H125" s="13"/>
      <c r="I125" s="14"/>
      <c r="J125" s="13"/>
      <c r="K125" s="13"/>
    </row>
    <row r="126" spans="1:11" ht="14.45">
      <c r="A126" s="13"/>
      <c r="B126" s="18"/>
      <c r="C126" s="13"/>
      <c r="D126" s="13"/>
      <c r="E126" s="13"/>
      <c r="F126" s="14"/>
      <c r="G126" s="13"/>
      <c r="H126" s="13"/>
      <c r="I126" s="14"/>
      <c r="J126" s="13"/>
      <c r="K126" s="13"/>
    </row>
    <row r="127" spans="1:11" ht="14.45">
      <c r="A127" s="13"/>
      <c r="B127" s="18"/>
      <c r="C127" s="13"/>
      <c r="D127" s="13"/>
      <c r="E127" s="13"/>
      <c r="F127" s="14"/>
      <c r="G127" s="13"/>
      <c r="H127" s="13"/>
      <c r="I127" s="14"/>
      <c r="J127" s="13"/>
      <c r="K127" s="13"/>
    </row>
    <row r="128" spans="1:11" ht="14.45">
      <c r="A128" s="13"/>
      <c r="B128" s="18"/>
      <c r="C128" s="13"/>
      <c r="D128" s="13"/>
      <c r="E128" s="13"/>
      <c r="F128" s="14"/>
      <c r="G128" s="13"/>
      <c r="H128" s="13"/>
      <c r="I128" s="14"/>
      <c r="J128" s="13"/>
      <c r="K128" s="13"/>
    </row>
    <row r="129" spans="1:11" ht="14.45">
      <c r="A129" s="13"/>
      <c r="B129" s="18"/>
      <c r="C129" s="13"/>
      <c r="D129" s="13"/>
      <c r="E129" s="13"/>
      <c r="F129" s="14"/>
      <c r="G129" s="13"/>
      <c r="H129" s="13"/>
      <c r="I129" s="14"/>
      <c r="J129" s="13"/>
      <c r="K129" s="13"/>
    </row>
    <row r="130" spans="1:11" ht="14.45">
      <c r="A130" s="13"/>
      <c r="B130" s="18"/>
      <c r="C130" s="13"/>
      <c r="D130" s="13"/>
      <c r="E130" s="13"/>
      <c r="F130" s="14"/>
      <c r="G130" s="13"/>
      <c r="H130" s="13"/>
      <c r="I130" s="14"/>
      <c r="J130" s="13"/>
      <c r="K130" s="13"/>
    </row>
    <row r="131" spans="1:11" ht="14.45">
      <c r="A131" s="13"/>
      <c r="B131" s="18"/>
      <c r="C131" s="13"/>
      <c r="D131" s="13"/>
      <c r="E131" s="13"/>
      <c r="F131" s="14"/>
      <c r="G131" s="13"/>
      <c r="H131" s="13"/>
      <c r="I131" s="14"/>
      <c r="J131" s="13"/>
      <c r="K131" s="13"/>
    </row>
    <row r="132" spans="1:11" ht="14.45">
      <c r="A132" s="13"/>
      <c r="B132" s="18"/>
      <c r="C132" s="13"/>
      <c r="D132" s="13"/>
      <c r="E132" s="13"/>
      <c r="F132" s="14"/>
      <c r="G132" s="13"/>
      <c r="H132" s="13"/>
      <c r="I132" s="14"/>
      <c r="J132" s="13"/>
      <c r="K132" s="13"/>
    </row>
    <row r="133" spans="1:11" ht="14.45">
      <c r="A133" s="13"/>
      <c r="B133" s="18"/>
      <c r="C133" s="13"/>
      <c r="D133" s="13"/>
      <c r="E133" s="13"/>
      <c r="F133" s="14"/>
      <c r="G133" s="13"/>
      <c r="H133" s="13"/>
      <c r="I133" s="14"/>
      <c r="J133" s="13"/>
      <c r="K133" s="13"/>
    </row>
    <row r="134" spans="1:11" ht="14.45">
      <c r="A134" s="13"/>
      <c r="B134" s="18"/>
      <c r="C134" s="13"/>
      <c r="D134" s="13"/>
      <c r="E134" s="13"/>
      <c r="F134" s="14"/>
      <c r="G134" s="13"/>
      <c r="H134" s="13"/>
      <c r="I134" s="14"/>
      <c r="J134" s="13"/>
      <c r="K134" s="13"/>
    </row>
    <row r="135" spans="1:11" ht="14.45">
      <c r="A135" s="13"/>
      <c r="B135" s="18"/>
      <c r="C135" s="13"/>
      <c r="D135" s="13"/>
      <c r="E135" s="13"/>
      <c r="F135" s="14"/>
      <c r="G135" s="13"/>
      <c r="H135" s="13"/>
      <c r="I135" s="14"/>
      <c r="J135" s="13"/>
      <c r="K135" s="13"/>
    </row>
    <row r="136" spans="1:11" ht="14.45">
      <c r="A136" s="13"/>
      <c r="B136" s="18"/>
      <c r="C136" s="13"/>
      <c r="D136" s="13"/>
      <c r="E136" s="13"/>
      <c r="F136" s="14"/>
      <c r="G136" s="13"/>
      <c r="H136" s="13"/>
      <c r="I136" s="14"/>
      <c r="J136" s="13"/>
      <c r="K136" s="13"/>
    </row>
    <row r="137" spans="1:11" ht="14.45">
      <c r="A137" s="13"/>
      <c r="B137" s="18"/>
      <c r="C137" s="13"/>
      <c r="D137" s="13"/>
      <c r="E137" s="13"/>
      <c r="F137" s="14"/>
      <c r="G137" s="13"/>
      <c r="H137" s="13"/>
      <c r="I137" s="14"/>
      <c r="J137" s="13"/>
      <c r="K137" s="13"/>
    </row>
    <row r="138" spans="1:11" ht="14.45">
      <c r="A138" s="13"/>
      <c r="B138" s="18"/>
      <c r="C138" s="13"/>
      <c r="D138" s="13"/>
      <c r="E138" s="13"/>
      <c r="F138" s="14"/>
      <c r="G138" s="13"/>
      <c r="H138" s="13"/>
      <c r="I138" s="14"/>
      <c r="J138" s="13"/>
      <c r="K138" s="13"/>
    </row>
    <row r="139" spans="1:11" ht="14.45">
      <c r="A139" s="13"/>
      <c r="B139" s="18"/>
      <c r="C139" s="13"/>
      <c r="D139" s="13"/>
      <c r="E139" s="13"/>
      <c r="F139" s="14"/>
      <c r="G139" s="13"/>
      <c r="H139" s="13"/>
      <c r="I139" s="14"/>
      <c r="J139" s="13"/>
      <c r="K139" s="13"/>
    </row>
    <row r="140" spans="1:11" ht="14.45">
      <c r="A140" s="13"/>
      <c r="B140" s="18"/>
      <c r="C140" s="13"/>
      <c r="D140" s="13"/>
      <c r="E140" s="13"/>
      <c r="F140" s="14"/>
      <c r="G140" s="13"/>
      <c r="H140" s="13"/>
      <c r="I140" s="14"/>
      <c r="J140" s="13"/>
      <c r="K140" s="13"/>
    </row>
    <row r="141" spans="1:11" ht="14.45">
      <c r="A141" s="13"/>
      <c r="B141" s="18"/>
      <c r="C141" s="13"/>
      <c r="D141" s="13"/>
      <c r="E141" s="13"/>
      <c r="F141" s="14"/>
      <c r="G141" s="13"/>
      <c r="H141" s="13"/>
      <c r="I141" s="14"/>
      <c r="J141" s="13"/>
      <c r="K141" s="13"/>
    </row>
    <row r="142" spans="1:11" ht="14.45">
      <c r="A142" s="13"/>
      <c r="B142" s="18"/>
      <c r="C142" s="13"/>
      <c r="D142" s="13"/>
      <c r="E142" s="13"/>
      <c r="F142" s="14"/>
      <c r="G142" s="13"/>
      <c r="H142" s="13"/>
      <c r="I142" s="14"/>
      <c r="J142" s="13"/>
      <c r="K142" s="13"/>
    </row>
    <row r="143" spans="1:11" ht="14.45">
      <c r="A143" s="13"/>
      <c r="B143" s="18"/>
      <c r="C143" s="13"/>
      <c r="D143" s="13"/>
      <c r="E143" s="13"/>
      <c r="F143" s="14"/>
      <c r="G143" s="13"/>
      <c r="H143" s="13"/>
      <c r="I143" s="14"/>
      <c r="J143" s="13"/>
      <c r="K143" s="13"/>
    </row>
    <row r="144" spans="1:11" ht="14.45">
      <c r="A144" s="13"/>
      <c r="B144" s="18"/>
      <c r="C144" s="13"/>
      <c r="D144" s="13"/>
      <c r="E144" s="13"/>
      <c r="F144" s="14"/>
      <c r="G144" s="13"/>
      <c r="H144" s="13"/>
      <c r="I144" s="14"/>
      <c r="J144" s="13"/>
      <c r="K144" s="13"/>
    </row>
    <row r="145" spans="1:11" ht="14.45">
      <c r="A145" s="13"/>
      <c r="B145" s="18"/>
      <c r="C145" s="13"/>
      <c r="D145" s="13"/>
      <c r="E145" s="13"/>
      <c r="F145" s="14"/>
      <c r="G145" s="13"/>
      <c r="H145" s="13"/>
      <c r="I145" s="14"/>
      <c r="J145" s="13"/>
      <c r="K145" s="13"/>
    </row>
    <row r="146" spans="1:11" ht="14.45">
      <c r="A146" s="13"/>
      <c r="B146" s="18"/>
      <c r="C146" s="13"/>
      <c r="D146" s="13"/>
      <c r="E146" s="13"/>
      <c r="F146" s="14"/>
      <c r="G146" s="13"/>
      <c r="H146" s="13"/>
      <c r="I146" s="14"/>
      <c r="J146" s="13"/>
      <c r="K146" s="13"/>
    </row>
    <row r="147" spans="1:11" ht="14.45">
      <c r="A147" s="13"/>
      <c r="B147" s="18"/>
      <c r="C147" s="13"/>
      <c r="D147" s="13"/>
      <c r="E147" s="13"/>
      <c r="F147" s="14"/>
      <c r="G147" s="13"/>
      <c r="H147" s="13"/>
      <c r="I147" s="14"/>
      <c r="J147" s="13"/>
      <c r="K147" s="13"/>
    </row>
    <row r="148" spans="1:11" ht="14.45">
      <c r="A148" s="13"/>
      <c r="B148" s="18"/>
      <c r="C148" s="13"/>
      <c r="D148" s="13"/>
      <c r="E148" s="13"/>
      <c r="F148" s="14"/>
      <c r="G148" s="13"/>
      <c r="H148" s="13"/>
      <c r="I148" s="14"/>
      <c r="J148" s="13"/>
      <c r="K148" s="13"/>
    </row>
    <row r="149" spans="1:11" ht="14.45">
      <c r="A149" s="13"/>
      <c r="B149" s="18"/>
      <c r="C149" s="13"/>
      <c r="D149" s="13"/>
      <c r="E149" s="13"/>
      <c r="F149" s="14"/>
      <c r="G149" s="13"/>
      <c r="H149" s="13"/>
      <c r="I149" s="14"/>
      <c r="J149" s="13"/>
      <c r="K149" s="13"/>
    </row>
    <row r="150" spans="1:11" ht="14.45">
      <c r="A150" s="13"/>
      <c r="B150" s="18"/>
      <c r="C150" s="13"/>
      <c r="D150" s="13"/>
      <c r="E150" s="13"/>
      <c r="F150" s="14"/>
      <c r="G150" s="13"/>
      <c r="H150" s="13"/>
      <c r="I150" s="14"/>
      <c r="J150" s="13"/>
      <c r="K150" s="13"/>
    </row>
    <row r="151" spans="1:11" ht="14.45">
      <c r="A151" s="13"/>
      <c r="B151" s="18"/>
      <c r="C151" s="13"/>
      <c r="D151" s="13"/>
      <c r="E151" s="13"/>
      <c r="F151" s="14"/>
      <c r="G151" s="13"/>
      <c r="H151" s="13"/>
      <c r="I151" s="14"/>
      <c r="J151" s="13"/>
      <c r="K151" s="13"/>
    </row>
    <row r="152" spans="1:11" ht="14.45">
      <c r="A152" s="13"/>
      <c r="B152" s="18"/>
      <c r="C152" s="13"/>
      <c r="D152" s="13"/>
      <c r="E152" s="13"/>
      <c r="F152" s="14"/>
      <c r="G152" s="13"/>
      <c r="H152" s="13"/>
      <c r="I152" s="14"/>
      <c r="J152" s="13"/>
      <c r="K152" s="13"/>
    </row>
    <row r="153" spans="1:11" ht="14.45">
      <c r="A153" s="13"/>
      <c r="B153" s="18"/>
      <c r="C153" s="13"/>
      <c r="D153" s="13"/>
      <c r="E153" s="13"/>
      <c r="F153" s="14"/>
      <c r="G153" s="13"/>
      <c r="H153" s="13"/>
      <c r="I153" s="14"/>
      <c r="J153" s="13"/>
      <c r="K153" s="13"/>
    </row>
    <row r="154" spans="1:11" ht="14.45">
      <c r="A154" s="13"/>
      <c r="B154" s="18"/>
      <c r="C154" s="13"/>
      <c r="D154" s="13"/>
      <c r="E154" s="13"/>
      <c r="F154" s="14"/>
      <c r="G154" s="13"/>
      <c r="H154" s="13"/>
      <c r="I154" s="14"/>
      <c r="J154" s="13"/>
      <c r="K154" s="13"/>
    </row>
    <row r="155" spans="1:11" ht="14.45">
      <c r="A155" s="13"/>
      <c r="B155" s="18"/>
      <c r="C155" s="13"/>
      <c r="D155" s="13"/>
      <c r="E155" s="13"/>
      <c r="F155" s="14"/>
      <c r="G155" s="13"/>
      <c r="H155" s="13"/>
      <c r="I155" s="14"/>
      <c r="J155" s="13"/>
      <c r="K155" s="13"/>
    </row>
    <row r="156" spans="1:11" ht="14.45">
      <c r="A156" s="13"/>
      <c r="B156" s="18"/>
      <c r="C156" s="13"/>
      <c r="D156" s="13"/>
      <c r="E156" s="13"/>
      <c r="F156" s="14"/>
      <c r="G156" s="13"/>
      <c r="H156" s="13"/>
      <c r="I156" s="14"/>
      <c r="J156" s="13"/>
      <c r="K156" s="13"/>
    </row>
    <row r="157" spans="1:11" ht="14.45">
      <c r="A157" s="13"/>
      <c r="B157" s="18"/>
      <c r="C157" s="13"/>
      <c r="D157" s="13"/>
      <c r="E157" s="13"/>
      <c r="F157" s="14"/>
      <c r="G157" s="13"/>
      <c r="H157" s="13"/>
      <c r="I157" s="14"/>
      <c r="J157" s="13"/>
      <c r="K157" s="13"/>
    </row>
    <row r="158" spans="1:11" ht="14.45">
      <c r="A158" s="13"/>
      <c r="B158" s="18"/>
      <c r="C158" s="13"/>
      <c r="D158" s="13"/>
      <c r="E158" s="13"/>
      <c r="F158" s="14"/>
      <c r="G158" s="13"/>
      <c r="H158" s="13"/>
      <c r="I158" s="14"/>
      <c r="J158" s="13"/>
      <c r="K158" s="13"/>
    </row>
    <row r="159" spans="1:11" ht="14.45">
      <c r="A159" s="13"/>
      <c r="B159" s="18"/>
      <c r="C159" s="13"/>
      <c r="D159" s="13"/>
      <c r="E159" s="13"/>
      <c r="F159" s="14"/>
      <c r="G159" s="13"/>
      <c r="H159" s="13"/>
      <c r="I159" s="14"/>
      <c r="J159" s="13"/>
      <c r="K159" s="13"/>
    </row>
    <row r="160" spans="1:11" ht="14.45">
      <c r="A160" s="13"/>
      <c r="B160" s="18"/>
      <c r="C160" s="13"/>
      <c r="D160" s="13"/>
      <c r="E160" s="13"/>
      <c r="F160" s="14"/>
      <c r="G160" s="13"/>
      <c r="H160" s="13"/>
      <c r="I160" s="14"/>
      <c r="J160" s="13"/>
      <c r="K160" s="13"/>
    </row>
    <row r="161" spans="1:11" ht="14.45">
      <c r="A161" s="13"/>
      <c r="B161" s="18"/>
      <c r="C161" s="13"/>
      <c r="D161" s="13"/>
      <c r="E161" s="13"/>
      <c r="F161" s="14"/>
      <c r="G161" s="13"/>
      <c r="H161" s="13"/>
      <c r="I161" s="14"/>
      <c r="J161" s="13"/>
      <c r="K161" s="13"/>
    </row>
    <row r="162" spans="1:11" ht="14.45">
      <c r="A162" s="13"/>
      <c r="B162" s="18"/>
      <c r="C162" s="13"/>
      <c r="D162" s="13"/>
      <c r="E162" s="13"/>
      <c r="F162" s="14"/>
      <c r="G162" s="13"/>
      <c r="H162" s="13"/>
      <c r="I162" s="14"/>
      <c r="J162" s="13"/>
      <c r="K162" s="13"/>
    </row>
    <row r="163" spans="1:11" ht="14.45">
      <c r="A163" s="13"/>
      <c r="B163" s="18"/>
      <c r="C163" s="13"/>
      <c r="D163" s="13"/>
      <c r="E163" s="13"/>
      <c r="F163" s="14"/>
      <c r="G163" s="13"/>
      <c r="H163" s="13"/>
      <c r="I163" s="14"/>
      <c r="J163" s="13"/>
      <c r="K163" s="13"/>
    </row>
    <row r="164" spans="1:11" ht="14.45">
      <c r="A164" s="13"/>
      <c r="B164" s="18"/>
      <c r="C164" s="13"/>
      <c r="D164" s="13"/>
      <c r="E164" s="13"/>
      <c r="F164" s="14"/>
      <c r="G164" s="13"/>
      <c r="H164" s="13"/>
      <c r="I164" s="14"/>
      <c r="J164" s="13"/>
      <c r="K164" s="13"/>
    </row>
    <row r="165" spans="1:11" ht="14.45">
      <c r="A165" s="13"/>
      <c r="B165" s="18"/>
      <c r="C165" s="13"/>
      <c r="D165" s="13"/>
      <c r="E165" s="13"/>
      <c r="F165" s="14"/>
      <c r="G165" s="13"/>
      <c r="H165" s="13"/>
      <c r="I165" s="14"/>
      <c r="J165" s="13"/>
      <c r="K165" s="13"/>
    </row>
    <row r="166" spans="1:11" ht="14.45">
      <c r="A166" s="13"/>
      <c r="B166" s="18"/>
      <c r="C166" s="13"/>
      <c r="D166" s="13"/>
      <c r="E166" s="13"/>
      <c r="F166" s="14"/>
      <c r="G166" s="13"/>
      <c r="H166" s="13"/>
      <c r="I166" s="14"/>
      <c r="J166" s="13"/>
      <c r="K166" s="13"/>
    </row>
    <row r="167" spans="1:11" ht="14.45">
      <c r="A167" s="13"/>
      <c r="B167" s="18"/>
      <c r="C167" s="13"/>
      <c r="D167" s="13"/>
      <c r="E167" s="13"/>
      <c r="F167" s="14"/>
      <c r="G167" s="13"/>
      <c r="H167" s="13"/>
      <c r="I167" s="14"/>
      <c r="J167" s="13"/>
      <c r="K167" s="13"/>
    </row>
    <row r="168" spans="1:11" ht="14.45">
      <c r="A168" s="13"/>
      <c r="B168" s="18"/>
      <c r="C168" s="13"/>
      <c r="D168" s="13"/>
      <c r="E168" s="13"/>
      <c r="F168" s="14"/>
      <c r="G168" s="13"/>
      <c r="H168" s="13"/>
      <c r="I168" s="14"/>
      <c r="J168" s="13"/>
      <c r="K168" s="13"/>
    </row>
    <row r="169" spans="1:11" ht="14.45">
      <c r="A169" s="13"/>
      <c r="B169" s="18"/>
      <c r="C169" s="13"/>
      <c r="D169" s="13"/>
      <c r="E169" s="13"/>
      <c r="F169" s="14"/>
      <c r="G169" s="13"/>
      <c r="H169" s="13"/>
      <c r="I169" s="14"/>
      <c r="J169" s="13"/>
      <c r="K169" s="13"/>
    </row>
    <row r="170" spans="1:11" ht="14.45">
      <c r="A170" s="13"/>
      <c r="B170" s="18"/>
      <c r="C170" s="13"/>
      <c r="D170" s="13"/>
      <c r="E170" s="13"/>
      <c r="F170" s="14"/>
      <c r="G170" s="13"/>
      <c r="H170" s="13"/>
      <c r="I170" s="14"/>
      <c r="J170" s="13"/>
      <c r="K170" s="13"/>
    </row>
    <row r="171" spans="1:11" ht="14.45">
      <c r="A171" s="13"/>
      <c r="B171" s="18"/>
      <c r="C171" s="13"/>
      <c r="D171" s="13"/>
      <c r="E171" s="13"/>
      <c r="F171" s="14"/>
      <c r="G171" s="13"/>
      <c r="H171" s="13"/>
      <c r="I171" s="14"/>
      <c r="J171" s="13"/>
      <c r="K171" s="13"/>
    </row>
    <row r="172" spans="1:11" ht="14.45">
      <c r="A172" s="13"/>
      <c r="B172" s="18"/>
      <c r="C172" s="13"/>
      <c r="D172" s="13"/>
      <c r="E172" s="13"/>
      <c r="F172" s="14"/>
      <c r="G172" s="13"/>
      <c r="H172" s="13"/>
      <c r="I172" s="14"/>
      <c r="J172" s="13"/>
      <c r="K172" s="13"/>
    </row>
    <row r="173" spans="1:11" ht="14.45">
      <c r="A173" s="13"/>
      <c r="B173" s="18"/>
      <c r="C173" s="13"/>
      <c r="D173" s="13"/>
      <c r="E173" s="13"/>
      <c r="F173" s="14"/>
      <c r="G173" s="13"/>
      <c r="H173" s="13"/>
      <c r="I173" s="14"/>
      <c r="J173" s="13"/>
      <c r="K173" s="13"/>
    </row>
    <row r="174" spans="1:11" ht="14.45">
      <c r="A174" s="13"/>
      <c r="B174" s="18"/>
      <c r="C174" s="13"/>
      <c r="D174" s="13"/>
      <c r="E174" s="13"/>
      <c r="F174" s="14"/>
      <c r="G174" s="13"/>
      <c r="H174" s="13"/>
      <c r="I174" s="14"/>
      <c r="J174" s="13"/>
      <c r="K174" s="13"/>
    </row>
    <row r="175" spans="1:11" ht="14.45">
      <c r="A175" s="13"/>
      <c r="B175" s="18"/>
      <c r="C175" s="13"/>
      <c r="D175" s="13"/>
      <c r="E175" s="13"/>
      <c r="F175" s="14"/>
      <c r="G175" s="13"/>
      <c r="H175" s="13"/>
      <c r="I175" s="14"/>
      <c r="J175" s="13"/>
      <c r="K175" s="13"/>
    </row>
    <row r="176" spans="1:11" ht="14.45">
      <c r="A176" s="13"/>
      <c r="B176" s="18"/>
      <c r="C176" s="13"/>
      <c r="D176" s="13"/>
      <c r="E176" s="13"/>
      <c r="F176" s="14"/>
      <c r="G176" s="13"/>
      <c r="H176" s="13"/>
      <c r="I176" s="14"/>
      <c r="J176" s="13"/>
      <c r="K176" s="13"/>
    </row>
    <row r="177" spans="1:11" ht="14.45">
      <c r="A177" s="13"/>
      <c r="B177" s="18"/>
      <c r="C177" s="13"/>
      <c r="D177" s="13"/>
      <c r="E177" s="13"/>
      <c r="F177" s="14"/>
      <c r="G177" s="13"/>
      <c r="H177" s="13"/>
      <c r="I177" s="14"/>
      <c r="J177" s="13"/>
      <c r="K177" s="13"/>
    </row>
    <row r="178" spans="1:11" ht="14.45">
      <c r="A178" s="13"/>
      <c r="B178" s="18"/>
      <c r="C178" s="13"/>
      <c r="D178" s="13"/>
      <c r="E178" s="13"/>
      <c r="F178" s="14"/>
      <c r="G178" s="13"/>
      <c r="H178" s="13"/>
      <c r="I178" s="14"/>
      <c r="J178" s="13"/>
      <c r="K178" s="13"/>
    </row>
    <row r="179" spans="1:11" ht="14.45">
      <c r="A179" s="13"/>
      <c r="B179" s="18"/>
      <c r="C179" s="13"/>
      <c r="D179" s="13"/>
      <c r="E179" s="13"/>
      <c r="F179" s="14"/>
      <c r="G179" s="13"/>
      <c r="H179" s="13"/>
      <c r="I179" s="14"/>
      <c r="J179" s="13"/>
      <c r="K179" s="13"/>
    </row>
    <row r="180" spans="1:11" ht="14.45">
      <c r="A180" s="13"/>
      <c r="B180" s="18"/>
      <c r="C180" s="13"/>
      <c r="D180" s="13"/>
      <c r="E180" s="13"/>
      <c r="F180" s="14"/>
      <c r="G180" s="13"/>
      <c r="H180" s="13"/>
      <c r="I180" s="14"/>
      <c r="J180" s="13"/>
      <c r="K180" s="13"/>
    </row>
    <row r="181" spans="1:11" ht="14.45">
      <c r="A181" s="13"/>
      <c r="B181" s="18"/>
      <c r="C181" s="13"/>
      <c r="D181" s="13"/>
      <c r="E181" s="13"/>
      <c r="F181" s="14"/>
      <c r="G181" s="13"/>
      <c r="H181" s="13"/>
      <c r="I181" s="14"/>
      <c r="J181" s="13"/>
      <c r="K181" s="13"/>
    </row>
    <row r="182" spans="1:11" ht="14.45">
      <c r="A182" s="13"/>
      <c r="B182" s="18"/>
      <c r="C182" s="13"/>
      <c r="D182" s="13"/>
      <c r="E182" s="13"/>
      <c r="F182" s="14"/>
      <c r="G182" s="13"/>
      <c r="H182" s="13"/>
      <c r="I182" s="14"/>
      <c r="J182" s="13"/>
      <c r="K182" s="13"/>
    </row>
    <row r="183" spans="1:11" ht="14.45">
      <c r="A183" s="13"/>
      <c r="B183" s="18"/>
      <c r="C183" s="13"/>
      <c r="D183" s="13"/>
      <c r="E183" s="13"/>
      <c r="F183" s="14"/>
      <c r="G183" s="13"/>
      <c r="H183" s="13"/>
      <c r="I183" s="14"/>
      <c r="J183" s="13"/>
      <c r="K183" s="13"/>
    </row>
    <row r="184" spans="1:11" ht="14.45">
      <c r="A184" s="13"/>
      <c r="B184" s="18"/>
      <c r="C184" s="13"/>
      <c r="D184" s="13"/>
      <c r="E184" s="13"/>
      <c r="F184" s="14"/>
      <c r="G184" s="13"/>
      <c r="H184" s="13"/>
      <c r="I184" s="14"/>
      <c r="J184" s="13"/>
      <c r="K184" s="13"/>
    </row>
    <row r="185" spans="1:11" ht="14.45">
      <c r="A185" s="13"/>
      <c r="B185" s="18"/>
      <c r="C185" s="13"/>
      <c r="D185" s="13"/>
      <c r="E185" s="13"/>
      <c r="F185" s="14"/>
      <c r="G185" s="13"/>
      <c r="H185" s="13"/>
      <c r="I185" s="14"/>
      <c r="J185" s="13"/>
      <c r="K185" s="13"/>
    </row>
    <row r="186" spans="1:11" ht="14.45">
      <c r="A186" s="13"/>
      <c r="B186" s="18"/>
      <c r="C186" s="13"/>
      <c r="D186" s="13"/>
      <c r="E186" s="13"/>
      <c r="F186" s="14"/>
      <c r="G186" s="13"/>
      <c r="H186" s="13"/>
      <c r="I186" s="14"/>
      <c r="J186" s="13"/>
      <c r="K186" s="13"/>
    </row>
    <row r="187" spans="1:11" ht="14.45">
      <c r="A187" s="13"/>
      <c r="B187" s="18"/>
      <c r="C187" s="13"/>
      <c r="D187" s="13"/>
      <c r="E187" s="13"/>
      <c r="F187" s="14"/>
      <c r="G187" s="13"/>
      <c r="H187" s="13"/>
      <c r="I187" s="14"/>
      <c r="J187" s="13"/>
      <c r="K187" s="13"/>
    </row>
    <row r="188" spans="1:11" ht="14.45">
      <c r="A188" s="13"/>
      <c r="B188" s="18"/>
      <c r="C188" s="13"/>
      <c r="D188" s="13"/>
      <c r="E188" s="13"/>
      <c r="F188" s="14"/>
      <c r="G188" s="13"/>
      <c r="H188" s="13"/>
      <c r="I188" s="14"/>
      <c r="J188" s="13"/>
      <c r="K188" s="13"/>
    </row>
    <row r="189" spans="1:11" ht="14.45">
      <c r="A189" s="13"/>
      <c r="B189" s="18"/>
      <c r="C189" s="13"/>
      <c r="D189" s="13"/>
      <c r="E189" s="13"/>
      <c r="F189" s="14"/>
      <c r="G189" s="13"/>
      <c r="H189" s="13"/>
      <c r="I189" s="14"/>
      <c r="J189" s="13"/>
      <c r="K189" s="13"/>
    </row>
    <row r="190" spans="1:11" ht="14.45">
      <c r="A190" s="13"/>
      <c r="B190" s="18"/>
      <c r="C190" s="13"/>
      <c r="D190" s="13"/>
      <c r="E190" s="13"/>
      <c r="F190" s="14"/>
      <c r="G190" s="13"/>
      <c r="H190" s="13"/>
      <c r="I190" s="14"/>
      <c r="J190" s="13"/>
      <c r="K190" s="13"/>
    </row>
    <row r="191" spans="1:11" ht="14.45">
      <c r="A191" s="13"/>
      <c r="B191" s="18"/>
      <c r="C191" s="13"/>
      <c r="D191" s="13"/>
      <c r="E191" s="13"/>
      <c r="F191" s="14"/>
      <c r="G191" s="13"/>
      <c r="H191" s="13"/>
      <c r="I191" s="14"/>
      <c r="J191" s="13"/>
      <c r="K191" s="13"/>
    </row>
    <row r="192" spans="1:11" ht="14.45">
      <c r="A192" s="13"/>
      <c r="B192" s="18"/>
      <c r="C192" s="13"/>
      <c r="D192" s="13"/>
      <c r="E192" s="13"/>
      <c r="F192" s="14"/>
      <c r="G192" s="13"/>
      <c r="H192" s="13"/>
      <c r="I192" s="14"/>
      <c r="J192" s="13"/>
      <c r="K192" s="13"/>
    </row>
    <row r="193" spans="1:11" ht="14.45">
      <c r="A193" s="13"/>
      <c r="B193" s="18"/>
      <c r="C193" s="13"/>
      <c r="D193" s="13"/>
      <c r="E193" s="13"/>
      <c r="F193" s="14"/>
      <c r="G193" s="13"/>
      <c r="H193" s="13"/>
      <c r="I193" s="14"/>
      <c r="J193" s="13"/>
      <c r="K193" s="13"/>
    </row>
    <row r="194" spans="1:11" ht="14.45">
      <c r="A194" s="13"/>
      <c r="B194" s="18"/>
      <c r="C194" s="13"/>
      <c r="D194" s="13"/>
      <c r="E194" s="13"/>
      <c r="F194" s="14"/>
      <c r="G194" s="13"/>
      <c r="H194" s="13"/>
      <c r="I194" s="14"/>
      <c r="J194" s="13"/>
      <c r="K194" s="13"/>
    </row>
    <row r="195" spans="1:11" ht="14.45">
      <c r="A195" s="13"/>
      <c r="B195" s="18"/>
      <c r="C195" s="13"/>
      <c r="D195" s="13"/>
      <c r="E195" s="13"/>
      <c r="F195" s="14"/>
      <c r="G195" s="13"/>
      <c r="H195" s="13"/>
      <c r="I195" s="14"/>
      <c r="J195" s="13"/>
      <c r="K195" s="13"/>
    </row>
    <row r="196" spans="1:11" ht="14.45">
      <c r="A196" s="13"/>
      <c r="B196" s="18"/>
      <c r="C196" s="13"/>
      <c r="D196" s="13"/>
      <c r="E196" s="13"/>
      <c r="F196" s="14"/>
      <c r="G196" s="13"/>
      <c r="H196" s="13"/>
      <c r="I196" s="14"/>
      <c r="J196" s="13"/>
      <c r="K196" s="13"/>
    </row>
    <row r="197" spans="1:11" ht="14.45">
      <c r="A197" s="13"/>
      <c r="B197" s="18"/>
      <c r="C197" s="13"/>
      <c r="D197" s="13"/>
      <c r="E197" s="13"/>
      <c r="F197" s="14"/>
      <c r="G197" s="13"/>
      <c r="H197" s="13"/>
      <c r="I197" s="14"/>
      <c r="J197" s="13"/>
      <c r="K197" s="13"/>
    </row>
    <row r="198" spans="1:11" ht="14.45">
      <c r="A198" s="13"/>
      <c r="B198" s="18"/>
      <c r="C198" s="13"/>
      <c r="D198" s="13"/>
      <c r="E198" s="13"/>
      <c r="F198" s="14"/>
      <c r="G198" s="13"/>
      <c r="H198" s="13"/>
      <c r="I198" s="14"/>
      <c r="J198" s="13"/>
      <c r="K198" s="13"/>
    </row>
    <row r="199" spans="1:11" ht="14.45">
      <c r="A199" s="13"/>
      <c r="B199" s="18"/>
      <c r="C199" s="13"/>
      <c r="D199" s="13"/>
      <c r="E199" s="13"/>
      <c r="F199" s="14"/>
      <c r="G199" s="13"/>
      <c r="H199" s="13"/>
      <c r="I199" s="14"/>
      <c r="J199" s="13"/>
      <c r="K199" s="13"/>
    </row>
    <row r="200" spans="1:11" ht="14.45">
      <c r="A200" s="13"/>
      <c r="B200" s="18"/>
      <c r="C200" s="13"/>
      <c r="D200" s="13"/>
      <c r="E200" s="13"/>
      <c r="F200" s="14"/>
      <c r="G200" s="13"/>
      <c r="H200" s="13"/>
      <c r="I200" s="14"/>
      <c r="J200" s="13"/>
      <c r="K200" s="13"/>
    </row>
    <row r="201" spans="1:11" ht="14.45">
      <c r="A201" s="13"/>
      <c r="B201" s="18"/>
      <c r="C201" s="13"/>
      <c r="D201" s="13"/>
      <c r="E201" s="13"/>
      <c r="F201" s="14"/>
      <c r="G201" s="13"/>
      <c r="H201" s="13"/>
      <c r="I201" s="14"/>
      <c r="J201" s="13"/>
      <c r="K201" s="13"/>
    </row>
    <row r="202" spans="1:11" ht="14.45">
      <c r="A202" s="13"/>
      <c r="B202" s="18"/>
      <c r="C202" s="13"/>
      <c r="D202" s="13"/>
      <c r="E202" s="13"/>
      <c r="F202" s="14"/>
      <c r="G202" s="13"/>
      <c r="H202" s="13"/>
      <c r="I202" s="14"/>
      <c r="J202" s="13"/>
      <c r="K202" s="13"/>
    </row>
    <row r="203" spans="1:11" ht="14.45">
      <c r="A203" s="13"/>
      <c r="B203" s="18"/>
      <c r="C203" s="13"/>
      <c r="D203" s="13"/>
      <c r="E203" s="13"/>
      <c r="F203" s="14"/>
      <c r="G203" s="13"/>
      <c r="H203" s="13"/>
      <c r="I203" s="14"/>
      <c r="J203" s="13"/>
      <c r="K203" s="13"/>
    </row>
    <row r="204" spans="1:11" ht="14.45">
      <c r="A204" s="13"/>
      <c r="B204" s="18"/>
      <c r="C204" s="13"/>
      <c r="D204" s="13"/>
      <c r="E204" s="13"/>
      <c r="F204" s="14"/>
      <c r="G204" s="13"/>
      <c r="H204" s="13"/>
      <c r="I204" s="14"/>
      <c r="J204" s="13"/>
      <c r="K204" s="13"/>
    </row>
    <row r="205" spans="1:11" ht="14.45">
      <c r="A205" s="13"/>
      <c r="B205" s="18"/>
      <c r="C205" s="13"/>
      <c r="D205" s="13"/>
      <c r="E205" s="13"/>
      <c r="F205" s="14"/>
      <c r="G205" s="13"/>
      <c r="H205" s="13"/>
      <c r="I205" s="14"/>
      <c r="J205" s="13"/>
      <c r="K205" s="13"/>
    </row>
    <row r="206" spans="1:11" ht="14.45">
      <c r="A206" s="13"/>
      <c r="B206" s="18"/>
      <c r="C206" s="13"/>
      <c r="D206" s="13"/>
      <c r="E206" s="13"/>
      <c r="F206" s="14"/>
      <c r="G206" s="13"/>
      <c r="H206" s="13"/>
      <c r="I206" s="14"/>
      <c r="J206" s="13"/>
      <c r="K206" s="13"/>
    </row>
    <row r="207" spans="1:11" ht="14.45">
      <c r="A207" s="13"/>
      <c r="B207" s="18"/>
      <c r="C207" s="13"/>
      <c r="D207" s="13"/>
      <c r="E207" s="13"/>
      <c r="F207" s="14"/>
      <c r="G207" s="13"/>
      <c r="H207" s="13"/>
      <c r="I207" s="14"/>
      <c r="J207" s="13"/>
      <c r="K207" s="13"/>
    </row>
    <row r="208" spans="1:11" ht="14.45">
      <c r="A208" s="13"/>
      <c r="B208" s="18"/>
      <c r="C208" s="13"/>
      <c r="D208" s="13"/>
      <c r="E208" s="13"/>
      <c r="F208" s="14"/>
      <c r="G208" s="13"/>
      <c r="H208" s="13"/>
      <c r="I208" s="14"/>
      <c r="J208" s="13"/>
      <c r="K208" s="13"/>
    </row>
    <row r="209" spans="1:11" ht="14.45">
      <c r="A209" s="13"/>
      <c r="B209" s="18"/>
      <c r="C209" s="13"/>
      <c r="D209" s="13"/>
      <c r="E209" s="13"/>
      <c r="F209" s="14"/>
      <c r="G209" s="13"/>
      <c r="H209" s="13"/>
      <c r="I209" s="14"/>
      <c r="J209" s="13"/>
      <c r="K209" s="13"/>
    </row>
    <row r="210" spans="1:11" ht="14.45">
      <c r="A210" s="13"/>
      <c r="B210" s="18"/>
      <c r="C210" s="13"/>
      <c r="D210" s="13"/>
      <c r="E210" s="13"/>
      <c r="F210" s="14"/>
      <c r="G210" s="13"/>
      <c r="H210" s="13"/>
      <c r="I210" s="14"/>
      <c r="J210" s="13"/>
      <c r="K210" s="13"/>
    </row>
    <row r="211" spans="1:11" ht="14.45">
      <c r="A211" s="13"/>
      <c r="B211" s="18"/>
      <c r="C211" s="13"/>
      <c r="D211" s="13"/>
      <c r="E211" s="13"/>
      <c r="F211" s="14"/>
      <c r="G211" s="13"/>
      <c r="H211" s="13"/>
      <c r="I211" s="14"/>
      <c r="J211" s="13"/>
      <c r="K211" s="13"/>
    </row>
    <row r="212" spans="1:11" ht="14.45">
      <c r="A212" s="13"/>
      <c r="B212" s="18"/>
      <c r="C212" s="13"/>
      <c r="D212" s="13"/>
      <c r="E212" s="13"/>
      <c r="F212" s="14"/>
      <c r="G212" s="13"/>
      <c r="H212" s="13"/>
      <c r="I212" s="14"/>
      <c r="J212" s="13"/>
      <c r="K212" s="13"/>
    </row>
    <row r="213" spans="1:11" ht="14.45">
      <c r="A213" s="13"/>
      <c r="B213" s="18"/>
      <c r="C213" s="13"/>
      <c r="D213" s="13"/>
      <c r="E213" s="13"/>
      <c r="F213" s="14"/>
      <c r="G213" s="13"/>
      <c r="H213" s="13"/>
      <c r="I213" s="14"/>
      <c r="J213" s="13"/>
      <c r="K213" s="13"/>
    </row>
    <row r="214" spans="1:11" ht="14.45">
      <c r="A214" s="13"/>
      <c r="B214" s="18"/>
      <c r="C214" s="13"/>
      <c r="D214" s="13"/>
      <c r="E214" s="13"/>
      <c r="F214" s="14"/>
      <c r="G214" s="13"/>
      <c r="H214" s="13"/>
      <c r="I214" s="14"/>
      <c r="J214" s="13"/>
      <c r="K214" s="13"/>
    </row>
    <row r="215" spans="1:11" ht="14.45">
      <c r="A215" s="13"/>
      <c r="B215" s="18"/>
      <c r="C215" s="13"/>
      <c r="D215" s="13"/>
      <c r="E215" s="13"/>
      <c r="F215" s="14"/>
      <c r="G215" s="13"/>
      <c r="H215" s="13"/>
      <c r="I215" s="14"/>
      <c r="J215" s="13"/>
      <c r="K215" s="13"/>
    </row>
    <row r="216" spans="1:11" ht="14.45">
      <c r="A216" s="13"/>
      <c r="B216" s="18"/>
      <c r="C216" s="13"/>
      <c r="D216" s="13"/>
      <c r="E216" s="13"/>
      <c r="F216" s="14"/>
      <c r="G216" s="13"/>
      <c r="H216" s="13"/>
      <c r="I216" s="14"/>
      <c r="J216" s="13"/>
      <c r="K216" s="13"/>
    </row>
    <row r="217" spans="1:11" ht="14.45">
      <c r="A217" s="13"/>
      <c r="B217" s="18"/>
      <c r="C217" s="13"/>
      <c r="D217" s="13"/>
      <c r="E217" s="13"/>
      <c r="F217" s="14"/>
      <c r="G217" s="13"/>
      <c r="H217" s="13"/>
      <c r="I217" s="14"/>
      <c r="J217" s="13"/>
      <c r="K217" s="13"/>
    </row>
    <row r="218" spans="1:11" ht="14.45">
      <c r="A218" s="13"/>
      <c r="B218" s="18"/>
      <c r="C218" s="13"/>
      <c r="D218" s="13"/>
      <c r="E218" s="13"/>
      <c r="F218" s="14"/>
      <c r="G218" s="13"/>
      <c r="H218" s="13"/>
      <c r="I218" s="14"/>
      <c r="J218" s="13"/>
      <c r="K218" s="13"/>
    </row>
    <row r="219" spans="1:11" ht="14.45">
      <c r="A219" s="13"/>
      <c r="B219" s="18"/>
      <c r="C219" s="13"/>
      <c r="D219" s="13"/>
      <c r="E219" s="13"/>
      <c r="F219" s="14"/>
      <c r="G219" s="13"/>
      <c r="H219" s="13"/>
      <c r="I219" s="14"/>
      <c r="J219" s="13"/>
      <c r="K219" s="13"/>
    </row>
    <row r="220" spans="1:11" ht="14.45">
      <c r="A220" s="13"/>
      <c r="B220" s="18"/>
      <c r="C220" s="13"/>
      <c r="D220" s="13"/>
      <c r="E220" s="13"/>
      <c r="F220" s="14"/>
      <c r="G220" s="13"/>
      <c r="H220" s="13"/>
      <c r="I220" s="14"/>
      <c r="J220" s="13"/>
      <c r="K220" s="13"/>
    </row>
    <row r="221" spans="1:11" ht="14.45">
      <c r="A221" s="13"/>
      <c r="B221" s="18"/>
      <c r="C221" s="13"/>
      <c r="D221" s="13"/>
      <c r="E221" s="13"/>
      <c r="F221" s="14"/>
      <c r="G221" s="13"/>
      <c r="H221" s="13"/>
      <c r="I221" s="14"/>
      <c r="J221" s="13"/>
      <c r="K221" s="13"/>
    </row>
    <row r="222" spans="1:11" ht="14.45">
      <c r="A222" s="13"/>
      <c r="B222" s="18"/>
      <c r="C222" s="13"/>
      <c r="D222" s="13"/>
      <c r="E222" s="13"/>
      <c r="F222" s="14"/>
      <c r="G222" s="13"/>
      <c r="H222" s="13"/>
      <c r="I222" s="14"/>
      <c r="J222" s="13"/>
      <c r="K222" s="13"/>
    </row>
    <row r="223" spans="1:11" ht="14.45">
      <c r="A223" s="13"/>
      <c r="B223" s="18"/>
      <c r="C223" s="13"/>
      <c r="D223" s="13"/>
      <c r="E223" s="13"/>
      <c r="F223" s="14"/>
      <c r="G223" s="13"/>
      <c r="H223" s="13"/>
      <c r="I223" s="14"/>
      <c r="J223" s="13"/>
      <c r="K223" s="13"/>
    </row>
    <row r="224" spans="1:11" ht="14.45">
      <c r="A224" s="13"/>
      <c r="B224" s="18"/>
      <c r="C224" s="13"/>
      <c r="D224" s="13"/>
      <c r="E224" s="13"/>
      <c r="F224" s="14"/>
      <c r="G224" s="13"/>
      <c r="H224" s="13"/>
      <c r="I224" s="14"/>
      <c r="J224" s="13"/>
      <c r="K224" s="13"/>
    </row>
    <row r="225" spans="1:11" ht="14.45">
      <c r="A225" s="13"/>
      <c r="B225" s="18"/>
      <c r="C225" s="13"/>
      <c r="D225" s="13"/>
      <c r="E225" s="13"/>
      <c r="F225" s="14"/>
      <c r="G225" s="13"/>
      <c r="H225" s="13"/>
      <c r="I225" s="14"/>
      <c r="J225" s="13"/>
      <c r="K225" s="13"/>
    </row>
    <row r="226" spans="1:11" ht="14.45">
      <c r="A226" s="13"/>
      <c r="B226" s="18"/>
      <c r="C226" s="13"/>
      <c r="D226" s="13"/>
      <c r="E226" s="13"/>
      <c r="F226" s="14"/>
      <c r="G226" s="13"/>
      <c r="H226" s="13"/>
      <c r="I226" s="14"/>
      <c r="J226" s="13"/>
      <c r="K226" s="13"/>
    </row>
    <row r="227" spans="1:11" ht="14.45">
      <c r="A227" s="13"/>
      <c r="B227" s="18"/>
      <c r="C227" s="13"/>
      <c r="D227" s="13"/>
      <c r="E227" s="13"/>
      <c r="F227" s="14"/>
      <c r="G227" s="13"/>
      <c r="H227" s="13"/>
      <c r="I227" s="14"/>
      <c r="J227" s="13"/>
      <c r="K227" s="13"/>
    </row>
    <row r="228" spans="1:11" ht="14.45">
      <c r="A228" s="13"/>
      <c r="B228" s="18"/>
      <c r="C228" s="13"/>
      <c r="D228" s="13"/>
      <c r="E228" s="13"/>
      <c r="F228" s="14"/>
      <c r="G228" s="13"/>
      <c r="H228" s="13"/>
      <c r="I228" s="14"/>
      <c r="J228" s="13"/>
      <c r="K228" s="13"/>
    </row>
    <row r="229" spans="1:11" ht="14.45">
      <c r="A229" s="13"/>
      <c r="B229" s="18"/>
      <c r="C229" s="13"/>
      <c r="D229" s="13"/>
      <c r="E229" s="13"/>
      <c r="F229" s="14"/>
      <c r="G229" s="13"/>
      <c r="H229" s="13"/>
      <c r="I229" s="14"/>
      <c r="J229" s="13"/>
      <c r="K229" s="13"/>
    </row>
    <row r="230" spans="1:11" ht="14.45">
      <c r="A230" s="13"/>
      <c r="B230" s="18"/>
      <c r="C230" s="13"/>
      <c r="D230" s="13"/>
      <c r="E230" s="13"/>
      <c r="F230" s="14"/>
      <c r="G230" s="13"/>
      <c r="H230" s="13"/>
      <c r="I230" s="14"/>
      <c r="J230" s="13"/>
      <c r="K230" s="13"/>
    </row>
    <row r="231" spans="1:11" ht="14.45">
      <c r="A231" s="13"/>
      <c r="B231" s="18"/>
      <c r="C231" s="13"/>
      <c r="D231" s="13"/>
      <c r="E231" s="13"/>
      <c r="F231" s="14"/>
      <c r="G231" s="13"/>
      <c r="H231" s="13"/>
      <c r="I231" s="14"/>
      <c r="J231" s="13"/>
      <c r="K231" s="13"/>
    </row>
    <row r="232" spans="1:11" ht="14.45">
      <c r="A232" s="13"/>
      <c r="B232" s="18"/>
      <c r="C232" s="13"/>
      <c r="D232" s="13"/>
      <c r="E232" s="13"/>
      <c r="F232" s="14"/>
      <c r="G232" s="13"/>
      <c r="H232" s="13"/>
      <c r="I232" s="14"/>
      <c r="J232" s="13"/>
      <c r="K232" s="13"/>
    </row>
    <row r="233" spans="1:11" ht="14.45">
      <c r="A233" s="13"/>
      <c r="B233" s="18"/>
      <c r="C233" s="13"/>
      <c r="D233" s="13"/>
      <c r="E233" s="13"/>
      <c r="F233" s="14"/>
      <c r="G233" s="13"/>
      <c r="H233" s="13"/>
      <c r="I233" s="14"/>
      <c r="J233" s="13"/>
      <c r="K233" s="13"/>
    </row>
    <row r="234" spans="1:11" ht="14.45">
      <c r="A234" s="13"/>
      <c r="B234" s="18"/>
      <c r="C234" s="13"/>
      <c r="D234" s="13"/>
      <c r="E234" s="13"/>
      <c r="F234" s="14"/>
      <c r="G234" s="13"/>
      <c r="H234" s="13"/>
      <c r="I234" s="14"/>
      <c r="J234" s="13"/>
      <c r="K234" s="13"/>
    </row>
    <row r="235" spans="1:11" ht="14.45">
      <c r="A235" s="13"/>
      <c r="B235" s="18"/>
      <c r="C235" s="13"/>
      <c r="D235" s="13"/>
      <c r="E235" s="13"/>
      <c r="F235" s="14"/>
      <c r="G235" s="13"/>
      <c r="H235" s="13"/>
      <c r="I235" s="14"/>
      <c r="J235" s="13"/>
      <c r="K235" s="13"/>
    </row>
    <row r="236" spans="1:11" ht="14.45">
      <c r="A236" s="13"/>
      <c r="B236" s="18"/>
      <c r="C236" s="13"/>
      <c r="D236" s="13"/>
      <c r="E236" s="13"/>
      <c r="F236" s="14"/>
      <c r="G236" s="13"/>
      <c r="H236" s="13"/>
      <c r="I236" s="14"/>
      <c r="J236" s="13"/>
      <c r="K236" s="13"/>
    </row>
    <row r="237" spans="1:11" ht="14.45">
      <c r="A237" s="13"/>
      <c r="B237" s="18"/>
      <c r="C237" s="13"/>
      <c r="D237" s="13"/>
      <c r="E237" s="13"/>
      <c r="F237" s="14"/>
      <c r="G237" s="13"/>
      <c r="H237" s="13"/>
      <c r="I237" s="14"/>
      <c r="J237" s="13"/>
      <c r="K237" s="13"/>
    </row>
    <row r="238" spans="1:11" ht="14.45">
      <c r="A238" s="13"/>
      <c r="B238" s="18"/>
      <c r="C238" s="13"/>
      <c r="D238" s="13"/>
      <c r="E238" s="13"/>
      <c r="F238" s="14"/>
      <c r="G238" s="13"/>
      <c r="H238" s="13"/>
      <c r="I238" s="14"/>
      <c r="J238" s="13"/>
      <c r="K238" s="13"/>
    </row>
    <row r="239" spans="1:11" ht="14.45">
      <c r="A239" s="13"/>
      <c r="B239" s="18"/>
      <c r="C239" s="13"/>
      <c r="D239" s="13"/>
      <c r="E239" s="13"/>
      <c r="F239" s="14"/>
      <c r="G239" s="13"/>
      <c r="H239" s="13"/>
      <c r="I239" s="14"/>
      <c r="J239" s="13"/>
      <c r="K239" s="13"/>
    </row>
    <row r="240" spans="1:11" ht="14.45">
      <c r="A240" s="13"/>
      <c r="B240" s="18"/>
      <c r="C240" s="13"/>
      <c r="D240" s="13"/>
      <c r="E240" s="13"/>
      <c r="F240" s="14"/>
      <c r="G240" s="13"/>
      <c r="H240" s="13"/>
      <c r="I240" s="14"/>
      <c r="J240" s="13"/>
      <c r="K240" s="13"/>
    </row>
    <row r="241" spans="1:11" ht="14.45">
      <c r="A241" s="13"/>
      <c r="B241" s="18"/>
      <c r="C241" s="13"/>
      <c r="D241" s="13"/>
      <c r="E241" s="13"/>
      <c r="F241" s="14"/>
      <c r="G241" s="13"/>
      <c r="H241" s="13"/>
      <c r="I241" s="14"/>
      <c r="J241" s="13"/>
      <c r="K241" s="13"/>
    </row>
    <row r="242" spans="1:11" ht="14.45">
      <c r="A242" s="13"/>
      <c r="B242" s="18"/>
      <c r="C242" s="13"/>
      <c r="D242" s="13"/>
      <c r="E242" s="13"/>
      <c r="F242" s="14"/>
      <c r="G242" s="13"/>
      <c r="H242" s="13"/>
      <c r="I242" s="14"/>
      <c r="J242" s="13"/>
      <c r="K242" s="13"/>
    </row>
    <row r="243" spans="1:11" ht="14.45">
      <c r="A243" s="13"/>
      <c r="B243" s="18"/>
      <c r="C243" s="13"/>
      <c r="D243" s="13"/>
      <c r="E243" s="13"/>
      <c r="F243" s="14"/>
      <c r="G243" s="13"/>
      <c r="H243" s="13"/>
      <c r="I243" s="14"/>
      <c r="J243" s="13"/>
      <c r="K243" s="13"/>
    </row>
    <row r="244" spans="1:11" ht="14.45">
      <c r="A244" s="13"/>
      <c r="B244" s="18"/>
      <c r="C244" s="13"/>
      <c r="D244" s="13"/>
      <c r="E244" s="13"/>
      <c r="F244" s="14"/>
      <c r="G244" s="13"/>
      <c r="H244" s="13"/>
      <c r="I244" s="14"/>
      <c r="J244" s="13"/>
      <c r="K244" s="13"/>
    </row>
    <row r="245" spans="1:11" ht="14.45">
      <c r="A245" s="13"/>
      <c r="B245" s="18"/>
      <c r="C245" s="13"/>
      <c r="D245" s="13"/>
      <c r="E245" s="13"/>
      <c r="F245" s="14"/>
      <c r="G245" s="13"/>
      <c r="H245" s="13"/>
      <c r="I245" s="14"/>
      <c r="J245" s="13"/>
      <c r="K245" s="13"/>
    </row>
    <row r="246" spans="1:11" ht="14.45">
      <c r="A246" s="13"/>
      <c r="B246" s="18"/>
      <c r="C246" s="13"/>
      <c r="D246" s="13"/>
      <c r="E246" s="13"/>
      <c r="F246" s="14"/>
      <c r="G246" s="13"/>
      <c r="H246" s="13"/>
      <c r="I246" s="14"/>
      <c r="J246" s="13"/>
      <c r="K246" s="13"/>
    </row>
    <row r="247" spans="1:11" ht="14.45">
      <c r="A247" s="13"/>
      <c r="B247" s="18"/>
      <c r="C247" s="13"/>
      <c r="D247" s="13"/>
      <c r="E247" s="13"/>
      <c r="F247" s="14"/>
      <c r="G247" s="13"/>
      <c r="H247" s="13"/>
      <c r="I247" s="14"/>
      <c r="J247" s="13"/>
      <c r="K247" s="13"/>
    </row>
    <row r="248" spans="1:11" ht="14.45">
      <c r="A248" s="13"/>
      <c r="B248" s="18"/>
      <c r="C248" s="13"/>
      <c r="D248" s="13"/>
      <c r="E248" s="13"/>
      <c r="F248" s="14"/>
      <c r="G248" s="13"/>
      <c r="H248" s="13"/>
      <c r="I248" s="14"/>
      <c r="J248" s="13"/>
      <c r="K248" s="13"/>
    </row>
    <row r="249" spans="1:11" ht="14.45">
      <c r="A249" s="13"/>
      <c r="B249" s="18"/>
      <c r="C249" s="13"/>
      <c r="D249" s="13"/>
      <c r="E249" s="13"/>
      <c r="F249" s="14"/>
      <c r="G249" s="13"/>
      <c r="H249" s="13"/>
      <c r="I249" s="14"/>
      <c r="J249" s="13"/>
      <c r="K249" s="13"/>
    </row>
    <row r="250" spans="1:11" ht="14.45">
      <c r="A250" s="13"/>
      <c r="B250" s="18"/>
      <c r="C250" s="13"/>
      <c r="D250" s="13"/>
      <c r="E250" s="13"/>
      <c r="F250" s="14"/>
      <c r="G250" s="13"/>
      <c r="H250" s="13"/>
      <c r="I250" s="14"/>
      <c r="J250" s="13"/>
      <c r="K250" s="13"/>
    </row>
    <row r="251" spans="1:11" ht="14.45">
      <c r="A251" s="13"/>
      <c r="B251" s="18"/>
      <c r="C251" s="13"/>
      <c r="D251" s="13"/>
      <c r="E251" s="13"/>
      <c r="F251" s="14"/>
      <c r="G251" s="13"/>
      <c r="H251" s="13"/>
      <c r="I251" s="14"/>
      <c r="J251" s="13"/>
      <c r="K251" s="13"/>
    </row>
    <row r="252" spans="1:11" ht="14.45">
      <c r="A252" s="13"/>
      <c r="B252" s="18"/>
      <c r="C252" s="13"/>
      <c r="D252" s="13"/>
      <c r="E252" s="13"/>
      <c r="F252" s="14"/>
      <c r="G252" s="13"/>
      <c r="H252" s="13"/>
      <c r="I252" s="14"/>
      <c r="J252" s="13"/>
      <c r="K252" s="13"/>
    </row>
    <row r="253" spans="1:11" ht="14.45">
      <c r="A253" s="13"/>
      <c r="B253" s="18"/>
      <c r="C253" s="13"/>
      <c r="D253" s="13"/>
      <c r="E253" s="13"/>
      <c r="F253" s="14"/>
      <c r="G253" s="13"/>
      <c r="H253" s="13"/>
      <c r="I253" s="14"/>
      <c r="J253" s="13"/>
      <c r="K253" s="13"/>
    </row>
    <row r="254" spans="1:11" ht="14.45">
      <c r="A254" s="13"/>
      <c r="B254" s="18"/>
      <c r="C254" s="13"/>
      <c r="D254" s="13"/>
      <c r="E254" s="13"/>
      <c r="F254" s="14"/>
      <c r="G254" s="13"/>
      <c r="H254" s="13"/>
      <c r="I254" s="14"/>
      <c r="J254" s="13"/>
      <c r="K254" s="13"/>
    </row>
    <row r="255" spans="1:11" ht="14.45">
      <c r="A255" s="13"/>
      <c r="B255" s="18"/>
      <c r="C255" s="13"/>
      <c r="D255" s="13"/>
      <c r="E255" s="13"/>
      <c r="F255" s="14"/>
      <c r="G255" s="13"/>
      <c r="H255" s="13"/>
      <c r="I255" s="14"/>
      <c r="J255" s="13"/>
      <c r="K255" s="13"/>
    </row>
    <row r="256" spans="1:11" ht="14.45">
      <c r="A256" s="13"/>
      <c r="B256" s="18"/>
      <c r="C256" s="13"/>
      <c r="D256" s="13"/>
      <c r="E256" s="13"/>
      <c r="F256" s="14"/>
      <c r="G256" s="13"/>
      <c r="H256" s="13"/>
      <c r="I256" s="14"/>
      <c r="J256" s="13"/>
      <c r="K256" s="13"/>
    </row>
    <row r="257" spans="1:11" ht="14.45">
      <c r="A257" s="13"/>
      <c r="B257" s="18"/>
      <c r="C257" s="13"/>
      <c r="D257" s="13"/>
      <c r="E257" s="13"/>
      <c r="F257" s="14"/>
      <c r="G257" s="13"/>
      <c r="H257" s="13"/>
      <c r="I257" s="14"/>
      <c r="J257" s="13"/>
      <c r="K257" s="13"/>
    </row>
    <row r="258" spans="1:11" ht="14.45">
      <c r="A258" s="13"/>
      <c r="B258" s="18"/>
      <c r="C258" s="13"/>
      <c r="D258" s="13"/>
      <c r="E258" s="13"/>
      <c r="F258" s="14"/>
      <c r="G258" s="13"/>
      <c r="H258" s="13"/>
      <c r="I258" s="14"/>
      <c r="J258" s="13"/>
      <c r="K258" s="13"/>
    </row>
    <row r="259" spans="1:11" ht="14.45">
      <c r="A259" s="13"/>
      <c r="B259" s="18"/>
      <c r="C259" s="13"/>
      <c r="D259" s="13"/>
      <c r="E259" s="13"/>
      <c r="F259" s="14"/>
      <c r="G259" s="13"/>
      <c r="H259" s="13"/>
      <c r="I259" s="14"/>
      <c r="J259" s="13"/>
      <c r="K259" s="13"/>
    </row>
    <row r="260" spans="1:11" ht="14.45">
      <c r="A260" s="13"/>
      <c r="B260" s="18"/>
      <c r="C260" s="13"/>
      <c r="D260" s="13"/>
      <c r="E260" s="13"/>
      <c r="F260" s="14"/>
      <c r="G260" s="13"/>
      <c r="H260" s="13"/>
      <c r="I260" s="14"/>
      <c r="J260" s="13"/>
      <c r="K260" s="13"/>
    </row>
    <row r="261" spans="1:11" ht="14.45">
      <c r="A261" s="13"/>
      <c r="B261" s="18"/>
      <c r="C261" s="13"/>
      <c r="D261" s="13"/>
      <c r="E261" s="13"/>
      <c r="F261" s="14"/>
      <c r="G261" s="13"/>
      <c r="H261" s="13"/>
      <c r="I261" s="14"/>
      <c r="J261" s="13"/>
      <c r="K261" s="13"/>
    </row>
    <row r="262" spans="1:11" ht="14.45">
      <c r="A262" s="13"/>
      <c r="B262" s="18"/>
      <c r="C262" s="13"/>
      <c r="D262" s="13"/>
      <c r="E262" s="13"/>
      <c r="F262" s="14"/>
      <c r="G262" s="13"/>
      <c r="H262" s="13"/>
      <c r="I262" s="14"/>
      <c r="J262" s="13"/>
      <c r="K262" s="13"/>
    </row>
    <row r="263" spans="1:11" ht="14.45">
      <c r="A263" s="13"/>
      <c r="B263" s="18"/>
      <c r="C263" s="13"/>
      <c r="D263" s="13"/>
      <c r="E263" s="13"/>
      <c r="F263" s="14"/>
      <c r="G263" s="13"/>
      <c r="H263" s="13"/>
      <c r="I263" s="14"/>
      <c r="J263" s="13"/>
      <c r="K263" s="13"/>
    </row>
    <row r="264" spans="1:11" ht="14.45">
      <c r="A264" s="13"/>
      <c r="B264" s="18"/>
      <c r="C264" s="13"/>
      <c r="D264" s="13"/>
      <c r="E264" s="13"/>
      <c r="F264" s="14"/>
      <c r="G264" s="13"/>
      <c r="H264" s="13"/>
      <c r="I264" s="14"/>
      <c r="J264" s="13"/>
      <c r="K264" s="13"/>
    </row>
    <row r="265" spans="1:11" ht="14.45">
      <c r="A265" s="13"/>
      <c r="B265" s="18"/>
      <c r="C265" s="13"/>
      <c r="D265" s="13"/>
      <c r="E265" s="13"/>
      <c r="F265" s="14"/>
      <c r="G265" s="13"/>
      <c r="H265" s="13"/>
      <c r="I265" s="14"/>
      <c r="J265" s="13"/>
      <c r="K265" s="13"/>
    </row>
    <row r="266" spans="1:11" ht="14.45">
      <c r="A266" s="13"/>
      <c r="B266" s="18"/>
      <c r="C266" s="13"/>
      <c r="D266" s="13"/>
      <c r="E266" s="13"/>
      <c r="F266" s="14"/>
      <c r="G266" s="13"/>
      <c r="H266" s="13"/>
      <c r="I266" s="14"/>
      <c r="J266" s="13"/>
      <c r="K266" s="13"/>
    </row>
    <row r="267" spans="1:11" ht="14.45">
      <c r="A267" s="13"/>
      <c r="B267" s="18"/>
      <c r="C267" s="13"/>
      <c r="D267" s="13"/>
      <c r="E267" s="13"/>
      <c r="F267" s="14"/>
      <c r="G267" s="13"/>
      <c r="H267" s="13"/>
      <c r="I267" s="14"/>
      <c r="J267" s="13"/>
      <c r="K267" s="13"/>
    </row>
    <row r="268" spans="1:11" ht="14.45">
      <c r="A268" s="13"/>
      <c r="B268" s="18"/>
      <c r="C268" s="13"/>
      <c r="D268" s="13"/>
      <c r="E268" s="13"/>
      <c r="F268" s="14"/>
      <c r="G268" s="13"/>
      <c r="H268" s="13"/>
      <c r="I268" s="14"/>
      <c r="J268" s="13"/>
      <c r="K268" s="13"/>
    </row>
    <row r="269" spans="1:11" ht="14.45">
      <c r="A269" s="13"/>
      <c r="B269" s="18"/>
      <c r="C269" s="13"/>
      <c r="D269" s="13"/>
      <c r="E269" s="13"/>
      <c r="F269" s="14"/>
      <c r="G269" s="13"/>
      <c r="H269" s="13"/>
      <c r="I269" s="14"/>
      <c r="J269" s="13"/>
      <c r="K269" s="13"/>
    </row>
    <row r="270" spans="1:11" ht="14.45">
      <c r="A270" s="13"/>
      <c r="B270" s="18"/>
      <c r="C270" s="13"/>
      <c r="D270" s="13"/>
      <c r="E270" s="13"/>
      <c r="F270" s="14"/>
      <c r="G270" s="13"/>
      <c r="H270" s="13"/>
      <c r="I270" s="14"/>
      <c r="J270" s="13"/>
      <c r="K270" s="13"/>
    </row>
    <row r="271" spans="1:11" ht="14.45">
      <c r="A271" s="13"/>
      <c r="B271" s="18"/>
      <c r="C271" s="13"/>
      <c r="D271" s="13"/>
      <c r="E271" s="13"/>
      <c r="F271" s="14"/>
      <c r="G271" s="13"/>
      <c r="H271" s="13"/>
      <c r="I271" s="14"/>
      <c r="J271" s="13"/>
      <c r="K271" s="13"/>
    </row>
    <row r="272" spans="1:11" ht="14.45">
      <c r="A272" s="13"/>
      <c r="B272" s="18"/>
      <c r="C272" s="13"/>
      <c r="D272" s="13"/>
      <c r="E272" s="13"/>
      <c r="F272" s="14"/>
      <c r="G272" s="13"/>
      <c r="H272" s="13"/>
      <c r="I272" s="14"/>
      <c r="J272" s="13"/>
      <c r="K272" s="13"/>
    </row>
    <row r="273" spans="1:11" ht="14.45">
      <c r="A273" s="13"/>
      <c r="B273" s="18"/>
      <c r="C273" s="13"/>
      <c r="D273" s="13"/>
      <c r="E273" s="13"/>
      <c r="F273" s="14"/>
      <c r="G273" s="13"/>
      <c r="H273" s="13"/>
      <c r="I273" s="14"/>
      <c r="J273" s="13"/>
      <c r="K273" s="13"/>
    </row>
    <row r="274" spans="1:11" ht="14.45">
      <c r="A274" s="13"/>
      <c r="B274" s="18"/>
      <c r="C274" s="13"/>
      <c r="D274" s="13"/>
      <c r="E274" s="13"/>
      <c r="F274" s="14"/>
      <c r="G274" s="13"/>
      <c r="H274" s="13"/>
      <c r="I274" s="14"/>
      <c r="J274" s="13"/>
      <c r="K274" s="13"/>
    </row>
    <row r="275" spans="1:11" ht="14.45">
      <c r="A275" s="13"/>
      <c r="B275" s="18"/>
      <c r="C275" s="13"/>
      <c r="D275" s="13"/>
      <c r="E275" s="13"/>
      <c r="F275" s="14"/>
      <c r="G275" s="13"/>
      <c r="H275" s="13"/>
      <c r="I275" s="14"/>
      <c r="J275" s="13"/>
      <c r="K275" s="13"/>
    </row>
    <row r="276" spans="1:11" ht="14.45">
      <c r="A276" s="13"/>
      <c r="B276" s="18"/>
      <c r="C276" s="13"/>
      <c r="D276" s="13"/>
      <c r="E276" s="13"/>
      <c r="F276" s="14"/>
      <c r="G276" s="13"/>
      <c r="H276" s="13"/>
      <c r="I276" s="14"/>
      <c r="J276" s="13"/>
      <c r="K276" s="13"/>
    </row>
    <row r="277" spans="1:11" ht="14.45">
      <c r="A277" s="13"/>
      <c r="B277" s="18"/>
      <c r="C277" s="13"/>
      <c r="D277" s="13"/>
      <c r="E277" s="13"/>
      <c r="F277" s="14"/>
      <c r="G277" s="13"/>
      <c r="H277" s="13"/>
      <c r="I277" s="14"/>
      <c r="J277" s="13"/>
      <c r="K277" s="13"/>
    </row>
    <row r="278" spans="1:11" ht="14.45">
      <c r="A278" s="13"/>
      <c r="B278" s="18"/>
      <c r="C278" s="13"/>
      <c r="D278" s="13"/>
      <c r="E278" s="13"/>
      <c r="F278" s="14"/>
      <c r="G278" s="13"/>
      <c r="H278" s="13"/>
      <c r="I278" s="14"/>
      <c r="J278" s="13"/>
      <c r="K278" s="13"/>
    </row>
    <row r="279" spans="1:11" ht="14.45">
      <c r="A279" s="13"/>
      <c r="B279" s="18"/>
      <c r="C279" s="13"/>
      <c r="D279" s="13"/>
      <c r="E279" s="13"/>
      <c r="F279" s="14"/>
      <c r="G279" s="13"/>
      <c r="H279" s="13"/>
      <c r="I279" s="14"/>
      <c r="J279" s="13"/>
      <c r="K279" s="13"/>
    </row>
    <row r="280" spans="1:11" ht="14.45">
      <c r="A280" s="13"/>
      <c r="B280" s="18"/>
      <c r="C280" s="13"/>
      <c r="D280" s="13"/>
      <c r="E280" s="13"/>
      <c r="F280" s="14"/>
      <c r="G280" s="13"/>
      <c r="H280" s="13"/>
      <c r="I280" s="14"/>
      <c r="J280" s="13"/>
      <c r="K280" s="13"/>
    </row>
    <row r="281" spans="1:11" ht="14.45">
      <c r="A281" s="13"/>
      <c r="B281" s="18"/>
      <c r="C281" s="13"/>
      <c r="D281" s="13"/>
      <c r="E281" s="13"/>
      <c r="F281" s="14"/>
      <c r="G281" s="13"/>
      <c r="H281" s="13"/>
      <c r="I281" s="14"/>
      <c r="J281" s="13"/>
      <c r="K281" s="13"/>
    </row>
    <row r="282" spans="1:11" ht="14.45">
      <c r="A282" s="13"/>
      <c r="B282" s="18"/>
      <c r="C282" s="13"/>
      <c r="D282" s="13"/>
      <c r="E282" s="13"/>
      <c r="F282" s="14"/>
      <c r="G282" s="13"/>
      <c r="H282" s="13"/>
      <c r="I282" s="14"/>
      <c r="J282" s="13"/>
      <c r="K282" s="13"/>
    </row>
    <row r="283" spans="1:11" ht="14.45">
      <c r="A283" s="13"/>
      <c r="B283" s="18"/>
      <c r="C283" s="13"/>
      <c r="D283" s="13"/>
      <c r="E283" s="13"/>
      <c r="F283" s="14"/>
      <c r="G283" s="13"/>
      <c r="H283" s="13"/>
      <c r="I283" s="14"/>
      <c r="J283" s="13"/>
      <c r="K283" s="13"/>
    </row>
    <row r="284" spans="1:11" ht="14.45">
      <c r="A284" s="13"/>
      <c r="B284" s="18"/>
      <c r="C284" s="13"/>
      <c r="D284" s="13"/>
      <c r="E284" s="13"/>
      <c r="F284" s="14"/>
      <c r="G284" s="13"/>
      <c r="H284" s="13"/>
      <c r="I284" s="14"/>
      <c r="J284" s="13"/>
      <c r="K284" s="13"/>
    </row>
    <row r="285" spans="1:11" ht="14.45">
      <c r="A285" s="13"/>
      <c r="B285" s="18"/>
      <c r="C285" s="13"/>
      <c r="D285" s="13"/>
      <c r="E285" s="13"/>
      <c r="F285" s="14"/>
      <c r="G285" s="13"/>
      <c r="H285" s="13"/>
      <c r="I285" s="14"/>
      <c r="J285" s="13"/>
      <c r="K285" s="13"/>
    </row>
    <row r="286" spans="1:11" ht="14.45">
      <c r="A286" s="13"/>
      <c r="B286" s="18"/>
      <c r="C286" s="13"/>
      <c r="D286" s="13"/>
      <c r="E286" s="13"/>
      <c r="F286" s="14"/>
      <c r="G286" s="13"/>
      <c r="H286" s="13"/>
      <c r="I286" s="14"/>
      <c r="J286" s="13"/>
      <c r="K286" s="13"/>
    </row>
    <row r="287" spans="1:11" ht="14.45">
      <c r="A287" s="13"/>
      <c r="B287" s="18"/>
      <c r="C287" s="13"/>
      <c r="D287" s="13"/>
      <c r="E287" s="13"/>
      <c r="F287" s="14"/>
      <c r="G287" s="13"/>
      <c r="H287" s="13"/>
      <c r="I287" s="14"/>
      <c r="J287" s="13"/>
      <c r="K287" s="13"/>
    </row>
    <row r="288" spans="1:11" ht="14.45">
      <c r="A288" s="13"/>
      <c r="B288" s="18"/>
      <c r="C288" s="13"/>
      <c r="D288" s="13"/>
      <c r="E288" s="13"/>
      <c r="F288" s="14"/>
      <c r="G288" s="13"/>
      <c r="H288" s="13"/>
      <c r="I288" s="14"/>
      <c r="J288" s="13"/>
      <c r="K288" s="13"/>
    </row>
    <row r="289" spans="1:11" ht="14.45">
      <c r="A289" s="13"/>
      <c r="B289" s="18"/>
      <c r="C289" s="13"/>
      <c r="D289" s="13"/>
      <c r="E289" s="13"/>
      <c r="F289" s="14"/>
      <c r="G289" s="13"/>
      <c r="H289" s="13"/>
      <c r="I289" s="14"/>
      <c r="J289" s="13"/>
      <c r="K289" s="13"/>
    </row>
    <row r="290" spans="1:11" ht="14.45">
      <c r="A290" s="13"/>
      <c r="B290" s="18"/>
      <c r="C290" s="13"/>
      <c r="D290" s="13"/>
      <c r="E290" s="13"/>
      <c r="F290" s="14"/>
      <c r="G290" s="13"/>
      <c r="H290" s="13"/>
      <c r="I290" s="14"/>
      <c r="J290" s="13"/>
      <c r="K290" s="13"/>
    </row>
    <row r="291" spans="1:11" ht="14.45">
      <c r="A291" s="13"/>
      <c r="B291" s="18"/>
      <c r="C291" s="13"/>
      <c r="D291" s="13"/>
      <c r="E291" s="13"/>
      <c r="F291" s="14"/>
      <c r="G291" s="13"/>
      <c r="H291" s="13"/>
      <c r="I291" s="14"/>
      <c r="J291" s="13"/>
      <c r="K291" s="13"/>
    </row>
    <row r="292" spans="1:11" ht="14.45">
      <c r="A292" s="13"/>
      <c r="B292" s="18"/>
      <c r="C292" s="13"/>
      <c r="D292" s="13"/>
      <c r="E292" s="13"/>
      <c r="F292" s="14"/>
      <c r="G292" s="13"/>
      <c r="H292" s="13"/>
      <c r="I292" s="14"/>
      <c r="J292" s="13"/>
      <c r="K292" s="13"/>
    </row>
    <row r="293" spans="1:11" ht="14.45">
      <c r="A293" s="13"/>
      <c r="B293" s="18"/>
      <c r="C293" s="13"/>
      <c r="D293" s="13"/>
      <c r="E293" s="13"/>
      <c r="F293" s="14"/>
      <c r="G293" s="13"/>
      <c r="H293" s="13"/>
      <c r="I293" s="14"/>
      <c r="J293" s="13"/>
      <c r="K293" s="13"/>
    </row>
    <row r="294" spans="1:11" ht="14.45">
      <c r="A294" s="13"/>
      <c r="B294" s="18"/>
      <c r="C294" s="13"/>
      <c r="D294" s="13"/>
      <c r="E294" s="13"/>
      <c r="F294" s="14"/>
      <c r="G294" s="13"/>
      <c r="H294" s="13"/>
      <c r="I294" s="14"/>
      <c r="J294" s="13"/>
      <c r="K294" s="13"/>
    </row>
    <row r="295" spans="1:11" ht="14.45">
      <c r="A295" s="13"/>
      <c r="B295" s="18"/>
      <c r="C295" s="13"/>
      <c r="D295" s="13"/>
      <c r="E295" s="13"/>
      <c r="F295" s="14"/>
      <c r="G295" s="13"/>
      <c r="H295" s="13"/>
      <c r="I295" s="14"/>
      <c r="J295" s="13"/>
      <c r="K295" s="13"/>
    </row>
    <row r="296" spans="1:11" ht="14.45">
      <c r="A296" s="13"/>
      <c r="B296" s="18"/>
      <c r="C296" s="13"/>
      <c r="D296" s="13"/>
      <c r="E296" s="13"/>
      <c r="F296" s="14"/>
      <c r="G296" s="13"/>
      <c r="H296" s="13"/>
      <c r="I296" s="14"/>
      <c r="J296" s="13"/>
      <c r="K296" s="13"/>
    </row>
    <row r="297" spans="1:11" ht="14.45">
      <c r="A297" s="13"/>
      <c r="B297" s="18"/>
      <c r="C297" s="13"/>
      <c r="D297" s="13"/>
      <c r="E297" s="13"/>
      <c r="F297" s="14"/>
      <c r="G297" s="13"/>
      <c r="H297" s="13"/>
      <c r="I297" s="14"/>
      <c r="J297" s="13"/>
      <c r="K297" s="13"/>
    </row>
    <row r="298" spans="1:11" ht="14.45">
      <c r="A298" s="13"/>
      <c r="B298" s="18"/>
      <c r="C298" s="13"/>
      <c r="D298" s="13"/>
      <c r="E298" s="13"/>
      <c r="F298" s="14"/>
      <c r="G298" s="13"/>
      <c r="H298" s="13"/>
      <c r="I298" s="14"/>
      <c r="J298" s="13"/>
      <c r="K298" s="13"/>
    </row>
    <row r="299" spans="1:11" ht="14.45">
      <c r="A299" s="13"/>
      <c r="B299" s="18"/>
      <c r="C299" s="13"/>
      <c r="D299" s="13"/>
      <c r="E299" s="13"/>
      <c r="F299" s="14"/>
      <c r="G299" s="13"/>
      <c r="H299" s="13"/>
      <c r="I299" s="14"/>
      <c r="J299" s="13"/>
      <c r="K299" s="13"/>
    </row>
    <row r="300" spans="1:11" ht="14.45">
      <c r="A300" s="13"/>
      <c r="B300" s="18"/>
      <c r="C300" s="13"/>
      <c r="D300" s="13"/>
      <c r="E300" s="13"/>
      <c r="F300" s="14"/>
      <c r="G300" s="13"/>
      <c r="H300" s="13"/>
      <c r="I300" s="14"/>
      <c r="J300" s="13"/>
      <c r="K300" s="13"/>
    </row>
    <row r="301" spans="1:11" ht="14.45">
      <c r="A301" s="13"/>
      <c r="B301" s="18"/>
      <c r="C301" s="13"/>
      <c r="D301" s="13"/>
      <c r="E301" s="13"/>
      <c r="F301" s="14"/>
      <c r="G301" s="13"/>
      <c r="H301" s="13"/>
      <c r="I301" s="14"/>
      <c r="J301" s="13"/>
      <c r="K301" s="13"/>
    </row>
    <row r="302" spans="1:11" ht="14.45">
      <c r="A302" s="13"/>
      <c r="B302" s="18"/>
      <c r="C302" s="13"/>
      <c r="D302" s="13"/>
      <c r="E302" s="13"/>
      <c r="F302" s="14"/>
      <c r="G302" s="13"/>
      <c r="H302" s="13"/>
      <c r="I302" s="14"/>
      <c r="J302" s="13"/>
      <c r="K302" s="13"/>
    </row>
    <row r="303" spans="1:11" ht="14.45">
      <c r="A303" s="13"/>
      <c r="B303" s="18"/>
      <c r="C303" s="13"/>
      <c r="D303" s="13"/>
      <c r="E303" s="13"/>
      <c r="F303" s="14"/>
      <c r="G303" s="13"/>
      <c r="H303" s="13"/>
      <c r="I303" s="14"/>
      <c r="J303" s="13"/>
      <c r="K303" s="13"/>
    </row>
    <row r="304" spans="1:11" ht="14.45">
      <c r="A304" s="13"/>
      <c r="B304" s="18"/>
      <c r="C304" s="13"/>
      <c r="D304" s="13"/>
      <c r="E304" s="13"/>
      <c r="F304" s="14"/>
      <c r="G304" s="13"/>
      <c r="H304" s="13"/>
      <c r="I304" s="14"/>
      <c r="J304" s="13"/>
      <c r="K304" s="13"/>
    </row>
    <row r="305" spans="1:11" ht="14.45">
      <c r="A305" s="13"/>
      <c r="B305" s="18"/>
      <c r="C305" s="13"/>
      <c r="D305" s="13"/>
      <c r="E305" s="13"/>
      <c r="F305" s="14"/>
      <c r="G305" s="13"/>
      <c r="H305" s="13"/>
      <c r="I305" s="14"/>
      <c r="J305" s="13"/>
      <c r="K305" s="13"/>
    </row>
    <row r="306" spans="1:11" ht="14.45">
      <c r="A306" s="13"/>
      <c r="B306" s="18"/>
      <c r="C306" s="13"/>
      <c r="D306" s="13"/>
      <c r="E306" s="13"/>
      <c r="F306" s="14"/>
      <c r="G306" s="13"/>
      <c r="H306" s="13"/>
      <c r="I306" s="14"/>
      <c r="J306" s="13"/>
      <c r="K306" s="13"/>
    </row>
    <row r="307" spans="1:11" ht="14.45">
      <c r="A307" s="13"/>
      <c r="B307" s="18"/>
      <c r="C307" s="13"/>
      <c r="D307" s="13"/>
      <c r="E307" s="13"/>
      <c r="F307" s="14"/>
      <c r="G307" s="13"/>
      <c r="H307" s="13"/>
      <c r="I307" s="14"/>
      <c r="J307" s="13"/>
      <c r="K307" s="13"/>
    </row>
    <row r="308" spans="1:11" ht="14.45">
      <c r="A308" s="13"/>
      <c r="B308" s="18"/>
      <c r="C308" s="13"/>
      <c r="D308" s="13"/>
      <c r="E308" s="13"/>
      <c r="F308" s="14"/>
      <c r="G308" s="13"/>
      <c r="H308" s="13"/>
      <c r="I308" s="14"/>
      <c r="J308" s="13"/>
      <c r="K308" s="13"/>
    </row>
    <row r="309" spans="1:11" ht="14.45">
      <c r="A309" s="13"/>
      <c r="B309" s="18"/>
      <c r="C309" s="13"/>
      <c r="D309" s="13"/>
      <c r="E309" s="13"/>
      <c r="F309" s="14"/>
      <c r="G309" s="13"/>
      <c r="H309" s="13"/>
      <c r="I309" s="14"/>
      <c r="J309" s="13"/>
      <c r="K309" s="13"/>
    </row>
    <row r="310" spans="1:11" ht="14.45">
      <c r="A310" s="13"/>
      <c r="B310" s="18"/>
      <c r="C310" s="13"/>
      <c r="D310" s="13"/>
      <c r="E310" s="13"/>
      <c r="F310" s="14"/>
      <c r="G310" s="13"/>
      <c r="H310" s="13"/>
      <c r="I310" s="14"/>
      <c r="J310" s="13"/>
      <c r="K310" s="13"/>
    </row>
    <row r="311" spans="1:11" ht="14.45">
      <c r="A311" s="13"/>
      <c r="B311" s="18"/>
      <c r="C311" s="13"/>
      <c r="D311" s="13"/>
      <c r="E311" s="13"/>
      <c r="F311" s="14"/>
      <c r="G311" s="13"/>
      <c r="H311" s="13"/>
      <c r="I311" s="14"/>
      <c r="J311" s="13"/>
      <c r="K311" s="13"/>
    </row>
    <row r="312" spans="1:11" ht="14.45">
      <c r="A312" s="13"/>
      <c r="B312" s="18"/>
      <c r="C312" s="13"/>
      <c r="D312" s="13"/>
      <c r="E312" s="13"/>
      <c r="F312" s="14"/>
      <c r="G312" s="13"/>
      <c r="H312" s="13"/>
      <c r="I312" s="14"/>
      <c r="J312" s="13"/>
      <c r="K312" s="13"/>
    </row>
    <row r="313" spans="1:11" ht="14.45">
      <c r="A313" s="13"/>
      <c r="B313" s="18"/>
      <c r="C313" s="13"/>
      <c r="D313" s="13"/>
      <c r="E313" s="13"/>
      <c r="F313" s="14"/>
      <c r="G313" s="13"/>
      <c r="H313" s="13"/>
      <c r="I313" s="14"/>
      <c r="J313" s="13"/>
      <c r="K313" s="13"/>
    </row>
    <row r="314" spans="1:11" ht="14.45">
      <c r="A314" s="13"/>
      <c r="B314" s="18"/>
      <c r="C314" s="13"/>
      <c r="D314" s="13"/>
      <c r="E314" s="13"/>
      <c r="F314" s="14"/>
      <c r="G314" s="13"/>
      <c r="H314" s="13"/>
      <c r="I314" s="14"/>
      <c r="J314" s="13"/>
      <c r="K314" s="13"/>
    </row>
    <row r="315" spans="1:11" ht="14.45">
      <c r="A315" s="13"/>
      <c r="B315" s="18"/>
      <c r="C315" s="13"/>
      <c r="D315" s="13"/>
      <c r="E315" s="13"/>
      <c r="F315" s="14"/>
      <c r="G315" s="13"/>
      <c r="H315" s="13"/>
      <c r="I315" s="14"/>
      <c r="J315" s="13"/>
      <c r="K315" s="13"/>
    </row>
    <row r="316" spans="1:11" ht="14.45">
      <c r="A316" s="13"/>
      <c r="B316" s="18"/>
      <c r="C316" s="13"/>
      <c r="D316" s="13"/>
      <c r="E316" s="13"/>
      <c r="F316" s="14"/>
      <c r="G316" s="13"/>
      <c r="H316" s="13"/>
      <c r="I316" s="14"/>
      <c r="J316" s="13"/>
      <c r="K316" s="13"/>
    </row>
    <row r="317" spans="1:11" ht="14.45">
      <c r="A317" s="13"/>
      <c r="B317" s="18"/>
      <c r="C317" s="13"/>
      <c r="D317" s="13"/>
      <c r="E317" s="13"/>
      <c r="F317" s="14"/>
      <c r="G317" s="13"/>
      <c r="H317" s="13"/>
      <c r="I317" s="14"/>
      <c r="J317" s="13"/>
      <c r="K317" s="13"/>
    </row>
    <row r="318" spans="1:11" ht="14.45">
      <c r="A318" s="13"/>
      <c r="B318" s="18"/>
      <c r="C318" s="13"/>
      <c r="D318" s="13"/>
      <c r="E318" s="13"/>
      <c r="F318" s="14"/>
      <c r="G318" s="13"/>
      <c r="H318" s="13"/>
      <c r="I318" s="14"/>
      <c r="J318" s="13"/>
      <c r="K318" s="13"/>
    </row>
    <row r="319" spans="1:11" ht="14.45">
      <c r="A319" s="13"/>
      <c r="B319" s="18"/>
      <c r="C319" s="13"/>
      <c r="D319" s="13"/>
      <c r="E319" s="13"/>
      <c r="F319" s="14"/>
      <c r="G319" s="13"/>
      <c r="H319" s="13"/>
      <c r="I319" s="14"/>
      <c r="J319" s="13"/>
      <c r="K319" s="13"/>
    </row>
    <row r="320" spans="1:11" ht="14.45">
      <c r="A320" s="13"/>
      <c r="B320" s="18"/>
      <c r="C320" s="13"/>
      <c r="D320" s="13"/>
      <c r="E320" s="13"/>
      <c r="F320" s="14"/>
      <c r="G320" s="13"/>
      <c r="H320" s="13"/>
      <c r="I320" s="14"/>
      <c r="J320" s="13"/>
      <c r="K320" s="13"/>
    </row>
    <row r="321" spans="1:11" ht="14.45">
      <c r="A321" s="13"/>
      <c r="B321" s="18"/>
      <c r="C321" s="13"/>
      <c r="D321" s="13"/>
      <c r="E321" s="13"/>
      <c r="F321" s="14"/>
      <c r="G321" s="13"/>
      <c r="H321" s="13"/>
      <c r="I321" s="14"/>
      <c r="J321" s="13"/>
      <c r="K321" s="13"/>
    </row>
    <row r="322" spans="1:11" ht="14.45">
      <c r="A322" s="13"/>
      <c r="B322" s="18"/>
      <c r="C322" s="13"/>
      <c r="D322" s="13"/>
      <c r="E322" s="13"/>
      <c r="F322" s="14"/>
      <c r="G322" s="13"/>
      <c r="H322" s="13"/>
      <c r="I322" s="14"/>
      <c r="J322" s="13"/>
      <c r="K322" s="13"/>
    </row>
    <row r="323" spans="1:11" ht="14.45">
      <c r="A323" s="13"/>
      <c r="B323" s="18"/>
      <c r="C323" s="13"/>
      <c r="D323" s="13"/>
      <c r="E323" s="13"/>
      <c r="F323" s="14"/>
      <c r="G323" s="13"/>
      <c r="H323" s="13"/>
      <c r="I323" s="14"/>
      <c r="J323" s="13"/>
      <c r="K323" s="13"/>
    </row>
    <row r="324" spans="1:11" ht="14.45">
      <c r="A324" s="13"/>
      <c r="B324" s="18"/>
      <c r="C324" s="13"/>
      <c r="D324" s="13"/>
      <c r="E324" s="13"/>
      <c r="F324" s="14"/>
      <c r="G324" s="13"/>
      <c r="H324" s="13"/>
      <c r="I324" s="14"/>
      <c r="J324" s="13"/>
      <c r="K324" s="13"/>
    </row>
    <row r="325" spans="1:11" ht="14.45">
      <c r="A325" s="13"/>
      <c r="B325" s="18"/>
      <c r="C325" s="13"/>
      <c r="D325" s="13"/>
      <c r="E325" s="13"/>
      <c r="F325" s="14"/>
      <c r="G325" s="13"/>
      <c r="H325" s="13"/>
      <c r="I325" s="14"/>
      <c r="J325" s="13"/>
      <c r="K325" s="13"/>
    </row>
    <row r="326" spans="1:11" ht="14.45">
      <c r="A326" s="13"/>
      <c r="B326" s="18"/>
      <c r="C326" s="13"/>
      <c r="D326" s="13"/>
      <c r="E326" s="13"/>
      <c r="F326" s="14"/>
      <c r="G326" s="13"/>
      <c r="H326" s="13"/>
      <c r="I326" s="14"/>
      <c r="J326" s="13"/>
      <c r="K326" s="13"/>
    </row>
    <row r="327" spans="1:11" ht="14.45">
      <c r="A327" s="13"/>
      <c r="B327" s="18"/>
      <c r="C327" s="13"/>
      <c r="D327" s="13"/>
      <c r="E327" s="13"/>
      <c r="F327" s="14"/>
      <c r="G327" s="13"/>
      <c r="H327" s="13"/>
      <c r="I327" s="14"/>
      <c r="J327" s="13"/>
      <c r="K327" s="13"/>
    </row>
    <row r="328" spans="1:11" ht="14.45">
      <c r="A328" s="13"/>
      <c r="B328" s="18"/>
      <c r="C328" s="13"/>
      <c r="D328" s="13"/>
      <c r="E328" s="13"/>
      <c r="F328" s="14"/>
      <c r="G328" s="13"/>
      <c r="H328" s="13"/>
      <c r="I328" s="14"/>
      <c r="J328" s="13"/>
      <c r="K328" s="13"/>
    </row>
    <row r="329" spans="1:11" ht="14.45">
      <c r="A329" s="13"/>
      <c r="B329" s="18"/>
      <c r="C329" s="13"/>
      <c r="D329" s="13"/>
      <c r="E329" s="13"/>
      <c r="F329" s="14"/>
      <c r="G329" s="13"/>
      <c r="H329" s="13"/>
      <c r="I329" s="14"/>
      <c r="J329" s="13"/>
      <c r="K329" s="13"/>
    </row>
    <row r="330" spans="1:11" ht="14.45">
      <c r="A330" s="13"/>
      <c r="B330" s="18"/>
      <c r="C330" s="13"/>
      <c r="D330" s="13"/>
      <c r="E330" s="13"/>
      <c r="F330" s="14"/>
      <c r="G330" s="13"/>
      <c r="H330" s="13"/>
      <c r="I330" s="14"/>
      <c r="J330" s="13"/>
      <c r="K330" s="13"/>
    </row>
    <row r="331" spans="1:11" ht="14.45">
      <c r="A331" s="13"/>
      <c r="B331" s="18"/>
      <c r="C331" s="13"/>
      <c r="D331" s="13"/>
      <c r="E331" s="13"/>
      <c r="F331" s="14"/>
      <c r="G331" s="13"/>
      <c r="H331" s="13"/>
      <c r="I331" s="14"/>
      <c r="J331" s="13"/>
      <c r="K331" s="13"/>
    </row>
    <row r="332" spans="1:11" ht="14.45">
      <c r="A332" s="13"/>
      <c r="B332" s="18"/>
      <c r="C332" s="13"/>
      <c r="D332" s="13"/>
      <c r="E332" s="13"/>
      <c r="F332" s="14"/>
      <c r="G332" s="13"/>
      <c r="H332" s="13"/>
      <c r="I332" s="14"/>
      <c r="J332" s="13"/>
      <c r="K332" s="13"/>
    </row>
    <row r="333" spans="1:11" ht="14.45">
      <c r="A333" s="13"/>
      <c r="B333" s="18"/>
      <c r="C333" s="13"/>
      <c r="D333" s="13"/>
      <c r="E333" s="13"/>
      <c r="F333" s="14"/>
      <c r="G333" s="13"/>
      <c r="H333" s="13"/>
      <c r="I333" s="14"/>
      <c r="J333" s="13"/>
      <c r="K333" s="13"/>
    </row>
    <row r="334" spans="1:11" ht="14.45">
      <c r="A334" s="13"/>
      <c r="B334" s="18"/>
      <c r="C334" s="13"/>
      <c r="D334" s="13"/>
      <c r="E334" s="13"/>
      <c r="F334" s="14"/>
      <c r="G334" s="13"/>
      <c r="H334" s="13"/>
      <c r="I334" s="14"/>
      <c r="J334" s="13"/>
      <c r="K334" s="13"/>
    </row>
    <row r="335" spans="1:11" ht="14.45">
      <c r="A335" s="13"/>
      <c r="B335" s="18"/>
      <c r="C335" s="13"/>
      <c r="D335" s="13"/>
      <c r="E335" s="13"/>
      <c r="F335" s="14"/>
      <c r="G335" s="13"/>
      <c r="H335" s="13"/>
      <c r="I335" s="14"/>
      <c r="J335" s="13"/>
      <c r="K335" s="13"/>
    </row>
    <row r="336" spans="1:11" ht="14.45">
      <c r="A336" s="13"/>
      <c r="B336" s="18"/>
      <c r="C336" s="13"/>
      <c r="D336" s="13"/>
      <c r="E336" s="13"/>
      <c r="F336" s="14"/>
      <c r="G336" s="13"/>
      <c r="H336" s="13"/>
      <c r="I336" s="14"/>
      <c r="J336" s="13"/>
      <c r="K336" s="13"/>
    </row>
    <row r="337" spans="1:11" ht="14.45">
      <c r="A337" s="13"/>
      <c r="B337" s="18"/>
      <c r="C337" s="13"/>
      <c r="D337" s="13"/>
      <c r="E337" s="13"/>
      <c r="F337" s="14"/>
      <c r="G337" s="13"/>
      <c r="H337" s="13"/>
      <c r="I337" s="14"/>
      <c r="J337" s="13"/>
      <c r="K337" s="13"/>
    </row>
    <row r="338" spans="1:11" ht="14.45">
      <c r="A338" s="13"/>
      <c r="B338" s="18"/>
      <c r="C338" s="13"/>
      <c r="D338" s="13"/>
      <c r="E338" s="13"/>
      <c r="F338" s="14"/>
      <c r="G338" s="13"/>
      <c r="H338" s="13"/>
      <c r="I338" s="14"/>
      <c r="J338" s="13"/>
      <c r="K338" s="13"/>
    </row>
    <row r="339" spans="1:11" ht="14.45">
      <c r="A339" s="13"/>
      <c r="B339" s="18"/>
      <c r="C339" s="13"/>
      <c r="D339" s="13"/>
      <c r="E339" s="13"/>
      <c r="F339" s="14"/>
      <c r="G339" s="13"/>
      <c r="H339" s="13"/>
      <c r="I339" s="14"/>
      <c r="J339" s="13"/>
      <c r="K339" s="13"/>
    </row>
    <row r="340" spans="1:11" ht="14.45">
      <c r="A340" s="13"/>
      <c r="B340" s="18"/>
      <c r="C340" s="13"/>
      <c r="D340" s="13"/>
      <c r="E340" s="13"/>
      <c r="F340" s="14"/>
      <c r="G340" s="13"/>
      <c r="H340" s="13"/>
      <c r="I340" s="14"/>
      <c r="J340" s="13"/>
      <c r="K340" s="13"/>
    </row>
    <row r="341" spans="1:11" ht="14.45">
      <c r="C341" s="13"/>
      <c r="D341" s="13"/>
      <c r="E341" s="13"/>
      <c r="F341" s="14"/>
      <c r="G341" s="13"/>
      <c r="H341" s="13"/>
      <c r="I341" s="14"/>
      <c r="J341" s="13"/>
      <c r="K341" s="13"/>
    </row>
  </sheetData>
  <mergeCells count="4">
    <mergeCell ref="G1:I1"/>
    <mergeCell ref="A1:C1"/>
    <mergeCell ref="D1:F1"/>
    <mergeCell ref="A2:B2"/>
  </mergeCells>
  <conditionalFormatting sqref="F2 I2 F4:F99 I4:I99">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0"/>
  <sheetViews>
    <sheetView workbookViewId="0">
      <pane ySplit="3" topLeftCell="A4" activePane="bottomLeft" state="frozen"/>
      <selection pane="bottomLeft" activeCell="B30" sqref="B30"/>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174</v>
      </c>
      <c r="B1" t="s">
        <v>175</v>
      </c>
    </row>
    <row r="3" spans="1:12" ht="13.15">
      <c r="A3" t="s">
        <v>176</v>
      </c>
      <c r="B3" t="s">
        <v>3</v>
      </c>
      <c r="C3" t="s">
        <v>4</v>
      </c>
      <c r="D3" t="s">
        <v>177</v>
      </c>
      <c r="E3" s="2" t="s">
        <v>178</v>
      </c>
    </row>
    <row r="4" spans="1:12" ht="14.45">
      <c r="A4" s="26" t="s">
        <v>179</v>
      </c>
      <c r="B4" t="s">
        <v>179</v>
      </c>
      <c r="C4" s="25" t="s">
        <v>180</v>
      </c>
      <c r="D4" s="24" t="s">
        <v>181</v>
      </c>
      <c r="E4" t="s">
        <v>182</v>
      </c>
      <c r="G4" s="3"/>
    </row>
    <row r="5" spans="1:12" ht="14.45">
      <c r="A5" s="26" t="s">
        <v>183</v>
      </c>
      <c r="B5" t="s">
        <v>183</v>
      </c>
      <c r="C5" s="25" t="s">
        <v>184</v>
      </c>
      <c r="D5" s="24" t="s">
        <v>181</v>
      </c>
      <c r="E5" t="s">
        <v>182</v>
      </c>
      <c r="G5" s="3"/>
    </row>
    <row r="6" spans="1:12" ht="14.45">
      <c r="A6" s="26" t="s">
        <v>185</v>
      </c>
      <c r="B6" t="s">
        <v>185</v>
      </c>
      <c r="C6" s="25" t="s">
        <v>184</v>
      </c>
      <c r="D6" s="24" t="s">
        <v>181</v>
      </c>
      <c r="E6" t="s">
        <v>182</v>
      </c>
      <c r="G6" s="3"/>
    </row>
    <row r="7" spans="1:12" ht="12.75" customHeight="1">
      <c r="A7" s="26" t="s">
        <v>186</v>
      </c>
      <c r="B7" t="s">
        <v>186</v>
      </c>
      <c r="C7" s="25" t="s">
        <v>184</v>
      </c>
      <c r="D7" s="24" t="s">
        <v>181</v>
      </c>
      <c r="E7" t="s">
        <v>182</v>
      </c>
    </row>
    <row r="8" spans="1:12" ht="12.75" customHeight="1">
      <c r="A8" s="26" t="s">
        <v>187</v>
      </c>
      <c r="B8" t="s">
        <v>187</v>
      </c>
      <c r="C8" s="25" t="s">
        <v>184</v>
      </c>
      <c r="D8" s="24" t="s">
        <v>181</v>
      </c>
      <c r="E8" t="s">
        <v>182</v>
      </c>
    </row>
    <row r="9" spans="1:12" ht="12.75" customHeight="1">
      <c r="A9" s="26" t="s">
        <v>188</v>
      </c>
      <c r="B9" t="s">
        <v>188</v>
      </c>
      <c r="C9" s="25" t="s">
        <v>184</v>
      </c>
      <c r="D9" s="24" t="s">
        <v>181</v>
      </c>
      <c r="E9" t="s">
        <v>182</v>
      </c>
    </row>
    <row r="10" spans="1:12" ht="12.75" customHeight="1">
      <c r="A10" s="26" t="s">
        <v>189</v>
      </c>
      <c r="B10" t="s">
        <v>189</v>
      </c>
      <c r="C10" s="25" t="s">
        <v>184</v>
      </c>
      <c r="D10" s="24" t="s">
        <v>181</v>
      </c>
      <c r="E10" t="s">
        <v>182</v>
      </c>
      <c r="K10" s="21"/>
      <c r="L10" s="21"/>
    </row>
    <row r="11" spans="1:12" ht="12.75" customHeight="1">
      <c r="A11" s="26" t="s">
        <v>190</v>
      </c>
      <c r="B11" t="s">
        <v>190</v>
      </c>
      <c r="C11" s="25" t="s">
        <v>184</v>
      </c>
      <c r="D11" s="24" t="s">
        <v>181</v>
      </c>
      <c r="E11" t="s">
        <v>182</v>
      </c>
      <c r="K11" s="21"/>
      <c r="L11" s="21"/>
    </row>
    <row r="12" spans="1:12" ht="12.75" customHeight="1">
      <c r="A12" s="26" t="s">
        <v>191</v>
      </c>
      <c r="B12" t="s">
        <v>191</v>
      </c>
      <c r="C12" s="25" t="s">
        <v>184</v>
      </c>
      <c r="D12" s="24" t="s">
        <v>181</v>
      </c>
      <c r="E12" t="s">
        <v>182</v>
      </c>
      <c r="K12" s="21"/>
      <c r="L12" s="21"/>
    </row>
    <row r="13" spans="1:12" ht="12.75" customHeight="1">
      <c r="A13" s="26" t="s">
        <v>192</v>
      </c>
      <c r="B13" t="s">
        <v>192</v>
      </c>
      <c r="C13" s="25" t="s">
        <v>184</v>
      </c>
      <c r="D13" s="24" t="s">
        <v>181</v>
      </c>
      <c r="E13" t="s">
        <v>182</v>
      </c>
      <c r="K13" s="21"/>
      <c r="L13" s="21"/>
    </row>
    <row r="14" spans="1:12" ht="12.75" customHeight="1">
      <c r="A14" s="26" t="s">
        <v>193</v>
      </c>
      <c r="B14" t="s">
        <v>193</v>
      </c>
      <c r="C14" s="25" t="s">
        <v>184</v>
      </c>
      <c r="D14" s="24" t="s">
        <v>181</v>
      </c>
      <c r="E14" t="s">
        <v>182</v>
      </c>
      <c r="K14" s="21"/>
      <c r="L14" s="21"/>
    </row>
    <row r="15" spans="1:12" ht="12.75" customHeight="1">
      <c r="A15" s="26" t="s">
        <v>194</v>
      </c>
      <c r="B15" t="s">
        <v>194</v>
      </c>
      <c r="C15" s="25" t="s">
        <v>184</v>
      </c>
      <c r="D15" s="24" t="s">
        <v>181</v>
      </c>
      <c r="E15" t="s">
        <v>182</v>
      </c>
      <c r="K15" s="21"/>
      <c r="L15" s="21"/>
    </row>
    <row r="16" spans="1:12" ht="12.75" customHeight="1">
      <c r="A16" s="26" t="s">
        <v>195</v>
      </c>
      <c r="B16" t="s">
        <v>195</v>
      </c>
      <c r="C16" s="25" t="s">
        <v>184</v>
      </c>
      <c r="D16" s="24" t="s">
        <v>181</v>
      </c>
      <c r="E16" t="s">
        <v>182</v>
      </c>
      <c r="K16" s="21"/>
      <c r="L16" s="21"/>
    </row>
    <row r="17" spans="1:12" ht="12.75" customHeight="1">
      <c r="A17" s="26" t="s">
        <v>196</v>
      </c>
      <c r="B17" t="s">
        <v>196</v>
      </c>
      <c r="C17" s="25" t="s">
        <v>184</v>
      </c>
      <c r="D17" s="24" t="s">
        <v>181</v>
      </c>
      <c r="E17" t="s">
        <v>182</v>
      </c>
      <c r="K17" s="21"/>
      <c r="L17" s="21"/>
    </row>
    <row r="18" spans="1:12" ht="12.75" customHeight="1">
      <c r="A18" s="26" t="s">
        <v>197</v>
      </c>
      <c r="B18" t="s">
        <v>197</v>
      </c>
      <c r="C18" s="25" t="s">
        <v>184</v>
      </c>
      <c r="D18" s="24" t="s">
        <v>181</v>
      </c>
      <c r="E18" t="s">
        <v>182</v>
      </c>
      <c r="K18" s="21"/>
      <c r="L18" s="21"/>
    </row>
    <row r="19" spans="1:12" ht="12.75" customHeight="1">
      <c r="A19" s="26" t="s">
        <v>198</v>
      </c>
      <c r="B19" t="s">
        <v>198</v>
      </c>
      <c r="C19" s="25" t="s">
        <v>184</v>
      </c>
      <c r="D19" s="24" t="s">
        <v>181</v>
      </c>
      <c r="E19" t="s">
        <v>182</v>
      </c>
      <c r="K19" s="21"/>
      <c r="L19" s="21"/>
    </row>
    <row r="20" spans="1:12" ht="12.75" customHeight="1">
      <c r="A20" s="26" t="s">
        <v>199</v>
      </c>
      <c r="B20" t="s">
        <v>199</v>
      </c>
      <c r="C20" s="25" t="s">
        <v>184</v>
      </c>
      <c r="D20" s="24" t="s">
        <v>181</v>
      </c>
      <c r="E20" t="s">
        <v>182</v>
      </c>
      <c r="K20" s="21"/>
      <c r="L20" s="21"/>
    </row>
    <row r="21" spans="1:12" ht="12.75" customHeight="1">
      <c r="A21" s="26" t="s">
        <v>200</v>
      </c>
      <c r="B21" t="s">
        <v>200</v>
      </c>
      <c r="C21" s="25" t="s">
        <v>184</v>
      </c>
      <c r="D21" s="24" t="s">
        <v>181</v>
      </c>
      <c r="E21" t="s">
        <v>182</v>
      </c>
      <c r="K21" s="21"/>
      <c r="L21" s="21"/>
    </row>
    <row r="22" spans="1:12" ht="12.75" customHeight="1">
      <c r="A22" s="26" t="s">
        <v>201</v>
      </c>
      <c r="B22" t="s">
        <v>201</v>
      </c>
      <c r="C22" s="25" t="s">
        <v>184</v>
      </c>
      <c r="D22" s="24" t="s">
        <v>181</v>
      </c>
      <c r="E22" t="s">
        <v>182</v>
      </c>
      <c r="K22" s="21"/>
      <c r="L22" s="21"/>
    </row>
    <row r="23" spans="1:12" ht="12.75" customHeight="1">
      <c r="A23" s="26" t="s">
        <v>202</v>
      </c>
      <c r="B23" t="s">
        <v>202</v>
      </c>
      <c r="C23" s="25" t="s">
        <v>184</v>
      </c>
      <c r="D23" s="24" t="s">
        <v>181</v>
      </c>
      <c r="E23" t="s">
        <v>182</v>
      </c>
      <c r="K23" s="21"/>
      <c r="L23" s="21"/>
    </row>
    <row r="24" spans="1:12" ht="12.75" customHeight="1">
      <c r="A24" s="26" t="s">
        <v>203</v>
      </c>
      <c r="B24" t="s">
        <v>203</v>
      </c>
      <c r="C24" s="25" t="s">
        <v>184</v>
      </c>
      <c r="D24" s="24" t="s">
        <v>181</v>
      </c>
      <c r="E24" t="s">
        <v>182</v>
      </c>
      <c r="K24" s="21"/>
      <c r="L24" s="21"/>
    </row>
    <row r="25" spans="1:12" ht="12.75" customHeight="1">
      <c r="K25" s="21"/>
      <c r="L25" s="21"/>
    </row>
    <row r="26" spans="1:12" ht="12.75" customHeight="1">
      <c r="K26" s="21"/>
      <c r="L26" s="21"/>
    </row>
    <row r="27" spans="1:12" ht="12.75" customHeight="1">
      <c r="K27" s="21"/>
      <c r="L27" s="21"/>
    </row>
    <row r="28" spans="1:12" ht="12.75" customHeight="1">
      <c r="K28" s="21"/>
      <c r="L28" s="21"/>
    </row>
    <row r="29" spans="1:12" ht="12.75" customHeight="1">
      <c r="K29" s="21"/>
      <c r="L29" s="21"/>
    </row>
    <row r="30" spans="1:12" ht="12.75" customHeight="1">
      <c r="K30" s="21"/>
      <c r="L30"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B52044A-5C0B-44A2-99D0-C1C315EC302D}"/>
</file>

<file path=customXml/itemProps2.xml><?xml version="1.0" encoding="utf-8"?>
<ds:datastoreItem xmlns:ds="http://schemas.openxmlformats.org/officeDocument/2006/customXml" ds:itemID="{1954BBA4-0359-438C-B0EC-A756015F7C02}"/>
</file>

<file path=customXml/itemProps3.xml><?xml version="1.0" encoding="utf-8"?>
<ds:datastoreItem xmlns:ds="http://schemas.openxmlformats.org/officeDocument/2006/customXml" ds:itemID="{40876158-6234-43E7-928D-A5ADB8DE56C9}"/>
</file>

<file path=customXml/itemProps4.xml><?xml version="1.0" encoding="utf-8"?>
<ds:datastoreItem xmlns:ds="http://schemas.openxmlformats.org/officeDocument/2006/customXml" ds:itemID="{F12EFA50-0068-4A8C-85A0-F1B26389EBC3}"/>
</file>

<file path=customXml/itemProps5.xml><?xml version="1.0" encoding="utf-8"?>
<ds:datastoreItem xmlns:ds="http://schemas.openxmlformats.org/officeDocument/2006/customXml" ds:itemID="{BE26B669-A686-459C-A5E9-FEC3409C4C81}"/>
</file>

<file path=customXml/itemProps6.xml><?xml version="1.0" encoding="utf-8"?>
<ds:datastoreItem xmlns:ds="http://schemas.openxmlformats.org/officeDocument/2006/customXml" ds:itemID="{8D732231-4216-4543-A665-18A2886B0EB7}"/>
</file>

<file path=customXml/itemProps7.xml><?xml version="1.0" encoding="utf-8"?>
<ds:datastoreItem xmlns:ds="http://schemas.openxmlformats.org/officeDocument/2006/customXml" ds:itemID="{7946C510-7D04-49D8-9B25-EEC04582A1CA}"/>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0389C43E-394D-44C0-87DC-4780FCFCFB40}"/>
</file>

<file path=customXml/itemProps10.xml><?xml version="1.0" encoding="utf-8"?>
<ds:datastoreItem xmlns:ds="http://schemas.openxmlformats.org/officeDocument/2006/customXml" ds:itemID="{3AEAA9D8-2182-46BA-A58E-96C72DDA1C54}"/>
</file>

<file path=customXml/itemProps11.xml><?xml version="1.0" encoding="utf-8"?>
<ds:datastoreItem xmlns:ds="http://schemas.openxmlformats.org/officeDocument/2006/customXml" ds:itemID="{F6B2B1A1-1C4B-4AC9-9A7D-7A102DD1C942}"/>
</file>

<file path=customXml/itemProps12.xml><?xml version="1.0" encoding="utf-8"?>
<ds:datastoreItem xmlns:ds="http://schemas.openxmlformats.org/officeDocument/2006/customXml" ds:itemID="{89CF5C07-45EB-4100-9AFB-2C6AF77FA787}"/>
</file>

<file path=customXml/itemProps13.xml><?xml version="1.0" encoding="utf-8"?>
<ds:datastoreItem xmlns:ds="http://schemas.openxmlformats.org/officeDocument/2006/customXml" ds:itemID="{98A113BB-8B7A-453C-8BD4-8EFC67FC2D3F}"/>
</file>

<file path=customXml/itemProps14.xml><?xml version="1.0" encoding="utf-8"?>
<ds:datastoreItem xmlns:ds="http://schemas.openxmlformats.org/officeDocument/2006/customXml" ds:itemID="{66B09F59-6532-46F8-924A-9A02417E070D}"/>
</file>

<file path=customXml/itemProps15.xml><?xml version="1.0" encoding="utf-8"?>
<ds:datastoreItem xmlns:ds="http://schemas.openxmlformats.org/officeDocument/2006/customXml" ds:itemID="{E20E8303-6A67-485C-B6F4-303542CC295C}"/>
</file>

<file path=customXml/itemProps16.xml><?xml version="1.0" encoding="utf-8"?>
<ds:datastoreItem xmlns:ds="http://schemas.openxmlformats.org/officeDocument/2006/customXml" ds:itemID="{14966E4F-347B-477B-B74C-9DAC05405806}"/>
</file>

<file path=customXml/itemProps17.xml><?xml version="1.0" encoding="utf-8"?>
<ds:datastoreItem xmlns:ds="http://schemas.openxmlformats.org/officeDocument/2006/customXml" ds:itemID="{D3A7101F-9A85-4235-8B03-415370C100B2}"/>
</file>

<file path=customXml/itemProps18.xml><?xml version="1.0" encoding="utf-8"?>
<ds:datastoreItem xmlns:ds="http://schemas.openxmlformats.org/officeDocument/2006/customXml" ds:itemID="{2BC74AAC-D69B-4AF1-9649-B21EF3C1C463}"/>
</file>

<file path=customXml/itemProps19.xml><?xml version="1.0" encoding="utf-8"?>
<ds:datastoreItem xmlns:ds="http://schemas.openxmlformats.org/officeDocument/2006/customXml" ds:itemID="{E3716282-BFD2-4ED2-BA47-BFA1123827F0}"/>
</file>

<file path=customXml/itemProps20.xml><?xml version="1.0" encoding="utf-8"?>
<ds:datastoreItem xmlns:ds="http://schemas.openxmlformats.org/officeDocument/2006/customXml" ds:itemID="{078388C9-06F9-42F4-B857-EF76B5CAF1F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2025-05-16T19:25:39Z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2024-09-18T22:52:08Z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328c4b08-a84b-4748-854a-b600fe988917</vt:lpwstr>
  </property>
  <property fmtid="{D5CDD505-2E9C-101B-9397-08002B2CF9AE}" pid="9" name="MSIP_Label_9d817c99-0b37-4a07-8277-96aa1f96b74b_ContentBits">
    <vt:lpwstr>0</vt:lpwstr>
  </property>
</Properties>
</file>