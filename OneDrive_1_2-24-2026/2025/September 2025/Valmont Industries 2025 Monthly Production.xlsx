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A6910B66-4DE6-4F79-B5EE-DD33E9889800}" xr6:coauthVersionLast="47" xr6:coauthVersionMax="47" xr10:uidLastSave="{00000000-0000-0000-0000-000000000000}"/>
  <bookViews>
    <workbookView xWindow="-108" yWindow="-108" windowWidth="23256" windowHeight="1245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I4" i="2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<sst xmlns="http://schemas.openxmlformats.org/spreadsheetml/2006/main" count="280" uniqueCount="83">
  <si>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</si>
  <si>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</si>
  <si>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</si>
  <si>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</si>
  <si>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</si>
  <si>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</si>
  <si>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</si>
  <si>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</si>
  <si>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</si>
  <si>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</si>
  <si>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</si>
  <si>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</si>
  <si>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</si>
  <si>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</si>
  <si>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</si>
  <si>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</si>
  <si>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</si>
  <si>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</si>
  <si>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</si>
  <si>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</si>
  <si>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</si>
  <si>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</si>
  <si>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</si>
  <si>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1.All trackers were stuck since 12/19/24.</t>
  </si>
  <si>
    <t>1.SR092973</t>
  </si>
  <si>
    <t>February Actual v. Expected</t>
  </si>
  <si>
    <t>February Actual v. Forecasted</t>
  </si>
  <si>
    <t>March Actual v. Expected</t>
  </si>
  <si>
    <t>March Actual v. Forecasted</t>
  </si>
  <si>
    <t>1.Inverter 2 tripped offline at 16:00 on 03/02 due to Grid Line Voltage Out of Range and back online at 8:45AM on 03/03. Again tripped offline from 12:00PM to 12:45PM on 03/11 due to Grid Line Voltage Out of Range.
2.Site tripped offline at 17:00 on 03/30 due to storm and remained offline whole month.
3.All trackers were stuck since 12/19/24 and Volmont site team working on trackers.</t>
  </si>
  <si>
    <t>1.SR097973
2.SR099153
3.SR092973</t>
  </si>
  <si>
    <t>SR099153</t>
  </si>
  <si>
    <t>SR092973</t>
  </si>
  <si>
    <t>April Actual v. Expected</t>
  </si>
  <si>
    <t>April Actual v. Forecasted</t>
  </si>
  <si>
    <t>1. The site tripped offline at 17:00 on 03/30 and came back online at 14:15 on 04/07.
2. Inverter 4 tripped offline at 17:30 on 04/29 due to a 'Grid Line Voltage Out of Range' error. A technician was on-site on 04/30 and swapped the powerheads of Inverter 3 and Inverter 4 to check if the fault reoccurs. The inverter came back online at 09:00 on 04/30.
3. All trackers are not tracking.</t>
  </si>
  <si>
    <t>1. SR099153
2. SR100671
3. SR099992</t>
  </si>
  <si>
    <t>SR100671</t>
  </si>
  <si>
    <t>SR099992</t>
  </si>
  <si>
    <t>May Actual v. Expected</t>
  </si>
  <si>
    <t>May Actual v. Forecasted</t>
  </si>
  <si>
    <t>1. Inverter 2 tripped offline at 11:30 on 05/15 due to "Grid Line Voltage Out of Range - GridV.OutLim". A technician was on-site on 05/16 and reset the inverter, which came back online at 13:00 on 05/16. The inverter tripped offline again at 16:00 on 05/19.
2. Inverter 4 tripped offline at 16:00 on 05/15 due to "Grid Line Voltage Out of Range - GridV.OutLim", came back online at 12:00 on 05/16, and is currently being RMA’d.
3. All trackers are not tracking.</t>
  </si>
  <si>
    <t>1. SR101477
2. SR101551
3. SR099992</t>
  </si>
  <si>
    <t>SR101551</t>
  </si>
  <si>
    <t>June Actual v. Expected</t>
  </si>
  <si>
    <t>June Actual v. Forecasted</t>
  </si>
  <si>
    <t>1. Inverter 2 tripped offline  at 16:00 from 05/19.  inverter came back online on 06/06. And again inverter 2 tripped offline again 12:30 on 06/08 . Inverter was offline from 13:00 on 06/08 to 07:00 on 06/11 and again inverter was offline from 14:00 on 06/12 to 12:00 on 06/16 multiple days trough out the month
2.The site tripped offline from 15:45 to 16:15 on 06/20 due to a technician working on Inverter 2
3. Inverter 3 tripped offline from 13:45 on 06/21 to end of the month and reporting "Grid Line Voltage Out of Range - GridV.OutLim" 
4.Inverter 4 tripped offline from 16:45 on 06/25 to end of the month and reporting "Grid Line Voltage Out of Range - GridV.OutLim".
5. All trackers are not tracking.</t>
  </si>
  <si>
    <t>1.SR101477
2.SR101551
3.	SR103258
4.SR103554
5. SR099992</t>
  </si>
  <si>
    <t>SR103258</t>
  </si>
  <si>
    <t>SR103554</t>
  </si>
  <si>
    <t>July Actual v. Expected</t>
  </si>
  <si>
    <t>July Actual v. Forecasted</t>
  </si>
  <si>
    <t>1. Inverter 3 tripped offline from 13:45 on 06/21 to end of the month and reporting "Grid Line Voltage Out of Range - GridV.OutLim" 
2.Inverter 4 tripped offline from 16:45 on 06/25 to end of the month and reporting "Grid Line Voltage Out of Range - GridV.OutLim".
3.All trackers are not tracking from 04/18</t>
  </si>
  <si>
    <t>1.SR103258
2.SR103554
3.SR099992</t>
  </si>
  <si>
    <t>August Actual v. Expected</t>
  </si>
  <si>
    <t>August Actual v. Forecasted</t>
  </si>
  <si>
    <t>1. Inverter 3 was back online at 15:15 on 08/05
2. Inverter 4 is back online at 15:15 on 08/05
3.Inverter 3 tripped offline at 16:00 on 08/06 and back online at 15:45 on 08/26, while tech on site the site was offline from 11:00 to 15:45
4.Site tripped offline at 16:45 on 08/27 and back online at 13:30 on 08/28. Again site tripped offline at 14:45 on 08/30.
5.All trackers are not tracking from 04/18. On 08/27 tech replaced the ethernet cable but not connected rained out.</t>
  </si>
  <si>
    <t>1.SR103258
2.SR103554
3.SR105771
4.SR107052
5.SR099992</t>
  </si>
  <si>
    <t>SR105771</t>
  </si>
  <si>
    <t>SR107052</t>
  </si>
  <si>
    <t>September Actual v. Expected</t>
  </si>
  <si>
    <t>September Actual v. Forecasted</t>
  </si>
  <si>
    <t>1. Site was back online at 09/02 at 12:30
2.Site tripped offline at 13:25 on 09/04 and back online at 04:30am on 09/05.
3.Site tripped offline on 09/06 at 12:15 and back online at 11:00 on 09/09
4. Site tripped offline on 09/10 at 14:45 and back online at 12:00 on 09/30</t>
  </si>
  <si>
    <t>1.SR107052
2.SR107447
3.SR107555
4.SR107782</t>
  </si>
  <si>
    <t>SR107447</t>
  </si>
  <si>
    <t>SR107555</t>
  </si>
  <si>
    <t>SR107782</t>
  </si>
  <si>
    <t>October Actual v. Expected</t>
  </si>
  <si>
    <t>October Actual v. Forecasted</t>
  </si>
  <si>
    <t>November Actual v. Expected</t>
  </si>
  <si>
    <t>November Actual v. Forecasted</t>
  </si>
  <si>
    <t>1. Inverter 4 is underperforming by 6kW from 11/02 due to stuck tracker.
2. Site tripped offline at 05:15 AM and back online at 06:00 AM on 11/25 due to utility outage.
3. Forecasted data is not available.</t>
  </si>
  <si>
    <t>December Actual v. Expected</t>
  </si>
  <si>
    <t>December Actual v. Forecasted</t>
  </si>
  <si>
    <t>Portfolio:</t>
  </si>
  <si>
    <t>Valmont Industries</t>
  </si>
  <si>
    <t>Site DAS Name</t>
  </si>
  <si>
    <t>Update</t>
  </si>
  <si>
    <t>DAS</t>
  </si>
  <si>
    <t>Valmont Bristol</t>
  </si>
  <si>
    <t>Valmont</t>
  </si>
  <si>
    <t>IN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</si>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</sst>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297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9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2973" TargetMode="External"/><Relationship Id="rId2" Type="http://schemas.openxmlformats.org/officeDocument/2006/relationships/hyperlink" Target="https://us3.assetplanner.com/service_request?ID=099153" TargetMode="External"/><Relationship Id="rId1" Type="http://schemas.openxmlformats.org/officeDocument/2006/relationships/hyperlink" Target="https://us3.assetplanner.com/service_request?ID=097973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992" TargetMode="External"/><Relationship Id="rId2" Type="http://schemas.openxmlformats.org/officeDocument/2006/relationships/hyperlink" Target="https://us3.assetplanner.com/service_request?ID=100671" TargetMode="External"/><Relationship Id="rId1" Type="http://schemas.openxmlformats.org/officeDocument/2006/relationships/hyperlink" Target="https://us3.assetplanner.com/service_request?ID=09915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992" TargetMode="External"/><Relationship Id="rId2" Type="http://schemas.openxmlformats.org/officeDocument/2006/relationships/hyperlink" Target="https://us3.assetplanner.com/service_request?ID=101551" TargetMode="External"/><Relationship Id="rId1" Type="http://schemas.openxmlformats.org/officeDocument/2006/relationships/hyperlink" Target="https://us3.assetplanner.com/service_request?ID=101477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258" TargetMode="External"/><Relationship Id="rId2" Type="http://schemas.openxmlformats.org/officeDocument/2006/relationships/hyperlink" Target="https://us3.assetplanner.com/service_request?ID=101551" TargetMode="External"/><Relationship Id="rId1" Type="http://schemas.openxmlformats.org/officeDocument/2006/relationships/hyperlink" Target="https://us3.assetplanner.com/service_request?ID=101477" TargetMode="External"/><Relationship Id="rId5" Type="http://schemas.openxmlformats.org/officeDocument/2006/relationships/hyperlink" Target="https://us3.assetplanner.com/service_request?ID=099992" TargetMode="External"/><Relationship Id="rId4" Type="http://schemas.openxmlformats.org/officeDocument/2006/relationships/hyperlink" Target="https://us3.assetplanner.com/service_request?ID=103554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992" TargetMode="External"/><Relationship Id="rId2" Type="http://schemas.openxmlformats.org/officeDocument/2006/relationships/hyperlink" Target="https://us3.assetplanner.com/service_request?ID=103554" TargetMode="External"/><Relationship Id="rId1" Type="http://schemas.openxmlformats.org/officeDocument/2006/relationships/hyperlink" Target="https://us3.assetplanner.com/service_request?ID=103258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771" TargetMode="External"/><Relationship Id="rId2" Type="http://schemas.openxmlformats.org/officeDocument/2006/relationships/hyperlink" Target="https://us3.assetplanner.com/service_request?ID=103554" TargetMode="External"/><Relationship Id="rId1" Type="http://schemas.openxmlformats.org/officeDocument/2006/relationships/hyperlink" Target="https://us3.assetplanner.com/service_request?ID=103258" TargetMode="External"/><Relationship Id="rId5" Type="http://schemas.openxmlformats.org/officeDocument/2006/relationships/hyperlink" Target="https://us3.assetplanner.com/service_request?ID=099992" TargetMode="External"/><Relationship Id="rId4" Type="http://schemas.openxmlformats.org/officeDocument/2006/relationships/hyperlink" Target="https://us3.assetplanner.com/service_request?ID=107052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7555" TargetMode="External"/><Relationship Id="rId2" Type="http://schemas.openxmlformats.org/officeDocument/2006/relationships/hyperlink" Target="https://us3.assetplanner.com/service_request?ID=107447" TargetMode="External"/><Relationship Id="rId1" Type="http://schemas.openxmlformats.org/officeDocument/2006/relationships/hyperlink" Target="https://us3.assetplanner.com/service_request?ID=107052" TargetMode="External"/><Relationship Id="rId4" Type="http://schemas.openxmlformats.org/officeDocument/2006/relationships/hyperlink" Target="https://us3.assetplanner.com/service_request?ID=10778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G4" activePane="bottomRight" state="frozen"/>
      <selection pane="bottomRight" activeCell="H4" sqref="H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Valmont Industries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>
      <c r="A2" s="52" t="s">
        <v>2</v>
      </c>
      <c r="B2" s="52"/>
      <c r="C2" s="5">
        <f>SUM(C4:C72)</f>
        <v>519202.37699999998</v>
      </c>
      <c r="D2" s="5">
        <f>SUM(D4:D72)</f>
        <v>475098.18900000001</v>
      </c>
      <c r="E2" s="5">
        <f>C2-D2</f>
        <v>44104.187999999966</v>
      </c>
      <c r="F2" s="6">
        <f>IFERROR(E2/D2, 0)</f>
        <v>9.2831732515823093E-2</v>
      </c>
      <c r="G2" s="5">
        <f>SUM(G4:G72)</f>
        <v>279873.35399999999</v>
      </c>
      <c r="H2" s="7">
        <f>C2-G2</f>
        <v>239329.02299999999</v>
      </c>
      <c r="I2" s="6">
        <f>IFERROR(H2/G2, 0)</f>
        <v>0.85513329361108092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Valmont</v>
      </c>
      <c r="B4" s="9" t="str" cm="1">
        <f t="array" ref="B4">Sites[State]</f>
        <v>IN</v>
      </c>
      <c r="C4" s="18">
        <f>SUM('1st Qtr'!C4, '2nd Qtr'!C4, '3rd Qtr'!C4, '4th Qtr'!C4)</f>
        <v>519202.37699999998</v>
      </c>
      <c r="D4" s="11">
        <f>SUM('1st Qtr'!D4, '2nd Qtr'!D4, '3rd Qtr'!D4, '4th Qtr'!D4)</f>
        <v>475098.18900000001</v>
      </c>
      <c r="E4" s="11">
        <f>IF(AND(ISNUMBER(C4),ISNUMBER(D4)), C4-D4, "")</f>
        <v>44104.187999999966</v>
      </c>
      <c r="F4" s="12">
        <f>IFERROR(E4/D4, "")</f>
        <v>9.2831732515823093E-2</v>
      </c>
      <c r="G4" s="13">
        <f>SUM('1st Qtr'!G4, '2nd Qtr'!G4, '3rd Qtr'!G4, '4th Qtr'!G4)</f>
        <v>279873.35399999999</v>
      </c>
      <c r="H4" s="13">
        <f>SUM('1st Qtr'!H4, '2nd Qtr'!H4, '3rd Qtr'!H4, '4th Qtr'!H4)</f>
        <v>-167314.484</v>
      </c>
      <c r="I4" s="14">
        <f>IFERROR(H4/G4, "")</f>
        <v>-0.597822127789986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H4" sqref="H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Valmont Industries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>
      <c r="A2" s="52" t="s">
        <v>2</v>
      </c>
      <c r="B2" s="52"/>
      <c r="C2" s="5">
        <f>SUM(C4:C72)</f>
        <v>150698.18799999999</v>
      </c>
      <c r="D2" s="5">
        <f>SUM(D4:D72)</f>
        <v>112449.57</v>
      </c>
      <c r="E2" s="5">
        <f>C2-D2</f>
        <v>38248.617999999988</v>
      </c>
      <c r="F2" s="6">
        <f>IFERROR(E2/D2, 0)</f>
        <v>0.34014018906430665</v>
      </c>
      <c r="G2" s="5">
        <f>SUM(G4:G72)</f>
        <v>0</v>
      </c>
      <c r="H2" s="7">
        <f>C2-G2</f>
        <v>150698.18799999999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SUM(Jan!C4, Feb!C4, Mar!C4)</f>
        <v>150698.18799999999</v>
      </c>
      <c r="D4" s="11">
        <f>SUM(Jan!D4, Feb!D4, Mar!D4)</f>
        <v>112449.57</v>
      </c>
      <c r="E4" s="11">
        <f>IF(AND(ISNUMBER(C4),ISNUMBER(D4)), C4-D4, "")</f>
        <v>38248.617999999988</v>
      </c>
      <c r="F4" s="12">
        <f>IFERROR(E4/D4, "")</f>
        <v>0.34014018906430665</v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H4" sqref="H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Valmont Industries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>
      <c r="A2" s="52" t="s">
        <v>2</v>
      </c>
      <c r="B2" s="52"/>
      <c r="C2" s="5">
        <f>SUM(C4:C72)</f>
        <v>229406.06299999999</v>
      </c>
      <c r="D2" s="5">
        <f>SUM(D4:D72)</f>
        <v>197246.69099999999</v>
      </c>
      <c r="E2" s="5">
        <f>C2-D2</f>
        <v>32159.372000000003</v>
      </c>
      <c r="F2" s="6">
        <f>IFERROR(E2/D2, 0)</f>
        <v>0.16304137644570171</v>
      </c>
      <c r="G2" s="5">
        <f>SUM(G4:G72)</f>
        <v>279873.35399999999</v>
      </c>
      <c r="H2" s="7">
        <f>C2-G2</f>
        <v>-50467.290999999997</v>
      </c>
      <c r="I2" s="6">
        <f>IFERROR(H2/G2, 0)</f>
        <v>-0.18032188587699563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SUM(Apr!C4, May!C4, Jun!C4)</f>
        <v>229406.06299999999</v>
      </c>
      <c r="D4" s="11">
        <f>SUM(Apr!D4, May!D4, Jun!D4)</f>
        <v>197246.69099999999</v>
      </c>
      <c r="E4" s="11">
        <f>IF(AND(ISNUMBER(C4),ISNUMBER(D4)), C4-D4, "")</f>
        <v>32159.372000000003</v>
      </c>
      <c r="F4" s="12">
        <f>IFERROR(E4/D4, "")</f>
        <v>0.16304137644570171</v>
      </c>
      <c r="G4" s="13">
        <f>SUM(Apr!G4,May!G4,Jun!G4)</f>
        <v>279873.35399999999</v>
      </c>
      <c r="H4" s="13">
        <f>SUM(Apr!H4, May!H4, Jun!H4)</f>
        <v>-36644.916000000012</v>
      </c>
      <c r="I4" s="14">
        <f>IFERROR(H4/G4, "")</f>
        <v>-0.13093392234832049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C4" sqref="C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Valmont Industries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>
      <c r="A2" s="52" t="s">
        <v>2</v>
      </c>
      <c r="B2" s="52"/>
      <c r="C2" s="5">
        <f>SUM(C4:C72)</f>
        <v>139098.12599999999</v>
      </c>
      <c r="D2" s="5">
        <f>SUM(D4:D72)</f>
        <v>165401.92800000001</v>
      </c>
      <c r="E2" s="5">
        <f>C2-D2</f>
        <v>-26303.802000000025</v>
      </c>
      <c r="F2" s="6">
        <f>IFERROR(E2/D2, 0)</f>
        <v>-0.15902959728498461</v>
      </c>
      <c r="G2" s="5">
        <f>SUM(G4:G72)</f>
        <v>0</v>
      </c>
      <c r="H2" s="7">
        <f>C2-G2</f>
        <v>139098.12599999999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SUM(Jul!C4, Aug!C4, Sep!C4)</f>
        <v>139098.12599999999</v>
      </c>
      <c r="D4" s="11">
        <f>SUM(Jul!D4, Aug!D4, Sep!D4)</f>
        <v>165401.92800000001</v>
      </c>
      <c r="E4" s="11">
        <f>IF(AND(ISNUMBER(C4),ISNUMBER(D4)), C4-D4, "")</f>
        <v>-26303.802000000025</v>
      </c>
      <c r="F4" s="12">
        <f>IFERROR(E4/D4, "")</f>
        <v>-0.15902959728498461</v>
      </c>
      <c r="G4" s="13"/>
      <c r="H4" s="13">
        <f>SUM(Jul!H4, Aug!H4, Sep!H4)</f>
        <v>-130669.568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F4" sqref="F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Valmont Industries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workbookViewId="0">
      <pane xSplit="2" ySplit="3" topLeftCell="C4" activePane="bottomRight" state="frozen"/>
      <selection pane="bottomRight" activeCell="K9" sqref="K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SUM(C4:C71)</f>
        <v>26968.675999999999</v>
      </c>
      <c r="D2" s="5">
        <f>SUM(D4:D71)</f>
        <v>22909.665000000001</v>
      </c>
      <c r="E2" s="5">
        <f>C2-D2</f>
        <v>4059.0109999999986</v>
      </c>
      <c r="F2" s="6">
        <f>IFERROR(E2/D2, 0)</f>
        <v>0.17717461167590179</v>
      </c>
      <c r="G2" s="5">
        <f>SUM(G4:G71)</f>
        <v>0</v>
      </c>
      <c r="H2" s="7">
        <f>C2-G2</f>
        <v>26968.675999999999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Valmont</v>
      </c>
      <c r="B4" s="22" t="str" cm="1">
        <f t="array" ref="B4">Sites[State]</f>
        <v>IN</v>
      </c>
      <c r="C4" s="11">
        <v>26968.675999999999</v>
      </c>
      <c r="D4" s="11">
        <v>22909.665000000001</v>
      </c>
      <c r="E4" s="11">
        <f>IF(AND(ISNUMBER(C4),ISNUMBER(D4)), C4-D4, "")</f>
        <v>4059.0109999999986</v>
      </c>
      <c r="F4" s="34">
        <f>IFERROR(E4/D4, "")</f>
        <v>0.17717461167590179</v>
      </c>
      <c r="G4" s="45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23</v>
      </c>
      <c r="K4" s="46" t="s">
        <v>24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2973" xr:uid="{2D898709-12D0-4DCB-9F07-EA20B2DB4662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workbookViewId="0">
      <pane xSplit="2" ySplit="3" topLeftCell="G4" activePane="bottomRight" state="frozen"/>
      <selection pane="bottomRight" activeCell="K4" sqref="K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25</v>
      </c>
      <c r="E1" s="51"/>
      <c r="F1" s="51"/>
      <c r="G1" s="49" t="s">
        <v>26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41511.574000000001</v>
      </c>
      <c r="D2" s="5">
        <f>SUM(D4:D72)</f>
        <v>30572.197</v>
      </c>
      <c r="E2" s="5">
        <f>C2-D2</f>
        <v>10939.377</v>
      </c>
      <c r="F2" s="6">
        <f>IFERROR(E2/D2, 0)</f>
        <v>0.35782109476790303</v>
      </c>
      <c r="G2" s="5">
        <f>SUM(G4:G72)</f>
        <v>0</v>
      </c>
      <c r="H2" s="7">
        <f>C2-G2</f>
        <v>41511.574000000001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Valmont</v>
      </c>
      <c r="B4" s="22" t="str" cm="1">
        <f t="array" ref="B4">Sites[State]</f>
        <v>IN</v>
      </c>
      <c r="C4" s="18">
        <v>41511.574000000001</v>
      </c>
      <c r="D4" s="11">
        <v>30572.197</v>
      </c>
      <c r="E4" s="11">
        <f>IF(AND(ISNUMBER(C4),ISNUMBER(D4)), C4-D4, "")</f>
        <v>10939.377</v>
      </c>
      <c r="F4" s="12">
        <f>IFERROR(E4/D4, "")</f>
        <v>0.35782109476790303</v>
      </c>
      <c r="G4" s="45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23</v>
      </c>
      <c r="K4" s="46" t="s">
        <v>24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2973" xr:uid="{3863E577-CC2E-4188-AF0F-340D126FE82C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P314"/>
  <sheetViews>
    <sheetView zoomScale="70" zoomScaleNormal="70" workbookViewId="0">
      <pane xSplit="2" ySplit="3" topLeftCell="F4" activePane="bottomRight" state="frozen"/>
      <selection pane="bottomRight" activeCell="K4" sqref="K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47"/>
  </cols>
  <sheetData>
    <row r="1" spans="1:13" ht="19.5" customHeight="1">
      <c r="A1" s="50" t="str" cm="1">
        <f t="array" ref="A1">portfolio</f>
        <v>Valmont Industries</v>
      </c>
      <c r="B1" s="50"/>
      <c r="C1" s="50"/>
      <c r="D1" s="51" t="s">
        <v>27</v>
      </c>
      <c r="E1" s="51"/>
      <c r="F1" s="51"/>
      <c r="G1" s="49" t="s">
        <v>28</v>
      </c>
      <c r="H1" s="49"/>
      <c r="I1" s="49"/>
      <c r="J1" s="4"/>
      <c r="K1" s="4"/>
    </row>
    <row r="2" spans="1:13" ht="19.5" customHeight="1">
      <c r="A2" s="52" t="s">
        <v>2</v>
      </c>
      <c r="B2" s="52"/>
      <c r="C2" s="5">
        <f>SUM(C4:C72)</f>
        <v>82217.937999999995</v>
      </c>
      <c r="D2" s="5">
        <f>SUM(D4:D72)</f>
        <v>58967.707999999999</v>
      </c>
      <c r="E2" s="5">
        <f>C2-D2</f>
        <v>23250.229999999996</v>
      </c>
      <c r="F2" s="6">
        <f>IFERROR(E2/D2, 0)</f>
        <v>0.39428749715013506</v>
      </c>
      <c r="G2" s="5">
        <f>SUM(G4:G72)</f>
        <v>0</v>
      </c>
      <c r="H2" s="7">
        <f>C2-G2</f>
        <v>82217.937999999995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86.45">
      <c r="A4" s="42" t="str" cm="1">
        <f t="array" ref="A4">Sites[Site]</f>
        <v>Valmont</v>
      </c>
      <c r="B4" s="22" t="str" cm="1">
        <f t="array" ref="B4">Sites[State]</f>
        <v>IN</v>
      </c>
      <c r="C4" s="18">
        <v>82217.937999999995</v>
      </c>
      <c r="D4" s="11">
        <v>58967.707999999999</v>
      </c>
      <c r="E4" s="11">
        <f>IF(AND(ISNUMBER(C4),ISNUMBER(D4)), C4-D4, "")</f>
        <v>23250.229999999996</v>
      </c>
      <c r="F4" s="12">
        <f>IFERROR(E4/D4, "")</f>
        <v>0.39428749715013506</v>
      </c>
      <c r="G4" s="45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29</v>
      </c>
      <c r="K4" s="46" t="s">
        <v>30</v>
      </c>
      <c r="L4" s="48" t="s">
        <v>31</v>
      </c>
      <c r="M4" s="48" t="s">
        <v>32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7973" xr:uid="{E28D6CA0-D78E-47F2-A59C-58FADF41A40E}"/>
    <hyperlink ref="L4" r:id="rId2" display="https://us3.assetplanner.com/service_request?ID=099153" xr:uid="{88283673-EF06-4E56-9B35-5B35DA82E15A}"/>
    <hyperlink ref="M4" r:id="rId3" display="https://us3.assetplanner.com/service_request?ID=092973" xr:uid="{134C7CE1-425E-4DFF-BEE1-A7A417971FB6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14"/>
  <sheetViews>
    <sheetView zoomScale="80" zoomScaleNormal="80" workbookViewId="0">
      <pane xSplit="2" ySplit="3" topLeftCell="C4" activePane="bottomRight" state="frozen"/>
      <selection pane="bottomRight" activeCell="J14" sqref="J1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47"/>
  </cols>
  <sheetData>
    <row r="1" spans="1:13" ht="19.5" customHeight="1">
      <c r="A1" s="50" t="str" cm="1">
        <f t="array" ref="A1">portfolio</f>
        <v>Valmont Industries</v>
      </c>
      <c r="B1" s="50"/>
      <c r="C1" s="50"/>
      <c r="D1" s="51" t="s">
        <v>33</v>
      </c>
      <c r="E1" s="51"/>
      <c r="F1" s="51"/>
      <c r="G1" s="49" t="s">
        <v>34</v>
      </c>
      <c r="H1" s="49"/>
      <c r="I1" s="49"/>
      <c r="J1" s="4"/>
      <c r="K1" s="4"/>
    </row>
    <row r="2" spans="1:13" ht="19.5" customHeight="1">
      <c r="A2" s="52" t="s">
        <v>2</v>
      </c>
      <c r="B2" s="52"/>
      <c r="C2" s="5">
        <f>SUM(C4:C72)</f>
        <v>71050.125</v>
      </c>
      <c r="D2" s="5">
        <f>SUM(D4:D72)</f>
        <v>53448.025999999998</v>
      </c>
      <c r="E2" s="5">
        <f>C2-D2</f>
        <v>17602.099000000002</v>
      </c>
      <c r="F2" s="6">
        <f>IFERROR(E2/D2, 0)</f>
        <v>0.32933113376348083</v>
      </c>
      <c r="G2" s="5">
        <f>SUM(G4:G72)</f>
        <v>84872.5</v>
      </c>
      <c r="H2" s="7">
        <f>C2-G2</f>
        <v>-13822.375</v>
      </c>
      <c r="I2" s="6">
        <f>IFERROR(H2/G2, 0)</f>
        <v>-0.16286046717134525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100.9">
      <c r="A4" s="42" t="str" cm="1">
        <f t="array" ref="A4">Sites[Site]</f>
        <v>Valmont</v>
      </c>
      <c r="B4" s="22" t="str" cm="1">
        <f t="array" ref="B4">Sites[State]</f>
        <v>IN</v>
      </c>
      <c r="C4" s="18">
        <v>71050.125</v>
      </c>
      <c r="D4" s="11">
        <v>53448.025999999998</v>
      </c>
      <c r="E4" s="11">
        <f>IF(AND(ISNUMBER(C4),ISNUMBER(D4)), C4-D4, "")</f>
        <v>17602.099000000002</v>
      </c>
      <c r="F4" s="12">
        <f>IFERROR(E4/D4, "")</f>
        <v>0.32933113376348083</v>
      </c>
      <c r="G4" s="13">
        <v>84872.5</v>
      </c>
      <c r="H4" s="13"/>
      <c r="I4" s="14">
        <f>IFERROR(H4/G4, "")</f>
        <v>0</v>
      </c>
      <c r="J4" s="32" t="s">
        <v>35</v>
      </c>
      <c r="K4" s="46" t="s">
        <v>36</v>
      </c>
      <c r="L4" s="48" t="s">
        <v>37</v>
      </c>
      <c r="M4" s="48" t="s">
        <v>38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153" xr:uid="{AA347FE2-3738-4FB2-B7CB-5925AE919999}"/>
    <hyperlink ref="L4" r:id="rId2" display="https://us3.assetplanner.com/service_request?ID=100671" xr:uid="{B6E9AB98-616F-4867-820F-C3CE28C91314}"/>
    <hyperlink ref="M4" r:id="rId3" display="https://us3.assetplanner.com/service_request?ID=099992" xr:uid="{4DCAE879-9802-4AC3-9693-91A78FC4325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314"/>
  <sheetViews>
    <sheetView zoomScale="70" zoomScaleNormal="70" workbookViewId="0">
      <pane xSplit="2" ySplit="3" topLeftCell="C4" activePane="bottomRight" state="frozen"/>
      <selection pane="bottomRight" activeCell="K4" sqref="K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47"/>
  </cols>
  <sheetData>
    <row r="1" spans="1:13" ht="19.5" customHeight="1">
      <c r="A1" s="50" t="str" cm="1">
        <f t="array" ref="A1">portfolio</f>
        <v>Valmont Industries</v>
      </c>
      <c r="B1" s="50"/>
      <c r="C1" s="50"/>
      <c r="D1" s="51" t="s">
        <v>39</v>
      </c>
      <c r="E1" s="51"/>
      <c r="F1" s="51"/>
      <c r="G1" s="49" t="s">
        <v>40</v>
      </c>
      <c r="H1" s="49"/>
      <c r="I1" s="49"/>
      <c r="J1" s="4"/>
      <c r="K1" s="4"/>
    </row>
    <row r="2" spans="1:13" ht="19.5" customHeight="1">
      <c r="A2" s="52" t="s">
        <v>2</v>
      </c>
      <c r="B2" s="52"/>
      <c r="C2" s="5">
        <f>SUM(C4:C72)</f>
        <v>84285.875</v>
      </c>
      <c r="D2" s="5">
        <f>SUM(D4:D72)</f>
        <v>69529.907999999996</v>
      </c>
      <c r="E2" s="5">
        <f>C2-D2</f>
        <v>14755.967000000004</v>
      </c>
      <c r="F2" s="6">
        <f>IFERROR(E2/D2, 0)</f>
        <v>0.21222474506941683</v>
      </c>
      <c r="G2" s="5">
        <f>SUM(G4:G72)</f>
        <v>96105.854000000007</v>
      </c>
      <c r="H2" s="7">
        <f>C2-G2</f>
        <v>-11819.979000000007</v>
      </c>
      <c r="I2" s="6">
        <f>IFERROR(H2/G2, 0)</f>
        <v>-0.12298916775662808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139.5" customHeight="1">
      <c r="A4" s="42" t="str" cm="1">
        <f t="array" ref="A4">Sites[Site]</f>
        <v>Valmont</v>
      </c>
      <c r="B4" s="22" t="str" cm="1">
        <f t="array" ref="B4">Sites[State]</f>
        <v>IN</v>
      </c>
      <c r="C4" s="18">
        <v>84285.875</v>
      </c>
      <c r="D4" s="11">
        <v>69529.907999999996</v>
      </c>
      <c r="E4" s="11">
        <f>IF(AND(ISNUMBER(C4),ISNUMBER(D4)), C4-D4, "")</f>
        <v>14755.967000000004</v>
      </c>
      <c r="F4" s="12">
        <f>IFERROR(E4/D4, "")</f>
        <v>0.21222474506941683</v>
      </c>
      <c r="G4" s="13">
        <v>96105.854000000007</v>
      </c>
      <c r="H4" s="13">
        <f>IF(AND(ISNUMBER(C4),ISNUMBER(G4)), C4-G4, "")</f>
        <v>-11819.979000000007</v>
      </c>
      <c r="I4" s="14">
        <f>IFERROR(H4/G4, "")</f>
        <v>-0.12298916775662808</v>
      </c>
      <c r="J4" s="32" t="s">
        <v>41</v>
      </c>
      <c r="K4" s="46" t="s">
        <v>42</v>
      </c>
      <c r="L4" s="48" t="s">
        <v>43</v>
      </c>
      <c r="M4" s="48" t="s">
        <v>38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101477" xr:uid="{54A79F1E-C4E4-4152-BD96-69B80840BD70}"/>
    <hyperlink ref="L4" r:id="rId2" display="https://us3.assetplanner.com/service_request?ID=101551" xr:uid="{5ED0B8F3-62F0-4877-875B-4D8098753E7B}"/>
    <hyperlink ref="M4" r:id="rId3" display="https://us3.assetplanner.com/service_request?ID=099992" xr:uid="{91227E1C-C6A5-4F31-B2B6-8B4E83FC0264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O314"/>
  <sheetViews>
    <sheetView zoomScale="80" zoomScaleNormal="80" workbookViewId="0">
      <pane xSplit="2" ySplit="3" topLeftCell="F4" activePane="bottomRight" state="frozen"/>
      <selection pane="bottomRight" activeCell="J4" sqref="J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47"/>
  </cols>
  <sheetData>
    <row r="1" spans="1:15" ht="19.5" customHeight="1">
      <c r="A1" s="50" t="str" cm="1">
        <f t="array" ref="A1">portfolio</f>
        <v>Valmont Industries</v>
      </c>
      <c r="B1" s="50"/>
      <c r="C1" s="50"/>
      <c r="D1" s="51" t="s">
        <v>44</v>
      </c>
      <c r="E1" s="51"/>
      <c r="F1" s="51"/>
      <c r="G1" s="49" t="s">
        <v>45</v>
      </c>
      <c r="H1" s="49"/>
      <c r="I1" s="49"/>
      <c r="J1" s="4"/>
      <c r="K1" s="4"/>
    </row>
    <row r="2" spans="1:15" ht="19.5" customHeight="1">
      <c r="A2" s="52" t="s">
        <v>2</v>
      </c>
      <c r="B2" s="52"/>
      <c r="C2" s="5">
        <f>SUM(C4:C72)</f>
        <v>74070.062999999995</v>
      </c>
      <c r="D2" s="5">
        <f>SUM(D4:D72)</f>
        <v>74268.756999999998</v>
      </c>
      <c r="E2" s="5">
        <f>C2-D2</f>
        <v>-198.69400000000314</v>
      </c>
      <c r="F2" s="6">
        <f>IFERROR(E2/D2, 0)</f>
        <v>-2.6753376254836625E-3</v>
      </c>
      <c r="G2" s="5">
        <f>SUM(G4:G72)</f>
        <v>98895</v>
      </c>
      <c r="H2" s="7">
        <f>C2-G2</f>
        <v>-24824.937000000005</v>
      </c>
      <c r="I2" s="6">
        <f>IFERROR(H2/G2, 0)</f>
        <v>-0.25102317609585928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80" customHeight="1">
      <c r="A4" s="42" t="str" cm="1">
        <f t="array" ref="A4">Sites[Site]</f>
        <v>Valmont</v>
      </c>
      <c r="B4" s="22" t="str" cm="1">
        <f t="array" ref="B4">Sites[State]</f>
        <v>IN</v>
      </c>
      <c r="C4" s="18">
        <v>74070.062999999995</v>
      </c>
      <c r="D4" s="11">
        <v>74268.756999999998</v>
      </c>
      <c r="E4" s="11">
        <f>IF(AND(ISNUMBER(C4),ISNUMBER(D4)), C4-D4, "")</f>
        <v>-198.69400000000314</v>
      </c>
      <c r="F4" s="12">
        <f>IFERROR(E4/D4, "")</f>
        <v>-2.6753376254836625E-3</v>
      </c>
      <c r="G4" s="13">
        <v>98895</v>
      </c>
      <c r="H4" s="13">
        <f>IF(AND(ISNUMBER(C4),ISNUMBER(G4)), C4-G4, "")</f>
        <v>-24824.937000000005</v>
      </c>
      <c r="I4" s="14">
        <f>IFERROR(H4/G4, "")</f>
        <v>-0.25102317609585928</v>
      </c>
      <c r="J4" s="32" t="s">
        <v>46</v>
      </c>
      <c r="K4" s="46" t="s">
        <v>47</v>
      </c>
      <c r="L4" s="48" t="s">
        <v>43</v>
      </c>
      <c r="M4" s="48" t="s">
        <v>48</v>
      </c>
      <c r="N4" s="48" t="s">
        <v>49</v>
      </c>
      <c r="O4" s="48" t="s">
        <v>38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1477" xr:uid="{2D0F845E-C88D-43D7-870D-FE588D9CF705}"/>
    <hyperlink ref="L4" r:id="rId2" display="https://us3.assetplanner.com/service_request?ID=101551" xr:uid="{0FDEDC53-C5CD-48B5-88DF-2DB7F24FD92B}"/>
    <hyperlink ref="M4" r:id="rId3" display="https://us3.assetplanner.com/service_request?ID=103258" xr:uid="{7B995949-D060-403B-B636-160872A2675D}"/>
    <hyperlink ref="N4" r:id="rId4" display="https://us3.assetplanner.com/service_request?ID=103554" xr:uid="{21B0CC29-0BB5-49E0-92F5-930DD4625FD5}"/>
    <hyperlink ref="O4" r:id="rId5" display="https://us3.assetplanner.com/service_request?ID=099992" xr:uid="{5250C50E-D07F-4471-B06F-A225F41541C5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M314"/>
  <sheetViews>
    <sheetView zoomScale="80" zoomScaleNormal="80" workbookViewId="0">
      <pane xSplit="2" ySplit="3" topLeftCell="C4" activePane="bottomRight" state="frozen"/>
      <selection pane="bottomRight" activeCell="L1" sqref="L1:M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47"/>
  </cols>
  <sheetData>
    <row r="1" spans="1:13" ht="19.5" customHeight="1">
      <c r="A1" s="50" t="str" cm="1">
        <f t="array" ref="A1">portfolio</f>
        <v>Valmont Industries</v>
      </c>
      <c r="B1" s="50"/>
      <c r="C1" s="50"/>
      <c r="D1" s="51" t="s">
        <v>50</v>
      </c>
      <c r="E1" s="51"/>
      <c r="F1" s="51"/>
      <c r="G1" s="49" t="s">
        <v>51</v>
      </c>
      <c r="H1" s="49"/>
      <c r="I1" s="49"/>
      <c r="J1" s="4"/>
      <c r="K1" s="4"/>
    </row>
    <row r="2" spans="1:13" ht="19.5" customHeight="1">
      <c r="A2" s="52" t="s">
        <v>2</v>
      </c>
      <c r="B2" s="52"/>
      <c r="C2" s="5">
        <f>SUM(C4:C72)</f>
        <v>57409.25</v>
      </c>
      <c r="D2" s="5">
        <f>SUM(D4:D72)</f>
        <v>73218.471000000005</v>
      </c>
      <c r="E2" s="5">
        <f>C2-D2</f>
        <v>-15809.221000000005</v>
      </c>
      <c r="F2" s="6">
        <f>IFERROR(E2/D2, 0)</f>
        <v>-0.21591848046103015</v>
      </c>
      <c r="G2" s="5">
        <f>SUM(G4:G72)</f>
        <v>100560.774</v>
      </c>
      <c r="H2" s="7">
        <f>C2-G2</f>
        <v>-43151.524000000005</v>
      </c>
      <c r="I2" s="6">
        <f>IFERROR(H2/G2, 0)</f>
        <v>-0.42910890880772262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72">
      <c r="A4" s="23" t="str" cm="1">
        <f t="array" ref="A4">Sites[Site]</f>
        <v>Valmont</v>
      </c>
      <c r="B4" s="22" t="str" cm="1">
        <f t="array" ref="B4">Sites[State]</f>
        <v>IN</v>
      </c>
      <c r="C4" s="18">
        <v>57409.25</v>
      </c>
      <c r="D4" s="11">
        <v>73218.471000000005</v>
      </c>
      <c r="E4" s="11">
        <f>IF(AND(ISNUMBER(C4),ISNUMBER(D4)), C4-D4, "")</f>
        <v>-15809.221000000005</v>
      </c>
      <c r="F4" s="12">
        <f>IFERROR(E4/D4, "")</f>
        <v>-0.21591848046103015</v>
      </c>
      <c r="G4" s="13">
        <v>100560.774</v>
      </c>
      <c r="H4" s="13">
        <f>IF(AND(ISNUMBER(C4),ISNUMBER(G4)), C4-G4, "")</f>
        <v>-43151.524000000005</v>
      </c>
      <c r="I4" s="14">
        <f>IFERROR(H4/G4, "")</f>
        <v>-0.42910890880772262</v>
      </c>
      <c r="J4" s="32" t="s">
        <v>52</v>
      </c>
      <c r="K4" s="46" t="s">
        <v>53</v>
      </c>
      <c r="L4" s="48" t="s">
        <v>49</v>
      </c>
      <c r="M4" s="48" t="s">
        <v>38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3258" xr:uid="{64651EBA-F2D1-4ED4-A90B-AEE381FAB8F0}"/>
    <hyperlink ref="L4" r:id="rId2" display="https://us3.assetplanner.com/service_request?ID=103554" xr:uid="{31E6D96F-0B45-49E6-846D-EEEFDE7CA090}"/>
    <hyperlink ref="M4" r:id="rId3" display="https://us3.assetplanner.com/service_request?ID=099992" xr:uid="{F4923DDD-FF43-4E8A-9381-3CC873163E95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P314"/>
  <sheetViews>
    <sheetView zoomScale="80" zoomScaleNormal="80" workbookViewId="0">
      <pane xSplit="2" ySplit="3" topLeftCell="E4" activePane="bottomRight" state="frozen"/>
      <selection pane="bottomRight" activeCell="L1" sqref="L1:P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47"/>
  </cols>
  <sheetData>
    <row r="1" spans="1:15" ht="19.5" customHeight="1">
      <c r="A1" s="50" t="str" cm="1">
        <f t="array" ref="A1">portfolio</f>
        <v>Valmont Industries</v>
      </c>
      <c r="B1" s="50"/>
      <c r="C1" s="50"/>
      <c r="D1" s="51" t="s">
        <v>54</v>
      </c>
      <c r="E1" s="51"/>
      <c r="F1" s="51"/>
      <c r="G1" s="49" t="s">
        <v>55</v>
      </c>
      <c r="H1" s="49"/>
      <c r="I1" s="49"/>
      <c r="J1" s="4"/>
      <c r="K1" s="4"/>
    </row>
    <row r="2" spans="1:15" ht="19.5" customHeight="1">
      <c r="A2" s="52" t="s">
        <v>2</v>
      </c>
      <c r="B2" s="52"/>
      <c r="C2" s="5">
        <f>SUM(C4:C72)</f>
        <v>66772.312999999995</v>
      </c>
      <c r="D2" s="5">
        <f>SUM(D4:D72)</f>
        <v>71299.581000000006</v>
      </c>
      <c r="E2" s="5">
        <f>C2-D2</f>
        <v>-4527.2680000000109</v>
      </c>
      <c r="F2" s="6">
        <f>IFERROR(E2/D2, 0)</f>
        <v>-6.3496418022428641E-2</v>
      </c>
      <c r="G2" s="5">
        <f>SUM(G4:G72)</f>
        <v>92052.42</v>
      </c>
      <c r="H2" s="7">
        <f>C2-G2</f>
        <v>-25280.107000000004</v>
      </c>
      <c r="I2" s="6">
        <f>IFERROR(H2/G2, 0)</f>
        <v>-0.27462729388320267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5.15">
      <c r="A4" s="42" t="str" cm="1">
        <f t="array" ref="A4">Sites[Site]</f>
        <v>Valmont</v>
      </c>
      <c r="B4" s="22" t="str" cm="1">
        <f t="array" ref="B4">Sites[State]</f>
        <v>IN</v>
      </c>
      <c r="C4" s="18">
        <v>66772.312999999995</v>
      </c>
      <c r="D4" s="11">
        <v>71299.581000000006</v>
      </c>
      <c r="E4" s="11">
        <f>IF(AND(ISNUMBER(C4),ISNUMBER(D4)), C4-D4, "")</f>
        <v>-4527.2680000000109</v>
      </c>
      <c r="F4" s="12">
        <f>IFERROR(E4/D4, "")</f>
        <v>-6.3496418022428641E-2</v>
      </c>
      <c r="G4" s="43">
        <v>92052.42</v>
      </c>
      <c r="H4" s="13">
        <f>IF(AND(ISNUMBER(C4),ISNUMBER(G4)), C4-G4, "")</f>
        <v>-25280.107000000004</v>
      </c>
      <c r="I4" s="14">
        <f>IFERROR(H4/G4, "")</f>
        <v>-0.27462729388320267</v>
      </c>
      <c r="J4" s="32" t="s">
        <v>56</v>
      </c>
      <c r="K4" s="46" t="s">
        <v>57</v>
      </c>
      <c r="L4" s="48" t="s">
        <v>49</v>
      </c>
      <c r="M4" s="48" t="s">
        <v>58</v>
      </c>
      <c r="N4" s="48" t="s">
        <v>59</v>
      </c>
      <c r="O4" s="48" t="s">
        <v>38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3258" xr:uid="{F9D81F11-25E5-4BAF-84ED-7287EF09BB69}"/>
    <hyperlink ref="L4" r:id="rId2" display="https://us3.assetplanner.com/service_request?ID=103554" xr:uid="{FBACDAB3-1300-4882-8ED7-494CDDCB0D7E}"/>
    <hyperlink ref="M4" r:id="rId3" display="https://us3.assetplanner.com/service_request?ID=105771" xr:uid="{83F3235A-0434-454C-962A-56ED589D1DAC}"/>
    <hyperlink ref="N4" r:id="rId4" display="https://us3.assetplanner.com/service_request?ID=107052" xr:uid="{D7D0FD00-9960-4442-BDFE-98903A646157}"/>
    <hyperlink ref="O4" r:id="rId5" display="https://us3.assetplanner.com/service_request?ID=099992" xr:uid="{7F019FDB-2122-4C18-BF7A-2D7FD84D0209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14"/>
  <sheetViews>
    <sheetView tabSelected="1" zoomScale="80" zoomScaleNormal="80" workbookViewId="0">
      <pane xSplit="2" ySplit="3" topLeftCell="E4" activePane="bottomRight" state="frozen"/>
      <selection pane="bottomRight" activeCell="G13" sqref="G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47"/>
  </cols>
  <sheetData>
    <row r="1" spans="1:14" ht="19.5" customHeight="1">
      <c r="A1" s="50" t="str" cm="1">
        <f t="array" ref="A1">portfolio</f>
        <v>Valmont Industries</v>
      </c>
      <c r="B1" s="50"/>
      <c r="C1" s="50"/>
      <c r="D1" s="51" t="s">
        <v>60</v>
      </c>
      <c r="E1" s="51"/>
      <c r="F1" s="51"/>
      <c r="G1" s="49" t="s">
        <v>61</v>
      </c>
      <c r="H1" s="49"/>
      <c r="I1" s="49"/>
      <c r="J1" s="4"/>
      <c r="K1" s="4"/>
    </row>
    <row r="2" spans="1:14" ht="19.5" customHeight="1">
      <c r="A2" s="52" t="s">
        <v>2</v>
      </c>
      <c r="B2" s="52"/>
      <c r="C2" s="5">
        <f>SUM(C4:C72)</f>
        <v>14916.563</v>
      </c>
      <c r="D2" s="5">
        <f>SUM(D4:D72)</f>
        <v>20883.876</v>
      </c>
      <c r="E2" s="5">
        <f>C2-D2</f>
        <v>-5967.3130000000001</v>
      </c>
      <c r="F2" s="6">
        <f>IFERROR(E2/D2, 0)</f>
        <v>-0.28573781035665985</v>
      </c>
      <c r="G2" s="5">
        <f>SUM(G4:G72)</f>
        <v>77154.5</v>
      </c>
      <c r="H2" s="7">
        <f>C2-G2</f>
        <v>-62237.936999999998</v>
      </c>
      <c r="I2" s="6">
        <f>IFERROR(H2/G2, 0)</f>
        <v>-0.80666632536015392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57.6">
      <c r="A4" s="23" t="str" cm="1">
        <f t="array" ref="A4">Sites[Site]</f>
        <v>Valmont</v>
      </c>
      <c r="B4" s="22" t="str" cm="1">
        <f t="array" ref="B4">Sites[State]</f>
        <v>IN</v>
      </c>
      <c r="C4" s="18">
        <v>14916.563</v>
      </c>
      <c r="D4" s="11">
        <v>20883.876</v>
      </c>
      <c r="E4" s="11">
        <f>IF(AND(ISNUMBER(C4),ISNUMBER(D4)), C4-D4, "")</f>
        <v>-5967.3130000000001</v>
      </c>
      <c r="F4" s="12">
        <f>IFERROR(E4/D4, "")</f>
        <v>-0.28573781035665985</v>
      </c>
      <c r="G4" s="43">
        <v>77154.5</v>
      </c>
      <c r="H4" s="13">
        <f>IF(AND(ISNUMBER(C4),ISNUMBER(G4)), C4-G4, "")</f>
        <v>-62237.936999999998</v>
      </c>
      <c r="I4" s="14">
        <f>IFERROR(H4/G4, "")</f>
        <v>-0.80666632536015392</v>
      </c>
      <c r="J4" s="32" t="s">
        <v>62</v>
      </c>
      <c r="K4" s="46" t="s">
        <v>63</v>
      </c>
      <c r="L4" s="48" t="s">
        <v>64</v>
      </c>
      <c r="M4" s="48" t="s">
        <v>65</v>
      </c>
      <c r="N4" s="48" t="s">
        <v>66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44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7052" xr:uid="{596EA9CC-5DBA-43BE-9BD4-71C76462E4AC}"/>
    <hyperlink ref="L4" r:id="rId2" display="https://us3.assetplanner.com/service_request?ID=107447" xr:uid="{976D6F51-EF50-4320-BCB5-79576E2D46B9}"/>
    <hyperlink ref="M4" r:id="rId3" display="https://us3.assetplanner.com/service_request?ID=107555" xr:uid="{0E691460-63F9-48C0-98DD-C9FCB978B3B5}"/>
    <hyperlink ref="N4" r:id="rId4" display="https://us3.assetplanner.com/service_request?ID=107782" xr:uid="{BEE6FBB6-2570-4A87-9100-5E4796B18B3B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67</v>
      </c>
      <c r="E1" s="51"/>
      <c r="F1" s="51"/>
      <c r="G1" s="49" t="s">
        <v>68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G13" sqref="G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69</v>
      </c>
      <c r="E1" s="51"/>
      <c r="F1" s="51"/>
      <c r="G1" s="49" t="s">
        <v>70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 t="s">
        <v>71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D7" sqref="D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Valmont Industries</v>
      </c>
      <c r="B1" s="50"/>
      <c r="C1" s="50"/>
      <c r="D1" s="51" t="s">
        <v>72</v>
      </c>
      <c r="E1" s="51"/>
      <c r="F1" s="51"/>
      <c r="G1" s="49" t="s">
        <v>73</v>
      </c>
      <c r="H1" s="49"/>
      <c r="I1" s="49"/>
      <c r="J1" s="4"/>
      <c r="K1" s="4"/>
    </row>
    <row r="2" spans="1:11" ht="19.5" customHeight="1">
      <c r="A2" s="52" t="s">
        <v>2</v>
      </c>
      <c r="B2" s="52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11.425781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74</v>
      </c>
      <c r="B1" s="40" t="s">
        <v>75</v>
      </c>
    </row>
    <row r="3" spans="1:12" ht="13.15">
      <c r="A3" t="s">
        <v>76</v>
      </c>
      <c r="B3" t="s">
        <v>3</v>
      </c>
      <c r="C3" t="s">
        <v>4</v>
      </c>
      <c r="D3" t="s">
        <v>77</v>
      </c>
      <c r="E3" s="2" t="s">
        <v>78</v>
      </c>
    </row>
    <row r="4" spans="1:12" ht="14.45">
      <c r="A4" s="38" t="s">
        <v>79</v>
      </c>
      <c r="B4" t="s">
        <v>80</v>
      </c>
      <c r="C4" s="36" t="s">
        <v>81</v>
      </c>
      <c r="D4" s="41"/>
      <c r="E4" s="40" t="s">
        <v>82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ED865DE5-E824-4C84-96C3-5530F71BA732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2025-10-15T20:25:30Z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2025-02-10T20:30:54Z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75efe078-835a-4483-9c70-3d5453774c6f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