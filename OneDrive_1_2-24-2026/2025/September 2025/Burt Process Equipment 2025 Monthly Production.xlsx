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29DD94D7-0164-4102-8C99-3A62C47AD84E}" xr6:coauthVersionLast="47" xr6:coauthVersionMax="47" xr10:uidLastSave="{83D697A4-E78E-4C90-A61C-990FF50B2E58}"/>
  <bookViews>
    <workbookView xWindow="43080" yWindow="-120" windowWidth="29040" windowHeight="15720" tabRatio="866" firstSheet="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2" i="29" s="1"/>
  <c r="G4" i="18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G4" i="34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<sst xmlns="http://schemas.openxmlformats.org/spreadsheetml/2006/main" count="257" uniqueCount="62">
  <si>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</si>
  <si>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</si>
  <si>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</si>
  <si>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</si>
  <si>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</si>
  <si>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</si>
  <si>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</si>
  <si>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</si>
  <si>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</si>
  <si>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</si>
  <si>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</si>
  <si>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</si>
  <si>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</si>
  <si>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</si>
  <si>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</si>
  <si>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</si>
  <si>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</si>
  <si>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</si>
  <si>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</si>
  <si>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</si>
  <si>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</si>
  <si>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</si>
  <si>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</si>
  <si>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Low production due to snow/rain.</t>
  </si>
  <si>
    <t>February Actual v. Expected</t>
  </si>
  <si>
    <t>February Actual v. Forecasted</t>
  </si>
  <si>
    <t>March Actual v. Expected</t>
  </si>
  <si>
    <t>March Actual v. Forecasted</t>
  </si>
  <si>
    <t>1. Site production was low on 03/05,  03/24 due to rain.</t>
  </si>
  <si>
    <t>April Actual v. Expected</t>
  </si>
  <si>
    <t>April Actual v. Forecasted</t>
  </si>
  <si>
    <t>1.Site was low production on 04/03, 04/05, 04/06, 04/07, 04/12 and 04/26 due to low irradiance.</t>
  </si>
  <si>
    <t>May Actual v. Expected</t>
  </si>
  <si>
    <t>May Actual v. Forecasted</t>
  </si>
  <si>
    <t>1.Site has low productionon 05/05,05/09 and 05/022 due to low irradiance</t>
  </si>
  <si>
    <t>June Actual v. Expected</t>
  </si>
  <si>
    <t>June Actual v. Forecasted</t>
  </si>
  <si>
    <t>1. Site has low production/generation on 06/07,06/09, 06/14,06/15,06/17and 06/18 due to low irradiance.</t>
  </si>
  <si>
    <t>July Actual v. Expected</t>
  </si>
  <si>
    <t>July Actual v. Forecasted</t>
  </si>
  <si>
    <t>August Actual v. Expected</t>
  </si>
  <si>
    <t>August Actual v. Forecasted</t>
  </si>
  <si>
    <t>1. No communication to the DAS from 07:30 on 08/21, but site is online.</t>
  </si>
  <si>
    <t>1.SR105309</t>
  </si>
  <si>
    <t>September Actual v. Expected</t>
  </si>
  <si>
    <t>September Actual v. Forecasted</t>
  </si>
  <si>
    <t>1. Site regained its communication at 19:00 on 09/11, energy has backfilled.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</si>
  <si>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</si>
  <si>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</si>
  <si>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</si>
  <si>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</si>
  <si>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</si>
  <si>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</si>
  <si>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</si>
  <si>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Burt Process Equipment</t>
  </si>
  <si>
    <t>Site DAS Name</t>
  </si>
  <si>
    <t>Update</t>
  </si>
  <si>
    <t>DAS</t>
  </si>
  <si>
    <t>CT: Hamden - Burt Process Equipment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</si>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</sst>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left" vertical="center"/>
    </xf>
    <xf numFmtId="49" fontId="35" fillId="38" borderId="0" xfId="45" applyNumberForma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5309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workbookViewId="0">
      <pane xSplit="2" ySplit="3" topLeftCell="C4" activePane="bottomRight" state="frozen"/>
      <selection pane="bottomRight" activeCell="D22" sqref="D22"/>
      <selection pane="bottomLeft" activeCell="A10" sqref="A10"/>
      <selection pane="topRight" activeCell="A10" sqref="A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Burt Process Equipment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5">
        <f>SUM(C4:C65)</f>
        <v>201099.2550375</v>
      </c>
      <c r="D2" s="5">
        <f>SUM(D4:D65)</f>
        <v>0</v>
      </c>
      <c r="E2" s="5">
        <f>C2-D2</f>
        <v>201099.2550375</v>
      </c>
      <c r="F2" s="6">
        <f>IFERROR(E2/D2, 0)</f>
        <v>0</v>
      </c>
      <c r="G2" s="5">
        <f>SUM(G4:G65)</f>
        <v>256075.98600000003</v>
      </c>
      <c r="H2" s="7">
        <f>C2-G2</f>
        <v>-54976.730962500034</v>
      </c>
      <c r="I2" s="6">
        <f>IFERROR(H2/G2, 0)</f>
        <v>-0.21468913122724451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10" t="str" cm="1">
        <f t="array" ref="A4">Sites[Site]</f>
        <v>CT: Hamden - Burt Process Equipment</v>
      </c>
      <c r="B4" s="9" t="str" cm="1">
        <f t="array" ref="B4">Sites[State]</f>
        <v>CT</v>
      </c>
      <c r="C4" s="18">
        <f>SUM('1st Qtr'!C4, '2nd Qtr'!C4, '3rd Qtr'!C4, '4th Qtr'!C4)</f>
        <v>201099.2550375</v>
      </c>
      <c r="D4" s="11">
        <f>SUM('1st Qtr'!D4, '2nd Qtr'!D4, '3rd Qtr'!D4, '4th Qtr'!D4)</f>
        <v>0</v>
      </c>
      <c r="E4" s="11">
        <f>IF(AND(ISNUMBER(C4),ISNUMBER(D4)), C4-D4, "")</f>
        <v>201099.2550375</v>
      </c>
      <c r="F4" s="12" t="str">
        <f>IFERROR(E4/D4, "")</f>
        <v/>
      </c>
      <c r="G4" s="13">
        <f>SUM('1st Qtr'!G4, '2nd Qtr'!G4, '3rd Qtr'!G4, '4th Qtr'!G4)</f>
        <v>256075.98600000003</v>
      </c>
      <c r="H4" s="13">
        <f>SUM('1st Qtr'!H4, '2nd Qtr'!H4, '3rd Qtr'!H4, '4th Qtr'!H4)</f>
        <v>-54976.730962500005</v>
      </c>
      <c r="I4" s="14">
        <f>IFERROR(H4/G4, "")</f>
        <v>-0.2146891312272444</v>
      </c>
    </row>
    <row r="5" spans="1:9" ht="13.15">
      <c r="A5" s="15"/>
      <c r="B5" s="15"/>
      <c r="C5" s="15"/>
      <c r="D5" s="15"/>
      <c r="E5" s="15"/>
      <c r="F5" s="16"/>
      <c r="G5" s="15"/>
      <c r="H5" s="15"/>
      <c r="I5" s="16"/>
    </row>
    <row r="6" spans="1:9" ht="13.15">
      <c r="A6" s="15"/>
      <c r="B6" s="15"/>
      <c r="C6" s="15"/>
      <c r="D6" s="15"/>
      <c r="E6" s="15"/>
      <c r="F6" s="16"/>
      <c r="G6" s="15"/>
      <c r="H6" s="15"/>
      <c r="I6" s="16"/>
    </row>
    <row r="7" spans="1:9" ht="13.15">
      <c r="A7" s="15"/>
      <c r="B7" s="15"/>
      <c r="C7" s="15"/>
      <c r="D7" s="15"/>
      <c r="E7" s="15"/>
      <c r="F7" s="16"/>
      <c r="G7" s="15"/>
      <c r="H7" s="15"/>
      <c r="I7" s="16"/>
    </row>
    <row r="8" spans="1:9" ht="13.15">
      <c r="A8" s="15"/>
      <c r="B8" s="15"/>
      <c r="C8" s="15"/>
      <c r="D8" s="15"/>
      <c r="E8" s="15"/>
      <c r="F8" s="16"/>
      <c r="G8" s="15"/>
      <c r="H8" s="15"/>
      <c r="I8" s="16"/>
    </row>
    <row r="9" spans="1:9" ht="13.15">
      <c r="A9" s="15"/>
      <c r="B9" s="15"/>
      <c r="C9" s="15"/>
      <c r="D9" s="15"/>
      <c r="E9" s="15"/>
      <c r="F9" s="16"/>
      <c r="G9" s="15"/>
      <c r="H9" s="15"/>
      <c r="I9" s="16"/>
    </row>
    <row r="10" spans="1:9" ht="13.15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15">
      <c r="A307" s="15"/>
      <c r="B307" s="15"/>
      <c r="C307" s="15"/>
      <c r="D307" s="15"/>
      <c r="E307" s="15"/>
      <c r="F307" s="16"/>
      <c r="G307" s="15"/>
      <c r="H307" s="15"/>
      <c r="I307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bottomRight" activeCell="E15" sqref="E15"/>
      <selection pane="bottomLeft" activeCell="A10" sqref="A10"/>
      <selection pane="topRight" activeCell="A10" sqref="A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Burt Process Equipment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5">
        <f>SUM(C4:C65)</f>
        <v>37754.924687499995</v>
      </c>
      <c r="D2" s="5">
        <f>SUM(D4:D65)</f>
        <v>0</v>
      </c>
      <c r="E2" s="5">
        <f>C2-D2</f>
        <v>37754.924687499995</v>
      </c>
      <c r="F2" s="6">
        <f>IFERROR(E2/D2, 0)</f>
        <v>0</v>
      </c>
      <c r="G2" s="5">
        <f>SUM(G4:G65)</f>
        <v>55227</v>
      </c>
      <c r="H2" s="7">
        <f>C2-G2</f>
        <v>-17472.075312500005</v>
      </c>
      <c r="I2" s="6">
        <f>IFERROR(H2/G2, 0)</f>
        <v>-0.31636835809477259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35" t="str" cm="1">
        <f t="array" ref="A4">Sites[Site]</f>
        <v>CT: Hamden - Burt Process Equipment</v>
      </c>
      <c r="B4" s="9" t="str" cm="1">
        <f t="array" ref="B4">Sites[State]</f>
        <v>CT</v>
      </c>
      <c r="C4" s="18">
        <f>SUM(Jan!C4, Feb!C4, Mar!C4)</f>
        <v>37754.924687499995</v>
      </c>
      <c r="D4" s="11">
        <f>SUM(Jan!D4, Feb!D4, Mar!D4)</f>
        <v>0</v>
      </c>
      <c r="E4" s="11">
        <f>IF(AND(ISNUMBER(C4),ISNUMBER(D4)), C4-D4, "")</f>
        <v>37754.924687499995</v>
      </c>
      <c r="F4" s="12" t="str">
        <f>IFERROR(E4/D4, "")</f>
        <v/>
      </c>
      <c r="G4" s="13">
        <f>SUM(Jan!G4, Feb!G4, Mar!G4)</f>
        <v>55227</v>
      </c>
      <c r="H4" s="13">
        <f>SUM(Jan!H4, Feb!H4, Mar!H4)</f>
        <v>-17472.075312500001</v>
      </c>
      <c r="I4" s="14">
        <f>IFERROR(H4/G4, "")</f>
        <v>-0.31636835809477248</v>
      </c>
    </row>
    <row r="5" spans="1:9" ht="13.15">
      <c r="A5" s="15"/>
      <c r="B5" s="15"/>
      <c r="C5" s="15"/>
      <c r="D5" s="15"/>
      <c r="E5" s="15"/>
      <c r="F5" s="16"/>
      <c r="G5" s="15"/>
      <c r="H5" s="15"/>
      <c r="I5" s="16"/>
    </row>
    <row r="6" spans="1:9" ht="13.15">
      <c r="A6" s="15"/>
      <c r="B6" s="15"/>
      <c r="C6" s="15"/>
      <c r="D6" s="15"/>
      <c r="E6" s="15"/>
      <c r="F6" s="16"/>
      <c r="G6" s="15"/>
      <c r="H6" s="15"/>
      <c r="I6" s="16"/>
    </row>
    <row r="7" spans="1:9" ht="13.15">
      <c r="A7" s="15"/>
      <c r="B7" s="15"/>
      <c r="C7" s="15"/>
      <c r="D7" s="15"/>
      <c r="E7" s="15"/>
      <c r="F7" s="16"/>
      <c r="G7" s="15"/>
      <c r="H7" s="15"/>
      <c r="I7" s="16"/>
    </row>
    <row r="8" spans="1:9" ht="13.15">
      <c r="A8" s="15"/>
      <c r="B8" s="15"/>
      <c r="C8" s="15"/>
      <c r="D8" s="15"/>
      <c r="E8" s="15"/>
      <c r="F8" s="16"/>
      <c r="G8" s="15"/>
      <c r="H8" s="15"/>
      <c r="I8" s="16"/>
    </row>
    <row r="9" spans="1:9" ht="13.15">
      <c r="A9" s="15"/>
      <c r="B9" s="15"/>
      <c r="C9" s="15"/>
      <c r="D9" s="15"/>
      <c r="E9" s="15"/>
      <c r="F9" s="16"/>
      <c r="G9" s="15"/>
      <c r="H9" s="15"/>
      <c r="I9" s="16"/>
    </row>
    <row r="10" spans="1:9" ht="13.15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15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bottomRight" activeCell="F19" sqref="F19"/>
      <selection pane="bottomLeft" activeCell="A10" sqref="A10"/>
      <selection pane="topRight" activeCell="A10" sqref="A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Burt Process Equipment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5">
        <f>SUM(C4:C65)</f>
        <v>79529.016000000003</v>
      </c>
      <c r="D2" s="5">
        <f>SUM(D4:D65)</f>
        <v>0</v>
      </c>
      <c r="E2" s="5">
        <f>C2-D2</f>
        <v>79529.016000000003</v>
      </c>
      <c r="F2" s="6">
        <f>IFERROR(E2/D2, 0)</f>
        <v>0</v>
      </c>
      <c r="G2" s="5">
        <f>SUM(G4:G65)</f>
        <v>105423.91600000001</v>
      </c>
      <c r="H2" s="7">
        <f>C2-G2</f>
        <v>-25894.900000000009</v>
      </c>
      <c r="I2" s="6">
        <f>IFERROR(H2/G2, 0)</f>
        <v>-0.24562642882664315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35" t="str" cm="1">
        <f t="array" ref="A4">Sites[Site]</f>
        <v>CT: Hamden - Burt Process Equipment</v>
      </c>
      <c r="B4" s="9" t="str" cm="1">
        <f t="array" ref="B4">Sites[State]</f>
        <v>CT</v>
      </c>
      <c r="C4" s="18">
        <f>SUM(Apr!C4, May!C4, Jun!C4)</f>
        <v>79529.016000000003</v>
      </c>
      <c r="D4" s="11">
        <f>SUM(Apr!D4, May!D4, Jun!D4)</f>
        <v>0</v>
      </c>
      <c r="E4" s="11">
        <f>IF(AND(ISNUMBER(C4),ISNUMBER(D4)), C4-D4, "")</f>
        <v>79529.016000000003</v>
      </c>
      <c r="F4" s="12" t="str">
        <f>IFERROR(E4/D4, "")</f>
        <v/>
      </c>
      <c r="G4" s="13">
        <f>SUM(Apr!G4,May!G4,Jun!G4)</f>
        <v>105423.91600000001</v>
      </c>
      <c r="H4" s="13">
        <f>SUM(Apr!H4, May!H4, Jun!H4)</f>
        <v>-25894.900000000005</v>
      </c>
      <c r="I4" s="14">
        <f>IFERROR(H4/G4, "")</f>
        <v>-0.24562642882664312</v>
      </c>
    </row>
    <row r="5" spans="1:9" ht="13.15">
      <c r="A5" s="15"/>
      <c r="B5" s="15"/>
      <c r="C5" s="15"/>
      <c r="D5" s="15"/>
      <c r="E5" s="15"/>
      <c r="F5" s="16"/>
      <c r="G5" s="15"/>
      <c r="H5" s="15"/>
      <c r="I5" s="16"/>
    </row>
    <row r="6" spans="1:9" ht="13.15">
      <c r="A6" s="15"/>
      <c r="B6" s="15"/>
      <c r="C6" s="15"/>
      <c r="D6" s="15"/>
      <c r="E6" s="15"/>
      <c r="F6" s="16"/>
      <c r="G6" s="15"/>
      <c r="H6" s="15"/>
      <c r="I6" s="16"/>
    </row>
    <row r="7" spans="1:9" ht="13.15">
      <c r="A7" s="15"/>
      <c r="B7" s="15"/>
      <c r="C7" s="15"/>
      <c r="D7" s="15"/>
      <c r="E7" s="15"/>
      <c r="F7" s="16"/>
      <c r="G7" s="15"/>
      <c r="H7" s="15"/>
      <c r="I7" s="16"/>
    </row>
    <row r="8" spans="1:9" ht="13.15">
      <c r="A8" s="15"/>
      <c r="B8" s="15"/>
      <c r="C8" s="15"/>
      <c r="D8" s="15"/>
      <c r="E8" s="15"/>
      <c r="F8" s="16"/>
      <c r="G8" s="15"/>
      <c r="H8" s="15"/>
      <c r="I8" s="16"/>
    </row>
    <row r="9" spans="1:9" ht="13.15">
      <c r="A9" s="15"/>
      <c r="B9" s="15"/>
      <c r="C9" s="15"/>
      <c r="D9" s="15"/>
      <c r="E9" s="15"/>
      <c r="F9" s="16"/>
      <c r="G9" s="15"/>
      <c r="H9" s="15"/>
      <c r="I9" s="16"/>
    </row>
    <row r="10" spans="1:9" ht="13.15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15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tabSelected="1" workbookViewId="0">
      <pane xSplit="2" ySplit="3" topLeftCell="C4" activePane="bottomRight" state="frozen"/>
      <selection pane="bottomRight" activeCell="G21" sqref="G21"/>
      <selection pane="bottomLeft" activeCell="A10" sqref="A10"/>
      <selection pane="topRight" activeCell="A10" sqref="A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Burt Process Equipment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5">
        <f>SUM(C4:C65)</f>
        <v>83815.314350000001</v>
      </c>
      <c r="D2" s="5">
        <f>SUM(D4:D65)</f>
        <v>0</v>
      </c>
      <c r="E2" s="5">
        <f>C2-D2</f>
        <v>83815.314350000001</v>
      </c>
      <c r="F2" s="6">
        <f>IFERROR(E2/D2, 0)</f>
        <v>0</v>
      </c>
      <c r="G2" s="5">
        <f>SUM(G4:G65)</f>
        <v>95425.07</v>
      </c>
      <c r="H2" s="7">
        <f>C2-G2</f>
        <v>-11609.755650000006</v>
      </c>
      <c r="I2" s="6">
        <f>IFERROR(H2/G2, 0)</f>
        <v>-0.12166358012627086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35" t="str" cm="1">
        <f t="array" ref="A4">Sites[Site]</f>
        <v>CT: Hamden - Burt Process Equipment</v>
      </c>
      <c r="B4" s="9" t="str" cm="1">
        <f t="array" ref="B4">Sites[State]</f>
        <v>CT</v>
      </c>
      <c r="C4" s="18">
        <f>SUM(Jul!C4, Aug!C4, Sep!C4)</f>
        <v>83815.314350000001</v>
      </c>
      <c r="D4" s="11">
        <f>SUM(Jul!D4, Aug!D4, Sep!D4)</f>
        <v>0</v>
      </c>
      <c r="E4" s="11">
        <f>IF(AND(ISNUMBER(C4),ISNUMBER(D4)), C4-D4, "")</f>
        <v>83815.314350000001</v>
      </c>
      <c r="F4" s="12" t="str">
        <f>IFERROR(E4/D4, "")</f>
        <v/>
      </c>
      <c r="G4" s="13">
        <f>SUM(Jul!G4,Aug!G4,Sep!G4)</f>
        <v>95425.07</v>
      </c>
      <c r="H4" s="13">
        <f>SUM(Jul!H4, Aug!H4, Sep!H4)</f>
        <v>-11609.755649999999</v>
      </c>
      <c r="I4" s="14">
        <f>IFERROR(H4/G4, "")</f>
        <v>-0.12166358012627078</v>
      </c>
    </row>
    <row r="5" spans="1:9" ht="13.15">
      <c r="A5" s="15"/>
      <c r="B5" s="15"/>
      <c r="C5" s="15"/>
      <c r="D5" s="15"/>
      <c r="E5" s="15"/>
      <c r="F5" s="16"/>
      <c r="G5" s="15"/>
      <c r="H5" s="15"/>
      <c r="I5" s="16"/>
    </row>
    <row r="6" spans="1:9" ht="13.15">
      <c r="A6" s="15"/>
      <c r="B6" s="15"/>
      <c r="C6" s="15"/>
      <c r="D6" s="15"/>
      <c r="E6" s="15"/>
      <c r="F6" s="16"/>
      <c r="G6" s="15"/>
      <c r="H6" s="15"/>
      <c r="I6" s="16"/>
    </row>
    <row r="7" spans="1:9" ht="13.15">
      <c r="A7" s="15"/>
      <c r="B7" s="15"/>
      <c r="C7" s="15"/>
      <c r="D7" s="15"/>
      <c r="E7" s="15"/>
      <c r="F7" s="16"/>
      <c r="G7" s="15"/>
      <c r="H7" s="15"/>
      <c r="I7" s="16"/>
    </row>
    <row r="8" spans="1:9" ht="13.15">
      <c r="A8" s="15"/>
      <c r="B8" s="15"/>
      <c r="C8" s="15"/>
      <c r="D8" s="15"/>
      <c r="E8" s="15"/>
      <c r="F8" s="16"/>
      <c r="G8" s="15"/>
      <c r="H8" s="15"/>
      <c r="I8" s="16"/>
    </row>
    <row r="9" spans="1:9" ht="13.15">
      <c r="A9" s="15"/>
      <c r="B9" s="15"/>
      <c r="C9" s="15"/>
      <c r="D9" s="15"/>
      <c r="E9" s="15"/>
      <c r="F9" s="16"/>
      <c r="G9" s="15"/>
      <c r="H9" s="15"/>
      <c r="I9" s="16"/>
    </row>
    <row r="10" spans="1:9" ht="13.15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15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C4" activePane="bottomRight" state="frozen"/>
      <selection pane="bottomRight" activeCell="C12" sqref="C12"/>
      <selection pane="bottomLeft" activeCell="A10" sqref="A10"/>
      <selection pane="topRight" activeCell="A10" sqref="A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Burt Process Equipment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35" t="str" cm="1">
        <f t="array" ref="A4">Sites[Site]</f>
        <v>CT: Hamden - Burt Process Equipment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15">
      <c r="A5" s="15"/>
      <c r="B5" s="15"/>
      <c r="C5" s="15"/>
      <c r="D5" s="15"/>
      <c r="E5" s="15"/>
      <c r="F5" s="16"/>
      <c r="G5" s="15"/>
      <c r="H5" s="15"/>
      <c r="I5" s="16"/>
    </row>
    <row r="6" spans="1:9" ht="13.15">
      <c r="A6" s="15"/>
      <c r="B6" s="15"/>
      <c r="C6" s="15"/>
      <c r="D6" s="15"/>
      <c r="E6" s="15"/>
      <c r="F6" s="16"/>
      <c r="G6" s="15"/>
      <c r="H6" s="15"/>
      <c r="I6" s="16"/>
    </row>
    <row r="7" spans="1:9" ht="13.15">
      <c r="A7" s="15"/>
      <c r="B7" s="15"/>
      <c r="C7" s="15"/>
      <c r="D7" s="15"/>
      <c r="E7" s="15"/>
      <c r="F7" s="16"/>
      <c r="G7" s="15"/>
      <c r="H7" s="15"/>
      <c r="I7" s="16"/>
    </row>
    <row r="8" spans="1:9" ht="13.15">
      <c r="A8" s="15"/>
      <c r="B8" s="15"/>
      <c r="C8" s="15"/>
      <c r="D8" s="15"/>
      <c r="E8" s="15"/>
      <c r="F8" s="16"/>
      <c r="G8" s="15"/>
      <c r="H8" s="15"/>
      <c r="I8" s="16"/>
    </row>
    <row r="9" spans="1:9" ht="13.15">
      <c r="A9" s="15"/>
      <c r="B9" s="15"/>
      <c r="C9" s="15"/>
      <c r="D9" s="15"/>
      <c r="E9" s="15"/>
      <c r="F9" s="16"/>
      <c r="G9" s="15"/>
      <c r="H9" s="15"/>
      <c r="I9" s="16"/>
    </row>
    <row r="10" spans="1:9" ht="13.15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15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6"/>
  <sheetViews>
    <sheetView workbookViewId="0">
      <pane xSplit="2" ySplit="3" topLeftCell="J4" activePane="bottomRight" state="frozen"/>
      <selection pane="bottomRight" activeCell="J16" sqref="J16"/>
      <selection pane="bottomLeft" activeCell="G23" sqref="G23"/>
      <selection pane="topRight" activeCell="G23" sqref="G23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SUM(C4:C64)</f>
        <v>8464.09</v>
      </c>
      <c r="D2" s="5">
        <f>SUM(D4:D64)</f>
        <v>0</v>
      </c>
      <c r="E2" s="5">
        <f>C2-D2</f>
        <v>8464.09</v>
      </c>
      <c r="F2" s="6">
        <f>IFERROR(E2/D2, 0)</f>
        <v>0</v>
      </c>
      <c r="G2" s="5">
        <f>SUM(G4:G64)</f>
        <v>12910</v>
      </c>
      <c r="H2" s="7">
        <f>C2-G2</f>
        <v>-4445.91</v>
      </c>
      <c r="I2" s="6">
        <f>IFERROR(H2/G2, 0)</f>
        <v>-0.34437722695584816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37" t="s">
        <v>5</v>
      </c>
      <c r="D3" s="38" t="s">
        <v>6</v>
      </c>
      <c r="E3" s="26" t="s">
        <v>7</v>
      </c>
      <c r="F3" s="27" t="s">
        <v>8</v>
      </c>
      <c r="G3" s="39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9.5" customHeight="1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8464.09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12910</v>
      </c>
      <c r="H4" s="13">
        <f>IF(AND(ISNUMBER(C4),ISNUMBER(G4)), C4-G4, "")</f>
        <v>-4445.91</v>
      </c>
      <c r="I4" s="14">
        <f>IFERROR(H4/G4, "")</f>
        <v>-0.34437722695584816</v>
      </c>
      <c r="J4" s="31" t="s">
        <v>23</v>
      </c>
      <c r="K4" s="31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D1:F1"/>
    <mergeCell ref="A1:C1"/>
    <mergeCell ref="G1:I1"/>
    <mergeCell ref="A2:B2"/>
  </mergeCells>
  <conditionalFormatting sqref="F2 I2">
    <cfRule type="cellIs" dxfId="30" priority="6" stopIfTrue="1" operator="lessThanOrEqual">
      <formula>-0.1</formula>
    </cfRule>
    <cfRule type="expression" dxfId="29" priority="7">
      <formula>AND(ISNUMBER(F2), F2&gt;=0.1)</formula>
    </cfRule>
  </conditionalFormatting>
  <conditionalFormatting sqref="F4:F64 I4:I64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7"/>
  <sheetViews>
    <sheetView workbookViewId="0">
      <pane xSplit="2" ySplit="3" topLeftCell="D4" activePane="bottomRight" state="frozen"/>
      <selection pane="bottomRight" activeCell="D14" sqref="D14"/>
      <selection pane="bottomLeft" activeCell="D34" sqref="D34"/>
      <selection pane="topRight" activeCell="D34" sqref="D34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SUM(C4:C65)</f>
        <v>6972.03</v>
      </c>
      <c r="D2" s="5">
        <f>SUM(D4:D65)</f>
        <v>0</v>
      </c>
      <c r="E2" s="5">
        <f>C2-D2</f>
        <v>6972.03</v>
      </c>
      <c r="F2" s="6">
        <f>IFERROR(E2/D2, 0)</f>
        <v>0</v>
      </c>
      <c r="G2" s="5">
        <f>SUM(G4:G65)</f>
        <v>17368</v>
      </c>
      <c r="H2" s="7">
        <f>C2-G2</f>
        <v>-10395.970000000001</v>
      </c>
      <c r="I2" s="6">
        <f>IFERROR(H2/G2, 0)</f>
        <v>-0.5985703592814372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6972.03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17368</v>
      </c>
      <c r="H4" s="13">
        <f>IF(AND(ISNUMBER(C4),ISNUMBER(G4)), C4-G4, "")</f>
        <v>-10395.970000000001</v>
      </c>
      <c r="I4" s="14">
        <f>IFERROR(H4/G4, "")</f>
        <v>-0.5985703592814372</v>
      </c>
      <c r="J4" s="31" t="s">
        <v>23</v>
      </c>
      <c r="K4" s="31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3.9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65 I4:I65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7"/>
  <sheetViews>
    <sheetView zoomScale="90" zoomScaleNormal="90" workbookViewId="0">
      <pane xSplit="2" ySplit="3" topLeftCell="E4" activePane="bottomRight" state="frozen"/>
      <selection pane="bottomRight" activeCell="G9" sqref="G9"/>
      <selection pane="bottomLeft" activeCell="D34" sqref="D34"/>
      <selection pane="topRight" activeCell="D34" sqref="D34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SUM(C4:C65)</f>
        <v>22318.8046875</v>
      </c>
      <c r="D2" s="5">
        <f>SUM(D4:D65)</f>
        <v>0</v>
      </c>
      <c r="E2" s="5">
        <f>C2-D2</f>
        <v>22318.8046875</v>
      </c>
      <c r="F2" s="6">
        <f>IFERROR(E2/D2, 0)</f>
        <v>0</v>
      </c>
      <c r="G2" s="5">
        <f>SUM(G4:G65)</f>
        <v>24949</v>
      </c>
      <c r="H2" s="7">
        <f>C2-G2</f>
        <v>-2630.1953125</v>
      </c>
      <c r="I2" s="6">
        <f>IFERROR(H2/G2, 0)</f>
        <v>-0.10542287516533728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40" t="str" cm="1">
        <f t="array" ref="A4">Sites[Site]</f>
        <v>CT: Hamden - Burt Process Equipment</v>
      </c>
      <c r="B4" s="22" t="str" cm="1">
        <f t="array" ref="B4">Sites[State]</f>
        <v>CT</v>
      </c>
      <c r="C4" s="18">
        <v>22318.8046875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24949</v>
      </c>
      <c r="H4" s="13">
        <f>IF(AND(ISNUMBER(C4),ISNUMBER(G4)), C4-G4, "")</f>
        <v>-2630.1953125</v>
      </c>
      <c r="I4" s="14">
        <f>IFERROR(H4/G4, "")</f>
        <v>-0.10542287516533728</v>
      </c>
      <c r="J4" s="31" t="s">
        <v>28</v>
      </c>
      <c r="K4" s="31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3.9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7"/>
  <sheetViews>
    <sheetView workbookViewId="0">
      <pane xSplit="2" ySplit="3" topLeftCell="C4" activePane="bottomRight" state="frozen"/>
      <selection pane="bottomRight" activeCell="J4" sqref="J4"/>
      <selection pane="bottomLeft" activeCell="D34" sqref="D34"/>
      <selection pane="topRight" activeCell="D34" sqref="D34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29</v>
      </c>
      <c r="E1" s="44"/>
      <c r="F1" s="44"/>
      <c r="G1" s="42" t="s">
        <v>30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SUM(C4:C65)</f>
        <v>26949.84</v>
      </c>
      <c r="D2" s="5">
        <f>SUM(D4:D65)</f>
        <v>0</v>
      </c>
      <c r="E2" s="5">
        <f>C2-D2</f>
        <v>26949.84</v>
      </c>
      <c r="F2" s="6">
        <f>IFERROR(E2/D2, 0)</f>
        <v>0</v>
      </c>
      <c r="G2" s="5">
        <f>SUM(G4:G65)</f>
        <v>32612</v>
      </c>
      <c r="H2" s="7">
        <f>C2-G2</f>
        <v>-5662.16</v>
      </c>
      <c r="I2" s="6">
        <f>IFERROR(H2/G2, 0)</f>
        <v>-0.17362197963939655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5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26949.84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32612</v>
      </c>
      <c r="H4" s="13">
        <f>IF(AND(ISNUMBER(C4),ISNUMBER(G4)), C4-G4, "")</f>
        <v>-5662.16</v>
      </c>
      <c r="I4" s="14">
        <f>IFERROR(H4/G4, "")</f>
        <v>-0.17362197963939655</v>
      </c>
      <c r="J4" s="31" t="s">
        <v>31</v>
      </c>
      <c r="K4" s="31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3.9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7"/>
  <sheetViews>
    <sheetView workbookViewId="0">
      <pane xSplit="2" ySplit="3" topLeftCell="C4" activePane="bottomRight" state="frozen"/>
      <selection pane="bottomRight" activeCell="J12" sqref="J12"/>
      <selection pane="bottomLeft" activeCell="D34" sqref="D34"/>
      <selection pane="topRight" activeCell="D34" sqref="D34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SUM(C4:C65)</f>
        <v>24929.806</v>
      </c>
      <c r="D2" s="5">
        <f>SUM(D4:D65)</f>
        <v>0</v>
      </c>
      <c r="E2" s="5">
        <f>C2-D2</f>
        <v>24929.806</v>
      </c>
      <c r="F2" s="6">
        <f>IFERROR(E2/D2, 0)</f>
        <v>0</v>
      </c>
      <c r="G2" s="5">
        <f>SUM(G4:G65)</f>
        <v>36206.798000000003</v>
      </c>
      <c r="H2" s="7">
        <f>C2-G2</f>
        <v>-11276.992000000002</v>
      </c>
      <c r="I2" s="6">
        <f>IFERROR(H2/G2, 0)</f>
        <v>-0.31146062681378234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24929.806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36206.798000000003</v>
      </c>
      <c r="H4" s="13">
        <f>IF(AND(ISNUMBER(C4),ISNUMBER(G4)), C4-G4, "")</f>
        <v>-11276.992000000002</v>
      </c>
      <c r="I4" s="14">
        <f>IFERROR(H4/G4, "")</f>
        <v>-0.31146062681378234</v>
      </c>
      <c r="J4" s="31" t="s">
        <v>34</v>
      </c>
      <c r="K4" s="31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3.9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7"/>
  <sheetViews>
    <sheetView workbookViewId="0">
      <pane xSplit="2" ySplit="3" topLeftCell="C4" activePane="bottomRight" state="frozen"/>
      <selection pane="bottomRight" activeCell="J10" sqref="J10"/>
      <selection pane="bottomLeft" activeCell="D34" sqref="D34"/>
      <selection pane="topRight" activeCell="D34" sqref="D34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35</v>
      </c>
      <c r="E1" s="44"/>
      <c r="F1" s="44"/>
      <c r="G1" s="42" t="s">
        <v>36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SUM(C4:C65)</f>
        <v>27649.37</v>
      </c>
      <c r="D2" s="5">
        <f>SUM(D4:D65)</f>
        <v>0</v>
      </c>
      <c r="E2" s="5">
        <f>C2-D2</f>
        <v>27649.37</v>
      </c>
      <c r="F2" s="6">
        <f>IFERROR(E2/D2, 0)</f>
        <v>0</v>
      </c>
      <c r="G2" s="5">
        <f>SUM(G4:G65)</f>
        <v>36605.118000000002</v>
      </c>
      <c r="H2" s="7">
        <f>C2-G2</f>
        <v>-8955.7480000000032</v>
      </c>
      <c r="I2" s="6">
        <f>IFERROR(H2/G2, 0)</f>
        <v>-0.2446583562440641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5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27649.37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36605.118000000002</v>
      </c>
      <c r="H4" s="13">
        <f>IF(AND(ISNUMBER(C4),ISNUMBER(G4)), C4-G4, "")</f>
        <v>-8955.7480000000032</v>
      </c>
      <c r="I4" s="14">
        <f>IFERROR(H4/G4, "")</f>
        <v>-0.2446583562440641</v>
      </c>
      <c r="J4" s="31" t="s">
        <v>37</v>
      </c>
      <c r="K4" s="31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3.9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7"/>
  <sheetViews>
    <sheetView workbookViewId="0">
      <pane xSplit="2" ySplit="3" topLeftCell="C4" activePane="bottomRight" state="frozen"/>
      <selection pane="bottomRight" activeCell="H11" sqref="H11"/>
      <selection pane="bottomLeft" activeCell="D34" sqref="D34"/>
      <selection pane="topRight" activeCell="D34" sqref="D34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SUM(C4:C65)</f>
        <v>30331.894629999999</v>
      </c>
      <c r="D2" s="5">
        <f>SUM(D4:D65)</f>
        <v>0</v>
      </c>
      <c r="E2" s="5">
        <f>C2-D2</f>
        <v>30331.894629999999</v>
      </c>
      <c r="F2" s="6">
        <f>IFERROR(E2/D2, 0)</f>
        <v>0</v>
      </c>
      <c r="G2" s="5">
        <f>SUM(G4:G65)</f>
        <v>36385.93</v>
      </c>
      <c r="H2" s="7">
        <f>C2-G2</f>
        <v>-6054.0353700000014</v>
      </c>
      <c r="I2" s="6">
        <f>IFERROR(H2/G2, 0)</f>
        <v>-0.16638396682453907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30331.894629999999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36385.93</v>
      </c>
      <c r="H4" s="13">
        <f>IF(AND(ISNUMBER(C4),ISNUMBER(G4)), C4-G4, "")</f>
        <v>-6054.0353700000014</v>
      </c>
      <c r="I4" s="14">
        <f>IFERROR(H4/G4, "")</f>
        <v>-0.16638396682453907</v>
      </c>
      <c r="J4" s="31"/>
      <c r="K4" s="31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3.9">
      <c r="C307" s="15"/>
      <c r="D307" s="15"/>
      <c r="E307" s="15"/>
      <c r="F307" s="16"/>
      <c r="G307" s="15"/>
      <c r="H307" s="15"/>
      <c r="I307" s="16"/>
      <c r="J307" s="15"/>
      <c r="K307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7"/>
  <sheetViews>
    <sheetView workbookViewId="0">
      <pane xSplit="2" ySplit="3" topLeftCell="C4" activePane="bottomRight" state="frozen"/>
      <selection pane="bottomRight" activeCell="H28" sqref="H27:H28"/>
      <selection pane="bottomLeft" activeCell="D34" sqref="D34"/>
      <selection pane="topRight" activeCell="D34" sqref="D34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SUM(C4:C65)</f>
        <v>19777.129720000001</v>
      </c>
      <c r="D2" s="5">
        <f>SUM(D4:D65)</f>
        <v>0</v>
      </c>
      <c r="E2" s="5">
        <f>C2-D2</f>
        <v>19777.129720000001</v>
      </c>
      <c r="F2" s="6">
        <f>IFERROR(E2/D2, 0)</f>
        <v>0</v>
      </c>
      <c r="G2" s="5">
        <f>SUM(G4:G65)</f>
        <v>32546.14</v>
      </c>
      <c r="H2" s="7">
        <f>C2-G2</f>
        <v>-12769.010279999999</v>
      </c>
      <c r="I2" s="6">
        <f>IFERROR(H2/G2, 0)</f>
        <v>-0.39233562812671485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19777.129720000001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32546.14</v>
      </c>
      <c r="H4" s="13">
        <f>IF(AND(ISNUMBER(C4),ISNUMBER(G4)), C4-G4, "")</f>
        <v>-12769.010279999999</v>
      </c>
      <c r="I4" s="14">
        <f>IFERROR(H4/G4, "")</f>
        <v>-0.39233562812671485</v>
      </c>
      <c r="J4" s="31" t="s">
        <v>42</v>
      </c>
      <c r="K4" s="41" t="s">
        <v>43</v>
      </c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3.9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105309" xr:uid="{A53320F3-00FE-4447-81A2-9DC4DAD290D8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7"/>
  <sheetViews>
    <sheetView workbookViewId="0">
      <pane xSplit="2" ySplit="3" topLeftCell="C4" activePane="bottomRight" state="frozen"/>
      <selection pane="bottomRight" activeCell="J23" sqref="J23"/>
      <selection pane="bottomLeft" activeCell="D34" sqref="D34"/>
      <selection pane="topRight" activeCell="D34" sqref="D34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44</v>
      </c>
      <c r="E1" s="44"/>
      <c r="F1" s="44"/>
      <c r="G1" s="42" t="s">
        <v>45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SUM(C4:C65)</f>
        <v>33706.29</v>
      </c>
      <c r="D2" s="5">
        <f>SUM(D4:D65)</f>
        <v>0</v>
      </c>
      <c r="E2" s="5">
        <f>C2-D2</f>
        <v>33706.29</v>
      </c>
      <c r="F2" s="6">
        <f>IFERROR(E2/D2, 0)</f>
        <v>0</v>
      </c>
      <c r="G2" s="5">
        <f>SUM(G4:G65)</f>
        <v>26493</v>
      </c>
      <c r="H2" s="7">
        <f>C2-G2</f>
        <v>7213.2900000000009</v>
      </c>
      <c r="I2" s="6">
        <f>IFERROR(H2/G2, 0)</f>
        <v>0.27227154342656557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33706.29</v>
      </c>
      <c r="D4" s="11">
        <v>0</v>
      </c>
      <c r="E4" s="11">
        <f>IF(AND(ISNUMBER(C4),ISNUMBER(D4)), C4-D4, "")</f>
        <v>33706.29</v>
      </c>
      <c r="F4" s="12" t="str">
        <f>IFERROR(E4/D4, "")</f>
        <v/>
      </c>
      <c r="G4" s="13">
        <v>26493</v>
      </c>
      <c r="H4" s="13">
        <f>IF(AND(ISNUMBER(C4),ISNUMBER(G4)), C4-G4, "")</f>
        <v>7213.2900000000009</v>
      </c>
      <c r="I4" s="14">
        <f>IFERROR(H4/G4, "")</f>
        <v>0.27227154342656557</v>
      </c>
      <c r="J4" s="31" t="s">
        <v>46</v>
      </c>
      <c r="K4" s="31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3.9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workbookViewId="0">
      <pane xSplit="2" ySplit="3" topLeftCell="C4" activePane="bottomRight" state="frozen"/>
      <selection pane="bottomRight" activeCell="D34" sqref="D34"/>
      <selection pane="bottomLeft" activeCell="D34" sqref="D34"/>
      <selection pane="topRight" activeCell="D34" sqref="D34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47</v>
      </c>
      <c r="E1" s="44"/>
      <c r="F1" s="44"/>
      <c r="G1" s="42" t="s">
        <v>48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3.9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workbookViewId="0">
      <pane xSplit="2" ySplit="3" topLeftCell="C4" activePane="bottomRight" state="frozen"/>
      <selection pane="bottomRight" activeCell="D34" sqref="D34"/>
      <selection pane="bottomLeft" activeCell="D34" sqref="D34"/>
      <selection pane="topRight" activeCell="D34" sqref="D34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49</v>
      </c>
      <c r="E1" s="44"/>
      <c r="F1" s="44"/>
      <c r="G1" s="42" t="s">
        <v>50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3.9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workbookViewId="0">
      <pane xSplit="2" ySplit="3" topLeftCell="C4" activePane="bottomRight" state="frozen"/>
      <selection pane="bottomRight" activeCell="D34" sqref="D34"/>
      <selection pane="bottomLeft" activeCell="D34" sqref="D34"/>
      <selection pane="topRight" activeCell="D34" sqref="D34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51</v>
      </c>
      <c r="E1" s="44"/>
      <c r="F1" s="44"/>
      <c r="G1" s="42" t="s">
        <v>52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3.9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C14" sqref="C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53</v>
      </c>
      <c r="B1" t="s">
        <v>54</v>
      </c>
    </row>
    <row r="3" spans="1:12">
      <c r="A3" t="s">
        <v>55</v>
      </c>
      <c r="B3" t="s">
        <v>3</v>
      </c>
      <c r="C3" t="s">
        <v>4</v>
      </c>
      <c r="D3" t="s">
        <v>56</v>
      </c>
      <c r="E3" s="2" t="s">
        <v>57</v>
      </c>
    </row>
    <row r="4" spans="1:12" ht="14.25">
      <c r="A4" s="36" t="s">
        <v>54</v>
      </c>
      <c r="B4" t="s">
        <v>58</v>
      </c>
      <c r="C4" s="34" t="s">
        <v>59</v>
      </c>
      <c r="D4" s="33" t="s">
        <v>60</v>
      </c>
      <c r="E4" t="s">
        <v>61</v>
      </c>
      <c r="G4" s="3"/>
    </row>
    <row r="5" spans="1:12" ht="14.25">
      <c r="A5" s="36"/>
      <c r="C5" s="34"/>
      <c r="D5" s="33"/>
      <c r="G5" s="3"/>
    </row>
    <row r="6" spans="1:12" ht="14.25">
      <c r="A6" s="36"/>
      <c r="C6" s="34"/>
      <c r="D6" s="33"/>
      <c r="G6" s="3"/>
    </row>
    <row r="7" spans="1:12" ht="12.75" customHeight="1">
      <c r="A7" s="36"/>
      <c r="C7" s="34"/>
      <c r="D7" s="33"/>
    </row>
    <row r="8" spans="1:12" ht="12.75" customHeight="1">
      <c r="A8" s="36"/>
      <c r="C8" s="34"/>
      <c r="D8" s="33"/>
    </row>
    <row r="9" spans="1:12" ht="12.75" customHeight="1">
      <c r="A9" s="36"/>
      <c r="C9" s="34"/>
      <c r="D9" s="33"/>
    </row>
    <row r="10" spans="1:12" ht="12.75" customHeight="1">
      <c r="A10" s="36"/>
      <c r="C10" s="34"/>
      <c r="D10" s="33"/>
      <c r="K10" s="32"/>
      <c r="L10" s="32"/>
    </row>
    <row r="11" spans="1:12" ht="12.75" customHeight="1">
      <c r="A11" s="36"/>
      <c r="C11" s="34"/>
      <c r="D11" s="33"/>
      <c r="K11" s="32"/>
      <c r="L11" s="32"/>
    </row>
    <row r="12" spans="1:12" ht="12.75" customHeight="1">
      <c r="A12" s="36"/>
      <c r="C12" s="34"/>
      <c r="D12" s="33"/>
      <c r="K12" s="32"/>
      <c r="L12" s="32"/>
    </row>
    <row r="13" spans="1:12" ht="12.75" customHeight="1">
      <c r="A13" s="36"/>
      <c r="C13" s="34"/>
      <c r="D13" s="33"/>
      <c r="K13" s="32"/>
      <c r="L13" s="32"/>
    </row>
    <row r="14" spans="1:12" ht="12.75" customHeight="1">
      <c r="A14" s="36"/>
      <c r="C14" s="34"/>
      <c r="D14" s="33"/>
      <c r="K14" s="32"/>
      <c r="L14" s="32"/>
    </row>
    <row r="15" spans="1:12" ht="12.75" customHeight="1">
      <c r="A15" s="36"/>
      <c r="C15" s="34"/>
      <c r="D15" s="33"/>
      <c r="K15" s="32"/>
      <c r="L15" s="32"/>
    </row>
    <row r="16" spans="1:12" ht="12.75" customHeight="1">
      <c r="A16" s="36"/>
      <c r="C16" s="34"/>
      <c r="D16" s="33"/>
      <c r="K16" s="32"/>
      <c r="L16" s="32"/>
    </row>
    <row r="17" spans="1:12" ht="12.75" customHeight="1">
      <c r="A17" s="36"/>
      <c r="C17" s="34"/>
      <c r="D17" s="33"/>
      <c r="K17" s="32"/>
      <c r="L17" s="32"/>
    </row>
    <row r="18" spans="1:12" ht="12.75" customHeight="1">
      <c r="A18" s="36"/>
      <c r="C18" s="34"/>
      <c r="D18" s="33"/>
      <c r="K18" s="32"/>
      <c r="L18" s="32"/>
    </row>
    <row r="19" spans="1:12" ht="12.75" customHeight="1">
      <c r="A19" s="36"/>
      <c r="C19" s="34"/>
      <c r="D19" s="33"/>
      <c r="K19" s="32"/>
      <c r="L19" s="32"/>
    </row>
    <row r="20" spans="1:12" ht="12.75" customHeight="1">
      <c r="A20" s="36"/>
      <c r="C20" s="34"/>
      <c r="D20" s="33"/>
      <c r="K20" s="32"/>
      <c r="L20" s="32"/>
    </row>
    <row r="21" spans="1:12" ht="12.75" customHeight="1">
      <c r="A21" s="36"/>
      <c r="C21" s="34"/>
      <c r="D21" s="33"/>
      <c r="K21" s="32"/>
      <c r="L21" s="32"/>
    </row>
    <row r="22" spans="1:12" ht="12.75" customHeight="1">
      <c r="A22" s="36"/>
      <c r="C22" s="34"/>
      <c r="D22" s="33"/>
      <c r="K22" s="32"/>
      <c r="L22" s="32"/>
    </row>
    <row r="23" spans="1:12" ht="12.75" customHeight="1">
      <c r="A23" s="36"/>
      <c r="C23" s="34"/>
      <c r="D23" s="33"/>
      <c r="K23" s="32"/>
      <c r="L23" s="32"/>
    </row>
    <row r="24" spans="1:12" ht="12.75" customHeight="1">
      <c r="A24" s="36"/>
      <c r="C24" s="34"/>
      <c r="D24" s="33"/>
      <c r="K24" s="32"/>
      <c r="L24" s="32"/>
    </row>
    <row r="25" spans="1:12" ht="12.75" customHeight="1">
      <c r="A25" s="36"/>
      <c r="C25" s="34"/>
      <c r="D25" s="33"/>
      <c r="K25" s="32"/>
      <c r="L25" s="32"/>
    </row>
    <row r="26" spans="1:12" ht="12.75" customHeight="1">
      <c r="K26" s="32"/>
      <c r="L26" s="32"/>
    </row>
    <row r="27" spans="1:12" ht="12.75" customHeight="1">
      <c r="K27" s="32"/>
      <c r="L27" s="32"/>
    </row>
    <row r="28" spans="1:12" ht="12.75" customHeight="1">
      <c r="K28" s="32"/>
      <c r="L28" s="32"/>
    </row>
    <row r="29" spans="1:12" ht="12.75" customHeight="1">
      <c r="K29" s="32"/>
      <c r="L29" s="32"/>
    </row>
    <row r="30" spans="1:12" ht="12.75" customHeight="1">
      <c r="K30" s="32"/>
      <c r="L30" s="32"/>
    </row>
    <row r="31" spans="1:12" ht="12.75" customHeight="1">
      <c r="K31" s="32"/>
      <c r="L31" s="3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411E35D5-1BF6-46F3-BF2A-56A876B3161A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98A113BB-8B7A-453C-8BD4-8EFC67FC2D3F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2025-10-29T23:12:06Z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2025-10-29T23:10:52Z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4bdeb047-7ae5-44ef-8970-cfbfe11482d2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