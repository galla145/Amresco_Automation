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5737AB08-F81B-4E82-A515-604C2C2A84CA}" xr6:coauthVersionLast="47" xr6:coauthVersionMax="47" xr10:uidLastSave="{5B7910D9-214C-4CF9-A082-0470FFC3C2E5}"/>
  <bookViews>
    <workbookView xWindow="43080" yWindow="-120" windowWidth="29040" windowHeight="15720" tabRatio="866" firstSheet="11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0" l="1"/>
  <c r="H4" i="3"/>
  <c r="I4" i="3" s="1"/>
  <c r="G4" i="30"/>
  <c r="G2" i="30" s="1"/>
  <c r="G4" i="29"/>
  <c r="G4" i="18"/>
  <c r="G2" i="18" s="1"/>
  <c r="D2" i="3"/>
  <c r="F5" i="1"/>
  <c r="F5" i="4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F4" i="20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<sst xmlns="http://schemas.openxmlformats.org/spreadsheetml/2006/main" count="277" uniqueCount="62">
  <si>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</si>
  <si>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</si>
  <si>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</si>
  <si>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</si>
  <si>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</si>
  <si>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</si>
  <si>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</si>
  <si>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</si>
  <si>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</si>
  <si>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</si>
  <si>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</si>
  <si>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</si>
  <si>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 xml:space="preserve"> 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</si>
  <si>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</si>
  <si>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</si>
  <si>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</si>
  <si>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</si>
  <si>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</si>
  <si>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</si>
  <si>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</si>
  <si>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</si>
  <si>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</si>
  <si>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</si>
  <si>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</si>
  <si>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Low generation due to snow/rain.</t>
  </si>
  <si>
    <t>February Actual v. Expected</t>
  </si>
  <si>
    <t>February Actual v. Forecasted</t>
  </si>
  <si>
    <t>March Actual v. Expected</t>
  </si>
  <si>
    <t>March Actual v. Forecasted</t>
  </si>
  <si>
    <t xml:space="preserve">1. Inverter 1 started late for production on 03/09 due to  "DC voltage too high Wait for grid" and selfresolved on 03/09 at 10:30AM.
2. The site tripped offline at 7:30 AM on 03/18. Following a thermal event investigation on 03/19, the site will remain offline. While panel damage appears minimal, the wiring insulation may be compromised. Further investigation and repairs are required before safely re-energizing the site.
</t>
  </si>
  <si>
    <t>1.	SR098309
2. SR098691</t>
  </si>
  <si>
    <t>SR098691</t>
  </si>
  <si>
    <t>April Actual v. Expected</t>
  </si>
  <si>
    <t>April Actual v. Forecasted</t>
  </si>
  <si>
    <t>1. Site was offline from 03/18 to through out the month due to thermal event.</t>
  </si>
  <si>
    <t>1. SR098691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</si>
  <si>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</si>
  <si>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</si>
  <si>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</si>
  <si>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</si>
  <si>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</si>
  <si>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</si>
  <si>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 xml:space="preserve">                   N/A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</si>
  <si>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</si>
  <si>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</si>
  <si>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</si>
  <si>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</si>
  <si>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</si>
  <si>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</si>
  <si>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</si>
  <si>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</si>
  <si>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</si>
  <si>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</si>
  <si>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</si>
  <si>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MA: Plymouth - Seacoast Realty</t>
  </si>
  <si>
    <t>Site DAS Name</t>
  </si>
  <si>
    <t>Update</t>
  </si>
  <si>
    <t>DAS</t>
  </si>
  <si>
    <t>CDF (77 Industrial Park, Plymouth)</t>
  </si>
  <si>
    <t>MA</t>
  </si>
  <si>
    <t>AE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</si>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</sst>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6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4" fontId="35" fillId="0" borderId="0" xfId="0" applyNumberFormat="1" applyFont="1" applyAlignment="1">
      <alignment horizontal="right"/>
    </xf>
    <xf numFmtId="4" fontId="30" fillId="0" borderId="0" xfId="0" applyNumberFormat="1" applyFont="1" applyAlignment="1">
      <alignment horizontal="right"/>
    </xf>
    <xf numFmtId="3" fontId="35" fillId="0" borderId="0" xfId="0" applyNumberFormat="1" applyFont="1" applyAlignment="1">
      <alignment horizontal="right" wrapText="1"/>
    </xf>
    <xf numFmtId="3" fontId="35" fillId="0" borderId="0" xfId="0" applyNumberFormat="1" applyFont="1" applyAlignment="1">
      <alignment horizontal="right"/>
    </xf>
    <xf numFmtId="3" fontId="30" fillId="0" borderId="0" xfId="0" applyNumberFormat="1" applyFont="1"/>
    <xf numFmtId="3" fontId="32" fillId="0" borderId="0" xfId="0" applyNumberFormat="1" applyFont="1"/>
    <xf numFmtId="164" fontId="32" fillId="0" borderId="0" xfId="0" applyNumberFormat="1" applyFont="1"/>
    <xf numFmtId="0" fontId="34" fillId="40" borderId="0" xfId="0" applyFont="1" applyFill="1" applyAlignment="1">
      <alignment horizontal="left" vertical="center"/>
    </xf>
    <xf numFmtId="3" fontId="30" fillId="4" borderId="0" xfId="1" applyNumberFormat="1" applyFont="1" applyFill="1" applyBorder="1" applyAlignment="1">
      <alignment horizontal="right"/>
    </xf>
    <xf numFmtId="3" fontId="30" fillId="4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 vertical="center" indent="1"/>
    </xf>
    <xf numFmtId="49" fontId="36" fillId="38" borderId="0" xfId="45" applyNumberFormat="1" applyFill="1" applyBorder="1" applyAlignment="1">
      <alignment vertical="top" wrapText="1"/>
    </xf>
    <xf numFmtId="0" fontId="36" fillId="0" borderId="0" xfId="45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8691" TargetMode="External"/><Relationship Id="rId1" Type="http://schemas.openxmlformats.org/officeDocument/2006/relationships/hyperlink" Target="https://us3.assetplanner.com/service_request?ID=098309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691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691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691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691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D19" sqref="D19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MA: Plymouth - Seacoast Realty</v>
      </c>
      <c r="B1" s="63"/>
      <c r="C1" s="63"/>
      <c r="D1" s="64" t="s">
        <v>0</v>
      </c>
      <c r="E1" s="64"/>
      <c r="F1" s="64"/>
      <c r="G1" s="62" t="s">
        <v>1</v>
      </c>
      <c r="H1" s="62"/>
      <c r="I1" s="62"/>
    </row>
    <row r="2" spans="1:9" ht="19.5" customHeight="1">
      <c r="A2" s="65" t="s">
        <v>2</v>
      </c>
      <c r="B2" s="65"/>
      <c r="C2" s="5">
        <f>SUM(C4:C79)</f>
        <v>76730</v>
      </c>
      <c r="D2" s="5">
        <f>SUM(D4:D79)</f>
        <v>270444.87199999997</v>
      </c>
      <c r="E2" s="5">
        <f>C2-D2</f>
        <v>-193714.87199999997</v>
      </c>
      <c r="F2" s="6">
        <f>IFERROR(E2/D2, 0)</f>
        <v>-0.71628228913136871</v>
      </c>
      <c r="G2" s="5">
        <f>SUM(G4:G79)</f>
        <v>0</v>
      </c>
      <c r="H2" s="7">
        <f>C2-G2</f>
        <v>76730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11" t="str" cm="1">
        <f t="array" ref="A4">Sites[Site]</f>
        <v>MA: Plymouth - Seacoast Realty</v>
      </c>
      <c r="B4" s="9" t="str" cm="1">
        <f t="array" ref="B4">Sites[State]</f>
        <v>MA</v>
      </c>
      <c r="C4" s="23">
        <f>SUM('1st Qtr'!C4, '2nd Qtr'!C4, '3rd Qtr'!C4, '4th Qtr'!C4)</f>
        <v>76730</v>
      </c>
      <c r="D4" s="12">
        <f>SUM('1st Qtr'!D4, '2nd Qtr'!D4, '3rd Qtr'!D4, '4th Qtr'!D4)</f>
        <v>270444.87199999997</v>
      </c>
      <c r="E4" s="12">
        <f>IF(AND(ISNUMBER(C4),ISNUMBER(D4)), C4-D4, "")</f>
        <v>-193714.87199999997</v>
      </c>
      <c r="F4" s="13">
        <f>IFERROR(E4/D4, "")</f>
        <v>-0.71628228913136871</v>
      </c>
      <c r="G4" s="14">
        <f>SUM('1st Qtr'!G4, '2nd Qtr'!G4, '3rd Qtr'!G4, '4th Qtr'!G4)</f>
        <v>0</v>
      </c>
      <c r="H4" s="14">
        <f>SUM('1st Qtr'!H4, '2nd Qtr'!H4, '3rd Qtr'!H4, '4th Qtr'!H4)</f>
        <v>0</v>
      </c>
      <c r="I4" s="15" t="str">
        <f>IFERROR(H4/G4, "")</f>
        <v/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D27" sqref="D27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MA: Plymouth - Seacoast Realty</v>
      </c>
      <c r="B1" s="63"/>
      <c r="C1" s="63"/>
      <c r="D1" s="64" t="s">
        <v>10</v>
      </c>
      <c r="E1" s="64"/>
      <c r="F1" s="64"/>
      <c r="G1" s="62" t="s">
        <v>11</v>
      </c>
      <c r="H1" s="62"/>
      <c r="I1" s="62"/>
    </row>
    <row r="2" spans="1:9" ht="19.5" customHeight="1">
      <c r="A2" s="65" t="s">
        <v>2</v>
      </c>
      <c r="B2" s="65"/>
      <c r="C2" s="5">
        <f>SUM(C4:C79)</f>
        <v>76730</v>
      </c>
      <c r="D2" s="5">
        <f>SUM(D4:D79)</f>
        <v>108943.44</v>
      </c>
      <c r="E2" s="5">
        <f>C2-D2</f>
        <v>-32213.440000000002</v>
      </c>
      <c r="F2" s="6">
        <f>IFERROR(E2/D2, 0)</f>
        <v>-0.29568957984069533</v>
      </c>
      <c r="G2" s="5">
        <f>SUM(G4:G79)</f>
        <v>0</v>
      </c>
      <c r="H2" s="7">
        <f>C2-G2</f>
        <v>76730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3" t="str" cm="1">
        <f t="array" ref="A4">Sites[Site]</f>
        <v>MA: Plymouth - Seacoast Realty</v>
      </c>
      <c r="B4" s="9" t="str" cm="1">
        <f t="array" ref="B4">Sites[State]</f>
        <v>MA</v>
      </c>
      <c r="C4" s="23">
        <f>SUM(Jan!C4, Feb!C4, Mar!C4)</f>
        <v>76730</v>
      </c>
      <c r="D4" s="12">
        <f>SUM(Jan!D4, Feb!D4, Mar!D4)</f>
        <v>108943.44</v>
      </c>
      <c r="E4" s="12">
        <f>IF(AND(ISNUMBER(C4),ISNUMBER(D4)), C4-D4, "")</f>
        <v>-32213.440000000002</v>
      </c>
      <c r="F4" s="13">
        <f>IFERROR(E4/D4, "")</f>
        <v>-0.29568957984069533</v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4.25">
      <c r="A5" s="20"/>
      <c r="B5" s="10"/>
      <c r="C5" s="54" t="s">
        <v>12</v>
      </c>
      <c r="D5" s="54" t="s">
        <v>12</v>
      </c>
      <c r="E5" s="17" t="s">
        <v>12</v>
      </c>
      <c r="F5" s="18" t="str">
        <f>IFERROR(E5/D5, "")</f>
        <v/>
      </c>
      <c r="G5" s="20"/>
      <c r="H5" s="20"/>
      <c r="I5" s="20"/>
    </row>
    <row r="6" spans="1:9" ht="13.15">
      <c r="A6" s="20"/>
      <c r="B6" s="20"/>
      <c r="C6" s="20"/>
      <c r="D6" s="20"/>
      <c r="E6" s="54" t="s">
        <v>12</v>
      </c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D25" sqref="D25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MA: Plymouth - Seacoast Realty</v>
      </c>
      <c r="B1" s="63"/>
      <c r="C1" s="63"/>
      <c r="D1" s="64" t="s">
        <v>13</v>
      </c>
      <c r="E1" s="64"/>
      <c r="F1" s="64"/>
      <c r="G1" s="62" t="s">
        <v>14</v>
      </c>
      <c r="H1" s="62"/>
      <c r="I1" s="62"/>
    </row>
    <row r="2" spans="1:9" ht="19.5" customHeight="1">
      <c r="A2" s="65" t="s">
        <v>2</v>
      </c>
      <c r="B2" s="65"/>
      <c r="C2" s="5">
        <f>SUM(C4:C79)</f>
        <v>0</v>
      </c>
      <c r="D2" s="5">
        <f>SUM(D4:D79)</f>
        <v>161501.43199999997</v>
      </c>
      <c r="E2" s="5">
        <f>C2-D2</f>
        <v>-161501.43199999997</v>
      </c>
      <c r="F2" s="6">
        <f>IFERROR(E2/D2, 0)</f>
        <v>-1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3" t="str" cm="1">
        <f t="array" ref="A4">Sites[Site]</f>
        <v>MA: Plymouth - Seacoast Realty</v>
      </c>
      <c r="B4" s="9" t="str" cm="1">
        <f t="array" ref="B4">Sites[State]</f>
        <v>MA</v>
      </c>
      <c r="C4" s="23">
        <f>SUM(Apr!C4, May!C4, Jun!C4)</f>
        <v>0</v>
      </c>
      <c r="D4" s="12">
        <f>SUM(Apr!D4, May!D4, Jun!D4)</f>
        <v>161501.43199999997</v>
      </c>
      <c r="E4" s="12">
        <f>IF(AND(ISNUMBER(C4),ISNUMBER(D4)), C4-D4, "")</f>
        <v>-161501.43199999997</v>
      </c>
      <c r="F4" s="13">
        <f>IFERROR(E4/D4, "")</f>
        <v>-1</v>
      </c>
      <c r="G4" s="14">
        <f>SUM(Apr!G4,May!G4,Jun!G4,)</f>
        <v>0</v>
      </c>
      <c r="H4" s="14">
        <f>SUM(Apr!H4, May!H4, Jun!H4)</f>
        <v>0</v>
      </c>
      <c r="I4" s="15" t="str">
        <f>IFERROR(H4/G4, "")</f>
        <v/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tabSelected="1" workbookViewId="0">
      <pane xSplit="2" ySplit="3" topLeftCell="G4" activePane="bottomRight" state="frozen"/>
      <selection pane="bottomRight" activeCell="G11" sqref="G11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MA: Plymouth - Seacoast Realty</v>
      </c>
      <c r="B1" s="63"/>
      <c r="C1" s="63"/>
      <c r="D1" s="64" t="s">
        <v>15</v>
      </c>
      <c r="E1" s="64"/>
      <c r="F1" s="64"/>
      <c r="G1" s="62" t="s">
        <v>16</v>
      </c>
      <c r="H1" s="62"/>
      <c r="I1" s="62"/>
    </row>
    <row r="2" spans="1:9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3" t="str" cm="1">
        <f t="array" ref="A4">Sites[Site]</f>
        <v>MA: Plymouth - Seacoast Realty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75">
      <c r="A5" s="16"/>
      <c r="B5" s="20"/>
      <c r="C5" s="20"/>
      <c r="D5" s="20"/>
      <c r="E5" s="20"/>
      <c r="F5" s="20"/>
      <c r="G5" s="20"/>
      <c r="H5" s="20"/>
      <c r="I5" s="20"/>
    </row>
    <row r="6" spans="1:9" ht="15.75">
      <c r="A6" s="16"/>
      <c r="B6" s="20"/>
      <c r="C6" s="20"/>
      <c r="D6" s="20"/>
      <c r="E6" s="20"/>
      <c r="F6" s="20"/>
      <c r="G6" s="20"/>
      <c r="H6" s="20"/>
      <c r="I6" s="20"/>
    </row>
    <row r="7" spans="1:9" ht="15.75">
      <c r="A7" s="16"/>
      <c r="B7" s="20"/>
      <c r="C7" s="20"/>
      <c r="D7" s="20"/>
      <c r="E7" s="20"/>
      <c r="F7" s="20"/>
      <c r="G7" s="20"/>
      <c r="H7" s="20"/>
      <c r="I7" s="20"/>
    </row>
    <row r="8" spans="1:9" ht="15.75">
      <c r="A8" s="16"/>
      <c r="B8" s="20"/>
      <c r="C8" s="20"/>
      <c r="D8" s="20"/>
      <c r="E8" s="20"/>
      <c r="F8" s="20"/>
      <c r="G8" s="20"/>
      <c r="H8" s="20"/>
      <c r="I8" s="20"/>
    </row>
    <row r="9" spans="1:9" ht="15.75">
      <c r="A9" s="16"/>
      <c r="B9" s="20"/>
      <c r="C9" s="20"/>
      <c r="D9" s="20"/>
      <c r="E9" s="20"/>
      <c r="F9" s="20"/>
      <c r="G9" s="20"/>
      <c r="H9" s="20"/>
      <c r="I9" s="20"/>
    </row>
    <row r="10" spans="1:9" ht="15.75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F4" activePane="bottomRight" state="frozen"/>
      <selection pane="bottomRight" activeCell="F10" sqref="F10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MA: Plymouth - Seacoast Realty</v>
      </c>
      <c r="B1" s="63"/>
      <c r="C1" s="63"/>
      <c r="D1" s="64" t="s">
        <v>17</v>
      </c>
      <c r="E1" s="64"/>
      <c r="F1" s="64"/>
      <c r="G1" s="62" t="s">
        <v>18</v>
      </c>
      <c r="H1" s="62"/>
      <c r="I1" s="62"/>
    </row>
    <row r="2" spans="1:9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3" t="str" cm="1">
        <f t="array" ref="A4">Sites[Site]</f>
        <v>MA: Plymouth - Seacoast Realty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75">
      <c r="A5" s="16"/>
      <c r="B5" s="10"/>
      <c r="C5" s="40"/>
      <c r="D5" s="17"/>
      <c r="E5" s="17"/>
      <c r="F5" s="18"/>
      <c r="G5" s="19"/>
      <c r="H5" s="19"/>
      <c r="I5" s="18"/>
    </row>
    <row r="6" spans="1:9" ht="14.25">
      <c r="A6" s="20"/>
      <c r="B6" s="10"/>
      <c r="C6" s="40"/>
      <c r="D6" s="17"/>
      <c r="E6" s="17"/>
      <c r="F6" s="18"/>
      <c r="G6" s="19"/>
      <c r="H6" s="19"/>
      <c r="I6" s="18"/>
    </row>
    <row r="7" spans="1:9" ht="14.25">
      <c r="A7" s="20"/>
      <c r="B7" s="10"/>
      <c r="C7" s="40"/>
      <c r="D7" s="17"/>
      <c r="E7" s="17"/>
      <c r="F7" s="18"/>
      <c r="G7" s="19"/>
      <c r="H7" s="19"/>
      <c r="I7" s="18"/>
    </row>
    <row r="8" spans="1:9" ht="14.25">
      <c r="A8" s="20"/>
      <c r="B8" s="10"/>
      <c r="C8" s="40"/>
      <c r="D8" s="17"/>
      <c r="E8" s="17"/>
      <c r="F8" s="18"/>
      <c r="G8" s="19"/>
      <c r="H8" s="19"/>
      <c r="I8" s="18"/>
    </row>
    <row r="9" spans="1:9" ht="14.25">
      <c r="A9" s="20"/>
      <c r="B9" s="10"/>
      <c r="C9" s="40"/>
      <c r="D9" s="17"/>
      <c r="E9" s="17"/>
      <c r="F9" s="18"/>
      <c r="G9" s="19"/>
      <c r="H9" s="19"/>
      <c r="I9" s="18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F11" sqref="F11"/>
      <selection pane="bottomLeft" activeCell="A4" sqref="A4:XFD4"/>
      <selection pane="topRight" activeCell="A4" sqref="A4:XFD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19</v>
      </c>
      <c r="E1" s="64"/>
      <c r="F1" s="64"/>
      <c r="G1" s="62" t="s">
        <v>20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SUM(C4:C78)</f>
        <v>22040</v>
      </c>
      <c r="D2" s="5">
        <f>SUM(D4:D78)</f>
        <v>31721.37</v>
      </c>
      <c r="E2" s="5">
        <f>C2-D2</f>
        <v>-9681.369999999999</v>
      </c>
      <c r="F2" s="6">
        <f>IFERROR(E2/D2, 0)</f>
        <v>-0.30520024828688042</v>
      </c>
      <c r="G2" s="5">
        <f>SUM(G4:G78)</f>
        <v>0</v>
      </c>
      <c r="H2" s="7">
        <f>C2-G2</f>
        <v>22040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6" t="s">
        <v>5</v>
      </c>
      <c r="D3" s="47" t="s">
        <v>6</v>
      </c>
      <c r="E3" s="31" t="s">
        <v>7</v>
      </c>
      <c r="F3" s="32" t="s">
        <v>8</v>
      </c>
      <c r="G3" s="48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75">
      <c r="A4" s="45" t="str" cm="1">
        <f t="array" ref="A4">Sites[Site]</f>
        <v>MA: Plymouth - Seacoast Realty</v>
      </c>
      <c r="B4" s="27" t="str" cm="1">
        <f t="array" ref="B4">Sites[State]</f>
        <v>MA</v>
      </c>
      <c r="C4" s="23">
        <v>22040</v>
      </c>
      <c r="D4" s="12">
        <v>31721.37</v>
      </c>
      <c r="E4" s="12">
        <f>IF(AND(ISNUMBER(C4),ISNUMBER(D4)), C4-D4, "")</f>
        <v>-9681.369999999999</v>
      </c>
      <c r="F4" s="13">
        <f>IFERROR(E4/D4, "")</f>
        <v>-0.30520024828688042</v>
      </c>
      <c r="G4" s="57" t="s">
        <v>23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51" t="s">
        <v>12</v>
      </c>
      <c r="D5" s="52" t="s">
        <v>12</v>
      </c>
      <c r="E5" s="52" t="s">
        <v>12</v>
      </c>
      <c r="F5" s="51" t="s">
        <v>12</v>
      </c>
      <c r="G5" s="49"/>
      <c r="H5" s="49"/>
      <c r="I5" s="50"/>
      <c r="J5" s="39"/>
      <c r="K5" s="20"/>
    </row>
    <row r="6" spans="1:11" ht="14.25">
      <c r="A6" s="20"/>
      <c r="B6" s="29"/>
      <c r="C6" s="20"/>
      <c r="D6" s="20"/>
      <c r="E6" s="54" t="s">
        <v>12</v>
      </c>
      <c r="F6" s="20"/>
      <c r="G6" s="20"/>
      <c r="H6" s="20"/>
      <c r="I6" s="20"/>
      <c r="J6" s="37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">
    <cfRule type="cellIs" dxfId="30" priority="6" stopIfTrue="1" operator="lessThanOrEqual">
      <formula>-0.1</formula>
    </cfRule>
    <cfRule type="expression" dxfId="29" priority="7">
      <formula>AND(ISNUMBER(F2), F2&gt;=0.1)</formula>
    </cfRule>
  </conditionalFormatting>
  <conditionalFormatting sqref="F4 I4:I78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conditionalFormatting sqref="F6:F78">
    <cfRule type="cellIs" dxfId="26" priority="3" stopIfTrue="1" operator="lessThanOrEqual">
      <formula>-0.1</formula>
    </cfRule>
    <cfRule type="expression" dxfId="25" priority="4">
      <formula>AND(ISNUMBER(F6), F6&gt;=0.1)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bottomRight" activeCell="G4" sqref="G4"/>
      <selection pane="bottomLeft" activeCell="J16" sqref="J16"/>
      <selection pane="topRight" activeCell="J16" sqref="J16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25</v>
      </c>
      <c r="E1" s="64"/>
      <c r="F1" s="64"/>
      <c r="G1" s="62" t="s">
        <v>26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27840</v>
      </c>
      <c r="D2" s="5">
        <f>SUM(D4:D79)</f>
        <v>32921.550000000003</v>
      </c>
      <c r="E2" s="5">
        <f>C2-D2</f>
        <v>-5081.5500000000029</v>
      </c>
      <c r="F2" s="6">
        <f>IFERROR(E2/D2, 0)</f>
        <v>-0.15435330353522245</v>
      </c>
      <c r="G2" s="5">
        <f>SUM(G4:G79)</f>
        <v>0</v>
      </c>
      <c r="H2" s="7">
        <f>C2-G2</f>
        <v>27840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75">
      <c r="A4" s="45" t="str" cm="1">
        <f t="array" ref="A4">Sites[Site]</f>
        <v>MA: Plymouth - Seacoast Realty</v>
      </c>
      <c r="B4" s="27" t="str" cm="1">
        <f t="array" ref="B4">Sites[State]</f>
        <v>MA</v>
      </c>
      <c r="C4" s="23">
        <v>27840</v>
      </c>
      <c r="D4" s="12">
        <v>32921.550000000003</v>
      </c>
      <c r="E4" s="12">
        <f>IF(AND(ISNUMBER(C4),ISNUMBER(D4)), C4-D4, "")</f>
        <v>-5081.5500000000029</v>
      </c>
      <c r="F4" s="13">
        <f>IFERROR(E4/D4, "")</f>
        <v>-0.15435330353522245</v>
      </c>
      <c r="G4" s="58" t="s">
        <v>23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53"/>
      <c r="D5" s="53"/>
      <c r="E5" s="53"/>
      <c r="F5" s="18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55" t="s">
        <v>12</v>
      </c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21"/>
  <sheetViews>
    <sheetView zoomScale="80" zoomScaleNormal="80" workbookViewId="0">
      <pane xSplit="2" ySplit="3" topLeftCell="C4" activePane="bottomRight" state="frozen"/>
      <selection pane="bottomRight" activeCell="J20" sqref="J20"/>
      <selection pane="bottomLeft" activeCell="J16" sqref="J16"/>
      <selection pane="topRight" activeCell="J16" sqref="J16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3" t="str" cm="1">
        <f t="array" ref="A1">portfolio</f>
        <v>MA: Plymouth - Seacoast Realty</v>
      </c>
      <c r="B1" s="63"/>
      <c r="C1" s="63"/>
      <c r="D1" s="64" t="s">
        <v>27</v>
      </c>
      <c r="E1" s="64"/>
      <c r="F1" s="64"/>
      <c r="G1" s="62" t="s">
        <v>28</v>
      </c>
      <c r="H1" s="62"/>
      <c r="I1" s="62"/>
      <c r="J1" s="4"/>
      <c r="K1" s="4"/>
    </row>
    <row r="2" spans="1:12" ht="19.5" customHeight="1">
      <c r="A2" s="65" t="s">
        <v>2</v>
      </c>
      <c r="B2" s="65"/>
      <c r="C2" s="5">
        <f>SUM(C4:C79)</f>
        <v>26850</v>
      </c>
      <c r="D2" s="5">
        <f>SUM(D4:D79)</f>
        <v>44300.52</v>
      </c>
      <c r="E2" s="5">
        <f>C2-D2</f>
        <v>-17450.519999999997</v>
      </c>
      <c r="F2" s="6">
        <f>IFERROR(E2/D2, 0)</f>
        <v>-0.39391230622123619</v>
      </c>
      <c r="G2" s="5">
        <f>SUM(G4:G79)</f>
        <v>0</v>
      </c>
      <c r="H2" s="7">
        <f>C2-G2</f>
        <v>26850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2" ht="102" customHeight="1">
      <c r="A4" s="56" t="str" cm="1">
        <f t="array" ref="A4">Sites[Site]</f>
        <v>MA: Plymouth - Seacoast Realty</v>
      </c>
      <c r="B4" s="27" t="str" cm="1">
        <f t="array" ref="B4">Sites[State]</f>
        <v>MA</v>
      </c>
      <c r="C4" s="23">
        <v>26850</v>
      </c>
      <c r="D4" s="12">
        <v>44300.52</v>
      </c>
      <c r="E4" s="12">
        <f>IF(AND(ISNUMBER(C4),ISNUMBER(D4)), C4-D4, "")</f>
        <v>-17450.519999999997</v>
      </c>
      <c r="F4" s="13">
        <f>IFERROR(E4/D4, "")</f>
        <v>-0.39391230622123619</v>
      </c>
      <c r="G4" s="59" t="s">
        <v>23</v>
      </c>
      <c r="H4" s="14" t="str">
        <f>IF(AND(ISNUMBER(C4),ISNUMBER(G4)), C4-G4, "")</f>
        <v/>
      </c>
      <c r="I4" s="15" t="str">
        <f>IFERROR(H4/G4, "")</f>
        <v/>
      </c>
      <c r="J4" s="36" t="s">
        <v>29</v>
      </c>
      <c r="K4" s="60" t="s">
        <v>30</v>
      </c>
      <c r="L4" s="61" t="s">
        <v>31</v>
      </c>
    </row>
    <row r="5" spans="1:12" ht="14.25">
      <c r="A5" s="20"/>
      <c r="B5" s="29"/>
      <c r="C5" s="54" t="s">
        <v>12</v>
      </c>
      <c r="D5" s="54" t="s">
        <v>12</v>
      </c>
      <c r="E5" s="17" t="s">
        <v>12</v>
      </c>
      <c r="F5" s="18" t="str">
        <f>IFERROR(E5/D5, "")</f>
        <v/>
      </c>
      <c r="G5" s="20"/>
      <c r="H5" s="20"/>
      <c r="I5" s="20"/>
      <c r="J5" s="20"/>
      <c r="K5" s="20"/>
    </row>
    <row r="6" spans="1:12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8309" xr:uid="{BC194B4F-CCD7-4355-B645-459C114AA6C3}"/>
    <hyperlink ref="L4" r:id="rId2" display="https://us3.assetplanner.com/service_request?ID=098691" xr:uid="{AC01CE18-6A08-4FDC-A27F-132316A5166D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zoomScale="80" zoomScaleNormal="80" workbookViewId="0">
      <pane xSplit="2" ySplit="3" topLeftCell="I4" activePane="bottomRight" state="frozen"/>
      <selection pane="bottomRight" activeCell="K4" sqref="K4"/>
      <selection pane="bottomLeft" activeCell="J16" sqref="J16"/>
      <selection pane="topRight" activeCell="J16" sqref="J16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32</v>
      </c>
      <c r="E1" s="64"/>
      <c r="F1" s="64"/>
      <c r="G1" s="62" t="s">
        <v>33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49780.000999999997</v>
      </c>
      <c r="E2" s="5">
        <f>C2-D2</f>
        <v>-49780.000999999997</v>
      </c>
      <c r="F2" s="6">
        <f>IFERROR(E2/D2, 0)</f>
        <v>-1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75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0</v>
      </c>
      <c r="D4" s="12">
        <v>49780.000999999997</v>
      </c>
      <c r="E4" s="12">
        <f>IF(AND(ISNUMBER(C4),ISNUMBER(D4)), C4-D4, "")</f>
        <v>-49780.000999999997</v>
      </c>
      <c r="F4" s="13">
        <f>IFERROR(E4/D4, "")</f>
        <v>-1</v>
      </c>
      <c r="G4" s="58" t="s">
        <v>23</v>
      </c>
      <c r="H4" s="14" t="str">
        <f>IF(AND(ISNUMBER(C4),ISNUMBER(G4)), C4-G4, "")</f>
        <v/>
      </c>
      <c r="I4" s="15" t="str">
        <f>IFERROR(H4/G4, "")</f>
        <v/>
      </c>
      <c r="J4" s="36" t="s">
        <v>34</v>
      </c>
      <c r="K4" s="60" t="s">
        <v>35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4" r:id="rId1" display="https://us3.assetplanner.com/service_request?ID=098691" xr:uid="{78CD56EC-E5A9-47D8-B3A0-5C548819C609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K4" sqref="K4"/>
      <selection pane="bottomLeft" activeCell="J16" sqref="J16"/>
      <selection pane="topRight" activeCell="J16" sqref="J16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36</v>
      </c>
      <c r="E1" s="64"/>
      <c r="F1" s="64"/>
      <c r="G1" s="62" t="s">
        <v>37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53928.25</v>
      </c>
      <c r="E2" s="5">
        <f>C2-D2</f>
        <v>-53928.25</v>
      </c>
      <c r="F2" s="6">
        <f>IFERROR(E2/D2, 0)</f>
        <v>-1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75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0</v>
      </c>
      <c r="D4" s="12">
        <v>53928.25</v>
      </c>
      <c r="E4" s="12">
        <f>IF(AND(ISNUMBER(C4),ISNUMBER(D4)), C4-D4, "")</f>
        <v>-53928.25</v>
      </c>
      <c r="F4" s="13">
        <f>IFERROR(E4/D4, "")</f>
        <v>-1</v>
      </c>
      <c r="G4" s="58" t="s">
        <v>23</v>
      </c>
      <c r="H4" s="14" t="str">
        <f>IF(AND(ISNUMBER(C4),ISNUMBER(G4)), C4-G4, "")</f>
        <v/>
      </c>
      <c r="I4" s="15" t="str">
        <f>IFERROR(H4/G4, "")</f>
        <v/>
      </c>
      <c r="J4" s="36" t="s">
        <v>34</v>
      </c>
      <c r="K4" s="60" t="s">
        <v>35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098691" xr:uid="{628135D5-4803-4814-900E-03E3D7748F2F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G4" sqref="G4"/>
      <selection pane="bottomLeft" activeCell="J16" sqref="J16"/>
      <selection pane="topRight" activeCell="J16" sqref="J16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38</v>
      </c>
      <c r="E1" s="64"/>
      <c r="F1" s="64"/>
      <c r="G1" s="62" t="s">
        <v>39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57793.180999999997</v>
      </c>
      <c r="E2" s="5">
        <f>C2-D2</f>
        <v>-57793.180999999997</v>
      </c>
      <c r="F2" s="6">
        <f>IFERROR(E2/D2, 0)</f>
        <v>-1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75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0</v>
      </c>
      <c r="D4" s="12">
        <v>57793.180999999997</v>
      </c>
      <c r="E4" s="12">
        <f>IF(AND(ISNUMBER(C4),ISNUMBER(D4)), C4-D4, "")</f>
        <v>-57793.180999999997</v>
      </c>
      <c r="F4" s="13">
        <f>IFERROR(E4/D4, "")</f>
        <v>-1</v>
      </c>
      <c r="G4" s="58" t="s">
        <v>23</v>
      </c>
      <c r="H4" s="14" t="str">
        <f>IF(AND(ISNUMBER(C4),ISNUMBER(G4)), C4-G4, "")</f>
        <v/>
      </c>
      <c r="I4" s="15" t="str">
        <f>IFERROR(H4/G4, "")</f>
        <v/>
      </c>
      <c r="J4" s="36" t="s">
        <v>34</v>
      </c>
      <c r="K4" s="60" t="s">
        <v>35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098691" xr:uid="{D6BBE751-6A95-40FD-BB66-3B9B2768DB2D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I20" sqref="I20"/>
      <selection pane="bottomLeft" activeCell="J16" sqref="J16"/>
      <selection pane="topRight" activeCell="J16" sqref="J16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40</v>
      </c>
      <c r="E1" s="64"/>
      <c r="F1" s="64"/>
      <c r="G1" s="62" t="s">
        <v>41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75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0</v>
      </c>
      <c r="D4" s="12">
        <v>0</v>
      </c>
      <c r="E4" s="12">
        <f>IF(AND(ISNUMBER(C4),ISNUMBER(D4)), C4-D4, "")</f>
        <v>0</v>
      </c>
      <c r="F4" s="13" t="str">
        <f>IFERROR(E4/D4, "")</f>
        <v/>
      </c>
      <c r="G4" s="14" t="s">
        <v>42</v>
      </c>
      <c r="H4" s="14" t="str">
        <f>IF(AND(ISNUMBER(C4),ISNUMBER(G4)), C4-G4, "")</f>
        <v/>
      </c>
      <c r="I4" s="15" t="str">
        <f>IFERROR(H4/G4, "")</f>
        <v/>
      </c>
      <c r="J4" s="36" t="s">
        <v>34</v>
      </c>
      <c r="K4" s="60" t="s">
        <v>35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098691" xr:uid="{52675C10-86E3-4737-8738-C2924D79E55A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H16" sqref="H16:H17"/>
      <selection pane="bottomLeft" activeCell="J20" sqref="J20"/>
      <selection pane="topRight" activeCell="J20" sqref="J20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43</v>
      </c>
      <c r="E1" s="64"/>
      <c r="F1" s="64"/>
      <c r="G1" s="62" t="s">
        <v>44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75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0</v>
      </c>
      <c r="D4" s="12">
        <v>0</v>
      </c>
      <c r="E4" s="12">
        <f>IF(AND(ISNUMBER(C4),ISNUMBER(D4)), C4-D4, "")</f>
        <v>0</v>
      </c>
      <c r="F4" s="13" t="str">
        <f>IFERROR(E4/D4, "")</f>
        <v/>
      </c>
      <c r="G4" s="14">
        <v>0</v>
      </c>
      <c r="H4" s="14">
        <f>IF(AND(ISNUMBER(C4),ISNUMBER(G4)), C4-G4, "")</f>
        <v>0</v>
      </c>
      <c r="I4" s="15" t="str">
        <f>IFERROR(H4/G4, "")</f>
        <v/>
      </c>
      <c r="J4" s="36" t="s">
        <v>34</v>
      </c>
      <c r="K4" s="60" t="s">
        <v>35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H15" sqref="H15"/>
      <selection pane="bottomLeft" activeCell="J20" sqref="J20"/>
      <selection pane="topRight" activeCell="J20" sqref="J20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45</v>
      </c>
      <c r="E1" s="64"/>
      <c r="F1" s="64"/>
      <c r="G1" s="62" t="s">
        <v>46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75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0</v>
      </c>
      <c r="D4" s="12">
        <v>0</v>
      </c>
      <c r="E4" s="12">
        <f>IF(AND(ISNUMBER(C4),ISNUMBER(D4)), C4-D4, "")</f>
        <v>0</v>
      </c>
      <c r="F4" s="13" t="str">
        <f>IFERROR(E4/D4, "")</f>
        <v/>
      </c>
      <c r="G4" s="14">
        <v>0</v>
      </c>
      <c r="H4" s="14">
        <f>IF(AND(ISNUMBER(C4),ISNUMBER(G4)), C4-G4, "")</f>
        <v>0</v>
      </c>
      <c r="I4" s="15" t="str">
        <f>IFERROR(H4/G4, "")</f>
        <v/>
      </c>
      <c r="J4" s="36" t="s">
        <v>34</v>
      </c>
      <c r="K4" s="60" t="s">
        <v>35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47</v>
      </c>
      <c r="E1" s="64"/>
      <c r="F1" s="64"/>
      <c r="G1" s="62" t="s">
        <v>48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75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49</v>
      </c>
      <c r="E1" s="64"/>
      <c r="F1" s="64"/>
      <c r="G1" s="62" t="s">
        <v>50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75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51</v>
      </c>
      <c r="E1" s="64"/>
      <c r="F1" s="64"/>
      <c r="G1" s="62" t="s">
        <v>52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75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2" sqref="A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53</v>
      </c>
      <c r="B1" t="s">
        <v>54</v>
      </c>
    </row>
    <row r="3" spans="1:12">
      <c r="A3" t="s">
        <v>55</v>
      </c>
      <c r="B3" t="s">
        <v>3</v>
      </c>
      <c r="C3" t="s">
        <v>4</v>
      </c>
      <c r="D3" t="s">
        <v>56</v>
      </c>
      <c r="E3" s="2" t="s">
        <v>57</v>
      </c>
    </row>
    <row r="4" spans="1:12" ht="14.25">
      <c r="A4" s="44" t="s">
        <v>58</v>
      </c>
      <c r="B4" t="s">
        <v>54</v>
      </c>
      <c r="C4" s="42" t="s">
        <v>59</v>
      </c>
      <c r="D4" s="41" t="s">
        <v>60</v>
      </c>
      <c r="E4" t="s">
        <v>61</v>
      </c>
      <c r="G4" s="3"/>
    </row>
    <row r="5" spans="1:12" ht="14.25">
      <c r="A5" s="44"/>
      <c r="C5" s="42"/>
      <c r="D5" s="41"/>
      <c r="G5" s="3"/>
    </row>
    <row r="6" spans="1:12" ht="14.2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e617175f0701a798d4889519864defa7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c69796dc4c5a3e52805b6daf116719ef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12EFA50-0068-4A8C-85A0-F1B26389EBC3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3AEAA9D8-2182-46BA-A58E-96C72DDA1C54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89CF5C07-45EB-4100-9AFB-2C6AF77FA787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E369C5F4-BFA4-4AF1-B8E6-5D9FF57448C5}"/>
</file>

<file path=customXml/itemProps9.xml><?xml version="1.0" encoding="utf-8"?>
<ds:datastoreItem xmlns:ds="http://schemas.openxmlformats.org/officeDocument/2006/customXml" ds:itemID="{0389C43E-394D-44C0-87DC-4780FCFCFB40}"/>
</file>

<file path=customXml/itemProps10.xml><?xml version="1.0" encoding="utf-8"?>
<ds:datastoreItem xmlns:ds="http://schemas.openxmlformats.org/officeDocument/2006/customXml" ds:itemID="{2BC74AAC-D69B-4AF1-9649-B21EF3C1C463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66B09F59-6532-46F8-924A-9A02417E070D}"/>
</file>

<file path=customXml/itemProps14.xml><?xml version="1.0" encoding="utf-8"?>
<ds:datastoreItem xmlns:ds="http://schemas.openxmlformats.org/officeDocument/2006/customXml" ds:itemID="{E3716282-BFD2-4ED2-BA47-BFA1123827F0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98A113BB-8B7A-453C-8BD4-8EFC67FC2D3F}"/>
</file>

<file path=customXml/itemProps17.xml><?xml version="1.0" encoding="utf-8"?>
<ds:datastoreItem xmlns:ds="http://schemas.openxmlformats.org/officeDocument/2006/customXml" ds:itemID="{BF5C6359-7763-4C37-8EAF-2BC4698CB285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1954BBA4-0359-438C-B0EC-A756015F7C02}"/>
</file>

<file path=customXml/itemProps20.xml><?xml version="1.0" encoding="utf-8"?>
<ds:datastoreItem xmlns:ds="http://schemas.openxmlformats.org/officeDocument/2006/customXml" ds:itemID="{CB52044A-5C0B-44A2-99D0-C1C315EC3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Boughman, Kaylin</cp:lastModifiedBy>
  <cp:revision/>
  <dcterms:created xsi:type="dcterms:W3CDTF">2021-01-01T16:39:53Z</dcterms:created>
  <dcterms:modified xsi:type="dcterms:W3CDTF">2025-10-29T23:24:36Z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2025-10-29T23:22:37Z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55d2e705-0703-439b-a9a0-78e6a13f18b7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