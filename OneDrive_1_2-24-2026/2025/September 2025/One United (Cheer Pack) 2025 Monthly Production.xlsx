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20C8227-33D0-45D4-833B-BC6387392394}" xr6:coauthVersionLast="47" xr6:coauthVersionMax="47" xr10:uidLastSave="{00000000-0000-0000-0000-000000000000}"/>
  <bookViews>
    <workbookView xWindow="43080" yWindow="-120" windowWidth="29040" windowHeight="15720" tabRatio="866" firstSheet="9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8" l="1"/>
  <c r="E4" i="19"/>
  <c r="C4" i="1"/>
  <c r="G4" i="18"/>
  <c r="G2" i="18" s="1"/>
  <c r="G4" i="30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<sst xmlns="http://schemas.openxmlformats.org/spreadsheetml/2006/main" count="253" uniqueCount="65">
  <si>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</si>
  <si>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</si>
  <si>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</si>
  <si>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</si>
  <si>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</si>
  <si>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</si>
  <si>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</si>
  <si>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</si>
  <si>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</si>
  <si>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</si>
  <si>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</si>
  <si>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</si>
  <si>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</si>
  <si>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</si>
  <si>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</si>
  <si>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</si>
  <si>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</si>
  <si>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</si>
  <si>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</si>
  <si>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</si>
  <si>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</si>
  <si>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</si>
  <si>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offline on 01/20, 01/21, 01/22, and 01/23, and came back online at 10:30 AM on 01/24. Upon the technician's arrival on 01/23, it was stated that he spoke with Solectria, required DMGI and remote support.</t>
  </si>
  <si>
    <t>1.SR095876</t>
  </si>
  <si>
    <t>February Actual v. Expected</t>
  </si>
  <si>
    <t>February Actual v. Forecasted</t>
  </si>
  <si>
    <t>1.Low generation on 02/01, 02/06, 02/09, 02/10, 02/11, 02/12, 02/13, 02/16 due to snow event.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</si>
  <si>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</si>
  <si>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</si>
  <si>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</si>
  <si>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</si>
  <si>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</si>
  <si>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</si>
  <si>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Site production was low on 05/01, 05/14, 05/16, 05/19 as the technician was onsite for preventive maintenance.</t>
  </si>
  <si>
    <t>1. PM7951</t>
  </si>
  <si>
    <t>June Actual v. Expected</t>
  </si>
  <si>
    <t>June Actual v. Forecasted</t>
  </si>
  <si>
    <t>1.Inverter 3 is derating approximately at 255kW from 06/24 and reporting "Operation outside MPPT Power conversion derated".  Inverter 3 has been left offline until the blower fan can be replaced.</t>
  </si>
  <si>
    <t>1.SR103447</t>
  </si>
  <si>
    <t>July Actual v. Expected</t>
  </si>
  <si>
    <t>July Actual v. Forecasted</t>
  </si>
  <si>
    <t>August Actual v. Expected</t>
  </si>
  <si>
    <t>August Actual v. Forecasted</t>
  </si>
  <si>
    <t>1.Inverter 3 is derating approximately at 255kW from 06/24 and reporting "Operation outside MPPT Power conversion derated".  Inverter 3 has been left offline until the blower fan can be replaced.
2. Site did not started for the production on 08/15 later back online at 11:30 on 08/15</t>
  </si>
  <si>
    <t>1.SR103447
2.SR106334</t>
  </si>
  <si>
    <t>September Actual v. Expected</t>
  </si>
  <si>
    <t>September Actual v. Forecasted</t>
  </si>
  <si>
    <t>1. Inverter 3 has been derating at approximately 255 kW since 06/24, and reporting 'Operation outside MPPT Power conversion derated.' After replacing the exhaust fan, the inverter came back online at 12:15 on 09/04.</t>
  </si>
  <si>
    <t>1. SR103447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</si>
  <si>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</si>
  <si>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</si>
  <si>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</si>
  <si>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</si>
  <si>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</si>
  <si>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</si>
  <si>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</si>
  <si>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One United (Cheer Pack)</t>
  </si>
  <si>
    <t>Site DAS Name</t>
  </si>
  <si>
    <t>Update</t>
  </si>
  <si>
    <t>DAS</t>
  </si>
  <si>
    <t>Cheer Pack</t>
  </si>
  <si>
    <t>MA: West Bridgewater - One United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</si>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</sst>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87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447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44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6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G4" sqref="G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45" t="str" cm="1">
        <f t="array" ref="A1">portfolio</f>
        <v>One United (Cheer Pack)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 x14ac:dyDescent="0.35">
      <c r="A2" s="47" t="s">
        <v>2</v>
      </c>
      <c r="B2" s="47"/>
      <c r="C2" s="5">
        <f>SUM(C4:C64)</f>
        <v>1876966</v>
      </c>
      <c r="D2" s="5">
        <f>SUM(D4:D64)</f>
        <v>2076968.929</v>
      </c>
      <c r="E2" s="5">
        <f>C2-D2</f>
        <v>-200002.929</v>
      </c>
      <c r="F2" s="6">
        <f>IFERROR(E2/D2, 0)</f>
        <v>-9.6295580645154658E-2</v>
      </c>
      <c r="G2" s="5">
        <f>SUM(G4:G64)</f>
        <v>2101051.6230000001</v>
      </c>
      <c r="H2" s="7">
        <f>C2-G2</f>
        <v>-224085.62300000014</v>
      </c>
      <c r="I2" s="6">
        <f>IFERROR(H2/G2, 0)</f>
        <v>-0.1066540300804404</v>
      </c>
    </row>
    <row r="3" spans="1:9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 x14ac:dyDescent="0.35">
      <c r="A4" s="10" t="str" cm="1">
        <f t="array" ref="A4">Sites[Site]</f>
        <v>MA: West Bridgewater - One United</v>
      </c>
      <c r="B4" s="9" t="str" cm="1">
        <f t="array" ref="B4">Sites[State]</f>
        <v>MA</v>
      </c>
      <c r="C4" s="18">
        <f>SUM('1st Qtr'!C4, '2nd Qtr'!C4, '3rd Qtr'!C4, '4th Qtr'!C4)</f>
        <v>1876966</v>
      </c>
      <c r="D4" s="11">
        <f>SUM('1st Qtr'!D4, '2nd Qtr'!D4, '3rd Qtr'!D4, '4th Qtr'!D4)</f>
        <v>2076968.929</v>
      </c>
      <c r="E4" s="11">
        <f>IF(AND(ISNUMBER(C4),ISNUMBER(D4)), C4-D4, "")</f>
        <v>-200002.929</v>
      </c>
      <c r="F4" s="12">
        <f>IFERROR(E4/D4, "")</f>
        <v>-9.6295580645154658E-2</v>
      </c>
      <c r="G4" s="13">
        <f>SUM('1st Qtr'!G4, '2nd Qtr'!G4, '3rd Qtr'!G4, '4th Qtr'!G4)</f>
        <v>2101051.6230000001</v>
      </c>
      <c r="H4" s="13">
        <f>SUM('1st Qtr'!H4, '2nd Qtr'!H4, '3rd Qtr'!H4, '4th Qtr'!H4)</f>
        <v>-224085.62300000002</v>
      </c>
      <c r="I4" s="14">
        <f>IFERROR(H4/G4, "")</f>
        <v>-0.10665403008044035</v>
      </c>
    </row>
    <row r="5" spans="1:9" ht="13.15" x14ac:dyDescent="0.4">
      <c r="A5" s="15"/>
      <c r="B5" s="15"/>
      <c r="C5" s="15"/>
      <c r="D5" s="15"/>
      <c r="E5" s="15"/>
      <c r="F5" s="16"/>
      <c r="G5" s="15"/>
      <c r="H5" s="15"/>
      <c r="I5" s="16"/>
    </row>
    <row r="6" spans="1:9" ht="13.15" x14ac:dyDescent="0.4">
      <c r="A6" s="15"/>
      <c r="B6" s="15"/>
      <c r="C6" s="15"/>
      <c r="D6" s="15"/>
      <c r="E6" s="15"/>
      <c r="F6" s="16"/>
      <c r="G6" s="15"/>
      <c r="H6" s="15"/>
      <c r="I6" s="16"/>
    </row>
    <row r="7" spans="1:9" ht="13.15" x14ac:dyDescent="0.4">
      <c r="A7" s="15"/>
      <c r="B7" s="15"/>
      <c r="C7" s="15"/>
      <c r="D7" s="15"/>
      <c r="E7" s="15"/>
      <c r="F7" s="16"/>
      <c r="G7" s="15"/>
      <c r="H7" s="15"/>
      <c r="I7" s="16"/>
    </row>
    <row r="8" spans="1:9" ht="13.15" x14ac:dyDescent="0.4">
      <c r="A8" s="15"/>
      <c r="B8" s="15"/>
      <c r="C8" s="15"/>
      <c r="D8" s="15"/>
      <c r="E8" s="15"/>
      <c r="F8" s="16"/>
      <c r="G8" s="15"/>
      <c r="H8" s="15"/>
      <c r="I8" s="16"/>
    </row>
    <row r="9" spans="1:9" ht="13.15" x14ac:dyDescent="0.4">
      <c r="A9" s="15"/>
      <c r="B9" s="15"/>
      <c r="C9" s="15"/>
      <c r="D9" s="15"/>
      <c r="E9" s="15"/>
      <c r="F9" s="16"/>
      <c r="G9" s="15"/>
      <c r="H9" s="15"/>
      <c r="I9" s="16"/>
    </row>
    <row r="10" spans="1:9" ht="13.15" x14ac:dyDescent="0.4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 x14ac:dyDescent="0.4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 x14ac:dyDescent="0.4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 x14ac:dyDescent="0.4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 x14ac:dyDescent="0.4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 x14ac:dyDescent="0.4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 x14ac:dyDescent="0.4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 x14ac:dyDescent="0.4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 x14ac:dyDescent="0.4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 x14ac:dyDescent="0.4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 x14ac:dyDescent="0.4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 x14ac:dyDescent="0.4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 x14ac:dyDescent="0.4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 x14ac:dyDescent="0.4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 x14ac:dyDescent="0.4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 x14ac:dyDescent="0.4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 x14ac:dyDescent="0.4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 x14ac:dyDescent="0.4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 x14ac:dyDescent="0.4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 x14ac:dyDescent="0.4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 x14ac:dyDescent="0.4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 x14ac:dyDescent="0.4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 x14ac:dyDescent="0.4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 x14ac:dyDescent="0.4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 x14ac:dyDescent="0.4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 x14ac:dyDescent="0.4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 x14ac:dyDescent="0.4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 x14ac:dyDescent="0.4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 x14ac:dyDescent="0.4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 x14ac:dyDescent="0.4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 x14ac:dyDescent="0.4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 x14ac:dyDescent="0.4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 x14ac:dyDescent="0.4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 x14ac:dyDescent="0.4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 x14ac:dyDescent="0.4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 x14ac:dyDescent="0.4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 x14ac:dyDescent="0.4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 x14ac:dyDescent="0.4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 x14ac:dyDescent="0.4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 x14ac:dyDescent="0.4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 x14ac:dyDescent="0.4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 x14ac:dyDescent="0.4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 x14ac:dyDescent="0.4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 x14ac:dyDescent="0.4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 x14ac:dyDescent="0.4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 x14ac:dyDescent="0.4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 x14ac:dyDescent="0.4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 x14ac:dyDescent="0.4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 x14ac:dyDescent="0.4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 x14ac:dyDescent="0.4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 x14ac:dyDescent="0.4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 x14ac:dyDescent="0.4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 x14ac:dyDescent="0.4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 x14ac:dyDescent="0.4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 x14ac:dyDescent="0.4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 x14ac:dyDescent="0.4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 x14ac:dyDescent="0.4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 x14ac:dyDescent="0.4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 x14ac:dyDescent="0.4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 x14ac:dyDescent="0.4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 x14ac:dyDescent="0.4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 x14ac:dyDescent="0.4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 x14ac:dyDescent="0.4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 x14ac:dyDescent="0.4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 x14ac:dyDescent="0.4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 x14ac:dyDescent="0.4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 x14ac:dyDescent="0.4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 x14ac:dyDescent="0.4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 x14ac:dyDescent="0.4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 x14ac:dyDescent="0.4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 x14ac:dyDescent="0.4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 x14ac:dyDescent="0.4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 x14ac:dyDescent="0.4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 x14ac:dyDescent="0.4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 x14ac:dyDescent="0.4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 x14ac:dyDescent="0.4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 x14ac:dyDescent="0.4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 x14ac:dyDescent="0.4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 x14ac:dyDescent="0.4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 x14ac:dyDescent="0.4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 x14ac:dyDescent="0.4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 x14ac:dyDescent="0.4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 x14ac:dyDescent="0.4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 x14ac:dyDescent="0.4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 x14ac:dyDescent="0.4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 x14ac:dyDescent="0.4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 x14ac:dyDescent="0.4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 x14ac:dyDescent="0.4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 x14ac:dyDescent="0.4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 x14ac:dyDescent="0.4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 x14ac:dyDescent="0.4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 x14ac:dyDescent="0.4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 x14ac:dyDescent="0.4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 x14ac:dyDescent="0.4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 x14ac:dyDescent="0.4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 x14ac:dyDescent="0.4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 x14ac:dyDescent="0.4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 x14ac:dyDescent="0.4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 x14ac:dyDescent="0.4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 x14ac:dyDescent="0.4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 x14ac:dyDescent="0.4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 x14ac:dyDescent="0.4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 x14ac:dyDescent="0.4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 x14ac:dyDescent="0.4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 x14ac:dyDescent="0.4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 x14ac:dyDescent="0.4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 x14ac:dyDescent="0.4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 x14ac:dyDescent="0.4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 x14ac:dyDescent="0.4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 x14ac:dyDescent="0.4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 x14ac:dyDescent="0.4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 x14ac:dyDescent="0.4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 x14ac:dyDescent="0.4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 x14ac:dyDescent="0.4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 x14ac:dyDescent="0.4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 x14ac:dyDescent="0.4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 x14ac:dyDescent="0.4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 x14ac:dyDescent="0.4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 x14ac:dyDescent="0.4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 x14ac:dyDescent="0.4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 x14ac:dyDescent="0.4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 x14ac:dyDescent="0.4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 x14ac:dyDescent="0.4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 x14ac:dyDescent="0.4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 x14ac:dyDescent="0.4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 x14ac:dyDescent="0.4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 x14ac:dyDescent="0.4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 x14ac:dyDescent="0.4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 x14ac:dyDescent="0.4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 x14ac:dyDescent="0.4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 x14ac:dyDescent="0.4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 x14ac:dyDescent="0.4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 x14ac:dyDescent="0.4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 x14ac:dyDescent="0.4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 x14ac:dyDescent="0.4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 x14ac:dyDescent="0.4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 x14ac:dyDescent="0.4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 x14ac:dyDescent="0.4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 x14ac:dyDescent="0.4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 x14ac:dyDescent="0.4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 x14ac:dyDescent="0.4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 x14ac:dyDescent="0.4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 x14ac:dyDescent="0.4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 x14ac:dyDescent="0.4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 x14ac:dyDescent="0.4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 x14ac:dyDescent="0.4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 x14ac:dyDescent="0.4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 x14ac:dyDescent="0.4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 x14ac:dyDescent="0.4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 x14ac:dyDescent="0.4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 x14ac:dyDescent="0.4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 x14ac:dyDescent="0.4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 x14ac:dyDescent="0.4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 x14ac:dyDescent="0.4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 x14ac:dyDescent="0.4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 x14ac:dyDescent="0.4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 x14ac:dyDescent="0.4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 x14ac:dyDescent="0.4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 x14ac:dyDescent="0.4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 x14ac:dyDescent="0.4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 x14ac:dyDescent="0.4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 x14ac:dyDescent="0.4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 x14ac:dyDescent="0.4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 x14ac:dyDescent="0.4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 x14ac:dyDescent="0.4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 x14ac:dyDescent="0.4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 x14ac:dyDescent="0.4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 x14ac:dyDescent="0.4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 x14ac:dyDescent="0.4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 x14ac:dyDescent="0.4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 x14ac:dyDescent="0.4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 x14ac:dyDescent="0.4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 x14ac:dyDescent="0.4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 x14ac:dyDescent="0.4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 x14ac:dyDescent="0.4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 x14ac:dyDescent="0.4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 x14ac:dyDescent="0.4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 x14ac:dyDescent="0.4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 x14ac:dyDescent="0.4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 x14ac:dyDescent="0.4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 x14ac:dyDescent="0.4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 x14ac:dyDescent="0.4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 x14ac:dyDescent="0.4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 x14ac:dyDescent="0.4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 x14ac:dyDescent="0.4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 x14ac:dyDescent="0.4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 x14ac:dyDescent="0.4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 x14ac:dyDescent="0.4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 x14ac:dyDescent="0.4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 x14ac:dyDescent="0.4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 x14ac:dyDescent="0.4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 x14ac:dyDescent="0.4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 x14ac:dyDescent="0.4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 x14ac:dyDescent="0.4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 x14ac:dyDescent="0.4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 x14ac:dyDescent="0.4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 x14ac:dyDescent="0.4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 x14ac:dyDescent="0.4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 x14ac:dyDescent="0.4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 x14ac:dyDescent="0.4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 x14ac:dyDescent="0.4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 x14ac:dyDescent="0.4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 x14ac:dyDescent="0.4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 x14ac:dyDescent="0.4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 x14ac:dyDescent="0.4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 x14ac:dyDescent="0.4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 x14ac:dyDescent="0.4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 x14ac:dyDescent="0.4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 x14ac:dyDescent="0.4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 x14ac:dyDescent="0.4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 x14ac:dyDescent="0.4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 x14ac:dyDescent="0.4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 x14ac:dyDescent="0.4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 x14ac:dyDescent="0.4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 x14ac:dyDescent="0.4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 x14ac:dyDescent="0.4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 x14ac:dyDescent="0.4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 x14ac:dyDescent="0.4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 x14ac:dyDescent="0.4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 x14ac:dyDescent="0.4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 x14ac:dyDescent="0.4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 x14ac:dyDescent="0.4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 x14ac:dyDescent="0.4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 x14ac:dyDescent="0.4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 x14ac:dyDescent="0.4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 x14ac:dyDescent="0.4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 x14ac:dyDescent="0.4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 x14ac:dyDescent="0.4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 x14ac:dyDescent="0.4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 x14ac:dyDescent="0.4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 x14ac:dyDescent="0.4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 x14ac:dyDescent="0.4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 x14ac:dyDescent="0.4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 x14ac:dyDescent="0.4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 x14ac:dyDescent="0.4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 x14ac:dyDescent="0.4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 x14ac:dyDescent="0.4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 x14ac:dyDescent="0.4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 x14ac:dyDescent="0.4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 x14ac:dyDescent="0.4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 x14ac:dyDescent="0.4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 x14ac:dyDescent="0.4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 x14ac:dyDescent="0.4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 x14ac:dyDescent="0.4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 x14ac:dyDescent="0.4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 x14ac:dyDescent="0.4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 x14ac:dyDescent="0.4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 x14ac:dyDescent="0.4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 x14ac:dyDescent="0.4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 x14ac:dyDescent="0.4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 x14ac:dyDescent="0.4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 x14ac:dyDescent="0.4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 x14ac:dyDescent="0.4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 x14ac:dyDescent="0.4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 x14ac:dyDescent="0.4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 x14ac:dyDescent="0.4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 x14ac:dyDescent="0.4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 x14ac:dyDescent="0.4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 x14ac:dyDescent="0.4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 x14ac:dyDescent="0.4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 x14ac:dyDescent="0.4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 x14ac:dyDescent="0.4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 x14ac:dyDescent="0.4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 x14ac:dyDescent="0.4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 x14ac:dyDescent="0.4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 x14ac:dyDescent="0.4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 x14ac:dyDescent="0.4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 x14ac:dyDescent="0.4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 x14ac:dyDescent="0.4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 x14ac:dyDescent="0.4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 x14ac:dyDescent="0.4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 x14ac:dyDescent="0.4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 x14ac:dyDescent="0.4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 x14ac:dyDescent="0.4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 x14ac:dyDescent="0.4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 x14ac:dyDescent="0.4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 x14ac:dyDescent="0.4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 x14ac:dyDescent="0.4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 x14ac:dyDescent="0.4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 x14ac:dyDescent="0.4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 x14ac:dyDescent="0.4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 x14ac:dyDescent="0.4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 x14ac:dyDescent="0.4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 x14ac:dyDescent="0.4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 x14ac:dyDescent="0.4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 x14ac:dyDescent="0.4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 x14ac:dyDescent="0.4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 x14ac:dyDescent="0.4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 x14ac:dyDescent="0.4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 x14ac:dyDescent="0.4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 x14ac:dyDescent="0.4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 x14ac:dyDescent="0.4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 x14ac:dyDescent="0.4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 x14ac:dyDescent="0.4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 x14ac:dyDescent="0.4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 x14ac:dyDescent="0.4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 x14ac:dyDescent="0.4">
      <c r="A306" s="15"/>
      <c r="B306" s="15"/>
      <c r="C306" s="15"/>
      <c r="D306" s="15"/>
      <c r="E306" s="15"/>
      <c r="F306" s="16"/>
      <c r="G306" s="15"/>
      <c r="H306" s="15"/>
      <c r="I306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4 I4:I64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6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G4" sqref="G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45" t="str" cm="1">
        <f t="array" ref="A1">portfolio</f>
        <v>One United (Cheer Pack)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 x14ac:dyDescent="0.35">
      <c r="A2" s="47" t="s">
        <v>2</v>
      </c>
      <c r="B2" s="47"/>
      <c r="C2" s="5">
        <f>SUM(C4:C64)</f>
        <v>445448</v>
      </c>
      <c r="D2" s="5">
        <f>SUM(D4:D64)</f>
        <v>504116.39999999997</v>
      </c>
      <c r="E2" s="5">
        <f>C2-D2</f>
        <v>-58668.399999999965</v>
      </c>
      <c r="F2" s="6">
        <f>IFERROR(E2/D2, 0)</f>
        <v>-0.1163786776228664</v>
      </c>
      <c r="G2" s="5">
        <f>SUM(G4:G64)</f>
        <v>502772.30000000005</v>
      </c>
      <c r="H2" s="7">
        <f>C2-G2</f>
        <v>-57324.300000000047</v>
      </c>
      <c r="I2" s="6">
        <f>IFERROR(H2/G2, 0)</f>
        <v>-0.11401642453253698</v>
      </c>
    </row>
    <row r="3" spans="1:9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 x14ac:dyDescent="0.35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SUM(Jan!C4, Feb!C4, Mar!C4)</f>
        <v>445448</v>
      </c>
      <c r="D4" s="11">
        <f>SUM(Jan!D4, Feb!D4, Mar!D4)</f>
        <v>504116.39999999997</v>
      </c>
      <c r="E4" s="11">
        <f>IF(AND(ISNUMBER(C4),ISNUMBER(D4)), C4-D4, "")</f>
        <v>-58668.399999999965</v>
      </c>
      <c r="F4" s="12">
        <f>IFERROR(E4/D4, "")</f>
        <v>-0.1163786776228664</v>
      </c>
      <c r="G4" s="13">
        <f>SUM(Jan!G4, Feb!G4, Mar!G4)</f>
        <v>502772.30000000005</v>
      </c>
      <c r="H4" s="13">
        <f>SUM(Jan!H4, Feb!H4, Mar!H4)</f>
        <v>-57324.3</v>
      </c>
      <c r="I4" s="14">
        <f>IFERROR(H4/G4, "")</f>
        <v>-0.11401642453253689</v>
      </c>
    </row>
    <row r="5" spans="1:9" ht="13.15" x14ac:dyDescent="0.4">
      <c r="A5" s="15"/>
      <c r="B5" s="15"/>
      <c r="C5" s="15"/>
      <c r="D5" s="15"/>
      <c r="E5" s="15"/>
      <c r="F5" s="16"/>
      <c r="G5" s="15"/>
      <c r="H5" s="15"/>
      <c r="I5" s="16"/>
    </row>
    <row r="6" spans="1:9" ht="13.15" x14ac:dyDescent="0.4">
      <c r="A6" s="15"/>
      <c r="B6" s="15"/>
      <c r="C6" s="15"/>
      <c r="D6" s="15"/>
      <c r="E6" s="15"/>
      <c r="F6" s="16"/>
      <c r="G6" s="15"/>
      <c r="H6" s="15"/>
      <c r="I6" s="16"/>
    </row>
    <row r="7" spans="1:9" ht="13.15" x14ac:dyDescent="0.4">
      <c r="A7" s="15"/>
      <c r="B7" s="15"/>
      <c r="C7" s="15"/>
      <c r="D7" s="15"/>
      <c r="E7" s="15"/>
      <c r="F7" s="16"/>
      <c r="G7" s="15"/>
      <c r="H7" s="15"/>
      <c r="I7" s="16"/>
    </row>
    <row r="8" spans="1:9" ht="13.15" x14ac:dyDescent="0.4">
      <c r="A8" s="15"/>
      <c r="B8" s="15"/>
      <c r="C8" s="15"/>
      <c r="D8" s="15"/>
      <c r="E8" s="15"/>
      <c r="F8" s="16"/>
      <c r="G8" s="15"/>
      <c r="H8" s="15"/>
      <c r="I8" s="16"/>
    </row>
    <row r="9" spans="1:9" ht="13.15" x14ac:dyDescent="0.4">
      <c r="A9" s="15"/>
      <c r="B9" s="15"/>
      <c r="C9" s="15"/>
      <c r="D9" s="15"/>
      <c r="E9" s="15"/>
      <c r="F9" s="16"/>
      <c r="G9" s="15"/>
      <c r="H9" s="15"/>
      <c r="I9" s="16"/>
    </row>
    <row r="10" spans="1:9" ht="13.15" x14ac:dyDescent="0.4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 x14ac:dyDescent="0.4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 x14ac:dyDescent="0.4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 x14ac:dyDescent="0.4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 x14ac:dyDescent="0.4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 x14ac:dyDescent="0.4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 x14ac:dyDescent="0.4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 x14ac:dyDescent="0.4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 x14ac:dyDescent="0.4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 x14ac:dyDescent="0.4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 x14ac:dyDescent="0.4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 x14ac:dyDescent="0.4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 x14ac:dyDescent="0.4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 x14ac:dyDescent="0.4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 x14ac:dyDescent="0.4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 x14ac:dyDescent="0.4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 x14ac:dyDescent="0.4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 x14ac:dyDescent="0.4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 x14ac:dyDescent="0.4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 x14ac:dyDescent="0.4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 x14ac:dyDescent="0.4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 x14ac:dyDescent="0.4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 x14ac:dyDescent="0.4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 x14ac:dyDescent="0.4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 x14ac:dyDescent="0.4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 x14ac:dyDescent="0.4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 x14ac:dyDescent="0.4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 x14ac:dyDescent="0.4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 x14ac:dyDescent="0.4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 x14ac:dyDescent="0.4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 x14ac:dyDescent="0.4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 x14ac:dyDescent="0.4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 x14ac:dyDescent="0.4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 x14ac:dyDescent="0.4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 x14ac:dyDescent="0.4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 x14ac:dyDescent="0.4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 x14ac:dyDescent="0.4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 x14ac:dyDescent="0.4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 x14ac:dyDescent="0.4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 x14ac:dyDescent="0.4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 x14ac:dyDescent="0.4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 x14ac:dyDescent="0.4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 x14ac:dyDescent="0.4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 x14ac:dyDescent="0.4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 x14ac:dyDescent="0.4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 x14ac:dyDescent="0.4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 x14ac:dyDescent="0.4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 x14ac:dyDescent="0.4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 x14ac:dyDescent="0.4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 x14ac:dyDescent="0.4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 x14ac:dyDescent="0.4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 x14ac:dyDescent="0.4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 x14ac:dyDescent="0.4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 x14ac:dyDescent="0.4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 x14ac:dyDescent="0.4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 x14ac:dyDescent="0.4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 x14ac:dyDescent="0.4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 x14ac:dyDescent="0.4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 x14ac:dyDescent="0.4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 x14ac:dyDescent="0.4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 x14ac:dyDescent="0.4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 x14ac:dyDescent="0.4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 x14ac:dyDescent="0.4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 x14ac:dyDescent="0.4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 x14ac:dyDescent="0.4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 x14ac:dyDescent="0.4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 x14ac:dyDescent="0.4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 x14ac:dyDescent="0.4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 x14ac:dyDescent="0.4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 x14ac:dyDescent="0.4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 x14ac:dyDescent="0.4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 x14ac:dyDescent="0.4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 x14ac:dyDescent="0.4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 x14ac:dyDescent="0.4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 x14ac:dyDescent="0.4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 x14ac:dyDescent="0.4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 x14ac:dyDescent="0.4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 x14ac:dyDescent="0.4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 x14ac:dyDescent="0.4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 x14ac:dyDescent="0.4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 x14ac:dyDescent="0.4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 x14ac:dyDescent="0.4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 x14ac:dyDescent="0.4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 x14ac:dyDescent="0.4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 x14ac:dyDescent="0.4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 x14ac:dyDescent="0.4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 x14ac:dyDescent="0.4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 x14ac:dyDescent="0.4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 x14ac:dyDescent="0.4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 x14ac:dyDescent="0.4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 x14ac:dyDescent="0.4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 x14ac:dyDescent="0.4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 x14ac:dyDescent="0.4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 x14ac:dyDescent="0.4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 x14ac:dyDescent="0.4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 x14ac:dyDescent="0.4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 x14ac:dyDescent="0.4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 x14ac:dyDescent="0.4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 x14ac:dyDescent="0.4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 x14ac:dyDescent="0.4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 x14ac:dyDescent="0.4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 x14ac:dyDescent="0.4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 x14ac:dyDescent="0.4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 x14ac:dyDescent="0.4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 x14ac:dyDescent="0.4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 x14ac:dyDescent="0.4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 x14ac:dyDescent="0.4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 x14ac:dyDescent="0.4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 x14ac:dyDescent="0.4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 x14ac:dyDescent="0.4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 x14ac:dyDescent="0.4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 x14ac:dyDescent="0.4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 x14ac:dyDescent="0.4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 x14ac:dyDescent="0.4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 x14ac:dyDescent="0.4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 x14ac:dyDescent="0.4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 x14ac:dyDescent="0.4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 x14ac:dyDescent="0.4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 x14ac:dyDescent="0.4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 x14ac:dyDescent="0.4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 x14ac:dyDescent="0.4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 x14ac:dyDescent="0.4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 x14ac:dyDescent="0.4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 x14ac:dyDescent="0.4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 x14ac:dyDescent="0.4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 x14ac:dyDescent="0.4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 x14ac:dyDescent="0.4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 x14ac:dyDescent="0.4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 x14ac:dyDescent="0.4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 x14ac:dyDescent="0.4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 x14ac:dyDescent="0.4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 x14ac:dyDescent="0.4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 x14ac:dyDescent="0.4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 x14ac:dyDescent="0.4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 x14ac:dyDescent="0.4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 x14ac:dyDescent="0.4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 x14ac:dyDescent="0.4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 x14ac:dyDescent="0.4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 x14ac:dyDescent="0.4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 x14ac:dyDescent="0.4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 x14ac:dyDescent="0.4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 x14ac:dyDescent="0.4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 x14ac:dyDescent="0.4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 x14ac:dyDescent="0.4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 x14ac:dyDescent="0.4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 x14ac:dyDescent="0.4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 x14ac:dyDescent="0.4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 x14ac:dyDescent="0.4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 x14ac:dyDescent="0.4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 x14ac:dyDescent="0.4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 x14ac:dyDescent="0.4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 x14ac:dyDescent="0.4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 x14ac:dyDescent="0.4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 x14ac:dyDescent="0.4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 x14ac:dyDescent="0.4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 x14ac:dyDescent="0.4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 x14ac:dyDescent="0.4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 x14ac:dyDescent="0.4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 x14ac:dyDescent="0.4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 x14ac:dyDescent="0.4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 x14ac:dyDescent="0.4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 x14ac:dyDescent="0.4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 x14ac:dyDescent="0.4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 x14ac:dyDescent="0.4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 x14ac:dyDescent="0.4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 x14ac:dyDescent="0.4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 x14ac:dyDescent="0.4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 x14ac:dyDescent="0.4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 x14ac:dyDescent="0.4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 x14ac:dyDescent="0.4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 x14ac:dyDescent="0.4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 x14ac:dyDescent="0.4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 x14ac:dyDescent="0.4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 x14ac:dyDescent="0.4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 x14ac:dyDescent="0.4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 x14ac:dyDescent="0.4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 x14ac:dyDescent="0.4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 x14ac:dyDescent="0.4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 x14ac:dyDescent="0.4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 x14ac:dyDescent="0.4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 x14ac:dyDescent="0.4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 x14ac:dyDescent="0.4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 x14ac:dyDescent="0.4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 x14ac:dyDescent="0.4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 x14ac:dyDescent="0.4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 x14ac:dyDescent="0.4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 x14ac:dyDescent="0.4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 x14ac:dyDescent="0.4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 x14ac:dyDescent="0.4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 x14ac:dyDescent="0.4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 x14ac:dyDescent="0.4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 x14ac:dyDescent="0.4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 x14ac:dyDescent="0.4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 x14ac:dyDescent="0.4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 x14ac:dyDescent="0.4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 x14ac:dyDescent="0.4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 x14ac:dyDescent="0.4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 x14ac:dyDescent="0.4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 x14ac:dyDescent="0.4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 x14ac:dyDescent="0.4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 x14ac:dyDescent="0.4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 x14ac:dyDescent="0.4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 x14ac:dyDescent="0.4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 x14ac:dyDescent="0.4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 x14ac:dyDescent="0.4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 x14ac:dyDescent="0.4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 x14ac:dyDescent="0.4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 x14ac:dyDescent="0.4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 x14ac:dyDescent="0.4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 x14ac:dyDescent="0.4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 x14ac:dyDescent="0.4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 x14ac:dyDescent="0.4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 x14ac:dyDescent="0.4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 x14ac:dyDescent="0.4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 x14ac:dyDescent="0.4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 x14ac:dyDescent="0.4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 x14ac:dyDescent="0.4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 x14ac:dyDescent="0.4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 x14ac:dyDescent="0.4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 x14ac:dyDescent="0.4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 x14ac:dyDescent="0.4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 x14ac:dyDescent="0.4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 x14ac:dyDescent="0.4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 x14ac:dyDescent="0.4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 x14ac:dyDescent="0.4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 x14ac:dyDescent="0.4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 x14ac:dyDescent="0.4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 x14ac:dyDescent="0.4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 x14ac:dyDescent="0.4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 x14ac:dyDescent="0.4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 x14ac:dyDescent="0.4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 x14ac:dyDescent="0.4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 x14ac:dyDescent="0.4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 x14ac:dyDescent="0.4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 x14ac:dyDescent="0.4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 x14ac:dyDescent="0.4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 x14ac:dyDescent="0.4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 x14ac:dyDescent="0.4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 x14ac:dyDescent="0.4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 x14ac:dyDescent="0.4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 x14ac:dyDescent="0.4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 x14ac:dyDescent="0.4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 x14ac:dyDescent="0.4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 x14ac:dyDescent="0.4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 x14ac:dyDescent="0.4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 x14ac:dyDescent="0.4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 x14ac:dyDescent="0.4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 x14ac:dyDescent="0.4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 x14ac:dyDescent="0.4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 x14ac:dyDescent="0.4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 x14ac:dyDescent="0.4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 x14ac:dyDescent="0.4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 x14ac:dyDescent="0.4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 x14ac:dyDescent="0.4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 x14ac:dyDescent="0.4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 x14ac:dyDescent="0.4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 x14ac:dyDescent="0.4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 x14ac:dyDescent="0.4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 x14ac:dyDescent="0.4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 x14ac:dyDescent="0.4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 x14ac:dyDescent="0.4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 x14ac:dyDescent="0.4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 x14ac:dyDescent="0.4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 x14ac:dyDescent="0.4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 x14ac:dyDescent="0.4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 x14ac:dyDescent="0.4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 x14ac:dyDescent="0.4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 x14ac:dyDescent="0.4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 x14ac:dyDescent="0.4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 x14ac:dyDescent="0.4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 x14ac:dyDescent="0.4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 x14ac:dyDescent="0.4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 x14ac:dyDescent="0.4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 x14ac:dyDescent="0.4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 x14ac:dyDescent="0.4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 x14ac:dyDescent="0.4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 x14ac:dyDescent="0.4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 x14ac:dyDescent="0.4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 x14ac:dyDescent="0.4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 x14ac:dyDescent="0.4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 x14ac:dyDescent="0.4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 x14ac:dyDescent="0.4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 x14ac:dyDescent="0.4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 x14ac:dyDescent="0.4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 x14ac:dyDescent="0.4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 x14ac:dyDescent="0.4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 x14ac:dyDescent="0.4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 x14ac:dyDescent="0.4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 x14ac:dyDescent="0.4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 x14ac:dyDescent="0.4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 x14ac:dyDescent="0.4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 x14ac:dyDescent="0.4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 x14ac:dyDescent="0.4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 x14ac:dyDescent="0.4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 x14ac:dyDescent="0.4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 x14ac:dyDescent="0.4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 x14ac:dyDescent="0.4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4 I4:I64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6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C4" sqref="C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45" t="str" cm="1">
        <f t="array" ref="A1">portfolio</f>
        <v>One United (Cheer Pack)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 x14ac:dyDescent="0.35">
      <c r="A2" s="47" t="s">
        <v>2</v>
      </c>
      <c r="B2" s="47"/>
      <c r="C2" s="5">
        <f>SUM(C4:C64)</f>
        <v>775610</v>
      </c>
      <c r="D2" s="5">
        <f>SUM(D4:D64)</f>
        <v>797858.30200000003</v>
      </c>
      <c r="E2" s="5">
        <f>C2-D2</f>
        <v>-22248.302000000025</v>
      </c>
      <c r="F2" s="6">
        <f>IFERROR(E2/D2, 0)</f>
        <v>-2.7885029138920991E-2</v>
      </c>
      <c r="G2" s="5">
        <f>SUM(G4:G64)</f>
        <v>822283.31400000001</v>
      </c>
      <c r="H2" s="7">
        <f>C2-G2</f>
        <v>-46673.314000000013</v>
      </c>
      <c r="I2" s="6">
        <f>IFERROR(H2/G2, 0)</f>
        <v>-5.6760623990966708E-2</v>
      </c>
    </row>
    <row r="3" spans="1:9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 x14ac:dyDescent="0.35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SUM(Apr!C4, May!C4, Jun!C4)</f>
        <v>775610</v>
      </c>
      <c r="D4" s="11">
        <f>SUM(Apr!D4, May!D4, Jun!D4)</f>
        <v>797858.30200000003</v>
      </c>
      <c r="E4" s="11">
        <f>IF(AND(ISNUMBER(C4),ISNUMBER(D4)), C4-D4, "")</f>
        <v>-22248.302000000025</v>
      </c>
      <c r="F4" s="12">
        <f>IFERROR(E4/D4, "")</f>
        <v>-2.7885029138920991E-2</v>
      </c>
      <c r="G4" s="13">
        <f>SUM(Apr!G4,May!G4,Jun!G4)</f>
        <v>822283.31400000001</v>
      </c>
      <c r="H4" s="13">
        <f>SUM(Apr!H4, May!H4, Jun!H4)</f>
        <v>-46673.313999999984</v>
      </c>
      <c r="I4" s="14">
        <f>IFERROR(H4/G4, "")</f>
        <v>-5.6760623990966673E-2</v>
      </c>
    </row>
    <row r="5" spans="1:9" ht="13.15" x14ac:dyDescent="0.4">
      <c r="A5" s="15"/>
      <c r="B5" s="15"/>
      <c r="C5" s="15"/>
      <c r="D5" s="15"/>
      <c r="E5" s="15"/>
      <c r="F5" s="16"/>
      <c r="G5" s="15"/>
      <c r="H5" s="15"/>
      <c r="I5" s="16"/>
    </row>
    <row r="6" spans="1:9" ht="13.15" x14ac:dyDescent="0.4">
      <c r="A6" s="15"/>
      <c r="B6" s="15"/>
      <c r="C6" s="15"/>
      <c r="D6" s="15"/>
      <c r="E6" s="15"/>
      <c r="F6" s="16"/>
      <c r="G6" s="15"/>
      <c r="H6" s="15"/>
      <c r="I6" s="16"/>
    </row>
    <row r="7" spans="1:9" ht="13.15" x14ac:dyDescent="0.4">
      <c r="A7" s="15"/>
      <c r="B7" s="15"/>
      <c r="C7" s="15"/>
      <c r="D7" s="15"/>
      <c r="E7" s="15"/>
      <c r="F7" s="16"/>
      <c r="G7" s="15"/>
      <c r="H7" s="15"/>
      <c r="I7" s="16"/>
    </row>
    <row r="8" spans="1:9" ht="13.15" x14ac:dyDescent="0.4">
      <c r="A8" s="15"/>
      <c r="B8" s="15"/>
      <c r="C8" s="15"/>
      <c r="D8" s="15"/>
      <c r="E8" s="15"/>
      <c r="F8" s="16"/>
      <c r="G8" s="15"/>
      <c r="H8" s="15"/>
      <c r="I8" s="16"/>
    </row>
    <row r="9" spans="1:9" ht="13.15" x14ac:dyDescent="0.4">
      <c r="A9" s="15"/>
      <c r="B9" s="15"/>
      <c r="C9" s="15"/>
      <c r="D9" s="15"/>
      <c r="E9" s="15"/>
      <c r="F9" s="16"/>
      <c r="G9" s="15"/>
      <c r="H9" s="15"/>
      <c r="I9" s="16"/>
    </row>
    <row r="10" spans="1:9" ht="13.15" x14ac:dyDescent="0.4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 x14ac:dyDescent="0.4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 x14ac:dyDescent="0.4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 x14ac:dyDescent="0.4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 x14ac:dyDescent="0.4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 x14ac:dyDescent="0.4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 x14ac:dyDescent="0.4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 x14ac:dyDescent="0.4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 x14ac:dyDescent="0.4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 x14ac:dyDescent="0.4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 x14ac:dyDescent="0.4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 x14ac:dyDescent="0.4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 x14ac:dyDescent="0.4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 x14ac:dyDescent="0.4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 x14ac:dyDescent="0.4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 x14ac:dyDescent="0.4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 x14ac:dyDescent="0.4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 x14ac:dyDescent="0.4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 x14ac:dyDescent="0.4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 x14ac:dyDescent="0.4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 x14ac:dyDescent="0.4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 x14ac:dyDescent="0.4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 x14ac:dyDescent="0.4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 x14ac:dyDescent="0.4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 x14ac:dyDescent="0.4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 x14ac:dyDescent="0.4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 x14ac:dyDescent="0.4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 x14ac:dyDescent="0.4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 x14ac:dyDescent="0.4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 x14ac:dyDescent="0.4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 x14ac:dyDescent="0.4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 x14ac:dyDescent="0.4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 x14ac:dyDescent="0.4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 x14ac:dyDescent="0.4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 x14ac:dyDescent="0.4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 x14ac:dyDescent="0.4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 x14ac:dyDescent="0.4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 x14ac:dyDescent="0.4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 x14ac:dyDescent="0.4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 x14ac:dyDescent="0.4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 x14ac:dyDescent="0.4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 x14ac:dyDescent="0.4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 x14ac:dyDescent="0.4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 x14ac:dyDescent="0.4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 x14ac:dyDescent="0.4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 x14ac:dyDescent="0.4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 x14ac:dyDescent="0.4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 x14ac:dyDescent="0.4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 x14ac:dyDescent="0.4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 x14ac:dyDescent="0.4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 x14ac:dyDescent="0.4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 x14ac:dyDescent="0.4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 x14ac:dyDescent="0.4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 x14ac:dyDescent="0.4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 x14ac:dyDescent="0.4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 x14ac:dyDescent="0.4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 x14ac:dyDescent="0.4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 x14ac:dyDescent="0.4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 x14ac:dyDescent="0.4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 x14ac:dyDescent="0.4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 x14ac:dyDescent="0.4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 x14ac:dyDescent="0.4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 x14ac:dyDescent="0.4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 x14ac:dyDescent="0.4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 x14ac:dyDescent="0.4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 x14ac:dyDescent="0.4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 x14ac:dyDescent="0.4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 x14ac:dyDescent="0.4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 x14ac:dyDescent="0.4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 x14ac:dyDescent="0.4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 x14ac:dyDescent="0.4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 x14ac:dyDescent="0.4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 x14ac:dyDescent="0.4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 x14ac:dyDescent="0.4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 x14ac:dyDescent="0.4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 x14ac:dyDescent="0.4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 x14ac:dyDescent="0.4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 x14ac:dyDescent="0.4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 x14ac:dyDescent="0.4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 x14ac:dyDescent="0.4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 x14ac:dyDescent="0.4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 x14ac:dyDescent="0.4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 x14ac:dyDescent="0.4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 x14ac:dyDescent="0.4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 x14ac:dyDescent="0.4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 x14ac:dyDescent="0.4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 x14ac:dyDescent="0.4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 x14ac:dyDescent="0.4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 x14ac:dyDescent="0.4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 x14ac:dyDescent="0.4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 x14ac:dyDescent="0.4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 x14ac:dyDescent="0.4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 x14ac:dyDescent="0.4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 x14ac:dyDescent="0.4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 x14ac:dyDescent="0.4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 x14ac:dyDescent="0.4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 x14ac:dyDescent="0.4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 x14ac:dyDescent="0.4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 x14ac:dyDescent="0.4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 x14ac:dyDescent="0.4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 x14ac:dyDescent="0.4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 x14ac:dyDescent="0.4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 x14ac:dyDescent="0.4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 x14ac:dyDescent="0.4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 x14ac:dyDescent="0.4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 x14ac:dyDescent="0.4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 x14ac:dyDescent="0.4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 x14ac:dyDescent="0.4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 x14ac:dyDescent="0.4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 x14ac:dyDescent="0.4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 x14ac:dyDescent="0.4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 x14ac:dyDescent="0.4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 x14ac:dyDescent="0.4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 x14ac:dyDescent="0.4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 x14ac:dyDescent="0.4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 x14ac:dyDescent="0.4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 x14ac:dyDescent="0.4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 x14ac:dyDescent="0.4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 x14ac:dyDescent="0.4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 x14ac:dyDescent="0.4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 x14ac:dyDescent="0.4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 x14ac:dyDescent="0.4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 x14ac:dyDescent="0.4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 x14ac:dyDescent="0.4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 x14ac:dyDescent="0.4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 x14ac:dyDescent="0.4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 x14ac:dyDescent="0.4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 x14ac:dyDescent="0.4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 x14ac:dyDescent="0.4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 x14ac:dyDescent="0.4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 x14ac:dyDescent="0.4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 x14ac:dyDescent="0.4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 x14ac:dyDescent="0.4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 x14ac:dyDescent="0.4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 x14ac:dyDescent="0.4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 x14ac:dyDescent="0.4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 x14ac:dyDescent="0.4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 x14ac:dyDescent="0.4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 x14ac:dyDescent="0.4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 x14ac:dyDescent="0.4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 x14ac:dyDescent="0.4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 x14ac:dyDescent="0.4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 x14ac:dyDescent="0.4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 x14ac:dyDescent="0.4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 x14ac:dyDescent="0.4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 x14ac:dyDescent="0.4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 x14ac:dyDescent="0.4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 x14ac:dyDescent="0.4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 x14ac:dyDescent="0.4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 x14ac:dyDescent="0.4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 x14ac:dyDescent="0.4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 x14ac:dyDescent="0.4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 x14ac:dyDescent="0.4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 x14ac:dyDescent="0.4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 x14ac:dyDescent="0.4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 x14ac:dyDescent="0.4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 x14ac:dyDescent="0.4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 x14ac:dyDescent="0.4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 x14ac:dyDescent="0.4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 x14ac:dyDescent="0.4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 x14ac:dyDescent="0.4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 x14ac:dyDescent="0.4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 x14ac:dyDescent="0.4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 x14ac:dyDescent="0.4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 x14ac:dyDescent="0.4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 x14ac:dyDescent="0.4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 x14ac:dyDescent="0.4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 x14ac:dyDescent="0.4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 x14ac:dyDescent="0.4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 x14ac:dyDescent="0.4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 x14ac:dyDescent="0.4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 x14ac:dyDescent="0.4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 x14ac:dyDescent="0.4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 x14ac:dyDescent="0.4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 x14ac:dyDescent="0.4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 x14ac:dyDescent="0.4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 x14ac:dyDescent="0.4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 x14ac:dyDescent="0.4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 x14ac:dyDescent="0.4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 x14ac:dyDescent="0.4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 x14ac:dyDescent="0.4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 x14ac:dyDescent="0.4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 x14ac:dyDescent="0.4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 x14ac:dyDescent="0.4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 x14ac:dyDescent="0.4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 x14ac:dyDescent="0.4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 x14ac:dyDescent="0.4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 x14ac:dyDescent="0.4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 x14ac:dyDescent="0.4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 x14ac:dyDescent="0.4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 x14ac:dyDescent="0.4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 x14ac:dyDescent="0.4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 x14ac:dyDescent="0.4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 x14ac:dyDescent="0.4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 x14ac:dyDescent="0.4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 x14ac:dyDescent="0.4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 x14ac:dyDescent="0.4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 x14ac:dyDescent="0.4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 x14ac:dyDescent="0.4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 x14ac:dyDescent="0.4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 x14ac:dyDescent="0.4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 x14ac:dyDescent="0.4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 x14ac:dyDescent="0.4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 x14ac:dyDescent="0.4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 x14ac:dyDescent="0.4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 x14ac:dyDescent="0.4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 x14ac:dyDescent="0.4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 x14ac:dyDescent="0.4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 x14ac:dyDescent="0.4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 x14ac:dyDescent="0.4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 x14ac:dyDescent="0.4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 x14ac:dyDescent="0.4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 x14ac:dyDescent="0.4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 x14ac:dyDescent="0.4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 x14ac:dyDescent="0.4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 x14ac:dyDescent="0.4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 x14ac:dyDescent="0.4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 x14ac:dyDescent="0.4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 x14ac:dyDescent="0.4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 x14ac:dyDescent="0.4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 x14ac:dyDescent="0.4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 x14ac:dyDescent="0.4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 x14ac:dyDescent="0.4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 x14ac:dyDescent="0.4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 x14ac:dyDescent="0.4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 x14ac:dyDescent="0.4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 x14ac:dyDescent="0.4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 x14ac:dyDescent="0.4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 x14ac:dyDescent="0.4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 x14ac:dyDescent="0.4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 x14ac:dyDescent="0.4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 x14ac:dyDescent="0.4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 x14ac:dyDescent="0.4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 x14ac:dyDescent="0.4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 x14ac:dyDescent="0.4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 x14ac:dyDescent="0.4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 x14ac:dyDescent="0.4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 x14ac:dyDescent="0.4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 x14ac:dyDescent="0.4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 x14ac:dyDescent="0.4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 x14ac:dyDescent="0.4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 x14ac:dyDescent="0.4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 x14ac:dyDescent="0.4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 x14ac:dyDescent="0.4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 x14ac:dyDescent="0.4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 x14ac:dyDescent="0.4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 x14ac:dyDescent="0.4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 x14ac:dyDescent="0.4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 x14ac:dyDescent="0.4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 x14ac:dyDescent="0.4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 x14ac:dyDescent="0.4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 x14ac:dyDescent="0.4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 x14ac:dyDescent="0.4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 x14ac:dyDescent="0.4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 x14ac:dyDescent="0.4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 x14ac:dyDescent="0.4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 x14ac:dyDescent="0.4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 x14ac:dyDescent="0.4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 x14ac:dyDescent="0.4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 x14ac:dyDescent="0.4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 x14ac:dyDescent="0.4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 x14ac:dyDescent="0.4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 x14ac:dyDescent="0.4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 x14ac:dyDescent="0.4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 x14ac:dyDescent="0.4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 x14ac:dyDescent="0.4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 x14ac:dyDescent="0.4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 x14ac:dyDescent="0.4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 x14ac:dyDescent="0.4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 x14ac:dyDescent="0.4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 x14ac:dyDescent="0.4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 x14ac:dyDescent="0.4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 x14ac:dyDescent="0.4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 x14ac:dyDescent="0.4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 x14ac:dyDescent="0.4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 x14ac:dyDescent="0.4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 x14ac:dyDescent="0.4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 x14ac:dyDescent="0.4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 x14ac:dyDescent="0.4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 x14ac:dyDescent="0.4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 x14ac:dyDescent="0.4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 x14ac:dyDescent="0.4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 x14ac:dyDescent="0.4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 x14ac:dyDescent="0.4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 x14ac:dyDescent="0.4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 x14ac:dyDescent="0.4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 x14ac:dyDescent="0.4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 x14ac:dyDescent="0.4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 x14ac:dyDescent="0.4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 x14ac:dyDescent="0.4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 x14ac:dyDescent="0.4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 x14ac:dyDescent="0.4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 x14ac:dyDescent="0.4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 x14ac:dyDescent="0.4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 x14ac:dyDescent="0.4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 x14ac:dyDescent="0.4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 x14ac:dyDescent="0.4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6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E19" sqref="E19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45" t="str" cm="1">
        <f t="array" ref="A1">portfolio</f>
        <v>One United (Cheer Pack)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 x14ac:dyDescent="0.35">
      <c r="A2" s="47" t="s">
        <v>2</v>
      </c>
      <c r="B2" s="47"/>
      <c r="C2" s="5">
        <f>SUM(C4:C64)</f>
        <v>655908</v>
      </c>
      <c r="D2" s="5">
        <f>SUM(D4:D64)</f>
        <v>774994.22699999996</v>
      </c>
      <c r="E2" s="5">
        <f>C2-D2</f>
        <v>-119086.22699999996</v>
      </c>
      <c r="F2" s="6">
        <f>IFERROR(E2/D2, 0)</f>
        <v>-0.15366079236613456</v>
      </c>
      <c r="G2" s="5">
        <f>SUM(G4:G64)</f>
        <v>775996.00900000008</v>
      </c>
      <c r="H2" s="7">
        <f>C2-G2</f>
        <v>-120088.00900000008</v>
      </c>
      <c r="I2" s="6">
        <f>IFERROR(H2/G2, 0)</f>
        <v>-0.15475338482056558</v>
      </c>
    </row>
    <row r="3" spans="1:9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 x14ac:dyDescent="0.35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SUM(Jul!C4, Aug!C4, Sep!C4)</f>
        <v>655908</v>
      </c>
      <c r="D4" s="11">
        <f>SUM(Jul!D4, Aug!D4, Sep!D4)</f>
        <v>774994.22699999996</v>
      </c>
      <c r="E4" s="11">
        <f>IF(AND(ISNUMBER(C4),ISNUMBER(D4)), C4-D4, "")</f>
        <v>-119086.22699999996</v>
      </c>
      <c r="F4" s="12">
        <f>IFERROR(E4/D4, "")</f>
        <v>-0.15366079236613456</v>
      </c>
      <c r="G4" s="13">
        <f>SUM(Jul!G4,Aug!G4,Sep!G4)</f>
        <v>775996.00900000008</v>
      </c>
      <c r="H4" s="13">
        <f>SUM(Jul!H4, Aug!H4, Sep!H4)</f>
        <v>-120088.00900000005</v>
      </c>
      <c r="I4" s="14">
        <f>IFERROR(H4/G4, "")</f>
        <v>-0.15475338482056553</v>
      </c>
    </row>
    <row r="5" spans="1:9" ht="13.15" x14ac:dyDescent="0.4">
      <c r="A5" s="15"/>
      <c r="B5" s="15"/>
      <c r="C5" s="15"/>
      <c r="D5" s="15"/>
      <c r="E5" s="15"/>
      <c r="F5" s="16"/>
      <c r="G5" s="15"/>
      <c r="H5" s="15"/>
      <c r="I5" s="16"/>
    </row>
    <row r="6" spans="1:9" ht="13.15" x14ac:dyDescent="0.4">
      <c r="A6" s="15"/>
      <c r="B6" s="15"/>
      <c r="C6" s="15"/>
      <c r="D6" s="15"/>
      <c r="E6" s="15"/>
      <c r="F6" s="16"/>
      <c r="G6" s="15"/>
      <c r="H6" s="15"/>
      <c r="I6" s="16"/>
    </row>
    <row r="7" spans="1:9" ht="13.15" x14ac:dyDescent="0.4">
      <c r="A7" s="15"/>
      <c r="B7" s="15"/>
      <c r="C7" s="15"/>
      <c r="D7" s="15"/>
      <c r="E7" s="15"/>
      <c r="F7" s="16"/>
      <c r="G7" s="15"/>
      <c r="H7" s="15"/>
      <c r="I7" s="16"/>
    </row>
    <row r="8" spans="1:9" ht="13.15" x14ac:dyDescent="0.4">
      <c r="A8" s="15"/>
      <c r="B8" s="15"/>
      <c r="C8" s="15"/>
      <c r="D8" s="15"/>
      <c r="E8" s="15"/>
      <c r="F8" s="16"/>
      <c r="G8" s="15"/>
      <c r="H8" s="15"/>
      <c r="I8" s="16"/>
    </row>
    <row r="9" spans="1:9" ht="13.15" x14ac:dyDescent="0.4">
      <c r="A9" s="15"/>
      <c r="B9" s="15"/>
      <c r="C9" s="15"/>
      <c r="D9" s="15"/>
      <c r="E9" s="15"/>
      <c r="F9" s="16"/>
      <c r="G9" s="15"/>
      <c r="H9" s="15"/>
      <c r="I9" s="16"/>
    </row>
    <row r="10" spans="1:9" ht="13.15" x14ac:dyDescent="0.4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 x14ac:dyDescent="0.4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 x14ac:dyDescent="0.4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 x14ac:dyDescent="0.4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 x14ac:dyDescent="0.4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 x14ac:dyDescent="0.4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 x14ac:dyDescent="0.4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 x14ac:dyDescent="0.4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 x14ac:dyDescent="0.4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 x14ac:dyDescent="0.4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 x14ac:dyDescent="0.4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 x14ac:dyDescent="0.4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 x14ac:dyDescent="0.4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 x14ac:dyDescent="0.4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 x14ac:dyDescent="0.4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 x14ac:dyDescent="0.4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 x14ac:dyDescent="0.4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 x14ac:dyDescent="0.4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 x14ac:dyDescent="0.4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 x14ac:dyDescent="0.4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 x14ac:dyDescent="0.4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 x14ac:dyDescent="0.4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 x14ac:dyDescent="0.4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 x14ac:dyDescent="0.4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 x14ac:dyDescent="0.4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 x14ac:dyDescent="0.4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 x14ac:dyDescent="0.4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 x14ac:dyDescent="0.4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 x14ac:dyDescent="0.4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 x14ac:dyDescent="0.4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 x14ac:dyDescent="0.4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 x14ac:dyDescent="0.4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 x14ac:dyDescent="0.4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 x14ac:dyDescent="0.4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 x14ac:dyDescent="0.4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 x14ac:dyDescent="0.4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 x14ac:dyDescent="0.4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 x14ac:dyDescent="0.4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 x14ac:dyDescent="0.4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 x14ac:dyDescent="0.4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 x14ac:dyDescent="0.4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 x14ac:dyDescent="0.4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 x14ac:dyDescent="0.4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 x14ac:dyDescent="0.4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 x14ac:dyDescent="0.4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 x14ac:dyDescent="0.4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 x14ac:dyDescent="0.4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 x14ac:dyDescent="0.4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 x14ac:dyDescent="0.4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 x14ac:dyDescent="0.4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 x14ac:dyDescent="0.4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 x14ac:dyDescent="0.4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 x14ac:dyDescent="0.4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 x14ac:dyDescent="0.4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 x14ac:dyDescent="0.4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 x14ac:dyDescent="0.4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 x14ac:dyDescent="0.4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 x14ac:dyDescent="0.4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 x14ac:dyDescent="0.4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 x14ac:dyDescent="0.4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 x14ac:dyDescent="0.4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 x14ac:dyDescent="0.4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 x14ac:dyDescent="0.4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 x14ac:dyDescent="0.4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 x14ac:dyDescent="0.4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 x14ac:dyDescent="0.4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 x14ac:dyDescent="0.4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 x14ac:dyDescent="0.4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 x14ac:dyDescent="0.4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 x14ac:dyDescent="0.4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 x14ac:dyDescent="0.4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 x14ac:dyDescent="0.4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 x14ac:dyDescent="0.4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 x14ac:dyDescent="0.4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 x14ac:dyDescent="0.4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 x14ac:dyDescent="0.4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 x14ac:dyDescent="0.4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 x14ac:dyDescent="0.4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 x14ac:dyDescent="0.4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 x14ac:dyDescent="0.4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 x14ac:dyDescent="0.4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 x14ac:dyDescent="0.4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 x14ac:dyDescent="0.4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 x14ac:dyDescent="0.4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 x14ac:dyDescent="0.4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 x14ac:dyDescent="0.4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 x14ac:dyDescent="0.4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 x14ac:dyDescent="0.4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 x14ac:dyDescent="0.4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 x14ac:dyDescent="0.4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 x14ac:dyDescent="0.4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 x14ac:dyDescent="0.4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 x14ac:dyDescent="0.4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 x14ac:dyDescent="0.4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 x14ac:dyDescent="0.4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 x14ac:dyDescent="0.4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 x14ac:dyDescent="0.4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 x14ac:dyDescent="0.4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 x14ac:dyDescent="0.4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 x14ac:dyDescent="0.4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 x14ac:dyDescent="0.4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 x14ac:dyDescent="0.4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 x14ac:dyDescent="0.4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 x14ac:dyDescent="0.4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 x14ac:dyDescent="0.4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 x14ac:dyDescent="0.4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 x14ac:dyDescent="0.4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 x14ac:dyDescent="0.4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 x14ac:dyDescent="0.4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 x14ac:dyDescent="0.4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 x14ac:dyDescent="0.4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 x14ac:dyDescent="0.4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 x14ac:dyDescent="0.4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 x14ac:dyDescent="0.4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 x14ac:dyDescent="0.4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 x14ac:dyDescent="0.4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 x14ac:dyDescent="0.4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 x14ac:dyDescent="0.4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 x14ac:dyDescent="0.4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 x14ac:dyDescent="0.4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 x14ac:dyDescent="0.4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 x14ac:dyDescent="0.4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 x14ac:dyDescent="0.4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 x14ac:dyDescent="0.4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 x14ac:dyDescent="0.4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 x14ac:dyDescent="0.4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 x14ac:dyDescent="0.4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 x14ac:dyDescent="0.4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 x14ac:dyDescent="0.4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 x14ac:dyDescent="0.4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 x14ac:dyDescent="0.4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 x14ac:dyDescent="0.4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 x14ac:dyDescent="0.4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 x14ac:dyDescent="0.4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 x14ac:dyDescent="0.4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 x14ac:dyDescent="0.4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 x14ac:dyDescent="0.4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 x14ac:dyDescent="0.4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 x14ac:dyDescent="0.4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 x14ac:dyDescent="0.4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 x14ac:dyDescent="0.4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 x14ac:dyDescent="0.4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 x14ac:dyDescent="0.4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 x14ac:dyDescent="0.4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 x14ac:dyDescent="0.4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 x14ac:dyDescent="0.4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 x14ac:dyDescent="0.4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 x14ac:dyDescent="0.4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 x14ac:dyDescent="0.4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 x14ac:dyDescent="0.4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 x14ac:dyDescent="0.4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 x14ac:dyDescent="0.4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 x14ac:dyDescent="0.4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 x14ac:dyDescent="0.4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 x14ac:dyDescent="0.4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 x14ac:dyDescent="0.4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 x14ac:dyDescent="0.4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 x14ac:dyDescent="0.4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 x14ac:dyDescent="0.4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 x14ac:dyDescent="0.4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 x14ac:dyDescent="0.4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 x14ac:dyDescent="0.4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 x14ac:dyDescent="0.4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 x14ac:dyDescent="0.4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 x14ac:dyDescent="0.4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 x14ac:dyDescent="0.4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 x14ac:dyDescent="0.4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 x14ac:dyDescent="0.4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 x14ac:dyDescent="0.4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 x14ac:dyDescent="0.4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 x14ac:dyDescent="0.4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 x14ac:dyDescent="0.4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 x14ac:dyDescent="0.4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 x14ac:dyDescent="0.4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 x14ac:dyDescent="0.4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 x14ac:dyDescent="0.4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 x14ac:dyDescent="0.4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 x14ac:dyDescent="0.4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 x14ac:dyDescent="0.4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 x14ac:dyDescent="0.4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 x14ac:dyDescent="0.4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 x14ac:dyDescent="0.4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 x14ac:dyDescent="0.4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 x14ac:dyDescent="0.4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 x14ac:dyDescent="0.4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 x14ac:dyDescent="0.4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 x14ac:dyDescent="0.4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 x14ac:dyDescent="0.4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 x14ac:dyDescent="0.4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 x14ac:dyDescent="0.4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 x14ac:dyDescent="0.4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 x14ac:dyDescent="0.4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 x14ac:dyDescent="0.4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 x14ac:dyDescent="0.4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 x14ac:dyDescent="0.4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 x14ac:dyDescent="0.4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 x14ac:dyDescent="0.4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 x14ac:dyDescent="0.4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 x14ac:dyDescent="0.4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 x14ac:dyDescent="0.4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 x14ac:dyDescent="0.4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 x14ac:dyDescent="0.4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 x14ac:dyDescent="0.4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 x14ac:dyDescent="0.4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 x14ac:dyDescent="0.4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 x14ac:dyDescent="0.4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 x14ac:dyDescent="0.4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 x14ac:dyDescent="0.4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 x14ac:dyDescent="0.4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 x14ac:dyDescent="0.4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 x14ac:dyDescent="0.4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 x14ac:dyDescent="0.4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 x14ac:dyDescent="0.4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 x14ac:dyDescent="0.4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 x14ac:dyDescent="0.4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 x14ac:dyDescent="0.4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 x14ac:dyDescent="0.4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 x14ac:dyDescent="0.4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 x14ac:dyDescent="0.4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 x14ac:dyDescent="0.4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 x14ac:dyDescent="0.4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 x14ac:dyDescent="0.4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 x14ac:dyDescent="0.4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 x14ac:dyDescent="0.4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 x14ac:dyDescent="0.4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 x14ac:dyDescent="0.4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 x14ac:dyDescent="0.4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 x14ac:dyDescent="0.4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 x14ac:dyDescent="0.4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 x14ac:dyDescent="0.4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 x14ac:dyDescent="0.4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 x14ac:dyDescent="0.4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 x14ac:dyDescent="0.4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 x14ac:dyDescent="0.4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 x14ac:dyDescent="0.4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 x14ac:dyDescent="0.4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 x14ac:dyDescent="0.4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 x14ac:dyDescent="0.4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 x14ac:dyDescent="0.4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 x14ac:dyDescent="0.4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 x14ac:dyDescent="0.4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 x14ac:dyDescent="0.4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 x14ac:dyDescent="0.4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 x14ac:dyDescent="0.4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 x14ac:dyDescent="0.4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 x14ac:dyDescent="0.4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 x14ac:dyDescent="0.4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 x14ac:dyDescent="0.4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 x14ac:dyDescent="0.4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 x14ac:dyDescent="0.4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 x14ac:dyDescent="0.4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 x14ac:dyDescent="0.4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 x14ac:dyDescent="0.4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 x14ac:dyDescent="0.4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 x14ac:dyDescent="0.4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 x14ac:dyDescent="0.4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 x14ac:dyDescent="0.4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 x14ac:dyDescent="0.4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 x14ac:dyDescent="0.4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 x14ac:dyDescent="0.4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 x14ac:dyDescent="0.4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 x14ac:dyDescent="0.4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 x14ac:dyDescent="0.4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 x14ac:dyDescent="0.4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 x14ac:dyDescent="0.4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 x14ac:dyDescent="0.4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 x14ac:dyDescent="0.4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 x14ac:dyDescent="0.4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 x14ac:dyDescent="0.4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 x14ac:dyDescent="0.4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 x14ac:dyDescent="0.4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 x14ac:dyDescent="0.4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 x14ac:dyDescent="0.4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 x14ac:dyDescent="0.4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 x14ac:dyDescent="0.4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 x14ac:dyDescent="0.4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 x14ac:dyDescent="0.4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 x14ac:dyDescent="0.4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 x14ac:dyDescent="0.4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 x14ac:dyDescent="0.4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 x14ac:dyDescent="0.4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 x14ac:dyDescent="0.4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 x14ac:dyDescent="0.4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 x14ac:dyDescent="0.4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 x14ac:dyDescent="0.4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 x14ac:dyDescent="0.4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 x14ac:dyDescent="0.4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 x14ac:dyDescent="0.4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 x14ac:dyDescent="0.4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 x14ac:dyDescent="0.4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 x14ac:dyDescent="0.4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 x14ac:dyDescent="0.4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 x14ac:dyDescent="0.4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 x14ac:dyDescent="0.4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 x14ac:dyDescent="0.4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 x14ac:dyDescent="0.4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 x14ac:dyDescent="0.4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6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E15" sqref="E15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45" t="str" cm="1">
        <f t="array" ref="A1">portfolio</f>
        <v>One United (Cheer Pack)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 x14ac:dyDescent="0.35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 x14ac:dyDescent="0.35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15" x14ac:dyDescent="0.4">
      <c r="A5" s="15"/>
      <c r="B5" s="15"/>
      <c r="C5" s="15"/>
      <c r="D5" s="15"/>
      <c r="E5" s="15"/>
      <c r="F5" s="16"/>
      <c r="G5" s="15"/>
      <c r="H5" s="15"/>
      <c r="I5" s="16"/>
    </row>
    <row r="6" spans="1:9" ht="13.15" x14ac:dyDescent="0.4">
      <c r="A6" s="15"/>
      <c r="B6" s="15"/>
      <c r="C6" s="15"/>
      <c r="D6" s="15"/>
      <c r="E6" s="15"/>
      <c r="F6" s="16"/>
      <c r="G6" s="15"/>
      <c r="H6" s="15"/>
      <c r="I6" s="16"/>
    </row>
    <row r="7" spans="1:9" ht="13.15" x14ac:dyDescent="0.4">
      <c r="A7" s="15"/>
      <c r="B7" s="15"/>
      <c r="C7" s="15"/>
      <c r="D7" s="15"/>
      <c r="E7" s="15"/>
      <c r="F7" s="16"/>
      <c r="G7" s="15"/>
      <c r="H7" s="15"/>
      <c r="I7" s="16"/>
    </row>
    <row r="8" spans="1:9" ht="13.15" x14ac:dyDescent="0.4">
      <c r="A8" s="15"/>
      <c r="B8" s="15"/>
      <c r="C8" s="15"/>
      <c r="D8" s="15"/>
      <c r="E8" s="15"/>
      <c r="F8" s="16"/>
      <c r="G8" s="15"/>
      <c r="H8" s="15"/>
      <c r="I8" s="16"/>
    </row>
    <row r="9" spans="1:9" ht="13.15" x14ac:dyDescent="0.4">
      <c r="A9" s="15"/>
      <c r="B9" s="15"/>
      <c r="C9" s="15"/>
      <c r="D9" s="15"/>
      <c r="E9" s="15"/>
      <c r="F9" s="16"/>
      <c r="G9" s="15"/>
      <c r="H9" s="15"/>
      <c r="I9" s="16"/>
    </row>
    <row r="10" spans="1:9" ht="13.15" x14ac:dyDescent="0.4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 x14ac:dyDescent="0.4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 x14ac:dyDescent="0.4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 x14ac:dyDescent="0.4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 x14ac:dyDescent="0.4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 x14ac:dyDescent="0.4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 x14ac:dyDescent="0.4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 x14ac:dyDescent="0.4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 x14ac:dyDescent="0.4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 x14ac:dyDescent="0.4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 x14ac:dyDescent="0.4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 x14ac:dyDescent="0.4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 x14ac:dyDescent="0.4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 x14ac:dyDescent="0.4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 x14ac:dyDescent="0.4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 x14ac:dyDescent="0.4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 x14ac:dyDescent="0.4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 x14ac:dyDescent="0.4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 x14ac:dyDescent="0.4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 x14ac:dyDescent="0.4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 x14ac:dyDescent="0.4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 x14ac:dyDescent="0.4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 x14ac:dyDescent="0.4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 x14ac:dyDescent="0.4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 x14ac:dyDescent="0.4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 x14ac:dyDescent="0.4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 x14ac:dyDescent="0.4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 x14ac:dyDescent="0.4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 x14ac:dyDescent="0.4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 x14ac:dyDescent="0.4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 x14ac:dyDescent="0.4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 x14ac:dyDescent="0.4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 x14ac:dyDescent="0.4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 x14ac:dyDescent="0.4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 x14ac:dyDescent="0.4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 x14ac:dyDescent="0.4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 x14ac:dyDescent="0.4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 x14ac:dyDescent="0.4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 x14ac:dyDescent="0.4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 x14ac:dyDescent="0.4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 x14ac:dyDescent="0.4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 x14ac:dyDescent="0.4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 x14ac:dyDescent="0.4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 x14ac:dyDescent="0.4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 x14ac:dyDescent="0.4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 x14ac:dyDescent="0.4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 x14ac:dyDescent="0.4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 x14ac:dyDescent="0.4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 x14ac:dyDescent="0.4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 x14ac:dyDescent="0.4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 x14ac:dyDescent="0.4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 x14ac:dyDescent="0.4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 x14ac:dyDescent="0.4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 x14ac:dyDescent="0.4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 x14ac:dyDescent="0.4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 x14ac:dyDescent="0.4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 x14ac:dyDescent="0.4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 x14ac:dyDescent="0.4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 x14ac:dyDescent="0.4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 x14ac:dyDescent="0.4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 x14ac:dyDescent="0.4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 x14ac:dyDescent="0.4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 x14ac:dyDescent="0.4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 x14ac:dyDescent="0.4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 x14ac:dyDescent="0.4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 x14ac:dyDescent="0.4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 x14ac:dyDescent="0.4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 x14ac:dyDescent="0.4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 x14ac:dyDescent="0.4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 x14ac:dyDescent="0.4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 x14ac:dyDescent="0.4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 x14ac:dyDescent="0.4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 x14ac:dyDescent="0.4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 x14ac:dyDescent="0.4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 x14ac:dyDescent="0.4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 x14ac:dyDescent="0.4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 x14ac:dyDescent="0.4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 x14ac:dyDescent="0.4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 x14ac:dyDescent="0.4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 x14ac:dyDescent="0.4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 x14ac:dyDescent="0.4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 x14ac:dyDescent="0.4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 x14ac:dyDescent="0.4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 x14ac:dyDescent="0.4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 x14ac:dyDescent="0.4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 x14ac:dyDescent="0.4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 x14ac:dyDescent="0.4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 x14ac:dyDescent="0.4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 x14ac:dyDescent="0.4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 x14ac:dyDescent="0.4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 x14ac:dyDescent="0.4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 x14ac:dyDescent="0.4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 x14ac:dyDescent="0.4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 x14ac:dyDescent="0.4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 x14ac:dyDescent="0.4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 x14ac:dyDescent="0.4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 x14ac:dyDescent="0.4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 x14ac:dyDescent="0.4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 x14ac:dyDescent="0.4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 x14ac:dyDescent="0.4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 x14ac:dyDescent="0.4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 x14ac:dyDescent="0.4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 x14ac:dyDescent="0.4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 x14ac:dyDescent="0.4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 x14ac:dyDescent="0.4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 x14ac:dyDescent="0.4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 x14ac:dyDescent="0.4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 x14ac:dyDescent="0.4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 x14ac:dyDescent="0.4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 x14ac:dyDescent="0.4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 x14ac:dyDescent="0.4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 x14ac:dyDescent="0.4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 x14ac:dyDescent="0.4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 x14ac:dyDescent="0.4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 x14ac:dyDescent="0.4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 x14ac:dyDescent="0.4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 x14ac:dyDescent="0.4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 x14ac:dyDescent="0.4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 x14ac:dyDescent="0.4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 x14ac:dyDescent="0.4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 x14ac:dyDescent="0.4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 x14ac:dyDescent="0.4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 x14ac:dyDescent="0.4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 x14ac:dyDescent="0.4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 x14ac:dyDescent="0.4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 x14ac:dyDescent="0.4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 x14ac:dyDescent="0.4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 x14ac:dyDescent="0.4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 x14ac:dyDescent="0.4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 x14ac:dyDescent="0.4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 x14ac:dyDescent="0.4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 x14ac:dyDescent="0.4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 x14ac:dyDescent="0.4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 x14ac:dyDescent="0.4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 x14ac:dyDescent="0.4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 x14ac:dyDescent="0.4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 x14ac:dyDescent="0.4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 x14ac:dyDescent="0.4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 x14ac:dyDescent="0.4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 x14ac:dyDescent="0.4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 x14ac:dyDescent="0.4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 x14ac:dyDescent="0.4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 x14ac:dyDescent="0.4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 x14ac:dyDescent="0.4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 x14ac:dyDescent="0.4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 x14ac:dyDescent="0.4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 x14ac:dyDescent="0.4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 x14ac:dyDescent="0.4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 x14ac:dyDescent="0.4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 x14ac:dyDescent="0.4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 x14ac:dyDescent="0.4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 x14ac:dyDescent="0.4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 x14ac:dyDescent="0.4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 x14ac:dyDescent="0.4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 x14ac:dyDescent="0.4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 x14ac:dyDescent="0.4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 x14ac:dyDescent="0.4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 x14ac:dyDescent="0.4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 x14ac:dyDescent="0.4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 x14ac:dyDescent="0.4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 x14ac:dyDescent="0.4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 x14ac:dyDescent="0.4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 x14ac:dyDescent="0.4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 x14ac:dyDescent="0.4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 x14ac:dyDescent="0.4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 x14ac:dyDescent="0.4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 x14ac:dyDescent="0.4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 x14ac:dyDescent="0.4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 x14ac:dyDescent="0.4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 x14ac:dyDescent="0.4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 x14ac:dyDescent="0.4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 x14ac:dyDescent="0.4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 x14ac:dyDescent="0.4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 x14ac:dyDescent="0.4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 x14ac:dyDescent="0.4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 x14ac:dyDescent="0.4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 x14ac:dyDescent="0.4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 x14ac:dyDescent="0.4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 x14ac:dyDescent="0.4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 x14ac:dyDescent="0.4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 x14ac:dyDescent="0.4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 x14ac:dyDescent="0.4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 x14ac:dyDescent="0.4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 x14ac:dyDescent="0.4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 x14ac:dyDescent="0.4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 x14ac:dyDescent="0.4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 x14ac:dyDescent="0.4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 x14ac:dyDescent="0.4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 x14ac:dyDescent="0.4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 x14ac:dyDescent="0.4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 x14ac:dyDescent="0.4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 x14ac:dyDescent="0.4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 x14ac:dyDescent="0.4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 x14ac:dyDescent="0.4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 x14ac:dyDescent="0.4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 x14ac:dyDescent="0.4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 x14ac:dyDescent="0.4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 x14ac:dyDescent="0.4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 x14ac:dyDescent="0.4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 x14ac:dyDescent="0.4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 x14ac:dyDescent="0.4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 x14ac:dyDescent="0.4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 x14ac:dyDescent="0.4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 x14ac:dyDescent="0.4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 x14ac:dyDescent="0.4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 x14ac:dyDescent="0.4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 x14ac:dyDescent="0.4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 x14ac:dyDescent="0.4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 x14ac:dyDescent="0.4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 x14ac:dyDescent="0.4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 x14ac:dyDescent="0.4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 x14ac:dyDescent="0.4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 x14ac:dyDescent="0.4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 x14ac:dyDescent="0.4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 x14ac:dyDescent="0.4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 x14ac:dyDescent="0.4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 x14ac:dyDescent="0.4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 x14ac:dyDescent="0.4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 x14ac:dyDescent="0.4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 x14ac:dyDescent="0.4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 x14ac:dyDescent="0.4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 x14ac:dyDescent="0.4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 x14ac:dyDescent="0.4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 x14ac:dyDescent="0.4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 x14ac:dyDescent="0.4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 x14ac:dyDescent="0.4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 x14ac:dyDescent="0.4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 x14ac:dyDescent="0.4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 x14ac:dyDescent="0.4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 x14ac:dyDescent="0.4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 x14ac:dyDescent="0.4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 x14ac:dyDescent="0.4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 x14ac:dyDescent="0.4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 x14ac:dyDescent="0.4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 x14ac:dyDescent="0.4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 x14ac:dyDescent="0.4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 x14ac:dyDescent="0.4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 x14ac:dyDescent="0.4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 x14ac:dyDescent="0.4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 x14ac:dyDescent="0.4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 x14ac:dyDescent="0.4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 x14ac:dyDescent="0.4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 x14ac:dyDescent="0.4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 x14ac:dyDescent="0.4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 x14ac:dyDescent="0.4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 x14ac:dyDescent="0.4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 x14ac:dyDescent="0.4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 x14ac:dyDescent="0.4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 x14ac:dyDescent="0.4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 x14ac:dyDescent="0.4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 x14ac:dyDescent="0.4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 x14ac:dyDescent="0.4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 x14ac:dyDescent="0.4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 x14ac:dyDescent="0.4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 x14ac:dyDescent="0.4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 x14ac:dyDescent="0.4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 x14ac:dyDescent="0.4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 x14ac:dyDescent="0.4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 x14ac:dyDescent="0.4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 x14ac:dyDescent="0.4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 x14ac:dyDescent="0.4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 x14ac:dyDescent="0.4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 x14ac:dyDescent="0.4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 x14ac:dyDescent="0.4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 x14ac:dyDescent="0.4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 x14ac:dyDescent="0.4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 x14ac:dyDescent="0.4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 x14ac:dyDescent="0.4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 x14ac:dyDescent="0.4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 x14ac:dyDescent="0.4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 x14ac:dyDescent="0.4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 x14ac:dyDescent="0.4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 x14ac:dyDescent="0.4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 x14ac:dyDescent="0.4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 x14ac:dyDescent="0.4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 x14ac:dyDescent="0.4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 x14ac:dyDescent="0.4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 x14ac:dyDescent="0.4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 x14ac:dyDescent="0.4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 x14ac:dyDescent="0.4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 x14ac:dyDescent="0.4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 x14ac:dyDescent="0.4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 x14ac:dyDescent="0.4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 x14ac:dyDescent="0.4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 x14ac:dyDescent="0.4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 x14ac:dyDescent="0.4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 x14ac:dyDescent="0.4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 x14ac:dyDescent="0.4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 x14ac:dyDescent="0.4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 x14ac:dyDescent="0.4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 x14ac:dyDescent="0.4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 x14ac:dyDescent="0.4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 x14ac:dyDescent="0.4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 x14ac:dyDescent="0.4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 x14ac:dyDescent="0.4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 x14ac:dyDescent="0.4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 x14ac:dyDescent="0.4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F4" activePane="bottomRight" state="frozen"/>
      <selection pane="topRight" activeCell="H17" sqref="H17"/>
      <selection pane="bottomLeft" activeCell="H17" sqref="H17"/>
      <selection pane="bottomRight" activeCell="J8" sqref="J8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SUM(C4:C63)</f>
        <v>106172</v>
      </c>
      <c r="D2" s="5">
        <f>SUM(D4:D63)</f>
        <v>130820.8</v>
      </c>
      <c r="E2" s="5">
        <f>C2-D2</f>
        <v>-24648.800000000003</v>
      </c>
      <c r="F2" s="6">
        <f>IFERROR(E2/D2, 0)</f>
        <v>-0.18841652092022065</v>
      </c>
      <c r="G2" s="5">
        <f>SUM(G4:G63)</f>
        <v>119585.7</v>
      </c>
      <c r="H2" s="7">
        <f>C2-G2</f>
        <v>-13413.699999999997</v>
      </c>
      <c r="I2" s="6">
        <f>IFERROR(H2/G2, 0)</f>
        <v>-0.1121680936767523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2.75" x14ac:dyDescent="0.5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1">
        <v>106172</v>
      </c>
      <c r="D4" s="11">
        <v>130820.8</v>
      </c>
      <c r="E4" s="11">
        <f>IF(AND(ISNUMBER(C4),ISNUMBER(D4)), C4-D4, "")</f>
        <v>-24648.800000000003</v>
      </c>
      <c r="F4" s="34">
        <f>IFERROR(E4/D4, "")</f>
        <v>-0.18841652092022065</v>
      </c>
      <c r="G4" s="13">
        <v>119585.7</v>
      </c>
      <c r="H4" s="13">
        <f>IF(AND(ISNUMBER(C4),ISNUMBER(G4)), C4-G4, "")</f>
        <v>-13413.699999999997</v>
      </c>
      <c r="I4" s="14">
        <f>IFERROR(H4/G4, "")</f>
        <v>-0.1121680936767523</v>
      </c>
      <c r="J4" s="32" t="s">
        <v>22</v>
      </c>
      <c r="K4" s="43" t="s">
        <v>23</v>
      </c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</sheetData>
  <mergeCells count="4">
    <mergeCell ref="D1:F1"/>
    <mergeCell ref="A1:C1"/>
    <mergeCell ref="G1:I1"/>
    <mergeCell ref="A2:B2"/>
  </mergeCells>
  <conditionalFormatting sqref="F2 I2 I4:I63 F5:F63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hyperlinks>
    <hyperlink ref="K4" r:id="rId1" display="https://us3.assetplanner.com/service_request?ID=095876" xr:uid="{85EB2569-529C-48BF-836A-CFF59F126A4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6"/>
  <sheetViews>
    <sheetView workbookViewId="0">
      <pane xSplit="2" ySplit="3" topLeftCell="C4" activePane="bottomRight" state="frozen"/>
      <selection pane="topRight" activeCell="H17" sqref="H17"/>
      <selection pane="bottomLeft" activeCell="H17" sqref="H17"/>
      <selection pane="bottomRight" activeCell="J4" sqref="J4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115882</v>
      </c>
      <c r="D2" s="5">
        <f>SUM(D4:D64)</f>
        <v>152671.79999999999</v>
      </c>
      <c r="E2" s="5">
        <f>C2-D2</f>
        <v>-36789.799999999988</v>
      </c>
      <c r="F2" s="6">
        <f>IFERROR(E2/D2, 0)</f>
        <v>-0.24097312011779512</v>
      </c>
      <c r="G2" s="5">
        <f>SUM(G4:G64)</f>
        <v>152977</v>
      </c>
      <c r="H2" s="7">
        <f>C2-G2</f>
        <v>-37095</v>
      </c>
      <c r="I2" s="6">
        <f>IFERROR(H2/G2, 0)</f>
        <v>-0.24248743275132864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5" x14ac:dyDescent="0.5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8">
        <v>115882</v>
      </c>
      <c r="D4" s="11">
        <v>152671.79999999999</v>
      </c>
      <c r="E4" s="11">
        <f>IF(AND(ISNUMBER(C4),ISNUMBER(D4)), C4-D4, "")</f>
        <v>-36789.799999999988</v>
      </c>
      <c r="F4" s="12">
        <f>IFERROR(E4/D4, "")</f>
        <v>-0.24097312011779512</v>
      </c>
      <c r="G4" s="13">
        <v>152977</v>
      </c>
      <c r="H4" s="13">
        <f>IF(AND(ISNUMBER(C4),ISNUMBER(G4)), C4-G4, "")</f>
        <v>-37095</v>
      </c>
      <c r="I4" s="14">
        <f>IFERROR(H4/G4, "")</f>
        <v>-0.24248743275132864</v>
      </c>
      <c r="J4" s="32" t="s">
        <v>26</v>
      </c>
      <c r="K4" s="32"/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6"/>
  <sheetViews>
    <sheetView zoomScale="70" zoomScaleNormal="70" workbookViewId="0">
      <pane xSplit="2" ySplit="3" topLeftCell="C4" activePane="bottomRight" state="frozen"/>
      <selection pane="topRight" activeCell="H17" sqref="H17"/>
      <selection pane="bottomLeft" activeCell="H17" sqref="H17"/>
      <selection pane="bottomRight" activeCell="I11" sqref="I11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27</v>
      </c>
      <c r="E1" s="46"/>
      <c r="F1" s="46"/>
      <c r="G1" s="44" t="s">
        <v>28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223394</v>
      </c>
      <c r="D2" s="5">
        <f>SUM(D4:D64)</f>
        <v>220623.8</v>
      </c>
      <c r="E2" s="5">
        <f>C2-D2</f>
        <v>2770.2000000000116</v>
      </c>
      <c r="F2" s="6">
        <f>IFERROR(E2/D2, 0)</f>
        <v>1.2556215603212399E-2</v>
      </c>
      <c r="G2" s="5">
        <f>SUM(G4:G64)</f>
        <v>230209.6</v>
      </c>
      <c r="H2" s="7">
        <f>C2-G2</f>
        <v>-6815.6000000000058</v>
      </c>
      <c r="I2" s="6">
        <f>IFERROR(H2/G2, 0)</f>
        <v>-2.9606063344013479E-2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 x14ac:dyDescent="0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223394</v>
      </c>
      <c r="D4" s="11">
        <v>220623.8</v>
      </c>
      <c r="E4" s="11">
        <f>IF(AND(ISNUMBER(C4),ISNUMBER(D4)), C4-D4, "")</f>
        <v>2770.2000000000116</v>
      </c>
      <c r="F4" s="12">
        <f>IFERROR(E4/D4, "")</f>
        <v>1.2556215603212399E-2</v>
      </c>
      <c r="G4" s="13">
        <v>230209.6</v>
      </c>
      <c r="H4" s="13">
        <f>IF(AND(ISNUMBER(C4),ISNUMBER(G4)), C4-G4, "")</f>
        <v>-6815.6000000000058</v>
      </c>
      <c r="I4" s="14">
        <f>IFERROR(H4/G4, "")</f>
        <v>-2.9606063344013479E-2</v>
      </c>
      <c r="J4" s="42"/>
      <c r="K4" s="42"/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6"/>
  <sheetViews>
    <sheetView zoomScale="80" zoomScaleNormal="80" workbookViewId="0">
      <pane xSplit="2" ySplit="3" topLeftCell="C4" activePane="bottomRight" state="frozen"/>
      <selection pane="topRight" activeCell="H17" sqref="H17"/>
      <selection pane="bottomLeft" activeCell="H17" sqref="H17"/>
      <selection pane="bottomRight" activeCell="H22" sqref="H22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29</v>
      </c>
      <c r="E1" s="46"/>
      <c r="F1" s="46"/>
      <c r="G1" s="44" t="s">
        <v>30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250538</v>
      </c>
      <c r="D2" s="5">
        <f>SUM(D4:D64)</f>
        <v>252079.054</v>
      </c>
      <c r="E2" s="5">
        <f>C2-D2</f>
        <v>-1541.0540000000037</v>
      </c>
      <c r="F2" s="6">
        <f>IFERROR(E2/D2, 0)</f>
        <v>-6.1133758459756982E-3</v>
      </c>
      <c r="G2" s="5">
        <f>SUM(G4:G64)</f>
        <v>249148.81899999999</v>
      </c>
      <c r="H2" s="7">
        <f>C2-G2</f>
        <v>1389.1810000000114</v>
      </c>
      <c r="I2" s="6">
        <f>IFERROR(H2/G2, 0)</f>
        <v>5.5757077459797693E-3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 x14ac:dyDescent="0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250538</v>
      </c>
      <c r="D4" s="11">
        <v>252079.054</v>
      </c>
      <c r="E4" s="11">
        <f>IF(AND(ISNUMBER(C4),ISNUMBER(D4)), C4-D4, "")</f>
        <v>-1541.0540000000037</v>
      </c>
      <c r="F4" s="12">
        <f>IFERROR(E4/D4, "")</f>
        <v>-6.1133758459756982E-3</v>
      </c>
      <c r="G4" s="13">
        <v>249148.81899999999</v>
      </c>
      <c r="H4" s="13">
        <f>IF(AND(ISNUMBER(C4),ISNUMBER(G4)), C4-G4, "")</f>
        <v>1389.1810000000114</v>
      </c>
      <c r="I4" s="14">
        <f>IFERROR(H4/G4, "")</f>
        <v>5.5757077459797693E-3</v>
      </c>
      <c r="J4" s="32"/>
      <c r="K4" s="32"/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6"/>
  <sheetViews>
    <sheetView zoomScale="80" zoomScaleNormal="80" workbookViewId="0">
      <pane xSplit="2" ySplit="3" topLeftCell="C4" activePane="bottomRight" state="frozen"/>
      <selection pane="topRight" activeCell="H17" sqref="H17"/>
      <selection pane="bottomLeft" activeCell="H17" sqref="H17"/>
      <selection pane="bottomRight" activeCell="K4" sqref="K4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31</v>
      </c>
      <c r="E1" s="46"/>
      <c r="F1" s="46"/>
      <c r="G1" s="44" t="s">
        <v>32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255650</v>
      </c>
      <c r="D2" s="5">
        <f>SUM(D4:D64)</f>
        <v>257707.554</v>
      </c>
      <c r="E2" s="5">
        <f>C2-D2</f>
        <v>-2057.5540000000037</v>
      </c>
      <c r="F2" s="6">
        <f>IFERROR(E2/D2, 0)</f>
        <v>-7.9840655349978744E-3</v>
      </c>
      <c r="G2" s="5">
        <f>SUM(G4:G64)</f>
        <v>287957.88299999997</v>
      </c>
      <c r="H2" s="7">
        <f>C2-G2</f>
        <v>-32307.882999999973</v>
      </c>
      <c r="I2" s="6">
        <f>IFERROR(H2/G2, 0)</f>
        <v>-0.11219655688328552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5" x14ac:dyDescent="0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255650</v>
      </c>
      <c r="D4" s="11">
        <v>257707.554</v>
      </c>
      <c r="E4" s="11">
        <f>IF(AND(ISNUMBER(C4),ISNUMBER(D4)), C4-D4, "")</f>
        <v>-2057.5540000000037</v>
      </c>
      <c r="F4" s="12">
        <f>IFERROR(E4/D4, "")</f>
        <v>-7.9840655349978744E-3</v>
      </c>
      <c r="G4" s="13">
        <v>287957.88299999997</v>
      </c>
      <c r="H4" s="13">
        <f>IF(AND(ISNUMBER(C4),ISNUMBER(G4)), C4-G4, "")</f>
        <v>-32307.882999999973</v>
      </c>
      <c r="I4" s="14">
        <f>IFERROR(H4/G4, "")</f>
        <v>-0.11219655688328552</v>
      </c>
      <c r="J4" s="32" t="s">
        <v>33</v>
      </c>
      <c r="K4" s="32" t="s">
        <v>34</v>
      </c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6"/>
  <sheetViews>
    <sheetView zoomScale="80" zoomScaleNormal="80" workbookViewId="0">
      <pane xSplit="2" ySplit="3" topLeftCell="E4" activePane="bottomRight" state="frozen"/>
      <selection pane="topRight" activeCell="H17" sqref="H17"/>
      <selection pane="bottomLeft" activeCell="H17" sqref="H17"/>
      <selection pane="bottomRight" activeCell="J4" sqref="J4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35</v>
      </c>
      <c r="E1" s="46"/>
      <c r="F1" s="46"/>
      <c r="G1" s="44" t="s">
        <v>36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269422</v>
      </c>
      <c r="D2" s="5">
        <f>SUM(D4:D64)</f>
        <v>288071.69400000002</v>
      </c>
      <c r="E2" s="5">
        <f>C2-D2</f>
        <v>-18649.694000000018</v>
      </c>
      <c r="F2" s="6">
        <f>IFERROR(E2/D2, 0)</f>
        <v>-6.4739765788998399E-2</v>
      </c>
      <c r="G2" s="5">
        <f>SUM(G4:G64)</f>
        <v>285176.61200000002</v>
      </c>
      <c r="H2" s="7">
        <f>C2-G2</f>
        <v>-15754.612000000023</v>
      </c>
      <c r="I2" s="6">
        <f>IFERROR(H2/G2, 0)</f>
        <v>-5.524510544364003E-2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2.75" x14ac:dyDescent="0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269422</v>
      </c>
      <c r="D4" s="11">
        <v>288071.69400000002</v>
      </c>
      <c r="E4" s="11">
        <f>IF(AND(ISNUMBER(C4),ISNUMBER(D4)), C4-D4, "")</f>
        <v>-18649.694000000018</v>
      </c>
      <c r="F4" s="12">
        <f>IFERROR(E4/D4, "")</f>
        <v>-6.4739765788998399E-2</v>
      </c>
      <c r="G4" s="13">
        <v>285176.61200000002</v>
      </c>
      <c r="H4" s="13">
        <f>IF(AND(ISNUMBER(C4),ISNUMBER(G4)), C4-G4, "")</f>
        <v>-15754.612000000023</v>
      </c>
      <c r="I4" s="14">
        <f>IFERROR(H4/G4, "")</f>
        <v>-5.524510544364003E-2</v>
      </c>
      <c r="J4" s="32" t="s">
        <v>37</v>
      </c>
      <c r="K4" s="43" t="s">
        <v>38</v>
      </c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103447" xr:uid="{B40BE45C-808D-48DA-B2F7-FFE8683553D1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6"/>
  <sheetViews>
    <sheetView tabSelected="1" workbookViewId="0">
      <pane xSplit="2" ySplit="3" topLeftCell="C4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216438</v>
      </c>
      <c r="D2" s="5">
        <f>SUM(D4:D64)</f>
        <v>293696.90000000002</v>
      </c>
      <c r="E2" s="5">
        <f>C2-D2</f>
        <v>-77258.900000000023</v>
      </c>
      <c r="F2" s="6">
        <f>IFERROR(E2/D2, 0)</f>
        <v>-0.26305657294986778</v>
      </c>
      <c r="G2" s="5">
        <f>SUM(G4:G64)</f>
        <v>286558.40000000002</v>
      </c>
      <c r="H2" s="7">
        <f>C2-G2</f>
        <v>-70120.400000000023</v>
      </c>
      <c r="I2" s="6">
        <f>IFERROR(H2/G2, 0)</f>
        <v>-0.24469846286132257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2.75" x14ac:dyDescent="0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216438</v>
      </c>
      <c r="D4" s="11">
        <v>293696.90000000002</v>
      </c>
      <c r="E4" s="11">
        <f>IF(AND(ISNUMBER(C4),ISNUMBER(D4)), C4-D4, "")</f>
        <v>-77258.900000000023</v>
      </c>
      <c r="F4" s="12">
        <f>IFERROR(E4/D4, "")</f>
        <v>-0.26305657294986778</v>
      </c>
      <c r="G4" s="13">
        <v>286558.40000000002</v>
      </c>
      <c r="H4" s="13">
        <f>IF(AND(ISNUMBER(C4),ISNUMBER(G4)), C4-G4, "")</f>
        <v>-70120.400000000023</v>
      </c>
      <c r="I4" s="14">
        <f>IFERROR(H4/G4, "")</f>
        <v>-0.24469846286132257</v>
      </c>
      <c r="J4" s="32" t="s">
        <v>37</v>
      </c>
      <c r="K4" s="43" t="s">
        <v>38</v>
      </c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103447" xr:uid="{71BAC8F3-1D74-493D-B956-9EE5BF1D7220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6"/>
  <sheetViews>
    <sheetView tabSelected="1" workbookViewId="0">
      <pane xSplit="2" ySplit="3" topLeftCell="C4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41</v>
      </c>
      <c r="E1" s="46"/>
      <c r="F1" s="46"/>
      <c r="G1" s="44" t="s">
        <v>42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217760</v>
      </c>
      <c r="D2" s="5">
        <f>SUM(D4:D64)</f>
        <v>264526</v>
      </c>
      <c r="E2" s="5">
        <f>C2-D2</f>
        <v>-46766</v>
      </c>
      <c r="F2" s="6">
        <f>IFERROR(E2/D2, 0)</f>
        <v>-0.17679169533429606</v>
      </c>
      <c r="G2" s="5">
        <f>SUM(G4:G64)</f>
        <v>269305.90000000002</v>
      </c>
      <c r="H2" s="7">
        <f>C2-G2</f>
        <v>-51545.900000000023</v>
      </c>
      <c r="I2" s="6">
        <f>IFERROR(H2/G2, 0)</f>
        <v>-0.19140278768493382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" x14ac:dyDescent="0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217760</v>
      </c>
      <c r="D4" s="11">
        <v>264526</v>
      </c>
      <c r="E4" s="11">
        <f>IF(AND(ISNUMBER(C4),ISNUMBER(D4)), C4-D4, "")</f>
        <v>-46766</v>
      </c>
      <c r="F4" s="12">
        <f>IFERROR(E4/D4, "")</f>
        <v>-0.17679169533429606</v>
      </c>
      <c r="G4" s="13">
        <v>269305.90000000002</v>
      </c>
      <c r="H4" s="13">
        <f>IF(AND(ISNUMBER(C4),ISNUMBER(G4)), C4-G4, "")</f>
        <v>-51545.900000000023</v>
      </c>
      <c r="I4" s="14">
        <f>IFERROR(H4/G4, "")</f>
        <v>-0.19140278768493382</v>
      </c>
      <c r="J4" s="32" t="s">
        <v>43</v>
      </c>
      <c r="K4" s="43" t="s">
        <v>44</v>
      </c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6"/>
  <sheetViews>
    <sheetView tabSelected="1" workbookViewId="0">
      <pane xSplit="2" ySplit="3" topLeftCell="C4" activePane="bottomRight" state="frozen"/>
      <selection activeCell="F20" sqref="F19:F20"/>
      <selection pane="topRight" activeCell="F20" sqref="F19:F20"/>
      <selection pane="bottomLeft" activeCell="F20" sqref="F19:F20"/>
      <selection pane="bottomRight" activeCell="I12" sqref="I12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45</v>
      </c>
      <c r="E1" s="46"/>
      <c r="F1" s="46"/>
      <c r="G1" s="44" t="s">
        <v>46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221710</v>
      </c>
      <c r="D2" s="5">
        <f>SUM(D4:D64)</f>
        <v>216771.32699999999</v>
      </c>
      <c r="E2" s="5">
        <f>C2-D2</f>
        <v>4938.6730000000098</v>
      </c>
      <c r="F2" s="6">
        <f>IFERROR(E2/D2, 0)</f>
        <v>2.2782870171754819E-2</v>
      </c>
      <c r="G2" s="5">
        <f>SUM(G4:G64)</f>
        <v>220131.709</v>
      </c>
      <c r="H2" s="7">
        <f>C2-G2</f>
        <v>1578.2909999999974</v>
      </c>
      <c r="I2" s="6">
        <f>IFERROR(H2/G2, 0)</f>
        <v>7.1697576290565088E-3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2.75" x14ac:dyDescent="0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221710</v>
      </c>
      <c r="D4" s="11">
        <v>216771.32699999999</v>
      </c>
      <c r="E4" s="11">
        <f>IF(AND(ISNUMBER(C4),ISNUMBER(D4)), C4-D4, "")</f>
        <v>4938.6730000000098</v>
      </c>
      <c r="F4" s="12">
        <f>IFERROR(E4/D4, "")</f>
        <v>2.2782870171754819E-2</v>
      </c>
      <c r="G4" s="13">
        <v>220131.709</v>
      </c>
      <c r="H4" s="13">
        <f>IF(AND(ISNUMBER(C4),ISNUMBER(G4)), C4-G4, "")</f>
        <v>1578.2909999999974</v>
      </c>
      <c r="I4" s="14">
        <f>IFERROR(H4/G4, "")</f>
        <v>7.1697576290565088E-3</v>
      </c>
      <c r="J4" s="32" t="s">
        <v>47</v>
      </c>
      <c r="K4" s="43" t="s">
        <v>48</v>
      </c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6"/>
  <sheetViews>
    <sheetView workbookViewId="0">
      <pane xSplit="2" ySplit="3" topLeftCell="C4" activePane="bottomRight" state="frozen"/>
      <selection pane="topRight" activeCell="H17" sqref="H17"/>
      <selection pane="bottomLeft" activeCell="H17" sqref="H17"/>
      <selection pane="bottomRight" activeCell="H17" sqref="H17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49</v>
      </c>
      <c r="E1" s="46"/>
      <c r="F1" s="46"/>
      <c r="G1" s="44" t="s">
        <v>50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 x14ac:dyDescent="0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6"/>
  <sheetViews>
    <sheetView workbookViewId="0">
      <pane xSplit="2" ySplit="3" topLeftCell="C4" activePane="bottomRight" state="frozen"/>
      <selection pane="topRight" activeCell="H17" sqref="H17"/>
      <selection pane="bottomLeft" activeCell="H17" sqref="H17"/>
      <selection pane="bottomRight" activeCell="H17" sqref="H17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51</v>
      </c>
      <c r="E1" s="46"/>
      <c r="F1" s="46"/>
      <c r="G1" s="44" t="s">
        <v>52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 x14ac:dyDescent="0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6"/>
  <sheetViews>
    <sheetView workbookViewId="0">
      <pane xSplit="2" ySplit="3" topLeftCell="C4" activePane="bottomRight" state="frozen"/>
      <selection pane="topRight" activeCell="H23" sqref="H23"/>
      <selection pane="bottomLeft" activeCell="H23" sqref="H23"/>
      <selection pane="bottomRight" activeCell="H17" sqref="H17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45" t="str" cm="1">
        <f t="array" ref="A1">portfolio</f>
        <v>One United (Cheer Pack)</v>
      </c>
      <c r="B1" s="45"/>
      <c r="C1" s="45"/>
      <c r="D1" s="46" t="s">
        <v>53</v>
      </c>
      <c r="E1" s="46"/>
      <c r="F1" s="46"/>
      <c r="G1" s="44" t="s">
        <v>54</v>
      </c>
      <c r="H1" s="44"/>
      <c r="I1" s="44"/>
      <c r="J1" s="4"/>
      <c r="K1" s="4"/>
    </row>
    <row r="2" spans="1:11" ht="19.5" customHeight="1" x14ac:dyDescent="0.35">
      <c r="A2" s="47" t="s">
        <v>2</v>
      </c>
      <c r="B2" s="47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 x14ac:dyDescent="0.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 x14ac:dyDescent="0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 x14ac:dyDescent="0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 x14ac:dyDescent="0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 x14ac:dyDescent="0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 x14ac:dyDescent="0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 x14ac:dyDescent="0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 x14ac:dyDescent="0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 x14ac:dyDescent="0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 x14ac:dyDescent="0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 x14ac:dyDescent="0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 x14ac:dyDescent="0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 x14ac:dyDescent="0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3.9" x14ac:dyDescent="0.4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2" sqref="D12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55</v>
      </c>
      <c r="B1" t="s">
        <v>56</v>
      </c>
    </row>
    <row r="3" spans="1:12" x14ac:dyDescent="0.35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12" ht="14.25" x14ac:dyDescent="0.45">
      <c r="A4" s="38" t="s">
        <v>60</v>
      </c>
      <c r="B4" t="s">
        <v>61</v>
      </c>
      <c r="C4" s="36" t="s">
        <v>62</v>
      </c>
      <c r="D4" s="40" t="s">
        <v>63</v>
      </c>
      <c r="E4" s="41" t="s">
        <v>64</v>
      </c>
      <c r="G4" s="3"/>
    </row>
    <row r="5" spans="1:12" ht="14.25" x14ac:dyDescent="0.45">
      <c r="A5" s="38"/>
      <c r="C5" s="36"/>
      <c r="D5" s="35"/>
      <c r="G5" s="3"/>
    </row>
    <row r="6" spans="1:12" ht="14.25" x14ac:dyDescent="0.45">
      <c r="A6" s="38"/>
      <c r="C6" s="36"/>
      <c r="D6" s="35"/>
      <c r="G6" s="3"/>
    </row>
    <row r="7" spans="1:12" ht="12.75" customHeight="1" x14ac:dyDescent="0.35">
      <c r="A7" s="38"/>
      <c r="C7" s="36"/>
      <c r="D7" s="35"/>
    </row>
    <row r="8" spans="1:12" ht="12.75" customHeight="1" x14ac:dyDescent="0.35">
      <c r="A8" s="38"/>
      <c r="C8" s="36"/>
      <c r="D8" s="35"/>
    </row>
    <row r="9" spans="1:12" ht="12.75" customHeight="1" x14ac:dyDescent="0.35">
      <c r="A9" s="38"/>
      <c r="C9" s="36"/>
      <c r="D9" s="35"/>
    </row>
    <row r="10" spans="1:12" ht="12.75" customHeight="1" x14ac:dyDescent="0.35">
      <c r="A10" s="38"/>
      <c r="C10" s="36"/>
      <c r="D10" s="35"/>
      <c r="K10" s="33"/>
      <c r="L10" s="33"/>
    </row>
    <row r="11" spans="1:12" ht="12.75" customHeight="1" x14ac:dyDescent="0.35">
      <c r="A11" s="38"/>
      <c r="C11" s="36"/>
      <c r="D11" s="35"/>
      <c r="K11" s="33"/>
      <c r="L11" s="33"/>
    </row>
    <row r="12" spans="1:12" ht="12.75" customHeight="1" x14ac:dyDescent="0.35">
      <c r="A12" s="38"/>
      <c r="C12" s="36"/>
      <c r="D12" s="35"/>
      <c r="K12" s="33"/>
      <c r="L12" s="33"/>
    </row>
    <row r="13" spans="1:12" ht="12.75" customHeight="1" x14ac:dyDescent="0.35">
      <c r="A13" s="38"/>
      <c r="C13" s="36"/>
      <c r="D13" s="35"/>
      <c r="K13" s="33"/>
      <c r="L13" s="33"/>
    </row>
    <row r="14" spans="1:12" ht="12.75" customHeight="1" x14ac:dyDescent="0.35">
      <c r="A14" s="38"/>
      <c r="C14" s="36"/>
      <c r="D14" s="35"/>
      <c r="K14" s="33"/>
      <c r="L14" s="33"/>
    </row>
    <row r="15" spans="1:12" ht="12.75" customHeight="1" x14ac:dyDescent="0.35">
      <c r="A15" s="38"/>
      <c r="C15" s="36"/>
      <c r="D15" s="35"/>
      <c r="K15" s="33"/>
      <c r="L15" s="33"/>
    </row>
    <row r="16" spans="1:12" ht="12.75" customHeight="1" x14ac:dyDescent="0.35">
      <c r="A16" s="38"/>
      <c r="C16" s="36"/>
      <c r="D16" s="35"/>
      <c r="K16" s="33"/>
      <c r="L16" s="33"/>
    </row>
    <row r="17" spans="1:12" ht="12.75" customHeight="1" x14ac:dyDescent="0.35">
      <c r="A17" s="38"/>
      <c r="C17" s="36"/>
      <c r="D17" s="35"/>
      <c r="K17" s="33"/>
      <c r="L17" s="33"/>
    </row>
    <row r="18" spans="1:12" ht="12.75" customHeight="1" x14ac:dyDescent="0.35">
      <c r="A18" s="38"/>
      <c r="C18" s="36"/>
      <c r="D18" s="35"/>
      <c r="K18" s="33"/>
      <c r="L18" s="33"/>
    </row>
    <row r="19" spans="1:12" ht="12.75" customHeight="1" x14ac:dyDescent="0.35">
      <c r="A19" s="38"/>
      <c r="C19" s="36"/>
      <c r="D19" s="35"/>
      <c r="K19" s="33"/>
      <c r="L19" s="33"/>
    </row>
    <row r="20" spans="1:12" ht="12.75" customHeight="1" x14ac:dyDescent="0.35">
      <c r="A20" s="38"/>
      <c r="C20" s="36"/>
      <c r="D20" s="35"/>
      <c r="K20" s="33"/>
      <c r="L20" s="33"/>
    </row>
    <row r="21" spans="1:12" ht="12.75" customHeight="1" x14ac:dyDescent="0.35">
      <c r="A21" s="38"/>
      <c r="C21" s="36"/>
      <c r="D21" s="35"/>
      <c r="K21" s="33"/>
      <c r="L21" s="33"/>
    </row>
    <row r="22" spans="1:12" ht="12.75" customHeight="1" x14ac:dyDescent="0.35">
      <c r="A22" s="38"/>
      <c r="C22" s="36"/>
      <c r="D22" s="35"/>
      <c r="K22" s="33"/>
      <c r="L22" s="33"/>
    </row>
    <row r="23" spans="1:12" ht="12.75" customHeight="1" x14ac:dyDescent="0.35">
      <c r="A23" s="38"/>
      <c r="C23" s="36"/>
      <c r="D23" s="35"/>
      <c r="K23" s="33"/>
      <c r="L23" s="33"/>
    </row>
    <row r="24" spans="1:12" ht="12.75" customHeight="1" x14ac:dyDescent="0.35">
      <c r="A24" s="38"/>
      <c r="C24" s="36"/>
      <c r="D24" s="35"/>
      <c r="K24" s="33"/>
      <c r="L24" s="33"/>
    </row>
    <row r="25" spans="1:12" ht="12.75" customHeight="1" x14ac:dyDescent="0.35">
      <c r="A25" s="38"/>
      <c r="C25" s="36"/>
      <c r="D25" s="35"/>
      <c r="K25" s="33"/>
      <c r="L25" s="33"/>
    </row>
    <row r="26" spans="1:12" ht="12.75" customHeight="1" x14ac:dyDescent="0.35">
      <c r="K26" s="33"/>
      <c r="L26" s="33"/>
    </row>
    <row r="27" spans="1:12" ht="12.75" customHeight="1" x14ac:dyDescent="0.35">
      <c r="K27" s="33"/>
      <c r="L27" s="33"/>
    </row>
    <row r="28" spans="1:12" ht="12.75" customHeight="1" x14ac:dyDescent="0.35">
      <c r="K28" s="33"/>
      <c r="L28" s="33"/>
    </row>
    <row r="29" spans="1:12" ht="12.75" customHeight="1" x14ac:dyDescent="0.35">
      <c r="K29" s="33"/>
      <c r="L29" s="33"/>
    </row>
    <row r="30" spans="1:12" ht="12.75" customHeight="1" x14ac:dyDescent="0.35">
      <c r="K30" s="33"/>
      <c r="L30" s="33"/>
    </row>
    <row r="31" spans="1:12" ht="12.75" customHeight="1" x14ac:dyDescent="0.35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4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5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0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1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4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6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7.xml><?xml version="1.0" encoding="utf-8"?>
<ds:datastoreItem xmlns:ds="http://schemas.openxmlformats.org/officeDocument/2006/customXml" ds:itemID="{C3998F40-D457-4C98-B1BB-B2146D5DD4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8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9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2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2025-10-15T06:13:52Z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