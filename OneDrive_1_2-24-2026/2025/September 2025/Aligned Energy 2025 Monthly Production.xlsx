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0" documentId="13_ncr:1_{DCA0E227-F50A-4C0C-AF5E-69E63DAA1232}" xr6:coauthVersionLast="47" xr6:coauthVersionMax="47" xr10:uidLastSave="{50B8A175-D34D-4DB0-BF81-922B11F3E2EF}"/>
  <bookViews>
    <workbookView xWindow="-108" yWindow="-108" windowWidth="23256" windowHeight="12456" tabRatio="866" firstSheet="2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E13" i="1"/>
  <c r="D13" i="1"/>
  <c r="C13" i="1"/>
  <c r="H13" i="34"/>
  <c r="G13" i="34"/>
  <c r="D13" i="34"/>
  <c r="E11" i="34"/>
  <c r="C13" i="34"/>
  <c r="E13" i="34" s="1"/>
  <c r="F13" i="34" s="1"/>
  <c r="I13" i="29"/>
  <c r="H13" i="29"/>
  <c r="G13" i="29"/>
  <c r="F13" i="29"/>
  <c r="E13" i="29"/>
  <c r="D13" i="29"/>
  <c r="C13" i="29"/>
  <c r="I13" i="28"/>
  <c r="H13" i="28"/>
  <c r="F13" i="28"/>
  <c r="E13" i="28"/>
  <c r="H12" i="34"/>
  <c r="G12" i="34"/>
  <c r="D12" i="34"/>
  <c r="C12" i="34"/>
  <c r="E12" i="34" s="1"/>
  <c r="F12" i="34" s="1"/>
  <c r="I12" i="29"/>
  <c r="H12" i="29"/>
  <c r="G12" i="29"/>
  <c r="F12" i="29"/>
  <c r="E12" i="29"/>
  <c r="D12" i="29"/>
  <c r="C11" i="29"/>
  <c r="C12" i="29"/>
  <c r="I12" i="18"/>
  <c r="H12" i="18"/>
  <c r="G12" i="18"/>
  <c r="F12" i="18"/>
  <c r="E12" i="18"/>
  <c r="D12" i="18"/>
  <c r="C12" i="18"/>
  <c r="I11" i="1"/>
  <c r="I12" i="1"/>
  <c r="H11" i="1"/>
  <c r="H12" i="1"/>
  <c r="G11" i="1"/>
  <c r="G12" i="1"/>
  <c r="F11" i="1"/>
  <c r="E12" i="1"/>
  <c r="F12" i="1" s="1"/>
  <c r="D12" i="1"/>
  <c r="C12" i="1"/>
  <c r="I12" i="28"/>
  <c r="H12" i="28"/>
  <c r="F12" i="28"/>
  <c r="E12" i="28"/>
  <c r="I8" i="28"/>
  <c r="H6" i="28"/>
  <c r="I6" i="28" s="1"/>
  <c r="H7" i="28"/>
  <c r="I7" i="28" s="1"/>
  <c r="H8" i="28"/>
  <c r="H9" i="28"/>
  <c r="I9" i="28" s="1"/>
  <c r="H10" i="28"/>
  <c r="I10" i="28" s="1"/>
  <c r="H11" i="28"/>
  <c r="I11" i="28" s="1"/>
  <c r="F8" i="28"/>
  <c r="E6" i="28"/>
  <c r="F6" i="28" s="1"/>
  <c r="E7" i="28"/>
  <c r="F7" i="28" s="1"/>
  <c r="E8" i="28"/>
  <c r="E9" i="28"/>
  <c r="F9" i="28" s="1"/>
  <c r="E10" i="28"/>
  <c r="F10" i="28" s="1"/>
  <c r="E11" i="28"/>
  <c r="F11" i="28" s="1"/>
  <c r="H6" i="27"/>
  <c r="I6" i="27"/>
  <c r="H7" i="27"/>
  <c r="I7" i="27"/>
  <c r="H8" i="27"/>
  <c r="I8" i="27"/>
  <c r="H9" i="27"/>
  <c r="I9" i="27"/>
  <c r="H10" i="27"/>
  <c r="I10" i="27"/>
  <c r="H11" i="27"/>
  <c r="I11" i="27"/>
  <c r="E6" i="27"/>
  <c r="F6" i="27"/>
  <c r="E7" i="27"/>
  <c r="F7" i="27"/>
  <c r="E8" i="27"/>
  <c r="F8" i="27"/>
  <c r="E9" i="27"/>
  <c r="F9" i="27"/>
  <c r="E10" i="27"/>
  <c r="F10" i="27"/>
  <c r="E11" i="27"/>
  <c r="F11" i="27"/>
  <c r="I8" i="26"/>
  <c r="I9" i="26"/>
  <c r="I10" i="26"/>
  <c r="I11" i="26"/>
  <c r="H8" i="26"/>
  <c r="H8" i="29" s="1"/>
  <c r="H9" i="26"/>
  <c r="H10" i="26"/>
  <c r="H11" i="26"/>
  <c r="F8" i="26"/>
  <c r="F9" i="26"/>
  <c r="F10" i="26"/>
  <c r="F11" i="26"/>
  <c r="E8" i="26"/>
  <c r="E9" i="26"/>
  <c r="E10" i="26"/>
  <c r="E11" i="26"/>
  <c r="H8" i="1"/>
  <c r="I8" i="1" s="1"/>
  <c r="H9" i="1"/>
  <c r="I9" i="1" s="1"/>
  <c r="H10" i="1"/>
  <c r="G8" i="1"/>
  <c r="G9" i="1"/>
  <c r="G10" i="1"/>
  <c r="I10" i="1" s="1"/>
  <c r="D8" i="1"/>
  <c r="D9" i="1"/>
  <c r="D10" i="1"/>
  <c r="D11" i="1"/>
  <c r="C8" i="1"/>
  <c r="E8" i="1" s="1"/>
  <c r="F8" i="1" s="1"/>
  <c r="C9" i="1"/>
  <c r="E9" i="1" s="1"/>
  <c r="F9" i="1" s="1"/>
  <c r="C10" i="1"/>
  <c r="E10" i="1" s="1"/>
  <c r="F10" i="1" s="1"/>
  <c r="C11" i="1"/>
  <c r="E11" i="1" s="1"/>
  <c r="H9" i="29"/>
  <c r="H9" i="34" s="1"/>
  <c r="H10" i="29"/>
  <c r="H10" i="34" s="1"/>
  <c r="H11" i="29"/>
  <c r="G8" i="29"/>
  <c r="G8" i="34" s="1"/>
  <c r="G9" i="29"/>
  <c r="G9" i="34" s="1"/>
  <c r="G10" i="29"/>
  <c r="I10" i="29" s="1"/>
  <c r="G11" i="29"/>
  <c r="D8" i="29"/>
  <c r="D8" i="34" s="1"/>
  <c r="D9" i="29"/>
  <c r="D10" i="29"/>
  <c r="D11" i="29"/>
  <c r="C8" i="29"/>
  <c r="C9" i="29"/>
  <c r="E9" i="29" s="1"/>
  <c r="F9" i="29" s="1"/>
  <c r="C10" i="29"/>
  <c r="I8" i="18"/>
  <c r="I9" i="18"/>
  <c r="I10" i="18"/>
  <c r="I11" i="18"/>
  <c r="H8" i="18"/>
  <c r="H9" i="18"/>
  <c r="H10" i="18"/>
  <c r="H11" i="18"/>
  <c r="G8" i="18"/>
  <c r="G9" i="18"/>
  <c r="G10" i="18"/>
  <c r="G11" i="18"/>
  <c r="E8" i="18"/>
  <c r="F8" i="18" s="1"/>
  <c r="E9" i="18"/>
  <c r="F9" i="18" s="1"/>
  <c r="E10" i="18"/>
  <c r="F10" i="18" s="1"/>
  <c r="E11" i="18"/>
  <c r="F11" i="18" s="1"/>
  <c r="D8" i="18"/>
  <c r="D9" i="18"/>
  <c r="D10" i="18"/>
  <c r="D11" i="18"/>
  <c r="C8" i="18"/>
  <c r="C9" i="18"/>
  <c r="C10" i="18"/>
  <c r="C11" i="18"/>
  <c r="H8" i="19"/>
  <c r="I8" i="19" s="1"/>
  <c r="H9" i="19"/>
  <c r="I9" i="19" s="1"/>
  <c r="H10" i="19"/>
  <c r="I10" i="19" s="1"/>
  <c r="H11" i="19"/>
  <c r="I11" i="19" s="1"/>
  <c r="E8" i="19"/>
  <c r="F8" i="19" s="1"/>
  <c r="E9" i="19"/>
  <c r="F9" i="19" s="1"/>
  <c r="E10" i="19"/>
  <c r="F10" i="19" s="1"/>
  <c r="E11" i="19"/>
  <c r="F11" i="19" s="1"/>
  <c r="E8" i="20"/>
  <c r="F8" i="20"/>
  <c r="H8" i="20"/>
  <c r="I8" i="20"/>
  <c r="E9" i="20"/>
  <c r="F9" i="20"/>
  <c r="H9" i="20"/>
  <c r="I9" i="20"/>
  <c r="E10" i="20"/>
  <c r="F10" i="20"/>
  <c r="H10" i="20"/>
  <c r="I10" i="20"/>
  <c r="A4" i="21" a="1"/>
  <c r="A4" i="21" s="1"/>
  <c r="H10" i="21"/>
  <c r="I6" i="21"/>
  <c r="I7" i="21"/>
  <c r="I8" i="21"/>
  <c r="H6" i="21"/>
  <c r="H7" i="21"/>
  <c r="H8" i="21"/>
  <c r="H9" i="21"/>
  <c r="I9" i="21" s="1"/>
  <c r="I10" i="21"/>
  <c r="F8" i="21"/>
  <c r="E8" i="21"/>
  <c r="E9" i="21"/>
  <c r="F9" i="21" s="1"/>
  <c r="E10" i="21"/>
  <c r="F10" i="21" s="1"/>
  <c r="F5" i="3"/>
  <c r="F6" i="3"/>
  <c r="F7" i="3"/>
  <c r="H5" i="3"/>
  <c r="I5" i="3" s="1"/>
  <c r="G6" i="30"/>
  <c r="G7" i="30"/>
  <c r="G5" i="30"/>
  <c r="G4" i="30"/>
  <c r="G4" i="29"/>
  <c r="G5" i="29"/>
  <c r="G6" i="29"/>
  <c r="G7" i="29"/>
  <c r="G5" i="18"/>
  <c r="G6" i="18"/>
  <c r="G7" i="18"/>
  <c r="G4" i="18"/>
  <c r="H6" i="3"/>
  <c r="I6" i="3" s="1"/>
  <c r="H7" i="3"/>
  <c r="I7" i="3" s="1"/>
  <c r="I13" i="34" l="1"/>
  <c r="I12" i="34"/>
  <c r="H11" i="34"/>
  <c r="H8" i="34"/>
  <c r="D10" i="34"/>
  <c r="D9" i="34"/>
  <c r="C11" i="34"/>
  <c r="G11" i="34"/>
  <c r="I11" i="34" s="1"/>
  <c r="C10" i="34"/>
  <c r="E10" i="34" s="1"/>
  <c r="F10" i="34" s="1"/>
  <c r="D11" i="34"/>
  <c r="E11" i="29"/>
  <c r="F11" i="29" s="1"/>
  <c r="G10" i="34"/>
  <c r="I10" i="34" s="1"/>
  <c r="I9" i="34"/>
  <c r="C9" i="34"/>
  <c r="I11" i="29"/>
  <c r="I8" i="34"/>
  <c r="I8" i="29"/>
  <c r="E8" i="29"/>
  <c r="F8" i="29" s="1"/>
  <c r="I9" i="29"/>
  <c r="E10" i="29"/>
  <c r="F10" i="29" s="1"/>
  <c r="C8" i="34"/>
  <c r="E8" i="34" s="1"/>
  <c r="F8" i="34" s="1"/>
  <c r="E4" i="4"/>
  <c r="E4" i="72"/>
  <c r="F4" i="72" s="1"/>
  <c r="E5" i="72"/>
  <c r="F5" i="72" s="1"/>
  <c r="E6" i="72"/>
  <c r="F6" i="72" s="1"/>
  <c r="E7" i="72"/>
  <c r="F7" i="72" s="1"/>
  <c r="F11" i="34" l="1"/>
  <c r="E9" i="34"/>
  <c r="F9" i="34" s="1"/>
  <c r="C2" i="3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E6" i="3"/>
  <c r="E7" i="3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E5" i="30" s="1"/>
  <c r="F5" i="30" s="1"/>
  <c r="D4" i="30"/>
  <c r="C4" i="30"/>
  <c r="D7" i="29"/>
  <c r="C7" i="29"/>
  <c r="C7" i="34" s="1"/>
  <c r="D6" i="29"/>
  <c r="D6" i="34" s="1"/>
  <c r="C6" i="29"/>
  <c r="D5" i="29"/>
  <c r="C5" i="29"/>
  <c r="D4" i="29"/>
  <c r="C4" i="29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E7" i="21"/>
  <c r="F7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D5" i="34"/>
  <c r="D7" i="34"/>
  <c r="C4" i="34"/>
  <c r="E7" i="34"/>
  <c r="E6" i="29"/>
  <c r="F6" i="29" s="1"/>
  <c r="C6" i="34"/>
  <c r="E6" i="34" s="1"/>
  <c r="F6" i="34" s="1"/>
  <c r="E7" i="18"/>
  <c r="F7" i="18" s="1"/>
  <c r="E5" i="18"/>
  <c r="F5" i="18" s="1"/>
  <c r="D2" i="18"/>
  <c r="H6" i="29"/>
  <c r="E4" i="18"/>
  <c r="F4" i="18" s="1"/>
  <c r="E6" i="30"/>
  <c r="F6" i="30" s="1"/>
  <c r="H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H4" i="29"/>
  <c r="I4" i="29" s="1"/>
  <c r="H5" i="29"/>
  <c r="I7" i="26"/>
  <c r="H6" i="18"/>
  <c r="I6" i="18" s="1"/>
  <c r="H4" i="18"/>
  <c r="I4" i="18" s="1"/>
  <c r="H7" i="18"/>
  <c r="I7" i="18" s="1"/>
  <c r="H5" i="18"/>
  <c r="I5" i="18" s="1"/>
  <c r="F7" i="34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E5" i="34"/>
  <c r="F5" i="34" s="1"/>
  <c r="I7" i="29"/>
  <c r="H7" i="34"/>
  <c r="I7" i="34" s="1"/>
  <c r="I6" i="29"/>
  <c r="H6" i="34"/>
  <c r="I6" i="34" s="1"/>
  <c r="I5" i="29"/>
  <c r="H5" i="34"/>
  <c r="I5" i="34" s="1"/>
  <c r="E4" i="34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<sst xmlns="http://schemas.openxmlformats.org/spreadsheetml/2006/main" count="391" uniqueCount="165">
  <si>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</si>
  <si>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</si>
  <si>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</si>
  <si>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</si>
  <si>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</si>
  <si>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</si>
  <si>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</si>
  <si>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</si>
  <si>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</si>
  <si>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</si>
  <si>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</si>
  <si>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</si>
  <si>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</si>
  <si>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</si>
  <si>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</si>
  <si>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</si>
  <si>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</si>
  <si>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</si>
  <si>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</si>
  <si>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</si>
  <si>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</si>
  <si>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</si>
  <si>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</si>
  <si>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The Site tripped offline at 10:00AM to 12:15 on 01/10 due to tech on site to work on the air break switch at the pole.
2. The site tripped offline at 01:15 AM on 01/20 due to the main breaker tripping. The site back online at 10:15 on 01/21 after resetting the SEL and main breaker.
3. Inverter 4 offline from 11/30/2024 due to Permanent fault of power module - Fault and it has been RMA'd &amp; remain offline from 12/02/2024.</t>
  </si>
  <si>
    <t>1. SR094963
2. SR095713
3.	SR093738</t>
  </si>
  <si>
    <t>1. The site tripped offline from 10:15 to 13:15 on 01/08 due to Grid Phase Voltage out of range. After being re-energized, the site is back online.</t>
  </si>
  <si>
    <t>1. SR095389</t>
  </si>
  <si>
    <t>1. Weather station experiencing seasonal shading from January to March resulting in expected energy value reporting low. Actual production is not being impacted</t>
  </si>
  <si>
    <t>1. SR099647</t>
  </si>
  <si>
    <t>1. Site generation was low due to rain/snow</t>
  </si>
  <si>
    <t>February Actual v. Expected</t>
  </si>
  <si>
    <t>February Actual v. Forecasted</t>
  </si>
  <si>
    <t>1. Inverter 4 offline from 11/30/2024 due to Permanent fault of power module - Fault and it has been RMA'd &amp; remain offline from 12/02/24.</t>
  </si>
  <si>
    <t>1.SR093738</t>
  </si>
  <si>
    <t xml:space="preserve"> </t>
  </si>
  <si>
    <t>March Actual v. Expected</t>
  </si>
  <si>
    <t>March Actual v. Forecasted</t>
  </si>
  <si>
    <t>1. Site tripped offline at 11:00 AM due to main breaker trip and back online at 15:45 on 03/07 after technician has reset the relay. 
2.Site tripped offline at 5:15 AM on 03/17 due to main breaker trip and back online at 8:15AM on 03/18 after technician reset relay.
3.Inverter 4 was offline from 11/30/2024 due to Permanent fault of power module - Fault0010 and it has been RMA'd from 12/02/24. Technician has replaced the RMA'd inverter with a new Chint inverter, bringing it back online and producing from 03/12 at 13:00.</t>
  </si>
  <si>
    <t>1.SR098258
2.SR098648
3.SR093738</t>
  </si>
  <si>
    <t>SR098648</t>
  </si>
  <si>
    <t>SR093738</t>
  </si>
  <si>
    <t>1.Site tripped offline at  5:33AM on 03/07 due to utility outage and was back online at 14:45 on 03/08 after technician has reset SEL and re-energize the site.</t>
  </si>
  <si>
    <t>1.SR098240</t>
  </si>
  <si>
    <t>April Actual v. Expected</t>
  </si>
  <si>
    <t>April Actual v. Forecasted</t>
  </si>
  <si>
    <t>1.Site tripped offline between 8:45AM to 11:45Am on 04/07 due to loss of utility power later technician reset main breaker and re-energised the site.</t>
  </si>
  <si>
    <t>1.SR099472</t>
  </si>
  <si>
    <t>1. Inverter 1.2 has tripped offline 13:30 on 04/29 due to Grid Phase Voltage Out of Range - GridV.OutLim fault. Inverter self resolved at 15:45 on the same day.</t>
  </si>
  <si>
    <t>1.SR100664</t>
  </si>
  <si>
    <t>1.Weather station is experiencing seasonal shading from 2023. Production is not being impacted but the expected energy value reporting low due to shading.</t>
  </si>
  <si>
    <t>1.SR099647</t>
  </si>
  <si>
    <t>1. Inverter 5 experienced derating of approximately 44 kW to 50 kW during peak hours on 04/19, 04/24, 04/28, and 04/29 due to an External Fan Error. The issue self-resolved on the following days.</t>
  </si>
  <si>
    <t>1.SR100020</t>
  </si>
  <si>
    <t>1.Site tripped offline from 12:15AM to 14:00 on 04/07.</t>
  </si>
  <si>
    <t>1.SR099480</t>
  </si>
  <si>
    <t>1.Inverter 1 tripped offline at 12:30 AM on 04/24 due to a "Grid Voltage &gt; Installation" fault related to a grid connection issue. It was brought back online at 4:45 PM the same day after a technician reset the breaker.
2.The weather station has been starting late on multiple days throughout the month.</t>
  </si>
  <si>
    <t>1.SR100347</t>
  </si>
  <si>
    <t>May Actual v. Expected</t>
  </si>
  <si>
    <t>May Actual v. Forecasted</t>
  </si>
  <si>
    <t>1. The site tripped offline at 08:00 on 05/12 due to a main breaker trip. A technician was on-site on 05/13 and reset the breaker. The site came back online at 16:00 on 05/13.
2. The site was taken offline from 12:53 to 13:27 on 05/16 while a technician was on-site for a preventive maintenance work.</t>
  </si>
  <si>
    <t>1. SR101376
2. PM8049</t>
  </si>
  <si>
    <t>1. The site tripped offline at 08:30 on 05/28. The technician later re-energized the site, and it came back online at 15:00 on 05/28.
2. Weather station is experiencing seasonal shading from 2023. Production is not being impacted but the expected energy value reporting low due to shading.</t>
  </si>
  <si>
    <t>1. SR102029
2. SR099647</t>
  </si>
  <si>
    <t>SR099647</t>
  </si>
  <si>
    <t>1. The site tripped offline at 08:30 on 05/28. The technician later re-energized the site, and it came back online at 15:00 on 05/28.
2. The site tripped offline at 11:45 on 05/31. The technician later re-energized the site, and it came back online at 13:45 on 05/31.
3. Inverter 5 has been experiencing derating of approximately 44 to 50 kW during peak hours due to an "External Fan Err" since 04/19. A technician was on-site on 05/19, removed the faulty fan, and installed a new RMA’d fan. The inverter has been producing in line with its peers since 15:00 on 05/19.</t>
  </si>
  <si>
    <t>1. SR102030
2. SR102218
3. SR100020</t>
  </si>
  <si>
    <t>SR102218</t>
  </si>
  <si>
    <t>SR100020</t>
  </si>
  <si>
    <t>1. Site production was low on 05/08 and 05/09 because a technician was on-site performing preventive maintenance work.</t>
  </si>
  <si>
    <t>1. PM13669</t>
  </si>
  <si>
    <t>1. Inverters 2 and 3 tripped offline at 14:15 on 05/28 due to "Waiting for grid voltage &gt; Installation failure grid connection &gt; Check grid and fuses". A technician was on-site on 05/29 and closed the inverter breakers. Both inverters came back online at 15:00 on 05/29. However, Inverter 2 tripped offline again at 10:15 on 05/30, followed by Inverter 3 at 13:30 on 05/30, both due to "Waiting for grid voltage".</t>
  </si>
  <si>
    <t>1. SR102061</t>
  </si>
  <si>
    <t>1. Inverter 1 tripped offline at 11:30 on 05/01due to "Waiting for grid voltage &gt; Installation failure grid connection &gt; Check grid and fuses". A technician was on-site on 05/01 and replaced the faulty inverter breaker with a spare one. The inverter came back online at 15:30 on 05/21.</t>
  </si>
  <si>
    <t>1. SR100825</t>
  </si>
  <si>
    <t>June Actual v. Expected</t>
  </si>
  <si>
    <t>June Actual v. Forecasted</t>
  </si>
  <si>
    <t>1. The site tripped offline at 11:15 on 06/11 and came back online at 16:04 on the same day.
2. Inverter 2 tripped offline at 15:00 on 06/23 due to 'Grid Line Voltage Out of Range' and came back online at 10:00 on 06/24.
3. Inverter 3 tripped offline at 07:00 on 06/12 and came back online at 07:15 on 06/13.</t>
  </si>
  <si>
    <t>1. SR102825
2. SR103332
3. SR102780</t>
  </si>
  <si>
    <t>SR103332</t>
  </si>
  <si>
    <t>SR102780</t>
  </si>
  <si>
    <t>1. The site tripped offline at 13:30 on 06/20 and came back online at 12:45 on 06/21.</t>
  </si>
  <si>
    <t>1. SR103230</t>
  </si>
  <si>
    <t>1. Weather station is experiencing seasonal shading from 2023. Production is not being impacted but the expected energy value reporting low due to shading.</t>
  </si>
  <si>
    <t>1. Inverter 4 tripped offline at 14:45 on 06/05 due to 'Waiting for Grid Voltages' and came back online at 14:45 on 06/06. It tripped offline again at 11:45 on 06/08 due to 'Installation Failure - Grid Connection' and later came back online at 13:00 on 06/10. 
2. Inverter 5 tripped offline at 10:00 on 06/11 and has been offline since then.</t>
  </si>
  <si>
    <t>1. SR102549
2. SR102549, SR102969</t>
  </si>
  <si>
    <t>SR102549</t>
  </si>
  <si>
    <t>SR102969</t>
  </si>
  <si>
    <t>1. Inverter 2 was offline from 10:15 on 05/30, and Inverter 3 was offline from 13:30 on 05/30 due to 'Waiting for Grid Voltage.' Inverter 2 came back online at 13:00 on 06/20, but Inverter 3 has remained offline since then.</t>
  </si>
  <si>
    <t>1. SR102971, SR102367, SR102061</t>
  </si>
  <si>
    <t>SR102367</t>
  </si>
  <si>
    <t>SR102061</t>
  </si>
  <si>
    <t>1. The site tripped offline at 06:00 on 06/17 and came back online at 10:30 on the same day.
2. Inverter 5 tripped offline at 12:15 on 06/24 due to 'Installation Failure - Grid Connection' and came back online at 07:30 on 06/25.</t>
  </si>
  <si>
    <t>1. SR103058
2. SR103397</t>
  </si>
  <si>
    <t>SR103397</t>
  </si>
  <si>
    <t>1. The site tripped offline at 09:15 on 06/24 and came back online at 09:15 on 06/25.</t>
  </si>
  <si>
    <t>1. SR103383</t>
  </si>
  <si>
    <t>July Actual v. Expected</t>
  </si>
  <si>
    <t>July Actual v. Forecasted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</si>
  <si>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</si>
  <si>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1.Site tripped offline at 20:20 on 07/25 and back online at 11:45 on 07/26</t>
  </si>
  <si>
    <t>1.SR105084</t>
  </si>
  <si>
    <t>1. Inverter 7 is experiencing multiple trippings since 07/15. 
2. Inverter 4 tripped offline at 14:00 on 07/13 and back online at 08:30 on 07/21
3. Inverter 5 was offline from 10:00 on 06/11 is back online 09:30 on 07/07</t>
  </si>
  <si>
    <t>1.SR104551
2.SR104369
3.SR102969</t>
  </si>
  <si>
    <t>SR104369</t>
  </si>
  <si>
    <t>1. Inverter 3 is back online at 09:45 on 07/02, while on site the site was taken offline from 08:30 to 09:30. On 07/07 EPC has taken site offline from 17:15 to 17:45  for site maintenance.
2.POA and BOM lost communications on 7/3/25.</t>
  </si>
  <si>
    <t>1.SR102971
2.SR107542</t>
  </si>
  <si>
    <t>SR107542</t>
  </si>
  <si>
    <t>August Actual v. Expected</t>
  </si>
  <si>
    <t>August Actual v. Forecasted</t>
  </si>
  <si>
    <t>1.Inverter 5 tripped offline at 14:45 on 08/12 and back online at 10:15 on 08/14.
2. Site was taken offline from 13:45 to 14:45 on 08/11 due to thermals of transformers.
3.POA and BOM lost communications on 7/3/25.</t>
  </si>
  <si>
    <t>1.SR106143
2.SR106009
3.SR107542</t>
  </si>
  <si>
    <t>SR106009</t>
  </si>
  <si>
    <t>1. Site tripped offline at 16:26 on 08/14 and back online at 08:15 on 08/15</t>
  </si>
  <si>
    <t>1.SR106311</t>
  </si>
  <si>
    <t>September Actual v. Expected</t>
  </si>
  <si>
    <t>September Actual v. Forecasted</t>
  </si>
  <si>
    <t>1. Site tripped offline at 11:00 on 09/17 and after resetting the breaker site is back online at 14:30 on 09/17.
2. Site tripped offline at 11:15 on 09/25 and after resetting the breaker site is back online at 14:45 on 09/25. and again triiped offline at 18:45 on 09/25 and back online at 08:15 on 09/26.</t>
  </si>
  <si>
    <t>1. SR108124
2. SR108542</t>
  </si>
  <si>
    <t>SR108542</t>
  </si>
  <si>
    <t>1. Weather station is experiencing seasonal shading from 2023. Production is not being impacted but the expected energy value reporting low due to shading.
2. Site tripped offline at 03:15 on 09/07 and back online at 16:00 on 09/09.</t>
  </si>
  <si>
    <t>1. SR107541
2. SR107568</t>
  </si>
  <si>
    <t>SR107568</t>
  </si>
  <si>
    <t>1.Site tripped offline at 18:18 on 09/12 and later back online at 12:30 on 09/13</t>
  </si>
  <si>
    <t>1.SR107916</t>
  </si>
  <si>
    <t>1.POA and BOM lost communications on 7/3/25.</t>
  </si>
  <si>
    <t>1.SR107542</t>
  </si>
  <si>
    <t>1. Site was offline from 09:15 on 09/15 to 13:00 on 09/26 due to utility planned outage</t>
  </si>
  <si>
    <t>1.SR107957</t>
  </si>
  <si>
    <t>1. Site tripped offline at 18:00 on 09/06 and back online at 12:30 on 09/07.
2. Site tripped offline at 12:45 on 09/18 and back online at 08:00 on 09/19.</t>
  </si>
  <si>
    <t>1. SR107565
2. SR108245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</si>
  <si>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</si>
  <si>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</si>
  <si>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</si>
  <si>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</si>
  <si>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</si>
  <si>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</si>
  <si>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</si>
  <si>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</si>
  <si>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</si>
  <si>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</si>
  <si>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</si>
  <si>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</si>
  <si>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</si>
  <si>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</si>
  <si>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</si>
  <si>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</si>
  <si>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</si>
  <si>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</si>
  <si>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</si>
  <si>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</si>
  <si>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</si>
  <si>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</si>
  <si>
    <t>Boothbay Solar</t>
  </si>
  <si>
    <t>Boothbay - Wiscasset Road</t>
  </si>
  <si>
    <t>ME</t>
  </si>
  <si>
    <t>Thorndike Solar</t>
  </si>
  <si>
    <t>Thorndike -  Leonard Road</t>
  </si>
  <si>
    <t>Topsham Solar</t>
  </si>
  <si>
    <t>Topsham - Solarize LLC</t>
  </si>
  <si>
    <t>Cherryfield</t>
  </si>
  <si>
    <t>Cherryfield - 727 North Main St (IRA)</t>
  </si>
  <si>
    <t xml:space="preserve">Bucksport Solar 1, LLC </t>
  </si>
  <si>
    <t>ME: Bucksport - 258 Route 1 (IRA)</t>
  </si>
  <si>
    <t>Union ME 1, LLC</t>
  </si>
  <si>
    <t>ME: Union - Route 131 (IRA)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</si>
</sst>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u/>
      <sz val="10"/>
      <color theme="10"/>
      <name val="Arial"/>
    </font>
    <font>
      <sz val="11"/>
      <name val="Calibri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000000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10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6" borderId="0" xfId="0" applyFont="1" applyFill="1"/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49" fontId="23" fillId="0" borderId="0" xfId="0" applyNumberFormat="1" applyFont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36" fillId="47" borderId="0" xfId="0" applyNumberFormat="1" applyFont="1" applyFill="1" applyAlignment="1">
      <alignment horizontal="center" vertical="center"/>
    </xf>
    <xf numFmtId="3" fontId="30" fillId="0" borderId="0" xfId="0" applyNumberFormat="1" applyFont="1" applyAlignment="1">
      <alignment vertical="center"/>
    </xf>
    <xf numFmtId="0" fontId="23" fillId="0" borderId="0" xfId="0" applyFont="1" applyAlignment="1">
      <alignment vertical="center" wrapText="1"/>
    </xf>
    <xf numFmtId="3" fontId="23" fillId="0" borderId="0" xfId="0" applyNumberFormat="1" applyFont="1" applyAlignment="1">
      <alignment horizontal="right" vertical="top"/>
    </xf>
    <xf numFmtId="0" fontId="23" fillId="46" borderId="0" xfId="0" applyFont="1" applyFill="1" applyAlignment="1">
      <alignment horizontal="center" vertical="center"/>
    </xf>
    <xf numFmtId="3" fontId="30" fillId="49" borderId="0" xfId="0" applyNumberFormat="1" applyFont="1" applyFill="1" applyAlignment="1">
      <alignment horizontal="right" vertical="center"/>
    </xf>
    <xf numFmtId="9" fontId="37" fillId="50" borderId="0" xfId="0" applyNumberFormat="1" applyFont="1" applyFill="1" applyAlignment="1">
      <alignment horizontal="center" vertical="center"/>
    </xf>
    <xf numFmtId="3" fontId="30" fillId="51" borderId="0" xfId="0" applyNumberFormat="1" applyFont="1" applyFill="1" applyAlignment="1">
      <alignment vertical="center"/>
    </xf>
    <xf numFmtId="0" fontId="30" fillId="52" borderId="0" xfId="0" applyFont="1" applyFill="1" applyAlignment="1">
      <alignment vertical="top" wrapText="1"/>
    </xf>
    <xf numFmtId="0" fontId="34" fillId="46" borderId="0" xfId="0" applyFont="1" applyFill="1" applyAlignment="1">
      <alignment horizontal="center" vertical="center"/>
    </xf>
    <xf numFmtId="0" fontId="23" fillId="0" borderId="0" xfId="0" applyFont="1" applyAlignment="1">
      <alignment vertical="top" wrapText="1"/>
    </xf>
    <xf numFmtId="3" fontId="23" fillId="48" borderId="0" xfId="0" applyNumberFormat="1" applyFont="1" applyFill="1" applyAlignment="1">
      <alignment horizontal="right" vertical="center"/>
    </xf>
    <xf numFmtId="0" fontId="34" fillId="40" borderId="0" xfId="0" applyFont="1" applyFill="1" applyAlignment="1">
      <alignment horizontal="center" vertical="center"/>
    </xf>
    <xf numFmtId="3" fontId="30" fillId="51" borderId="0" xfId="0" applyNumberFormat="1" applyFont="1" applyFill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8" fillId="52" borderId="0" xfId="45" applyFill="1" applyAlignment="1">
      <alignment vertical="top" wrapText="1"/>
    </xf>
    <xf numFmtId="49" fontId="38" fillId="38" borderId="0" xfId="45" applyNumberFormat="1" applyFill="1" applyBorder="1" applyAlignment="1">
      <alignment vertical="top" wrapText="1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horizontal="left" vertical="top" wrapText="1"/>
    </xf>
    <xf numFmtId="0" fontId="38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22" fillId="0" borderId="0" xfId="43" applyFont="1" applyAlignment="1">
      <alignment horizontal="left" wrapText="1"/>
    </xf>
    <xf numFmtId="0" fontId="22" fillId="0" borderId="0" xfId="43" applyFont="1"/>
    <xf numFmtId="0" fontId="39" fillId="0" borderId="0" xfId="0" applyFont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0" fontId="34" fillId="40" borderId="0" xfId="0" applyFont="1" applyFill="1" applyAlignment="1">
      <alignment vertical="center"/>
    </xf>
    <xf numFmtId="0" fontId="0" fillId="0" borderId="0" xfId="0" applyAlignment="1">
      <alignment wrapText="1"/>
    </xf>
    <xf numFmtId="49" fontId="38" fillId="0" borderId="0" xfId="45" applyNumberFormat="1" applyAlignment="1">
      <alignment vertical="top" wrapText="1"/>
    </xf>
    <xf numFmtId="49" fontId="38" fillId="38" borderId="0" xfId="45" applyNumberFormat="1" applyFill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3" totalsRowShown="0">
  <autoFilter ref="A3:E13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9647" TargetMode="External"/><Relationship Id="rId1" Type="http://schemas.openxmlformats.org/officeDocument/2006/relationships/hyperlink" Target="https://us3.assetplanner.com/service_request?ID=09373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3738" TargetMode="External"/><Relationship Id="rId2" Type="http://schemas.openxmlformats.org/officeDocument/2006/relationships/hyperlink" Target="https://us3.assetplanner.com/service_request?ID=098648" TargetMode="External"/><Relationship Id="rId1" Type="http://schemas.openxmlformats.org/officeDocument/2006/relationships/hyperlink" Target="https://us3.assetplanner.com/service_request?ID=098258" TargetMode="External"/><Relationship Id="rId5" Type="http://schemas.openxmlformats.org/officeDocument/2006/relationships/hyperlink" Target="https://us3.assetplanner.com/service_request?ID=099647" TargetMode="External"/><Relationship Id="rId4" Type="http://schemas.openxmlformats.org/officeDocument/2006/relationships/hyperlink" Target="https://us3.assetplanner.com/service_request?ID=09824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647" TargetMode="External"/><Relationship Id="rId2" Type="http://schemas.openxmlformats.org/officeDocument/2006/relationships/hyperlink" Target="https://us3.assetplanner.com/service_request?ID=100664" TargetMode="External"/><Relationship Id="rId1" Type="http://schemas.openxmlformats.org/officeDocument/2006/relationships/hyperlink" Target="https://us3.assetplanner.com/service_request?ID=099472" TargetMode="External"/><Relationship Id="rId6" Type="http://schemas.openxmlformats.org/officeDocument/2006/relationships/hyperlink" Target="https://us3.assetplanner.com/service_request?ID=100347" TargetMode="External"/><Relationship Id="rId5" Type="http://schemas.openxmlformats.org/officeDocument/2006/relationships/hyperlink" Target="https://us3.assetplanner.com/service_request?ID=099480" TargetMode="External"/><Relationship Id="rId4" Type="http://schemas.openxmlformats.org/officeDocument/2006/relationships/hyperlink" Target="https://us3.assetplanner.com/service_request?ID=10002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825" TargetMode="External"/><Relationship Id="rId3" Type="http://schemas.openxmlformats.org/officeDocument/2006/relationships/hyperlink" Target="https://us3.assetplanner.com/service_request?ID=099647" TargetMode="External"/><Relationship Id="rId7" Type="http://schemas.openxmlformats.org/officeDocument/2006/relationships/hyperlink" Target="https://us3.assetplanner.com/service_request?ID=102061" TargetMode="External"/><Relationship Id="rId2" Type="http://schemas.openxmlformats.org/officeDocument/2006/relationships/hyperlink" Target="https://us3.assetplanner.com/service_request?ID=102029" TargetMode="External"/><Relationship Id="rId1" Type="http://schemas.openxmlformats.org/officeDocument/2006/relationships/hyperlink" Target="https://us3.assetplanner.com/service_request?ID=101376" TargetMode="External"/><Relationship Id="rId6" Type="http://schemas.openxmlformats.org/officeDocument/2006/relationships/hyperlink" Target="https://us3.assetplanner.com/service_request?ID=100020" TargetMode="External"/><Relationship Id="rId5" Type="http://schemas.openxmlformats.org/officeDocument/2006/relationships/hyperlink" Target="https://us3.assetplanner.com/service_request?ID=102218" TargetMode="External"/><Relationship Id="rId4" Type="http://schemas.openxmlformats.org/officeDocument/2006/relationships/hyperlink" Target="https://us3.assetplanner.com/service_request?ID=10203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2969" TargetMode="External"/><Relationship Id="rId13" Type="http://schemas.openxmlformats.org/officeDocument/2006/relationships/hyperlink" Target="https://us3.assetplanner.com/service_request?ID=103397" TargetMode="External"/><Relationship Id="rId3" Type="http://schemas.openxmlformats.org/officeDocument/2006/relationships/hyperlink" Target="https://us3.assetplanner.com/service_request?ID=102780" TargetMode="External"/><Relationship Id="rId7" Type="http://schemas.openxmlformats.org/officeDocument/2006/relationships/hyperlink" Target="https://us3.assetplanner.com/service_request?ID=102549" TargetMode="External"/><Relationship Id="rId12" Type="http://schemas.openxmlformats.org/officeDocument/2006/relationships/hyperlink" Target="https://us3.assetplanner.com/service_request?ID=103058" TargetMode="External"/><Relationship Id="rId2" Type="http://schemas.openxmlformats.org/officeDocument/2006/relationships/hyperlink" Target="https://us3.assetplanner.com/service_request?ID=103332" TargetMode="External"/><Relationship Id="rId1" Type="http://schemas.openxmlformats.org/officeDocument/2006/relationships/hyperlink" Target="https://us3.assetplanner.com/service_request?ID=102825" TargetMode="External"/><Relationship Id="rId6" Type="http://schemas.openxmlformats.org/officeDocument/2006/relationships/hyperlink" Target="https://us3.assetplanner.com/service_request?ID=102549" TargetMode="External"/><Relationship Id="rId11" Type="http://schemas.openxmlformats.org/officeDocument/2006/relationships/hyperlink" Target="https://us3.assetplanner.com/service_request?ID=102061" TargetMode="External"/><Relationship Id="rId5" Type="http://schemas.openxmlformats.org/officeDocument/2006/relationships/hyperlink" Target="https://us3.assetplanner.com/service_request?ID=099647" TargetMode="External"/><Relationship Id="rId10" Type="http://schemas.openxmlformats.org/officeDocument/2006/relationships/hyperlink" Target="https://us3.assetplanner.com/service_request?ID=102367" TargetMode="External"/><Relationship Id="rId4" Type="http://schemas.openxmlformats.org/officeDocument/2006/relationships/hyperlink" Target="https://us3.assetplanner.com/service_request?ID=103230" TargetMode="External"/><Relationship Id="rId9" Type="http://schemas.openxmlformats.org/officeDocument/2006/relationships/hyperlink" Target="https://us3.assetplanner.com/service_request?ID=102971" TargetMode="External"/><Relationship Id="rId14" Type="http://schemas.openxmlformats.org/officeDocument/2006/relationships/hyperlink" Target="https://us3.assetplanner.com/service_request?ID=10338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369" TargetMode="External"/><Relationship Id="rId7" Type="http://schemas.openxmlformats.org/officeDocument/2006/relationships/hyperlink" Target="https://us3.assetplanner.com/service_request?ID=099647" TargetMode="External"/><Relationship Id="rId2" Type="http://schemas.openxmlformats.org/officeDocument/2006/relationships/hyperlink" Target="https://us3.assetplanner.com/service_request?ID=104551" TargetMode="External"/><Relationship Id="rId1" Type="http://schemas.openxmlformats.org/officeDocument/2006/relationships/hyperlink" Target="https://us3.assetplanner.com/service_request?ID=105084" TargetMode="External"/><Relationship Id="rId6" Type="http://schemas.openxmlformats.org/officeDocument/2006/relationships/hyperlink" Target="https://us3.assetplanner.com/service_request?ID=107542" TargetMode="External"/><Relationship Id="rId5" Type="http://schemas.openxmlformats.org/officeDocument/2006/relationships/hyperlink" Target="https://us3.assetplanner.com/service_request?ID=102971" TargetMode="External"/><Relationship Id="rId4" Type="http://schemas.openxmlformats.org/officeDocument/2006/relationships/hyperlink" Target="https://us3.assetplanner.com/service_request?ID=10296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542" TargetMode="External"/><Relationship Id="rId2" Type="http://schemas.openxmlformats.org/officeDocument/2006/relationships/hyperlink" Target="https://us3.assetplanner.com/service_request?ID=106009" TargetMode="External"/><Relationship Id="rId1" Type="http://schemas.openxmlformats.org/officeDocument/2006/relationships/hyperlink" Target="https://us3.assetplanner.com/service_request?ID=106143" TargetMode="External"/><Relationship Id="rId4" Type="http://schemas.openxmlformats.org/officeDocument/2006/relationships/hyperlink" Target="https://us3.assetplanner.com/service_request?ID=106311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7541" TargetMode="External"/><Relationship Id="rId7" Type="http://schemas.openxmlformats.org/officeDocument/2006/relationships/hyperlink" Target="https://us3.assetplanner.com/service_request?ID=107957" TargetMode="External"/><Relationship Id="rId2" Type="http://schemas.openxmlformats.org/officeDocument/2006/relationships/hyperlink" Target="https://us3.assetplanner.com/service_request?ID=108542" TargetMode="External"/><Relationship Id="rId1" Type="http://schemas.openxmlformats.org/officeDocument/2006/relationships/hyperlink" Target="https://us3.assetplanner.com/service_request?ID=108124" TargetMode="External"/><Relationship Id="rId6" Type="http://schemas.openxmlformats.org/officeDocument/2006/relationships/hyperlink" Target="https://us3.assetplanner.com/service_request?ID=107542" TargetMode="External"/><Relationship Id="rId5" Type="http://schemas.openxmlformats.org/officeDocument/2006/relationships/hyperlink" Target="https://us3.assetplanner.com/service_request?ID=107916" TargetMode="External"/><Relationship Id="rId4" Type="http://schemas.openxmlformats.org/officeDocument/2006/relationships/hyperlink" Target="https://us3.assetplanner.com/service_request?ID=10756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I2" sqref="I2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ALIGNED</v>
      </c>
      <c r="B1" s="97"/>
      <c r="C1" s="97"/>
      <c r="D1" s="98" t="s">
        <v>0</v>
      </c>
      <c r="E1" s="98"/>
      <c r="F1" s="98"/>
      <c r="G1" s="96" t="s">
        <v>1</v>
      </c>
      <c r="H1" s="96"/>
      <c r="I1" s="96"/>
    </row>
    <row r="2" spans="1:9" ht="19.5" customHeight="1">
      <c r="A2" s="99" t="s">
        <v>2</v>
      </c>
      <c r="B2" s="99"/>
      <c r="C2" s="5">
        <f>SUM(C4:C79)</f>
        <v>10872804.962931203</v>
      </c>
      <c r="D2" s="5">
        <f>SUM(D4:D79)</f>
        <v>10903608.946</v>
      </c>
      <c r="E2" s="5">
        <f>C2-D2</f>
        <v>-30803.983068797737</v>
      </c>
      <c r="F2" s="6">
        <f>IFERROR(E2/D2, 0)</f>
        <v>-2.8251181073490543E-3</v>
      </c>
      <c r="G2" s="5">
        <f>SUM(G4:G79)</f>
        <v>11233155.765999999</v>
      </c>
      <c r="H2" s="7">
        <f>C2-G2</f>
        <v>-360350.80306879617</v>
      </c>
      <c r="I2" s="6">
        <f>IFERROR(H2/G2, 0)</f>
        <v>-3.2079213586576401E-2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SUM('1st Qtr'!C4, '2nd Qtr'!C4, '3rd Qtr'!C4, '4th Qtr'!C4)</f>
        <v>1346936.0799999987</v>
      </c>
      <c r="D4" s="12">
        <f>SUM('1st Qtr'!D4, '2nd Qtr'!D4, '3rd Qtr'!D4, '4th Qtr'!D4)</f>
        <v>1315336.7650000001</v>
      </c>
      <c r="E4" s="12">
        <f>IF(AND(ISNUMBER(C4),ISNUMBER(D4)), C4-D4, "")</f>
        <v>31599.314999998547</v>
      </c>
      <c r="F4" s="13">
        <f>IFERROR(E4/D4, "")</f>
        <v>2.4023744976062113E-2</v>
      </c>
      <c r="G4" s="14">
        <f>SUM('1st Qtr'!G4, '2nd Qtr'!G4, '3rd Qtr'!G4, '4th Qtr'!G4)</f>
        <v>1046000</v>
      </c>
      <c r="H4" s="14">
        <f>SUM('1st Qtr'!H4, '2nd Qtr'!H4, '3rd Qtr'!H4, '4th Qtr'!H4)</f>
        <v>-134175.420000001</v>
      </c>
      <c r="I4" s="15">
        <f>IFERROR(H4/G4, "")</f>
        <v>-0.12827478011472371</v>
      </c>
    </row>
    <row r="5" spans="1:9" ht="15.6">
      <c r="A5" s="47" t="str">
        <v>Loudon - 7046 Pleasant Street</v>
      </c>
      <c r="B5" s="10" t="str">
        <v>NH</v>
      </c>
      <c r="C5" s="18">
        <f>SUM('1st Qtr'!C5, '2nd Qtr'!C5, '3rd Qtr'!C5, '4th Qtr'!C5)</f>
        <v>1420996.999871796</v>
      </c>
      <c r="D5" s="18">
        <f>SUM('1st Qtr'!D5, '2nd Qtr'!D5, '3rd Qtr'!D5, '4th Qtr'!D5)</f>
        <v>1462217.13</v>
      </c>
      <c r="E5" s="16">
        <f t="shared" ref="E5:E13" si="0">IF(AND(ISNUMBER(C5),ISNUMBER(D5)), C5-D5, "")</f>
        <v>-41220.130128203891</v>
      </c>
      <c r="F5" s="17">
        <f>IFERROR(E5/D5, "")</f>
        <v>-2.8190156771179323E-2</v>
      </c>
      <c r="G5" s="18">
        <f>SUM('1st Qtr'!G5, '2nd Qtr'!G5, '3rd Qtr'!G5, '4th Qtr'!G5)</f>
        <v>1619666.916</v>
      </c>
      <c r="H5" s="18">
        <f>SUM('1st Qtr'!H5, '2nd Qtr'!H5, '3rd Qtr'!H5, '4th Qtr'!H5)</f>
        <v>-198669.916128204</v>
      </c>
      <c r="I5" s="17">
        <f>IFERROR(H5/G5, "")</f>
        <v>-0.12266097070059805</v>
      </c>
    </row>
    <row r="6" spans="1:9" ht="15.6">
      <c r="A6" s="46" t="str">
        <v>Nashua - Pennichuck Water  East</v>
      </c>
      <c r="B6" s="9" t="str">
        <v>NH</v>
      </c>
      <c r="C6" s="22">
        <f>SUM('1st Qtr'!C6, '2nd Qtr'!C6, '3rd Qtr'!C6, '4th Qtr'!C6)</f>
        <v>1363151.0000594081</v>
      </c>
      <c r="D6" s="12">
        <f>SUM('1st Qtr'!D6, '2nd Qtr'!D6, '3rd Qtr'!D6, '4th Qtr'!D6)</f>
        <v>1380002.605</v>
      </c>
      <c r="E6" s="12">
        <f t="shared" si="0"/>
        <v>-16851.604940591846</v>
      </c>
      <c r="F6" s="13">
        <f t="shared" ref="F6:F13" si="1">IFERROR(E6/D6, "")</f>
        <v>-1.2211284876952711E-2</v>
      </c>
      <c r="G6" s="14">
        <f>SUM('1st Qtr'!G6, '2nd Qtr'!G6, '3rd Qtr'!G6, '4th Qtr'!G6)</f>
        <v>1118888</v>
      </c>
      <c r="H6" s="14">
        <f>SUM('1st Qtr'!H6, '2nd Qtr'!H6, '3rd Qtr'!H6, '4th Qtr'!H6)</f>
        <v>244263.00005940799</v>
      </c>
      <c r="I6" s="15">
        <f t="shared" ref="I6:I13" si="2">IFERROR(H6/G6, "")</f>
        <v>0.21830871370450661</v>
      </c>
    </row>
    <row r="7" spans="1:9" ht="15.6">
      <c r="A7" s="47" t="str">
        <v>Nashua - Pennichuck Water West</v>
      </c>
      <c r="B7" s="10" t="str">
        <v>NH</v>
      </c>
      <c r="C7" s="18">
        <f>SUM('1st Qtr'!C7, '2nd Qtr'!C7, '3rd Qtr'!C7, '4th Qtr'!C7)</f>
        <v>1062420.0697499998</v>
      </c>
      <c r="D7" s="18">
        <f>SUM('1st Qtr'!D7, '2nd Qtr'!D7, '3rd Qtr'!D7, '4th Qtr'!D7)</f>
        <v>851238.027</v>
      </c>
      <c r="E7" s="16">
        <f t="shared" si="0"/>
        <v>211182.04274999979</v>
      </c>
      <c r="F7" s="17">
        <f t="shared" si="1"/>
        <v>0.24808812112666553</v>
      </c>
      <c r="G7" s="18">
        <f>SUM('1st Qtr'!G7, '2nd Qtr'!G7, '3rd Qtr'!G7, '4th Qtr'!G7)</f>
        <v>451700</v>
      </c>
      <c r="H7" s="18">
        <f>SUM('1st Qtr'!H7, '2nd Qtr'!H7, '3rd Qtr'!H7, '4th Qtr'!H7)</f>
        <v>-10053.761499999993</v>
      </c>
      <c r="I7" s="17">
        <f t="shared" si="2"/>
        <v>-2.225760792561433E-2</v>
      </c>
    </row>
    <row r="8" spans="1:9" ht="15.6">
      <c r="A8" s="46" t="str">
        <v>Boothbay - Wiscasset Road</v>
      </c>
      <c r="B8" s="9" t="str">
        <v>ME</v>
      </c>
      <c r="C8" s="22">
        <f>SUM('1st Qtr'!C8, '2nd Qtr'!C8, '3rd Qtr'!C8, '4th Qtr'!C8)</f>
        <v>1154929.8130000001</v>
      </c>
      <c r="D8" s="12">
        <f>SUM('1st Qtr'!D8, '2nd Qtr'!D8, '3rd Qtr'!D8, '4th Qtr'!D8)</f>
        <v>1217488.652</v>
      </c>
      <c r="E8" s="12">
        <f t="shared" si="0"/>
        <v>-62558.83899999992</v>
      </c>
      <c r="F8" s="13">
        <f t="shared" si="1"/>
        <v>-5.1383508911752813E-2</v>
      </c>
      <c r="G8" s="14">
        <f>SUM('1st Qtr'!G8, '2nd Qtr'!G8, '3rd Qtr'!G8, '4th Qtr'!G8)</f>
        <v>1254274.5</v>
      </c>
      <c r="H8" s="14">
        <f>SUM('1st Qtr'!H8, '2nd Qtr'!H8, '3rd Qtr'!H8, '4th Qtr'!H8)</f>
        <v>-99344.687000000005</v>
      </c>
      <c r="I8" s="15">
        <f t="shared" si="2"/>
        <v>-7.9204900522174382E-2</v>
      </c>
    </row>
    <row r="9" spans="1:9" ht="15.6">
      <c r="A9" s="47" t="str">
        <v>Thorndike -  Leonard Road</v>
      </c>
      <c r="B9" s="10" t="str">
        <v>ME</v>
      </c>
      <c r="C9" s="18">
        <f>SUM('1st Qtr'!C9, '2nd Qtr'!C9, '3rd Qtr'!C9, '4th Qtr'!C9)</f>
        <v>1153604</v>
      </c>
      <c r="D9" s="18">
        <f>SUM('1st Qtr'!D9, '2nd Qtr'!D9, '3rd Qtr'!D9, '4th Qtr'!D9)</f>
        <v>1163183.1939999999</v>
      </c>
      <c r="E9" s="16">
        <f t="shared" si="0"/>
        <v>-9579.1939999999013</v>
      </c>
      <c r="F9" s="17">
        <f t="shared" si="1"/>
        <v>-8.235327031384106E-3</v>
      </c>
      <c r="G9" s="18">
        <f>SUM('1st Qtr'!G9, '2nd Qtr'!G9, '3rd Qtr'!G9, '4th Qtr'!G9)</f>
        <v>2532146.0499999998</v>
      </c>
      <c r="H9" s="18">
        <f>SUM('1st Qtr'!H9, '2nd Qtr'!H9, '3rd Qtr'!H9, '4th Qtr'!H9)</f>
        <v>-1378542.0499999998</v>
      </c>
      <c r="I9" s="17">
        <f t="shared" si="2"/>
        <v>-0.54441648419134425</v>
      </c>
    </row>
    <row r="10" spans="1:9" ht="15.6">
      <c r="A10" s="46" t="str">
        <v>Topsham - Solarize LLC</v>
      </c>
      <c r="B10" s="9" t="str">
        <v>ME</v>
      </c>
      <c r="C10" s="22">
        <f>SUM('1st Qtr'!C10, '2nd Qtr'!C10, '3rd Qtr'!C10, '4th Qtr'!C10)</f>
        <v>911238.50025000004</v>
      </c>
      <c r="D10" s="12">
        <f>SUM('1st Qtr'!D10, '2nd Qtr'!D10, '3rd Qtr'!D10, '4th Qtr'!D10)</f>
        <v>913018.00500000012</v>
      </c>
      <c r="E10" s="12">
        <f t="shared" si="0"/>
        <v>-1779.5047500000801</v>
      </c>
      <c r="F10" s="13">
        <f t="shared" si="1"/>
        <v>-1.9490357695630327E-3</v>
      </c>
      <c r="G10" s="14">
        <f>SUM('1st Qtr'!G10, '2nd Qtr'!G10, '3rd Qtr'!G10, '4th Qtr'!G10)</f>
        <v>802849</v>
      </c>
      <c r="H10" s="14">
        <f>SUM('1st Qtr'!H10, '2nd Qtr'!H10, '3rd Qtr'!H10, '4th Qtr'!H10)</f>
        <v>108389.50025000001</v>
      </c>
      <c r="I10" s="15">
        <f t="shared" si="2"/>
        <v>0.13500608489267596</v>
      </c>
    </row>
    <row r="11" spans="1:9" ht="15.6">
      <c r="A11" s="47" t="str">
        <v>Cherryfield - 727 North Main St (IRA)</v>
      </c>
      <c r="B11" s="10" t="str">
        <v>ME</v>
      </c>
      <c r="C11" s="18">
        <f>SUM('1st Qtr'!C11, '2nd Qtr'!C11, '3rd Qtr'!C11, '4th Qtr'!C11)</f>
        <v>1681013</v>
      </c>
      <c r="D11" s="18">
        <f>SUM('1st Qtr'!D11, '2nd Qtr'!D11, '3rd Qtr'!D11, '4th Qtr'!D11)</f>
        <v>1803593.8000000003</v>
      </c>
      <c r="E11" s="16">
        <f t="shared" si="0"/>
        <v>-122580.80000000028</v>
      </c>
      <c r="F11" s="17">
        <f t="shared" si="1"/>
        <v>-6.7964749047152551E-2</v>
      </c>
      <c r="G11" s="18">
        <f>SUM('1st Qtr'!G11, '2nd Qtr'!G11, '3rd Qtr'!G11, '4th Qtr'!G11)</f>
        <v>1656025.2999999998</v>
      </c>
      <c r="H11" s="18">
        <f>SUM('1st Qtr'!H11, '2nd Qtr'!H11, '3rd Qtr'!H11, '4th Qtr'!H11)</f>
        <v>24987.700000000012</v>
      </c>
      <c r="I11" s="17">
        <f t="shared" si="2"/>
        <v>1.5088960295473755E-2</v>
      </c>
    </row>
    <row r="12" spans="1:9" ht="15.6">
      <c r="A12" s="46" t="str">
        <v>ME: Bucksport - 258 Route 1 (IRA)</v>
      </c>
      <c r="B12" s="9" t="str">
        <v>ME</v>
      </c>
      <c r="C12" s="22">
        <f>SUM('1st Qtr'!C12, '2nd Qtr'!C12, '3rd Qtr'!C12, '4th Qtr'!C12)</f>
        <v>388976</v>
      </c>
      <c r="D12" s="12">
        <f>SUM('1st Qtr'!D12, '2nd Qtr'!D12, '3rd Qtr'!D12, '4th Qtr'!D12)</f>
        <v>407109.4</v>
      </c>
      <c r="E12" s="12">
        <f t="shared" si="0"/>
        <v>-18133.400000000023</v>
      </c>
      <c r="F12" s="13">
        <f t="shared" si="1"/>
        <v>-4.4541835683479726E-2</v>
      </c>
      <c r="G12" s="14">
        <f>SUM('1st Qtr'!G12, '2nd Qtr'!G12, '3rd Qtr'!G12, '4th Qtr'!G12)</f>
        <v>393074.5</v>
      </c>
      <c r="H12" s="14">
        <f>SUM('1st Qtr'!H12, '2nd Qtr'!H12, '3rd Qtr'!H12, '4th Qtr'!H12)</f>
        <v>-4098.5</v>
      </c>
      <c r="I12" s="15">
        <f t="shared" si="2"/>
        <v>-1.0426776603417419E-2</v>
      </c>
    </row>
    <row r="13" spans="1:9" ht="15.75">
      <c r="A13" s="47" t="str">
        <v>ME: Union - Route 131 (IRA)</v>
      </c>
      <c r="B13" s="10" t="str">
        <v>ME</v>
      </c>
      <c r="C13" s="18">
        <f>SUM('1st Qtr'!C13, '2nd Qtr'!C13, '3rd Qtr'!C13, '4th Qtr'!C13)</f>
        <v>389539.5</v>
      </c>
      <c r="D13" s="18">
        <f>SUM('1st Qtr'!D13, '2nd Qtr'!D13, '3rd Qtr'!D13, '4th Qtr'!D13)</f>
        <v>390421.36800000002</v>
      </c>
      <c r="E13" s="16">
        <f t="shared" si="0"/>
        <v>-881.86800000001676</v>
      </c>
      <c r="F13" s="17">
        <f t="shared" si="1"/>
        <v>-2.2587595666639249E-3</v>
      </c>
      <c r="G13" s="18">
        <f>SUM('1st Qtr'!G13, '2nd Qtr'!G13, '3rd Qtr'!G13, '4th Qtr'!G13)</f>
        <v>358531.5</v>
      </c>
      <c r="H13" s="18">
        <f>SUM('1st Qtr'!H13, '2nd Qtr'!H13, '3rd Qtr'!H13, '4th Qtr'!H13)</f>
        <v>31008</v>
      </c>
      <c r="I13" s="17">
        <f t="shared" si="2"/>
        <v>8.6486124650135346E-2</v>
      </c>
    </row>
    <row r="14" spans="1:9" ht="12.75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44" priority="5" stopIfTrue="1" operator="lessThanOrEqual">
      <formula>-0.1</formula>
    </cfRule>
    <cfRule type="expression" dxfId="43" priority="6">
      <formula>AND(ISNUMBER(F2), F2&gt;=0.1)</formula>
    </cfRule>
  </conditionalFormatting>
  <conditionalFormatting sqref="F4:F79 I4:I79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H11" sqref="H11:H13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ALIGNED</v>
      </c>
      <c r="B1" s="97"/>
      <c r="C1" s="97"/>
      <c r="D1" s="98" t="s">
        <v>10</v>
      </c>
      <c r="E1" s="98"/>
      <c r="F1" s="98"/>
      <c r="G1" s="96" t="s">
        <v>11</v>
      </c>
      <c r="H1" s="96"/>
      <c r="I1" s="96"/>
    </row>
    <row r="2" spans="1:9" ht="19.5" customHeight="1">
      <c r="A2" s="99" t="s">
        <v>2</v>
      </c>
      <c r="B2" s="99"/>
      <c r="C2" s="5">
        <f>SUM(C4:C79)</f>
        <v>1148376.8312499996</v>
      </c>
      <c r="D2" s="5">
        <f>SUM(D4:D79)</f>
        <v>1241693.46</v>
      </c>
      <c r="E2" s="5">
        <f>C2-D2</f>
        <v>-93316.628750000382</v>
      </c>
      <c r="F2" s="6">
        <f>IFERROR(E2/D2, 0)</f>
        <v>-7.5152710194672678E-2</v>
      </c>
      <c r="G2" s="5">
        <f>SUM(G4:G79)</f>
        <v>720076.39999999991</v>
      </c>
      <c r="H2" s="7">
        <f>C2-G2</f>
        <v>428300.43124999967</v>
      </c>
      <c r="I2" s="6">
        <f>IFERROR(H2/G2, 0)</f>
        <v>0.59479859532960633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SUM(Jan!C4, Feb!C4, Mar!C4)</f>
        <v>265530.99999999977</v>
      </c>
      <c r="D4" s="12">
        <f>SUM(Jan!D4, Feb!D4, Mar!D4)</f>
        <v>297220.15000000002</v>
      </c>
      <c r="E4" s="12">
        <f>IF(AND(ISNUMBER(C4),ISNUMBER(D4)), C4-D4, "")</f>
        <v>-31689.150000000256</v>
      </c>
      <c r="F4" s="13">
        <f>IFERROR(E4/D4, "")</f>
        <v>-0.10661844427438803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7" t="str">
        <v>Loudon - 7046 Pleasant Street</v>
      </c>
      <c r="B5" s="10" t="str">
        <v>NH</v>
      </c>
      <c r="C5" s="11">
        <f>SUM(Jan!C5, Feb!C5, Mar!C5)</f>
        <v>304616.5</v>
      </c>
      <c r="D5" s="16">
        <f>SUM(Jan!D5, Feb!D5, Mar!D5)</f>
        <v>396427</v>
      </c>
      <c r="E5" s="16">
        <f t="shared" ref="E5:E9" si="0">IF(AND(ISNUMBER(C5),ISNUMBER(D5)), C5-D5, "")</f>
        <v>-91810.5</v>
      </c>
      <c r="F5" s="17">
        <f>IFERROR(E5/D5, "")</f>
        <v>-0.23159497208817764</v>
      </c>
      <c r="G5" s="18">
        <f>SUM(Jan!G5, Feb!G5, Mar!G5)</f>
        <v>430004.39999999997</v>
      </c>
      <c r="H5" s="18">
        <f>SUM(Jan!H5, Feb!H5, Mar!H5)</f>
        <v>-125387.89999999998</v>
      </c>
      <c r="I5" s="17">
        <f>IFERROR(H5/G5, "")</f>
        <v>-0.29159678366081832</v>
      </c>
    </row>
    <row r="6" spans="1:9" ht="15.6">
      <c r="A6" s="46" t="str">
        <v>Nashua - Pennichuck Water  East</v>
      </c>
      <c r="B6" s="9" t="str">
        <v>NH</v>
      </c>
      <c r="C6" s="22">
        <f>SUM(Jan!C6, Feb!C6, Mar!C6)</f>
        <v>331162.5</v>
      </c>
      <c r="D6" s="12">
        <f>SUM(Jan!D6, Feb!D6, Mar!D6)</f>
        <v>294876.74</v>
      </c>
      <c r="E6" s="12">
        <f t="shared" si="0"/>
        <v>36285.760000000009</v>
      </c>
      <c r="F6" s="13">
        <f t="shared" ref="F6:F13" si="1">IFERROR(E6/D6, "")</f>
        <v>0.12305399198322665</v>
      </c>
      <c r="G6" s="14">
        <f>SUM(Jan!G6, Feb!G6, Mar!G6)</f>
        <v>290072</v>
      </c>
      <c r="H6" s="14">
        <f>SUM(Jan!H6, Feb!H6, Mar!H6)</f>
        <v>41090.5</v>
      </c>
      <c r="I6" s="15">
        <f t="shared" ref="I6:I12" si="2">IFERROR(H6/G6, "")</f>
        <v>0.14165620949281557</v>
      </c>
    </row>
    <row r="7" spans="1:9" ht="15.6">
      <c r="A7" s="47" t="str">
        <v>Nashua - Pennichuck Water West</v>
      </c>
      <c r="B7" s="10" t="str">
        <v>NH</v>
      </c>
      <c r="C7" s="11">
        <f>SUM(Jan!C7, Feb!C7, Mar!C7)</f>
        <v>247066.83124999981</v>
      </c>
      <c r="D7" s="16">
        <f>SUM(Jan!D7, Feb!D7, Mar!D7)</f>
        <v>253169.57</v>
      </c>
      <c r="E7" s="16">
        <f t="shared" si="0"/>
        <v>-6102.7387500001932</v>
      </c>
      <c r="F7" s="17">
        <f t="shared" si="1"/>
        <v>-2.4105340740596087E-2</v>
      </c>
      <c r="G7" s="18">
        <f>SUM(Jan!G7, Feb!G7, Mar!G7)</f>
        <v>0</v>
      </c>
      <c r="H7" s="18">
        <f>SUM(Jan!H7, Feb!H7, Mar!H7)</f>
        <v>0</v>
      </c>
      <c r="I7" s="17" t="str">
        <f t="shared" si="2"/>
        <v/>
      </c>
    </row>
    <row r="8" spans="1:9" ht="15.6">
      <c r="A8" s="46" t="str">
        <v>Boothbay - Wiscasset Road</v>
      </c>
      <c r="B8" s="9" t="str">
        <v>ME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6">
      <c r="A9" s="47" t="str">
        <v>Thorndike -  Leonard Road</v>
      </c>
      <c r="B9" s="10" t="str">
        <v>ME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6">
      <c r="A10" s="46" t="str">
        <v>Topsham - Solarize LLC</v>
      </c>
      <c r="B10" s="9" t="str">
        <v>ME</v>
      </c>
      <c r="C10" s="22">
        <f>SUM(Jan!C10, Feb!C10, Mar!C10)</f>
        <v>0</v>
      </c>
      <c r="D10" s="12">
        <f>SUM(Jan!D10, Feb!D10, Mar!D10)</f>
        <v>0</v>
      </c>
      <c r="E10" s="12">
        <f>IF(AND(ISNUMBER(C10),ISNUMBER(D10)), C10-D10, "")</f>
        <v>0</v>
      </c>
      <c r="F10" s="13" t="str">
        <f>IFERROR(E10/D10, "")</f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5.6">
      <c r="A11" s="47" t="str">
        <v>Cherryfield - 727 North Main St (IRA)</v>
      </c>
      <c r="B11" s="10" t="str">
        <v>ME</v>
      </c>
      <c r="C11" s="11">
        <f>SUM(Jan!C11, Feb!C11, Mar!C11)</f>
        <v>0</v>
      </c>
      <c r="D11" s="16">
        <f>SUM(Jan!D11, Feb!D11, Mar!D11)</f>
        <v>0</v>
      </c>
      <c r="E11" s="16">
        <f>IF(AND(ISNUMBER(C11),ISNUMBER(D11)), C11-D11, "")</f>
        <v>0</v>
      </c>
      <c r="F11" s="17" t="str">
        <f t="shared" si="1"/>
        <v/>
      </c>
      <c r="G11" s="18">
        <f>SUM(Jan!G11, Feb!G11, Mar!G11)</f>
        <v>0</v>
      </c>
      <c r="H11" s="18">
        <f>SUM(Jan!H11, Feb!H11, Mar!H11)</f>
        <v>0</v>
      </c>
      <c r="I11" s="17" t="str">
        <f t="shared" si="2"/>
        <v/>
      </c>
    </row>
    <row r="12" spans="1:9" ht="15.75">
      <c r="A12" s="46" t="str">
        <v>ME: Bucksport - 258 Route 1 (IRA)</v>
      </c>
      <c r="B12" s="9" t="str">
        <v>ME</v>
      </c>
      <c r="C12" s="22">
        <f>SUM(Jan!C12, Feb!C12, Mar!C12)</f>
        <v>0</v>
      </c>
      <c r="D12" s="12">
        <f>SUM(Jan!D12, Feb!D12, Mar!D12)</f>
        <v>0</v>
      </c>
      <c r="E12" s="12">
        <f>IF(AND(ISNUMBER(C12),ISNUMBER(D12)), C12-D12, "")</f>
        <v>0</v>
      </c>
      <c r="F12" s="13" t="str">
        <f>IFERROR(E12/D12, "")</f>
        <v/>
      </c>
      <c r="G12" s="14">
        <f>SUM(Jan!G12, Feb!G12, Mar!G12)</f>
        <v>0</v>
      </c>
      <c r="H12" s="14">
        <f>SUM(Jan!H12, Feb!H12, Mar!H12)</f>
        <v>0</v>
      </c>
      <c r="I12" s="15" t="str">
        <f t="shared" si="2"/>
        <v/>
      </c>
    </row>
    <row r="13" spans="1:9" ht="15.75">
      <c r="A13" s="47" t="str">
        <v>ME: Union - Route 131 (IRA)</v>
      </c>
      <c r="B13" s="10" t="str">
        <v>ME</v>
      </c>
      <c r="C13" s="11">
        <f>SUM(Jan!C13, Feb!C13, Mar!C13)</f>
        <v>0</v>
      </c>
      <c r="D13" s="16">
        <f>SUM(Jan!D13, Feb!D13, Mar!D13)</f>
        <v>0</v>
      </c>
      <c r="E13" s="16">
        <f>IF(AND(ISNUMBER(C13),ISNUMBER(D13)), C13-D13, "")</f>
        <v>0</v>
      </c>
      <c r="F13" s="17" t="str">
        <f t="shared" si="1"/>
        <v/>
      </c>
      <c r="G13" s="18">
        <f>SUM(Jan!G13, Feb!G13, Mar!G13)</f>
        <v>0</v>
      </c>
      <c r="H13" s="18">
        <f>SUM(Jan!H13, Feb!H13, Mar!H13)</f>
        <v>0</v>
      </c>
      <c r="I13" s="17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0" priority="5" stopIfTrue="1" operator="lessThanOrEqual">
      <formula>-0.1</formula>
    </cfRule>
    <cfRule type="expression" dxfId="39" priority="6">
      <formula>AND(ISNUMBER(F2), F2&gt;=0.1)</formula>
    </cfRule>
  </conditionalFormatting>
  <conditionalFormatting sqref="I4:I79 F4:F79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5" activePane="bottomRight" state="frozen"/>
      <selection pane="bottomRight" activeCell="E14" sqref="A14:E14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ALIGNED</v>
      </c>
      <c r="B1" s="97"/>
      <c r="C1" s="97"/>
      <c r="D1" s="98" t="s">
        <v>12</v>
      </c>
      <c r="E1" s="98"/>
      <c r="F1" s="98"/>
      <c r="G1" s="96" t="s">
        <v>13</v>
      </c>
      <c r="H1" s="96"/>
      <c r="I1" s="96"/>
    </row>
    <row r="2" spans="1:9" ht="19.5" customHeight="1">
      <c r="A2" s="99" t="s">
        <v>2</v>
      </c>
      <c r="B2" s="99"/>
      <c r="C2" s="5">
        <f>SUM(C4:C79)</f>
        <v>3748877.5631414033</v>
      </c>
      <c r="D2" s="5">
        <f>SUM(D4:D79)</f>
        <v>3799021.6179999998</v>
      </c>
      <c r="E2" s="5">
        <f>C2-D2</f>
        <v>-50144.05485859653</v>
      </c>
      <c r="F2" s="6">
        <f>IFERROR(E2/D2, 0)</f>
        <v>-1.3199202294877947E-2</v>
      </c>
      <c r="G2" s="5">
        <f>SUM(G4:G79)</f>
        <v>4076410.0659999996</v>
      </c>
      <c r="H2" s="7">
        <f>C2-G2</f>
        <v>-327532.50285859639</v>
      </c>
      <c r="I2" s="6">
        <f>IFERROR(H2/G2, 0)</f>
        <v>-8.0348271531963292E-2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SUM(Apr!C4, May!C4, Jun!C4)</f>
        <v>488149.99999999901</v>
      </c>
      <c r="D4" s="12">
        <f>SUM(Apr!D4, May!D4, Jun!D4)</f>
        <v>479099.01500000001</v>
      </c>
      <c r="E4" s="12">
        <f>IF(AND(ISNUMBER(C4),ISNUMBER(D4)), C4-D4, "")</f>
        <v>9050.9849999989965</v>
      </c>
      <c r="F4" s="13">
        <f>IFERROR(E4/D4, "")</f>
        <v>1.889167941620376E-2</v>
      </c>
      <c r="G4" s="14">
        <f>SUM(Apr!G4,May!G4,Jun!G4)</f>
        <v>432000</v>
      </c>
      <c r="H4" s="14">
        <f>SUM(Apr!H4, May!H4, Jun!H4)</f>
        <v>-113430.50000000099</v>
      </c>
      <c r="I4" s="15">
        <f>IFERROR(H4/G4, "")</f>
        <v>-0.26257060185185416</v>
      </c>
    </row>
    <row r="5" spans="1:9" ht="15.6">
      <c r="A5" s="47" t="str">
        <v>Loudon - 7046 Pleasant Street</v>
      </c>
      <c r="B5" s="10" t="str">
        <v>NH</v>
      </c>
      <c r="C5" s="11">
        <f>SUM(Apr!C5, May!C5, Jun!C5)</f>
        <v>509622.999871796</v>
      </c>
      <c r="D5" s="16">
        <f>SUM(Apr!D5, May!D5, Jun!D5)</f>
        <v>491386.03</v>
      </c>
      <c r="E5" s="16">
        <f t="shared" ref="E5:E12" si="0">IF(AND(ISNUMBER(C5),ISNUMBER(D5)), C5-D5, "")</f>
        <v>18236.969871795969</v>
      </c>
      <c r="F5" s="17">
        <f>IFERROR(E5/D5, "")</f>
        <v>3.71133258953169E-2</v>
      </c>
      <c r="G5" s="18">
        <f>SUM(Apr!G5,May!G5,Jun!G5)</f>
        <v>596309.11600000004</v>
      </c>
      <c r="H5" s="18">
        <f>SUM(Apr!H5, May!H5, Jun!H5)</f>
        <v>-86686.116128204012</v>
      </c>
      <c r="I5" s="17">
        <f>IFERROR(H5/G5, "")</f>
        <v>-0.14537110669997541</v>
      </c>
    </row>
    <row r="6" spans="1:9" ht="15.6">
      <c r="A6" s="46" t="str">
        <v>Nashua - Pennichuck Water  East</v>
      </c>
      <c r="B6" s="9" t="str">
        <v>NH</v>
      </c>
      <c r="C6" s="22">
        <f>SUM(Apr!C6, May!C6, Jun!C6)</f>
        <v>484488.00001960801</v>
      </c>
      <c r="D6" s="12">
        <f>SUM(Apr!D6, May!D6, Jun!D6)</f>
        <v>531144.56499999994</v>
      </c>
      <c r="E6" s="12">
        <f t="shared" si="0"/>
        <v>-46656.564980391937</v>
      </c>
      <c r="F6" s="13">
        <f t="shared" ref="F6:F12" si="1">IFERROR(E6/D6, "")</f>
        <v>-8.784155586792447E-2</v>
      </c>
      <c r="G6" s="14">
        <f>SUM(Apr!G6,May!G6,Jun!G6)</f>
        <v>417272</v>
      </c>
      <c r="H6" s="14">
        <f>SUM(Apr!H6, May!H6, Jun!H6)</f>
        <v>67216.000019608007</v>
      </c>
      <c r="I6" s="15">
        <f t="shared" ref="I6:I12" si="2">IFERROR(H6/G6, "")</f>
        <v>0.16108437666464082</v>
      </c>
    </row>
    <row r="7" spans="1:9" ht="15.6">
      <c r="A7" s="47" t="str">
        <v>Nashua - Pennichuck Water West</v>
      </c>
      <c r="B7" s="10" t="str">
        <v>NH</v>
      </c>
      <c r="C7" s="11">
        <f>SUM(Apr!C7, May!C7, Jun!C7)</f>
        <v>373707</v>
      </c>
      <c r="D7" s="16">
        <f>SUM(Apr!D7, May!D7, Jun!D7)</f>
        <v>275557.05699999997</v>
      </c>
      <c r="E7" s="16">
        <f t="shared" si="0"/>
        <v>98149.943000000028</v>
      </c>
      <c r="F7" s="17">
        <f t="shared" si="1"/>
        <v>0.35618736848390725</v>
      </c>
      <c r="G7" s="18">
        <f>SUM(Apr!G7,May!G7,Jun!G7)</f>
        <v>0</v>
      </c>
      <c r="H7" s="18">
        <f>SUM(Apr!H7, May!H7, Jun!H7)</f>
        <v>0</v>
      </c>
      <c r="I7" s="17" t="str">
        <f t="shared" si="2"/>
        <v/>
      </c>
    </row>
    <row r="8" spans="1:9" ht="15.6">
      <c r="A8" s="46" t="str">
        <v>Boothbay - Wiscasset Road</v>
      </c>
      <c r="B8" s="9" t="str">
        <v>ME</v>
      </c>
      <c r="C8" s="22">
        <f>SUM(Apr!C8, May!C8, Jun!C8)</f>
        <v>532951.81299999997</v>
      </c>
      <c r="D8" s="12">
        <f>SUM(Apr!D8, May!D8, Jun!D8)</f>
        <v>564398.35199999996</v>
      </c>
      <c r="E8" s="12">
        <f t="shared" si="0"/>
        <v>-31446.53899999999</v>
      </c>
      <c r="F8" s="13">
        <f t="shared" si="1"/>
        <v>-5.5716922079177139E-2</v>
      </c>
      <c r="G8" s="14">
        <f>SUM(Apr!G8,May!G8,Jun!G8)</f>
        <v>611598.5</v>
      </c>
      <c r="H8" s="14">
        <f>SUM(Apr!H8, May!H8, Jun!H8)</f>
        <v>-78646.687000000005</v>
      </c>
      <c r="I8" s="15">
        <f t="shared" si="2"/>
        <v>-0.12859202074563625</v>
      </c>
    </row>
    <row r="9" spans="1:9" ht="15.6">
      <c r="A9" s="47" t="str">
        <v>Thorndike -  Leonard Road</v>
      </c>
      <c r="B9" s="10" t="str">
        <v>ME</v>
      </c>
      <c r="C9" s="11">
        <f>SUM(Apr!C9, May!C9, Jun!C9)</f>
        <v>495412.1875</v>
      </c>
      <c r="D9" s="16">
        <f>SUM(Apr!D9, May!D9, Jun!D9)</f>
        <v>557091.49399999995</v>
      </c>
      <c r="E9" s="16">
        <f t="shared" si="0"/>
        <v>-61679.306499999948</v>
      </c>
      <c r="F9" s="17">
        <f t="shared" si="1"/>
        <v>-0.11071665456087533</v>
      </c>
      <c r="G9" s="18">
        <f>SUM(Apr!G9,May!G9,Jun!G9)</f>
        <v>1251734.5499999998</v>
      </c>
      <c r="H9" s="18">
        <f>SUM(Apr!H9, May!H9, Jun!H9)</f>
        <v>-756322.36249999993</v>
      </c>
      <c r="I9" s="17">
        <f t="shared" si="2"/>
        <v>-0.60421945092112384</v>
      </c>
    </row>
    <row r="10" spans="1:9" ht="15.6">
      <c r="A10" s="46" t="str">
        <v>Topsham - Solarize LLC</v>
      </c>
      <c r="B10" s="9" t="str">
        <v>ME</v>
      </c>
      <c r="C10" s="22">
        <f>SUM(Apr!C10, May!C10, Jun!C10)</f>
        <v>420394.25025000004</v>
      </c>
      <c r="D10" s="12">
        <f>SUM(Apr!D10, May!D10, Jun!D10)</f>
        <v>419567.005</v>
      </c>
      <c r="E10" s="12">
        <f t="shared" si="0"/>
        <v>827.24525000003632</v>
      </c>
      <c r="F10" s="13">
        <f t="shared" si="1"/>
        <v>1.9716642160649317E-3</v>
      </c>
      <c r="G10" s="14">
        <f>SUM(Apr!G10,May!G10,Jun!G10)</f>
        <v>335730</v>
      </c>
      <c r="H10" s="14">
        <f>SUM(Apr!H10, May!H10, Jun!H10)</f>
        <v>84664.250250000012</v>
      </c>
      <c r="I10" s="15">
        <f t="shared" si="2"/>
        <v>0.25217957957287107</v>
      </c>
    </row>
    <row r="11" spans="1:9" ht="15.6">
      <c r="A11" s="47" t="str">
        <v>Cherryfield - 727 North Main St (IRA)</v>
      </c>
      <c r="B11" s="10" t="str">
        <v>ME</v>
      </c>
      <c r="C11" s="11">
        <f>SUM(Apr!C11, May!C11, Jun!C11)</f>
        <v>444151.3125</v>
      </c>
      <c r="D11" s="16">
        <f>SUM(Apr!D11, May!D11, Jun!D11)</f>
        <v>480778.1</v>
      </c>
      <c r="E11" s="16">
        <f t="shared" si="0"/>
        <v>-36626.787499999977</v>
      </c>
      <c r="F11" s="17">
        <f t="shared" si="1"/>
        <v>-7.6182312588697315E-2</v>
      </c>
      <c r="G11" s="18">
        <f>SUM(Apr!G11,May!G11,Jun!G11)</f>
        <v>431765.9</v>
      </c>
      <c r="H11" s="18">
        <f>SUM(Apr!H11, May!H11, Jun!H11)</f>
        <v>12385.412499999977</v>
      </c>
      <c r="I11" s="17">
        <f t="shared" si="2"/>
        <v>2.8685480951598948E-2</v>
      </c>
    </row>
    <row r="12" spans="1:9" ht="15.6">
      <c r="A12" s="46" t="str">
        <v>ME: Bucksport - 258 Route 1 (IRA)</v>
      </c>
      <c r="B12" s="9" t="str">
        <v>ME</v>
      </c>
      <c r="C12" s="22">
        <f>SUM(Apr!C12, May!C12, Jun!C12)</f>
        <v>0</v>
      </c>
      <c r="D12" s="12">
        <f>SUM(Apr!D12, May!D12, Jun!D12)</f>
        <v>0</v>
      </c>
      <c r="E12" s="12">
        <f t="shared" si="0"/>
        <v>0</v>
      </c>
      <c r="F12" s="13" t="str">
        <f t="shared" si="1"/>
        <v/>
      </c>
      <c r="G12" s="14">
        <f>SUM(Apr!G12,May!G12,Jun!G12)</f>
        <v>0</v>
      </c>
      <c r="H12" s="14">
        <f>SUM(Apr!H12, May!H12, Jun!H12)</f>
        <v>0</v>
      </c>
      <c r="I12" s="15" t="str">
        <f t="shared" si="2"/>
        <v/>
      </c>
    </row>
    <row r="13" spans="1:9" ht="15.75">
      <c r="A13" s="47" t="str">
        <v>ME: Union - Route 131 (IRA)</v>
      </c>
      <c r="B13" s="10" t="str">
        <v>ME</v>
      </c>
      <c r="C13" s="11"/>
      <c r="D13" s="16"/>
      <c r="E13" s="16"/>
      <c r="F13" s="17"/>
      <c r="G13" s="18"/>
      <c r="H13" s="18"/>
      <c r="I13" s="17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I11" sqref="I11:I13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ALIGNED</v>
      </c>
      <c r="B1" s="97"/>
      <c r="C1" s="97"/>
      <c r="D1" s="98" t="s">
        <v>14</v>
      </c>
      <c r="E1" s="98"/>
      <c r="F1" s="98"/>
      <c r="G1" s="96" t="s">
        <v>15</v>
      </c>
      <c r="H1" s="96"/>
      <c r="I1" s="96"/>
    </row>
    <row r="2" spans="1:9" ht="19.5" customHeight="1">
      <c r="A2" s="99" t="s">
        <v>2</v>
      </c>
      <c r="B2" s="99"/>
      <c r="C2" s="5">
        <f>SUM(C4:C79)</f>
        <v>5975550.5685398001</v>
      </c>
      <c r="D2" s="5">
        <f>SUM(D4:D79)</f>
        <v>5862893.8680000007</v>
      </c>
      <c r="E2" s="5">
        <f>C2-D2</f>
        <v>112656.70053979941</v>
      </c>
      <c r="F2" s="6">
        <f>IFERROR(E2/D2, 0)</f>
        <v>1.9215203801434291E-2</v>
      </c>
      <c r="G2" s="5">
        <f>SUM(G4:G79)</f>
        <v>6436669.3000000007</v>
      </c>
      <c r="H2" s="7">
        <f>C2-G2</f>
        <v>-461118.73146020062</v>
      </c>
      <c r="I2" s="6">
        <f>IFERROR(H2/G2, 0)</f>
        <v>-7.1639338603305375E-2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SUM(Jul!C4, Aug!C4, Sep!C4)</f>
        <v>593255.07999999996</v>
      </c>
      <c r="D4" s="12">
        <f>SUM(Jul!D4, Aug!D4, Sep!D4)</f>
        <v>539017.6</v>
      </c>
      <c r="E4" s="12">
        <f>IF(AND(ISNUMBER(C4),ISNUMBER(D4)), C4-D4, "")</f>
        <v>54237.479999999981</v>
      </c>
      <c r="F4" s="13">
        <f>IFERROR(E4/D4, "")</f>
        <v>0.10062283680532877</v>
      </c>
      <c r="G4" s="14">
        <f>SUM(Jul!G4,Aug!G4,Sep!G4)</f>
        <v>614000</v>
      </c>
      <c r="H4" s="14">
        <f>SUM(Jul!H4, Aug!H4, Sep!H4)</f>
        <v>-20744.920000000013</v>
      </c>
      <c r="I4" s="15">
        <f>IFERROR(H4/G4, "")</f>
        <v>-3.3786514657980479E-2</v>
      </c>
    </row>
    <row r="5" spans="1:9" ht="15.6">
      <c r="A5" s="47" t="str">
        <v>Loudon - 7046 Pleasant Street</v>
      </c>
      <c r="B5" s="10" t="str">
        <v>NH</v>
      </c>
      <c r="C5" s="11">
        <f>SUM(Jul!C5, Aug!C5, Sep!C5)</f>
        <v>606757.5</v>
      </c>
      <c r="D5" s="16">
        <f>SUM(Jul!D5, Aug!D5, Sep!D5)</f>
        <v>574404.1</v>
      </c>
      <c r="E5" s="16">
        <f t="shared" ref="E5:E13" si="0">IF(AND(ISNUMBER(C5),ISNUMBER(D5)), C5-D5, "")</f>
        <v>32353.400000000023</v>
      </c>
      <c r="F5" s="17">
        <f>IFERROR(E5/D5, "")</f>
        <v>5.6325155060696859E-2</v>
      </c>
      <c r="G5" s="18">
        <f>SUM(Jul!G5,Aug!G5,Sep!G5)</f>
        <v>593353.39999999991</v>
      </c>
      <c r="H5" s="18">
        <f>SUM(Jul!H5, Aug!H5, Sep!H5)</f>
        <v>13404.100000000006</v>
      </c>
      <c r="I5" s="17">
        <f>IFERROR(H5/G5, "")</f>
        <v>2.2590415762343333E-2</v>
      </c>
    </row>
    <row r="6" spans="1:9" ht="15.6">
      <c r="A6" s="46" t="str">
        <v>Nashua - Pennichuck Water  East</v>
      </c>
      <c r="B6" s="9" t="str">
        <v>NH</v>
      </c>
      <c r="C6" s="22">
        <f>SUM(Jul!C6, Aug!C6, Sep!C6)</f>
        <v>547500.50003979995</v>
      </c>
      <c r="D6" s="12">
        <f>SUM(Jul!D6, Aug!D6, Sep!D6)</f>
        <v>553981.30000000005</v>
      </c>
      <c r="E6" s="12">
        <f t="shared" si="0"/>
        <v>-6480.7999602000928</v>
      </c>
      <c r="F6" s="13">
        <f t="shared" ref="F6:F13" si="1">IFERROR(E6/D6, "")</f>
        <v>-1.1698589754203062E-2</v>
      </c>
      <c r="G6" s="14">
        <f>SUM(Jul!G6,Aug!G6,Sep!G6)</f>
        <v>411544</v>
      </c>
      <c r="H6" s="14">
        <f>SUM(Jul!H6, Aug!H6, Sep!H6)</f>
        <v>135956.50003979998</v>
      </c>
      <c r="I6" s="15">
        <f t="shared" ref="I6:I13" si="2">IFERROR(H6/G6, "")</f>
        <v>0.33035714295385177</v>
      </c>
    </row>
    <row r="7" spans="1:9" ht="15.6">
      <c r="A7" s="47" t="str">
        <v>Nashua - Pennichuck Water West</v>
      </c>
      <c r="B7" s="10" t="str">
        <v>NH</v>
      </c>
      <c r="C7" s="11">
        <f>SUM(Jul!C7, Aug!C7, Sep!C7)</f>
        <v>441646.23849999998</v>
      </c>
      <c r="D7" s="16">
        <f>SUM(Jul!D7, Aug!D7, Sep!D7)</f>
        <v>322511.40000000002</v>
      </c>
      <c r="E7" s="16">
        <f t="shared" si="0"/>
        <v>119134.83849999995</v>
      </c>
      <c r="F7" s="17">
        <f t="shared" si="1"/>
        <v>0.36939729417316702</v>
      </c>
      <c r="G7" s="18">
        <f>SUM(Jul!G7,Aug!G7,Sep!G7)</f>
        <v>451700</v>
      </c>
      <c r="H7" s="18">
        <f>SUM(Jul!H7, Aug!H7, Sep!H7)</f>
        <v>-10053.761499999993</v>
      </c>
      <c r="I7" s="17">
        <f t="shared" si="2"/>
        <v>-2.225760792561433E-2</v>
      </c>
    </row>
    <row r="8" spans="1:9" ht="15.6">
      <c r="A8" s="46" t="str">
        <v>Boothbay - Wiscasset Road</v>
      </c>
      <c r="B8" s="9" t="str">
        <v>ME</v>
      </c>
      <c r="C8" s="22">
        <f>SUM(Jul!C8, Aug!C8, Sep!C8)</f>
        <v>621978</v>
      </c>
      <c r="D8" s="12">
        <f>SUM(Jul!D8, Aug!D8, Sep!D8)</f>
        <v>653090.30000000005</v>
      </c>
      <c r="E8" s="12">
        <f t="shared" si="0"/>
        <v>-31112.300000000047</v>
      </c>
      <c r="F8" s="13">
        <f t="shared" si="1"/>
        <v>-4.7638588415721446E-2</v>
      </c>
      <c r="G8" s="14">
        <f>SUM(Jul!G8,Aug!G8,Sep!G8)</f>
        <v>642676</v>
      </c>
      <c r="H8" s="14">
        <f>SUM(Jul!H8, Aug!H8, Sep!H8)</f>
        <v>-20698</v>
      </c>
      <c r="I8" s="15">
        <f t="shared" si="2"/>
        <v>-3.2205963813803536E-2</v>
      </c>
    </row>
    <row r="9" spans="1:9" ht="15.6">
      <c r="A9" s="47" t="str">
        <v>Thorndike -  Leonard Road</v>
      </c>
      <c r="B9" s="10" t="str">
        <v>ME</v>
      </c>
      <c r="C9" s="11">
        <f>SUM(Jul!C9, Aug!C9, Sep!C9)</f>
        <v>658191.8125</v>
      </c>
      <c r="D9" s="16">
        <f>SUM(Jul!D9, Aug!D9, Sep!D9)</f>
        <v>606091.69999999995</v>
      </c>
      <c r="E9" s="16">
        <f t="shared" si="0"/>
        <v>52100.112500000047</v>
      </c>
      <c r="F9" s="17">
        <f t="shared" si="1"/>
        <v>8.5960775407417811E-2</v>
      </c>
      <c r="G9" s="18">
        <f>SUM(Jul!G9,Aug!G9,Sep!G9)</f>
        <v>1280411.5</v>
      </c>
      <c r="H9" s="18">
        <f>SUM(Jul!H9, Aug!H9, Sep!H9)</f>
        <v>-622219.6875</v>
      </c>
      <c r="I9" s="17">
        <f t="shared" si="2"/>
        <v>-0.48595290459356233</v>
      </c>
    </row>
    <row r="10" spans="1:9" ht="15.6">
      <c r="A10" s="46" t="str">
        <v>Topsham - Solarize LLC</v>
      </c>
      <c r="B10" s="9" t="str">
        <v>ME</v>
      </c>
      <c r="C10" s="22">
        <f>SUM(Jul!C10, Aug!C10, Sep!C10)</f>
        <v>490844.25</v>
      </c>
      <c r="D10" s="12">
        <f>SUM(Jul!D10, Aug!D10, Sep!D10)</f>
        <v>493451.00000000006</v>
      </c>
      <c r="E10" s="12">
        <f t="shared" si="0"/>
        <v>-2606.7500000000582</v>
      </c>
      <c r="F10" s="13">
        <f t="shared" si="1"/>
        <v>-5.2826927091039599E-3</v>
      </c>
      <c r="G10" s="14">
        <f>SUM(Jul!G10,Aug!G10,Sep!G10)</f>
        <v>467119</v>
      </c>
      <c r="H10" s="14">
        <f>SUM(Jul!H10, Aug!H10, Sep!H10)</f>
        <v>23725.25</v>
      </c>
      <c r="I10" s="15">
        <f t="shared" si="2"/>
        <v>5.079059083445546E-2</v>
      </c>
    </row>
    <row r="11" spans="1:9" ht="15.6">
      <c r="A11" s="47" t="str">
        <v>Cherryfield - 727 North Main St (IRA)</v>
      </c>
      <c r="B11" s="10" t="str">
        <v>ME</v>
      </c>
      <c r="C11" s="11">
        <f>SUM(Jul!C11, Aug!C11, Sep!C11)</f>
        <v>1236861.6875</v>
      </c>
      <c r="D11" s="16">
        <f>SUM(Jul!D11, Aug!D11, Sep!D11)</f>
        <v>1322815.7000000002</v>
      </c>
      <c r="E11" s="16">
        <f t="shared" si="0"/>
        <v>-85954.012500000186</v>
      </c>
      <c r="F11" s="17">
        <f t="shared" si="1"/>
        <v>-6.4978071019266087E-2</v>
      </c>
      <c r="G11" s="18">
        <f>SUM(Jul!G11,Aug!G11,Sep!G11)</f>
        <v>1224259.3999999999</v>
      </c>
      <c r="H11" s="18">
        <f>SUM(Jul!H11, Aug!H11, Sep!H11)</f>
        <v>12602.287500000035</v>
      </c>
      <c r="I11" s="17">
        <f t="shared" si="2"/>
        <v>1.0293804973031071E-2</v>
      </c>
    </row>
    <row r="12" spans="1:9" ht="15.6">
      <c r="A12" s="46" t="str">
        <v>ME: Bucksport - 258 Route 1 (IRA)</v>
      </c>
      <c r="B12" s="9" t="str">
        <v>ME</v>
      </c>
      <c r="C12" s="22">
        <f>SUM(Jul!C12, Aug!C12, Sep!C12)</f>
        <v>388976</v>
      </c>
      <c r="D12" s="12">
        <f>SUM(Jul!D12, Aug!D12, Sep!D12)</f>
        <v>407109.4</v>
      </c>
      <c r="E12" s="12">
        <f t="shared" si="0"/>
        <v>-18133.400000000023</v>
      </c>
      <c r="F12" s="13">
        <f t="shared" si="1"/>
        <v>-4.4541835683479726E-2</v>
      </c>
      <c r="G12" s="14">
        <f>SUM(Jul!G12,Aug!G12,Sep!G12)</f>
        <v>393074.5</v>
      </c>
      <c r="H12" s="14">
        <f>SUM(Jul!H12, Aug!H12, Sep!H12)</f>
        <v>-4098.5</v>
      </c>
      <c r="I12" s="15">
        <f t="shared" si="2"/>
        <v>-1.0426776603417419E-2</v>
      </c>
    </row>
    <row r="13" spans="1:9" ht="15.75">
      <c r="A13" s="47" t="str">
        <v>ME: Union - Route 131 (IRA)</v>
      </c>
      <c r="B13" s="10" t="str">
        <v>ME</v>
      </c>
      <c r="C13" s="11">
        <f>SUM(Jul!C13, Aug!C13, Sep!C13)</f>
        <v>389539.5</v>
      </c>
      <c r="D13" s="16">
        <f>SUM(Jul!D13, Aug!D13, Sep!D13)</f>
        <v>390421.36800000002</v>
      </c>
      <c r="E13" s="16">
        <f t="shared" si="0"/>
        <v>-881.86800000001676</v>
      </c>
      <c r="F13" s="17">
        <f t="shared" si="1"/>
        <v>-2.2587595666639249E-3</v>
      </c>
      <c r="G13" s="18">
        <f>SUM(Jul!G13,Aug!G13,Sep!G13)</f>
        <v>358531.5</v>
      </c>
      <c r="H13" s="18">
        <f>SUM(Jul!H13, Aug!H13, Sep!H13)</f>
        <v>31008</v>
      </c>
      <c r="I13" s="17">
        <f t="shared" si="2"/>
        <v>8.6486124650135346E-2</v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79 I4:I79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F7" sqref="F7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ALIGNED</v>
      </c>
      <c r="B1" s="97"/>
      <c r="C1" s="97"/>
      <c r="D1" s="98" t="s">
        <v>16</v>
      </c>
      <c r="E1" s="98"/>
      <c r="F1" s="98"/>
      <c r="G1" s="96" t="s">
        <v>17</v>
      </c>
      <c r="H1" s="96"/>
      <c r="I1" s="96"/>
    </row>
    <row r="2" spans="1:9" ht="19.5" customHeight="1">
      <c r="A2" s="99" t="s">
        <v>2</v>
      </c>
      <c r="B2" s="9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7" t="str">
        <v>Loudon - 7046 Pleasant Street</v>
      </c>
      <c r="B5" s="10" t="str">
        <v>NH</v>
      </c>
      <c r="C5" s="11">
        <f>SUM(Oct!C5, Nov!C5, Dec!C5)</f>
        <v>0</v>
      </c>
      <c r="D5" s="16">
        <f>SUM(Oct!D5, Nov!D5, Dec!D5)</f>
        <v>0</v>
      </c>
      <c r="E5" s="16">
        <f t="shared" ref="E5:E7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>
      <c r="A6" s="46" t="str">
        <v>Nashua - Pennichuck Water  East</v>
      </c>
      <c r="B6" s="9" t="str">
        <v>NH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7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7" si="2">IFERROR(H6/G6, "")</f>
        <v/>
      </c>
    </row>
    <row r="7" spans="1:9" ht="15.6">
      <c r="A7" s="47" t="str">
        <v>Nashua - Pennichuck Water West</v>
      </c>
      <c r="B7" s="10" t="str">
        <v>NH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4.45">
      <c r="A8" s="19" t="str">
        <v>Boothbay - Wiscasset Road</v>
      </c>
      <c r="B8" s="10" t="str">
        <v>ME</v>
      </c>
      <c r="C8" s="43"/>
      <c r="D8" s="16"/>
      <c r="E8" s="16"/>
      <c r="F8" s="17"/>
      <c r="G8" s="18"/>
      <c r="H8" s="18"/>
      <c r="I8" s="17"/>
    </row>
    <row r="9" spans="1:9" ht="14.45">
      <c r="A9" s="19" t="str">
        <v>Thorndike -  Leonard Road</v>
      </c>
      <c r="B9" s="10" t="str">
        <v>ME</v>
      </c>
      <c r="C9" s="43"/>
      <c r="D9" s="16"/>
      <c r="E9" s="16"/>
      <c r="F9" s="17"/>
      <c r="G9" s="18"/>
      <c r="H9" s="18"/>
      <c r="I9" s="17"/>
    </row>
    <row r="10" spans="1:9" ht="13.9">
      <c r="A10" s="19" t="str">
        <v>Topsham - Solarize LLC</v>
      </c>
      <c r="B10" s="19" t="str">
        <v>ME</v>
      </c>
      <c r="C10" s="19"/>
      <c r="D10" s="19"/>
      <c r="E10" s="19"/>
      <c r="F10" s="19"/>
      <c r="G10" s="19"/>
      <c r="H10" s="19"/>
      <c r="I10" s="19"/>
    </row>
    <row r="11" spans="1:9" ht="13.9">
      <c r="A11" s="19" t="str">
        <v>Cherryfield - 727 North Main St (IRA)</v>
      </c>
      <c r="B11" s="19" t="str">
        <v>ME</v>
      </c>
      <c r="C11" s="19"/>
      <c r="D11" s="19"/>
      <c r="E11" s="19"/>
      <c r="F11" s="19"/>
      <c r="G11" s="19"/>
      <c r="H11" s="19"/>
      <c r="I11" s="19"/>
    </row>
    <row r="12" spans="1:9" ht="13.9">
      <c r="A12" s="19" t="str">
        <v>ME: Bucksport - 258 Route 1 (IRA)</v>
      </c>
      <c r="B12" s="19" t="str">
        <v>ME</v>
      </c>
      <c r="C12" s="19"/>
      <c r="D12" s="19"/>
      <c r="E12" s="19"/>
      <c r="F12" s="20"/>
      <c r="G12" s="19"/>
      <c r="H12" s="19"/>
      <c r="I12" s="20"/>
    </row>
    <row r="13" spans="1:9" ht="13.9">
      <c r="A13" s="19" t="str">
        <v>ME: Union - Route 131 (IRA)</v>
      </c>
      <c r="B13" s="19" t="str">
        <v>ME</v>
      </c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0" zoomScaleNormal="80" workbookViewId="0">
      <pane xSplit="2" ySplit="3" topLeftCell="F4" activePane="bottomRight" state="frozen"/>
      <selection pane="bottomRight" activeCell="F7" sqref="F7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ALIGNED</v>
      </c>
      <c r="B1" s="97"/>
      <c r="C1" s="97"/>
      <c r="D1" s="98" t="s">
        <v>18</v>
      </c>
      <c r="E1" s="98"/>
      <c r="F1" s="98"/>
      <c r="G1" s="96" t="s">
        <v>19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SUM(C4:C78)</f>
        <v>346871.4781783917</v>
      </c>
      <c r="D2" s="5">
        <f>SUM(D4:D78)</f>
        <v>348784.49000000005</v>
      </c>
      <c r="E2" s="5">
        <f>C2-D2</f>
        <v>-1913.0118216083501</v>
      </c>
      <c r="F2" s="6">
        <f>IFERROR(E2/D2, 0)</f>
        <v>-5.4847961318702848E-3</v>
      </c>
      <c r="G2" s="5">
        <f>SUM(G4:G78)</f>
        <v>194816.2</v>
      </c>
      <c r="H2" s="7">
        <f>C2-G2</f>
        <v>152055.27817839169</v>
      </c>
      <c r="I2" s="6">
        <f>IFERROR(H2/G2, 0)</f>
        <v>0.78050633457788254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86.45">
      <c r="A4" s="68" t="str" cm="1">
        <f t="array" ref="A4:A13">Sites[Site]</f>
        <v>Conway -US 302 and Stirch Road</v>
      </c>
      <c r="B4" s="63" t="str" cm="1">
        <f t="array" ref="B4:B13">Sites[State]</f>
        <v>NH</v>
      </c>
      <c r="C4" s="70">
        <v>80975</v>
      </c>
      <c r="D4" s="64">
        <v>75060.55</v>
      </c>
      <c r="E4" s="64">
        <f>IF(AND(ISNUMBER(C4),ISNUMBER(D4)), C4-D4, "")</f>
        <v>5914.4499999999971</v>
      </c>
      <c r="F4" s="65">
        <f>IFERROR(E4/D4, "")</f>
        <v>7.879571892292285E-2</v>
      </c>
      <c r="G4" s="72" t="s">
        <v>22</v>
      </c>
      <c r="H4" s="66" t="str">
        <f>IF(AND(ISNUMBER(C4),ISNUMBER(G4)), C4-G4, "")</f>
        <v/>
      </c>
      <c r="I4" s="65" t="str">
        <f>IFERROR(H4/G4, "")</f>
        <v/>
      </c>
      <c r="J4" s="67" t="s">
        <v>23</v>
      </c>
      <c r="K4" s="67" t="s">
        <v>24</v>
      </c>
    </row>
    <row r="5" spans="1:11" ht="28.9">
      <c r="A5" s="57" t="str">
        <v>Loudon - 7046 Pleasant Street</v>
      </c>
      <c r="B5" s="58" t="str">
        <v>NH</v>
      </c>
      <c r="C5" s="62">
        <v>94149.5</v>
      </c>
      <c r="D5" s="16">
        <v>123337.60000000001</v>
      </c>
      <c r="E5" s="16">
        <f t="shared" ref="E5:E6" si="0">IF(AND(ISNUMBER(C5),ISNUMBER(D5)), C5-D5, "")</f>
        <v>-29188.100000000006</v>
      </c>
      <c r="F5" s="59">
        <f t="shared" ref="F5:F7" si="1">IFERROR(E5/D5, "")</f>
        <v>-0.23665208338738555</v>
      </c>
      <c r="G5" s="60">
        <v>122352.2</v>
      </c>
      <c r="H5" s="60">
        <f t="shared" ref="H5:H6" si="2">IF(AND(ISNUMBER(C5),ISNUMBER(G5)), C5-G5, "")</f>
        <v>-28202.699999999997</v>
      </c>
      <c r="I5" s="59">
        <f t="shared" ref="I5:I6" si="3">IFERROR(H5/G5, "")</f>
        <v>-0.23050423286217983</v>
      </c>
      <c r="J5" s="61" t="s">
        <v>25</v>
      </c>
      <c r="K5" s="69" t="s">
        <v>26</v>
      </c>
    </row>
    <row r="6" spans="1:11" ht="28.9">
      <c r="A6" s="68" t="str">
        <v>Nashua - Pennichuck Water  East</v>
      </c>
      <c r="B6" s="63" t="str">
        <v>NH</v>
      </c>
      <c r="C6" s="70">
        <v>97358.635678391904</v>
      </c>
      <c r="D6" s="64">
        <v>67312.38</v>
      </c>
      <c r="E6" s="64">
        <f t="shared" si="0"/>
        <v>30046.255678391899</v>
      </c>
      <c r="F6" s="65">
        <f>IFERROR(E6/D6, "")</f>
        <v>0.44637042514901265</v>
      </c>
      <c r="G6" s="66">
        <v>72464</v>
      </c>
      <c r="H6" s="66">
        <f t="shared" si="2"/>
        <v>24894.635678391904</v>
      </c>
      <c r="I6" s="65">
        <f t="shared" si="3"/>
        <v>0.34354487301821462</v>
      </c>
      <c r="J6" s="67" t="s">
        <v>27</v>
      </c>
      <c r="K6" s="67" t="s">
        <v>28</v>
      </c>
    </row>
    <row r="7" spans="1:11" ht="15.6">
      <c r="A7" s="57" t="str">
        <v>Nashua - Pennichuck Water West</v>
      </c>
      <c r="B7" s="58" t="str">
        <v>NH</v>
      </c>
      <c r="C7" s="62">
        <v>74388.342499999795</v>
      </c>
      <c r="D7" s="16">
        <v>83073.960000000006</v>
      </c>
      <c r="E7" s="16">
        <f>IF(AND(ISNUMBER(C7),ISNUMBER(D7)), C7-D7, "")</f>
        <v>-8685.6175000002113</v>
      </c>
      <c r="F7" s="59">
        <f t="shared" si="1"/>
        <v>-0.10455282858792588</v>
      </c>
      <c r="G7" s="16" t="s">
        <v>22</v>
      </c>
      <c r="H7" s="60" t="str">
        <f>IF(AND(ISNUMBER(C7),ISNUMBER(G7)), C7-G7, "")</f>
        <v/>
      </c>
      <c r="I7" s="59" t="str">
        <f t="shared" ref="I7" si="4">IFERROR(H7/G7, "")</f>
        <v/>
      </c>
      <c r="J7" s="61" t="s">
        <v>29</v>
      </c>
      <c r="K7" s="61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</sheetData>
  <mergeCells count="4">
    <mergeCell ref="D1:F1"/>
    <mergeCell ref="A1:C1"/>
    <mergeCell ref="G1:I1"/>
    <mergeCell ref="A2:B2"/>
  </mergeCells>
  <conditionalFormatting sqref="F2 I2 F8:F78 I8:I7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H17" activePane="bottomRight" state="frozen"/>
      <selection pane="bottomRight" activeCell="H17" sqref="H17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ALIGNED</v>
      </c>
      <c r="B1" s="97"/>
      <c r="C1" s="97"/>
      <c r="D1" s="98" t="s">
        <v>30</v>
      </c>
      <c r="E1" s="98"/>
      <c r="F1" s="98"/>
      <c r="G1" s="96" t="s">
        <v>31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SUM(C4:C77)</f>
        <v>260811.3696636479</v>
      </c>
      <c r="D2" s="5">
        <f>SUM(D4:D77)</f>
        <v>383101.45</v>
      </c>
      <c r="E2" s="5">
        <f>C2-D2</f>
        <v>-122290.08033635211</v>
      </c>
      <c r="F2" s="6">
        <f>IFERROR(E2/D2, 0)</f>
        <v>-0.31921069559082094</v>
      </c>
      <c r="G2" s="5">
        <f>SUM(G4:G77)</f>
        <v>231043.9</v>
      </c>
      <c r="H2" s="7">
        <f>C2-G2</f>
        <v>29767.469663647906</v>
      </c>
      <c r="I2" s="6">
        <f>IFERROR(H2/G2, 0)</f>
        <v>0.12883902004618131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9">
      <c r="A4" s="68" t="str" cm="1">
        <f t="array" ref="A4:A13">Sites[Site]</f>
        <v>Conway -US 302 and Stirch Road</v>
      </c>
      <c r="B4" s="63" t="str" cm="1">
        <f t="array" ref="B4:B13">Sites[State]</f>
        <v>NH</v>
      </c>
      <c r="C4" s="70">
        <v>50574.1815920398</v>
      </c>
      <c r="D4" s="64">
        <v>92518.7</v>
      </c>
      <c r="E4" s="64">
        <f>IF(AND(ISNUMBER(C4),ISNUMBER(D4)), C4-D4, "")</f>
        <v>-41944.518407960197</v>
      </c>
      <c r="F4" s="59">
        <f>IFERROR(E4/D4, "")</f>
        <v>-0.45336260029550995</v>
      </c>
      <c r="G4" s="72" t="s">
        <v>22</v>
      </c>
      <c r="H4" s="66" t="str">
        <f>IF(AND(ISNUMBER(C4),ISNUMBER(G4)), C4-G4, "")</f>
        <v/>
      </c>
      <c r="I4" s="65" t="str">
        <f>IFERROR(H4/G4, "")</f>
        <v/>
      </c>
      <c r="J4" s="67" t="s">
        <v>32</v>
      </c>
      <c r="K4" s="75" t="s">
        <v>33</v>
      </c>
    </row>
    <row r="5" spans="1:11" ht="15.6">
      <c r="A5" s="57" t="str">
        <v>Loudon - 7046 Pleasant Street</v>
      </c>
      <c r="B5" s="58" t="str">
        <v>NH</v>
      </c>
      <c r="C5" s="62">
        <v>68847.5</v>
      </c>
      <c r="D5" s="16">
        <v>123029.3</v>
      </c>
      <c r="E5" s="16">
        <f t="shared" ref="E5:E7" si="0">IF(AND(ISNUMBER(C5),ISNUMBER(D5)), C5-D5, "")</f>
        <v>-54181.8</v>
      </c>
      <c r="F5" s="59">
        <f t="shared" ref="F5:F7" si="1">IFERROR(E5/D5, "")</f>
        <v>-0.44039753131977505</v>
      </c>
      <c r="G5" s="60">
        <v>139243.9</v>
      </c>
      <c r="H5" s="60">
        <f t="shared" ref="H5:H7" si="2">IF(AND(ISNUMBER(C5),ISNUMBER(G5)), C5-G5, "")</f>
        <v>-70396.399999999994</v>
      </c>
      <c r="I5" s="59">
        <f t="shared" ref="I5:I7" si="3">IFERROR(H5/G5, "")</f>
        <v>-0.50556182353410095</v>
      </c>
      <c r="J5" s="61" t="s">
        <v>29</v>
      </c>
      <c r="K5" s="61"/>
    </row>
    <row r="6" spans="1:11" ht="28.9">
      <c r="A6" s="50" t="str">
        <v>Nashua - Pennichuck Water  East</v>
      </c>
      <c r="B6" s="27" t="str">
        <v>NH</v>
      </c>
      <c r="C6" s="22">
        <v>84190.364321608096</v>
      </c>
      <c r="D6" s="12">
        <v>90026.76</v>
      </c>
      <c r="E6" s="12">
        <f t="shared" si="0"/>
        <v>-5836.3956783918984</v>
      </c>
      <c r="F6" s="17">
        <f t="shared" si="1"/>
        <v>-6.4829564880396665E-2</v>
      </c>
      <c r="G6" s="14">
        <v>91800</v>
      </c>
      <c r="H6" s="14">
        <f t="shared" si="2"/>
        <v>-7609.6356783919036</v>
      </c>
      <c r="I6" s="15">
        <f t="shared" si="3"/>
        <v>-8.2893634840870409E-2</v>
      </c>
      <c r="J6" s="39" t="s">
        <v>27</v>
      </c>
      <c r="K6" s="76" t="s">
        <v>28</v>
      </c>
    </row>
    <row r="7" spans="1:11" ht="15.6">
      <c r="A7" s="49" t="str">
        <v>Nashua - Pennichuck Water West</v>
      </c>
      <c r="B7" s="29" t="str">
        <v>NH</v>
      </c>
      <c r="C7" s="11">
        <v>57199.323750000003</v>
      </c>
      <c r="D7" s="16">
        <v>77526.69</v>
      </c>
      <c r="E7" s="16">
        <f t="shared" si="0"/>
        <v>-20327.366249999999</v>
      </c>
      <c r="F7" s="59">
        <f t="shared" si="1"/>
        <v>-0.26219829906320002</v>
      </c>
      <c r="G7" s="73" t="s">
        <v>22</v>
      </c>
      <c r="H7" s="18" t="str">
        <f t="shared" si="2"/>
        <v/>
      </c>
      <c r="I7" s="17" t="str">
        <f t="shared" si="3"/>
        <v/>
      </c>
      <c r="J7" s="40" t="s">
        <v>29</v>
      </c>
      <c r="K7" s="53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 t="s">
        <v>34</v>
      </c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20"/>
      <c r="G10" s="19"/>
      <c r="H10" s="19"/>
      <c r="I10" s="20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C319" s="19"/>
      <c r="D319" s="19"/>
      <c r="E319" s="19"/>
      <c r="F319" s="20"/>
      <c r="G319" s="19"/>
      <c r="H319" s="19"/>
      <c r="I319" s="20"/>
      <c r="J319" s="19"/>
      <c r="K319" s="19"/>
    </row>
  </sheetData>
  <mergeCells count="4">
    <mergeCell ref="G1:I1"/>
    <mergeCell ref="A1:C1"/>
    <mergeCell ref="D1:F1"/>
    <mergeCell ref="A2:B2"/>
  </mergeCells>
  <conditionalFormatting sqref="F2 I2 I6:I77 F8:F77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6">
    <cfRule type="cellIs" dxfId="24" priority="1" stopIfTrue="1" operator="lessThanOrEqual">
      <formula>-0.1</formula>
    </cfRule>
    <cfRule type="expression" dxfId="23" priority="2">
      <formula>AND(ISNUMBER(F6), F6&gt;=0.1)</formula>
    </cfRule>
  </conditionalFormatting>
  <hyperlinks>
    <hyperlink ref="K4" r:id="rId1" display="https://us3.assetplanner.com/service_request?ID=093738" xr:uid="{9AE87990-0645-461B-BBA4-EA4099988AA9}"/>
    <hyperlink ref="K6" r:id="rId2" display="https://us3.assetplanner.com/service_request?ID=099647" xr:uid="{B8A94AB9-5A2A-4045-95F3-A339EB7B26B4}"/>
  </hyperlinks>
  <pageMargins left="0.4" right="0.7" top="0.25" bottom="0.25" header="0.3" footer="0.3"/>
  <pageSetup fitToHeight="99" orientation="landscape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bottomRight" activeCell="H18" sqref="H18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7" t="str" cm="1">
        <f t="array" ref="A1">portfolio</f>
        <v>ALIGNED</v>
      </c>
      <c r="B1" s="97"/>
      <c r="C1" s="97"/>
      <c r="D1" s="98" t="s">
        <v>35</v>
      </c>
      <c r="E1" s="98"/>
      <c r="F1" s="98"/>
      <c r="G1" s="96" t="s">
        <v>36</v>
      </c>
      <c r="H1" s="96"/>
      <c r="I1" s="96"/>
      <c r="J1" s="4"/>
      <c r="K1" s="4"/>
    </row>
    <row r="2" spans="1:13" ht="19.5" customHeight="1">
      <c r="A2" s="99" t="s">
        <v>2</v>
      </c>
      <c r="B2" s="99"/>
      <c r="C2" s="5">
        <f>SUM(C4:C79)</f>
        <v>540693.98340796004</v>
      </c>
      <c r="D2" s="5">
        <f>SUM(D4:D79)</f>
        <v>509807.51999999996</v>
      </c>
      <c r="E2" s="5">
        <f>C2-D2</f>
        <v>30886.46340796008</v>
      </c>
      <c r="F2" s="6">
        <f>IFERROR(E2/D2, 0)</f>
        <v>6.0584558281839548E-2</v>
      </c>
      <c r="G2" s="5">
        <f>SUM(G4:G79)</f>
        <v>294216.3</v>
      </c>
      <c r="H2" s="7">
        <f>C2-G2</f>
        <v>246477.68340796005</v>
      </c>
      <c r="I2" s="6">
        <f>IFERROR(H2/G2, 0)</f>
        <v>0.83774312778714188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15.15">
      <c r="A4" s="71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133981.81840796</v>
      </c>
      <c r="D4" s="12">
        <v>129640.9</v>
      </c>
      <c r="E4" s="12">
        <f>IF(AND(ISNUMBER(C4),ISNUMBER(D4)), C4-D4, "")</f>
        <v>4340.9184079600091</v>
      </c>
      <c r="F4" s="13">
        <f>IFERROR(E4/D4, "")</f>
        <v>3.3484173651679439E-2</v>
      </c>
      <c r="G4" s="74" t="s">
        <v>22</v>
      </c>
      <c r="H4" s="14" t="str">
        <f>IF(AND(ISNUMBER(C4),ISNUMBER(G4)), C4-G4, "")</f>
        <v/>
      </c>
      <c r="I4" s="15" t="str">
        <f>IFERROR(H4/G4, "")</f>
        <v/>
      </c>
      <c r="J4" s="52" t="s">
        <v>37</v>
      </c>
      <c r="K4" s="77" t="s">
        <v>38</v>
      </c>
      <c r="L4" s="79" t="s">
        <v>39</v>
      </c>
      <c r="M4" s="79" t="s">
        <v>40</v>
      </c>
    </row>
    <row r="5" spans="1:13" ht="28.9">
      <c r="A5" s="28" t="str">
        <v>Loudon - 7046 Pleasant Street</v>
      </c>
      <c r="B5" s="29" t="str">
        <v>NH</v>
      </c>
      <c r="C5" s="11">
        <v>141619.5</v>
      </c>
      <c r="D5" s="16">
        <v>150060.1</v>
      </c>
      <c r="E5" s="16">
        <f>IF(AND(ISNUMBER(C5),ISNUMBER(D5)), C5-D5, "")</f>
        <v>-8440.6000000000058</v>
      </c>
      <c r="F5" s="17">
        <f>IFERROR(E5/D5, "")</f>
        <v>-5.6248129915947048E-2</v>
      </c>
      <c r="G5" s="18">
        <v>168408.3</v>
      </c>
      <c r="H5" s="18">
        <f>IF(AND(ISNUMBER(C5),ISNUMBER(G5)), C5-G5, "")</f>
        <v>-26788.799999999988</v>
      </c>
      <c r="I5" s="17">
        <f t="shared" ref="I5:I7" si="0">IFERROR(H5/G5, "")</f>
        <v>-0.1590705446228006</v>
      </c>
      <c r="J5" s="40" t="s">
        <v>41</v>
      </c>
      <c r="K5" s="78" t="s">
        <v>42</v>
      </c>
      <c r="L5" s="80"/>
      <c r="M5" s="80"/>
    </row>
    <row r="6" spans="1:13" ht="28.9">
      <c r="A6" s="26" t="str">
        <v>Nashua - Pennichuck Water  East</v>
      </c>
      <c r="B6" s="27" t="str">
        <v>NH</v>
      </c>
      <c r="C6" s="22">
        <v>149613.5</v>
      </c>
      <c r="D6" s="12">
        <v>137537.60000000001</v>
      </c>
      <c r="E6" s="12">
        <f>IF(AND(ISNUMBER(C6),ISNUMBER(D6)), C6-D6, "")</f>
        <v>12075.899999999994</v>
      </c>
      <c r="F6" s="13">
        <f>IFERROR(E6/D6, "")</f>
        <v>8.7800717767359565E-2</v>
      </c>
      <c r="G6" s="14">
        <v>125808</v>
      </c>
      <c r="H6" s="14">
        <f>IF(AND(ISNUMBER(C6),ISNUMBER(G6)), C6-G6, "")</f>
        <v>23805.5</v>
      </c>
      <c r="I6" s="15">
        <f t="shared" si="0"/>
        <v>0.18922087625588199</v>
      </c>
      <c r="J6" s="39" t="s">
        <v>27</v>
      </c>
      <c r="K6" s="76" t="s">
        <v>28</v>
      </c>
      <c r="L6" s="80"/>
      <c r="M6" s="80"/>
    </row>
    <row r="7" spans="1:13" ht="15.6">
      <c r="A7" s="28" t="str">
        <v>Nashua - Pennichuck Water West</v>
      </c>
      <c r="B7" s="29" t="str">
        <v>NH</v>
      </c>
      <c r="C7" s="11">
        <v>115479.16499999999</v>
      </c>
      <c r="D7" s="16">
        <v>92568.92</v>
      </c>
      <c r="E7" s="16">
        <f>IF(AND(ISNUMBER(C7),ISNUMBER(D7)), C7-D7, "")</f>
        <v>22910.244999999995</v>
      </c>
      <c r="F7" s="17">
        <f>IFERROR(E7/D7, "")</f>
        <v>0.24749392128589159</v>
      </c>
      <c r="G7" s="73" t="s">
        <v>22</v>
      </c>
      <c r="H7" s="18" t="str">
        <f>IF(AND(ISNUMBER(C7),ISNUMBER(G7)), C7-G7, "")</f>
        <v/>
      </c>
      <c r="I7" s="17" t="str">
        <f t="shared" si="0"/>
        <v/>
      </c>
      <c r="J7" s="40"/>
      <c r="K7" s="41"/>
      <c r="L7" s="80"/>
      <c r="M7" s="80"/>
    </row>
    <row r="8" spans="1:13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3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3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3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258" xr:uid="{BFEE06F7-B673-4E4D-8095-672354897D9C}"/>
    <hyperlink ref="L4" r:id="rId2" display="https://us3.assetplanner.com/service_request?ID=098648" xr:uid="{E9C4CFDB-7310-481C-A754-7A1F0E28217F}"/>
    <hyperlink ref="M4" r:id="rId3" display="https://us3.assetplanner.com/service_request?ID=093738" xr:uid="{EE23249C-72CD-4ECE-B712-3A7813D9E219}"/>
    <hyperlink ref="K5" r:id="rId4" display="https://us3.assetplanner.com/service_request?ID=098240" xr:uid="{7C196433-B71A-400C-806F-57D1B789A534}"/>
    <hyperlink ref="K6" r:id="rId5" display="https://us3.assetplanner.com/service_request?ID=099647" xr:uid="{00B885FD-852F-4FFC-8AEA-DD7AEBCB98C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A21" sqref="A21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ALIGNED</v>
      </c>
      <c r="B1" s="97"/>
      <c r="C1" s="97"/>
      <c r="D1" s="98" t="s">
        <v>43</v>
      </c>
      <c r="E1" s="98"/>
      <c r="F1" s="98"/>
      <c r="G1" s="96" t="s">
        <v>44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SUM(C4:C79)</f>
        <v>1104316.4879999999</v>
      </c>
      <c r="D2" s="5">
        <f>SUM(D4:D79)</f>
        <v>1080231.7580000001</v>
      </c>
      <c r="E2" s="5">
        <f>C2-D2</f>
        <v>24084.729999999749</v>
      </c>
      <c r="F2" s="6">
        <f>IFERROR(E2/D2, 0)</f>
        <v>2.2295891434067378E-2</v>
      </c>
      <c r="G2" s="5">
        <f>SUM(G4:G79)</f>
        <v>893850.36599999992</v>
      </c>
      <c r="H2" s="7">
        <f>C2-G2</f>
        <v>210466.12199999997</v>
      </c>
      <c r="I2" s="6">
        <f>IFERROR(H2/G2, 0)</f>
        <v>0.23546012845733957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3.7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169580.5</v>
      </c>
      <c r="D4" s="12">
        <v>161751.51500000001</v>
      </c>
      <c r="E4" s="12">
        <f>IF(AND(ISNUMBER(C4),ISNUMBER(D4)), C4-D4, "")</f>
        <v>7828.984999999986</v>
      </c>
      <c r="F4" s="13">
        <f>IFERROR(E4/D4, "")</f>
        <v>4.8401308636892737E-2</v>
      </c>
      <c r="G4" s="74" t="s">
        <v>22</v>
      </c>
      <c r="H4" s="14" t="str">
        <f>IF(AND(ISNUMBER(C4),ISNUMBER(G4)), C4-G4, "")</f>
        <v/>
      </c>
      <c r="I4" s="15" t="str">
        <f>IFERROR(H4/G4, "")</f>
        <v/>
      </c>
      <c r="J4" s="52" t="s">
        <v>45</v>
      </c>
      <c r="K4" s="77" t="s">
        <v>46</v>
      </c>
    </row>
    <row r="5" spans="1:11" ht="28.9">
      <c r="A5" s="28" t="str">
        <v>Loudon - 7046 Pleasant Street</v>
      </c>
      <c r="B5" s="29" t="str">
        <v>NH</v>
      </c>
      <c r="C5" s="11">
        <v>169913.505</v>
      </c>
      <c r="D5" s="16">
        <v>165500.23000000001</v>
      </c>
      <c r="E5" s="16">
        <f t="shared" ref="E5:E10" si="0">IF(AND(ISNUMBER(C5),ISNUMBER(D5)), C5-D5, "")</f>
        <v>4413.2749999999942</v>
      </c>
      <c r="F5" s="17">
        <f>IFERROR(E5/D5, "")</f>
        <v>2.6666277140521156E-2</v>
      </c>
      <c r="G5" s="18">
        <v>174527.016</v>
      </c>
      <c r="H5" s="18">
        <f t="shared" ref="H5:H10" si="1">IF(AND(ISNUMBER(C5),ISNUMBER(G5)), C5-G5, "")</f>
        <v>-4613.5109999999986</v>
      </c>
      <c r="I5" s="17">
        <f t="shared" ref="I5:I10" si="2">IFERROR(H5/G5, "")</f>
        <v>-2.6434365897827522E-2</v>
      </c>
      <c r="J5" s="53" t="s">
        <v>47</v>
      </c>
      <c r="K5" s="78" t="s">
        <v>48</v>
      </c>
    </row>
    <row r="6" spans="1:11" ht="28.9">
      <c r="A6" s="26" t="str">
        <v>Nashua - Pennichuck Water  East</v>
      </c>
      <c r="B6" s="27" t="str">
        <v>NH</v>
      </c>
      <c r="C6" s="22">
        <v>164578.201</v>
      </c>
      <c r="D6" s="12">
        <v>175490.065</v>
      </c>
      <c r="E6" s="12">
        <f t="shared" si="0"/>
        <v>-10911.864000000001</v>
      </c>
      <c r="F6" s="13">
        <f t="shared" ref="F6:F10" si="3">IFERROR(E6/D6, "")</f>
        <v>-6.2179383203259976E-2</v>
      </c>
      <c r="G6" s="14">
        <v>131376</v>
      </c>
      <c r="H6" s="14">
        <f t="shared" si="1"/>
        <v>33202.201000000001</v>
      </c>
      <c r="I6" s="15">
        <f t="shared" si="2"/>
        <v>0.25272653300450615</v>
      </c>
      <c r="J6" s="52" t="s">
        <v>49</v>
      </c>
      <c r="K6" s="77" t="s">
        <v>50</v>
      </c>
    </row>
    <row r="7" spans="1:11" ht="43.15">
      <c r="A7" s="28" t="str">
        <v>Nashua - Pennichuck Water West</v>
      </c>
      <c r="B7" s="29" t="str">
        <v>NH</v>
      </c>
      <c r="C7" s="11">
        <v>126556</v>
      </c>
      <c r="D7" s="16">
        <v>96930.197</v>
      </c>
      <c r="E7" s="16">
        <f t="shared" si="0"/>
        <v>29625.803</v>
      </c>
      <c r="F7" s="17">
        <f t="shared" si="3"/>
        <v>0.30564059412775152</v>
      </c>
      <c r="G7" s="73" t="s">
        <v>22</v>
      </c>
      <c r="H7" s="18" t="str">
        <f t="shared" si="1"/>
        <v/>
      </c>
      <c r="I7" s="17" t="str">
        <f t="shared" si="2"/>
        <v/>
      </c>
      <c r="J7" s="83" t="s">
        <v>51</v>
      </c>
      <c r="K7" s="78" t="s">
        <v>52</v>
      </c>
    </row>
    <row r="8" spans="1:11" ht="15.6">
      <c r="A8" s="26" t="str">
        <v>Boothbay - Wiscasset Road</v>
      </c>
      <c r="B8" s="27" t="str">
        <v>ME</v>
      </c>
      <c r="C8" s="22">
        <v>174667.81299999999</v>
      </c>
      <c r="D8" s="12">
        <v>176099.45199999999</v>
      </c>
      <c r="E8" s="12">
        <f t="shared" si="0"/>
        <v>-1431.6389999999956</v>
      </c>
      <c r="F8" s="13">
        <f t="shared" si="3"/>
        <v>-8.129718654661092E-3</v>
      </c>
      <c r="G8" s="14">
        <v>186747.5</v>
      </c>
      <c r="H8" s="14">
        <f t="shared" si="1"/>
        <v>-12079.687000000005</v>
      </c>
      <c r="I8" s="15">
        <f t="shared" si="2"/>
        <v>-6.4684598187392098E-2</v>
      </c>
      <c r="J8" s="52"/>
      <c r="K8" s="52"/>
    </row>
    <row r="9" spans="1:11" ht="15.6">
      <c r="A9" s="28" t="str">
        <v>Thorndike -  Leonard Road</v>
      </c>
      <c r="B9" s="29" t="str">
        <v>ME</v>
      </c>
      <c r="C9" s="11">
        <v>165038.875</v>
      </c>
      <c r="D9" s="16">
        <v>172328.69399999999</v>
      </c>
      <c r="E9" s="16">
        <f t="shared" si="0"/>
        <v>-7289.8189999999886</v>
      </c>
      <c r="F9" s="17">
        <f t="shared" si="3"/>
        <v>-4.2301829316944685E-2</v>
      </c>
      <c r="G9" s="73">
        <v>380764.85</v>
      </c>
      <c r="H9" s="18">
        <f t="shared" si="1"/>
        <v>-215725.97499999998</v>
      </c>
      <c r="I9" s="17">
        <f t="shared" si="2"/>
        <v>-0.56655958395319317</v>
      </c>
      <c r="J9" s="83" t="s">
        <v>53</v>
      </c>
      <c r="K9" s="78" t="s">
        <v>54</v>
      </c>
    </row>
    <row r="10" spans="1:11" ht="57.6">
      <c r="A10" s="26" t="str">
        <v>Topsham - Solarize LLC</v>
      </c>
      <c r="B10" s="27" t="str">
        <v>ME</v>
      </c>
      <c r="C10" s="22">
        <v>133981.59400000001</v>
      </c>
      <c r="D10" s="12">
        <v>132131.60500000001</v>
      </c>
      <c r="E10" s="12">
        <f t="shared" si="0"/>
        <v>1849.9890000000014</v>
      </c>
      <c r="F10" s="13">
        <f t="shared" si="3"/>
        <v>1.4001108970105989E-2</v>
      </c>
      <c r="G10" s="14">
        <v>20435</v>
      </c>
      <c r="H10" s="14">
        <f t="shared" si="1"/>
        <v>113546.59400000001</v>
      </c>
      <c r="I10" s="15">
        <f t="shared" si="2"/>
        <v>5.5564763396134094</v>
      </c>
      <c r="J10" s="52" t="s">
        <v>55</v>
      </c>
      <c r="K10" s="77" t="s">
        <v>56</v>
      </c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472" xr:uid="{BA0B0601-81E8-4523-8682-641E0D2D3023}"/>
    <hyperlink ref="K5" r:id="rId2" display="https://us3.assetplanner.com/service_request?ID=100664" xr:uid="{43CC1DCD-18EF-4977-BD30-14DA507B7709}"/>
    <hyperlink ref="K6" r:id="rId3" display="https://us3.assetplanner.com/service_request?ID=099647" xr:uid="{F4D470F7-B9B8-48D2-813B-BDF9DD83843E}"/>
    <hyperlink ref="K7" r:id="rId4" display="https://us3.assetplanner.com/service_request?ID=100020" xr:uid="{43C28D82-7697-4D81-A44A-CC57EB4D9A7B}"/>
    <hyperlink ref="K9" r:id="rId5" display="https://us3.assetplanner.com/service_request?ID=099480" xr:uid="{7E7447F8-1AB6-4160-9A13-1D8E27AB83A8}"/>
    <hyperlink ref="K10" r:id="rId6" display="https://us3.assetplanner.com/service_request?ID=100347" xr:uid="{751CB921-9E9C-4F87-9DA7-B086DACA9CBE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zoomScale="70" zoomScaleNormal="70" workbookViewId="0">
      <pane xSplit="2" ySplit="3" topLeftCell="C4" activePane="bottomRight" state="frozen"/>
      <selection pane="bottomRight" activeCell="J22" sqref="J22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80"/>
  </cols>
  <sheetData>
    <row r="1" spans="1:13" ht="19.5" customHeight="1">
      <c r="A1" s="97" t="str" cm="1">
        <f t="array" ref="A1">portfolio</f>
        <v>ALIGNED</v>
      </c>
      <c r="B1" s="97"/>
      <c r="C1" s="97"/>
      <c r="D1" s="98" t="s">
        <v>57</v>
      </c>
      <c r="E1" s="98"/>
      <c r="F1" s="98"/>
      <c r="G1" s="96" t="s">
        <v>58</v>
      </c>
      <c r="H1" s="96"/>
      <c r="I1" s="96"/>
      <c r="J1" s="4"/>
      <c r="K1" s="4"/>
    </row>
    <row r="2" spans="1:13" ht="19.5" customHeight="1">
      <c r="A2" s="99" t="s">
        <v>2</v>
      </c>
      <c r="B2" s="99"/>
      <c r="C2" s="5">
        <f>SUM(C4:C79)</f>
        <v>1018446.940141402</v>
      </c>
      <c r="D2" s="5">
        <f>SUM(D4:D79)</f>
        <v>1011175.5399999999</v>
      </c>
      <c r="E2" s="5">
        <f>C2-D2</f>
        <v>7271.4001414020313</v>
      </c>
      <c r="F2" s="6">
        <f>IFERROR(E2/D2, 0)</f>
        <v>7.1910364261798029E-3</v>
      </c>
      <c r="G2" s="5">
        <f>SUM(G4:G79)</f>
        <v>1376423.2999999998</v>
      </c>
      <c r="H2" s="7">
        <f>C2-G2</f>
        <v>-357976.35985859786</v>
      </c>
      <c r="I2" s="6">
        <f>IFERROR(H2/G2, 0)</f>
        <v>-0.26007723049922066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75" customHeight="1">
      <c r="A4" s="71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133174.99999999901</v>
      </c>
      <c r="D4" s="12">
        <v>133034.1</v>
      </c>
      <c r="E4" s="12">
        <f>IF(AND(ISNUMBER(C4),ISNUMBER(D4)), C4-D4, "")</f>
        <v>140.89999999900465</v>
      </c>
      <c r="F4" s="13">
        <f>IFERROR(E4/D4, "")</f>
        <v>1.0591269456402879E-3</v>
      </c>
      <c r="G4" s="14">
        <v>216200</v>
      </c>
      <c r="H4" s="14">
        <f>IF(AND(ISNUMBER(C4),ISNUMBER(G4)), C4-G4, "")</f>
        <v>-83025.00000000099</v>
      </c>
      <c r="I4" s="15">
        <f>IFERROR(H4/G4, "")</f>
        <v>-0.38401942645698883</v>
      </c>
      <c r="J4" s="39" t="s">
        <v>59</v>
      </c>
      <c r="K4" s="76" t="s">
        <v>60</v>
      </c>
    </row>
    <row r="5" spans="1:13" ht="15.6">
      <c r="A5" s="28" t="str">
        <v>Loudon - 7046 Pleasant Street</v>
      </c>
      <c r="B5" s="29" t="str">
        <v>NH</v>
      </c>
      <c r="C5" s="11">
        <v>157983.62237179501</v>
      </c>
      <c r="D5" s="16">
        <v>148646.9</v>
      </c>
      <c r="E5" s="16">
        <f t="shared" ref="E5:E7" si="0">IF(AND(ISNUMBER(C5),ISNUMBER(D5)), C5-D5, "")</f>
        <v>9336.722371795011</v>
      </c>
      <c r="F5" s="17">
        <f>IFERROR(E5/D5, "")</f>
        <v>6.2811416664558833E-2</v>
      </c>
      <c r="G5" s="18">
        <v>211772.2</v>
      </c>
      <c r="H5" s="18">
        <f t="shared" ref="H5:H7" si="1">IF(AND(ISNUMBER(C5),ISNUMBER(G5)), C5-G5, "")</f>
        <v>-53788.577628205006</v>
      </c>
      <c r="I5" s="17">
        <f t="shared" ref="I5:I7" si="2">IFERROR(H5/G5, "")</f>
        <v>-0.25399262806074169</v>
      </c>
      <c r="J5" s="54"/>
      <c r="K5" s="54"/>
    </row>
    <row r="6" spans="1:13" ht="57.6">
      <c r="A6" s="26" t="str">
        <v>Nashua - Pennichuck Water  East</v>
      </c>
      <c r="B6" s="27" t="str">
        <v>NH</v>
      </c>
      <c r="C6" s="22">
        <v>142766.16151960799</v>
      </c>
      <c r="D6" s="12">
        <v>162107</v>
      </c>
      <c r="E6" s="12">
        <f t="shared" si="0"/>
        <v>-19340.838480392005</v>
      </c>
      <c r="F6" s="13">
        <f t="shared" ref="F6:F7" si="3">IFERROR(E6/D6, "")</f>
        <v>-0.11930908893750428</v>
      </c>
      <c r="G6" s="14">
        <v>144688</v>
      </c>
      <c r="H6" s="14">
        <f t="shared" si="1"/>
        <v>-1921.8384803920053</v>
      </c>
      <c r="I6" s="15">
        <f t="shared" si="2"/>
        <v>-1.3282639060544103E-2</v>
      </c>
      <c r="J6" s="39" t="s">
        <v>61</v>
      </c>
      <c r="K6" s="76" t="s">
        <v>62</v>
      </c>
      <c r="L6" s="79" t="s">
        <v>63</v>
      </c>
    </row>
    <row r="7" spans="1:13" ht="115.15">
      <c r="A7" s="28" t="str">
        <v>Nashua - Pennichuck Water West</v>
      </c>
      <c r="B7" s="29" t="str">
        <v>NH</v>
      </c>
      <c r="C7" s="11">
        <v>109093</v>
      </c>
      <c r="D7" s="16">
        <v>83703.94</v>
      </c>
      <c r="E7" s="16">
        <f t="shared" si="0"/>
        <v>25389.059999999998</v>
      </c>
      <c r="F7" s="17">
        <f t="shared" si="3"/>
        <v>0.30331977204418331</v>
      </c>
      <c r="G7" s="73" t="s">
        <v>22</v>
      </c>
      <c r="H7" s="18" t="str">
        <f t="shared" si="1"/>
        <v/>
      </c>
      <c r="I7" s="17" t="str">
        <f t="shared" si="2"/>
        <v/>
      </c>
      <c r="J7" s="40" t="s">
        <v>64</v>
      </c>
      <c r="K7" s="78" t="s">
        <v>65</v>
      </c>
      <c r="L7" s="79" t="s">
        <v>66</v>
      </c>
      <c r="M7" s="79" t="s">
        <v>67</v>
      </c>
    </row>
    <row r="8" spans="1:13" ht="28.9">
      <c r="A8" s="26" t="str">
        <v>Boothbay - Wiscasset Road</v>
      </c>
      <c r="B8" s="27" t="str">
        <v>ME</v>
      </c>
      <c r="C8" s="84">
        <v>173991</v>
      </c>
      <c r="D8" s="12">
        <v>176162</v>
      </c>
      <c r="E8" s="12">
        <f>IF(AND(ISNUMBER(C8),ISNUMBER(D8)), C8-D8, "")</f>
        <v>-2171</v>
      </c>
      <c r="F8" s="85">
        <f>IFERROR(E8/D8, "")</f>
        <v>-1.2323883697959833E-2</v>
      </c>
      <c r="G8" s="86">
        <v>213942</v>
      </c>
      <c r="H8" s="86">
        <f>IF(AND(ISNUMBER(C8),ISNUMBER(G8)), C8-G8, "")</f>
        <v>-39951</v>
      </c>
      <c r="I8" s="87">
        <f>IFERROR(H8/G8, "")</f>
        <v>-0.18673752699329724</v>
      </c>
      <c r="J8" s="88" t="s">
        <v>68</v>
      </c>
      <c r="K8" s="88" t="s">
        <v>69</v>
      </c>
    </row>
    <row r="9" spans="1:13" ht="72">
      <c r="A9" s="28" t="str">
        <v>Thorndike -  Leonard Road</v>
      </c>
      <c r="B9" s="29" t="str">
        <v>ME</v>
      </c>
      <c r="C9" s="89">
        <v>172047.625</v>
      </c>
      <c r="D9" s="16">
        <v>178637.2</v>
      </c>
      <c r="E9" s="16">
        <f>IF(AND(ISNUMBER(C9),ISNUMBER(D9)), C9-D9, "")</f>
        <v>-6589.5750000000116</v>
      </c>
      <c r="F9" s="90">
        <f>IFERROR(E9/D9, "")</f>
        <v>-3.6888033399538347E-2</v>
      </c>
      <c r="G9" s="91">
        <v>432588.1</v>
      </c>
      <c r="H9" s="91">
        <f>IF(AND(ISNUMBER(C9),ISNUMBER(G9)), C9-G9, "")</f>
        <v>-260540.47499999998</v>
      </c>
      <c r="I9" s="90">
        <f>IFERROR(H9/G9, "")</f>
        <v>-0.60228303783668569</v>
      </c>
      <c r="J9" s="40" t="s">
        <v>70</v>
      </c>
      <c r="K9" s="94" t="s">
        <v>71</v>
      </c>
    </row>
    <row r="10" spans="1:13" ht="57.6">
      <c r="A10" s="26" t="str">
        <v>Topsham - Solarize LLC</v>
      </c>
      <c r="B10" s="27" t="str">
        <v>ME</v>
      </c>
      <c r="C10" s="84">
        <v>129390.53125</v>
      </c>
      <c r="D10" s="12">
        <v>128884.4</v>
      </c>
      <c r="E10" s="12">
        <f>IF(AND(ISNUMBER(C10),ISNUMBER(D10)), C10-D10, "")</f>
        <v>506.13125000000582</v>
      </c>
      <c r="F10" s="85">
        <f>IFERROR(E10/D10, "")</f>
        <v>3.9270171564596322E-3</v>
      </c>
      <c r="G10" s="86">
        <v>157233</v>
      </c>
      <c r="H10" s="86">
        <f>IF(AND(ISNUMBER(C10),ISNUMBER(G10)), C10-G10, "")</f>
        <v>-27842.46875</v>
      </c>
      <c r="I10" s="87">
        <f>IFERROR(H10/G10, "")</f>
        <v>-0.17707776834379552</v>
      </c>
      <c r="J10" s="88" t="s">
        <v>72</v>
      </c>
      <c r="K10" s="95" t="s">
        <v>73</v>
      </c>
    </row>
    <row r="11" spans="1:13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1376" xr:uid="{6A55E4E4-7200-4CBC-9123-569D2FB9C130}"/>
    <hyperlink ref="K6" r:id="rId2" display="https://us3.assetplanner.com/service_request?ID=102029" xr:uid="{B2237EC9-75F3-4A12-AB2A-E0717D105AA5}"/>
    <hyperlink ref="L6" r:id="rId3" display="https://us3.assetplanner.com/service_request?ID=099647" xr:uid="{817A699B-511F-4419-8BDC-E0C0C4760548}"/>
    <hyperlink ref="K7" r:id="rId4" display="https://us3.assetplanner.com/service_request?ID=102030" xr:uid="{F6AC746E-4859-4CDB-A325-16F7EE4066CA}"/>
    <hyperlink ref="L7" r:id="rId5" display="https://us3.assetplanner.com/service_request?ID=102218" xr:uid="{FBA84AE9-03DE-4F0F-A323-BF00B92A76AA}"/>
    <hyperlink ref="M7" r:id="rId6" display="https://us3.assetplanner.com/service_request?ID=100020" xr:uid="{E443040C-FA48-4567-AF64-6E0CE9760EFF}"/>
    <hyperlink ref="K9" r:id="rId7" display="https://us3.assetplanner.com/service_request?ID=102061" xr:uid="{2F0F0F42-946A-441B-8CBF-12A5CA61FAD5}"/>
    <hyperlink ref="K10" r:id="rId8" display="https://us3.assetplanner.com/service_request?ID=100825" xr:uid="{C6A48680-D1A1-4D6F-BB54-BEA045F041B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1"/>
  <sheetViews>
    <sheetView zoomScale="70" zoomScaleNormal="70" workbookViewId="0">
      <pane xSplit="2" ySplit="3" topLeftCell="C5" activePane="bottomRight" state="frozen"/>
      <selection pane="bottomRight" activeCell="K6" sqref="K6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80"/>
  </cols>
  <sheetData>
    <row r="1" spans="1:13" ht="19.5" customHeight="1">
      <c r="A1" s="97" t="str" cm="1">
        <f t="array" ref="A1">portfolio</f>
        <v>ALIGNED</v>
      </c>
      <c r="B1" s="97"/>
      <c r="C1" s="97"/>
      <c r="D1" s="98" t="s">
        <v>74</v>
      </c>
      <c r="E1" s="98"/>
      <c r="F1" s="98"/>
      <c r="G1" s="96" t="s">
        <v>75</v>
      </c>
      <c r="H1" s="96"/>
      <c r="I1" s="96"/>
      <c r="J1" s="4"/>
      <c r="K1" s="4"/>
    </row>
    <row r="2" spans="1:13" ht="19.5" customHeight="1">
      <c r="A2" s="99" t="s">
        <v>2</v>
      </c>
      <c r="B2" s="99"/>
      <c r="C2" s="5">
        <f>SUM(C4:C79)</f>
        <v>1626114.1350000009</v>
      </c>
      <c r="D2" s="5">
        <f>SUM(D4:D79)</f>
        <v>1707614.3200000003</v>
      </c>
      <c r="E2" s="5">
        <f>C2-D2</f>
        <v>-81500.184999999357</v>
      </c>
      <c r="F2" s="6">
        <f>IFERROR(E2/D2, 0)</f>
        <v>-4.772751320098987E-2</v>
      </c>
      <c r="G2" s="5">
        <f>SUM(G4:G79)</f>
        <v>1806136.4</v>
      </c>
      <c r="H2" s="7">
        <f>C2-G2</f>
        <v>-180022.26499999897</v>
      </c>
      <c r="I2" s="6">
        <f>IFERROR(H2/G2, 0)</f>
        <v>-9.9672574563027999E-2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96" customHeight="1">
      <c r="A4" s="92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185394.5</v>
      </c>
      <c r="D4" s="12">
        <v>184313.4</v>
      </c>
      <c r="E4" s="12">
        <f>IF(AND(ISNUMBER(C4),ISNUMBER(D4)), C4-D4, "")</f>
        <v>1081.1000000000058</v>
      </c>
      <c r="F4" s="13">
        <f>IFERROR(E4/D4, "")</f>
        <v>5.8655529115083649E-3</v>
      </c>
      <c r="G4" s="14">
        <v>215800</v>
      </c>
      <c r="H4" s="14">
        <f>IF(AND(ISNUMBER(C4),ISNUMBER(G4)), C4-G4, "")</f>
        <v>-30405.5</v>
      </c>
      <c r="I4" s="15">
        <f>IFERROR(H4/G4, "")</f>
        <v>-0.14089666357738648</v>
      </c>
      <c r="J4" s="39" t="s">
        <v>76</v>
      </c>
      <c r="K4" s="76" t="s">
        <v>77</v>
      </c>
      <c r="L4" s="79" t="s">
        <v>78</v>
      </c>
      <c r="M4" s="79" t="s">
        <v>79</v>
      </c>
    </row>
    <row r="5" spans="1:13" ht="29.25" customHeight="1">
      <c r="A5" s="28" t="str">
        <v>Loudon - 7046 Pleasant Street</v>
      </c>
      <c r="B5" s="29" t="str">
        <v>NH</v>
      </c>
      <c r="C5" s="11">
        <v>181725.87250000099</v>
      </c>
      <c r="D5" s="16">
        <v>177238.9</v>
      </c>
      <c r="E5" s="16">
        <f t="shared" ref="E5:E11" si="0">IF(AND(ISNUMBER(C5),ISNUMBER(D5)), C5-D5, "")</f>
        <v>4486.972500000993</v>
      </c>
      <c r="F5" s="17">
        <f>IFERROR(E5/D5, "")</f>
        <v>2.5315957727118556E-2</v>
      </c>
      <c r="G5" s="18">
        <v>210009.9</v>
      </c>
      <c r="H5" s="18">
        <f t="shared" ref="H5:H11" si="1">IF(AND(ISNUMBER(C5),ISNUMBER(G5)), C5-G5, "")</f>
        <v>-28284.027499999007</v>
      </c>
      <c r="I5" s="17">
        <f t="shared" ref="I5:I11" si="2">IFERROR(H5/G5, "")</f>
        <v>-0.13467949606184759</v>
      </c>
      <c r="J5" s="93" t="s">
        <v>80</v>
      </c>
      <c r="K5" s="94" t="s">
        <v>81</v>
      </c>
    </row>
    <row r="6" spans="1:13" ht="52.5" customHeight="1">
      <c r="A6" s="26" t="str">
        <v>Nashua - Pennichuck Water  East</v>
      </c>
      <c r="B6" s="27" t="str">
        <v>NH</v>
      </c>
      <c r="C6" s="22">
        <v>177143.63750000001</v>
      </c>
      <c r="D6" s="12">
        <v>193547.5</v>
      </c>
      <c r="E6" s="12">
        <f t="shared" si="0"/>
        <v>-16403.862499999988</v>
      </c>
      <c r="F6" s="13">
        <f t="shared" ref="F6:F11" si="3">IFERROR(E6/D6, "")</f>
        <v>-8.4753678037690947E-2</v>
      </c>
      <c r="G6" s="14">
        <v>141208</v>
      </c>
      <c r="H6" s="14">
        <f t="shared" si="1"/>
        <v>35935.637500000012</v>
      </c>
      <c r="I6" s="15">
        <f t="shared" si="2"/>
        <v>0.25448726346949191</v>
      </c>
      <c r="J6" s="39" t="s">
        <v>82</v>
      </c>
      <c r="K6" s="76" t="s">
        <v>28</v>
      </c>
    </row>
    <row r="7" spans="1:13" ht="15.6">
      <c r="A7" s="28" t="str">
        <v>Nashua - Pennichuck Water West</v>
      </c>
      <c r="B7" s="29" t="str">
        <v>NH</v>
      </c>
      <c r="C7" s="11">
        <v>138058</v>
      </c>
      <c r="D7" s="16">
        <v>94922.92</v>
      </c>
      <c r="E7" s="16">
        <f t="shared" si="0"/>
        <v>43135.08</v>
      </c>
      <c r="F7" s="17">
        <f t="shared" si="3"/>
        <v>0.454422177488851</v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3" ht="105.75" customHeight="1">
      <c r="A8" s="26" t="str">
        <v>Boothbay - Wiscasset Road</v>
      </c>
      <c r="B8" s="27" t="str">
        <v>ME</v>
      </c>
      <c r="C8" s="22">
        <v>184293</v>
      </c>
      <c r="D8" s="12">
        <v>212136.9</v>
      </c>
      <c r="E8" s="12">
        <f t="shared" si="0"/>
        <v>-27843.899999999994</v>
      </c>
      <c r="F8" s="13">
        <f t="shared" si="3"/>
        <v>-0.13125439280012102</v>
      </c>
      <c r="G8" s="14">
        <v>210909</v>
      </c>
      <c r="H8" s="14">
        <f t="shared" si="1"/>
        <v>-26616</v>
      </c>
      <c r="I8" s="15">
        <f t="shared" si="2"/>
        <v>-0.12619660611922678</v>
      </c>
      <c r="J8" s="39" t="s">
        <v>83</v>
      </c>
      <c r="K8" s="76" t="s">
        <v>84</v>
      </c>
      <c r="L8" s="79" t="s">
        <v>85</v>
      </c>
      <c r="M8" s="79" t="s">
        <v>86</v>
      </c>
    </row>
    <row r="9" spans="1:13" ht="43.15">
      <c r="A9" s="28" t="str">
        <v>Thorndike -  Leonard Road</v>
      </c>
      <c r="B9" s="29" t="str">
        <v>ME</v>
      </c>
      <c r="C9" s="11">
        <v>158325.6875</v>
      </c>
      <c r="D9" s="16">
        <v>206125.6</v>
      </c>
      <c r="E9" s="16">
        <f t="shared" si="0"/>
        <v>-47799.912500000006</v>
      </c>
      <c r="F9" s="17">
        <f t="shared" si="3"/>
        <v>-0.23189702055445807</v>
      </c>
      <c r="G9" s="18">
        <v>438381.6</v>
      </c>
      <c r="H9" s="18">
        <f t="shared" si="1"/>
        <v>-280055.91249999998</v>
      </c>
      <c r="I9" s="17">
        <f t="shared" si="2"/>
        <v>-0.63884048167167595</v>
      </c>
      <c r="J9" s="40" t="s">
        <v>87</v>
      </c>
      <c r="K9" s="78" t="s">
        <v>88</v>
      </c>
      <c r="L9" s="79" t="s">
        <v>89</v>
      </c>
      <c r="M9" s="79" t="s">
        <v>90</v>
      </c>
    </row>
    <row r="10" spans="1:13" ht="72.75" customHeight="1">
      <c r="A10" s="26" t="str">
        <v>Topsham - Solarize LLC</v>
      </c>
      <c r="B10" s="27" t="str">
        <v>ME</v>
      </c>
      <c r="C10" s="22">
        <v>157022.125</v>
      </c>
      <c r="D10" s="12">
        <v>158551</v>
      </c>
      <c r="E10" s="12">
        <f t="shared" si="0"/>
        <v>-1528.875</v>
      </c>
      <c r="F10" s="13">
        <f t="shared" si="3"/>
        <v>-9.6427963242111375E-3</v>
      </c>
      <c r="G10" s="14">
        <v>158062</v>
      </c>
      <c r="H10" s="14">
        <f t="shared" si="1"/>
        <v>-1039.875</v>
      </c>
      <c r="I10" s="15">
        <f t="shared" si="2"/>
        <v>-6.5789057458465663E-3</v>
      </c>
      <c r="J10" s="39" t="s">
        <v>91</v>
      </c>
      <c r="K10" s="76" t="s">
        <v>92</v>
      </c>
      <c r="L10" s="79" t="s">
        <v>93</v>
      </c>
    </row>
    <row r="11" spans="1:13" ht="32.25" customHeight="1">
      <c r="A11" s="28" t="str">
        <v>Cherryfield - 727 North Main St (IRA)</v>
      </c>
      <c r="B11" s="29" t="str">
        <v>ME</v>
      </c>
      <c r="C11" s="11">
        <v>444151.3125</v>
      </c>
      <c r="D11" s="16">
        <v>480778.1</v>
      </c>
      <c r="E11" s="16">
        <f t="shared" si="0"/>
        <v>-36626.787499999977</v>
      </c>
      <c r="F11" s="17">
        <f t="shared" si="3"/>
        <v>-7.6182312588697315E-2</v>
      </c>
      <c r="G11" s="18">
        <v>431765.9</v>
      </c>
      <c r="H11" s="18">
        <f t="shared" si="1"/>
        <v>12385.412499999977</v>
      </c>
      <c r="I11" s="17">
        <f t="shared" si="2"/>
        <v>2.8685480951598948E-2</v>
      </c>
      <c r="J11" s="40" t="s">
        <v>94</v>
      </c>
      <c r="K11" s="94" t="s">
        <v>95</v>
      </c>
    </row>
    <row r="12" spans="1:13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825" xr:uid="{9667ECA8-E780-4EB2-A07A-A438130F1CFB}"/>
    <hyperlink ref="L4" r:id="rId2" display="https://us3.assetplanner.com/service_request?ID=103332" xr:uid="{CD2B8180-4760-4141-80D2-330264C8BBC2}"/>
    <hyperlink ref="M4" r:id="rId3" display="https://us3.assetplanner.com/service_request?ID=102780" xr:uid="{70E3ADB4-22EB-49E0-BA5D-CE8B7113D431}"/>
    <hyperlink ref="K5" r:id="rId4" display="https://us3.assetplanner.com/service_request?ID=103230" xr:uid="{FFE01AEC-CF80-4169-919A-B67616120F93}"/>
    <hyperlink ref="K6" r:id="rId5" display="https://us3.assetplanner.com/service_request?ID=099647" xr:uid="{4B7F61D8-1FE6-48E0-8534-626FC8A107B2}"/>
    <hyperlink ref="K8" r:id="rId6" display="https://us3.assetplanner.com/service_request?ID=102549" xr:uid="{A08A3296-220D-41D6-9F02-C202EBAE3C73}"/>
    <hyperlink ref="L8" r:id="rId7" display="https://us3.assetplanner.com/service_request?ID=102549" xr:uid="{5B1875FD-E723-41AA-9CB3-E43B15726B1A}"/>
    <hyperlink ref="M8" r:id="rId8" display="https://us3.assetplanner.com/service_request?ID=102969" xr:uid="{B90D8A11-BDEF-414F-A26F-2A3C593BB5BD}"/>
    <hyperlink ref="K9" r:id="rId9" display="https://us3.assetplanner.com/service_request?ID=102971" xr:uid="{3CFB106F-1AAC-4FED-922F-E24A454758D1}"/>
    <hyperlink ref="L9" r:id="rId10" display="https://us3.assetplanner.com/service_request?ID=102367" xr:uid="{70744FBB-2AA7-40FB-A180-6C1112574DFD}"/>
    <hyperlink ref="M9" r:id="rId11" display="https://us3.assetplanner.com/service_request?ID=102061" xr:uid="{CA005B80-DC3D-4F1F-88BA-A1167BD4C94C}"/>
    <hyperlink ref="K10" r:id="rId12" display="https://us3.assetplanner.com/service_request?ID=103058" xr:uid="{E80CAA11-72D8-47FC-AE57-21677884C907}"/>
    <hyperlink ref="L10" r:id="rId13" display="https://us3.assetplanner.com/service_request?ID=103397" xr:uid="{D35E4B52-9377-4AFC-87C4-2EAB4655D16C}"/>
    <hyperlink ref="K11" r:id="rId14" display="https://us3.assetplanner.com/service_request?ID=103383" xr:uid="{BCDBFC43-1667-43B1-9A37-87F211BEFDE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1"/>
  <sheetViews>
    <sheetView zoomScale="70" zoomScaleNormal="70" workbookViewId="0">
      <pane xSplit="2" ySplit="3" topLeftCell="C4" activePane="bottomRight" state="frozen"/>
      <selection pane="bottomRight" activeCell="N6" sqref="N6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9" width="8.85546875" style="80"/>
  </cols>
  <sheetData>
    <row r="1" spans="1:13" ht="19.5" customHeight="1">
      <c r="A1" s="97" t="str" cm="1">
        <f t="array" ref="A1">portfolio</f>
        <v>ALIGNED</v>
      </c>
      <c r="B1" s="97"/>
      <c r="C1" s="97"/>
      <c r="D1" s="98" t="s">
        <v>96</v>
      </c>
      <c r="E1" s="98"/>
      <c r="F1" s="98"/>
      <c r="G1" s="96" t="s">
        <v>97</v>
      </c>
      <c r="H1" s="96"/>
      <c r="I1" s="96"/>
      <c r="J1" s="4"/>
      <c r="K1" s="4"/>
    </row>
    <row r="2" spans="1:13" ht="19.5" customHeight="1">
      <c r="A2" s="99" t="s">
        <v>2</v>
      </c>
      <c r="B2" s="99"/>
      <c r="C2" s="5">
        <f>SUM(C4:C79)</f>
        <v>1805182.9670398</v>
      </c>
      <c r="D2" s="5">
        <f>SUM(D4:D79)</f>
        <v>1776830.1</v>
      </c>
      <c r="E2" s="5">
        <f>C2-D2</f>
        <v>28352.867039799923</v>
      </c>
      <c r="F2" s="6">
        <f>IFERROR(E2/D2, 0)</f>
        <v>1.5956993884671315E-2</v>
      </c>
      <c r="G2" s="5">
        <f>SUM(G4:G79)</f>
        <v>2122246.2000000002</v>
      </c>
      <c r="H2" s="7">
        <f>C2-G2</f>
        <v>-317063.23296020017</v>
      </c>
      <c r="I2" s="6">
        <f>IFERROR(H2/G2, 0)</f>
        <v>-0.1493998354009069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47.2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201197</v>
      </c>
      <c r="D4" s="12">
        <v>191786.9</v>
      </c>
      <c r="E4" s="12">
        <f>IF(AND(ISNUMBER(C4),ISNUMBER(D4)), C4-D4, "")</f>
        <v>9410.1000000000058</v>
      </c>
      <c r="F4" s="13">
        <f>IFERROR(E4/D4, "")</f>
        <v>4.9065394977446351E-2</v>
      </c>
      <c r="G4" s="14">
        <v>224100</v>
      </c>
      <c r="H4" s="14">
        <f>IF(AND(ISNUMBER(C4),ISNUMBER(G4)), C4-G4, "")</f>
        <v>-22903</v>
      </c>
      <c r="I4" s="15">
        <f>IFERROR(H4/G4, "")</f>
        <v>-0.10219991075412763</v>
      </c>
      <c r="J4" s="39" t="s">
        <v>98</v>
      </c>
      <c r="K4" s="39"/>
    </row>
    <row r="5" spans="1:13" ht="15.6">
      <c r="A5" s="28" t="str">
        <v>Loudon - 7046 Pleasant Street</v>
      </c>
      <c r="B5" s="29" t="str">
        <v>NH</v>
      </c>
      <c r="C5" s="11">
        <v>205885.5</v>
      </c>
      <c r="D5" s="16">
        <v>193269.9</v>
      </c>
      <c r="E5" s="16">
        <f t="shared" ref="E5:E11" si="0">IF(AND(ISNUMBER(C5),ISNUMBER(D5)), C5-D5, "")</f>
        <v>12615.600000000006</v>
      </c>
      <c r="F5" s="17">
        <f>IFERROR(E5/D5, "")</f>
        <v>6.527452024345233E-2</v>
      </c>
      <c r="G5" s="18">
        <v>216609.6</v>
      </c>
      <c r="H5" s="18">
        <f t="shared" ref="H5:H11" si="1">IF(AND(ISNUMBER(C5),ISNUMBER(G5)), C5-G5, "")</f>
        <v>-10724.100000000006</v>
      </c>
      <c r="I5" s="17">
        <f t="shared" ref="I5:I11" si="2">IFERROR(H5/G5, "")</f>
        <v>-4.9508886032752039E-2</v>
      </c>
      <c r="J5" s="54"/>
      <c r="K5" s="54"/>
    </row>
    <row r="6" spans="1:13" ht="61.5" customHeight="1">
      <c r="A6" s="26" t="str">
        <v>Nashua - Pennichuck Water  East</v>
      </c>
      <c r="B6" s="27" t="str">
        <v>NH</v>
      </c>
      <c r="C6" s="22">
        <v>194384.59203979999</v>
      </c>
      <c r="D6" s="12">
        <v>210900.6</v>
      </c>
      <c r="E6" s="12">
        <f t="shared" si="0"/>
        <v>-16516.007960200019</v>
      </c>
      <c r="F6" s="13">
        <f t="shared" ref="F6:F11" si="3">IFERROR(E6/D6, "")</f>
        <v>-7.8311811157483757E-2</v>
      </c>
      <c r="G6" s="14">
        <v>151360</v>
      </c>
      <c r="H6" s="14">
        <f t="shared" si="1"/>
        <v>43024.592039799987</v>
      </c>
      <c r="I6" s="15">
        <f t="shared" si="2"/>
        <v>0.28425338292679697</v>
      </c>
      <c r="J6" s="39" t="s">
        <v>82</v>
      </c>
      <c r="K6" s="76" t="s">
        <v>28</v>
      </c>
    </row>
    <row r="7" spans="1:13" ht="51.75" customHeight="1">
      <c r="A7" s="28" t="str">
        <v>Nashua - Pennichuck Water West</v>
      </c>
      <c r="B7" s="29" t="str">
        <v>NH</v>
      </c>
      <c r="C7" s="11">
        <v>148623</v>
      </c>
      <c r="D7" s="16">
        <v>104898.5</v>
      </c>
      <c r="E7" s="16">
        <f t="shared" si="0"/>
        <v>43724.5</v>
      </c>
      <c r="F7" s="17">
        <f t="shared" si="3"/>
        <v>0.41682674204111592</v>
      </c>
      <c r="G7" s="18">
        <v>164800</v>
      </c>
      <c r="H7" s="18">
        <f t="shared" si="1"/>
        <v>-16177</v>
      </c>
      <c r="I7" s="17">
        <f t="shared" si="2"/>
        <v>-9.8161407766990297E-2</v>
      </c>
      <c r="J7" s="53" t="s">
        <v>99</v>
      </c>
      <c r="K7" s="78" t="s">
        <v>100</v>
      </c>
    </row>
    <row r="8" spans="1:13" ht="100.5" customHeight="1">
      <c r="A8" s="26" t="str">
        <v>Boothbay - Wiscasset Road</v>
      </c>
      <c r="B8" s="27" t="str">
        <v>ME</v>
      </c>
      <c r="C8" s="22">
        <v>191341</v>
      </c>
      <c r="D8" s="12">
        <v>211803.8</v>
      </c>
      <c r="E8" s="12">
        <f t="shared" si="0"/>
        <v>-20462.799999999988</v>
      </c>
      <c r="F8" s="13">
        <f t="shared" si="3"/>
        <v>-9.6612053230395248E-2</v>
      </c>
      <c r="G8" s="14">
        <v>235877</v>
      </c>
      <c r="H8" s="14">
        <f t="shared" si="1"/>
        <v>-44536</v>
      </c>
      <c r="I8" s="15">
        <f t="shared" si="2"/>
        <v>-0.18881026975923892</v>
      </c>
      <c r="J8" s="39" t="s">
        <v>101</v>
      </c>
      <c r="K8" s="76" t="s">
        <v>102</v>
      </c>
      <c r="L8" s="79" t="s">
        <v>103</v>
      </c>
      <c r="M8" s="79" t="s">
        <v>86</v>
      </c>
    </row>
    <row r="9" spans="1:13" ht="57.6">
      <c r="A9" s="28" t="str">
        <v>Thorndike -  Leonard Road</v>
      </c>
      <c r="B9" s="29" t="str">
        <v>ME</v>
      </c>
      <c r="C9" s="11">
        <v>220715.8125</v>
      </c>
      <c r="D9" s="16">
        <v>191371.6</v>
      </c>
      <c r="E9" s="16">
        <f t="shared" si="0"/>
        <v>29344.212499999994</v>
      </c>
      <c r="F9" s="17">
        <f t="shared" si="3"/>
        <v>0.15333629702630899</v>
      </c>
      <c r="G9" s="18">
        <v>486810.4</v>
      </c>
      <c r="H9" s="18">
        <f t="shared" si="1"/>
        <v>-266094.58750000002</v>
      </c>
      <c r="I9" s="17">
        <f t="shared" si="2"/>
        <v>-0.54660826371006044</v>
      </c>
      <c r="J9" s="54" t="s">
        <v>104</v>
      </c>
      <c r="K9" s="94" t="s">
        <v>105</v>
      </c>
      <c r="L9" s="79" t="s">
        <v>106</v>
      </c>
    </row>
    <row r="10" spans="1:13" ht="30" customHeight="1">
      <c r="A10" s="26" t="str">
        <v>Topsham - Solarize LLC</v>
      </c>
      <c r="B10" s="27" t="str">
        <v>ME</v>
      </c>
      <c r="C10" s="22">
        <v>161276.375</v>
      </c>
      <c r="D10" s="12">
        <v>162785.60000000001</v>
      </c>
      <c r="E10" s="12">
        <f t="shared" si="0"/>
        <v>-1509.2250000000058</v>
      </c>
      <c r="F10" s="13">
        <f t="shared" si="3"/>
        <v>-9.271243893808824E-3</v>
      </c>
      <c r="G10" s="14">
        <v>163168</v>
      </c>
      <c r="H10" s="14">
        <f t="shared" si="1"/>
        <v>-1891.625</v>
      </c>
      <c r="I10" s="15">
        <f t="shared" si="2"/>
        <v>-1.1593112620121592E-2</v>
      </c>
      <c r="J10" s="39"/>
      <c r="K10" s="39"/>
    </row>
    <row r="11" spans="1:13" ht="15.6">
      <c r="A11" s="28" t="str">
        <v>Cherryfield - 727 North Main St (IRA)</v>
      </c>
      <c r="B11" s="29" t="str">
        <v>ME</v>
      </c>
      <c r="C11" s="11">
        <v>481759.6875</v>
      </c>
      <c r="D11" s="16">
        <v>510013.2</v>
      </c>
      <c r="E11" s="16">
        <f t="shared" si="0"/>
        <v>-28253.512500000012</v>
      </c>
      <c r="F11" s="17">
        <f t="shared" si="3"/>
        <v>-5.5397610297145274E-2</v>
      </c>
      <c r="G11" s="18">
        <v>479521.2</v>
      </c>
      <c r="H11" s="18">
        <f t="shared" si="1"/>
        <v>2238.4874999999884</v>
      </c>
      <c r="I11" s="17">
        <f t="shared" si="2"/>
        <v>4.6681721266963556E-3</v>
      </c>
      <c r="J11" s="54"/>
      <c r="K11" s="54"/>
    </row>
    <row r="12" spans="1:13" ht="28.9" customHeight="1">
      <c r="A12" s="26" t="str">
        <v>ME: Bucksport - 258 Route 1 (IRA)</v>
      </c>
      <c r="B12" s="27" t="str">
        <v>ME</v>
      </c>
      <c r="C12" s="22"/>
      <c r="D12" s="12"/>
      <c r="E12" s="12"/>
      <c r="F12" s="13"/>
      <c r="G12" s="14"/>
      <c r="H12" s="14"/>
      <c r="I12" s="15"/>
      <c r="J12" s="39"/>
      <c r="K12" s="39"/>
    </row>
    <row r="13" spans="1:13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7" r:id="rId1" display="https://us3.assetplanner.com/service_request?ID=105084" xr:uid="{1694B9F8-431D-480B-8EC9-3FE3E52B281B}"/>
    <hyperlink ref="K8" r:id="rId2" display="https://us3.assetplanner.com/service_request?ID=104551" xr:uid="{20E42C5D-1D40-4B16-A7C1-3D7988E332F6}"/>
    <hyperlink ref="L8" r:id="rId3" display="https://us3.assetplanner.com/service_request?ID=104369" xr:uid="{8ABB49DB-AF7D-4324-86C9-BD83058EA7E7}"/>
    <hyperlink ref="M8" r:id="rId4" display="https://us3.assetplanner.com/service_request?ID=102969" xr:uid="{3296A141-D855-4771-9D23-20FE209C9F37}"/>
    <hyperlink ref="K9" r:id="rId5" display="https://us3.assetplanner.com/service_request?ID=102971" xr:uid="{493231E8-6128-4DF3-86DA-ED411A2900DE}"/>
    <hyperlink ref="L9" r:id="rId6" display="https://us3.assetplanner.com/service_request?ID=107542" xr:uid="{57464ED6-FD61-4232-B862-24DD6CF55674}"/>
    <hyperlink ref="K6" r:id="rId7" display="https://us3.assetplanner.com/service_request?ID=099647" xr:uid="{B98110E0-FBE1-4EFA-A50B-609F590A8CB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1"/>
  <sheetViews>
    <sheetView zoomScale="80" zoomScaleNormal="80" workbookViewId="0">
      <pane xSplit="2" ySplit="3" topLeftCell="C5" activePane="bottomRight" state="frozen"/>
      <selection pane="bottomRight" activeCell="L1" sqref="L1:N1048576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80"/>
  </cols>
  <sheetData>
    <row r="1" spans="1:13" ht="19.5" customHeight="1">
      <c r="A1" s="97" t="str" cm="1">
        <f t="array" ref="A1">portfolio</f>
        <v>ALIGNED</v>
      </c>
      <c r="B1" s="97"/>
      <c r="C1" s="97"/>
      <c r="D1" s="98" t="s">
        <v>107</v>
      </c>
      <c r="E1" s="98"/>
      <c r="F1" s="98"/>
      <c r="G1" s="96" t="s">
        <v>108</v>
      </c>
      <c r="H1" s="96"/>
      <c r="I1" s="96"/>
      <c r="J1" s="4"/>
      <c r="K1" s="4"/>
    </row>
    <row r="2" spans="1:13" ht="19.5" customHeight="1">
      <c r="A2" s="99" t="s">
        <v>2</v>
      </c>
      <c r="B2" s="99"/>
      <c r="C2" s="5">
        <f>SUM(C4:C79)</f>
        <v>1961593.9375</v>
      </c>
      <c r="D2" s="5">
        <f>SUM(D4:D79)</f>
        <v>1910025.2000000002</v>
      </c>
      <c r="E2" s="5">
        <f>C2-D2</f>
        <v>51568.737499999814</v>
      </c>
      <c r="F2" s="6">
        <f>IFERROR(E2/D2, 0)</f>
        <v>2.6998982788289813E-2</v>
      </c>
      <c r="G2" s="5">
        <f>SUM(G4:G79)</f>
        <v>1944646.2999999998</v>
      </c>
      <c r="H2" s="7">
        <f>C2-G2</f>
        <v>16947.637500000186</v>
      </c>
      <c r="I2" s="6">
        <f>IFERROR(H2/G2, 0)</f>
        <v>8.7150231381409506E-3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70.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210117.5</v>
      </c>
      <c r="D4" s="12">
        <v>193427.20000000001</v>
      </c>
      <c r="E4" s="12">
        <f>IF(AND(ISNUMBER(C4),ISNUMBER(D4)), C4-D4, "")</f>
        <v>16690.299999999988</v>
      </c>
      <c r="F4" s="13">
        <f t="shared" ref="F4:F11" si="0">IFERROR(E4/D4, "")</f>
        <v>8.6287243986367931E-2</v>
      </c>
      <c r="G4" s="14">
        <v>212600</v>
      </c>
      <c r="H4" s="14">
        <f>IF(AND(ISNUMBER(C4),ISNUMBER(G4)), C4-G4, "")</f>
        <v>-2482.5</v>
      </c>
      <c r="I4" s="15">
        <f>IFERROR(H4/G4, "")</f>
        <v>-1.1676857949200377E-2</v>
      </c>
      <c r="J4" s="39"/>
      <c r="K4" s="39"/>
    </row>
    <row r="5" spans="1:13" ht="57" customHeight="1">
      <c r="A5" s="28" t="str">
        <v>Loudon - 7046 Pleasant Street</v>
      </c>
      <c r="B5" s="29" t="str">
        <v>NH</v>
      </c>
      <c r="C5" s="11">
        <v>215115</v>
      </c>
      <c r="D5" s="16">
        <v>204071.2</v>
      </c>
      <c r="E5" s="16">
        <f t="shared" ref="E5" si="1">IF(AND(ISNUMBER(C5),ISNUMBER(D5)), C5-D5, "")</f>
        <v>11043.799999999988</v>
      </c>
      <c r="F5" s="17">
        <f t="shared" si="0"/>
        <v>5.4117386480796836E-2</v>
      </c>
      <c r="G5" s="18">
        <v>204920</v>
      </c>
      <c r="H5" s="18">
        <f t="shared" ref="H5" si="2">IF(AND(ISNUMBER(C5),ISNUMBER(G5)), C5-G5, "")</f>
        <v>10195</v>
      </c>
      <c r="I5" s="17">
        <f t="shared" ref="I5" si="3">IFERROR(H5/G5, "")</f>
        <v>4.9751122389225064E-2</v>
      </c>
      <c r="J5" s="54"/>
      <c r="K5" s="54"/>
    </row>
    <row r="6" spans="1:13" ht="66" customHeight="1">
      <c r="A6" s="26" t="str">
        <v>Nashua - Pennichuck Water  East</v>
      </c>
      <c r="B6" s="27" t="str">
        <v>NH</v>
      </c>
      <c r="C6" s="22">
        <v>209315.408</v>
      </c>
      <c r="D6" s="12">
        <v>215567.7</v>
      </c>
      <c r="E6" s="12">
        <f t="shared" ref="E6:E11" si="4">IF(AND(ISNUMBER(C6),ISNUMBER(D6)), C6-D6, "")</f>
        <v>-6252.2920000000158</v>
      </c>
      <c r="F6" s="13">
        <f t="shared" si="0"/>
        <v>-2.9003844267949306E-2</v>
      </c>
      <c r="G6" s="14">
        <v>141456</v>
      </c>
      <c r="H6" s="14">
        <f t="shared" ref="H6:H11" si="5">IF(AND(ISNUMBER(C6),ISNUMBER(G6)), C6-G6, "")</f>
        <v>67859.407999999996</v>
      </c>
      <c r="I6" s="15">
        <f t="shared" ref="I6:I11" si="6">IFERROR(H6/G6, "")</f>
        <v>0.47972095916751495</v>
      </c>
      <c r="J6" s="39" t="s">
        <v>82</v>
      </c>
      <c r="K6" s="39"/>
    </row>
    <row r="7" spans="1:13" ht="35.25" customHeight="1">
      <c r="A7" s="28" t="str">
        <v>Nashua - Pennichuck Water West</v>
      </c>
      <c r="B7" s="29" t="str">
        <v>NH</v>
      </c>
      <c r="C7" s="11">
        <v>163002.1545</v>
      </c>
      <c r="D7" s="16">
        <v>116792.6</v>
      </c>
      <c r="E7" s="16">
        <f t="shared" si="4"/>
        <v>46209.554499999998</v>
      </c>
      <c r="F7" s="17">
        <f t="shared" si="0"/>
        <v>0.39565481460297997</v>
      </c>
      <c r="G7" s="18">
        <v>156000</v>
      </c>
      <c r="H7" s="18">
        <f t="shared" si="5"/>
        <v>7002.1545000000042</v>
      </c>
      <c r="I7" s="17">
        <f t="shared" si="6"/>
        <v>4.4885605769230799E-2</v>
      </c>
      <c r="J7" s="53"/>
      <c r="K7" s="53"/>
    </row>
    <row r="8" spans="1:13" ht="15.6">
      <c r="A8" s="26" t="str">
        <v>Boothbay - Wiscasset Road</v>
      </c>
      <c r="B8" s="27" t="str">
        <v>ME</v>
      </c>
      <c r="C8" s="84">
        <v>232713</v>
      </c>
      <c r="D8" s="12">
        <v>240320.3</v>
      </c>
      <c r="E8" s="12">
        <f t="shared" si="4"/>
        <v>-7607.2999999999884</v>
      </c>
      <c r="F8" s="85">
        <f t="shared" si="0"/>
        <v>-3.1654837315033262E-2</v>
      </c>
      <c r="G8" s="86">
        <v>219824</v>
      </c>
      <c r="H8" s="86">
        <f t="shared" si="5"/>
        <v>12889</v>
      </c>
      <c r="I8" s="87">
        <f t="shared" si="6"/>
        <v>5.8633270252565692E-2</v>
      </c>
      <c r="J8" s="88"/>
      <c r="K8" s="88"/>
    </row>
    <row r="9" spans="1:13" ht="57.6">
      <c r="A9" s="28" t="str">
        <v>Thorndike -  Leonard Road</v>
      </c>
      <c r="B9" s="29" t="str">
        <v>ME</v>
      </c>
      <c r="C9" s="89">
        <v>237568</v>
      </c>
      <c r="D9" s="16">
        <v>215222.1</v>
      </c>
      <c r="E9" s="16">
        <f t="shared" si="4"/>
        <v>22345.899999999994</v>
      </c>
      <c r="F9" s="90">
        <f t="shared" si="0"/>
        <v>0.10382716273096487</v>
      </c>
      <c r="G9" s="91">
        <v>445043.20000000001</v>
      </c>
      <c r="H9" s="91">
        <f t="shared" si="5"/>
        <v>-207475.20000000001</v>
      </c>
      <c r="I9" s="90">
        <f t="shared" si="6"/>
        <v>-0.46619114728637578</v>
      </c>
      <c r="J9" s="54" t="s">
        <v>109</v>
      </c>
      <c r="K9" s="94" t="s">
        <v>110</v>
      </c>
      <c r="L9" s="79" t="s">
        <v>111</v>
      </c>
      <c r="M9" s="79" t="s">
        <v>106</v>
      </c>
    </row>
    <row r="10" spans="1:13" ht="15.6">
      <c r="A10" s="26" t="str">
        <v>Topsham - Solarize LLC</v>
      </c>
      <c r="B10" s="27" t="str">
        <v>ME</v>
      </c>
      <c r="C10" s="84">
        <v>179485.875</v>
      </c>
      <c r="D10" s="12">
        <v>180255.7</v>
      </c>
      <c r="E10" s="12">
        <f t="shared" si="4"/>
        <v>-769.82500000001164</v>
      </c>
      <c r="F10" s="85">
        <f t="shared" si="0"/>
        <v>-4.2707387339208222E-3</v>
      </c>
      <c r="G10" s="86">
        <v>163234</v>
      </c>
      <c r="H10" s="86">
        <f t="shared" si="5"/>
        <v>16251.875</v>
      </c>
      <c r="I10" s="87">
        <f t="shared" si="6"/>
        <v>9.9561825355011818E-2</v>
      </c>
      <c r="J10" s="88"/>
      <c r="K10" s="88"/>
    </row>
    <row r="11" spans="1:13" ht="15.6">
      <c r="A11" s="28" t="str">
        <v>Cherryfield - 727 North Main St (IRA)</v>
      </c>
      <c r="B11" s="29" t="str">
        <v>ME</v>
      </c>
      <c r="C11" s="89">
        <v>514277</v>
      </c>
      <c r="D11" s="16">
        <v>544368.4</v>
      </c>
      <c r="E11" s="16">
        <f t="shared" si="4"/>
        <v>-30091.400000000023</v>
      </c>
      <c r="F11" s="90">
        <f t="shared" si="0"/>
        <v>-5.5277639186991794E-2</v>
      </c>
      <c r="G11" s="91">
        <v>401569.1</v>
      </c>
      <c r="H11" s="91">
        <f t="shared" si="5"/>
        <v>112707.90000000002</v>
      </c>
      <c r="I11" s="90">
        <f t="shared" si="6"/>
        <v>0.28066875663491048</v>
      </c>
      <c r="J11" s="54" t="s">
        <v>112</v>
      </c>
      <c r="K11" s="94" t="s">
        <v>113</v>
      </c>
    </row>
    <row r="12" spans="1:13" ht="35.25" customHeight="1">
      <c r="A12" s="28" t="str">
        <v>ME: Bucksport - 258 Route 1 (IRA)</v>
      </c>
      <c r="B12" s="29" t="str">
        <v>ME</v>
      </c>
      <c r="C12" s="11"/>
      <c r="D12" s="16"/>
      <c r="E12" s="16"/>
      <c r="F12" s="17"/>
      <c r="G12" s="18"/>
      <c r="H12" s="18"/>
      <c r="I12" s="17"/>
      <c r="J12" s="53"/>
      <c r="K12" s="53"/>
    </row>
    <row r="13" spans="1:13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9" r:id="rId1" display="https://us3.assetplanner.com/service_request?ID=106143" xr:uid="{0BEF8E25-C653-4B93-83DB-D018E9F60645}"/>
    <hyperlink ref="L9" r:id="rId2" display="https://us3.assetplanner.com/service_request?ID=106009" xr:uid="{41439FD9-3E6F-44FA-A653-3AF50CCA3C0C}"/>
    <hyperlink ref="M9" r:id="rId3" display="https://us3.assetplanner.com/service_request?ID=107542" xr:uid="{18C70FA7-E70E-4041-A93D-145E22D58FF9}"/>
    <hyperlink ref="K11" r:id="rId4" display="https://us3.assetplanner.com/service_request?ID=106311" xr:uid="{1467CC31-DC22-419C-9895-4A93D4A5A5E6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21"/>
  <sheetViews>
    <sheetView tabSelected="1" zoomScale="70" zoomScaleNormal="70" workbookViewId="0">
      <pane xSplit="2" ySplit="3" topLeftCell="I4" activePane="bottomRight" state="frozen"/>
      <selection pane="bottomRight" activeCell="J14" sqref="J14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80"/>
  </cols>
  <sheetData>
    <row r="1" spans="1:12" ht="19.5" customHeight="1">
      <c r="A1" s="97" t="str" cm="1">
        <f t="array" ref="A1">portfolio</f>
        <v>ALIGNED</v>
      </c>
      <c r="B1" s="97"/>
      <c r="C1" s="97"/>
      <c r="D1" s="98" t="s">
        <v>114</v>
      </c>
      <c r="E1" s="98"/>
      <c r="F1" s="98"/>
      <c r="G1" s="96" t="s">
        <v>115</v>
      </c>
      <c r="H1" s="96"/>
      <c r="I1" s="96"/>
      <c r="J1" s="4"/>
      <c r="K1" s="4"/>
    </row>
    <row r="2" spans="1:12" ht="19.5" customHeight="1">
      <c r="A2" s="99" t="s">
        <v>2</v>
      </c>
      <c r="B2" s="99"/>
      <c r="C2" s="5">
        <f>SUM(C4:C79)</f>
        <v>2208773.6639999999</v>
      </c>
      <c r="D2" s="5">
        <f>SUM(D4:D79)</f>
        <v>2176038.568</v>
      </c>
      <c r="E2" s="5">
        <f>C2-D2</f>
        <v>32735.095999999903</v>
      </c>
      <c r="F2" s="6">
        <f>IFERROR(E2/D2, 0)</f>
        <v>1.5043435572048144E-2</v>
      </c>
      <c r="G2" s="5">
        <f>SUM(G4:G79)</f>
        <v>2369776.8000000003</v>
      </c>
      <c r="H2" s="7">
        <f>C2-G2</f>
        <v>-161003.13600000041</v>
      </c>
      <c r="I2" s="6">
        <f>IFERROR(H2/G2, 0)</f>
        <v>-6.7940211078106758E-2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80.2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181940.58</v>
      </c>
      <c r="D4" s="12">
        <v>153803.5</v>
      </c>
      <c r="E4" s="12">
        <f>IF(AND(ISNUMBER(C4),ISNUMBER(D4)), C4-D4, "")</f>
        <v>28137.079999999987</v>
      </c>
      <c r="F4" s="13">
        <f>IFERROR(E4/D4, "")</f>
        <v>0.18294174059758059</v>
      </c>
      <c r="G4" s="14">
        <v>177300</v>
      </c>
      <c r="H4" s="14">
        <f>IF(AND(ISNUMBER(C4),ISNUMBER(G4)), C4-G4, "")</f>
        <v>4640.5799999999872</v>
      </c>
      <c r="I4" s="15">
        <f>IFERROR(H4/G4, "")</f>
        <v>2.6173604060913635E-2</v>
      </c>
      <c r="J4" s="52" t="s">
        <v>116</v>
      </c>
      <c r="K4" s="77" t="s">
        <v>117</v>
      </c>
      <c r="L4" s="79" t="s">
        <v>118</v>
      </c>
    </row>
    <row r="5" spans="1:12" ht="15.6">
      <c r="A5" s="28" t="str">
        <v>Loudon - 7046 Pleasant Street</v>
      </c>
      <c r="B5" s="29" t="str">
        <v>NH</v>
      </c>
      <c r="C5" s="11">
        <v>185757</v>
      </c>
      <c r="D5" s="16">
        <v>177063</v>
      </c>
      <c r="E5" s="16">
        <f t="shared" ref="E5:E13" si="0">IF(AND(ISNUMBER(C5),ISNUMBER(D5)), C5-D5, "")</f>
        <v>8694</v>
      </c>
      <c r="F5" s="17">
        <f>IFERROR(E5/D5, "")</f>
        <v>4.9101167381101644E-2</v>
      </c>
      <c r="G5" s="18">
        <v>171823.8</v>
      </c>
      <c r="H5" s="18">
        <f t="shared" ref="H5:H13" si="1">IF(AND(ISNUMBER(C5),ISNUMBER(G5)), C5-G5, "")</f>
        <v>13933.200000000012</v>
      </c>
      <c r="I5" s="17">
        <f t="shared" ref="I5:I13" si="2">IFERROR(H5/G5, "")</f>
        <v>8.109004689687932E-2</v>
      </c>
      <c r="J5" s="53"/>
      <c r="K5" s="53"/>
    </row>
    <row r="6" spans="1:12" ht="43.15">
      <c r="A6" s="26" t="str">
        <v>Nashua - Pennichuck Water  East</v>
      </c>
      <c r="B6" s="27" t="str">
        <v>NH</v>
      </c>
      <c r="C6" s="22">
        <v>143800.5</v>
      </c>
      <c r="D6" s="12">
        <v>127513</v>
      </c>
      <c r="E6" s="12">
        <f t="shared" si="0"/>
        <v>16287.5</v>
      </c>
      <c r="F6" s="13">
        <f t="shared" ref="F6:F13" si="3">IFERROR(E6/D6, "")</f>
        <v>0.1277320743767302</v>
      </c>
      <c r="G6" s="14">
        <v>118728</v>
      </c>
      <c r="H6" s="14">
        <f t="shared" si="1"/>
        <v>25072.5</v>
      </c>
      <c r="I6" s="15">
        <f t="shared" si="2"/>
        <v>0.21117596523145341</v>
      </c>
      <c r="J6" s="52" t="s">
        <v>119</v>
      </c>
      <c r="K6" s="77" t="s">
        <v>120</v>
      </c>
      <c r="L6" s="79" t="s">
        <v>121</v>
      </c>
    </row>
    <row r="7" spans="1:12" ht="15.6">
      <c r="A7" s="28" t="str">
        <v>Nashua - Pennichuck Water West</v>
      </c>
      <c r="B7" s="29" t="str">
        <v>NH</v>
      </c>
      <c r="C7" s="11">
        <v>130021.084</v>
      </c>
      <c r="D7" s="16">
        <v>100820.3</v>
      </c>
      <c r="E7" s="16">
        <f t="shared" si="0"/>
        <v>29200.784</v>
      </c>
      <c r="F7" s="17">
        <f t="shared" si="3"/>
        <v>0.28963198879590718</v>
      </c>
      <c r="G7" s="18">
        <v>130900</v>
      </c>
      <c r="H7" s="18">
        <f t="shared" si="1"/>
        <v>-878.91599999999744</v>
      </c>
      <c r="I7" s="17">
        <f t="shared" si="2"/>
        <v>-6.7144079449961607E-3</v>
      </c>
      <c r="J7" s="53" t="s">
        <v>122</v>
      </c>
      <c r="K7" s="78" t="s">
        <v>123</v>
      </c>
    </row>
    <row r="8" spans="1:12" ht="15.6">
      <c r="A8" s="26" t="str">
        <v>Boothbay - Wiscasset Road</v>
      </c>
      <c r="B8" s="27" t="str">
        <v>ME</v>
      </c>
      <c r="C8" s="22">
        <v>197924</v>
      </c>
      <c r="D8" s="12">
        <v>200966.2</v>
      </c>
      <c r="E8" s="12">
        <f t="shared" si="0"/>
        <v>-3042.2000000000116</v>
      </c>
      <c r="F8" s="13">
        <f t="shared" si="3"/>
        <v>-1.5137868955078074E-2</v>
      </c>
      <c r="G8" s="14">
        <v>186975</v>
      </c>
      <c r="H8" s="14">
        <f t="shared" si="1"/>
        <v>10949</v>
      </c>
      <c r="I8" s="15">
        <f t="shared" si="2"/>
        <v>5.8558630832999066E-2</v>
      </c>
      <c r="J8" s="52"/>
      <c r="K8" s="52"/>
    </row>
    <row r="9" spans="1:12" ht="15.6">
      <c r="A9" s="28" t="str">
        <v>Thorndike -  Leonard Road</v>
      </c>
      <c r="B9" s="29" t="str">
        <v>ME</v>
      </c>
      <c r="C9" s="11">
        <v>199908</v>
      </c>
      <c r="D9" s="16">
        <v>199498</v>
      </c>
      <c r="E9" s="16">
        <f t="shared" si="0"/>
        <v>410</v>
      </c>
      <c r="F9" s="17">
        <f t="shared" si="3"/>
        <v>2.0551584477037366E-3</v>
      </c>
      <c r="G9" s="18">
        <v>348557.9</v>
      </c>
      <c r="H9" s="18">
        <f t="shared" si="1"/>
        <v>-148649.90000000002</v>
      </c>
      <c r="I9" s="17">
        <f t="shared" si="2"/>
        <v>-0.42647118312337784</v>
      </c>
      <c r="J9" s="53" t="s">
        <v>124</v>
      </c>
      <c r="K9" s="78" t="s">
        <v>125</v>
      </c>
    </row>
    <row r="10" spans="1:12" ht="15.6">
      <c r="A10" s="26" t="str">
        <v>Topsham - Solarize LLC</v>
      </c>
      <c r="B10" s="27" t="str">
        <v>ME</v>
      </c>
      <c r="C10" s="22">
        <v>150082</v>
      </c>
      <c r="D10" s="12">
        <v>150409.70000000001</v>
      </c>
      <c r="E10" s="12">
        <f t="shared" si="0"/>
        <v>-327.70000000001164</v>
      </c>
      <c r="F10" s="13">
        <f t="shared" si="3"/>
        <v>-2.1787158673942679E-3</v>
      </c>
      <c r="G10" s="14">
        <v>140717</v>
      </c>
      <c r="H10" s="14">
        <f t="shared" si="1"/>
        <v>9365</v>
      </c>
      <c r="I10" s="15">
        <f t="shared" si="2"/>
        <v>6.655201574791958E-2</v>
      </c>
      <c r="J10" s="52"/>
      <c r="K10" s="52"/>
    </row>
    <row r="11" spans="1:12" ht="28.9">
      <c r="A11" s="28" t="str">
        <v>Cherryfield - 727 North Main St (IRA)</v>
      </c>
      <c r="B11" s="29" t="str">
        <v>ME</v>
      </c>
      <c r="C11" s="11">
        <v>240825</v>
      </c>
      <c r="D11" s="16">
        <v>268434.09999999998</v>
      </c>
      <c r="E11" s="16">
        <f t="shared" si="0"/>
        <v>-27609.099999999977</v>
      </c>
      <c r="F11" s="17">
        <f t="shared" si="3"/>
        <v>-0.10285243193767103</v>
      </c>
      <c r="G11" s="18">
        <v>343169.1</v>
      </c>
      <c r="H11" s="18">
        <f t="shared" si="1"/>
        <v>-102344.09999999998</v>
      </c>
      <c r="I11" s="17">
        <f t="shared" si="2"/>
        <v>-0.29823227091250343</v>
      </c>
      <c r="J11" s="53" t="s">
        <v>126</v>
      </c>
      <c r="K11" s="78" t="s">
        <v>127</v>
      </c>
    </row>
    <row r="12" spans="1:12" ht="15.6">
      <c r="A12" s="26" t="str">
        <v>ME: Bucksport - 258 Route 1 (IRA)</v>
      </c>
      <c r="B12" s="27" t="str">
        <v>ME</v>
      </c>
      <c r="C12" s="22">
        <v>388976</v>
      </c>
      <c r="D12" s="12">
        <v>407109.4</v>
      </c>
      <c r="E12" s="12">
        <f t="shared" si="0"/>
        <v>-18133.400000000023</v>
      </c>
      <c r="F12" s="13">
        <f t="shared" si="3"/>
        <v>-4.4541835683479726E-2</v>
      </c>
      <c r="G12" s="14">
        <v>393074.5</v>
      </c>
      <c r="H12" s="14">
        <f t="shared" si="1"/>
        <v>-4098.5</v>
      </c>
      <c r="I12" s="15">
        <f t="shared" si="2"/>
        <v>-1.0426776603417419E-2</v>
      </c>
      <c r="J12" s="52"/>
      <c r="K12" s="52"/>
    </row>
    <row r="13" spans="1:12" ht="30.75">
      <c r="A13" s="28" t="str">
        <v>ME: Union - Route 131 (IRA)</v>
      </c>
      <c r="B13" s="29" t="str">
        <v>ME</v>
      </c>
      <c r="C13" s="11">
        <v>389539.5</v>
      </c>
      <c r="D13" s="16">
        <v>390421.36800000002</v>
      </c>
      <c r="E13" s="16">
        <f t="shared" si="0"/>
        <v>-881.86800000001676</v>
      </c>
      <c r="F13" s="17">
        <f t="shared" si="3"/>
        <v>-2.2587595666639249E-3</v>
      </c>
      <c r="G13" s="18">
        <v>358531.5</v>
      </c>
      <c r="H13" s="18">
        <f t="shared" si="1"/>
        <v>31008</v>
      </c>
      <c r="I13" s="17">
        <f t="shared" si="2"/>
        <v>8.6486124650135346E-2</v>
      </c>
      <c r="J13" s="53" t="s">
        <v>128</v>
      </c>
      <c r="K13" s="78" t="s">
        <v>129</v>
      </c>
    </row>
    <row r="14" spans="1:12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8124" xr:uid="{EC7656A0-F1F8-4337-B2C7-29AA862791D7}"/>
    <hyperlink ref="L4" r:id="rId2" display="https://us3.assetplanner.com/service_request?ID=108542" xr:uid="{90AE786A-3C92-4238-8C74-0F4D5078DC31}"/>
    <hyperlink ref="K6" r:id="rId3" display="https://us3.assetplanner.com/service_request?ID=107541" xr:uid="{B79442FB-BB7B-4711-88FE-CB327C0943D8}"/>
    <hyperlink ref="L6" r:id="rId4" display="https://us3.assetplanner.com/service_request?ID=107568" xr:uid="{62CCDE00-A2E5-4B98-A8AC-AE8BBF53712D}"/>
    <hyperlink ref="K7" r:id="rId5" display="https://us3.assetplanner.com/service_request?ID=107916" xr:uid="{7BD09F6B-908A-4721-9A00-CEA8E1D7B986}"/>
    <hyperlink ref="K9" r:id="rId6" display="https://us3.assetplanner.com/service_request?ID=107542" xr:uid="{9B4766C4-489D-4F43-A47D-63F31C8B91C8}"/>
    <hyperlink ref="K11" r:id="rId7" display="https://us3.assetplanner.com/service_request?ID=107957" xr:uid="{BB4CE558-F112-4AA6-8882-40FE952B861B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90" zoomScaleNormal="90" workbookViewId="0">
      <pane xSplit="2" ySplit="3" topLeftCell="D10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ALIGNED</v>
      </c>
      <c r="B1" s="97"/>
      <c r="C1" s="97"/>
      <c r="D1" s="98" t="s">
        <v>130</v>
      </c>
      <c r="E1" s="98"/>
      <c r="F1" s="98"/>
      <c r="G1" s="96" t="s">
        <v>131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4"/>
      <c r="K7" s="55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ALIGNED</v>
      </c>
      <c r="B1" s="97"/>
      <c r="C1" s="97"/>
      <c r="D1" s="98" t="s">
        <v>132</v>
      </c>
      <c r="E1" s="98"/>
      <c r="F1" s="98"/>
      <c r="G1" s="96" t="s">
        <v>133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0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56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ALIGNED</v>
      </c>
      <c r="B1" s="97"/>
      <c r="C1" s="97"/>
      <c r="D1" s="98" t="s">
        <v>134</v>
      </c>
      <c r="E1" s="98"/>
      <c r="F1" s="98"/>
      <c r="G1" s="96" t="s">
        <v>135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40"/>
      <c r="K5" s="40"/>
    </row>
    <row r="6" spans="1:11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4.45">
      <c r="A8" s="19" t="str">
        <v>Boothbay - Wiscasset Road</v>
      </c>
      <c r="B8" s="31" t="str">
        <v>ME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Thorndike -  Leonard Road</v>
      </c>
      <c r="B9" s="31" t="str">
        <v>ME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 t="str">
        <v>Topsham - Solarize LLC</v>
      </c>
      <c r="B10" s="31" t="str">
        <v>ME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 t="str">
        <v>Cherryfield - 727 North Main St (IRA)</v>
      </c>
      <c r="B11" s="31" t="str">
        <v>ME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 t="str">
        <v>ME: Bucksport - 258 Route 1 (IRA)</v>
      </c>
      <c r="B12" s="31" t="str">
        <v>ME</v>
      </c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 t="str">
        <v>ME: Union - Route 131 (IRA)</v>
      </c>
      <c r="B13" s="31" t="str">
        <v>ME</v>
      </c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E27" sqref="E2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136</v>
      </c>
      <c r="B1" t="s">
        <v>137</v>
      </c>
    </row>
    <row r="3" spans="1:12" ht="13.15">
      <c r="A3" t="s">
        <v>138</v>
      </c>
      <c r="B3" t="s">
        <v>3</v>
      </c>
      <c r="C3" t="s">
        <v>4</v>
      </c>
      <c r="D3" t="s">
        <v>139</v>
      </c>
      <c r="E3" s="2" t="s">
        <v>140</v>
      </c>
    </row>
    <row r="4" spans="1:12" ht="14.45">
      <c r="A4" s="48" t="s">
        <v>141</v>
      </c>
      <c r="B4" t="s">
        <v>142</v>
      </c>
      <c r="C4" s="45" t="s">
        <v>143</v>
      </c>
      <c r="D4" s="44" t="s">
        <v>144</v>
      </c>
      <c r="E4" s="51" t="s">
        <v>145</v>
      </c>
      <c r="G4" s="3"/>
    </row>
    <row r="5" spans="1:12" ht="14.45">
      <c r="A5" s="48" t="s">
        <v>146</v>
      </c>
      <c r="B5" t="s">
        <v>147</v>
      </c>
      <c r="C5" s="45" t="s">
        <v>143</v>
      </c>
      <c r="D5" s="44" t="s">
        <v>144</v>
      </c>
      <c r="E5" s="48" t="s">
        <v>145</v>
      </c>
      <c r="G5" s="3"/>
    </row>
    <row r="6" spans="1:12" ht="14.45">
      <c r="A6" s="48" t="s">
        <v>148</v>
      </c>
      <c r="B6" t="s">
        <v>149</v>
      </c>
      <c r="C6" s="45" t="s">
        <v>143</v>
      </c>
      <c r="D6" s="44" t="s">
        <v>144</v>
      </c>
      <c r="E6" s="51" t="s">
        <v>145</v>
      </c>
      <c r="G6" s="3"/>
    </row>
    <row r="7" spans="1:12" ht="12.75" customHeight="1">
      <c r="A7" s="48" t="s">
        <v>150</v>
      </c>
      <c r="B7" t="s">
        <v>151</v>
      </c>
      <c r="C7" s="45" t="s">
        <v>143</v>
      </c>
      <c r="D7" s="44" t="s">
        <v>144</v>
      </c>
      <c r="E7" s="48" t="s">
        <v>145</v>
      </c>
    </row>
    <row r="8" spans="1:12" ht="12.75" customHeight="1">
      <c r="A8" s="81" t="s">
        <v>152</v>
      </c>
      <c r="B8" s="82" t="s">
        <v>153</v>
      </c>
      <c r="C8" s="45" t="s">
        <v>154</v>
      </c>
      <c r="E8" s="48" t="s">
        <v>145</v>
      </c>
      <c r="K8" s="42"/>
      <c r="L8" s="42"/>
    </row>
    <row r="9" spans="1:12" ht="12.75" customHeight="1">
      <c r="A9" s="81" t="s">
        <v>155</v>
      </c>
      <c r="B9" s="82" t="s">
        <v>156</v>
      </c>
      <c r="C9" s="45" t="s">
        <v>154</v>
      </c>
      <c r="E9" s="48" t="s">
        <v>145</v>
      </c>
      <c r="K9" s="42"/>
      <c r="L9" s="42"/>
    </row>
    <row r="10" spans="1:12" ht="12.75" customHeight="1">
      <c r="A10" s="81" t="s">
        <v>157</v>
      </c>
      <c r="B10" s="82" t="s">
        <v>158</v>
      </c>
      <c r="C10" s="45" t="s">
        <v>154</v>
      </c>
      <c r="E10" s="48" t="s">
        <v>145</v>
      </c>
      <c r="K10" s="42"/>
      <c r="L10" s="42"/>
    </row>
    <row r="11" spans="1:12" ht="12.75" customHeight="1">
      <c r="A11" s="81" t="s">
        <v>159</v>
      </c>
      <c r="B11" s="82" t="s">
        <v>160</v>
      </c>
      <c r="C11" s="45" t="s">
        <v>154</v>
      </c>
      <c r="E11" s="48" t="s">
        <v>145</v>
      </c>
      <c r="K11" s="42"/>
      <c r="L11" s="42"/>
    </row>
    <row r="12" spans="1:12" ht="12.75" customHeight="1">
      <c r="A12" s="81" t="s">
        <v>161</v>
      </c>
      <c r="B12" s="82" t="s">
        <v>162</v>
      </c>
      <c r="C12" s="45" t="s">
        <v>154</v>
      </c>
      <c r="E12" s="48" t="s">
        <v>145</v>
      </c>
      <c r="K12" s="42"/>
      <c r="L12" s="42"/>
    </row>
    <row r="13" spans="1:12" ht="12.75" customHeight="1">
      <c r="A13" s="81" t="s">
        <v>163</v>
      </c>
      <c r="B13" s="82" t="s">
        <v>164</v>
      </c>
      <c r="C13" s="45" t="s">
        <v>154</v>
      </c>
      <c r="E13" t="s">
        <v>145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176191AF-D618-4363-88F9-1E20B58789CF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2025-11-13T23:55:54Z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2025-11-13T23:55:22Z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aa4b67aa-75ac-42ea-9bed-2a288e015df7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