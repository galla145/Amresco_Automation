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7" documentId="13_ncr:1_{13458E2A-3C4A-4D7B-9A2C-55DED4B1CD3B}" xr6:coauthVersionLast="47" xr6:coauthVersionMax="47" xr10:uidLastSave="{6A8372F0-55F5-43C9-A4EC-9A7A39D3C47E}"/>
  <bookViews>
    <workbookView xWindow="43080" yWindow="-120" windowWidth="29040" windowHeight="15720" tabRatio="866" firstSheet="9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0" l="1"/>
  <c r="G4" i="30"/>
  <c r="G2" i="30" s="1"/>
  <c r="G4" i="29"/>
  <c r="D4" i="29"/>
  <c r="H4" i="19"/>
  <c r="I4" i="19" s="1"/>
  <c r="G4" i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I4" i="20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1" l="1"/>
  <c r="I2" i="21" s="1"/>
  <c r="E2" i="20"/>
  <c r="F2" i="20" s="1"/>
  <c r="E4" i="18"/>
  <c r="F4" i="18" s="1"/>
  <c r="G4" i="34"/>
  <c r="G2" i="34" s="1"/>
  <c r="H2" i="33"/>
  <c r="I2" i="33" s="1"/>
  <c r="C4" i="34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<sst xmlns="http://schemas.openxmlformats.org/spreadsheetml/2006/main" count="249" uniqueCount="56">
  <si>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</si>
  <si>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</si>
  <si>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</si>
  <si>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</si>
  <si>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</si>
  <si>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</si>
  <si>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</si>
  <si>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</si>
  <si>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</si>
  <si>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</si>
  <si>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</si>
  <si>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</si>
  <si>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</si>
  <si>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</si>
  <si>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</si>
  <si>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</si>
  <si>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</si>
  <si>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</si>
  <si>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</si>
  <si>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</si>
  <si>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</si>
  <si>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</si>
  <si>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</si>
  <si>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</si>
  <si>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</si>
  <si>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</si>
  <si>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</si>
  <si>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>NA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</si>
  <si>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</si>
  <si>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</si>
  <si>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</si>
  <si>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</si>
  <si>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</si>
  <si>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</si>
  <si>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</si>
  <si>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</si>
  <si>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</si>
  <si>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</si>
  <si>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</si>
  <si>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</si>
  <si>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</si>
  <si>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</si>
  <si>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</si>
  <si>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</si>
  <si>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</si>
  <si>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</si>
  <si>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</si>
  <si>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Willwork</t>
  </si>
  <si>
    <t>Site DAS Name</t>
  </si>
  <si>
    <t>Update</t>
  </si>
  <si>
    <t>DAS</t>
  </si>
  <si>
    <t>23 Norfolk Ave - Teamwork/Willwork</t>
  </si>
  <si>
    <t>MA: South Easton - Willwork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</si>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</sst>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4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3" sqref="G3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79603.005027000007</v>
      </c>
      <c r="D2" s="6">
        <f>SUM(D4:D60)</f>
        <v>0</v>
      </c>
      <c r="E2" s="6">
        <f>C2-D2</f>
        <v>79603.005027000007</v>
      </c>
      <c r="F2" s="7">
        <f>IFERROR(E2/D2, 0)</f>
        <v>0</v>
      </c>
      <c r="G2" s="6">
        <f>SUM(G4:G60)</f>
        <v>48931.163</v>
      </c>
      <c r="H2" s="8">
        <f>C2-G2</f>
        <v>30671.842027000006</v>
      </c>
      <c r="I2" s="7">
        <f>IFERROR(H2/G2, 0)</f>
        <v>0.62683656276471511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SUM('1st Qtr'!C4, '2nd Qtr'!C4, '3rd Qtr'!C4, '4th Qtr'!C4)</f>
        <v>79603.005027000007</v>
      </c>
      <c r="D4" s="14">
        <f>SUM('1st Qtr'!D4, '2nd Qtr'!D4, '3rd Qtr'!D4, '4th Qtr'!D4)</f>
        <v>0</v>
      </c>
      <c r="E4" s="14">
        <f>IF(AND(ISNUMBER(C4),ISNUMBER(D4)), C4-D4, "")</f>
        <v>79603.005027000007</v>
      </c>
      <c r="F4" s="15" t="str">
        <f>IFERROR(E4/D4, "")</f>
        <v/>
      </c>
      <c r="G4" s="16">
        <f>SUM('1st Qtr'!G4,'2nd Qtr'!G4,'3rd Qtr'!G4,'4th Qtr'!G4)</f>
        <v>48931.163</v>
      </c>
      <c r="H4" s="16">
        <f>SUM('1st Qtr'!H4, '2nd Qtr'!H4, '3rd Qtr'!H4, '4th Qtr'!H4)</f>
        <v>30671.842027000002</v>
      </c>
      <c r="I4" s="17">
        <f>IFERROR(H4/G4, "")</f>
        <v>0.626836562764715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16193.530027000001</v>
      </c>
      <c r="D2" s="6">
        <f>SUM(D4:D68)</f>
        <v>0</v>
      </c>
      <c r="E2" s="6">
        <f>C2-D2</f>
        <v>16193.530027000001</v>
      </c>
      <c r="F2" s="7">
        <f>IFERROR(E2/D2, 0)</f>
        <v>0</v>
      </c>
      <c r="G2" s="6">
        <f>SUM(G4:G68)</f>
        <v>10699.763999999999</v>
      </c>
      <c r="H2" s="8">
        <f>C2-G2</f>
        <v>5493.7660270000015</v>
      </c>
      <c r="I2" s="7">
        <f>IFERROR(H2/G2, 0)</f>
        <v>0.51344740192400518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SUM(Jan!C4, Feb!C4, Mar!C4)</f>
        <v>16193.530027000001</v>
      </c>
      <c r="D4" s="14">
        <f>SUM(Jan!D4, Feb!D4, Mar!D4)</f>
        <v>0</v>
      </c>
      <c r="E4" s="14">
        <f>IF(AND(ISNUMBER(C4),ISNUMBER(D4)), C4-D4, "")</f>
        <v>16193.530027000001</v>
      </c>
      <c r="F4" s="15" t="str">
        <f>IFERROR(E4/D4, "")</f>
        <v/>
      </c>
      <c r="G4" s="16">
        <f>SUM(Jan!G4, Feb!G4, Mar!G4)</f>
        <v>10699.763999999999</v>
      </c>
      <c r="H4" s="16">
        <f>SUM(Jan!H4, Feb!H4, Mar!H4)</f>
        <v>5493.7660270000006</v>
      </c>
      <c r="I4" s="17">
        <f>IFERROR(H4/G4, "")</f>
        <v>0.51344740192400518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12" sqref="G12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31091.1</v>
      </c>
      <c r="D2" s="6">
        <f>SUM(D4:D90)</f>
        <v>0</v>
      </c>
      <c r="E2" s="6">
        <f>C2-D2</f>
        <v>31091.1</v>
      </c>
      <c r="F2" s="7">
        <f>IFERROR(E2/D2, 0)</f>
        <v>0</v>
      </c>
      <c r="G2" s="6">
        <f>SUM(G4:G90)</f>
        <v>20044</v>
      </c>
      <c r="H2" s="8">
        <f>C2-G2</f>
        <v>11047.099999999999</v>
      </c>
      <c r="I2" s="7">
        <f>IFERROR(H2/G2, 0)</f>
        <v>0.55114248652963471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SUM(Apr!C4, May!C4, Jun!C4)</f>
        <v>31091.1</v>
      </c>
      <c r="D4" s="14">
        <f>SUM(Apr!D4, May!D4, Jun!D4)</f>
        <v>0</v>
      </c>
      <c r="E4" s="14">
        <f>IF(AND(ISNUMBER(C4),ISNUMBER(D4)), C4-D4, "")</f>
        <v>31091.1</v>
      </c>
      <c r="F4" s="15" t="str">
        <f>IFERROR(E4/D4, "")</f>
        <v/>
      </c>
      <c r="G4" s="16">
        <f>SUM(Apr!G4+May!G4+Jun!G4)</f>
        <v>20044</v>
      </c>
      <c r="H4" s="16">
        <f>SUM(Apr!H4, May!H4, Jun!H4)</f>
        <v>11047.099999999999</v>
      </c>
      <c r="I4" s="17">
        <f>IFERROR(H4/G4, "")</f>
        <v>0.55114248652963471</v>
      </c>
    </row>
    <row r="5" spans="1:9" ht="15.75">
      <c r="A5" s="19"/>
      <c r="B5" s="11"/>
      <c r="C5" s="12"/>
      <c r="D5" s="20"/>
      <c r="E5" s="20"/>
      <c r="F5" s="21"/>
      <c r="G5" s="22"/>
      <c r="H5" s="22"/>
      <c r="I5" s="21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tabSelected="1" workbookViewId="0">
      <pane ySplit="2" topLeftCell="G3" activePane="bottomLeft" state="frozen"/>
      <selection pane="bottomLeft" activeCell="G5" sqref="G5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32318.375</v>
      </c>
      <c r="D2" s="6">
        <f>SUM(D4:D89)</f>
        <v>0</v>
      </c>
      <c r="E2" s="6">
        <f>C2-D2</f>
        <v>32318.375</v>
      </c>
      <c r="F2" s="7">
        <f>IFERROR(E2/D2, 0)</f>
        <v>0</v>
      </c>
      <c r="G2" s="6">
        <f>SUM(G4:G89)</f>
        <v>18187.399000000001</v>
      </c>
      <c r="H2" s="8">
        <f>C2-G2</f>
        <v>14130.975999999999</v>
      </c>
      <c r="I2" s="7">
        <f>IFERROR(H2/G2, 0)</f>
        <v>0.77696519441839917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SUM(Jul!C4, Aug!C4, Sep!C4)</f>
        <v>32318.375</v>
      </c>
      <c r="D4" s="14">
        <f>SUM(Jul!D4, Aug!D4, Sep!D4)</f>
        <v>0</v>
      </c>
      <c r="E4" s="14">
        <f>IF(AND(ISNUMBER(C4),ISNUMBER(D4)), C4-D4, "")</f>
        <v>32318.375</v>
      </c>
      <c r="F4" s="15" t="str">
        <f>IFERROR(E4/D4, "")</f>
        <v/>
      </c>
      <c r="G4" s="16">
        <f>SUM(Jul!G4, Aug!G4, Sep!G4)</f>
        <v>18187.399000000001</v>
      </c>
      <c r="H4" s="16">
        <f>SUM(Jul!H4, Aug!H4, Sep!H4)</f>
        <v>14130.976000000002</v>
      </c>
      <c r="I4" s="17">
        <f>IFERROR(H4/G4, "")</f>
        <v>0.77696519441839929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4" activePane="bottomLeft" state="frozen"/>
      <selection pane="bottomLeft" activeCell="F24" sqref="F24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E17" sqref="E17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3291.35</v>
      </c>
      <c r="D2" s="6">
        <f>SUM(D4:D89)</f>
        <v>0</v>
      </c>
      <c r="E2" s="6">
        <f>C2-D2</f>
        <v>3291.35</v>
      </c>
      <c r="F2" s="7">
        <f>IFERROR(E2/D2, 0)</f>
        <v>0</v>
      </c>
      <c r="G2" s="6">
        <f>SUM(G4:G89)</f>
        <v>2331.9609999999998</v>
      </c>
      <c r="H2" s="8">
        <f>C2-G2</f>
        <v>959.38900000000012</v>
      </c>
      <c r="I2" s="7">
        <f>IFERROR(H2/G2, 0)</f>
        <v>0.41140868136302461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3291.35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2331.9609999999998</v>
      </c>
      <c r="H4" s="16">
        <f>IF(AND(ISNUMBER(C4),ISNUMBER(G4)), C4-G4, "")</f>
        <v>959.38900000000012</v>
      </c>
      <c r="I4" s="17">
        <f>IFERROR(H4/G4, "")</f>
        <v>0.41140868136302461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D11" sqref="D11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23</v>
      </c>
      <c r="E1" s="45"/>
      <c r="F1" s="45"/>
      <c r="G1" s="43" t="s">
        <v>24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4379.2150000000001</v>
      </c>
      <c r="D2" s="6">
        <f>SUM(D4:D85)</f>
        <v>0</v>
      </c>
      <c r="E2" s="6">
        <f>C2-D2</f>
        <v>4379.2150000000001</v>
      </c>
      <c r="F2" s="7">
        <f>IFERROR(E2/D2, 0)</f>
        <v>0</v>
      </c>
      <c r="G2" s="6">
        <f>SUM(G4:G85)</f>
        <v>3160.8029999999999</v>
      </c>
      <c r="H2" s="8">
        <f>C2-G2</f>
        <v>1218.4120000000003</v>
      </c>
      <c r="I2" s="7">
        <f>IFERROR(H2/G2, 0)</f>
        <v>0.385475463038981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42">
        <v>4379.2150000000001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3160.8029999999999</v>
      </c>
      <c r="H4" s="16">
        <f>IF(AND(ISNUMBER(C4),ISNUMBER(G4)), C4-G4, "")</f>
        <v>1218.4120000000003</v>
      </c>
      <c r="I4" s="17">
        <f>IFERROR(H4/G4, "")</f>
        <v>0.385475463038981</v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6" sqref="J6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8522.9650270000002</v>
      </c>
      <c r="D2" s="6">
        <f>SUM(D4:D90)</f>
        <v>0</v>
      </c>
      <c r="E2" s="6">
        <f>C2-D2</f>
        <v>8522.9650270000002</v>
      </c>
      <c r="F2" s="7">
        <f>IFERROR(E2/D2, 0)</f>
        <v>0</v>
      </c>
      <c r="G2" s="6">
        <f>SUM(G4:G90)</f>
        <v>5207</v>
      </c>
      <c r="H2" s="8">
        <f>C2-G2</f>
        <v>3315.9650270000002</v>
      </c>
      <c r="I2" s="7">
        <f>IFERROR(H2/G2, 0)</f>
        <v>0.63682831323218747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8522.9650270000002</v>
      </c>
      <c r="D4" s="14" t="s">
        <v>27</v>
      </c>
      <c r="E4" s="14" t="str">
        <f>IF(AND(ISNUMBER(C4),ISNUMBER(D4)), C4-D4, "")</f>
        <v/>
      </c>
      <c r="F4" s="15" t="str">
        <f>IFERROR(E4/D4, "")</f>
        <v/>
      </c>
      <c r="G4" s="16">
        <v>5207</v>
      </c>
      <c r="H4" s="16">
        <f>IF(AND(ISNUMBER(C4),ISNUMBER(G4)), C4-G4, "")</f>
        <v>3315.9650270000002</v>
      </c>
      <c r="I4" s="17">
        <f>IFERROR(H4/G4, "")</f>
        <v>0.63682831323218747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G4" sqref="G4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9886.7999999999993</v>
      </c>
      <c r="D2" s="6">
        <f>SUM(D4:D90)</f>
        <v>0</v>
      </c>
      <c r="E2" s="6">
        <f>C2-D2</f>
        <v>9886.7999999999993</v>
      </c>
      <c r="F2" s="7">
        <f>IFERROR(E2/D2, 0)</f>
        <v>0</v>
      </c>
      <c r="G2" s="6">
        <f>SUM(G4:G90)</f>
        <v>5861</v>
      </c>
      <c r="H2" s="8">
        <f>C2-G2</f>
        <v>4025.7999999999993</v>
      </c>
      <c r="I2" s="7">
        <f>IFERROR(H2/G2, 0)</f>
        <v>0.68687937212079841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9886.7999999999993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5861</v>
      </c>
      <c r="H4" s="16">
        <f>IF(AND(ISNUMBER(C4),ISNUMBER(G4)), C4-G4, "")</f>
        <v>4025.7999999999993</v>
      </c>
      <c r="I4" s="17">
        <f>IFERROR(H4/G4, "")</f>
        <v>0.68687937212079841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J12" sqref="J12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10029.375</v>
      </c>
      <c r="D2" s="6">
        <f>SUM(D4:D90)</f>
        <v>0</v>
      </c>
      <c r="E2" s="6">
        <f>C2-D2</f>
        <v>10029.375</v>
      </c>
      <c r="F2" s="7">
        <f>IFERROR(E2/D2, 0)</f>
        <v>0</v>
      </c>
      <c r="G2" s="6">
        <f>SUM(G4:G90)</f>
        <v>7082</v>
      </c>
      <c r="H2" s="8">
        <f>C2-G2</f>
        <v>2947.375</v>
      </c>
      <c r="I2" s="7">
        <f>IFERROR(H2/G2, 0)</f>
        <v>0.41617833945213217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10029.375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7082</v>
      </c>
      <c r="H4" s="16">
        <f>IF(AND(ISNUMBER(C4),ISNUMBER(G4)), C4-G4, "")</f>
        <v>2947.375</v>
      </c>
      <c r="I4" s="17">
        <f>IFERROR(H4/G4, "")</f>
        <v>0.41617833945213217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H18" sqref="H18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11174.924999999999</v>
      </c>
      <c r="D2" s="6">
        <f>SUM(D4:D90)</f>
        <v>0</v>
      </c>
      <c r="E2" s="6">
        <f>C2-D2</f>
        <v>11174.924999999999</v>
      </c>
      <c r="F2" s="7">
        <f>IFERROR(E2/D2, 0)</f>
        <v>0</v>
      </c>
      <c r="G2" s="6">
        <f>SUM(G4:G90)</f>
        <v>7101</v>
      </c>
      <c r="H2" s="8">
        <f>C2-G2</f>
        <v>4073.9249999999993</v>
      </c>
      <c r="I2" s="7">
        <f>IFERROR(H2/G2, 0)</f>
        <v>0.57371144909167715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11174.924999999999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7101</v>
      </c>
      <c r="H4" s="16">
        <f>IF(AND(ISNUMBER(C4),ISNUMBER(G4)), C4-G4, "")</f>
        <v>4073.9249999999993</v>
      </c>
      <c r="I4" s="17">
        <f>IFERROR(H4/G4, "")</f>
        <v>0.57371144909167715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H14" sqref="H14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11776.565000000001</v>
      </c>
      <c r="D2" s="6">
        <f>SUM(D4:D90)</f>
        <v>0</v>
      </c>
      <c r="E2" s="6">
        <f>C2-D2</f>
        <v>11776.565000000001</v>
      </c>
      <c r="F2" s="7">
        <f>IFERROR(E2/D2, 0)</f>
        <v>0</v>
      </c>
      <c r="G2" s="6">
        <f>SUM(G4:G90)</f>
        <v>7014</v>
      </c>
      <c r="H2" s="8">
        <f>C2-G2</f>
        <v>4762.5650000000005</v>
      </c>
      <c r="I2" s="7">
        <f>IFERROR(H2/G2, 0)</f>
        <v>0.67900841174793281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11776.565000000001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7014</v>
      </c>
      <c r="H4" s="16">
        <f>IF(AND(ISNUMBER(C4),ISNUMBER(G4)), C4-G4, "")</f>
        <v>4762.5650000000005</v>
      </c>
      <c r="I4" s="17">
        <f>IFERROR(H4/G4, "")</f>
        <v>0.67900841174793281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D4" sqref="D4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11817.2</v>
      </c>
      <c r="D2" s="6">
        <f>SUM(D4:D30)</f>
        <v>0</v>
      </c>
      <c r="E2" s="6">
        <f>C2-D2</f>
        <v>11817.2</v>
      </c>
      <c r="F2" s="7">
        <f>IFERROR(E2/D2, 0)</f>
        <v>0</v>
      </c>
      <c r="G2" s="6">
        <f>SUM(G4:G30)</f>
        <v>6409</v>
      </c>
      <c r="H2" s="8">
        <f>C2-G2</f>
        <v>5408.2000000000007</v>
      </c>
      <c r="I2" s="7">
        <f>IFERROR(H2/G2, 0)</f>
        <v>0.84384459354033403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11817.2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6409</v>
      </c>
      <c r="H4" s="16">
        <f>IF(AND(ISNUMBER(C4),ISNUMBER(G4)), C4-G4, "")</f>
        <v>5408.2000000000007</v>
      </c>
      <c r="I4" s="17">
        <f>IFERROR(H4/G4, "")</f>
        <v>0.84384459354033403</v>
      </c>
      <c r="J4" s="18"/>
      <c r="K4" s="18"/>
    </row>
    <row r="5" spans="1:11" ht="14.2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2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2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3.9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H17" sqref="H17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8724.61</v>
      </c>
      <c r="D2" s="6">
        <f>SUM(D4:D90)</f>
        <v>0</v>
      </c>
      <c r="E2" s="6">
        <f>C2-D2</f>
        <v>8724.61</v>
      </c>
      <c r="F2" s="7">
        <f>IFERROR(E2/D2, 0)</f>
        <v>0</v>
      </c>
      <c r="G2" s="6">
        <f>SUM(G4:G90)</f>
        <v>4764.3990000000003</v>
      </c>
      <c r="H2" s="8">
        <f>C2-G2</f>
        <v>3960.2110000000002</v>
      </c>
      <c r="I2" s="7">
        <f>IFERROR(H2/G2, 0)</f>
        <v>0.83120893107399274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8724.61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4764.3990000000003</v>
      </c>
      <c r="H4" s="16">
        <f>IF(AND(ISNUMBER(C4),ISNUMBER(G4)), C4-G4, "")</f>
        <v>3960.2110000000002</v>
      </c>
      <c r="I4" s="17">
        <f>IFERROR(H4/G4, "")</f>
        <v>0.83120893107399274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44</v>
      </c>
      <c r="E1" s="45"/>
      <c r="F1" s="45"/>
      <c r="G1" s="43" t="s">
        <v>45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20" sqref="E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46</v>
      </c>
      <c r="B1" t="s">
        <v>47</v>
      </c>
    </row>
    <row r="3" spans="1:7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7" ht="14.25">
      <c r="A4" t="s">
        <v>51</v>
      </c>
      <c r="B4" t="s">
        <v>52</v>
      </c>
      <c r="C4" s="4" t="s">
        <v>53</v>
      </c>
      <c r="D4" t="s">
        <v>54</v>
      </c>
      <c r="E4" t="s">
        <v>55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80546C28-AE6A-40A2-8E4B-0983008488B0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Boughman, Kaylin</cp:lastModifiedBy>
  <cp:revision/>
  <dcterms:created xsi:type="dcterms:W3CDTF">2021-01-01T16:39:53Z</dcterms:created>
  <dcterms:modified xsi:type="dcterms:W3CDTF">2025-10-29T23:26:46Z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2025-10-29T23:24:48Z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78023a27-0acc-4f75-9f3e-abdec4bebc28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