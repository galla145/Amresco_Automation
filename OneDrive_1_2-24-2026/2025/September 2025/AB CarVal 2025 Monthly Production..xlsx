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786F5B5E-9A1F-4B54-8498-8A956DC35E25}"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11" i="29" l="1"/>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D5" i="29"/>
  <c r="D6" i="29"/>
  <c r="D7" i="29"/>
  <c r="C5" i="29"/>
  <c r="E5" i="29" s="1"/>
  <c r="F5" i="29" s="1"/>
  <c r="C6" i="29"/>
  <c r="E6" i="29" s="1"/>
  <c r="F6" i="29" s="1"/>
  <c r="C7" i="29"/>
  <c r="E7" i="29" s="1"/>
  <c r="F7" i="29" s="1"/>
  <c r="G5" i="29"/>
  <c r="G6" i="29"/>
  <c r="G7" i="29"/>
  <c r="G4" i="29"/>
  <c r="H6" i="28"/>
  <c r="I6" i="28" s="1"/>
  <c r="H7" i="28"/>
  <c r="I7" i="28" s="1"/>
  <c r="E6" i="28"/>
  <c r="F6" i="28" s="1"/>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H7" i="29" l="1"/>
  <c r="I7" i="29" s="1"/>
  <c r="G2" i="29"/>
  <c r="H5" i="29"/>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<sst xmlns="http://schemas.openxmlformats.org/spreadsheetml/2006/main" count="489" uniqueCount="259">
  <si>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</si>
  <si>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</si>
  <si>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</si>
  <si>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</si>
  <si>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</si>
  <si>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</si>
  <si>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</si>
  <si>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</si>
  <si>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</si>
  <si>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</si>
  <si>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</si>
  <si>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</si>
  <si>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</si>
  <si>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</si>
  <si>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</si>
  <si>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</si>
  <si>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</si>
  <si>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</si>
  <si>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</si>
  <si>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</si>
  <si>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</si>
  <si>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</si>
  <si>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</si>
  <si>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</si>
  <si>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</si>
  <si>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</si>
  <si>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</si>
  <si>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</si>
  <si>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</si>
  <si>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</si>
  <si>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</si>
  <si>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</si>
  <si>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</si>
  <si>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</si>
  <si>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</si>
  <si>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</si>
  <si>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</si>
  <si>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</si>
  <si>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</si>
  <si>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</si>
  <si>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</si>
  <si>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</si>
  <si>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</si>
  <si>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</si>
  <si>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</si>
  <si>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</si>
  <si>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</si>
  <si>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</si>
  <si>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</si>
  <si>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</si>
  <si>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</si>
  <si>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</si>
  <si>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</si>
  <si>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</si>
  <si>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</si>
  <si>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</si>
  <si>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</si>
  <si>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</si>
  <si>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</si>
  <si>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</si>
  <si>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</si>
  <si>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</si>
  <si>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</si>
  <si>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</si>
  <si>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</si>
  <si>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</si>
  <si>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</si>
  <si>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</si>
  <si>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</si>
  <si>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</si>
  <si>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</si>
  <si>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</si>
  <si>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</si>
  <si>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</si>
  <si>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</si>
  <si>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</si>
  <si>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</si>
  <si>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</si>
  <si>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</si>
  <si>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</si>
  <si>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</si>
  <si>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</si>
  <si>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</si>
  <si>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</si>
  <si>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</si>
  <si>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</si>
  <si>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</si>
  <si>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</si>
  <si>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</si>
  <si>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</si>
  <si>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</si>
  <si>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</si>
  <si>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</si>
  <si>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</si>
  <si>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</si>
  <si>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</si>
  <si>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</si>
  <si>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</si>
  <si>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</si>
  <si>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</si>
  <si>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</si>
  <si>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</si>
  <si>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</si>
  <si>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</si>
  <si>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</si>
  <si>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</si>
  <si>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</si>
  <si>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</si>
  <si>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</si>
  <si>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</si>
  <si>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</si>
  <si>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</si>
  <si>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</si>
  <si>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</si>
  <si>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</si>
  <si>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</si>
  <si>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</si>
  <si>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</si>
  <si>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</si>
  <si>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</si>
  <si>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</si>
  <si>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</si>
  <si>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</si>
  <si>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</si>
  <si>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</si>
  <si>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</si>
  <si>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</si>
  <si>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</si>
  <si>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</si>
  <si>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</si>
  <si>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</si>
  <si>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</si>
  <si>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</si>
  <si>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</si>
  <si>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</si>
  <si>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</si>
  <si>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</si>
  <si>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</si>
  <si>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</si>
  <si>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</si>
  <si>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</si>
  <si>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</si>
  <si>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</si>
  <si>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</si>
  <si>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</si>
  <si>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</si>
  <si>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</si>
  <si>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</si>
  <si>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</si>
  <si>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</si>
  <si>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</si>
  <si>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</si>
  <si>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</si>
  <si>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</si>
  <si>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</si>
  <si>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</si>
  <si>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</si>
  <si>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</si>
  <si>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</si>
  <si>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</si>
  <si>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</si>
  <si>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</si>
  <si>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</si>
  <si>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</si>
  <si>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</si>
  <si>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</si>
  <si>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</si>
  <si>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</si>
  <si>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</si>
  <si>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</si>
  <si>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</si>
  <si>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</si>
  <si>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</si>
  <si>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</si>
  <si>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</si>
  <si>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</si>
  <si>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</si>
  <si>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</si>
  <si>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</si>
  <si>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</si>
  <si>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</si>
  <si>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</si>
  <si>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</si>
  <si>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</si>
  <si>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</si>
  <si>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</si>
  <si>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</si>
  <si>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</si>
  <si>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</si>
  <si>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1.Inverter 11 has been performing as expected since 08/26. On 08/26, the technician replaced the fans, and since then, Inverter 11 has been producing as expected.</t>
  </si>
  <si>
    <t>1.SR103448</t>
  </si>
  <si>
    <t>1. Inverter 1.9 is being RMA'd from 07/10.
2.Inverter 1.4 tripped offline due to and reporting Fault Inverter Hardware Over Current - Protect0140 at 7:59 to 14:30 on 08/20. Again tripped offline due to and reporting Fault Inverter Hardware Over Current - Protect0140  at 13:45 from 08/21</t>
  </si>
  <si>
    <t>1.SR104291
2.SR106840</t>
  </si>
  <si>
    <t>SR106840</t>
  </si>
  <si>
    <t>1.Tracker Controller 2 Tracker position motors has stuck, setpoint is at -52 from 08/03/25 and later tracking from 08/08.
2.Combiner Box 3.7 is offline and CBs 3.19, 3.24, 1.22, 1.24 are underperforming 08/08/2025
3. Tracker controller 2 position motor 1 stuck on 08/15 and later self resolved on 08/18 but having issues
4. Inverter 3 is derating and reporting AC Switch fault. Likely 1 of 2 units are offline on 08/28.Inverter 3 CB 3.22 offline on 08/30.
5.The site experienced frequent curtailments throughout the month from PG&amp;E.
6.Site was curtailed to 100% (to 0 MW) by the CAISO. But the site didn't follow the commands. Inverter 1 didn’t follow the curtailment command and continued produced from 08/27</t>
  </si>
  <si>
    <t>1.SR105726
2.SR105880
3.SR106361
4.SR107086
5.SR095240
6.SR107235</t>
  </si>
  <si>
    <t>SR105880</t>
  </si>
  <si>
    <t>SR106361</t>
  </si>
  <si>
    <t>SR107086</t>
  </si>
  <si>
    <t>SR107235</t>
  </si>
  <si>
    <t>1. Inverter was tripped offline at 17:05 on 08/01 and later back online at 08:30 on 08/02
2.Inverter was tripped offline at 13:20 on 08/11 and later back online at 16:00 on 08/12.
3. Site was offline from 08:30 to 10:30 on 08/28 due to NG planned outage
4.Inverter started for production at 08:55 on 08/25
    Inverter started late for the production at 13:00 on 08/31.</t>
  </si>
  <si>
    <t>1.SR105523
2.SR106036
3. SR107069
4.SR107172</t>
  </si>
  <si>
    <t>SR106036</t>
  </si>
  <si>
    <t>SR107069</t>
  </si>
  <si>
    <t>SR107172</t>
  </si>
  <si>
    <t>1. Site was offline from 13:45 to 16:00 on 08/11</t>
  </si>
  <si>
    <t>1.SR106018</t>
  </si>
  <si>
    <t>1.Huxley 2 inverter module 6 is offline on 08/06 and back online at 16:00 on 08/06</t>
  </si>
  <si>
    <t>1.SR105736</t>
  </si>
  <si>
    <t>September Actual v. Expected</t>
  </si>
  <si>
    <t>September Actual v. Forecasted</t>
  </si>
  <si>
    <t>1. Inverter 1.9 was offline for whole month and being RMA'd.
2.Inverter 1.4 tripped again tripped offline due to and reporting Fault Inverter Hardware Over Current - Protect0140  at 13:45 from 08/21 and remained offline throughout the month.
3. Inverter 2.6 tripped offline at 11:45 on 09/21 and left offline for whole month</t>
  </si>
  <si>
    <t>1. SR104291
2. SR106840
3. SR108325</t>
  </si>
  <si>
    <t>1. Combiner Box 3.22 went offline on 09/04, and DC Zones 3.19, 3.21, 3.24, and 3.26 have been underperforming. and on 09/24, CB 3.22, 3.7 offline, CB 3.19, 3.21, 3.24, 3.26, 2.19 are underperforming. 
2. Tracker controller 2 motor 1 is stuck from 9/6/25. Reporting "TrackerPos1 position (51.690) is outside acceptable range of Set Point (-52.000). Error limit is: 4.000". and also tracker controller 3 motor 4 is intermittently getting stuck from 9/21/25.
3. Inverter 3 CB 3.22 offline since  08/30.
4. The site experienced frequent curtailments throughout the month from PG&amp;E.
5. Site was curtailed to 100% (to 0 MW) by the CAISO. But the site didn't follow the commands. Inverter 1 didn’t follow the curtailment command and continued produced from 09/05.
6. The site tripped offline from 11:00 to 11:45 on 09/04, and again tripped offline at 02:42 on 09/04 and back online at 19:00 on 09/04.
7.  Inverter 3 has been derating by approximately 1500 kW since 09/25 and reported an "AC Switch Fault" on 09/26. A technician power cycled the inverter both units, after which the inverter came back online and resumed normal production along with its peers.</t>
  </si>
  <si>
    <t>1. SR105880, SR107769, SR107393
2. SR106361, SR107812
3. SR107086, SR107393
4. SR095240
5. SR107235
6. SR108482
7. SR108565</t>
  </si>
  <si>
    <t>1. The site was offline at 08:20 to 13:15 on 09/04 due to utility planned outage. and again site was offline at 09:00 on 09/05 and after remotely reset site is back online at 14:45 on 09/05.
2.  Zone 3 and DC - DC converter 3 is in shutdown at 08:30 to 10:45 on 09/09 and reporting on "Modbus communication" fault and after resetting the pilot zone is back online.
3. The site went offline at 08:15 on 09/10 due to a recloser trip. After remotely closing the recloser, the site was back online at 11:20 on 09/10.
4. The inverter tripped offline at 09:45 on 09/12, reporting fault code 108:HBMX (3). Inverter module 3 also faulted with code F108: Idc Overcurrent. The inverter came back online at 03:55 on 09/12.
5. Inverter 2 tripped offline at 15:20 to 16:40 due to technician was on site to replace the fuses for the inverter 2.</t>
  </si>
  <si>
    <t>1. SR107419
2. SR107724
3. SR107768
4. SR107897
5. SR106821</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</si>
  <si>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</si>
  <si>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</si>
  <si>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</si>
  <si>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</si>
  <si>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</si>
  <si>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</si>
  <si>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</si>
  <si>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</si>
  <si>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</si>
  <si>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</si>
  <si>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</si>
  <si>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</si>
  <si>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</si>
  <si>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</si>
  <si>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</si>
  <si>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</si>
  <si>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</si>
  <si>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</si>
  <si>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</si>
  <si>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</si>
  <si>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</si>
  <si>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</si>
  <si>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</si>
  <si>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</si>
  <si>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</si>
  <si>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</si>
  <si>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</si>
  <si>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</si>
  <si>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</si>
  <si>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</si>
  <si>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</si>
  <si>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</si>
  <si>
    <t>SR108325</t>
  </si>
  <si>
    <t>SR107769</t>
  </si>
  <si>
    <t>SR107393</t>
  </si>
  <si>
    <t>SR107812</t>
  </si>
  <si>
    <t>SR108482</t>
  </si>
  <si>
    <t>SR108565</t>
  </si>
  <si>
    <t>SR107724</t>
  </si>
  <si>
    <t>SR107768</t>
  </si>
  <si>
    <t>SR107897</t>
  </si>
  <si>
    <t>SR106821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</si>
</sst>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40" x14ac:knownFonts="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2"/>
      <name val="Arial"/>
      <family val="2"/>
    </font>
    <font>
      <sz val="14"/>
      <name val="Calibri"/>
      <family val="2"/>
    </font>
    <font>
      <sz val="11"/>
      <name val="Arial"/>
      <family val="2"/>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9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5"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9" fillId="38" borderId="0" xfId="45" applyNumberFormat="1" applyFill="1" applyBorder="1" applyAlignment="1">
      <alignment vertical="top" wrapText="1"/>
    </xf>
    <xf numFmtId="49" fontId="39" fillId="0" borderId="0" xfId="45" applyNumberFormat="1" applyAlignment="1">
      <alignment vertical="top" wrapText="1"/>
    </xf>
    <xf numFmtId="49" fontId="39" fillId="0" borderId="0" xfId="45" applyNumberFormat="1" applyAlignment="1">
      <alignment vertical="top"/>
    </xf>
    <xf numFmtId="49" fontId="39" fillId="38" borderId="0" xfId="45" applyNumberFormat="1" applyFill="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58" dataCellStyle="Normal 2"/>
    <tableColumn id="1" xr3:uid="{9A753695-C18C-437C-AD9C-C2CE5C1A806E}" name="Site" dataDxfId="57" dataCellStyle="Normal 2"/>
    <tableColumn id="2" xr3:uid="{250F229D-34D2-4043-BE8F-6D9C210E223F}" name="State" dataDxfId="56"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5240" TargetMode="External"/><Relationship Id="rId13" Type="http://schemas.openxmlformats.org/officeDocument/2006/relationships/hyperlink" Target="https://us3.assetplanner.com/service_request?ID=107172"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7086" TargetMode="External"/><Relationship Id="rId12" Type="http://schemas.openxmlformats.org/officeDocument/2006/relationships/hyperlink" Target="https://us3.assetplanner.com/service_request?ID=107069" TargetMode="External"/><Relationship Id="rId2" Type="http://schemas.openxmlformats.org/officeDocument/2006/relationships/hyperlink" Target="https://us3.assetplanner.com/service_request?ID=104291" TargetMode="External"/><Relationship Id="rId1" Type="http://schemas.openxmlformats.org/officeDocument/2006/relationships/hyperlink" Target="https://us3.assetplanner.com/service_request?ID=103448" TargetMode="External"/><Relationship Id="rId6" Type="http://schemas.openxmlformats.org/officeDocument/2006/relationships/hyperlink" Target="https://us3.assetplanner.com/service_request?ID=106361" TargetMode="External"/><Relationship Id="rId11" Type="http://schemas.openxmlformats.org/officeDocument/2006/relationships/hyperlink" Target="https://us3.assetplanner.com/service_request?ID=106036" TargetMode="External"/><Relationship Id="rId5" Type="http://schemas.openxmlformats.org/officeDocument/2006/relationships/hyperlink" Target="https://us3.assetplanner.com/service_request?ID=105880" TargetMode="External"/><Relationship Id="rId15" Type="http://schemas.openxmlformats.org/officeDocument/2006/relationships/hyperlink" Target="https://us3.assetplanner.com/service_request?ID=105736" TargetMode="External"/><Relationship Id="rId10" Type="http://schemas.openxmlformats.org/officeDocument/2006/relationships/hyperlink" Target="https://us3.assetplanner.com/service_request?ID=105523" TargetMode="External"/><Relationship Id="rId4" Type="http://schemas.openxmlformats.org/officeDocument/2006/relationships/hyperlink" Target="https://us3.assetplanner.com/service_request?ID=105726" TargetMode="External"/><Relationship Id="rId9" Type="http://schemas.openxmlformats.org/officeDocument/2006/relationships/hyperlink" Target="https://us3.assetplanner.com/service_request?ID=107235" TargetMode="External"/><Relationship Id="rId14" Type="http://schemas.openxmlformats.org/officeDocument/2006/relationships/hyperlink" Target="https://us3.assetplanner.com/service_request?ID=10601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812" TargetMode="External"/><Relationship Id="rId13" Type="http://schemas.openxmlformats.org/officeDocument/2006/relationships/hyperlink" Target="https://us3.assetplanner.com/service_request?ID=108482" TargetMode="External"/><Relationship Id="rId18" Type="http://schemas.openxmlformats.org/officeDocument/2006/relationships/hyperlink" Target="https://us3.assetplanner.com/service_request?ID=107897" TargetMode="External"/><Relationship Id="rId3" Type="http://schemas.openxmlformats.org/officeDocument/2006/relationships/hyperlink" Target="https://us3.assetplanner.com/service_request?ID=108325" TargetMode="External"/><Relationship Id="rId7" Type="http://schemas.openxmlformats.org/officeDocument/2006/relationships/hyperlink" Target="https://us3.assetplanner.com/service_request?ID=106361" TargetMode="External"/><Relationship Id="rId12" Type="http://schemas.openxmlformats.org/officeDocument/2006/relationships/hyperlink" Target="https://us3.assetplanner.com/service_request?ID=107235" TargetMode="External"/><Relationship Id="rId17" Type="http://schemas.openxmlformats.org/officeDocument/2006/relationships/hyperlink" Target="https://us3.assetplanner.com/service_request?ID=107768" TargetMode="External"/><Relationship Id="rId2" Type="http://schemas.openxmlformats.org/officeDocument/2006/relationships/hyperlink" Target="https://us3.assetplanner.com/service_request?ID=106840" TargetMode="External"/><Relationship Id="rId16" Type="http://schemas.openxmlformats.org/officeDocument/2006/relationships/hyperlink" Target="https://us3.assetplanner.com/service_request?ID=107724" TargetMode="External"/><Relationship Id="rId1" Type="http://schemas.openxmlformats.org/officeDocument/2006/relationships/hyperlink" Target="https://us3.assetplanner.com/service_request?ID=104291" TargetMode="External"/><Relationship Id="rId6" Type="http://schemas.openxmlformats.org/officeDocument/2006/relationships/hyperlink" Target="https://us3.assetplanner.com/service_request?ID=107393" TargetMode="External"/><Relationship Id="rId11" Type="http://schemas.openxmlformats.org/officeDocument/2006/relationships/hyperlink" Target="https://us3.assetplanner.com/service_request?ID=095240" TargetMode="External"/><Relationship Id="rId5" Type="http://schemas.openxmlformats.org/officeDocument/2006/relationships/hyperlink" Target="https://us3.assetplanner.com/service_request?ID=107769" TargetMode="External"/><Relationship Id="rId15" Type="http://schemas.openxmlformats.org/officeDocument/2006/relationships/hyperlink" Target="https://us3.assetplanner.com/service_request?ID=107419" TargetMode="External"/><Relationship Id="rId10" Type="http://schemas.openxmlformats.org/officeDocument/2006/relationships/hyperlink" Target="https://us3.assetplanner.com/service_request?ID=107393" TargetMode="External"/><Relationship Id="rId19" Type="http://schemas.openxmlformats.org/officeDocument/2006/relationships/hyperlink" Target="https://us3.assetplanner.com/service_request?ID=106821" TargetMode="External"/><Relationship Id="rId4" Type="http://schemas.openxmlformats.org/officeDocument/2006/relationships/hyperlink" Target="https://us3.assetplanner.com/service_request?ID=105880" TargetMode="External"/><Relationship Id="rId9" Type="http://schemas.openxmlformats.org/officeDocument/2006/relationships/hyperlink" Target="https://us3.assetplanner.com/service_request?ID=107086" TargetMode="External"/><Relationship Id="rId14" Type="http://schemas.openxmlformats.org/officeDocument/2006/relationships/hyperlink" Target="https://us3.assetplanner.com/service_request?ID=10856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activeCell="A6" sqref="A6"/>
      <selection pane="bottomLeft" activeCell="E17" sqref="E17"/>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11" ht="19.5" customHeight="1" x14ac:dyDescent="0.25">
      <c r="A1" s="90" t="str" cm="1">
        <f t="array" ref="A1">portfolio</f>
        <v>AB CarVal</v>
      </c>
      <c r="B1" s="90"/>
      <c r="C1" s="90"/>
      <c r="D1" s="91" t="s">
        <v>0</v>
      </c>
      <c r="E1" s="91"/>
      <c r="F1" s="91"/>
      <c r="G1" s="89" t="s">
        <v>1</v>
      </c>
      <c r="H1" s="89"/>
      <c r="I1" s="89"/>
    </row>
    <row r="2" spans="1:11" ht="19.5" customHeight="1" x14ac:dyDescent="0.25">
      <c r="A2" s="92" t="s">
        <v>2</v>
      </c>
      <c r="B2" s="92"/>
      <c r="C2" s="6">
        <f>SUM(C4:C60)</f>
        <v>57721107.481428295</v>
      </c>
      <c r="D2" s="6">
        <f>SUM(D4:D60)</f>
        <v>71186555.024912164</v>
      </c>
      <c r="E2" s="6">
        <f>C2-D2</f>
        <v>-13465447.543483868</v>
      </c>
      <c r="F2" s="7">
        <f>IFERROR(E2/D2, 0)</f>
        <v>-0.18915717355294906</v>
      </c>
      <c r="G2" s="6">
        <f>SUM(G4:G60)</f>
        <v>74682174.150000006</v>
      </c>
      <c r="H2" s="8">
        <f>C2-G2</f>
        <v>-16961066.668571711</v>
      </c>
      <c r="I2" s="7">
        <f>IFERROR(H2/G2, 0)</f>
        <v>-0.22710997452357523</v>
      </c>
    </row>
    <row r="3" spans="1:11" ht="14.25" customHeight="1" x14ac:dyDescent="0.25">
      <c r="A3" s="9" t="s">
        <v>3</v>
      </c>
      <c r="B3" s="9" t="s">
        <v>4</v>
      </c>
      <c r="C3" s="25" t="s">
        <v>5</v>
      </c>
      <c r="D3" s="36" t="s">
        <v>6</v>
      </c>
      <c r="E3" s="36" t="s">
        <v>7</v>
      </c>
      <c r="F3" s="37" t="s">
        <v>8</v>
      </c>
      <c r="G3" s="38" t="s">
        <v>9</v>
      </c>
      <c r="H3" s="39" t="s">
        <v>7</v>
      </c>
      <c r="I3" s="40" t="s">
        <v>8</v>
      </c>
    </row>
    <row r="4" spans="1:11" ht="15.6" x14ac:dyDescent="0.25">
      <c r="A4" s="13" t="str" cm="1">
        <f t="array" ref="A4:A11">Sites[Site]</f>
        <v>MA: Fairhaven - 279 Mill Rd</v>
      </c>
      <c r="B4" s="10" t="str" cm="1">
        <f t="array" ref="B4:B11">Sites[State]</f>
        <v>MA</v>
      </c>
      <c r="C4" s="26">
        <f>SUM('1st Qtr'!C4, '2nd Qtr'!C4, '3rd Qtr'!C4, '4th Qtr'!C4)</f>
        <v>2944484</v>
      </c>
      <c r="D4" s="14">
        <f>SUM('1st Qtr'!D4, '2nd Qtr'!D4, '3rd Qtr'!D4, '4th Qtr'!D4)</f>
        <v>3084061.9538686434</v>
      </c>
      <c r="E4" s="14">
        <f t="shared" ref="E4:E11" si="0">IF(AND(ISNUMBER(C4),ISNUMBER(D4)), C4-D4, "")</f>
        <v>-139577.95386864338</v>
      </c>
      <c r="F4" s="15">
        <f t="shared" ref="F4:F11" si="1">IFERROR(E4/D4, "")</f>
        <v>-4.5257830729877838E-2</v>
      </c>
      <c r="G4" s="16">
        <f>SUM('1st Qtr'!G4,'2nd Qtr'!G4,'3rd Qtr'!G4,'4th Qtr'!G4)</f>
        <v>3057947.3999999994</v>
      </c>
      <c r="H4" s="16">
        <f>SUM('1st Qtr'!H4, '2nd Qtr'!H4, '3rd Qtr'!H4, '4th Qtr'!H4)</f>
        <v>-113463.39999999988</v>
      </c>
      <c r="I4" s="17">
        <f t="shared" ref="I4:I11" si="2">IFERROR(H4/G4, "")</f>
        <v>-3.7104431554316433E-2</v>
      </c>
    </row>
    <row r="5" spans="1:11" ht="15.6" x14ac:dyDescent="0.25">
      <c r="A5" s="31" t="str">
        <v>Bakersfield - 100 Basic School Rd</v>
      </c>
      <c r="B5" s="32" t="str">
        <v>CA</v>
      </c>
      <c r="C5" s="12">
        <f>SUM('1st Qtr'!C5, '2nd Qtr'!C5, '3rd Qtr'!C5, '4th Qtr'!C5)</f>
        <v>11056118.46609496</v>
      </c>
      <c r="D5" s="12">
        <f>SUM('1st Qtr'!D5, '2nd Qtr'!D5, '3rd Qtr'!D5, '4th Qtr'!D5)</f>
        <v>11273288.57</v>
      </c>
      <c r="E5" s="20">
        <f t="shared" si="0"/>
        <v>-217170.10390504077</v>
      </c>
      <c r="F5" s="21">
        <f t="shared" si="1"/>
        <v>-1.9264130653318383E-2</v>
      </c>
      <c r="G5" s="12">
        <f>SUM('1st Qtr'!G5,'2nd Qtr'!G5,'3rd Qtr'!G5,'4th Qtr'!G5)</f>
        <v>11950132.01</v>
      </c>
      <c r="H5" s="20">
        <f>SUM('1st Qtr'!H5, '2nd Qtr'!H5, '3rd Qtr'!H5, '4th Qtr'!H5)</f>
        <v>-894013.54390504013</v>
      </c>
      <c r="I5" s="21">
        <f t="shared" si="2"/>
        <v>-7.4812022424264435E-2</v>
      </c>
      <c r="J5" s="11"/>
      <c r="K5" s="19"/>
    </row>
    <row r="6" spans="1:11" ht="15.6" x14ac:dyDescent="0.25">
      <c r="A6" s="13" t="str">
        <v>Fresno - 2685 Cornelia Ave</v>
      </c>
      <c r="B6" s="10" t="str">
        <v>CA</v>
      </c>
      <c r="C6" s="26">
        <f>SUM('1st Qtr'!C6, '2nd Qtr'!C6, '3rd Qtr'!C6, '4th Qtr'!C6)</f>
        <v>14248672</v>
      </c>
      <c r="D6" s="14">
        <f>SUM('1st Qtr'!D6, '2nd Qtr'!D6, '3rd Qtr'!D6, '4th Qtr'!D6)</f>
        <v>24372596.770000003</v>
      </c>
      <c r="E6" s="14">
        <f t="shared" si="0"/>
        <v>-10123924.770000003</v>
      </c>
      <c r="F6" s="15">
        <f t="shared" si="1"/>
        <v>-0.41538145752534034</v>
      </c>
      <c r="G6" s="16">
        <f>SUM('1st Qtr'!G6,'2nd Qtr'!G6,'3rd Qtr'!G6,'4th Qtr'!G6)</f>
        <v>24761883.009999998</v>
      </c>
      <c r="H6" s="16">
        <f>SUM('1st Qtr'!H6, '2nd Qtr'!H6, '3rd Qtr'!H6, '4th Qtr'!H6)</f>
        <v>-10513211.01</v>
      </c>
      <c r="I6" s="17">
        <f t="shared" si="2"/>
        <v>-0.4245723560584741</v>
      </c>
    </row>
    <row r="7" spans="1:11" ht="15.6" x14ac:dyDescent="0.25">
      <c r="A7" s="31" t="str">
        <v>San Juaquin - S. Placer &amp; W. Adams</v>
      </c>
      <c r="B7" s="32" t="str">
        <v>CA</v>
      </c>
      <c r="C7" s="12">
        <f>SUM('1st Qtr'!C7, '2nd Qtr'!C7, '3rd Qtr'!C7, '4th Qtr'!C7)</f>
        <v>8080788.7083333321</v>
      </c>
      <c r="D7" s="12">
        <f>SUM('1st Qtr'!D7, '2nd Qtr'!D7, '3rd Qtr'!D7, '4th Qtr'!D7)</f>
        <v>8953221.5700000003</v>
      </c>
      <c r="E7" s="20">
        <f t="shared" si="0"/>
        <v>-872432.86166666821</v>
      </c>
      <c r="F7" s="21">
        <f t="shared" si="1"/>
        <v>-9.7443457066892197E-2</v>
      </c>
      <c r="G7" s="12">
        <f>SUM('1st Qtr'!G7,'2nd Qtr'!G7,'3rd Qtr'!G7,'4th Qtr'!G7)</f>
        <v>9038271.629999999</v>
      </c>
      <c r="H7" s="20">
        <f>SUM('1st Qtr'!H7, '2nd Qtr'!H7, '3rd Qtr'!H7, '4th Qtr'!H7)</f>
        <v>-957482.92166666803</v>
      </c>
      <c r="I7" s="21">
        <f t="shared" si="2"/>
        <v>-0.10593650654275237</v>
      </c>
      <c r="J7" s="11"/>
      <c r="K7" s="19"/>
    </row>
    <row r="8" spans="1:11" ht="15.6" x14ac:dyDescent="0.25">
      <c r="A8" s="13" t="str">
        <v xml:space="preserve">Charlemont - 0 Tea St </v>
      </c>
      <c r="B8" s="10" t="str">
        <v>MA</v>
      </c>
      <c r="C8" s="49">
        <f>SUM('1st Qtr'!C8, '2nd Qtr'!C8, '3rd Qtr'!C8, '4th Qtr'!C8)</f>
        <v>2546492</v>
      </c>
      <c r="D8" s="14">
        <f>SUM('1st Qtr'!D8, '2nd Qtr'!D8, '3rd Qtr'!D8, '4th Qtr'!D8)</f>
        <v>3696569.957027616</v>
      </c>
      <c r="E8" s="14">
        <f t="shared" si="0"/>
        <v>-1150077.957027616</v>
      </c>
      <c r="F8" s="48">
        <f t="shared" si="1"/>
        <v>-0.31112030081865</v>
      </c>
      <c r="G8" s="47">
        <f>SUM('1st Qtr'!G8,'2nd Qtr'!G8,'3rd Qtr'!G8,'4th Qtr'!G8)</f>
        <v>3669873.0999999996</v>
      </c>
      <c r="H8" s="47">
        <f>SUM('1st Qtr'!H8, '2nd Qtr'!H8, '3rd Qtr'!H8, '4th Qtr'!H8)</f>
        <v>-1123381.0999999999</v>
      </c>
      <c r="I8" s="46">
        <f t="shared" si="2"/>
        <v>-0.30610897690168087</v>
      </c>
    </row>
    <row r="9" spans="1:11" ht="15.6" x14ac:dyDescent="0.25">
      <c r="A9" s="31" t="str">
        <v xml:space="preserve">Amherst - 740 Belchertown Rd </v>
      </c>
      <c r="B9" s="32" t="str">
        <v>MA</v>
      </c>
      <c r="C9" s="42">
        <f>SUM('1st Qtr'!C9, '2nd Qtr'!C9, '3rd Qtr'!C9, '4th Qtr'!C9)</f>
        <v>3737340</v>
      </c>
      <c r="D9" s="42">
        <f>SUM('1st Qtr'!D9, '2nd Qtr'!D9, '3rd Qtr'!D9, '4th Qtr'!D9)</f>
        <v>3817058.6897602817</v>
      </c>
      <c r="E9" s="20">
        <f t="shared" si="0"/>
        <v>-79718.689760281704</v>
      </c>
      <c r="F9" s="43">
        <f t="shared" si="1"/>
        <v>-2.0884847795014694E-2</v>
      </c>
      <c r="G9" s="42">
        <f>SUM('1st Qtr'!G9,'2nd Qtr'!G9,'3rd Qtr'!G9,'4th Qtr'!G9)</f>
        <v>4263991</v>
      </c>
      <c r="H9" s="20">
        <f>SUM('1st Qtr'!H9, '2nd Qtr'!H9, '3rd Qtr'!H9, '4th Qtr'!H9)</f>
        <v>-526651</v>
      </c>
      <c r="I9" s="43">
        <f t="shared" si="2"/>
        <v>-0.1235112832086184</v>
      </c>
      <c r="J9" s="11"/>
      <c r="K9" s="19"/>
    </row>
    <row r="10" spans="1:11" ht="15.6" x14ac:dyDescent="0.25">
      <c r="A10" s="13" t="str">
        <v xml:space="preserve"> Ludlow - Huxley 1 &amp; 2 - 504 Fuller St </v>
      </c>
      <c r="B10" s="10" t="str">
        <v>MA</v>
      </c>
      <c r="C10" s="49">
        <f>SUM('1st Qtr'!C10, '2nd Qtr'!C10, '3rd Qtr'!C10, '4th Qtr'!C10)</f>
        <v>8338093.307</v>
      </c>
      <c r="D10" s="14">
        <f>SUM('1st Qtr'!D10, '2nd Qtr'!D10, '3rd Qtr'!D10, '4th Qtr'!D10)</f>
        <v>8316976.551849681</v>
      </c>
      <c r="E10" s="14">
        <f t="shared" si="0"/>
        <v>21116.755150319077</v>
      </c>
      <c r="F10" s="48">
        <f t="shared" si="1"/>
        <v>2.5389941908183868E-3</v>
      </c>
      <c r="G10" s="47">
        <f>SUM('1st Qtr'!G10,'2nd Qtr'!G10,'3rd Qtr'!G10,'4th Qtr'!G10)</f>
        <v>9633633</v>
      </c>
      <c r="H10" s="47">
        <f>SUM('1st Qtr'!H10, '2nd Qtr'!H10, '3rd Qtr'!H10, '4th Qtr'!H10)</f>
        <v>-1295539.693</v>
      </c>
      <c r="I10" s="46">
        <f t="shared" si="2"/>
        <v>-0.13448090590538378</v>
      </c>
    </row>
    <row r="11" spans="1:11" ht="15.6" x14ac:dyDescent="0.25">
      <c r="A11" s="31" t="str">
        <v>Easthampton - Beacon 1 &amp; 2 - 540 Florence Rd</v>
      </c>
      <c r="B11" s="32" t="str">
        <v>MA</v>
      </c>
      <c r="C11" s="42">
        <f>SUM('1st Qtr'!C11, '2nd Qtr'!C11, '3rd Qtr'!C11, '4th Qtr'!C11)</f>
        <v>6769119</v>
      </c>
      <c r="D11" s="42">
        <f>SUM('1st Qtr'!D11, '2nd Qtr'!D11, '3rd Qtr'!D11, '4th Qtr'!D11)</f>
        <v>7672780.9624059387</v>
      </c>
      <c r="E11" s="20">
        <f t="shared" si="0"/>
        <v>-903661.96240593866</v>
      </c>
      <c r="F11" s="43">
        <f t="shared" si="1"/>
        <v>-0.11777502405367495</v>
      </c>
      <c r="G11" s="42">
        <f>SUM('1st Qtr'!G11,'2nd Qtr'!G11,'3rd Qtr'!G11,'4th Qtr'!G11)</f>
        <v>8306443.0000000009</v>
      </c>
      <c r="H11" s="20">
        <f>SUM('1st Qtr'!H11, '2nd Qtr'!H11, '3rd Qtr'!H11, '4th Qtr'!H11)</f>
        <v>-1537324.0000000009</v>
      </c>
      <c r="I11" s="43">
        <f t="shared" si="2"/>
        <v>-0.18507609093326718</v>
      </c>
      <c r="J11" s="11"/>
      <c r="K11" s="19"/>
    </row>
    <row r="12" spans="1:11" ht="13.8" x14ac:dyDescent="0.3">
      <c r="A12" s="23"/>
      <c r="B12" s="23"/>
      <c r="C12" s="23"/>
      <c r="D12" s="23"/>
      <c r="E12" s="23"/>
      <c r="F12" s="24"/>
      <c r="G12" s="23"/>
      <c r="H12" s="23"/>
      <c r="I12" s="24"/>
    </row>
    <row r="13" spans="1:11" ht="13.8" x14ac:dyDescent="0.3">
      <c r="A13" s="23"/>
      <c r="B13" s="23"/>
      <c r="C13" s="23"/>
      <c r="D13" s="23"/>
      <c r="E13" s="23"/>
      <c r="F13" s="24"/>
      <c r="G13" s="23"/>
      <c r="H13" s="23"/>
      <c r="I13" s="24"/>
    </row>
    <row r="14" spans="1:11" ht="13.8" x14ac:dyDescent="0.3">
      <c r="A14" s="23"/>
      <c r="B14" s="23"/>
      <c r="C14" s="23"/>
      <c r="D14" s="23"/>
      <c r="E14" s="23"/>
      <c r="F14" s="24"/>
      <c r="G14" s="23"/>
      <c r="H14" s="23"/>
      <c r="I14" s="24"/>
    </row>
    <row r="15" spans="1:11" ht="13.8" x14ac:dyDescent="0.3">
      <c r="A15" s="23"/>
      <c r="B15" s="23"/>
      <c r="C15" s="23"/>
      <c r="D15" s="23"/>
      <c r="E15" s="23"/>
      <c r="F15" s="24"/>
      <c r="G15" s="23"/>
      <c r="H15" s="23"/>
      <c r="I15" s="24"/>
    </row>
    <row r="16" spans="1:11" ht="13.8" x14ac:dyDescent="0.3">
      <c r="A16" s="23"/>
      <c r="B16" s="23"/>
      <c r="C16" s="23"/>
      <c r="D16" s="23"/>
      <c r="E16" s="23"/>
      <c r="F16" s="24"/>
      <c r="G16" s="23"/>
      <c r="H16" s="23"/>
      <c r="I16" s="24"/>
    </row>
    <row r="17" spans="1:9" ht="13.8" x14ac:dyDescent="0.3">
      <c r="A17" s="23"/>
      <c r="B17" s="23"/>
      <c r="C17" s="23"/>
      <c r="D17" s="23"/>
      <c r="E17" s="23"/>
      <c r="F17" s="24"/>
      <c r="G17" s="23"/>
      <c r="H17" s="23"/>
      <c r="I17" s="24"/>
    </row>
    <row r="18" spans="1:9" ht="13.8" x14ac:dyDescent="0.3">
      <c r="A18" s="23"/>
      <c r="B18" s="23"/>
      <c r="C18" s="23"/>
      <c r="D18" s="23"/>
      <c r="E18" s="23"/>
      <c r="F18" s="24"/>
      <c r="G18" s="23"/>
      <c r="H18" s="23"/>
      <c r="I18" s="24"/>
    </row>
    <row r="19" spans="1:9" ht="13.8" x14ac:dyDescent="0.3">
      <c r="A19" s="23"/>
      <c r="B19" s="23"/>
      <c r="C19" s="23"/>
      <c r="D19" s="23"/>
      <c r="E19" s="23"/>
      <c r="F19" s="24"/>
      <c r="G19" s="23"/>
      <c r="H19" s="23"/>
      <c r="I19" s="24"/>
    </row>
    <row r="20" spans="1:9" ht="13.8" x14ac:dyDescent="0.3">
      <c r="A20" s="23"/>
      <c r="B20" s="23"/>
      <c r="C20" s="23"/>
      <c r="D20" s="23"/>
      <c r="E20" s="23"/>
      <c r="F20" s="24"/>
      <c r="G20" s="23"/>
      <c r="H20" s="23"/>
      <c r="I20" s="24"/>
    </row>
    <row r="21" spans="1:9" ht="13.8" x14ac:dyDescent="0.3">
      <c r="A21" s="23"/>
      <c r="B21" s="23"/>
      <c r="C21" s="23"/>
      <c r="D21" s="23"/>
      <c r="E21" s="23"/>
      <c r="F21" s="24"/>
      <c r="G21" s="23"/>
      <c r="H21" s="23"/>
      <c r="I21" s="24"/>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5" priority="9" stopIfTrue="1" operator="lessThanOrEqual">
      <formula>-0.1</formula>
    </cfRule>
    <cfRule type="expression" dxfId="54" priority="10">
      <formula>AND(ISNUMBER(F2), F2&gt;=0.1)</formula>
    </cfRule>
  </conditionalFormatting>
  <conditionalFormatting sqref="F4:F60">
    <cfRule type="cellIs" dxfId="53" priority="3" stopIfTrue="1" operator="lessThanOrEqual">
      <formula>-0.1</formula>
    </cfRule>
    <cfRule type="expression" dxfId="52" priority="4">
      <formula>AND(ISNUMBER(F4), F4&gt;=0.1)</formula>
    </cfRule>
  </conditionalFormatting>
  <conditionalFormatting sqref="I4:I60">
    <cfRule type="cellIs" dxfId="51" priority="1" stopIfTrue="1" operator="lessThanOrEqual">
      <formula>-0.1</formula>
    </cfRule>
    <cfRule type="expression" dxfId="50"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activeCell="A16" sqref="A16:XFD24"/>
      <selection pane="bottomLeft" activeCell="E20" sqref="E20"/>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11" ht="19.5" customHeight="1" x14ac:dyDescent="0.25">
      <c r="A1" s="90" t="str" cm="1">
        <f t="array" ref="A1">portfolio</f>
        <v>AB CarVal</v>
      </c>
      <c r="B1" s="90"/>
      <c r="C1" s="90"/>
      <c r="D1" s="91" t="s">
        <v>10</v>
      </c>
      <c r="E1" s="91"/>
      <c r="F1" s="91"/>
      <c r="G1" s="89" t="s">
        <v>11</v>
      </c>
      <c r="H1" s="89"/>
      <c r="I1" s="89"/>
    </row>
    <row r="2" spans="1:11" ht="19.5" customHeight="1" x14ac:dyDescent="0.25">
      <c r="A2" s="92" t="s">
        <v>2</v>
      </c>
      <c r="B2" s="92"/>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x14ac:dyDescent="0.25">
      <c r="A3" s="9" t="s">
        <v>3</v>
      </c>
      <c r="B3" s="9" t="s">
        <v>4</v>
      </c>
      <c r="C3" s="25" t="s">
        <v>5</v>
      </c>
      <c r="D3" s="36" t="s">
        <v>6</v>
      </c>
      <c r="E3" s="36" t="s">
        <v>7</v>
      </c>
      <c r="F3" s="37" t="s">
        <v>8</v>
      </c>
      <c r="G3" s="38" t="s">
        <v>9</v>
      </c>
      <c r="H3" s="39" t="s">
        <v>7</v>
      </c>
      <c r="I3" s="40" t="s">
        <v>8</v>
      </c>
    </row>
    <row r="4" spans="1:11" ht="15.6" x14ac:dyDescent="0.25">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x14ac:dyDescent="0.25">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x14ac:dyDescent="0.25">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x14ac:dyDescent="0.25">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x14ac:dyDescent="0.25">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x14ac:dyDescent="0.25">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x14ac:dyDescent="0.25">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x14ac:dyDescent="0.25">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8" x14ac:dyDescent="0.3">
      <c r="A12" s="23"/>
      <c r="B12" s="23"/>
      <c r="C12" s="23"/>
      <c r="D12" s="23"/>
      <c r="E12" s="23"/>
      <c r="F12" s="24"/>
      <c r="G12" s="23"/>
      <c r="H12" s="23"/>
      <c r="I12" s="24"/>
    </row>
    <row r="13" spans="1:11" ht="13.8" x14ac:dyDescent="0.3">
      <c r="A13" s="23"/>
      <c r="B13" s="23"/>
      <c r="C13" s="23"/>
      <c r="D13" s="23"/>
      <c r="E13" s="23"/>
      <c r="F13" s="24"/>
      <c r="G13" s="23"/>
      <c r="H13" s="23"/>
      <c r="I13" s="24"/>
    </row>
    <row r="14" spans="1:11" ht="13.8" x14ac:dyDescent="0.3">
      <c r="A14" s="23"/>
      <c r="B14" s="23"/>
      <c r="C14" s="23"/>
      <c r="D14" s="23"/>
      <c r="E14" s="23"/>
      <c r="F14" s="24"/>
      <c r="G14" s="23"/>
      <c r="H14" s="23"/>
      <c r="I14" s="24"/>
    </row>
    <row r="15" spans="1:11" ht="13.8" x14ac:dyDescent="0.3">
      <c r="A15" s="23"/>
      <c r="B15" s="23"/>
      <c r="C15" s="23"/>
      <c r="D15" s="23"/>
      <c r="E15" s="23"/>
      <c r="F15" s="24"/>
      <c r="G15" s="23"/>
      <c r="H15" s="23"/>
      <c r="I15" s="24"/>
    </row>
    <row r="16" spans="1:11" ht="13.8" x14ac:dyDescent="0.3">
      <c r="A16" s="23"/>
      <c r="B16" s="23"/>
      <c r="C16" s="23"/>
      <c r="D16" s="23"/>
      <c r="E16" s="23"/>
      <c r="F16" s="24"/>
      <c r="G16" s="23"/>
      <c r="H16" s="23"/>
      <c r="I16" s="24"/>
    </row>
    <row r="17" spans="1:9" ht="13.8" x14ac:dyDescent="0.3">
      <c r="A17" s="23"/>
      <c r="B17" s="23"/>
      <c r="C17" s="23"/>
      <c r="D17" s="23"/>
      <c r="E17" s="23"/>
      <c r="F17" s="24"/>
      <c r="G17" s="23"/>
      <c r="H17" s="23"/>
      <c r="I17" s="24"/>
    </row>
    <row r="18" spans="1:9" ht="13.8" x14ac:dyDescent="0.3">
      <c r="A18" s="23"/>
      <c r="B18" s="23"/>
      <c r="C18" s="23"/>
      <c r="D18" s="23"/>
      <c r="E18" s="23"/>
      <c r="F18" s="24"/>
      <c r="G18" s="23"/>
      <c r="H18" s="23"/>
      <c r="I18" s="24"/>
    </row>
    <row r="19" spans="1:9" ht="13.8" x14ac:dyDescent="0.3">
      <c r="A19" s="23"/>
      <c r="B19" s="23"/>
      <c r="C19" s="23"/>
      <c r="D19" s="23"/>
      <c r="E19" s="23"/>
      <c r="F19" s="24"/>
      <c r="G19" s="23"/>
      <c r="H19" s="23"/>
      <c r="I19" s="24"/>
    </row>
    <row r="20" spans="1:9" ht="13.8" x14ac:dyDescent="0.3">
      <c r="A20" s="23"/>
      <c r="B20" s="23"/>
      <c r="C20" s="23"/>
      <c r="D20" s="23"/>
      <c r="E20" s="23"/>
      <c r="F20" s="24"/>
      <c r="G20" s="23"/>
      <c r="H20" s="23"/>
      <c r="I20" s="24"/>
    </row>
    <row r="21" spans="1:9" ht="13.8" x14ac:dyDescent="0.3">
      <c r="A21" s="23"/>
      <c r="B21" s="23"/>
      <c r="C21" s="23"/>
      <c r="D21" s="23"/>
      <c r="E21" s="23"/>
      <c r="F21" s="24"/>
      <c r="G21" s="23"/>
      <c r="H21" s="23"/>
      <c r="I21" s="24"/>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49" priority="17" stopIfTrue="1" operator="lessThanOrEqual">
      <formula>-0.1</formula>
    </cfRule>
    <cfRule type="expression" dxfId="48" priority="18">
      <formula>AND(ISNUMBER(F2), F2&gt;=0.1)</formula>
    </cfRule>
  </conditionalFormatting>
  <conditionalFormatting sqref="F4:F68">
    <cfRule type="cellIs" dxfId="47" priority="3" stopIfTrue="1" operator="lessThanOrEqual">
      <formula>-0.1</formula>
    </cfRule>
    <cfRule type="expression" dxfId="46" priority="4">
      <formula>AND(ISNUMBER(F4), F4&gt;=0.1)</formula>
    </cfRule>
  </conditionalFormatting>
  <conditionalFormatting sqref="I4:I68">
    <cfRule type="cellIs" dxfId="45" priority="1" stopIfTrue="1" operator="lessThanOrEqual">
      <formula>-0.1</formula>
    </cfRule>
    <cfRule type="expression" dxfId="44"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activeCell="J20" sqref="J20"/>
      <selection pane="bottomLeft" activeCell="C4" sqref="C4"/>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11" ht="19.5" customHeight="1" x14ac:dyDescent="0.25">
      <c r="A1" s="90" t="str" cm="1">
        <f t="array" ref="A1">portfolio</f>
        <v>AB CarVal</v>
      </c>
      <c r="B1" s="90"/>
      <c r="C1" s="90"/>
      <c r="D1" s="91" t="s">
        <v>12</v>
      </c>
      <c r="E1" s="91"/>
      <c r="F1" s="91"/>
      <c r="G1" s="89" t="s">
        <v>13</v>
      </c>
      <c r="H1" s="89"/>
      <c r="I1" s="89"/>
    </row>
    <row r="2" spans="1:11" ht="19.5" customHeight="1" x14ac:dyDescent="0.25">
      <c r="A2" s="92" t="s">
        <v>2</v>
      </c>
      <c r="B2" s="92"/>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x14ac:dyDescent="0.25">
      <c r="A3" s="9" t="s">
        <v>3</v>
      </c>
      <c r="B3" s="9" t="s">
        <v>4</v>
      </c>
      <c r="C3" s="25" t="s">
        <v>5</v>
      </c>
      <c r="D3" s="36" t="s">
        <v>6</v>
      </c>
      <c r="E3" s="36" t="s">
        <v>7</v>
      </c>
      <c r="F3" s="37" t="s">
        <v>8</v>
      </c>
      <c r="G3" s="38" t="s">
        <v>9</v>
      </c>
      <c r="H3" s="39" t="s">
        <v>7</v>
      </c>
      <c r="I3" s="40" t="s">
        <v>8</v>
      </c>
    </row>
    <row r="4" spans="1:11" ht="15.6" x14ac:dyDescent="0.25">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x14ac:dyDescent="0.25">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x14ac:dyDescent="0.25">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x14ac:dyDescent="0.25">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x14ac:dyDescent="0.25">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x14ac:dyDescent="0.25">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x14ac:dyDescent="0.25">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x14ac:dyDescent="0.25">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8" x14ac:dyDescent="0.3">
      <c r="A12" s="23"/>
      <c r="B12" s="23"/>
      <c r="C12" s="23"/>
      <c r="D12" s="23"/>
      <c r="E12" s="23"/>
      <c r="F12" s="23"/>
      <c r="G12" s="23"/>
      <c r="H12" s="23"/>
      <c r="I12" s="23"/>
    </row>
    <row r="13" spans="1:11" ht="13.8" x14ac:dyDescent="0.3">
      <c r="A13" s="23"/>
      <c r="B13" s="23"/>
      <c r="C13" s="23"/>
      <c r="D13" s="23"/>
      <c r="E13" s="23"/>
      <c r="F13" s="23"/>
      <c r="G13" s="23"/>
      <c r="H13" s="23"/>
      <c r="I13" s="23"/>
    </row>
    <row r="14" spans="1:11" ht="13.8" x14ac:dyDescent="0.3">
      <c r="A14" s="23"/>
      <c r="B14" s="23"/>
      <c r="C14" s="23"/>
      <c r="D14" s="23"/>
      <c r="E14" s="23"/>
      <c r="F14" s="23"/>
      <c r="G14" s="23"/>
      <c r="H14" s="23"/>
      <c r="I14" s="23"/>
    </row>
    <row r="15" spans="1:11" ht="13.8" x14ac:dyDescent="0.3">
      <c r="A15" s="23"/>
      <c r="B15" s="23"/>
      <c r="C15" s="23"/>
      <c r="D15" s="23"/>
      <c r="E15" s="23"/>
      <c r="F15" s="23"/>
      <c r="G15" s="23"/>
      <c r="H15" s="23"/>
      <c r="I15" s="23"/>
    </row>
    <row r="16" spans="1:11"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3"/>
      <c r="G22" s="23"/>
      <c r="H22" s="23"/>
      <c r="I22" s="23"/>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row r="332" spans="1:9" ht="13.8" x14ac:dyDescent="0.3">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3" priority="13" stopIfTrue="1" operator="lessThanOrEqual">
      <formula>-0.1</formula>
    </cfRule>
    <cfRule type="expression" dxfId="42" priority="14">
      <formula>AND(ISNUMBER(F2), F2&gt;=0.1)</formula>
    </cfRule>
  </conditionalFormatting>
  <conditionalFormatting sqref="F4:F90">
    <cfRule type="cellIs" dxfId="41" priority="3" stopIfTrue="1" operator="lessThanOrEqual">
      <formula>-0.1</formula>
    </cfRule>
    <cfRule type="expression" dxfId="40" priority="4">
      <formula>AND(ISNUMBER(F4), F4&gt;=0.1)</formula>
    </cfRule>
  </conditionalFormatting>
  <conditionalFormatting sqref="I4:I90">
    <cfRule type="cellIs" dxfId="39" priority="1" stopIfTrue="1" operator="lessThanOrEqual">
      <formula>-0.1</formula>
    </cfRule>
    <cfRule type="expression" dxfId="38"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activeCell="J20" sqref="J20"/>
      <selection pane="bottomLeft" activeCell="G15" sqref="G15"/>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11" ht="19.5" customHeight="1" x14ac:dyDescent="0.25">
      <c r="A1" s="90" t="str" cm="1">
        <f t="array" ref="A1">portfolio</f>
        <v>AB CarVal</v>
      </c>
      <c r="B1" s="90"/>
      <c r="C1" s="90"/>
      <c r="D1" s="91" t="s">
        <v>14</v>
      </c>
      <c r="E1" s="91"/>
      <c r="F1" s="91"/>
      <c r="G1" s="89" t="s">
        <v>15</v>
      </c>
      <c r="H1" s="89"/>
      <c r="I1" s="89"/>
    </row>
    <row r="2" spans="1:11" ht="19.5" customHeight="1" x14ac:dyDescent="0.25">
      <c r="A2" s="92" t="s">
        <v>2</v>
      </c>
      <c r="B2" s="92"/>
      <c r="C2" s="6">
        <f>SUM(C4:C89)</f>
        <v>24160166.306581672</v>
      </c>
      <c r="D2" s="6">
        <f>SUM(D4:D89)</f>
        <v>27930690.719899997</v>
      </c>
      <c r="E2" s="6">
        <f>C2-D2</f>
        <v>-3770524.4133183248</v>
      </c>
      <c r="F2" s="7">
        <f>IFERROR(E2/D2, 0)</f>
        <v>-0.13499574540173867</v>
      </c>
      <c r="G2" s="6">
        <f>SUM(G4:G89)</f>
        <v>29028669.440000001</v>
      </c>
      <c r="H2" s="8">
        <f>C2-G2</f>
        <v>-4868503.1334183291</v>
      </c>
      <c r="I2" s="7">
        <f>IFERROR(H2/G2, 0)</f>
        <v>-0.16771361648115307</v>
      </c>
    </row>
    <row r="3" spans="1:11" ht="14.25" customHeight="1" x14ac:dyDescent="0.25">
      <c r="A3" s="9" t="s">
        <v>3</v>
      </c>
      <c r="B3" s="9" t="s">
        <v>4</v>
      </c>
      <c r="C3" s="25" t="s">
        <v>5</v>
      </c>
      <c r="D3" s="36" t="s">
        <v>6</v>
      </c>
      <c r="E3" s="36" t="s">
        <v>7</v>
      </c>
      <c r="F3" s="37" t="s">
        <v>8</v>
      </c>
      <c r="G3" s="38" t="s">
        <v>9</v>
      </c>
      <c r="H3" s="39" t="s">
        <v>7</v>
      </c>
      <c r="I3" s="40" t="s">
        <v>8</v>
      </c>
    </row>
    <row r="4" spans="1:11" ht="15.6" x14ac:dyDescent="0.25">
      <c r="A4" s="13" t="str" cm="1">
        <f t="array" ref="A4:A11">Sites[Site]</f>
        <v>MA: Fairhaven - 279 Mill Rd</v>
      </c>
      <c r="B4" s="10" t="str" cm="1">
        <f t="array" ref="B4:B11">Sites[State]</f>
        <v>MA</v>
      </c>
      <c r="C4" s="26">
        <f>SUM(Jul!C4, Aug!C4, Sep!C4)</f>
        <v>1199528</v>
      </c>
      <c r="D4" s="14">
        <f>SUM(Jul!D4, Aug!D4, Sep!D4)</f>
        <v>1186264.7698000001</v>
      </c>
      <c r="E4" s="14">
        <f>IF(AND(ISNUMBER(C4),ISNUMBER(D4)), C4-D4, "")</f>
        <v>13263.230199999874</v>
      </c>
      <c r="F4" s="15">
        <f>IFERROR(E4/D4, "")</f>
        <v>1.1180666017954833E-2</v>
      </c>
      <c r="G4" s="16">
        <f>SUM(Jul!G4, Aug!G4, Sep!G4)</f>
        <v>1178052.2</v>
      </c>
      <c r="H4" s="16">
        <f>SUM(Jul!H4, Aug!H4, Sep!H4)</f>
        <v>21475.800000000047</v>
      </c>
      <c r="I4" s="17">
        <f>IFERROR(H4/G4, "")</f>
        <v>1.8229922239439006E-2</v>
      </c>
    </row>
    <row r="5" spans="1:11" ht="15.6" x14ac:dyDescent="0.25">
      <c r="A5" s="31" t="str">
        <v>Bakersfield - 100 Basic School Rd</v>
      </c>
      <c r="B5" s="32" t="str">
        <v>CA</v>
      </c>
      <c r="C5" s="12">
        <f>SUM(Jul!C5, Aug!C5, Sep!C5)</f>
        <v>3944243.9995816699</v>
      </c>
      <c r="D5" s="20">
        <f>SUM(Jul!D5, Aug!D5, Sep!D5)</f>
        <v>4359711.66</v>
      </c>
      <c r="E5" s="20">
        <f t="shared" ref="E5:E7" si="0">IF(AND(ISNUMBER(C5),ISNUMBER(D5)), C5-D5, "")</f>
        <v>-415467.66041833023</v>
      </c>
      <c r="F5" s="21">
        <f t="shared" ref="F5:F7" si="1">IFERROR(E5/D5, "")</f>
        <v>-9.5297050084805421E-2</v>
      </c>
      <c r="G5" s="22">
        <f>SUM(Jul!G5, Aug!G5, Sep!G5)</f>
        <v>4554811.24</v>
      </c>
      <c r="H5" s="22">
        <f>SUM(Jul!H5, Aug!H5, Sep!H5)</f>
        <v>-610567.24041833007</v>
      </c>
      <c r="I5" s="21">
        <f t="shared" ref="I5:I7" si="2">IFERROR(H5/G5, "")</f>
        <v>-0.13404885696609681</v>
      </c>
      <c r="J5" s="11"/>
      <c r="K5" s="19"/>
    </row>
    <row r="6" spans="1:11" ht="15.6" x14ac:dyDescent="0.25">
      <c r="A6" s="13" t="str">
        <v>Fresno - 2685 Cornelia Ave</v>
      </c>
      <c r="B6" s="10" t="str">
        <v>CA</v>
      </c>
      <c r="C6" s="26">
        <f>SUM(Jul!C6, Aug!C6, Sep!C6)</f>
        <v>7202166</v>
      </c>
      <c r="D6" s="14">
        <f>SUM(Jul!D6, Aug!D6, Sep!D6)</f>
        <v>9753868.6500000004</v>
      </c>
      <c r="E6" s="14">
        <f t="shared" si="0"/>
        <v>-2551702.6500000004</v>
      </c>
      <c r="F6" s="15">
        <f t="shared" si="1"/>
        <v>-0.2616092897662714</v>
      </c>
      <c r="G6" s="16">
        <f>SUM(Jul!G6, Aug!G6, Sep!G6)</f>
        <v>9706557.6099999994</v>
      </c>
      <c r="H6" s="16">
        <f>SUM(Jul!H6, Aug!H6, Sep!H6)</f>
        <v>-2504391.61</v>
      </c>
      <c r="I6" s="17">
        <f t="shared" si="2"/>
        <v>-0.25801027620954903</v>
      </c>
    </row>
    <row r="7" spans="1:11" ht="12.75" customHeight="1" x14ac:dyDescent="0.25">
      <c r="A7" s="31" t="str">
        <v>San Juaquin - S. Placer &amp; W. Adams</v>
      </c>
      <c r="B7" s="32" t="str">
        <v>CA</v>
      </c>
      <c r="C7" s="12">
        <f>SUM(Jul!C7, Aug!C7, Sep!C7)</f>
        <v>2777741</v>
      </c>
      <c r="D7" s="20">
        <f>SUM(Jul!D7, Aug!D7, Sep!D7)</f>
        <v>3336240.8100000005</v>
      </c>
      <c r="E7" s="20">
        <f t="shared" si="0"/>
        <v>-558499.81000000052</v>
      </c>
      <c r="F7" s="21">
        <f t="shared" si="1"/>
        <v>-0.16740392609728924</v>
      </c>
      <c r="G7" s="22">
        <f>SUM(Jul!G7, Aug!G7, Sep!G7)</f>
        <v>3515280.8899999997</v>
      </c>
      <c r="H7" s="22">
        <f>SUM(Jul!H7, Aug!H7, Sep!H7)</f>
        <v>-737539.8899999999</v>
      </c>
      <c r="I7" s="21">
        <f t="shared" si="2"/>
        <v>-0.2098096604735333</v>
      </c>
      <c r="J7" s="11"/>
      <c r="K7" s="19"/>
    </row>
    <row r="8" spans="1:11" ht="15.6" x14ac:dyDescent="0.25">
      <c r="A8" s="13" t="str">
        <v xml:space="preserve">Charlemont - 0 Tea St </v>
      </c>
      <c r="B8" s="10" t="str">
        <v>MA</v>
      </c>
      <c r="C8" s="49">
        <f>SUM(Jul!C8, Aug!C8, Sep!C8)</f>
        <v>1339634</v>
      </c>
      <c r="D8" s="14">
        <f>SUM(Jul!D8, Aug!D8, Sep!D8)</f>
        <v>1469085.8060999999</v>
      </c>
      <c r="E8" s="14">
        <f>IF(AND(ISNUMBER(C8),ISNUMBER(D8)), C8-D8, "")</f>
        <v>-129451.80609999993</v>
      </c>
      <c r="F8" s="48">
        <f>IFERROR(E8/D8, "")</f>
        <v>-8.8117253303030149E-2</v>
      </c>
      <c r="G8" s="47">
        <f>SUM(Jul!G8, Aug!G8, Sep!G8)</f>
        <v>1414475.5</v>
      </c>
      <c r="H8" s="47">
        <f>SUM(Jul!H8, Aug!H8, Sep!H8)</f>
        <v>-74841.500000000058</v>
      </c>
      <c r="I8" s="46">
        <f>IFERROR(H8/G8, "")</f>
        <v>-5.2911132076872348E-2</v>
      </c>
    </row>
    <row r="9" spans="1:11" ht="15.6" x14ac:dyDescent="0.25">
      <c r="A9" s="31" t="str">
        <v xml:space="preserve">Amherst - 740 Belchertown Rd </v>
      </c>
      <c r="B9" s="32" t="str">
        <v>MA</v>
      </c>
      <c r="C9" s="42">
        <f>SUM(Jul!C9, Aug!C9, Sep!C9)</f>
        <v>1574519</v>
      </c>
      <c r="D9" s="20">
        <f>SUM(Jul!D9, Aug!D9, Sep!D9)</f>
        <v>1491706.8107</v>
      </c>
      <c r="E9" s="20">
        <f>IF(AND(ISNUMBER(C9),ISNUMBER(D9)), C9-D9, "")</f>
        <v>82812.189299999969</v>
      </c>
      <c r="F9" s="43">
        <f>IFERROR(E9/D9, "")</f>
        <v>5.5515057453642269E-2</v>
      </c>
      <c r="G9" s="44">
        <f>SUM(Jul!G9, Aug!G9, Sep!G9)</f>
        <v>1692726</v>
      </c>
      <c r="H9" s="44">
        <f>SUM(Jul!H9, Aug!H9, Sep!H9)</f>
        <v>-118207</v>
      </c>
      <c r="I9" s="43">
        <f>IFERROR(H9/G9, "")</f>
        <v>-6.9832329626885861E-2</v>
      </c>
      <c r="J9" s="11"/>
      <c r="K9" s="19"/>
    </row>
    <row r="10" spans="1:11" ht="15.6" x14ac:dyDescent="0.25">
      <c r="A10" s="13" t="str">
        <v xml:space="preserve"> Ludlow - Huxley 1 &amp; 2 - 504 Fuller St </v>
      </c>
      <c r="B10" s="10" t="str">
        <v>MA</v>
      </c>
      <c r="C10" s="49">
        <f>SUM(Jul!C10, Aug!C10, Sep!C10)</f>
        <v>3072341.307</v>
      </c>
      <c r="D10" s="14">
        <f>SUM(Jul!D10, Aug!D10, Sep!D10)</f>
        <v>3346118.2223999994</v>
      </c>
      <c r="E10" s="14">
        <f>IF(AND(ISNUMBER(C10),ISNUMBER(D10)), C10-D10, "")</f>
        <v>-273776.91539999936</v>
      </c>
      <c r="F10" s="48">
        <f>IFERROR(E10/D10, "")</f>
        <v>-8.1819259572853104E-2</v>
      </c>
      <c r="G10" s="47">
        <f>SUM(Jul!G10, Aug!G10, Sep!G10)</f>
        <v>3758808</v>
      </c>
      <c r="H10" s="47">
        <f>SUM(Jul!H10, Aug!H10, Sep!H10)</f>
        <v>-686466.69299999997</v>
      </c>
      <c r="I10" s="46">
        <f>IFERROR(H10/G10, "")</f>
        <v>-0.18262882621299092</v>
      </c>
    </row>
    <row r="11" spans="1:11" ht="15.6" x14ac:dyDescent="0.25">
      <c r="A11" s="31" t="str">
        <v>Easthampton - Beacon 1 &amp; 2 - 540 Florence Rd</v>
      </c>
      <c r="B11" s="32" t="str">
        <v>MA</v>
      </c>
      <c r="C11" s="42">
        <f>SUM(Jul!C11, Aug!C11, Sep!C11)</f>
        <v>3049993</v>
      </c>
      <c r="D11" s="20">
        <f>SUM(Jul!D11, Aug!D11, Sep!D11)</f>
        <v>2987693.9909000001</v>
      </c>
      <c r="E11" s="20">
        <f>IF(AND(ISNUMBER(C11),ISNUMBER(D11)), C11-D11, "")</f>
        <v>62299.009099999908</v>
      </c>
      <c r="F11" s="43">
        <f>IFERROR(E11/D11, "")</f>
        <v>2.0851870803955133E-2</v>
      </c>
      <c r="G11" s="44">
        <f>SUM(Jul!G11, Aug!G11, Sep!G11)</f>
        <v>3207958</v>
      </c>
      <c r="H11" s="44">
        <f>SUM(Jul!H11, Aug!H11, Sep!H11)</f>
        <v>-157965</v>
      </c>
      <c r="I11" s="43">
        <f>IFERROR(H11/G11, "")</f>
        <v>-4.9241604784102534E-2</v>
      </c>
      <c r="J11" s="11"/>
      <c r="K11" s="19"/>
    </row>
    <row r="12" spans="1:11" ht="13.8" x14ac:dyDescent="0.3">
      <c r="A12" s="23"/>
      <c r="B12" s="23"/>
      <c r="C12" s="23"/>
      <c r="D12" s="23"/>
      <c r="E12" s="23"/>
      <c r="F12" s="23"/>
      <c r="G12" s="23"/>
      <c r="H12" s="23"/>
      <c r="I12" s="23"/>
    </row>
    <row r="13" spans="1:11" ht="13.8" x14ac:dyDescent="0.3">
      <c r="A13" s="23"/>
      <c r="B13" s="23"/>
      <c r="C13" s="23"/>
      <c r="D13" s="23"/>
      <c r="E13" s="23"/>
      <c r="F13" s="23"/>
      <c r="G13" s="23"/>
      <c r="H13" s="23"/>
      <c r="I13" s="23"/>
    </row>
    <row r="14" spans="1:11" ht="13.8" x14ac:dyDescent="0.3">
      <c r="A14" s="23"/>
      <c r="B14" s="23"/>
      <c r="C14" s="23"/>
      <c r="D14" s="23"/>
      <c r="E14" s="23"/>
      <c r="F14" s="23"/>
      <c r="G14" s="23"/>
      <c r="H14" s="23"/>
      <c r="I14" s="23"/>
    </row>
    <row r="15" spans="1:11" ht="13.8" x14ac:dyDescent="0.3">
      <c r="A15" s="23"/>
      <c r="B15" s="23"/>
      <c r="C15" s="23"/>
      <c r="D15" s="23"/>
      <c r="E15" s="23"/>
      <c r="F15" s="23"/>
      <c r="G15" s="23"/>
      <c r="H15" s="23"/>
      <c r="I15" s="23"/>
    </row>
    <row r="16" spans="1:11"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7" priority="5" stopIfTrue="1" operator="lessThanOrEqual">
      <formula>-0.1</formula>
    </cfRule>
    <cfRule type="expression" dxfId="36" priority="6">
      <formula>AND(ISNUMBER(F2), F2&gt;=0.1)</formula>
    </cfRule>
  </conditionalFormatting>
  <conditionalFormatting sqref="F4:F89 I4:I89">
    <cfRule type="cellIs" dxfId="35" priority="1" stopIfTrue="1" operator="lessThanOrEqual">
      <formula>-0.1</formula>
    </cfRule>
    <cfRule type="expression" dxfId="34"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activeCell="J20" sqref="J20"/>
      <selection pane="bottomLeft" activeCell="D11" sqref="D11"/>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11" ht="19.5" customHeight="1" x14ac:dyDescent="0.25">
      <c r="A1" s="90" t="str" cm="1">
        <f t="array" ref="A1">portfolio</f>
        <v>AB CarVal</v>
      </c>
      <c r="B1" s="90"/>
      <c r="C1" s="90"/>
      <c r="D1" s="91" t="s">
        <v>16</v>
      </c>
      <c r="E1" s="91"/>
      <c r="F1" s="91"/>
      <c r="G1" s="89" t="s">
        <v>17</v>
      </c>
      <c r="H1" s="89"/>
      <c r="I1" s="89"/>
    </row>
    <row r="2" spans="1:11" ht="19.5" customHeight="1" x14ac:dyDescent="0.25">
      <c r="A2" s="92" t="s">
        <v>2</v>
      </c>
      <c r="B2" s="92"/>
      <c r="C2" s="6">
        <f>SUM(C4:C89)</f>
        <v>0</v>
      </c>
      <c r="D2" s="6">
        <f>SUM(D4:D89)</f>
        <v>0</v>
      </c>
      <c r="E2" s="6">
        <f>C2-D2</f>
        <v>0</v>
      </c>
      <c r="F2" s="7">
        <f>IFERROR(E2/D2, 0)</f>
        <v>0</v>
      </c>
      <c r="G2" s="6">
        <f>SUM(G4:G89)</f>
        <v>0</v>
      </c>
      <c r="H2" s="8">
        <f>C2-G2</f>
        <v>0</v>
      </c>
      <c r="I2" s="7">
        <f>IFERROR(H2/G2, 0)</f>
        <v>0</v>
      </c>
    </row>
    <row r="3" spans="1:11" ht="14.25" customHeight="1" x14ac:dyDescent="0.25">
      <c r="A3" s="9" t="s">
        <v>3</v>
      </c>
      <c r="B3" s="9" t="s">
        <v>4</v>
      </c>
      <c r="C3" s="25" t="s">
        <v>5</v>
      </c>
      <c r="D3" s="36" t="s">
        <v>6</v>
      </c>
      <c r="E3" s="36" t="s">
        <v>7</v>
      </c>
      <c r="F3" s="37" t="s">
        <v>8</v>
      </c>
      <c r="G3" s="38" t="s">
        <v>9</v>
      </c>
      <c r="H3" s="39" t="s">
        <v>7</v>
      </c>
      <c r="I3" s="40" t="s">
        <v>8</v>
      </c>
    </row>
    <row r="4" spans="1:11" ht="15.6" x14ac:dyDescent="0.25">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x14ac:dyDescent="0.25">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x14ac:dyDescent="0.25">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x14ac:dyDescent="0.25">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x14ac:dyDescent="0.25">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x14ac:dyDescent="0.25">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x14ac:dyDescent="0.25">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x14ac:dyDescent="0.25">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8" x14ac:dyDescent="0.3">
      <c r="A12" s="23"/>
      <c r="B12" s="23"/>
      <c r="C12" s="23"/>
      <c r="D12" s="23"/>
      <c r="E12" s="23"/>
      <c r="F12" s="23"/>
      <c r="G12" s="23"/>
      <c r="H12" s="23"/>
      <c r="I12" s="23"/>
    </row>
    <row r="13" spans="1:11" ht="13.8" x14ac:dyDescent="0.3">
      <c r="A13" s="23"/>
      <c r="B13" s="23"/>
      <c r="C13" s="23"/>
      <c r="D13" s="23"/>
      <c r="E13" s="23"/>
      <c r="F13" s="23"/>
      <c r="G13" s="23"/>
      <c r="H13" s="23"/>
      <c r="I13" s="23"/>
    </row>
    <row r="14" spans="1:11" ht="13.8" x14ac:dyDescent="0.3">
      <c r="A14" s="23"/>
      <c r="B14" s="23"/>
      <c r="C14" s="23"/>
      <c r="D14" s="23"/>
      <c r="E14" s="23"/>
      <c r="F14" s="23"/>
      <c r="G14" s="23"/>
      <c r="H14" s="23"/>
      <c r="I14" s="23"/>
    </row>
    <row r="15" spans="1:11" ht="13.8" x14ac:dyDescent="0.3">
      <c r="A15" s="23"/>
      <c r="B15" s="23"/>
      <c r="C15" s="23"/>
      <c r="D15" s="23"/>
      <c r="E15" s="23"/>
      <c r="F15" s="23"/>
      <c r="G15" s="23"/>
      <c r="H15" s="23"/>
      <c r="I15" s="23"/>
    </row>
    <row r="16" spans="1:11"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3" priority="9" stopIfTrue="1" operator="lessThanOrEqual">
      <formula>-0.1</formula>
    </cfRule>
    <cfRule type="expression" dxfId="32" priority="10">
      <formula>AND(ISNUMBER(F2), F2&gt;=0.1)</formula>
    </cfRule>
  </conditionalFormatting>
  <conditionalFormatting sqref="F4:F89 I4:I89">
    <cfRule type="cellIs" dxfId="31" priority="1" stopIfTrue="1" operator="lessThanOrEqual">
      <formula>-0.1</formula>
    </cfRule>
    <cfRule type="expression" dxfId="30"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activeCell="J20" sqref="J20"/>
      <selection pane="bottomLeft" activeCell="F23" sqref="F23"/>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82.5546875" customWidth="1"/>
    <col min="11" max="11" width="20.5546875" bestFit="1" customWidth="1"/>
  </cols>
  <sheetData>
    <row r="1" spans="1:15" ht="19.5" customHeight="1" x14ac:dyDescent="0.25">
      <c r="A1" s="90" t="str" cm="1">
        <f t="array" ref="A1">portfolio</f>
        <v>AB CarVal</v>
      </c>
      <c r="B1" s="90"/>
      <c r="C1" s="90"/>
      <c r="D1" s="91" t="s">
        <v>18</v>
      </c>
      <c r="E1" s="91"/>
      <c r="F1" s="91"/>
      <c r="G1" s="89" t="s">
        <v>19</v>
      </c>
      <c r="H1" s="89"/>
      <c r="I1" s="89"/>
      <c r="J1" s="5"/>
      <c r="K1" s="5"/>
    </row>
    <row r="2" spans="1:15" ht="19.5" customHeight="1" x14ac:dyDescent="0.25">
      <c r="A2" s="92" t="s">
        <v>2</v>
      </c>
      <c r="B2" s="92"/>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x14ac:dyDescent="0.25">
      <c r="A3" s="29" t="s">
        <v>3</v>
      </c>
      <c r="B3" s="9" t="s">
        <v>4</v>
      </c>
      <c r="C3" s="25" t="s">
        <v>5</v>
      </c>
      <c r="D3" s="36" t="s">
        <v>6</v>
      </c>
      <c r="E3" s="36" t="s">
        <v>7</v>
      </c>
      <c r="F3" s="37" t="s">
        <v>8</v>
      </c>
      <c r="G3" s="41" t="s">
        <v>9</v>
      </c>
      <c r="H3" s="39" t="s">
        <v>7</v>
      </c>
      <c r="I3" s="40" t="s">
        <v>8</v>
      </c>
      <c r="J3" s="27" t="s">
        <v>20</v>
      </c>
      <c r="K3" s="27" t="s">
        <v>21</v>
      </c>
    </row>
    <row r="4" spans="1:15" ht="15.6" x14ac:dyDescent="0.3">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x14ac:dyDescent="0.25">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x14ac:dyDescent="0.3">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72" x14ac:dyDescent="0.2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2" x14ac:dyDescent="0.3">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x14ac:dyDescent="0.25">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8" x14ac:dyDescent="0.3">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2" x14ac:dyDescent="0.2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 x14ac:dyDescent="0.3">
      <c r="A12" s="23"/>
      <c r="B12" s="34"/>
      <c r="C12" s="23"/>
      <c r="D12" s="23"/>
      <c r="E12" s="23"/>
      <c r="F12" s="23"/>
      <c r="G12" s="23"/>
      <c r="H12" s="23"/>
      <c r="I12" s="23"/>
      <c r="J12" s="23"/>
      <c r="K12" s="23"/>
    </row>
    <row r="13" spans="1:15" ht="14.4" x14ac:dyDescent="0.3">
      <c r="A13" s="23"/>
      <c r="B13" s="34"/>
      <c r="C13" s="23"/>
      <c r="D13" s="23"/>
      <c r="E13" s="23"/>
      <c r="F13" s="23"/>
      <c r="G13" s="23"/>
      <c r="H13" s="23"/>
      <c r="I13" s="23"/>
      <c r="J13" s="23"/>
      <c r="K13" s="23"/>
    </row>
    <row r="14" spans="1:15" ht="14.4" x14ac:dyDescent="0.3">
      <c r="A14" s="23"/>
      <c r="B14" s="34"/>
      <c r="C14" s="23"/>
      <c r="D14" s="23"/>
      <c r="E14" s="23"/>
      <c r="F14" s="23"/>
      <c r="G14" s="23"/>
      <c r="H14" s="23"/>
      <c r="I14" s="23"/>
      <c r="J14" s="23"/>
      <c r="K14" s="23"/>
    </row>
    <row r="15" spans="1:15" ht="14.4" x14ac:dyDescent="0.3">
      <c r="A15" s="23"/>
      <c r="B15" s="34"/>
      <c r="C15" s="23"/>
      <c r="D15" s="23"/>
      <c r="E15" s="23"/>
      <c r="F15" s="23"/>
      <c r="G15" s="23"/>
      <c r="H15" s="23"/>
      <c r="I15" s="23"/>
      <c r="J15" s="23"/>
      <c r="K15" s="23"/>
    </row>
    <row r="16" spans="1:15"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4"/>
      <c r="G21" s="23"/>
      <c r="H21" s="23"/>
      <c r="I21" s="24"/>
      <c r="J21" s="23"/>
      <c r="K21" s="23"/>
    </row>
    <row r="22" spans="1:11" ht="14.4" x14ac:dyDescent="0.3">
      <c r="A22" s="23"/>
      <c r="B22" s="34"/>
      <c r="C22" s="23"/>
      <c r="D22" s="23"/>
      <c r="E22" s="23"/>
      <c r="F22" s="24"/>
      <c r="G22" s="23"/>
      <c r="H22" s="23"/>
      <c r="I22" s="24"/>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29" priority="2" stopIfTrue="1" operator="lessThanOrEqual">
      <formula>-0.1</formula>
    </cfRule>
    <cfRule type="expression" dxfId="28"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activeCell="J20" sqref="J20"/>
      <selection pane="bottomLeft" activeCell="J14" sqref="J1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7" ht="19.5" customHeight="1" x14ac:dyDescent="0.25">
      <c r="A1" s="90" t="str" cm="1">
        <f t="array" ref="A1">portfolio</f>
        <v>AB CarVal</v>
      </c>
      <c r="B1" s="90"/>
      <c r="C1" s="90"/>
      <c r="D1" s="91" t="s">
        <v>46</v>
      </c>
      <c r="E1" s="91"/>
      <c r="F1" s="91"/>
      <c r="G1" s="89" t="s">
        <v>47</v>
      </c>
      <c r="H1" s="89"/>
      <c r="I1" s="89"/>
      <c r="J1" s="5"/>
      <c r="K1" s="5"/>
    </row>
    <row r="2" spans="1:17" ht="19.5" customHeight="1" x14ac:dyDescent="0.25">
      <c r="A2" s="92" t="s">
        <v>2</v>
      </c>
      <c r="B2" s="92"/>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x14ac:dyDescent="0.25">
      <c r="A3" s="9" t="s">
        <v>3</v>
      </c>
      <c r="B3" s="9" t="s">
        <v>4</v>
      </c>
      <c r="C3" s="25" t="s">
        <v>5</v>
      </c>
      <c r="D3" s="36" t="s">
        <v>6</v>
      </c>
      <c r="E3" s="36" t="s">
        <v>7</v>
      </c>
      <c r="F3" s="37" t="s">
        <v>8</v>
      </c>
      <c r="G3" s="38" t="s">
        <v>9</v>
      </c>
      <c r="H3" s="39" t="s">
        <v>7</v>
      </c>
      <c r="I3" s="40" t="s">
        <v>8</v>
      </c>
      <c r="J3" s="27" t="s">
        <v>20</v>
      </c>
      <c r="K3" s="27" t="s">
        <v>21</v>
      </c>
    </row>
    <row r="4" spans="1:17" ht="15.6" x14ac:dyDescent="0.3">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8" x14ac:dyDescent="0.25">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x14ac:dyDescent="0.25">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x14ac:dyDescent="0.25">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72.8" x14ac:dyDescent="0.2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8" x14ac:dyDescent="0.25">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8" x14ac:dyDescent="0.3">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x14ac:dyDescent="0.25">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 x14ac:dyDescent="0.3">
      <c r="A12" s="23"/>
      <c r="B12" s="34"/>
      <c r="C12" s="23"/>
      <c r="D12" s="23"/>
      <c r="E12" s="23"/>
      <c r="F12" s="23"/>
      <c r="G12" s="23"/>
      <c r="H12" s="23"/>
      <c r="I12" s="23"/>
      <c r="J12" s="23"/>
      <c r="K12" s="23"/>
      <c r="L12" s="76"/>
      <c r="M12" s="76"/>
      <c r="N12" s="76"/>
      <c r="O12" s="76"/>
      <c r="P12" s="76"/>
      <c r="Q12" s="76"/>
    </row>
    <row r="13" spans="1:17" ht="14.4" x14ac:dyDescent="0.3">
      <c r="A13" s="23"/>
      <c r="B13" s="34"/>
      <c r="C13" s="23"/>
      <c r="D13" s="23"/>
      <c r="E13" s="23"/>
      <c r="F13" s="23"/>
      <c r="G13" s="23"/>
      <c r="H13" s="23"/>
      <c r="I13" s="23"/>
      <c r="J13" s="23"/>
      <c r="K13" s="23"/>
      <c r="L13" s="76"/>
      <c r="M13" s="76"/>
      <c r="N13" s="76"/>
      <c r="O13" s="76"/>
      <c r="P13" s="76"/>
      <c r="Q13" s="76"/>
    </row>
    <row r="14" spans="1:17" ht="14.4" x14ac:dyDescent="0.3">
      <c r="A14" s="23"/>
      <c r="B14" s="34"/>
      <c r="C14" s="23"/>
      <c r="D14" s="23"/>
      <c r="E14" s="23"/>
      <c r="F14" s="23"/>
      <c r="G14" s="23"/>
      <c r="H14" s="23"/>
      <c r="I14" s="23"/>
      <c r="J14" s="23"/>
      <c r="K14" s="23"/>
      <c r="L14" s="76"/>
      <c r="M14" s="76"/>
      <c r="N14" s="76"/>
      <c r="O14" s="76"/>
      <c r="P14" s="76"/>
      <c r="Q14" s="76"/>
    </row>
    <row r="15" spans="1:17" ht="14.4" x14ac:dyDescent="0.3">
      <c r="A15" s="23"/>
      <c r="B15" s="34"/>
      <c r="C15" s="23"/>
      <c r="D15" s="23"/>
      <c r="E15" s="23"/>
      <c r="F15" s="23"/>
      <c r="G15" s="23"/>
      <c r="H15" s="23"/>
      <c r="I15" s="23"/>
      <c r="J15" s="23"/>
      <c r="K15" s="23"/>
      <c r="L15" s="76"/>
      <c r="M15" s="76"/>
      <c r="N15" s="76"/>
      <c r="O15" s="76"/>
      <c r="P15" s="76"/>
      <c r="Q15" s="76"/>
    </row>
    <row r="16" spans="1:17" ht="14.4" x14ac:dyDescent="0.3">
      <c r="A16" s="23"/>
      <c r="B16" s="34"/>
      <c r="C16" s="23"/>
      <c r="D16" s="23"/>
      <c r="E16" s="23"/>
      <c r="F16" s="23"/>
      <c r="G16" s="23"/>
      <c r="H16" s="23"/>
      <c r="I16" s="23"/>
      <c r="J16" s="23"/>
      <c r="K16" s="23"/>
      <c r="L16" s="76"/>
      <c r="M16" s="76"/>
      <c r="N16" s="76"/>
      <c r="O16" s="76"/>
      <c r="P16" s="76"/>
      <c r="Q16" s="76"/>
    </row>
    <row r="17" spans="1:17" ht="14.4" x14ac:dyDescent="0.3">
      <c r="A17" s="23"/>
      <c r="B17" s="34"/>
      <c r="C17" s="23"/>
      <c r="D17" s="23"/>
      <c r="E17" s="23"/>
      <c r="F17" s="23"/>
      <c r="G17" s="23"/>
      <c r="H17" s="23"/>
      <c r="I17" s="23"/>
      <c r="J17" s="23"/>
      <c r="K17" s="23"/>
      <c r="L17" s="76"/>
      <c r="M17" s="76"/>
      <c r="N17" s="76"/>
      <c r="O17" s="76"/>
      <c r="P17" s="76"/>
      <c r="Q17" s="76"/>
    </row>
    <row r="18" spans="1:17" ht="14.4" x14ac:dyDescent="0.3">
      <c r="A18" s="23"/>
      <c r="B18" s="34"/>
      <c r="C18" s="23"/>
      <c r="D18" s="23"/>
      <c r="E18" s="23"/>
      <c r="F18" s="24"/>
      <c r="G18" s="23"/>
      <c r="H18" s="23"/>
      <c r="I18" s="24"/>
      <c r="J18" s="23"/>
      <c r="K18" s="23"/>
      <c r="L18" s="76"/>
      <c r="M18" s="76"/>
      <c r="N18" s="76"/>
      <c r="O18" s="76"/>
      <c r="P18" s="76"/>
      <c r="Q18" s="76"/>
    </row>
    <row r="19" spans="1:17" ht="14.4" x14ac:dyDescent="0.3">
      <c r="A19" s="23"/>
      <c r="B19" s="34"/>
      <c r="C19" s="23"/>
      <c r="D19" s="23"/>
      <c r="E19" s="23"/>
      <c r="F19" s="24"/>
      <c r="G19" s="23"/>
      <c r="H19" s="23"/>
      <c r="I19" s="24"/>
      <c r="J19" s="23"/>
      <c r="K19" s="23"/>
    </row>
    <row r="20" spans="1:17" ht="14.4" x14ac:dyDescent="0.3">
      <c r="A20" s="23"/>
      <c r="B20" s="34"/>
      <c r="C20" s="23"/>
      <c r="D20" s="23"/>
      <c r="E20" s="23"/>
      <c r="F20" s="24"/>
      <c r="G20" s="23"/>
      <c r="H20" s="23"/>
      <c r="I20" s="24"/>
      <c r="J20" s="23"/>
      <c r="K20" s="23"/>
    </row>
    <row r="21" spans="1:17" ht="14.4" x14ac:dyDescent="0.3">
      <c r="A21" s="23"/>
      <c r="B21" s="34"/>
      <c r="C21" s="23"/>
      <c r="D21" s="23"/>
      <c r="E21" s="23"/>
      <c r="F21" s="24"/>
      <c r="G21" s="23"/>
      <c r="H21" s="23"/>
      <c r="I21" s="24"/>
      <c r="J21" s="23"/>
      <c r="K21" s="23"/>
    </row>
    <row r="22" spans="1:17" ht="14.4" x14ac:dyDescent="0.3">
      <c r="A22" s="23"/>
      <c r="B22" s="34"/>
      <c r="C22" s="23"/>
      <c r="D22" s="23"/>
      <c r="E22" s="23"/>
      <c r="F22" s="24"/>
      <c r="G22" s="23"/>
      <c r="H22" s="23"/>
      <c r="I22" s="24"/>
      <c r="J22" s="23"/>
      <c r="K22" s="23"/>
    </row>
    <row r="23" spans="1:17" ht="14.4" x14ac:dyDescent="0.3">
      <c r="A23" s="23"/>
      <c r="B23" s="34"/>
      <c r="C23" s="23"/>
      <c r="D23" s="23"/>
      <c r="E23" s="23"/>
      <c r="F23" s="24"/>
      <c r="G23" s="23"/>
      <c r="H23" s="23"/>
      <c r="I23" s="24"/>
      <c r="J23" s="23"/>
      <c r="K23" s="23"/>
    </row>
    <row r="24" spans="1:17" ht="14.4" x14ac:dyDescent="0.3">
      <c r="A24" s="23"/>
      <c r="B24" s="34"/>
      <c r="C24" s="23"/>
      <c r="D24" s="23"/>
      <c r="E24" s="23"/>
      <c r="F24" s="24"/>
      <c r="G24" s="23"/>
      <c r="H24" s="23"/>
      <c r="I24" s="24"/>
      <c r="J24" s="23"/>
      <c r="K24" s="23"/>
    </row>
    <row r="25" spans="1:17" ht="14.4" x14ac:dyDescent="0.3">
      <c r="A25" s="23"/>
      <c r="B25" s="34"/>
      <c r="C25" s="23"/>
      <c r="D25" s="23"/>
      <c r="E25" s="23"/>
      <c r="F25" s="24"/>
      <c r="G25" s="23"/>
      <c r="H25" s="23"/>
      <c r="I25" s="24"/>
      <c r="J25" s="23"/>
      <c r="K25" s="23"/>
    </row>
    <row r="26" spans="1:17" ht="14.4" x14ac:dyDescent="0.3">
      <c r="A26" s="23"/>
      <c r="B26" s="34"/>
      <c r="C26" s="23"/>
      <c r="D26" s="23"/>
      <c r="E26" s="23"/>
      <c r="F26" s="24"/>
      <c r="G26" s="23"/>
      <c r="H26" s="23"/>
      <c r="I26" s="24"/>
      <c r="J26" s="23"/>
      <c r="K26" s="23"/>
    </row>
    <row r="27" spans="1:17" ht="14.4" x14ac:dyDescent="0.3">
      <c r="A27" s="23"/>
      <c r="B27" s="34"/>
      <c r="C27" s="23"/>
      <c r="D27" s="23"/>
      <c r="E27" s="23"/>
      <c r="F27" s="24"/>
      <c r="G27" s="23"/>
      <c r="H27" s="23"/>
      <c r="I27" s="24"/>
      <c r="J27" s="23"/>
      <c r="K27" s="23"/>
    </row>
    <row r="28" spans="1:17" ht="14.4" x14ac:dyDescent="0.3">
      <c r="A28" s="23"/>
      <c r="B28" s="34"/>
      <c r="C28" s="23"/>
      <c r="D28" s="23"/>
      <c r="E28" s="23"/>
      <c r="F28" s="24"/>
      <c r="G28" s="23"/>
      <c r="H28" s="23"/>
      <c r="I28" s="24"/>
      <c r="J28" s="23"/>
      <c r="K28" s="23"/>
    </row>
    <row r="29" spans="1:17" ht="14.4" x14ac:dyDescent="0.3">
      <c r="A29" s="23"/>
      <c r="B29" s="34"/>
      <c r="C29" s="23"/>
      <c r="D29" s="23"/>
      <c r="E29" s="23"/>
      <c r="F29" s="24"/>
      <c r="G29" s="23"/>
      <c r="H29" s="23"/>
      <c r="I29" s="24"/>
      <c r="J29" s="23"/>
      <c r="K29" s="23"/>
    </row>
    <row r="30" spans="1:17" ht="14.4" x14ac:dyDescent="0.3">
      <c r="A30" s="23"/>
      <c r="B30" s="34"/>
      <c r="C30" s="23"/>
      <c r="D30" s="23"/>
      <c r="E30" s="23"/>
      <c r="F30" s="24"/>
      <c r="G30" s="23"/>
      <c r="H30" s="23"/>
      <c r="I30" s="24"/>
      <c r="J30" s="23"/>
      <c r="K30" s="23"/>
    </row>
    <row r="31" spans="1:17" ht="14.4" x14ac:dyDescent="0.3">
      <c r="A31" s="23"/>
      <c r="B31" s="34"/>
      <c r="C31" s="23"/>
      <c r="D31" s="23"/>
      <c r="E31" s="23"/>
      <c r="F31" s="24"/>
      <c r="G31" s="23"/>
      <c r="H31" s="23"/>
      <c r="I31" s="24"/>
      <c r="J31" s="23"/>
      <c r="K31" s="23"/>
    </row>
    <row r="32" spans="1:17"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5 I4:I85">
    <cfRule type="cellIs" dxfId="25" priority="1" stopIfTrue="1" operator="lessThanOrEqual">
      <formula>-0.1</formula>
    </cfRule>
    <cfRule type="expression" dxfId="24"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activeCell="F35" sqref="F35"/>
      <selection pane="bottomLeft" activeCell="U30" sqref="U30"/>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7" ht="19.5" customHeight="1" x14ac:dyDescent="0.25">
      <c r="A1" s="90" t="str" cm="1">
        <f t="array" ref="A1">portfolio</f>
        <v>AB CarVal</v>
      </c>
      <c r="B1" s="90"/>
      <c r="C1" s="90"/>
      <c r="D1" s="91" t="s">
        <v>70</v>
      </c>
      <c r="E1" s="91"/>
      <c r="F1" s="91"/>
      <c r="G1" s="89" t="s">
        <v>71</v>
      </c>
      <c r="H1" s="89"/>
      <c r="I1" s="89"/>
      <c r="J1" s="5"/>
      <c r="K1" s="5"/>
    </row>
    <row r="2" spans="1:17" ht="19.5" customHeight="1" x14ac:dyDescent="0.25">
      <c r="A2" s="92" t="s">
        <v>2</v>
      </c>
      <c r="B2" s="92"/>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x14ac:dyDescent="0.25">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8" x14ac:dyDescent="0.25">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 x14ac:dyDescent="0.2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8" x14ac:dyDescent="0.25">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x14ac:dyDescent="0.25">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2" x14ac:dyDescent="0.2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x14ac:dyDescent="0.25">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x14ac:dyDescent="0.25">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x14ac:dyDescent="0.25">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 x14ac:dyDescent="0.3">
      <c r="A12" s="23"/>
      <c r="B12" s="34"/>
      <c r="C12" s="23"/>
      <c r="D12" s="23"/>
      <c r="E12" s="23"/>
      <c r="F12" s="23"/>
      <c r="G12" s="23"/>
      <c r="H12" s="23"/>
      <c r="I12" s="23"/>
      <c r="J12" s="23"/>
      <c r="K12" s="23"/>
    </row>
    <row r="13" spans="1:17" ht="14.4" x14ac:dyDescent="0.3">
      <c r="A13" s="23"/>
      <c r="B13" s="34"/>
      <c r="C13" s="23"/>
      <c r="D13" s="23"/>
      <c r="E13" s="23"/>
      <c r="F13" s="23"/>
      <c r="G13" s="23"/>
      <c r="H13" s="23"/>
      <c r="I13" s="23"/>
      <c r="J13" s="23"/>
      <c r="K13" s="23"/>
    </row>
    <row r="14" spans="1:17" ht="14.4" x14ac:dyDescent="0.3">
      <c r="A14" s="23"/>
      <c r="B14" s="34"/>
      <c r="C14" s="23"/>
      <c r="D14" s="23"/>
      <c r="E14" s="23"/>
      <c r="F14" s="23"/>
      <c r="G14" s="23"/>
      <c r="H14" s="23"/>
      <c r="I14" s="23"/>
      <c r="J14" s="23"/>
      <c r="K14" s="23"/>
    </row>
    <row r="15" spans="1:17" ht="14.4" x14ac:dyDescent="0.3">
      <c r="A15" s="23"/>
      <c r="B15" s="34"/>
      <c r="C15" s="23"/>
      <c r="D15" s="23"/>
      <c r="E15" s="23"/>
      <c r="F15" s="23"/>
      <c r="G15" s="23"/>
      <c r="H15" s="23"/>
      <c r="I15" s="23"/>
      <c r="J15" s="23"/>
      <c r="K15" s="23"/>
    </row>
    <row r="16" spans="1:17"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3" priority="1" stopIfTrue="1" operator="lessThanOrEqual">
      <formula>-0.1</formula>
    </cfRule>
    <cfRule type="expression" dxfId="22"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activeCell="F35" sqref="F35"/>
      <selection pane="bottomLeft" activeCell="J9" sqref="J9"/>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22" ht="19.5" customHeight="1" x14ac:dyDescent="0.25">
      <c r="A1" s="90" t="str" cm="1">
        <f t="array" ref="A1">portfolio</f>
        <v>AB CarVal</v>
      </c>
      <c r="B1" s="90"/>
      <c r="C1" s="90"/>
      <c r="D1" s="91" t="s">
        <v>96</v>
      </c>
      <c r="E1" s="91"/>
      <c r="F1" s="91"/>
      <c r="G1" s="89" t="s">
        <v>97</v>
      </c>
      <c r="H1" s="89"/>
      <c r="I1" s="89"/>
      <c r="J1" s="5"/>
      <c r="K1" s="5"/>
    </row>
    <row r="2" spans="1:22" ht="19.5" customHeight="1" x14ac:dyDescent="0.25">
      <c r="A2" s="92" t="s">
        <v>2</v>
      </c>
      <c r="B2" s="92"/>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x14ac:dyDescent="0.25">
      <c r="A3" s="9" t="s">
        <v>3</v>
      </c>
      <c r="B3" s="9" t="s">
        <v>4</v>
      </c>
      <c r="C3" s="25" t="s">
        <v>5</v>
      </c>
      <c r="D3" s="36" t="s">
        <v>6</v>
      </c>
      <c r="E3" s="36" t="s">
        <v>7</v>
      </c>
      <c r="F3" s="37" t="s">
        <v>8</v>
      </c>
      <c r="G3" s="38" t="s">
        <v>9</v>
      </c>
      <c r="H3" s="39" t="s">
        <v>7</v>
      </c>
      <c r="I3" s="40" t="s">
        <v>8</v>
      </c>
      <c r="J3" s="27" t="s">
        <v>20</v>
      </c>
      <c r="K3" s="27" t="s">
        <v>21</v>
      </c>
    </row>
    <row r="4" spans="1:22" ht="28.8" x14ac:dyDescent="0.3">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4" t="s">
        <v>99</v>
      </c>
      <c r="L4" s="76"/>
      <c r="M4" s="76"/>
      <c r="N4" s="76"/>
      <c r="O4" s="76"/>
      <c r="P4" s="76"/>
      <c r="Q4" s="76"/>
      <c r="R4" s="76"/>
      <c r="S4" s="76"/>
      <c r="T4" s="76"/>
      <c r="U4" s="76"/>
      <c r="V4" s="76"/>
    </row>
    <row r="5" spans="1:22" ht="90.45" customHeight="1" x14ac:dyDescent="0.25">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3" t="s">
        <v>101</v>
      </c>
      <c r="L5" s="75" t="s">
        <v>102</v>
      </c>
      <c r="M5" s="75" t="s">
        <v>103</v>
      </c>
      <c r="N5" s="75" t="s">
        <v>76</v>
      </c>
      <c r="O5" s="76"/>
      <c r="P5" s="76"/>
      <c r="Q5" s="76"/>
      <c r="R5" s="76"/>
      <c r="S5" s="76"/>
      <c r="T5" s="76"/>
      <c r="U5" s="76"/>
      <c r="V5" s="76"/>
    </row>
    <row r="6" spans="1:22" ht="405.75" customHeight="1" x14ac:dyDescent="0.3">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4" t="s">
        <v>105</v>
      </c>
      <c r="L6" s="75" t="s">
        <v>81</v>
      </c>
      <c r="M6" s="75" t="s">
        <v>106</v>
      </c>
      <c r="N6" s="75" t="s">
        <v>107</v>
      </c>
      <c r="O6" s="75" t="s">
        <v>108</v>
      </c>
      <c r="P6" s="75" t="s">
        <v>109</v>
      </c>
      <c r="Q6" s="75" t="s">
        <v>110</v>
      </c>
      <c r="R6" s="75" t="s">
        <v>107</v>
      </c>
      <c r="S6" s="75" t="s">
        <v>82</v>
      </c>
      <c r="T6" s="75" t="s">
        <v>111</v>
      </c>
      <c r="U6" s="75" t="s">
        <v>106</v>
      </c>
      <c r="V6" s="75" t="s">
        <v>82</v>
      </c>
    </row>
    <row r="7" spans="1:22" ht="28.8" x14ac:dyDescent="0.25">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3" t="s">
        <v>113</v>
      </c>
      <c r="L7" s="75" t="s">
        <v>114</v>
      </c>
      <c r="M7" s="76"/>
      <c r="N7" s="76"/>
      <c r="O7" s="76"/>
      <c r="P7" s="76"/>
      <c r="Q7" s="76"/>
      <c r="R7" s="76"/>
      <c r="S7" s="76"/>
      <c r="T7" s="76"/>
      <c r="U7" s="76"/>
      <c r="V7" s="76"/>
    </row>
    <row r="8" spans="1:22" ht="28.8" x14ac:dyDescent="0.3">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4" t="s">
        <v>116</v>
      </c>
      <c r="L8" s="76"/>
      <c r="M8" s="76"/>
      <c r="N8" s="76"/>
      <c r="O8" s="76"/>
      <c r="P8" s="76"/>
      <c r="Q8" s="76"/>
      <c r="R8" s="76"/>
      <c r="S8" s="76"/>
      <c r="T8" s="76"/>
      <c r="U8" s="76"/>
      <c r="V8" s="76"/>
    </row>
    <row r="9" spans="1:22" ht="120.75" customHeight="1" x14ac:dyDescent="0.25">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4" t="s">
        <v>118</v>
      </c>
      <c r="L9" s="76"/>
      <c r="M9" s="76"/>
      <c r="N9" s="76"/>
      <c r="O9" s="76"/>
      <c r="P9" s="76"/>
      <c r="Q9" s="76"/>
      <c r="R9" s="76"/>
      <c r="S9" s="76"/>
      <c r="T9" s="76"/>
      <c r="U9" s="76"/>
      <c r="V9" s="76"/>
    </row>
    <row r="10" spans="1:22" ht="15.6" x14ac:dyDescent="0.3">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6"/>
      <c r="M10" s="76"/>
      <c r="N10" s="76"/>
      <c r="O10" s="76"/>
      <c r="P10" s="76"/>
      <c r="Q10" s="76"/>
      <c r="R10" s="76"/>
      <c r="S10" s="76"/>
      <c r="T10" s="76"/>
      <c r="U10" s="76"/>
      <c r="V10" s="76"/>
    </row>
    <row r="11" spans="1:22" ht="28.8" x14ac:dyDescent="0.25">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71" t="s">
        <v>119</v>
      </c>
      <c r="K11" s="80" t="s">
        <v>120</v>
      </c>
      <c r="L11" s="76"/>
      <c r="M11" s="76"/>
      <c r="N11" s="76"/>
      <c r="O11" s="76"/>
      <c r="P11" s="76"/>
      <c r="Q11" s="76"/>
      <c r="R11" s="76"/>
      <c r="S11" s="76"/>
      <c r="T11" s="76"/>
      <c r="U11" s="76"/>
      <c r="V11" s="76"/>
    </row>
    <row r="12" spans="1:22" ht="14.4" x14ac:dyDescent="0.3">
      <c r="A12" s="23"/>
      <c r="B12" s="34"/>
      <c r="C12" s="23"/>
      <c r="D12" s="23"/>
      <c r="E12" s="23"/>
      <c r="F12" s="23"/>
      <c r="G12" s="23"/>
      <c r="H12" s="23"/>
      <c r="I12" s="23"/>
      <c r="J12" s="23"/>
      <c r="K12" s="23"/>
    </row>
    <row r="13" spans="1:22" ht="14.4" x14ac:dyDescent="0.3">
      <c r="A13" s="23"/>
      <c r="B13" s="34"/>
      <c r="C13" s="23"/>
      <c r="D13" s="23"/>
      <c r="E13" s="23"/>
      <c r="F13" s="23"/>
      <c r="G13" s="23"/>
      <c r="H13" s="23"/>
      <c r="I13" s="23"/>
      <c r="J13" s="23"/>
      <c r="K13" s="23"/>
    </row>
    <row r="14" spans="1:22" ht="14.4" x14ac:dyDescent="0.3">
      <c r="A14" s="23"/>
      <c r="B14" s="34"/>
      <c r="C14" s="23"/>
      <c r="D14" s="23"/>
      <c r="E14" s="23"/>
      <c r="F14" s="23"/>
      <c r="G14" s="23"/>
      <c r="H14" s="23"/>
      <c r="I14" s="23"/>
      <c r="J14" s="23"/>
      <c r="K14" s="23"/>
    </row>
    <row r="15" spans="1:22" ht="14.4" x14ac:dyDescent="0.3">
      <c r="A15" s="23"/>
      <c r="B15" s="34"/>
      <c r="C15" s="23"/>
      <c r="D15" s="23"/>
      <c r="E15" s="23"/>
      <c r="F15" s="23"/>
      <c r="G15" s="23"/>
      <c r="H15" s="23"/>
      <c r="I15" s="23"/>
      <c r="J15" s="23"/>
      <c r="K15" s="23"/>
    </row>
    <row r="16" spans="1:22"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1" priority="1" stopIfTrue="1" operator="lessThanOrEqual">
      <formula>-0.1</formula>
    </cfRule>
    <cfRule type="expression" dxfId="20"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activeCell="F35" sqref="F35"/>
      <selection pane="bottomLeft" activeCell="K6" sqref="K6"/>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7" ht="19.5" customHeight="1" x14ac:dyDescent="0.25">
      <c r="A1" s="90" t="str" cm="1">
        <f t="array" ref="A1">portfolio</f>
        <v>AB CarVal</v>
      </c>
      <c r="B1" s="90"/>
      <c r="C1" s="90"/>
      <c r="D1" s="91" t="s">
        <v>121</v>
      </c>
      <c r="E1" s="91"/>
      <c r="F1" s="91"/>
      <c r="G1" s="89" t="s">
        <v>122</v>
      </c>
      <c r="H1" s="89"/>
      <c r="I1" s="89"/>
      <c r="J1" s="5"/>
      <c r="K1" s="5"/>
    </row>
    <row r="2" spans="1:17" ht="19.5" customHeight="1" x14ac:dyDescent="0.25">
      <c r="A2" s="92" t="s">
        <v>2</v>
      </c>
      <c r="B2" s="92"/>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x14ac:dyDescent="0.25">
      <c r="A3" s="9" t="s">
        <v>3</v>
      </c>
      <c r="B3" s="9" t="s">
        <v>4</v>
      </c>
      <c r="C3" s="25" t="s">
        <v>5</v>
      </c>
      <c r="D3" s="36" t="s">
        <v>6</v>
      </c>
      <c r="E3" s="36" t="s">
        <v>7</v>
      </c>
      <c r="F3" s="37" t="s">
        <v>8</v>
      </c>
      <c r="G3" s="38" t="s">
        <v>9</v>
      </c>
      <c r="H3" s="39" t="s">
        <v>7</v>
      </c>
      <c r="I3" s="40" t="s">
        <v>8</v>
      </c>
      <c r="J3" s="27" t="s">
        <v>20</v>
      </c>
      <c r="K3" s="27" t="s">
        <v>21</v>
      </c>
    </row>
    <row r="4" spans="1:17" ht="57.6" x14ac:dyDescent="0.3">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81" t="s">
        <v>123</v>
      </c>
      <c r="K4" s="85" t="s">
        <v>124</v>
      </c>
      <c r="L4" s="76"/>
      <c r="M4" s="76"/>
      <c r="N4" s="76"/>
      <c r="O4" s="76"/>
      <c r="P4" s="76"/>
      <c r="Q4" s="76"/>
    </row>
    <row r="5" spans="1:17" ht="57.6" x14ac:dyDescent="0.25">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2" t="s">
        <v>125</v>
      </c>
      <c r="K5" s="86" t="s">
        <v>126</v>
      </c>
      <c r="L5" s="75" t="s">
        <v>103</v>
      </c>
      <c r="M5" s="75" t="s">
        <v>24</v>
      </c>
      <c r="N5" s="76"/>
      <c r="O5" s="76"/>
      <c r="P5" s="76"/>
      <c r="Q5" s="76"/>
    </row>
    <row r="6" spans="1:17" ht="144" x14ac:dyDescent="0.3">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81" t="s">
        <v>127</v>
      </c>
      <c r="K6" s="85" t="s">
        <v>128</v>
      </c>
      <c r="L6" s="75" t="s">
        <v>108</v>
      </c>
      <c r="M6" s="75" t="s">
        <v>129</v>
      </c>
      <c r="N6" s="75" t="s">
        <v>130</v>
      </c>
      <c r="O6" s="75" t="s">
        <v>110</v>
      </c>
      <c r="P6" s="76"/>
      <c r="Q6" s="76"/>
    </row>
    <row r="7" spans="1:17" ht="15.6" x14ac:dyDescent="0.25">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4"/>
      <c r="K7" s="83"/>
      <c r="L7" s="76"/>
      <c r="M7" s="76"/>
      <c r="N7" s="76"/>
      <c r="O7" s="76"/>
      <c r="P7" s="76"/>
      <c r="Q7" s="76"/>
    </row>
    <row r="8" spans="1:17" ht="15.6" x14ac:dyDescent="0.3">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81"/>
      <c r="K8" s="81"/>
      <c r="L8" s="76"/>
      <c r="M8" s="76"/>
      <c r="N8" s="76"/>
      <c r="O8" s="76"/>
      <c r="P8" s="76"/>
      <c r="Q8" s="76"/>
    </row>
    <row r="9" spans="1:17" ht="115.2" x14ac:dyDescent="0.2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7" t="s">
        <v>132</v>
      </c>
      <c r="L9" s="76"/>
      <c r="M9" s="76"/>
      <c r="N9" s="76"/>
      <c r="O9" s="76"/>
      <c r="P9" s="76"/>
      <c r="Q9" s="76"/>
    </row>
    <row r="10" spans="1:17" ht="28.8" x14ac:dyDescent="0.3">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81" t="s">
        <v>133</v>
      </c>
      <c r="K10" s="85" t="s">
        <v>134</v>
      </c>
      <c r="L10" s="76"/>
      <c r="M10" s="76"/>
      <c r="N10" s="76"/>
      <c r="O10" s="76"/>
      <c r="P10" s="76"/>
      <c r="Q10" s="76"/>
    </row>
    <row r="11" spans="1:17" ht="86.4" x14ac:dyDescent="0.25">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2" t="s">
        <v>135</v>
      </c>
      <c r="K11" s="86" t="s">
        <v>136</v>
      </c>
      <c r="L11" s="75" t="s">
        <v>137</v>
      </c>
      <c r="M11" s="76"/>
      <c r="N11" s="76"/>
      <c r="O11" s="76"/>
      <c r="P11" s="76"/>
      <c r="Q11" s="76"/>
    </row>
    <row r="12" spans="1:17" ht="14.4" x14ac:dyDescent="0.3">
      <c r="A12" s="23"/>
      <c r="B12" s="34"/>
      <c r="C12" s="23"/>
      <c r="D12" s="23"/>
      <c r="E12" s="23"/>
      <c r="F12" s="23"/>
      <c r="G12" s="23"/>
      <c r="H12" s="23"/>
      <c r="I12" s="23"/>
      <c r="J12" s="23"/>
      <c r="K12" s="23"/>
    </row>
    <row r="13" spans="1:17" ht="14.4" x14ac:dyDescent="0.3">
      <c r="A13" s="23"/>
      <c r="B13" s="34"/>
      <c r="C13" s="23"/>
      <c r="D13" s="23"/>
      <c r="E13" s="23"/>
      <c r="F13" s="23"/>
      <c r="G13" s="23"/>
      <c r="H13" s="23"/>
      <c r="I13" s="23"/>
      <c r="J13" s="23"/>
      <c r="K13" s="23"/>
    </row>
    <row r="14" spans="1:17" ht="14.4" x14ac:dyDescent="0.3">
      <c r="A14" s="23"/>
      <c r="B14" s="34"/>
      <c r="C14" s="23"/>
      <c r="D14" s="23"/>
      <c r="E14" s="23"/>
      <c r="F14" s="23"/>
      <c r="G14" s="23"/>
      <c r="H14" s="23"/>
      <c r="I14" s="23"/>
      <c r="J14" s="23"/>
      <c r="K14" s="23"/>
    </row>
    <row r="15" spans="1:17" ht="14.4" x14ac:dyDescent="0.3">
      <c r="A15" s="23"/>
      <c r="B15" s="34"/>
      <c r="C15" s="23"/>
      <c r="D15" s="23"/>
      <c r="E15" s="23"/>
      <c r="F15" s="23"/>
      <c r="G15" s="23"/>
      <c r="H15" s="23"/>
      <c r="I15" s="23"/>
      <c r="J15" s="23"/>
      <c r="K15" s="23"/>
    </row>
    <row r="16" spans="1:17"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90 I4:I90">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activeCell="F35" sqref="F35"/>
      <selection pane="bottomLeft" activeCell="G4" sqref="G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21" ht="19.5" customHeight="1" x14ac:dyDescent="0.25">
      <c r="A1" s="90" t="str" cm="1">
        <f t="array" ref="A1">portfolio</f>
        <v>AB CarVal</v>
      </c>
      <c r="B1" s="90"/>
      <c r="C1" s="90"/>
      <c r="D1" s="91" t="s">
        <v>138</v>
      </c>
      <c r="E1" s="91"/>
      <c r="F1" s="91"/>
      <c r="G1" s="89" t="s">
        <v>139</v>
      </c>
      <c r="H1" s="89"/>
      <c r="I1" s="89"/>
      <c r="J1" s="5"/>
      <c r="K1" s="5"/>
    </row>
    <row r="2" spans="1:21" ht="19.5" customHeight="1" x14ac:dyDescent="0.25">
      <c r="A2" s="92" t="s">
        <v>2</v>
      </c>
      <c r="B2" s="92"/>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x14ac:dyDescent="0.25">
      <c r="A3" s="9" t="s">
        <v>3</v>
      </c>
      <c r="B3" s="9" t="s">
        <v>4</v>
      </c>
      <c r="C3" s="25" t="s">
        <v>5</v>
      </c>
      <c r="D3" s="36" t="s">
        <v>6</v>
      </c>
      <c r="E3" s="36" t="s">
        <v>7</v>
      </c>
      <c r="F3" s="37" t="s">
        <v>8</v>
      </c>
      <c r="G3" s="38" t="s">
        <v>9</v>
      </c>
      <c r="H3" s="39" t="s">
        <v>7</v>
      </c>
      <c r="I3" s="40" t="s">
        <v>8</v>
      </c>
      <c r="J3" s="27" t="s">
        <v>20</v>
      </c>
      <c r="K3" s="27" t="s">
        <v>21</v>
      </c>
    </row>
    <row r="4" spans="1:21" ht="232.5" customHeight="1" x14ac:dyDescent="0.3">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4" t="s">
        <v>141</v>
      </c>
      <c r="L4" s="75" t="s">
        <v>142</v>
      </c>
      <c r="M4" s="75" t="s">
        <v>143</v>
      </c>
      <c r="N4" s="75" t="s">
        <v>144</v>
      </c>
      <c r="O4" s="75" t="s">
        <v>143</v>
      </c>
      <c r="P4" s="75" t="s">
        <v>145</v>
      </c>
      <c r="Q4" s="76"/>
      <c r="R4" s="76"/>
      <c r="S4" s="76"/>
      <c r="T4" s="76"/>
      <c r="U4" s="76"/>
    </row>
    <row r="5" spans="1:21" ht="15.6" x14ac:dyDescent="0.25">
      <c r="A5" s="31" t="str">
        <v>Bakersfield - 100 Basic School Rd</v>
      </c>
      <c r="B5" s="32" t="str">
        <v>CA</v>
      </c>
      <c r="C5" s="12">
        <v>1609662</v>
      </c>
      <c r="D5" s="20">
        <v>1624110.43</v>
      </c>
      <c r="E5" s="20">
        <f t="shared" ref="E5:E11" si="0">IF(AND(ISNUMBER(C5),ISNUMBER(D5)), C5-D5, "")</f>
        <v>-14448.429999999935</v>
      </c>
      <c r="F5" s="65">
        <f t="shared" ref="F5:F11" si="1">IFERROR(E5/D5, "")</f>
        <v>-8.8962115710321098E-3</v>
      </c>
      <c r="G5" s="22">
        <v>1711634.44</v>
      </c>
      <c r="H5" s="22">
        <f t="shared" ref="H5:H11" si="2">IF(AND(ISNUMBER(C5),ISNUMBER(G5)), C5-G5, "")</f>
        <v>-101972.43999999994</v>
      </c>
      <c r="I5" s="65">
        <f t="shared" ref="I5:I11" si="3">IFERROR(H5/G5, "")</f>
        <v>-5.9576062281149207E-2</v>
      </c>
      <c r="J5" s="11"/>
      <c r="K5" s="19"/>
      <c r="L5" s="76"/>
      <c r="M5" s="76"/>
      <c r="N5" s="76"/>
      <c r="O5" s="76"/>
      <c r="P5" s="76"/>
      <c r="Q5" s="76"/>
      <c r="R5" s="76"/>
      <c r="S5" s="76"/>
      <c r="T5" s="76"/>
      <c r="U5" s="76"/>
    </row>
    <row r="6" spans="1:21" ht="375" customHeight="1" x14ac:dyDescent="0.3">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4" t="s">
        <v>147</v>
      </c>
      <c r="L6" s="75" t="s">
        <v>148</v>
      </c>
      <c r="M6" s="75" t="s">
        <v>130</v>
      </c>
      <c r="N6" s="75" t="s">
        <v>149</v>
      </c>
      <c r="O6" s="75" t="s">
        <v>150</v>
      </c>
      <c r="P6" s="75" t="s">
        <v>151</v>
      </c>
      <c r="Q6" s="75" t="s">
        <v>108</v>
      </c>
      <c r="R6" s="75" t="s">
        <v>129</v>
      </c>
      <c r="S6" s="75" t="s">
        <v>151</v>
      </c>
      <c r="T6" s="76"/>
      <c r="U6" s="76"/>
    </row>
    <row r="7" spans="1:21" ht="15.6" x14ac:dyDescent="0.25">
      <c r="A7" s="31" t="str">
        <v>San Juaquin - S. Placer &amp; W. Adams</v>
      </c>
      <c r="B7" s="32" t="str">
        <v>CA</v>
      </c>
      <c r="C7" s="12">
        <v>1242936</v>
      </c>
      <c r="D7" s="20">
        <v>1280895.3899999999</v>
      </c>
      <c r="E7" s="20">
        <f t="shared" si="0"/>
        <v>-37959.389999999898</v>
      </c>
      <c r="F7" s="65">
        <f t="shared" si="1"/>
        <v>-2.9635043030328885E-2</v>
      </c>
      <c r="G7" s="22">
        <v>1320586</v>
      </c>
      <c r="H7" s="22">
        <f>IF(AND(ISNUMBER(C7),ISNUMBER(G7)), C7-G7, "")</f>
        <v>-77650</v>
      </c>
      <c r="I7" s="65">
        <f t="shared" si="3"/>
        <v>-5.8799654092955705E-2</v>
      </c>
      <c r="J7" s="11"/>
      <c r="K7" s="19"/>
      <c r="L7" s="76"/>
      <c r="M7" s="76"/>
      <c r="N7" s="76"/>
      <c r="O7" s="76"/>
      <c r="P7" s="76"/>
      <c r="Q7" s="76"/>
      <c r="R7" s="76"/>
      <c r="S7" s="76"/>
      <c r="T7" s="76"/>
      <c r="U7" s="76"/>
    </row>
    <row r="8" spans="1:21" ht="84" customHeight="1" x14ac:dyDescent="0.3">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8" t="s">
        <v>153</v>
      </c>
      <c r="L8" s="76"/>
      <c r="M8" s="76"/>
      <c r="N8" s="76"/>
      <c r="O8" s="76"/>
      <c r="P8" s="76"/>
      <c r="Q8" s="76"/>
      <c r="R8" s="76"/>
      <c r="S8" s="76"/>
      <c r="T8" s="76"/>
      <c r="U8" s="76"/>
    </row>
    <row r="9" spans="1:21" ht="15.6" x14ac:dyDescent="0.25">
      <c r="A9" s="31" t="str">
        <v xml:space="preserve">Amherst - 740 Belchertown Rd </v>
      </c>
      <c r="B9" s="32" t="str">
        <v>MA</v>
      </c>
      <c r="C9" s="42">
        <v>505357</v>
      </c>
      <c r="D9" s="20">
        <v>486693.51447851659</v>
      </c>
      <c r="E9" s="20">
        <f t="shared" si="0"/>
        <v>18663.48552148341</v>
      </c>
      <c r="F9" s="65">
        <f t="shared" si="1"/>
        <v>3.8347512276757992E-2</v>
      </c>
      <c r="G9" s="44">
        <v>561092.00000000023</v>
      </c>
      <c r="H9" s="44">
        <f t="shared" si="2"/>
        <v>-55735.000000000233</v>
      </c>
      <c r="I9" s="65">
        <f t="shared" si="3"/>
        <v>-9.9333086196203485E-2</v>
      </c>
      <c r="J9" s="11"/>
      <c r="K9" s="19"/>
      <c r="L9" s="76"/>
      <c r="M9" s="76"/>
      <c r="N9" s="76"/>
      <c r="O9" s="76"/>
      <c r="P9" s="76"/>
      <c r="Q9" s="76"/>
      <c r="R9" s="76"/>
      <c r="S9" s="76"/>
      <c r="T9" s="76"/>
      <c r="U9" s="76"/>
    </row>
    <row r="10" spans="1:21" ht="15.6" x14ac:dyDescent="0.3">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6"/>
      <c r="M10" s="76"/>
      <c r="N10" s="76"/>
      <c r="O10" s="76"/>
      <c r="P10" s="76"/>
      <c r="Q10" s="76"/>
      <c r="R10" s="76"/>
      <c r="S10" s="76"/>
      <c r="T10" s="76"/>
      <c r="U10" s="76"/>
    </row>
    <row r="11" spans="1:21" ht="123.75" customHeight="1" x14ac:dyDescent="0.25">
      <c r="A11" s="31" t="str">
        <v>Easthampton - Beacon 1 &amp; 2 - 540 Florence Rd</v>
      </c>
      <c r="B11" s="32" t="str">
        <v>MA</v>
      </c>
      <c r="C11" s="42">
        <v>1006010</v>
      </c>
      <c r="D11" s="20">
        <v>1061086.3616215955</v>
      </c>
      <c r="E11" s="20">
        <f t="shared" si="0"/>
        <v>-55076.361621595453</v>
      </c>
      <c r="F11" s="65">
        <f t="shared" si="1"/>
        <v>-5.1905635218443019E-2</v>
      </c>
      <c r="G11" s="44">
        <v>1127006.9999999995</v>
      </c>
      <c r="H11" s="44">
        <f t="shared" si="2"/>
        <v>-120996.99999999953</v>
      </c>
      <c r="I11" s="65">
        <f t="shared" si="3"/>
        <v>-0.10736135622937532</v>
      </c>
      <c r="J11" s="71" t="s">
        <v>154</v>
      </c>
      <c r="K11" s="73" t="s">
        <v>155</v>
      </c>
      <c r="L11" s="75" t="s">
        <v>156</v>
      </c>
      <c r="M11" s="76"/>
      <c r="N11" s="76"/>
      <c r="O11" s="76"/>
      <c r="P11" s="76"/>
      <c r="Q11" s="76"/>
      <c r="R11" s="76"/>
      <c r="S11" s="76"/>
      <c r="T11" s="76"/>
      <c r="U11" s="76"/>
    </row>
    <row r="12" spans="1:21" ht="14.4" x14ac:dyDescent="0.3">
      <c r="A12" s="23"/>
      <c r="B12" s="34"/>
      <c r="C12" s="23"/>
      <c r="D12" s="23"/>
      <c r="E12" s="23"/>
      <c r="F12" s="23"/>
      <c r="G12" s="23"/>
      <c r="H12" s="23"/>
      <c r="I12" s="23"/>
      <c r="J12" s="23"/>
      <c r="K12" s="23"/>
    </row>
    <row r="13" spans="1:21" ht="14.4" x14ac:dyDescent="0.3">
      <c r="A13" s="23"/>
      <c r="B13" s="34"/>
      <c r="C13" s="23"/>
      <c r="D13" s="23"/>
      <c r="E13" s="23"/>
      <c r="F13" s="23"/>
      <c r="G13" s="23"/>
      <c r="H13" s="23"/>
      <c r="I13" s="23"/>
      <c r="J13" s="23"/>
      <c r="K13" s="23"/>
    </row>
    <row r="14" spans="1:21" ht="14.4" x14ac:dyDescent="0.3">
      <c r="A14" s="23"/>
      <c r="B14" s="34"/>
      <c r="C14" s="23"/>
      <c r="D14" s="23"/>
      <c r="E14" s="23"/>
      <c r="F14" s="23"/>
      <c r="G14" s="23"/>
      <c r="H14" s="23"/>
      <c r="I14" s="23"/>
      <c r="J14" s="23"/>
      <c r="K14" s="23"/>
    </row>
    <row r="15" spans="1:21" ht="14.4" x14ac:dyDescent="0.3">
      <c r="A15" s="23"/>
      <c r="B15" s="34"/>
      <c r="C15" s="23"/>
      <c r="D15" s="23"/>
      <c r="E15" s="23"/>
      <c r="F15" s="23"/>
      <c r="G15" s="23"/>
      <c r="H15" s="23"/>
      <c r="I15" s="23"/>
      <c r="J15" s="23"/>
      <c r="K15" s="23"/>
    </row>
    <row r="16" spans="1:2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5" priority="1" stopIfTrue="1" operator="lessThanOrEqual">
      <formula>-0.1</formula>
    </cfRule>
    <cfRule type="expression" dxfId="14"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8" activePane="bottomLeft" state="frozen"/>
      <selection activeCell="H15" sqref="H15"/>
      <selection pane="bottomLeft" activeCell="J6" sqref="J6"/>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8" ht="19.5" customHeight="1" x14ac:dyDescent="0.25">
      <c r="A1" s="90" t="str" cm="1">
        <f t="array" ref="A1">portfolio</f>
        <v>AB CarVal</v>
      </c>
      <c r="B1" s="90"/>
      <c r="C1" s="90"/>
      <c r="D1" s="91" t="s">
        <v>157</v>
      </c>
      <c r="E1" s="91"/>
      <c r="F1" s="91"/>
      <c r="G1" s="89" t="s">
        <v>158</v>
      </c>
      <c r="H1" s="89"/>
      <c r="I1" s="89"/>
      <c r="J1" s="5"/>
      <c r="K1" s="5"/>
    </row>
    <row r="2" spans="1:18" ht="19.5" customHeight="1" x14ac:dyDescent="0.25">
      <c r="A2" s="92" t="s">
        <v>2</v>
      </c>
      <c r="B2" s="92"/>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x14ac:dyDescent="0.25">
      <c r="A3" s="9" t="s">
        <v>3</v>
      </c>
      <c r="B3" s="9" t="s">
        <v>4</v>
      </c>
      <c r="C3" s="25" t="s">
        <v>5</v>
      </c>
      <c r="D3" s="36" t="s">
        <v>6</v>
      </c>
      <c r="E3" s="36" t="s">
        <v>7</v>
      </c>
      <c r="F3" s="37" t="s">
        <v>8</v>
      </c>
      <c r="G3" s="38" t="s">
        <v>9</v>
      </c>
      <c r="H3" s="39" t="s">
        <v>7</v>
      </c>
      <c r="I3" s="40" t="s">
        <v>8</v>
      </c>
      <c r="J3" s="27" t="s">
        <v>20</v>
      </c>
      <c r="K3" s="27" t="s">
        <v>21</v>
      </c>
    </row>
    <row r="4" spans="1:18" ht="43.2" x14ac:dyDescent="0.3">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4" t="s">
        <v>160</v>
      </c>
      <c r="L4" s="75" t="s">
        <v>144</v>
      </c>
      <c r="M4" s="76"/>
      <c r="N4" s="76"/>
      <c r="O4" s="76"/>
      <c r="P4" s="76"/>
      <c r="Q4" s="76"/>
      <c r="R4" s="76"/>
    </row>
    <row r="5" spans="1:18" ht="72" x14ac:dyDescent="0.25">
      <c r="A5" s="31" t="str">
        <v>Bakersfield - 100 Basic School Rd</v>
      </c>
      <c r="B5" s="32" t="str">
        <v>CA</v>
      </c>
      <c r="C5" s="12">
        <v>1559636</v>
      </c>
      <c r="D5" s="20">
        <v>1659526.31</v>
      </c>
      <c r="E5" s="20">
        <f t="shared" ref="E5:E11" si="0">IF(AND(ISNUMBER(C5),ISNUMBER(D5)), C5-D5, "")</f>
        <v>-99890.310000000056</v>
      </c>
      <c r="F5" s="65">
        <f t="shared" ref="F5:F11" si="1">IFERROR(E5/D5, "")</f>
        <v>-6.0192061673309691E-2</v>
      </c>
      <c r="G5" s="22">
        <v>1669196.89</v>
      </c>
      <c r="H5" s="22">
        <f t="shared" ref="H5:H11" si="2">IF(AND(ISNUMBER(C5),ISNUMBER(G5)), C5-G5, "")</f>
        <v>-109560.8899999999</v>
      </c>
      <c r="I5" s="65">
        <f t="shared" ref="I5:I11" si="3">IFERROR(H5/G5, "")</f>
        <v>-6.563688840805347E-2</v>
      </c>
      <c r="J5" s="50" t="s">
        <v>161</v>
      </c>
      <c r="K5" s="73" t="s">
        <v>162</v>
      </c>
      <c r="L5" s="75" t="s">
        <v>163</v>
      </c>
      <c r="M5" s="76"/>
      <c r="N5" s="76"/>
      <c r="O5" s="76"/>
      <c r="P5" s="76"/>
      <c r="Q5" s="76"/>
      <c r="R5" s="76"/>
    </row>
    <row r="6" spans="1:18" ht="115.2" x14ac:dyDescent="0.3">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4" t="s">
        <v>165</v>
      </c>
      <c r="L6" s="75" t="s">
        <v>166</v>
      </c>
      <c r="M6" s="75" t="s">
        <v>167</v>
      </c>
      <c r="N6" s="75" t="s">
        <v>149</v>
      </c>
      <c r="O6" s="76"/>
      <c r="P6" s="76"/>
      <c r="Q6" s="76"/>
      <c r="R6" s="76"/>
    </row>
    <row r="7" spans="1:18" ht="144" x14ac:dyDescent="0.25">
      <c r="A7" s="31" t="str">
        <v>San Juaquin - S. Placer &amp; W. Adams</v>
      </c>
      <c r="B7" s="32" t="str">
        <v>CA</v>
      </c>
      <c r="C7" s="12">
        <v>740140</v>
      </c>
      <c r="D7" s="20">
        <v>1277273</v>
      </c>
      <c r="E7" s="20">
        <f t="shared" si="0"/>
        <v>-537133</v>
      </c>
      <c r="F7" s="65">
        <f t="shared" si="1"/>
        <v>-0.42053108458411004</v>
      </c>
      <c r="G7" s="22">
        <v>1312466.01</v>
      </c>
      <c r="H7" s="22">
        <f t="shared" si="2"/>
        <v>-572326.01</v>
      </c>
      <c r="I7" s="65">
        <f t="shared" si="3"/>
        <v>-0.43606920532745835</v>
      </c>
      <c r="J7" s="50" t="s">
        <v>168</v>
      </c>
      <c r="K7" s="73" t="s">
        <v>169</v>
      </c>
      <c r="L7" s="75" t="s">
        <v>170</v>
      </c>
      <c r="M7" s="75" t="s">
        <v>171</v>
      </c>
      <c r="N7" s="76"/>
      <c r="O7" s="76"/>
      <c r="P7" s="76"/>
      <c r="Q7" s="76"/>
      <c r="R7" s="76"/>
    </row>
    <row r="8" spans="1:18" ht="115.2" x14ac:dyDescent="0.2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4" t="s">
        <v>173</v>
      </c>
      <c r="L8" s="75" t="s">
        <v>174</v>
      </c>
      <c r="M8" s="75" t="s">
        <v>175</v>
      </c>
      <c r="N8" s="75" t="s">
        <v>176</v>
      </c>
      <c r="O8" s="76"/>
      <c r="P8" s="76"/>
      <c r="Q8" s="76"/>
      <c r="R8" s="76"/>
    </row>
    <row r="9" spans="1:18" ht="72" x14ac:dyDescent="0.25">
      <c r="A9" s="31" t="str">
        <v xml:space="preserve">Amherst - 740 Belchertown Rd </v>
      </c>
      <c r="B9" s="32" t="str">
        <v>MA</v>
      </c>
      <c r="C9" s="12">
        <v>552903</v>
      </c>
      <c r="D9" s="20">
        <v>480535.12109999999</v>
      </c>
      <c r="E9" s="20">
        <f t="shared" si="0"/>
        <v>72367.878900000011</v>
      </c>
      <c r="F9" s="65">
        <f t="shared" si="1"/>
        <v>0.15059852177784974</v>
      </c>
      <c r="G9" s="22">
        <v>619548</v>
      </c>
      <c r="H9" s="22">
        <f t="shared" si="2"/>
        <v>-66645</v>
      </c>
      <c r="I9" s="65">
        <f t="shared" si="3"/>
        <v>-0.10757035774467838</v>
      </c>
      <c r="J9" s="50" t="s">
        <v>177</v>
      </c>
      <c r="K9" s="73" t="s">
        <v>178</v>
      </c>
      <c r="L9" s="75" t="s">
        <v>179</v>
      </c>
      <c r="M9" s="76"/>
      <c r="N9" s="76"/>
      <c r="O9" s="76"/>
      <c r="P9" s="76"/>
      <c r="Q9" s="76"/>
      <c r="R9" s="76"/>
    </row>
    <row r="10" spans="1:18" ht="100.8" x14ac:dyDescent="0.3">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4" t="s">
        <v>181</v>
      </c>
      <c r="L10" s="75" t="s">
        <v>182</v>
      </c>
      <c r="M10" s="75" t="s">
        <v>183</v>
      </c>
      <c r="N10" s="76"/>
      <c r="O10" s="76"/>
      <c r="P10" s="76"/>
      <c r="Q10" s="76"/>
      <c r="R10" s="76"/>
    </row>
    <row r="11" spans="1:18" ht="86.4" x14ac:dyDescent="0.25">
      <c r="A11" s="31" t="str">
        <v>Easthampton - Beacon 1 &amp; 2 - 540 Florence Rd</v>
      </c>
      <c r="B11" s="32" t="str">
        <v>MA</v>
      </c>
      <c r="C11" s="12">
        <v>1116288</v>
      </c>
      <c r="D11" s="20">
        <v>1163362.6440000001</v>
      </c>
      <c r="E11" s="20">
        <f t="shared" si="0"/>
        <v>-47074.644000000088</v>
      </c>
      <c r="F11" s="65">
        <f t="shared" si="1"/>
        <v>-4.0464290514042052E-2</v>
      </c>
      <c r="G11" s="22">
        <v>1242165</v>
      </c>
      <c r="H11" s="22">
        <f t="shared" si="2"/>
        <v>-125877</v>
      </c>
      <c r="I11" s="65">
        <f t="shared" si="3"/>
        <v>-0.10133677893033534</v>
      </c>
      <c r="J11" s="50" t="s">
        <v>184</v>
      </c>
      <c r="K11" s="73" t="s">
        <v>185</v>
      </c>
      <c r="L11" s="75" t="s">
        <v>186</v>
      </c>
      <c r="M11" s="76"/>
      <c r="N11" s="76"/>
      <c r="O11" s="76"/>
      <c r="P11" s="76"/>
      <c r="Q11" s="76"/>
      <c r="R11" s="76"/>
    </row>
    <row r="12" spans="1:18" ht="14.4" x14ac:dyDescent="0.3">
      <c r="A12" s="23"/>
      <c r="B12" s="34"/>
      <c r="C12" s="23"/>
      <c r="D12" s="23"/>
      <c r="E12" s="23"/>
      <c r="F12" s="23"/>
      <c r="G12" s="23"/>
      <c r="H12" s="23"/>
      <c r="I12" s="23"/>
      <c r="J12" s="23"/>
      <c r="K12" s="23"/>
    </row>
    <row r="13" spans="1:18" ht="14.4" x14ac:dyDescent="0.3">
      <c r="A13" s="23"/>
      <c r="B13" s="34"/>
      <c r="C13" s="23"/>
      <c r="D13" s="23"/>
      <c r="E13" s="23"/>
      <c r="F13" s="23"/>
      <c r="G13" s="23"/>
      <c r="H13" s="23"/>
      <c r="I13" s="23"/>
      <c r="J13" s="23"/>
      <c r="K13" s="23"/>
    </row>
    <row r="14" spans="1:18" ht="14.4" x14ac:dyDescent="0.3">
      <c r="A14" s="23"/>
      <c r="B14" s="34"/>
      <c r="C14" s="23"/>
      <c r="D14" s="23"/>
      <c r="E14" s="23"/>
      <c r="F14" s="23"/>
      <c r="G14" s="23"/>
      <c r="H14" s="23"/>
      <c r="I14" s="23"/>
      <c r="J14" s="23"/>
      <c r="K14" s="23"/>
    </row>
    <row r="15" spans="1:18" ht="14.4" x14ac:dyDescent="0.3">
      <c r="A15" s="23"/>
      <c r="B15" s="34"/>
      <c r="C15" s="23"/>
      <c r="D15" s="23"/>
      <c r="E15" s="23"/>
      <c r="F15" s="23"/>
      <c r="G15" s="23"/>
      <c r="H15" s="23"/>
      <c r="I15" s="23"/>
      <c r="J15" s="23"/>
      <c r="K15" s="23"/>
    </row>
    <row r="16" spans="1:18"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3" priority="1" stopIfTrue="1" operator="lessThanOrEqual">
      <formula>-0.1</formula>
    </cfRule>
    <cfRule type="expression" dxfId="12"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zoomScale="70" zoomScaleNormal="70" workbookViewId="0">
      <pane ySplit="2" topLeftCell="A3" activePane="bottomLeft" state="frozen"/>
      <selection activeCell="H15" sqref="H15"/>
      <selection pane="bottomLeft" activeCell="K6" sqref="K6"/>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8" ht="19.5" customHeight="1" x14ac:dyDescent="0.25">
      <c r="A1" s="90" t="str" cm="1">
        <f t="array" ref="A1">portfolio</f>
        <v>AB CarVal</v>
      </c>
      <c r="B1" s="90"/>
      <c r="C1" s="90"/>
      <c r="D1" s="91" t="s">
        <v>187</v>
      </c>
      <c r="E1" s="91"/>
      <c r="F1" s="91"/>
      <c r="G1" s="89" t="s">
        <v>188</v>
      </c>
      <c r="H1" s="89"/>
      <c r="I1" s="89"/>
      <c r="J1" s="5"/>
      <c r="K1" s="5"/>
    </row>
    <row r="2" spans="1:18" ht="19.5" customHeight="1" x14ac:dyDescent="0.25">
      <c r="A2" s="92" t="s">
        <v>2</v>
      </c>
      <c r="B2" s="92"/>
      <c r="C2" s="6">
        <f>SUM(C4:C30)</f>
        <v>9282557.818</v>
      </c>
      <c r="D2" s="6">
        <f>SUM(D4:D30)</f>
        <v>9843754.7855000012</v>
      </c>
      <c r="E2" s="6">
        <f>C2-D2</f>
        <v>-561196.96750000119</v>
      </c>
      <c r="F2" s="7">
        <f>IFERROR(E2/D2, 0)</f>
        <v>-5.7010457871893842E-2</v>
      </c>
      <c r="G2" s="6">
        <f>SUM(G4:G30)</f>
        <v>9849421.9400000013</v>
      </c>
      <c r="H2" s="8">
        <f>C2-G2</f>
        <v>-566864.12200000137</v>
      </c>
      <c r="I2" s="7">
        <f>IFERROR(H2/G2, 0)</f>
        <v>-5.7553034630172549E-2</v>
      </c>
      <c r="J2" s="28" t="str">
        <f ca="1">IF(AND(TODAY()&gt;DATE(2024, 8, 1), COUNTA(Sites[Site])&lt;&gt;(COUNT(C:C)-1)), "Some sites are missing actual data; if new sites were added, make sure they are aligned correctly (including prior months!)", "")</f>
        <v/>
      </c>
      <c r="K2" s="5"/>
    </row>
    <row r="3" spans="1:18" ht="14.25" customHeight="1" x14ac:dyDescent="0.25">
      <c r="A3" s="9" t="s">
        <v>3</v>
      </c>
      <c r="B3" s="9" t="s">
        <v>4</v>
      </c>
      <c r="C3" s="25" t="s">
        <v>5</v>
      </c>
      <c r="D3" s="36" t="s">
        <v>6</v>
      </c>
      <c r="E3" s="36" t="s">
        <v>7</v>
      </c>
      <c r="F3" s="37" t="s">
        <v>8</v>
      </c>
      <c r="G3" s="38" t="s">
        <v>9</v>
      </c>
      <c r="H3" s="39" t="s">
        <v>7</v>
      </c>
      <c r="I3" s="40" t="s">
        <v>8</v>
      </c>
      <c r="J3" s="27" t="s">
        <v>20</v>
      </c>
      <c r="K3" s="27" t="s">
        <v>21</v>
      </c>
      <c r="L3" s="76"/>
      <c r="M3" s="76"/>
      <c r="N3" s="76"/>
      <c r="O3" s="76"/>
      <c r="P3" s="76"/>
      <c r="Q3" s="76"/>
      <c r="R3" s="76"/>
    </row>
    <row r="4" spans="1:18" ht="28.8" x14ac:dyDescent="0.25">
      <c r="A4" s="52" t="str" cm="1">
        <f t="array" ref="A4:A11">Sites[Site]</f>
        <v>MA: Fairhaven - 279 Mill Rd</v>
      </c>
      <c r="B4" s="30" t="str" cm="1">
        <f t="array" ref="B4:B11">Sites[State]</f>
        <v>MA</v>
      </c>
      <c r="C4" s="26">
        <v>447547</v>
      </c>
      <c r="D4" s="14">
        <v>440217.34830000001</v>
      </c>
      <c r="E4" s="14">
        <f>IF(AND(ISNUMBER(C4),ISNUMBER(D4)), C4-D4, "")</f>
        <v>7329.6516999999876</v>
      </c>
      <c r="F4" s="15">
        <f>IFERROR(E4/D4, "")</f>
        <v>1.6650074624058125E-2</v>
      </c>
      <c r="G4" s="16">
        <v>401728.6</v>
      </c>
      <c r="H4" s="16">
        <f>IF(AND(ISNUMBER(C4),ISNUMBER(G4)), C4-G4, "")</f>
        <v>45818.400000000023</v>
      </c>
      <c r="I4" s="17">
        <f>IFERROR(H4/G4, "")</f>
        <v>0.11405311944432144</v>
      </c>
      <c r="J4" s="18" t="s">
        <v>189</v>
      </c>
      <c r="K4" s="74" t="s">
        <v>190</v>
      </c>
      <c r="L4" s="76"/>
      <c r="M4" s="76"/>
      <c r="N4" s="76"/>
      <c r="O4" s="76"/>
      <c r="P4" s="76"/>
      <c r="Q4" s="76"/>
      <c r="R4" s="76"/>
    </row>
    <row r="5" spans="1:18" ht="57.6" x14ac:dyDescent="0.25">
      <c r="A5" s="31" t="str">
        <v>Bakersfield - 100 Basic School Rd</v>
      </c>
      <c r="B5" s="32" t="str">
        <v>CA</v>
      </c>
      <c r="C5" s="12">
        <v>1345437.5109999999</v>
      </c>
      <c r="D5" s="20">
        <v>1492316.35</v>
      </c>
      <c r="E5" s="20">
        <f t="shared" ref="E5:E11" si="0">IF(AND(ISNUMBER(C5),ISNUMBER(D5)), C5-D5, "")</f>
        <v>-146878.83900000015</v>
      </c>
      <c r="F5" s="65">
        <f t="shared" ref="F5:F11" si="1">IFERROR(E5/D5, "")</f>
        <v>-9.842339327046852E-2</v>
      </c>
      <c r="G5" s="22">
        <v>1548927.35</v>
      </c>
      <c r="H5" s="22">
        <f t="shared" ref="H5:H11" si="2">IF(AND(ISNUMBER(C5),ISNUMBER(G5)), C5-G5, "")</f>
        <v>-203489.83900000015</v>
      </c>
      <c r="I5" s="65">
        <f t="shared" ref="I5:I11" si="3">IFERROR(H5/G5, "")</f>
        <v>-0.13137468261503688</v>
      </c>
      <c r="J5" s="50" t="s">
        <v>191</v>
      </c>
      <c r="K5" s="73" t="s">
        <v>192</v>
      </c>
      <c r="L5" s="75" t="s">
        <v>193</v>
      </c>
      <c r="M5" s="76"/>
      <c r="N5" s="76"/>
      <c r="O5" s="76"/>
      <c r="P5" s="76"/>
      <c r="Q5" s="76"/>
      <c r="R5" s="76"/>
    </row>
    <row r="6" spans="1:18" ht="172.8" x14ac:dyDescent="0.3">
      <c r="A6" s="33" t="str">
        <v>Fresno - 2685 Cornelia Ave</v>
      </c>
      <c r="B6" s="30" t="str">
        <v>CA</v>
      </c>
      <c r="C6" s="26">
        <v>2947204</v>
      </c>
      <c r="D6" s="14">
        <v>3380580.95</v>
      </c>
      <c r="E6" s="14">
        <f t="shared" si="0"/>
        <v>-433376.95000000019</v>
      </c>
      <c r="F6" s="15">
        <f t="shared" si="1"/>
        <v>-0.12819599838305903</v>
      </c>
      <c r="G6" s="16">
        <v>3274476.71</v>
      </c>
      <c r="H6" s="16">
        <f t="shared" si="2"/>
        <v>-327272.70999999996</v>
      </c>
      <c r="I6" s="17">
        <f t="shared" si="3"/>
        <v>-9.9946568256397819E-2</v>
      </c>
      <c r="J6" s="18" t="s">
        <v>194</v>
      </c>
      <c r="K6" s="74" t="s">
        <v>195</v>
      </c>
      <c r="L6" s="75" t="s">
        <v>196</v>
      </c>
      <c r="M6" s="75" t="s">
        <v>197</v>
      </c>
      <c r="N6" s="75" t="s">
        <v>198</v>
      </c>
      <c r="O6" s="75" t="s">
        <v>80</v>
      </c>
      <c r="P6" s="75" t="s">
        <v>199</v>
      </c>
      <c r="Q6" s="76"/>
      <c r="R6" s="76"/>
    </row>
    <row r="7" spans="1:18" ht="15.6" x14ac:dyDescent="0.25">
      <c r="A7" s="31" t="str">
        <v>San Juaquin - S. Placer &amp; W. Adams</v>
      </c>
      <c r="B7" s="32" t="str">
        <v>CA</v>
      </c>
      <c r="C7" s="12">
        <v>1099899</v>
      </c>
      <c r="D7" s="20">
        <v>1122941.1100000001</v>
      </c>
      <c r="E7" s="20">
        <f t="shared" si="0"/>
        <v>-23042.110000000102</v>
      </c>
      <c r="F7" s="65">
        <f t="shared" si="1"/>
        <v>-2.051942866353882E-2</v>
      </c>
      <c r="G7" s="22">
        <v>1193145.8799999999</v>
      </c>
      <c r="H7" s="22">
        <f t="shared" si="2"/>
        <v>-93246.879999999888</v>
      </c>
      <c r="I7" s="65">
        <f t="shared" si="3"/>
        <v>-7.81521200073204E-2</v>
      </c>
      <c r="J7" s="11"/>
      <c r="K7" s="19"/>
      <c r="L7" s="76"/>
      <c r="M7" s="76"/>
      <c r="N7" s="76"/>
      <c r="O7" s="76"/>
      <c r="P7" s="76"/>
      <c r="Q7" s="76"/>
      <c r="R7" s="76"/>
    </row>
    <row r="8" spans="1:18" ht="100.8" x14ac:dyDescent="0.3">
      <c r="A8" s="33" t="str">
        <v xml:space="preserve">Charlemont - 0 Tea St </v>
      </c>
      <c r="B8" s="30" t="str">
        <v>MA</v>
      </c>
      <c r="C8" s="26">
        <v>439866</v>
      </c>
      <c r="D8" s="14">
        <v>508374.51299999998</v>
      </c>
      <c r="E8" s="14">
        <f t="shared" si="0"/>
        <v>-68508.512999999977</v>
      </c>
      <c r="F8" s="15">
        <f t="shared" si="1"/>
        <v>-0.13475992845455645</v>
      </c>
      <c r="G8" s="16">
        <v>480907.4</v>
      </c>
      <c r="H8" s="16">
        <f t="shared" si="2"/>
        <v>-41041.400000000023</v>
      </c>
      <c r="I8" s="17">
        <f t="shared" si="3"/>
        <v>-8.5341585511056847E-2</v>
      </c>
      <c r="J8" s="18" t="s">
        <v>200</v>
      </c>
      <c r="K8" s="74" t="s">
        <v>201</v>
      </c>
      <c r="L8" s="75" t="s">
        <v>202</v>
      </c>
      <c r="M8" s="75" t="s">
        <v>203</v>
      </c>
      <c r="N8" s="75" t="s">
        <v>204</v>
      </c>
      <c r="O8" s="76"/>
      <c r="P8" s="76"/>
      <c r="Q8" s="76"/>
      <c r="R8" s="76"/>
    </row>
    <row r="9" spans="1:18" ht="15.6" x14ac:dyDescent="0.25">
      <c r="A9" s="31" t="str">
        <v xml:space="preserve">Amherst - 740 Belchertown Rd </v>
      </c>
      <c r="B9" s="32" t="str">
        <v>MA</v>
      </c>
      <c r="C9" s="12">
        <v>561050</v>
      </c>
      <c r="D9" s="20">
        <v>550179.52320000005</v>
      </c>
      <c r="E9" s="20">
        <f t="shared" si="0"/>
        <v>10870.476799999946</v>
      </c>
      <c r="F9" s="65">
        <f t="shared" si="1"/>
        <v>1.9758054128903548E-2</v>
      </c>
      <c r="G9" s="22">
        <v>577264</v>
      </c>
      <c r="H9" s="22">
        <f t="shared" si="2"/>
        <v>-16214</v>
      </c>
      <c r="I9" s="65">
        <f t="shared" si="3"/>
        <v>-2.8087668726960283E-2</v>
      </c>
      <c r="J9" s="50" t="s">
        <v>205</v>
      </c>
      <c r="K9" s="73" t="s">
        <v>206</v>
      </c>
      <c r="L9" s="76"/>
      <c r="M9" s="76"/>
      <c r="N9" s="76"/>
      <c r="O9" s="76"/>
      <c r="P9" s="76"/>
      <c r="Q9" s="76"/>
      <c r="R9" s="76"/>
    </row>
    <row r="10" spans="1:18" ht="15.6" x14ac:dyDescent="0.3">
      <c r="A10" s="33" t="str">
        <v xml:space="preserve"> Ludlow - Huxley 1 &amp; 2 - 504 Fuller St </v>
      </c>
      <c r="B10" s="30" t="str">
        <v>MA</v>
      </c>
      <c r="C10" s="26">
        <v>1307316.307</v>
      </c>
      <c r="D10" s="14">
        <v>1212685.578</v>
      </c>
      <c r="E10" s="14">
        <f t="shared" si="0"/>
        <v>94630.72900000005</v>
      </c>
      <c r="F10" s="15">
        <f t="shared" si="1"/>
        <v>7.8034018641557595E-2</v>
      </c>
      <c r="G10" s="16">
        <v>1281513</v>
      </c>
      <c r="H10" s="16">
        <f t="shared" si="2"/>
        <v>25803.30700000003</v>
      </c>
      <c r="I10" s="17">
        <f t="shared" si="3"/>
        <v>2.0135033355104498E-2</v>
      </c>
      <c r="J10" s="18" t="s">
        <v>207</v>
      </c>
      <c r="K10" s="74" t="s">
        <v>208</v>
      </c>
      <c r="L10" s="76"/>
      <c r="M10" s="76"/>
      <c r="N10" s="76"/>
      <c r="O10" s="76"/>
      <c r="P10" s="76"/>
      <c r="Q10" s="76"/>
      <c r="R10" s="76"/>
    </row>
    <row r="11" spans="1:18" ht="15.6" x14ac:dyDescent="0.25">
      <c r="A11" s="31" t="str">
        <v>Easthampton - Beacon 1 &amp; 2 - 540 Florence Rd</v>
      </c>
      <c r="B11" s="32" t="str">
        <v>MA</v>
      </c>
      <c r="C11" s="12">
        <v>1134238</v>
      </c>
      <c r="D11" s="20">
        <v>1136459.4129999999</v>
      </c>
      <c r="E11" s="20">
        <f t="shared" si="0"/>
        <v>-2221.4129999999423</v>
      </c>
      <c r="F11" s="65">
        <f t="shared" si="1"/>
        <v>-1.9546786929556122E-3</v>
      </c>
      <c r="G11" s="22">
        <v>1091459</v>
      </c>
      <c r="H11" s="22">
        <f t="shared" si="2"/>
        <v>42779</v>
      </c>
      <c r="I11" s="65">
        <f t="shared" si="3"/>
        <v>3.9194326126771595E-2</v>
      </c>
      <c r="J11" s="11"/>
      <c r="K11" s="19"/>
    </row>
    <row r="12" spans="1:18" ht="14.4" x14ac:dyDescent="0.3">
      <c r="A12" s="23"/>
      <c r="B12" s="34"/>
      <c r="C12" s="23"/>
      <c r="D12" s="23"/>
      <c r="E12" s="23"/>
      <c r="F12" s="24"/>
      <c r="G12" s="23"/>
      <c r="H12" s="23"/>
      <c r="I12" s="24"/>
      <c r="J12" s="23"/>
      <c r="K12" s="23"/>
    </row>
    <row r="13" spans="1:18" ht="14.4" x14ac:dyDescent="0.3">
      <c r="A13" s="23"/>
      <c r="B13" s="34"/>
      <c r="C13" s="23"/>
      <c r="D13" s="23"/>
      <c r="E13" s="23"/>
      <c r="F13" s="24"/>
      <c r="G13" s="23"/>
      <c r="H13" s="23"/>
      <c r="I13" s="24"/>
      <c r="J13" s="23"/>
      <c r="K13" s="23"/>
    </row>
    <row r="14" spans="1:18" ht="14.4" x14ac:dyDescent="0.3">
      <c r="A14" s="23"/>
      <c r="B14" s="34"/>
      <c r="C14" s="23"/>
      <c r="D14" s="23"/>
      <c r="E14" s="23"/>
      <c r="F14" s="24"/>
      <c r="G14" s="23"/>
      <c r="H14" s="23"/>
      <c r="I14" s="24"/>
      <c r="J14" s="23"/>
      <c r="K14" s="23"/>
    </row>
    <row r="15" spans="1:18" ht="14.4" x14ac:dyDescent="0.3">
      <c r="A15" s="23"/>
      <c r="B15" s="34"/>
      <c r="C15" s="23"/>
      <c r="D15" s="23"/>
      <c r="E15" s="23"/>
      <c r="F15" s="24"/>
      <c r="G15" s="23"/>
      <c r="H15" s="23"/>
      <c r="I15" s="24"/>
      <c r="J15" s="23"/>
      <c r="K15" s="23"/>
    </row>
    <row r="16" spans="1:18" ht="14.4" x14ac:dyDescent="0.3">
      <c r="A16" s="23"/>
      <c r="B16" s="34"/>
      <c r="C16" s="23"/>
      <c r="D16" s="23"/>
      <c r="E16" s="23"/>
      <c r="F16" s="24"/>
      <c r="G16" s="23"/>
      <c r="H16" s="23"/>
      <c r="I16" s="24"/>
      <c r="J16" s="23"/>
      <c r="K16" s="23"/>
    </row>
    <row r="17" spans="1:11" ht="14.4" x14ac:dyDescent="0.3">
      <c r="A17" s="23"/>
      <c r="B17" s="34"/>
      <c r="C17" s="23"/>
      <c r="D17" s="23"/>
      <c r="E17" s="23"/>
      <c r="F17" s="24"/>
      <c r="G17" s="23"/>
      <c r="H17" s="23"/>
      <c r="I17" s="24"/>
      <c r="J17" s="23"/>
      <c r="K17" s="23"/>
    </row>
    <row r="18" spans="1:11" ht="14.4" x14ac:dyDescent="0.3">
      <c r="A18" s="23"/>
      <c r="B18" s="34"/>
      <c r="C18" s="23"/>
      <c r="D18" s="23"/>
      <c r="E18" s="23"/>
      <c r="F18" s="24"/>
      <c r="G18" s="23"/>
      <c r="H18" s="23"/>
      <c r="I18" s="24"/>
      <c r="J18" s="23"/>
      <c r="K18" s="23"/>
    </row>
    <row r="19" spans="1:11" ht="14.4" x14ac:dyDescent="0.3">
      <c r="A19" s="23"/>
      <c r="B19" s="34"/>
      <c r="C19" s="23"/>
      <c r="D19" s="23"/>
      <c r="E19" s="23"/>
      <c r="F19" s="24"/>
      <c r="G19" s="23"/>
      <c r="H19" s="23"/>
      <c r="I19" s="24"/>
      <c r="J19" s="23"/>
      <c r="K19" s="23"/>
    </row>
    <row r="20" spans="1:11" ht="14.4" x14ac:dyDescent="0.3">
      <c r="A20" s="23"/>
      <c r="B20" s="34"/>
      <c r="C20" s="23"/>
      <c r="D20" s="23"/>
      <c r="E20" s="23"/>
      <c r="F20" s="24"/>
      <c r="G20" s="23"/>
      <c r="H20" s="23"/>
      <c r="I20" s="24"/>
      <c r="J20" s="23"/>
      <c r="K20" s="23"/>
    </row>
    <row r="21" spans="1:11" ht="14.4" x14ac:dyDescent="0.3">
      <c r="A21" s="23"/>
      <c r="B21" s="34"/>
      <c r="C21" s="23"/>
      <c r="D21" s="23"/>
      <c r="E21" s="23"/>
      <c r="F21" s="24"/>
      <c r="G21" s="23"/>
      <c r="H21" s="23"/>
      <c r="I21" s="24"/>
      <c r="J21" s="23"/>
      <c r="K21" s="23"/>
    </row>
    <row r="22" spans="1:11" ht="14.4" x14ac:dyDescent="0.3">
      <c r="A22" s="23"/>
      <c r="B22" s="34"/>
      <c r="C22" s="23"/>
      <c r="D22" s="23"/>
      <c r="E22" s="23"/>
      <c r="F22" s="24"/>
      <c r="G22" s="23"/>
      <c r="H22" s="23"/>
      <c r="I22" s="24"/>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30 I4:I30">
    <cfRule type="cellIs" dxfId="9" priority="1" stopIfTrue="1" operator="lessThanOrEqual">
      <formula>-0.1</formula>
    </cfRule>
    <cfRule type="expression" dxfId="8" priority="2">
      <formula>AND(ISNUMBER(F4), F4&gt;=0.1)</formula>
    </cfRule>
  </conditionalFormatting>
  <hyperlinks>
    <hyperlink ref="K4" r:id="rId1" display="https://us3.assetplanner.com/service_request?ID=103448" xr:uid="{ED087DFB-C16C-499B-A915-6F0F3723F765}"/>
    <hyperlink ref="K5" r:id="rId2" display="https://us3.assetplanner.com/service_request?ID=104291" xr:uid="{17E22DB0-18E5-4AAB-A0A7-C4C46573F848}"/>
    <hyperlink ref="L5" r:id="rId3" display="https://us3.assetplanner.com/service_request?ID=106840" xr:uid="{31322237-9BE7-460C-AC38-D253154A9801}"/>
    <hyperlink ref="K6" r:id="rId4" display="https://us3.assetplanner.com/service_request?ID=105726" xr:uid="{C2FE0A26-7AE1-4B6E-A8C1-7D4A3BDA7D59}"/>
    <hyperlink ref="L6" r:id="rId5" display="https://us3.assetplanner.com/service_request?ID=105880" xr:uid="{58154A91-BE00-4E4F-A920-ED2E1D724C15}"/>
    <hyperlink ref="M6" r:id="rId6" display="https://us3.assetplanner.com/service_request?ID=106361" xr:uid="{175F9F03-73EF-40F0-BF61-1BC2B3AB931B}"/>
    <hyperlink ref="N6" r:id="rId7" display="https://us3.assetplanner.com/service_request?ID=107086" xr:uid="{A2411E56-FE7D-4DC6-8493-3EEDDEE7387E}"/>
    <hyperlink ref="O6" r:id="rId8" display="https://us3.assetplanner.com/service_request?ID=095240" xr:uid="{FA739781-94FB-4CF9-8B5B-EA0DD79EDFE7}"/>
    <hyperlink ref="P6" r:id="rId9" display="https://us3.assetplanner.com/service_request?ID=107235" xr:uid="{E35E2567-9BD0-409C-BC83-4F73240F35B4}"/>
    <hyperlink ref="K8" r:id="rId10" display="https://us3.assetplanner.com/service_request?ID=105523" xr:uid="{C1F5E3C0-6013-48E0-907C-44EE353B0243}"/>
    <hyperlink ref="L8" r:id="rId11" display="https://us3.assetplanner.com/service_request?ID=106036" xr:uid="{B68404C3-6468-4524-B911-5E1C6A6978A4}"/>
    <hyperlink ref="M8" r:id="rId12" display="https://us3.assetplanner.com/service_request?ID=107069" xr:uid="{CD9C40D5-2C8F-4927-BCBC-316887A1AEC5}"/>
    <hyperlink ref="N8" r:id="rId13" display="https://us3.assetplanner.com/service_request?ID=107172" xr:uid="{73061034-5034-4680-92B2-A1CA193B87AD}"/>
    <hyperlink ref="K9" r:id="rId14" display="https://us3.assetplanner.com/service_request?ID=106018" xr:uid="{51B3FC89-7216-44C8-951D-FE04A1B8BCCC}"/>
    <hyperlink ref="K10" r:id="rId15" display="https://us3.assetplanner.com/service_request?ID=105736" xr:uid="{6F55248B-A3AB-46DA-B208-0990BE61BDD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U332"/>
  <sheetViews>
    <sheetView tabSelected="1" topLeftCell="H1" zoomScale="80" zoomScaleNormal="80" workbookViewId="0">
      <pane ySplit="2" topLeftCell="A3" activePane="bottomLeft" state="frozen"/>
      <selection activeCell="H15" sqref="H15"/>
      <selection pane="bottomLeft" activeCell="P6" sqref="P6"/>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21" width="8.88671875" style="76"/>
  </cols>
  <sheetData>
    <row r="1" spans="1:21" ht="19.5" customHeight="1" x14ac:dyDescent="0.25">
      <c r="A1" s="90" t="str" cm="1">
        <f t="array" ref="A1">portfolio</f>
        <v>AB CarVal</v>
      </c>
      <c r="B1" s="90"/>
      <c r="C1" s="90"/>
      <c r="D1" s="91" t="s">
        <v>209</v>
      </c>
      <c r="E1" s="91"/>
      <c r="F1" s="91"/>
      <c r="G1" s="89" t="s">
        <v>210</v>
      </c>
      <c r="H1" s="89"/>
      <c r="I1" s="89"/>
      <c r="J1" s="5"/>
      <c r="K1" s="5"/>
    </row>
    <row r="2" spans="1:21" ht="19.5" customHeight="1" x14ac:dyDescent="0.25">
      <c r="A2" s="92" t="s">
        <v>2</v>
      </c>
      <c r="B2" s="92"/>
      <c r="C2" s="6">
        <f>SUM(C4:C90)</f>
        <v>6723854.4885816704</v>
      </c>
      <c r="D2" s="6">
        <f>SUM(D4:D90)</f>
        <v>7758200.8387000002</v>
      </c>
      <c r="E2" s="6">
        <f>C2-D2</f>
        <v>-1034346.3501183297</v>
      </c>
      <c r="F2" s="7">
        <f>IFERROR(E2/D2, 0)</f>
        <v>-0.1333229664484491</v>
      </c>
      <c r="G2" s="6">
        <f>SUM(G4:G90)</f>
        <v>8334417.7000000002</v>
      </c>
      <c r="H2" s="8">
        <f>C2-G2</f>
        <v>-1610563.2114183297</v>
      </c>
      <c r="I2" s="7">
        <f>IFERROR(H2/G2, 0)</f>
        <v>-0.19324243989095119</v>
      </c>
      <c r="J2" s="28" t="str">
        <f ca="1">IF(AND(TODAY()&gt;DATE(2024, 9, 1), COUNTA(Sites[Site])&lt;&gt;(COUNT(C:C)-1)), "Some sites are missing actual data; if new sites were added, make sure they are aligned correctly (including prior months!)", "")</f>
        <v/>
      </c>
      <c r="K2" s="5"/>
    </row>
    <row r="3" spans="1:21" ht="14.25" customHeight="1" x14ac:dyDescent="0.25">
      <c r="A3" s="9" t="s">
        <v>3</v>
      </c>
      <c r="B3" s="9" t="s">
        <v>4</v>
      </c>
      <c r="C3" s="25" t="s">
        <v>5</v>
      </c>
      <c r="D3" s="36" t="s">
        <v>6</v>
      </c>
      <c r="E3" s="36" t="s">
        <v>7</v>
      </c>
      <c r="F3" s="37" t="s">
        <v>8</v>
      </c>
      <c r="G3" s="38" t="s">
        <v>9</v>
      </c>
      <c r="H3" s="39" t="s">
        <v>7</v>
      </c>
      <c r="I3" s="40" t="s">
        <v>8</v>
      </c>
      <c r="J3" s="27" t="s">
        <v>20</v>
      </c>
      <c r="K3" s="27" t="s">
        <v>21</v>
      </c>
    </row>
    <row r="4" spans="1:21" ht="56.25" customHeight="1" x14ac:dyDescent="0.25">
      <c r="A4" s="52" t="str" cm="1">
        <f t="array" ref="A4:A11">Sites[Site]</f>
        <v>MA: Fairhaven - 279 Mill Rd</v>
      </c>
      <c r="B4" s="30" t="str" cm="1">
        <f t="array" ref="B4:B11">Sites[State]</f>
        <v>MA</v>
      </c>
      <c r="C4" s="26">
        <v>341483</v>
      </c>
      <c r="D4" s="14">
        <v>332266.89510000002</v>
      </c>
      <c r="E4" s="14">
        <f>IF(AND(ISNUMBER(C4),ISNUMBER(D4)), C4-D4, "")</f>
        <v>9216.1048999999766</v>
      </c>
      <c r="F4" s="15">
        <f>IFERROR(E4/D4, "")</f>
        <v>2.7737054265446068E-2</v>
      </c>
      <c r="G4" s="16">
        <v>340974.3</v>
      </c>
      <c r="H4" s="16">
        <f>IF(AND(ISNUMBER(C4),ISNUMBER(G4)), C4-G4, "")</f>
        <v>508.70000000001164</v>
      </c>
      <c r="I4" s="17">
        <f>IFERROR(H4/G4, "")</f>
        <v>1.4919012957868428E-3</v>
      </c>
      <c r="J4" s="18"/>
      <c r="K4" s="18"/>
    </row>
    <row r="5" spans="1:21" ht="72" x14ac:dyDescent="0.25">
      <c r="A5" s="31" t="str">
        <v>Bakersfield - 100 Basic School Rd</v>
      </c>
      <c r="B5" s="32" t="str">
        <v>CA</v>
      </c>
      <c r="C5" s="12">
        <v>1039170.48858167</v>
      </c>
      <c r="D5" s="20">
        <v>1207869</v>
      </c>
      <c r="E5" s="20">
        <f t="shared" ref="E5:E11" si="0">IF(AND(ISNUMBER(C5),ISNUMBER(D5)), C5-D5, "")</f>
        <v>-168698.51141833002</v>
      </c>
      <c r="F5" s="21">
        <f t="shared" ref="F5:F11" si="1">IFERROR(E5/D5, "")</f>
        <v>-0.13966623153531552</v>
      </c>
      <c r="G5" s="22">
        <v>1336687</v>
      </c>
      <c r="H5" s="22">
        <f t="shared" ref="H5:H11" si="2">IF(AND(ISNUMBER(C5),ISNUMBER(G5)), C5-G5, "")</f>
        <v>-297516.51141833002</v>
      </c>
      <c r="I5" s="21">
        <f t="shared" ref="I5:I11" si="3">IFERROR(H5/G5, "")</f>
        <v>-0.22257754539269853</v>
      </c>
      <c r="J5" s="50" t="s">
        <v>211</v>
      </c>
      <c r="K5" s="73" t="s">
        <v>212</v>
      </c>
      <c r="L5" s="75" t="s">
        <v>193</v>
      </c>
      <c r="M5" s="75" t="s">
        <v>249</v>
      </c>
    </row>
    <row r="6" spans="1:21" ht="259.2" x14ac:dyDescent="0.3">
      <c r="A6" s="33" t="str">
        <v>Fresno - 2685 Cornelia Ave</v>
      </c>
      <c r="B6" s="30" t="str">
        <v>CA</v>
      </c>
      <c r="C6" s="26">
        <v>1667188</v>
      </c>
      <c r="D6" s="14">
        <v>2699378</v>
      </c>
      <c r="E6" s="14">
        <f t="shared" si="0"/>
        <v>-1032190</v>
      </c>
      <c r="F6" s="15">
        <f t="shared" si="1"/>
        <v>-0.38238068177187484</v>
      </c>
      <c r="G6" s="16">
        <v>2812419</v>
      </c>
      <c r="H6" s="16">
        <f t="shared" si="2"/>
        <v>-1145231</v>
      </c>
      <c r="I6" s="17">
        <f t="shared" si="3"/>
        <v>-0.40720497194763655</v>
      </c>
      <c r="J6" s="18" t="s">
        <v>213</v>
      </c>
      <c r="K6" s="74" t="s">
        <v>214</v>
      </c>
      <c r="L6" s="75" t="s">
        <v>250</v>
      </c>
      <c r="M6" s="75" t="s">
        <v>251</v>
      </c>
      <c r="N6" s="75" t="s">
        <v>197</v>
      </c>
      <c r="O6" s="75" t="s">
        <v>252</v>
      </c>
      <c r="P6" s="75" t="s">
        <v>198</v>
      </c>
      <c r="Q6" s="75" t="s">
        <v>251</v>
      </c>
      <c r="R6" s="75" t="s">
        <v>80</v>
      </c>
      <c r="S6" s="75" t="s">
        <v>199</v>
      </c>
      <c r="T6" s="75" t="s">
        <v>253</v>
      </c>
      <c r="U6" s="75" t="s">
        <v>254</v>
      </c>
    </row>
    <row r="7" spans="1:21" ht="15.6" x14ac:dyDescent="0.25">
      <c r="A7" s="31" t="str">
        <v>San Juaquin - S. Placer &amp; W. Adams</v>
      </c>
      <c r="B7" s="32" t="str">
        <v>CA</v>
      </c>
      <c r="C7" s="12">
        <v>937702</v>
      </c>
      <c r="D7" s="20">
        <v>936026.7</v>
      </c>
      <c r="E7" s="20">
        <f t="shared" si="0"/>
        <v>1675.3000000000466</v>
      </c>
      <c r="F7" s="21">
        <f t="shared" si="1"/>
        <v>1.7897993721760785E-3</v>
      </c>
      <c r="G7" s="22">
        <v>1009669</v>
      </c>
      <c r="H7" s="22">
        <f t="shared" si="2"/>
        <v>-71967</v>
      </c>
      <c r="I7" s="21">
        <f t="shared" si="3"/>
        <v>-7.1277814808615503E-2</v>
      </c>
      <c r="J7" s="11"/>
      <c r="K7" s="19"/>
    </row>
    <row r="8" spans="1:21" ht="15.6" x14ac:dyDescent="0.3">
      <c r="A8" s="33" t="str">
        <v xml:space="preserve">Charlemont - 0 Tea St </v>
      </c>
      <c r="B8" s="30" t="str">
        <v>MA</v>
      </c>
      <c r="C8" s="26">
        <v>439378</v>
      </c>
      <c r="D8" s="14">
        <v>436339.91889999999</v>
      </c>
      <c r="E8" s="14">
        <f t="shared" si="0"/>
        <v>3038.0811000000103</v>
      </c>
      <c r="F8" s="15">
        <f t="shared" si="1"/>
        <v>6.962647624950114E-3</v>
      </c>
      <c r="G8" s="16">
        <v>415518.4</v>
      </c>
      <c r="H8" s="16">
        <f t="shared" si="2"/>
        <v>23859.599999999977</v>
      </c>
      <c r="I8" s="66">
        <f t="shared" si="3"/>
        <v>5.7421283870942842E-2</v>
      </c>
      <c r="J8" s="18"/>
      <c r="K8" s="18"/>
    </row>
    <row r="9" spans="1:21" ht="15.6" x14ac:dyDescent="0.25">
      <c r="A9" s="31" t="str">
        <v xml:space="preserve">Amherst - 740 Belchertown Rd </v>
      </c>
      <c r="B9" s="32" t="str">
        <v>MA</v>
      </c>
      <c r="C9" s="12">
        <v>460566</v>
      </c>
      <c r="D9" s="20">
        <v>460992.16639999999</v>
      </c>
      <c r="E9" s="20">
        <f t="shared" si="0"/>
        <v>-426.16639999998733</v>
      </c>
      <c r="F9" s="21">
        <f t="shared" si="1"/>
        <v>-9.2445475446583931E-4</v>
      </c>
      <c r="G9" s="22">
        <v>495914</v>
      </c>
      <c r="H9" s="22">
        <f t="shared" si="2"/>
        <v>-35348</v>
      </c>
      <c r="I9" s="21">
        <f t="shared" si="3"/>
        <v>-7.1278487802320559E-2</v>
      </c>
      <c r="J9" s="71"/>
      <c r="K9" s="50"/>
    </row>
    <row r="10" spans="1:21" ht="15.6" x14ac:dyDescent="0.3">
      <c r="A10" s="33" t="str">
        <v xml:space="preserve"> Ludlow - Huxley 1 &amp; 2 - 504 Fuller St </v>
      </c>
      <c r="B10" s="30" t="str">
        <v>MA</v>
      </c>
      <c r="C10" s="26">
        <v>1038900</v>
      </c>
      <c r="D10" s="14">
        <v>997456.22439999995</v>
      </c>
      <c r="E10" s="14">
        <f t="shared" si="0"/>
        <v>41443.775600000052</v>
      </c>
      <c r="F10" s="15">
        <f t="shared" si="1"/>
        <v>4.1549468123204841E-2</v>
      </c>
      <c r="G10" s="16">
        <v>1048902</v>
      </c>
      <c r="H10" s="16">
        <f t="shared" si="2"/>
        <v>-10002</v>
      </c>
      <c r="I10" s="66">
        <f t="shared" si="3"/>
        <v>-9.5356858886721536E-3</v>
      </c>
      <c r="J10" s="18"/>
      <c r="K10" s="18"/>
    </row>
    <row r="11" spans="1:21" ht="187.2" x14ac:dyDescent="0.25">
      <c r="A11" s="31" t="str">
        <v>Easthampton - Beacon 1 &amp; 2 - 540 Florence Rd</v>
      </c>
      <c r="B11" s="32" t="str">
        <v>MA</v>
      </c>
      <c r="C11" s="12">
        <v>799467</v>
      </c>
      <c r="D11" s="20">
        <v>687871.93389999995</v>
      </c>
      <c r="E11" s="20">
        <f t="shared" si="0"/>
        <v>111595.06610000005</v>
      </c>
      <c r="F11" s="21">
        <f t="shared" si="1"/>
        <v>0.16223232930480821</v>
      </c>
      <c r="G11" s="22">
        <v>874334</v>
      </c>
      <c r="H11" s="22">
        <f t="shared" si="2"/>
        <v>-74867</v>
      </c>
      <c r="I11" s="21">
        <f t="shared" si="3"/>
        <v>-8.5627460444178086E-2</v>
      </c>
      <c r="J11" s="50" t="s">
        <v>215</v>
      </c>
      <c r="K11" s="73" t="s">
        <v>216</v>
      </c>
      <c r="L11" s="75" t="s">
        <v>255</v>
      </c>
      <c r="M11" s="75" t="s">
        <v>256</v>
      </c>
      <c r="N11" s="75" t="s">
        <v>257</v>
      </c>
      <c r="O11" s="75" t="s">
        <v>258</v>
      </c>
    </row>
    <row r="12" spans="1:21" ht="14.4" x14ac:dyDescent="0.3">
      <c r="A12" s="23"/>
      <c r="B12" s="34"/>
      <c r="C12" s="23"/>
      <c r="D12" s="23"/>
      <c r="E12" s="23"/>
      <c r="F12" s="23"/>
      <c r="G12" s="23"/>
      <c r="H12" s="23"/>
      <c r="I12" s="23"/>
      <c r="J12" s="23"/>
      <c r="K12" s="23"/>
    </row>
    <row r="13" spans="1:21" ht="14.4" x14ac:dyDescent="0.3">
      <c r="A13" s="23"/>
      <c r="B13" s="34"/>
      <c r="C13" s="23"/>
      <c r="D13" s="23"/>
      <c r="E13" s="23"/>
      <c r="F13" s="23"/>
      <c r="G13" s="23"/>
      <c r="H13" s="23"/>
      <c r="I13" s="23"/>
      <c r="J13" s="23"/>
      <c r="K13" s="23"/>
    </row>
    <row r="14" spans="1:21" ht="14.4" x14ac:dyDescent="0.3">
      <c r="A14" s="23"/>
      <c r="B14" s="34"/>
      <c r="C14" s="23"/>
      <c r="D14" s="23"/>
      <c r="E14" s="23"/>
      <c r="F14" s="23"/>
      <c r="G14" s="23"/>
      <c r="H14" s="23"/>
      <c r="I14" s="23"/>
      <c r="J14" s="23"/>
      <c r="K14" s="23"/>
    </row>
    <row r="15" spans="1:21" ht="14.4" x14ac:dyDescent="0.3">
      <c r="A15" s="23"/>
      <c r="B15" s="34"/>
      <c r="C15" s="23"/>
      <c r="D15" s="23"/>
      <c r="E15" s="23"/>
      <c r="F15" s="23"/>
      <c r="G15" s="23"/>
      <c r="H15" s="23"/>
      <c r="I15" s="23"/>
      <c r="J15" s="23"/>
      <c r="K15" s="23"/>
    </row>
    <row r="16" spans="1:2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7" priority="1" stopIfTrue="1" operator="lessThanOrEqual">
      <formula>-0.1</formula>
    </cfRule>
    <cfRule type="expression" dxfId="6" priority="2">
      <formula>AND(ISNUMBER(F2), F2&gt;=0.1)</formula>
    </cfRule>
  </conditionalFormatting>
  <hyperlinks>
    <hyperlink ref="K5" r:id="rId1" display="https://us3.assetplanner.com/service_request?ID=104291" xr:uid="{54A15E50-732C-4515-BABA-D486C737487B}"/>
    <hyperlink ref="L5" r:id="rId2" display="https://us3.assetplanner.com/service_request?ID=106840" xr:uid="{E1244B16-4AC7-466D-A337-44926754BC00}"/>
    <hyperlink ref="M5" r:id="rId3" display="https://us3.assetplanner.com/service_request?ID=108325" xr:uid="{88E64260-AAA0-40C0-9956-40801DA5F436}"/>
    <hyperlink ref="K6" r:id="rId4" display="https://us3.assetplanner.com/service_request?ID=105880" xr:uid="{3668EA82-06AB-4BD6-9899-E824CE45C7F7}"/>
    <hyperlink ref="L6" r:id="rId5" display="https://us3.assetplanner.com/service_request?ID=107769" xr:uid="{D70DDD85-D2CE-4AAA-8796-AB7941C1B431}"/>
    <hyperlink ref="M6" r:id="rId6" display="https://us3.assetplanner.com/service_request?ID=107393" xr:uid="{0F94A098-1178-4F99-A24F-01015CB4E22B}"/>
    <hyperlink ref="N6" r:id="rId7" display="https://us3.assetplanner.com/service_request?ID=106361" xr:uid="{406086A5-8D97-470E-9AF4-90FD9990F136}"/>
    <hyperlink ref="O6" r:id="rId8" display="https://us3.assetplanner.com/service_request?ID=107812" xr:uid="{ABEA623E-3687-45A9-8BCE-CF161A92A4B5}"/>
    <hyperlink ref="P6" r:id="rId9" display="https://us3.assetplanner.com/service_request?ID=107086" xr:uid="{70363718-1C5F-4F85-A25D-335357C2D8E4}"/>
    <hyperlink ref="Q6" r:id="rId10" display="https://us3.assetplanner.com/service_request?ID=107393" xr:uid="{60A2B2E1-2E4F-4BD7-89FA-D8A7DA61C31B}"/>
    <hyperlink ref="R6" r:id="rId11" display="https://us3.assetplanner.com/service_request?ID=095240" xr:uid="{D329F5E4-17C7-4A99-AD57-1CB160C41C85}"/>
    <hyperlink ref="S6" r:id="rId12" display="https://us3.assetplanner.com/service_request?ID=107235" xr:uid="{E9C8A214-4CC5-4B78-A4C1-3B5C823AD5AA}"/>
    <hyperlink ref="T6" r:id="rId13" display="https://us3.assetplanner.com/service_request?ID=108482" xr:uid="{3E113CD5-0953-4825-8F93-21A7476BF904}"/>
    <hyperlink ref="U6" r:id="rId14" display="https://us3.assetplanner.com/service_request?ID=108565" xr:uid="{EA4D9F21-641C-41F6-8017-57F0672822A1}"/>
    <hyperlink ref="K11" r:id="rId15" display="https://us3.assetplanner.com/service_request?ID=107419" xr:uid="{AA3B50AA-25B9-4F2A-A8BD-277DE834CB66}"/>
    <hyperlink ref="L11" r:id="rId16" display="https://us3.assetplanner.com/service_request?ID=107724" xr:uid="{1A430506-88B7-471E-9FFD-75B3B89F1EEC}"/>
    <hyperlink ref="M11" r:id="rId17" display="https://us3.assetplanner.com/service_request?ID=107768" xr:uid="{B34CEA81-710D-4A19-8FE6-9AF75E50223E}"/>
    <hyperlink ref="N11" r:id="rId18" display="https://us3.assetplanner.com/service_request?ID=107897" xr:uid="{AEC997B4-5736-4130-874F-DA76549A8CA3}"/>
    <hyperlink ref="O11" r:id="rId19" display="https://us3.assetplanner.com/service_request?ID=106821" xr:uid="{F64810AA-349C-4384-971F-74FA5F46C722}"/>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activeCell="H15" sqref="H15"/>
      <selection pane="bottomLeft" activeCell="H15" sqref="H15"/>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90" t="str" cm="1">
        <f t="array" ref="A1">portfolio</f>
        <v>AB CarVal</v>
      </c>
      <c r="B1" s="90"/>
      <c r="C1" s="90"/>
      <c r="D1" s="91" t="s">
        <v>217</v>
      </c>
      <c r="E1" s="91"/>
      <c r="F1" s="91"/>
      <c r="G1" s="89" t="s">
        <v>218</v>
      </c>
      <c r="H1" s="89"/>
      <c r="I1" s="89"/>
      <c r="J1" s="5"/>
      <c r="K1" s="5"/>
    </row>
    <row r="2" spans="1:11" ht="19.5" customHeight="1" x14ac:dyDescent="0.25">
      <c r="A2" s="92" t="s">
        <v>2</v>
      </c>
      <c r="B2" s="9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80.25" customHeight="1" x14ac:dyDescent="0.25">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x14ac:dyDescent="0.25">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x14ac:dyDescent="0.25">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x14ac:dyDescent="0.25">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x14ac:dyDescent="0.25">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x14ac:dyDescent="0.3">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x14ac:dyDescent="0.25">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x14ac:dyDescent="0.25">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5" priority="1" stopIfTrue="1" operator="lessThanOrEqual">
      <formula>-0.1</formula>
    </cfRule>
    <cfRule type="expression" dxfId="4"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activeCell="H15" sqref="H15"/>
      <selection pane="bottomLeft" activeCell="H15" sqref="H15"/>
    </sheetView>
  </sheetViews>
  <sheetFormatPr defaultRowHeight="13.8" x14ac:dyDescent="0.25"/>
  <cols>
    <col min="1" max="1" width="45.88671875" customWidth="1"/>
    <col min="2" max="2" width="8.44140625" style="35" customWidth="1"/>
    <col min="3" max="3" width="17.5546875" customWidth="1"/>
    <col min="4" max="5" width="13.33203125" customWidth="1"/>
    <col min="6" max="6" width="13.33203125" style="1" customWidth="1"/>
    <col min="7" max="8" width="13.33203125" customWidth="1"/>
    <col min="9" max="9" width="13.33203125" style="1" customWidth="1"/>
    <col min="10" max="10" width="71.5546875" customWidth="1"/>
    <col min="11" max="11" width="25.109375" customWidth="1"/>
  </cols>
  <sheetData>
    <row r="1" spans="1:11" ht="19.5" customHeight="1" x14ac:dyDescent="0.25">
      <c r="A1" s="90" t="str" cm="1">
        <f t="array" ref="A1">portfolio</f>
        <v>AB CarVal</v>
      </c>
      <c r="B1" s="90"/>
      <c r="C1" s="90"/>
      <c r="D1" s="94" t="s">
        <v>219</v>
      </c>
      <c r="E1" s="94"/>
      <c r="F1" s="94"/>
      <c r="G1" s="93" t="s">
        <v>220</v>
      </c>
      <c r="H1" s="93"/>
      <c r="I1" s="93"/>
      <c r="J1" s="5"/>
      <c r="K1" s="5"/>
    </row>
    <row r="2" spans="1:11" ht="19.5" customHeight="1" x14ac:dyDescent="0.25">
      <c r="A2" s="95" t="s">
        <v>2</v>
      </c>
      <c r="B2" s="95"/>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x14ac:dyDescent="0.3">
      <c r="A3" s="54" t="s">
        <v>3</v>
      </c>
      <c r="B3" s="54" t="s">
        <v>4</v>
      </c>
      <c r="C3" s="58" t="s">
        <v>5</v>
      </c>
      <c r="D3" s="59" t="s">
        <v>6</v>
      </c>
      <c r="E3" s="59" t="s">
        <v>7</v>
      </c>
      <c r="F3" s="60" t="s">
        <v>8</v>
      </c>
      <c r="G3" s="61" t="s">
        <v>9</v>
      </c>
      <c r="H3" s="62" t="s">
        <v>7</v>
      </c>
      <c r="I3" s="63" t="s">
        <v>8</v>
      </c>
      <c r="J3" s="27" t="s">
        <v>20</v>
      </c>
      <c r="K3" s="27" t="s">
        <v>21</v>
      </c>
    </row>
    <row r="4" spans="1:11" s="68" customFormat="1" ht="14.4" x14ac:dyDescent="0.2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 x14ac:dyDescent="0.2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x14ac:dyDescent="0.25">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 x14ac:dyDescent="0.2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x14ac:dyDescent="0.25">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 x14ac:dyDescent="0.2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 x14ac:dyDescent="0.2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 x14ac:dyDescent="0.2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x14ac:dyDescent="0.35">
      <c r="A12" s="64"/>
      <c r="B12" s="64"/>
      <c r="C12" s="64"/>
      <c r="D12" s="64"/>
      <c r="E12" s="64"/>
      <c r="F12" s="64"/>
      <c r="G12" s="64"/>
      <c r="H12" s="64"/>
      <c r="I12" s="64"/>
      <c r="J12" s="64"/>
      <c r="K12" s="64"/>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3" priority="1" stopIfTrue="1" operator="lessThanOrEqual">
      <formula>-0.1</formula>
    </cfRule>
    <cfRule type="expression" dxfId="2"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15" activePane="bottomLeft" state="frozen"/>
      <selection activeCell="H15" sqref="H15"/>
      <selection pane="bottomLeft" activeCell="H15" sqref="H15"/>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90" t="str" cm="1">
        <f t="array" ref="A1">portfolio</f>
        <v>AB CarVal</v>
      </c>
      <c r="B1" s="90"/>
      <c r="C1" s="90"/>
      <c r="D1" s="91" t="s">
        <v>221</v>
      </c>
      <c r="E1" s="91"/>
      <c r="F1" s="91"/>
      <c r="G1" s="89" t="s">
        <v>222</v>
      </c>
      <c r="H1" s="89"/>
      <c r="I1" s="89"/>
      <c r="J1" s="5"/>
      <c r="K1" s="5"/>
    </row>
    <row r="2" spans="1:11" ht="19.5" customHeight="1" x14ac:dyDescent="0.25">
      <c r="A2" s="92" t="s">
        <v>2</v>
      </c>
      <c r="B2" s="9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x14ac:dyDescent="0.25">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x14ac:dyDescent="0.3">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x14ac:dyDescent="0.25">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x14ac:dyDescent="0.3">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x14ac:dyDescent="0.25">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x14ac:dyDescent="0.3">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x14ac:dyDescent="0.25">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 priority="1" stopIfTrue="1" operator="lessThanOrEqual">
      <formula>-0.1</formula>
    </cfRule>
    <cfRule type="expression" dxfId="0"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activeCell="A16" sqref="A16:XFD24"/>
      <selection pane="bottomLeft" activeCell="B16" sqref="B16"/>
    </sheetView>
  </sheetViews>
  <sheetFormatPr defaultRowHeight="12.75" customHeight="1" x14ac:dyDescent="0.25"/>
  <cols>
    <col min="1" max="2" width="41.88671875" customWidth="1"/>
    <col min="4" max="4" width="9.109375" customWidth="1"/>
    <col min="5" max="5" width="18.33203125" customWidth="1"/>
    <col min="6" max="14" width="9.109375" customWidth="1"/>
  </cols>
  <sheetData>
    <row r="1" spans="1:7" ht="12.75" customHeight="1" x14ac:dyDescent="0.25">
      <c r="A1" t="s">
        <v>223</v>
      </c>
      <c r="B1" t="s">
        <v>224</v>
      </c>
    </row>
    <row r="3" spans="1:7" ht="13.2" x14ac:dyDescent="0.25">
      <c r="A3" t="s">
        <v>225</v>
      </c>
      <c r="B3" t="s">
        <v>3</v>
      </c>
      <c r="C3" t="s">
        <v>4</v>
      </c>
      <c r="D3" t="s">
        <v>226</v>
      </c>
      <c r="E3" s="2" t="s">
        <v>227</v>
      </c>
    </row>
    <row r="4" spans="1:7" ht="14.4" x14ac:dyDescent="0.3">
      <c r="A4" t="s">
        <v>228</v>
      </c>
      <c r="B4" t="s">
        <v>229</v>
      </c>
      <c r="C4" s="4" t="s">
        <v>230</v>
      </c>
      <c r="E4" t="s">
        <v>231</v>
      </c>
      <c r="G4" s="3"/>
    </row>
    <row r="5" spans="1:7" ht="12.75" customHeight="1" x14ac:dyDescent="0.25">
      <c r="A5" s="4" t="s">
        <v>232</v>
      </c>
      <c r="B5" s="4" t="s">
        <v>233</v>
      </c>
      <c r="C5" s="4" t="s">
        <v>234</v>
      </c>
      <c r="D5" t="s">
        <v>235</v>
      </c>
      <c r="E5" t="s">
        <v>236</v>
      </c>
    </row>
    <row r="6" spans="1:7" ht="12.75" customHeight="1" x14ac:dyDescent="0.25">
      <c r="A6" s="4" t="s">
        <v>237</v>
      </c>
      <c r="B6" s="4" t="s">
        <v>238</v>
      </c>
      <c r="C6" s="4" t="s">
        <v>234</v>
      </c>
      <c r="D6" t="s">
        <v>235</v>
      </c>
      <c r="E6" t="s">
        <v>236</v>
      </c>
    </row>
    <row r="7" spans="1:7" ht="12.75" customHeight="1" x14ac:dyDescent="0.25">
      <c r="A7" s="4" t="s">
        <v>239</v>
      </c>
      <c r="B7" s="4" t="s">
        <v>240</v>
      </c>
      <c r="C7" s="4" t="s">
        <v>234</v>
      </c>
      <c r="D7" t="s">
        <v>235</v>
      </c>
      <c r="E7" t="s">
        <v>236</v>
      </c>
    </row>
    <row r="8" spans="1:7" ht="12.75" customHeight="1" x14ac:dyDescent="0.25">
      <c r="A8" s="4" t="s">
        <v>241</v>
      </c>
      <c r="B8" s="4" t="s">
        <v>242</v>
      </c>
      <c r="C8" s="4" t="s">
        <v>230</v>
      </c>
      <c r="E8" t="s">
        <v>231</v>
      </c>
    </row>
    <row r="9" spans="1:7" ht="12.75" customHeight="1" x14ac:dyDescent="0.25">
      <c r="A9" s="4" t="s">
        <v>243</v>
      </c>
      <c r="B9" s="4" t="s">
        <v>244</v>
      </c>
      <c r="C9" s="4" t="s">
        <v>230</v>
      </c>
      <c r="E9" t="s">
        <v>231</v>
      </c>
    </row>
    <row r="10" spans="1:7" ht="12.75" customHeight="1" x14ac:dyDescent="0.25">
      <c r="A10" s="4" t="s">
        <v>245</v>
      </c>
      <c r="B10" s="4" t="s">
        <v>246</v>
      </c>
      <c r="C10" s="4" t="s">
        <v>230</v>
      </c>
      <c r="E10" t="s">
        <v>231</v>
      </c>
    </row>
    <row r="11" spans="1:7" ht="12.75" customHeight="1" x14ac:dyDescent="0.25">
      <c r="A11" s="4" t="s">
        <v>247</v>
      </c>
      <c r="B11" s="4" t="s">
        <v>248</v>
      </c>
      <c r="C11" s="4" t="s">
        <v>230</v>
      </c>
      <c r="E11" t="s">
        <v>231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2.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3.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4.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5.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6.xml><?xml version="1.0" encoding="utf-8"?>
<ds:datastoreItem xmlns:ds="http://schemas.openxmlformats.org/officeDocument/2006/customXml" ds:itemID="{F2904404-7C54-4514-B8C7-480FD37C1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8.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9.xml><?xml version="1.0" encoding="utf-8"?>
<ds:datastoreItem xmlns:ds="http://schemas.openxmlformats.org/officeDocument/2006/customXml" ds:itemID="{0389C43E-394D-44C0-87DC-4780FCFCFB40}">
  <ds:schemaRefs>
    <ds:schemaRef ds:uri="http://gemini/pivotcustomization/Diagrams"/>
  </ds:schemaRefs>
</ds:datastoreItem>
</file>

<file path=customXml/itemProps10.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11.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2.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3.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4.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5.xml><?xml version="1.0" encoding="utf-8"?>
<ds:datastoreItem xmlns:ds="http://schemas.openxmlformats.org/officeDocument/2006/customXml" ds:itemID="{66B09F59-6532-46F8-924A-9A02417E070D}">
  <ds:schemaRefs>
    <ds:schemaRef ds:uri="http://schemas.microsoft.com/DataMashup"/>
  </ds:schemaRefs>
</ds:datastoreItem>
</file>

<file path=customXml/itemProps16.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7.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18.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9.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20.xml><?xml version="1.0" encoding="utf-8"?>
<ds:datastoreItem xmlns:ds="http://schemas.openxmlformats.org/officeDocument/2006/customXml" ds:itemID="{E3716282-BFD2-4ED2-BA47-BFA1123827F0}">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2025-10-03T07:10:51Z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