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September 2025/"/>
    </mc:Choice>
  </mc:AlternateContent>
  <xr:revisionPtr revIDLastSave="82" documentId="13_ncr:1_{1ACA768F-1EF9-4C15-BEE8-3E80CFB8D0EF}" xr6:coauthVersionLast="47" xr6:coauthVersionMax="47" xr10:uidLastSave="{54F91216-3D47-42F6-A027-9CC6B2AA5391}"/>
  <bookViews>
    <workbookView xWindow="-120" yWindow="-120" windowWidth="29040" windowHeight="15720" tabRatio="87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7" l="1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/>
  <c r="I53" i="27"/>
  <c r="J53" i="27"/>
  <c r="I54" i="27"/>
  <c r="J54" i="27"/>
  <c r="I55" i="27"/>
  <c r="J55" i="27"/>
  <c r="I56" i="27"/>
  <c r="J56" i="27"/>
  <c r="I57" i="27"/>
  <c r="J57" i="27"/>
  <c r="I58" i="27"/>
  <c r="J58" i="27"/>
  <c r="I59" i="27"/>
  <c r="J59" i="27"/>
  <c r="I60" i="27"/>
  <c r="J60" i="27"/>
  <c r="I61" i="27"/>
  <c r="J61" i="27"/>
  <c r="I62" i="27"/>
  <c r="J62" i="27"/>
  <c r="I63" i="27"/>
  <c r="J63" i="27"/>
  <c r="I64" i="27"/>
  <c r="J64" i="27"/>
  <c r="I65" i="27"/>
  <c r="J65" i="27"/>
  <c r="I66" i="27"/>
  <c r="J66" i="27"/>
  <c r="I67" i="27"/>
  <c r="J67" i="27"/>
  <c r="I68" i="27"/>
  <c r="J68" i="27"/>
  <c r="I69" i="27"/>
  <c r="J69" i="27"/>
  <c r="I70" i="27"/>
  <c r="J70" i="27"/>
  <c r="I71" i="27"/>
  <c r="J71" i="27"/>
  <c r="I72" i="27"/>
  <c r="J72" i="27"/>
  <c r="I73" i="27"/>
  <c r="J73" i="27"/>
  <c r="I74" i="27"/>
  <c r="J74" i="27"/>
  <c r="I75" i="27"/>
  <c r="J75" i="27"/>
  <c r="I76" i="27"/>
  <c r="J76" i="27"/>
  <c r="I77" i="27"/>
  <c r="J77" i="27"/>
  <c r="I78" i="27"/>
  <c r="J78" i="27"/>
  <c r="I79" i="27"/>
  <c r="J79" i="27"/>
  <c r="I80" i="27"/>
  <c r="J80" i="27"/>
  <c r="I81" i="27"/>
  <c r="J81" i="27"/>
  <c r="I82" i="27"/>
  <c r="J82" i="27"/>
  <c r="I83" i="27"/>
  <c r="J83" i="27"/>
  <c r="I84" i="27"/>
  <c r="J84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20" i="26"/>
  <c r="I25" i="26"/>
  <c r="F25" i="26"/>
  <c r="H84" i="26"/>
  <c r="I84" i="26" s="1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I83" i="26" s="1"/>
  <c r="F66" i="26"/>
  <c r="F67" i="26"/>
  <c r="F68" i="26"/>
  <c r="F69" i="26"/>
  <c r="F73" i="26"/>
  <c r="F74" i="26"/>
  <c r="F75" i="26"/>
  <c r="F76" i="26"/>
  <c r="F77" i="26"/>
  <c r="F78" i="26"/>
  <c r="F79" i="26"/>
  <c r="F80" i="26"/>
  <c r="F81" i="26"/>
  <c r="F82" i="26"/>
  <c r="E66" i="26"/>
  <c r="E67" i="26"/>
  <c r="E68" i="26"/>
  <c r="E69" i="26"/>
  <c r="E70" i="26"/>
  <c r="F70" i="26" s="1"/>
  <c r="E71" i="26"/>
  <c r="F71" i="26" s="1"/>
  <c r="E72" i="26"/>
  <c r="F72" i="26" s="1"/>
  <c r="E73" i="26"/>
  <c r="E74" i="26"/>
  <c r="E75" i="26"/>
  <c r="E76" i="26"/>
  <c r="E77" i="26"/>
  <c r="E78" i="26"/>
  <c r="E79" i="26"/>
  <c r="E80" i="26"/>
  <c r="E81" i="26"/>
  <c r="E82" i="26"/>
  <c r="E83" i="26"/>
  <c r="F83" i="26" s="1"/>
  <c r="E84" i="26"/>
  <c r="F84" i="26" s="1"/>
  <c r="I5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G23" i="27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<sst xmlns="http://schemas.openxmlformats.org/spreadsheetml/2006/main" count="1597" uniqueCount="564">
  <si>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</si>
  <si>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</si>
  <si>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</si>
  <si>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</si>
  <si>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</si>
  <si>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</si>
  <si>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</si>
  <si>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</si>
  <si>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</si>
  <si>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66 sites from 2024; 81 sites as of September) outperformed vs September 2024 information.</t>
  </si>
  <si>
    <t>17% of the sites (14 of the 81 sites) appear to have inaccurate modeling information. I will be reviewing the PVsyst information, assuming it was made available to O&amp;M.</t>
  </si>
  <si>
    <t>Sites with positive performance (actual vs expected):</t>
  </si>
  <si>
    <t>N Black Canyon Hwy, Phoenix - North</t>
  </si>
  <si>
    <t>AZ: Tucson - RINCON</t>
  </si>
  <si>
    <t>CA: Ventura - BUENAVENTURA</t>
  </si>
  <si>
    <t>NJ: Barnegat - WF</t>
  </si>
  <si>
    <t>Sites with under-performance issues (actual vs. expected):</t>
  </si>
  <si>
    <t>FL:Hialeah Gardens</t>
  </si>
  <si>
    <t>SR098791 - re-power</t>
  </si>
  <si>
    <t>TX: San Antonio - Ops Ctr GM</t>
  </si>
  <si>
    <t>SR108958 - pending return visit</t>
  </si>
  <si>
    <t>NJ: Holmdel - WF</t>
  </si>
  <si>
    <t>SR100979 - pending return visit</t>
  </si>
  <si>
    <t>NJ: Mahwah</t>
  </si>
  <si>
    <t>SR100593 -pending return visit</t>
  </si>
  <si>
    <t>NJ: Middletown</t>
  </si>
  <si>
    <t>SR100592 -pending return visit</t>
  </si>
  <si>
    <t>CA: Sacramento - Arden Fair Mall</t>
  </si>
  <si>
    <t>Nothing mechanical</t>
  </si>
  <si>
    <t xml:space="preserve"> </t>
  </si>
  <si>
    <t>Most common issues seen:</t>
  </si>
  <si>
    <t>Communication issues on equipment (meters, weather stations, etc). - Followed up with AE Support. Will address next time onsite.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</si>
  <si>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</si>
  <si>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</si>
  <si>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</si>
  <si>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</si>
  <si>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</si>
  <si>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</si>
  <si>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</si>
  <si>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</si>
  <si>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</si>
  <si>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</si>
  <si>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</si>
  <si>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</si>
  <si>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</si>
  <si>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</si>
  <si>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</si>
  <si>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</si>
  <si>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</si>
  <si>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</si>
  <si>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</si>
  <si>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</si>
  <si>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</si>
  <si>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</si>
  <si>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</si>
  <si>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</si>
  <si>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</si>
  <si>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</si>
  <si>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</si>
  <si>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</si>
  <si>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</si>
  <si>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</si>
  <si>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</si>
  <si>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</si>
  <si>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</si>
  <si>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</si>
  <si>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</si>
  <si>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</si>
  <si>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</si>
  <si>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</si>
  <si>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</si>
  <si>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</si>
  <si>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</si>
  <si>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</si>
  <si>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</si>
  <si>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</si>
  <si>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</si>
  <si>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</si>
  <si>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</si>
  <si>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</si>
  <si>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</si>
  <si>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</si>
  <si>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</si>
  <si>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</si>
  <si>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</si>
  <si>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</si>
  <si>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</si>
  <si>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</si>
  <si>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</si>
  <si>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</si>
  <si>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</si>
  <si>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</si>
  <si>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</si>
  <si>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</si>
  <si>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</si>
  <si>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</si>
  <si>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</si>
  <si>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</si>
  <si>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</si>
  <si>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</si>
  <si>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</si>
  <si>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</si>
  <si>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</si>
  <si>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</si>
  <si>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</si>
  <si>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</si>
  <si>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</si>
  <si>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</si>
  <si>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</si>
  <si>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</si>
  <si>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</si>
  <si>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</si>
  <si>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</si>
  <si>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</si>
  <si>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</si>
  <si>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</si>
  <si>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</si>
  <si>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</si>
  <si>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</si>
  <si>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</si>
  <si>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</si>
  <si>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</si>
  <si>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</si>
  <si>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</si>
  <si>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</si>
  <si>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</si>
  <si>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</si>
  <si>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</si>
  <si>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</si>
  <si>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</si>
  <si>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</si>
  <si>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</si>
  <si>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</si>
  <si>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</si>
  <si>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</si>
  <si>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</si>
  <si>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</si>
  <si>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</si>
  <si>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</si>
  <si>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</si>
  <si>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</si>
  <si>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</si>
  <si>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</si>
  <si>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</si>
  <si>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</si>
  <si>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</si>
  <si>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</si>
  <si>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</si>
  <si>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</si>
  <si>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</si>
  <si>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</si>
  <si>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</si>
  <si>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</si>
  <si>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</si>
  <si>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</si>
  <si>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</si>
  <si>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</si>
  <si>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</si>
  <si>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</si>
  <si>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</si>
  <si>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</si>
  <si>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</si>
  <si>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</si>
  <si>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</si>
  <si>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</si>
  <si>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</si>
  <si>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</si>
  <si>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</si>
  <si>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</si>
  <si>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</si>
  <si>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</si>
  <si>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</si>
  <si>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</si>
  <si>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</si>
  <si>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</si>
  <si>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</si>
  <si>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</si>
  <si>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</si>
  <si>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</si>
  <si>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</si>
  <si>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</si>
  <si>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</si>
  <si>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</si>
  <si>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</si>
  <si>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</si>
  <si>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</si>
  <si>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</si>
  <si>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</si>
  <si>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</si>
  <si>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</si>
  <si>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</si>
  <si>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</si>
  <si>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</si>
  <si>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</si>
  <si>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</si>
  <si>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</si>
  <si>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</si>
  <si>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</si>
  <si>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</si>
  <si>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</si>
  <si>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</si>
  <si>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</si>
  <si>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</si>
  <si>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</si>
  <si>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</si>
  <si>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</si>
  <si>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</si>
  <si>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</si>
  <si>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</si>
  <si>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</si>
  <si>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</si>
  <si>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</si>
  <si>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</si>
  <si>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</si>
  <si>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</si>
  <si>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</si>
  <si>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</si>
  <si>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</si>
  <si>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</si>
  <si>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</si>
  <si>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</si>
  <si>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</si>
  <si>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</si>
  <si>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</si>
  <si>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</si>
  <si>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</si>
  <si>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</si>
  <si>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</si>
  <si>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</si>
  <si>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</si>
  <si>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</si>
  <si>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</si>
  <si>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</si>
  <si>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</si>
  <si>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</si>
  <si>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</si>
  <si>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</si>
  <si>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</si>
  <si>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</si>
  <si>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</si>
  <si>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</si>
  <si>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</si>
  <si>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</si>
  <si>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</si>
  <si>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</si>
  <si>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</si>
  <si>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</si>
  <si>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</si>
  <si>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</si>
  <si>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</si>
  <si>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</si>
  <si>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</si>
  <si>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1. Meter B and C phase currents are half of A phase current for whole month</t>
  </si>
  <si>
    <t>1.SR105604</t>
  </si>
  <si>
    <t>-</t>
  </si>
  <si>
    <t>1. Site was offline from 07/09 through out the month.</t>
  </si>
  <si>
    <t>1.SR103075</t>
  </si>
  <si>
    <t>+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</si>
  <si>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</si>
  <si>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</si>
  <si>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</si>
  <si>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</si>
  <si>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Forecasted model might be inaccurate.</t>
  </si>
  <si>
    <t xml:space="preserve">1.BOM sensor fell off.  Will repair next time onsite </t>
  </si>
  <si>
    <t>1.SR087054</t>
  </si>
  <si>
    <t>SR087054 stems from the 2024 PM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</si>
  <si>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</si>
  <si>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Still waiting on a response from Wells Fargo dating back to 2023</t>
  </si>
  <si>
    <t>1.Inverter 1 underperforming by 8kW (1 string) from 7/28/25.
2. Inverter 2 tripped offline at 08:45CDT on 07/20</t>
  </si>
  <si>
    <t>1.SR105483
2.SR105331</t>
  </si>
  <si>
    <t>SR105331</t>
  </si>
  <si>
    <t>Up 2% from 2024 weather adj. (expected)</t>
  </si>
  <si>
    <t>1. Inverter 12 appears to be down at least one string, maybe two, when compared with peers</t>
  </si>
  <si>
    <t>1.SR099323</t>
  </si>
  <si>
    <t>Up 9% from 2024 weather adj. (expected)</t>
  </si>
  <si>
    <t>Up 4% from 2024 weather adj. (expected)</t>
  </si>
  <si>
    <t>Up 6% from 2024 weather adj. (expected)</t>
  </si>
  <si>
    <t>Up 3% from 2024 weather adj. (expected); forecasted model might be inaccurate.</t>
  </si>
  <si>
    <t>Weather station issue is negatively impacting the weather adj. (expected)</t>
  </si>
  <si>
    <t>Up 3% from 2024 weather adj. (expected)</t>
  </si>
  <si>
    <t>Up 26% from 2024 weather adj. (expected)</t>
  </si>
  <si>
    <t xml:space="preserve"> Weather station is frequently reporting erroneous values ( 0 w/m^2). Has been happening intermittently since 4/14</t>
  </si>
  <si>
    <t>Weather station issue is positively impacting the weather adj. (expected)</t>
  </si>
  <si>
    <t>NC</t>
  </si>
  <si>
    <t>1. Site was offline frm 07/07 and back online on 07/09 at 16:00</t>
  </si>
  <si>
    <t>1.SR104082</t>
  </si>
  <si>
    <t>1.Production meter phase A volts are offline</t>
  </si>
  <si>
    <t>1.SR075812</t>
  </si>
  <si>
    <t xml:space="preserve">Weather adj. (expected) impacted by Weather station issue. </t>
  </si>
  <si>
    <t>1.Inverter 4 is derating at 40 kW through out the month</t>
  </si>
  <si>
    <t>Up 5% from 2024 weather adj. (expected)</t>
  </si>
  <si>
    <t>Up 3% from 2024 weather adj. (expected). Possible issue with the data used to calculate the expected; inquiry with AE Support.</t>
  </si>
  <si>
    <t>1.Inverter 4 tripped offline at 11:20 cdt on 07/29 and remained the same throughout the month.</t>
  </si>
  <si>
    <t>1.SR105312</t>
  </si>
  <si>
    <t>1.SR101247</t>
  </si>
  <si>
    <t>1.SR104629</t>
  </si>
  <si>
    <t xml:space="preserve">Sites live Jan 2025 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</si>
  <si>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</si>
  <si>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</si>
  <si>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SR104705</t>
  </si>
  <si>
    <t>Used inverter data (meter data requires a data correction)</t>
  </si>
  <si>
    <t>August Actual v. Expected</t>
  </si>
  <si>
    <t>August Actual v. Forecasted</t>
  </si>
  <si>
    <t>1. No communication to the inverters, As per technician visit on 08/08 inverter 3 is offline and inverter 1 is underperforming.</t>
  </si>
  <si>
    <t>1. Site is back online at 10:00 on 08/04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</si>
  <si>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</si>
  <si>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</si>
  <si>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</si>
  <si>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</si>
  <si>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</si>
  <si>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SR098791</t>
  </si>
  <si>
    <t>1.Inverter 1 underperforming by 8kW (2 string) from 7/28/25. Inverter 3 down 1 string from 8/7 (8kW)
2. Inverter 2 tripped offline at 08:45CDT on 07/20</t>
  </si>
  <si>
    <t>1.Inverter 16 is constantly reporting 57.80 kW even in the non - production hours which suggest the communication issue and meter is not capturing the inverter 16 power which concludes inverter is offline.</t>
  </si>
  <si>
    <t>1.SR106886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</si>
  <si>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</si>
  <si>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</si>
  <si>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</si>
  <si>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</si>
  <si>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</si>
  <si>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 Inverter 1 and 7 have morning to afternoon shading</t>
  </si>
  <si>
    <t>1. Inverters 1, 4, and 5 have some afternoon shading. Inverter 5 is underperforming by 3kW; likely soiling.
2.Site stopped communicating at 23:15 on 08/16 and later back online at 08/18 at 09:00</t>
  </si>
  <si>
    <t>1.SR101247
2.SR106393</t>
  </si>
  <si>
    <t>SR106393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</si>
  <si>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</si>
  <si>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</si>
  <si>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</si>
  <si>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</si>
  <si>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</si>
  <si>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</si>
  <si>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</si>
  <si>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</si>
  <si>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</si>
  <si>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</si>
  <si>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</si>
  <si>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</si>
  <si>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 xml:space="preserve">1. No communication to the inverters, As per technician visit on 08/08 inverter 3 is offline and inverter 1 is underperforming. </t>
  </si>
  <si>
    <t>1. Site regained its communication at 10:15 on 09/18.</t>
  </si>
  <si>
    <t>1. Site regained its communication at 15:30 on 09/10.</t>
  </si>
  <si>
    <t>1. SR105437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</si>
  <si>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</si>
  <si>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1.SR107668
2.SR077700</t>
  </si>
  <si>
    <t>1.Inverter 1 underperforming by 8kW (2 string) from 7/28/25. Inverter 3 down 1 string from 8/7 (8kW)
2. Inverter 2 tripped offline at 08:45CDT on 07/20 and remained offline throughout the month</t>
  </si>
  <si>
    <t>1. Site production was low on 09/25 to 09/29  due to cloudy weather and rain.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</si>
  <si>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</si>
  <si>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stopped comms at 12:35 on 09/07 and restored at 14:30 on 09/07, energy backfilled.</t>
  </si>
  <si>
    <t>1. The weather station has been constantly reporting a fixed value of 1237.22 W/m² since 01/09. POA*, the POA sensor, and GHI have all been reporting 0 W/m² since 08/28. This will be investigated during the next site visit.</t>
  </si>
  <si>
    <t>1.Production meter phase A volts are offline.</t>
  </si>
  <si>
    <t>1. SR075812</t>
  </si>
  <si>
    <t>1. SR100593</t>
  </si>
  <si>
    <t>1. The site is producing as expected. When compared with the same month in previous years, there is always a deviation of 10%, which may be related to minor seasonal shading effects.</t>
  </si>
  <si>
    <t>1.Inverter 4 has been derating at 40 kW since 04/13 and was reporting 'External Fan Err - ExtFanerr'. After installing a new fan on 09/25, Inverter 4 is now producing as expected.</t>
  </si>
  <si>
    <t>1. SR106961</t>
  </si>
  <si>
    <t>1. Site was offline at 07:00 on 09/13 and back online at 00:30 on 09/14.
2. Inverter 4 was offline at 07:00 on 09/18 and  reporting Loss of Main - GridV.OutLim.</t>
  </si>
  <si>
    <t>1. SR107931
2. SR108243</t>
  </si>
  <si>
    <t>SR108243</t>
  </si>
  <si>
    <t xml:space="preserve">1. Site was offline at 04:30 on 09/13 and back online at 20:15 on 09/13.
</t>
  </si>
  <si>
    <t>1. SR107930</t>
  </si>
  <si>
    <t xml:space="preserve">1. Site was offline at 06:30 on 09/13 and back online at 20:15 on 09/13.
</t>
  </si>
  <si>
    <t>1. SR107932</t>
  </si>
  <si>
    <t>1. Inverter 4 is down a string since 02/16/25 this issue will be investigate during PM event.</t>
  </si>
  <si>
    <t>1. SR097581</t>
  </si>
  <si>
    <t>1. Inverter 4 underperformed by 6kW since 08/17 may be due to one string down and this issue is occur through out the month.</t>
  </si>
  <si>
    <t>1. SR106526</t>
  </si>
  <si>
    <t>1. Inverter 1 and 7 have morning to afternoon shading.</t>
  </si>
  <si>
    <t>1. Site production was low on 09/19, 09/28 and 09/29 due to cloudy weather.</t>
  </si>
  <si>
    <t xml:space="preserve">1. SR101247
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</si>
  <si>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</si>
  <si>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16 is derating at 33kW in the afternoon starting since 07/18 .
2. Inverter 11  tripped offline at 16:45 on 09/04 and reporting "Insulation Resistance Low - IsolationErr" and tripping on and off through out the month.</t>
  </si>
  <si>
    <t>1. SR104656, SR107171
2. SR107486</t>
  </si>
  <si>
    <t>SR107171</t>
  </si>
  <si>
    <t>SR107486</t>
  </si>
  <si>
    <t>1. Site production was low on 09/26 due to cloudy weather.</t>
  </si>
  <si>
    <t>1.As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</si>
  <si>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SR104705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</si>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</sst>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23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5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left" vertical="top" wrapText="1"/>
    </xf>
    <xf numFmtId="0" fontId="28" fillId="49" borderId="17" xfId="0" applyFont="1" applyFill="1" applyBorder="1"/>
    <xf numFmtId="0" fontId="28" fillId="49" borderId="18" xfId="0" applyFont="1" applyFill="1" applyBorder="1"/>
    <xf numFmtId="0" fontId="34" fillId="46" borderId="17" xfId="0" applyFont="1" applyFill="1" applyBorder="1"/>
    <xf numFmtId="0" fontId="34" fillId="46" borderId="18" xfId="0" applyFont="1" applyFill="1" applyBorder="1"/>
    <xf numFmtId="0" fontId="34" fillId="0" borderId="17" xfId="0" applyFont="1" applyBorder="1"/>
    <xf numFmtId="0" fontId="34" fillId="0" borderId="18" xfId="0" applyFont="1" applyBorder="1"/>
    <xf numFmtId="0" fontId="54" fillId="0" borderId="0" xfId="0" applyFont="1"/>
    <xf numFmtId="0" fontId="23" fillId="0" borderId="0" xfId="0" applyFont="1"/>
    <xf numFmtId="10" fontId="54" fillId="0" borderId="0" xfId="0" applyNumberFormat="1" applyFont="1"/>
    <xf numFmtId="0" fontId="28" fillId="50" borderId="1" xfId="0" applyFont="1" applyFill="1" applyBorder="1" applyAlignment="1">
      <alignment wrapText="1"/>
    </xf>
    <xf numFmtId="0" fontId="23" fillId="51" borderId="14" xfId="0" applyFont="1" applyFill="1" applyBorder="1" applyAlignment="1">
      <alignment wrapText="1"/>
    </xf>
    <xf numFmtId="0" fontId="23" fillId="52" borderId="14" xfId="0" applyFont="1" applyFill="1" applyBorder="1"/>
    <xf numFmtId="0" fontId="23" fillId="52" borderId="14" xfId="0" applyFont="1" applyFill="1" applyBorder="1" applyAlignment="1">
      <alignment wrapText="1"/>
    </xf>
    <xf numFmtId="3" fontId="24" fillId="53" borderId="19" xfId="0" applyNumberFormat="1" applyFont="1" applyFill="1" applyBorder="1"/>
    <xf numFmtId="3" fontId="24" fillId="53" borderId="20" xfId="0" applyNumberFormat="1" applyFont="1" applyFill="1" applyBorder="1"/>
    <xf numFmtId="9" fontId="24" fillId="53" borderId="20" xfId="0" applyNumberFormat="1" applyFont="1" applyFill="1" applyBorder="1"/>
    <xf numFmtId="9" fontId="55" fillId="54" borderId="20" xfId="0" applyNumberFormat="1" applyFont="1" applyFill="1" applyBorder="1"/>
    <xf numFmtId="0" fontId="0" fillId="55" borderId="0" xfId="0" applyFill="1"/>
    <xf numFmtId="9" fontId="30" fillId="0" borderId="0" xfId="2" applyFont="1" applyFill="1" applyAlignment="1">
      <alignment horizontal="center"/>
    </xf>
    <xf numFmtId="0" fontId="0" fillId="56" borderId="0" xfId="0" applyFill="1"/>
    <xf numFmtId="0" fontId="56" fillId="0" borderId="0" xfId="0" applyFont="1" applyAlignment="1">
      <alignment vertical="center"/>
    </xf>
    <xf numFmtId="0" fontId="57" fillId="0" borderId="0" xfId="0" applyFont="1"/>
    <xf numFmtId="0" fontId="33" fillId="0" borderId="21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164" fontId="27" fillId="0" borderId="21" xfId="1" applyNumberFormat="1" applyFont="1" applyFill="1" applyBorder="1" applyAlignment="1">
      <alignment horizontal="center" vertical="center"/>
    </xf>
    <xf numFmtId="3" fontId="29" fillId="0" borderId="21" xfId="0" applyNumberFormat="1" applyFont="1" applyBorder="1" applyAlignment="1">
      <alignment horizontal="right" vertical="center"/>
    </xf>
    <xf numFmtId="9" fontId="29" fillId="0" borderId="21" xfId="2" applyFont="1" applyFill="1" applyBorder="1" applyAlignment="1">
      <alignment horizontal="center" vertical="center"/>
    </xf>
    <xf numFmtId="3" fontId="29" fillId="0" borderId="21" xfId="1" applyNumberFormat="1" applyFont="1" applyFill="1" applyBorder="1" applyAlignment="1">
      <alignment vertical="center"/>
    </xf>
    <xf numFmtId="49" fontId="29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6" fillId="0" borderId="21" xfId="0" applyFont="1" applyBorder="1" applyAlignment="1">
      <alignment horizontal="center" vertical="center"/>
    </xf>
    <xf numFmtId="3" fontId="29" fillId="0" borderId="21" xfId="1" applyNumberFormat="1" applyFont="1" applyFill="1" applyBorder="1" applyAlignment="1">
      <alignment horizontal="right"/>
    </xf>
    <xf numFmtId="49" fontId="27" fillId="0" borderId="21" xfId="0" applyNumberFormat="1" applyFont="1" applyBorder="1" applyAlignment="1">
      <alignment horizontal="left" vertical="center" wrapText="1"/>
    </xf>
    <xf numFmtId="49" fontId="27" fillId="0" borderId="21" xfId="0" applyNumberFormat="1" applyFont="1" applyBorder="1" applyAlignment="1">
      <alignment vertical="top" wrapText="1"/>
    </xf>
    <xf numFmtId="49" fontId="29" fillId="0" borderId="21" xfId="2" applyNumberFormat="1" applyFont="1" applyFill="1" applyBorder="1" applyAlignment="1">
      <alignment horizontal="left" vertical="top" wrapText="1"/>
    </xf>
    <xf numFmtId="49" fontId="42" fillId="0" borderId="21" xfId="47" applyNumberFormat="1" applyFill="1" applyBorder="1" applyAlignment="1">
      <alignment vertical="top" wrapText="1"/>
    </xf>
    <xf numFmtId="0" fontId="26" fillId="55" borderId="21" xfId="0" applyFont="1" applyFill="1" applyBorder="1" applyAlignment="1">
      <alignment horizontal="center" vertical="center"/>
    </xf>
    <xf numFmtId="0" fontId="27" fillId="55" borderId="21" xfId="0" applyFont="1" applyFill="1" applyBorder="1" applyAlignment="1">
      <alignment horizontal="center" vertical="center"/>
    </xf>
    <xf numFmtId="164" fontId="27" fillId="55" borderId="21" xfId="1" applyNumberFormat="1" applyFont="1" applyFill="1" applyBorder="1" applyAlignment="1">
      <alignment horizontal="center" vertical="center"/>
    </xf>
    <xf numFmtId="3" fontId="29" fillId="55" borderId="21" xfId="0" applyNumberFormat="1" applyFont="1" applyFill="1" applyBorder="1" applyAlignment="1">
      <alignment horizontal="right" vertical="center"/>
    </xf>
    <xf numFmtId="9" fontId="29" fillId="55" borderId="21" xfId="2" applyFont="1" applyFill="1" applyBorder="1" applyAlignment="1">
      <alignment horizontal="center" vertical="center"/>
    </xf>
    <xf numFmtId="3" fontId="29" fillId="55" borderId="21" xfId="1" applyNumberFormat="1" applyFont="1" applyFill="1" applyBorder="1" applyAlignment="1">
      <alignment vertical="center"/>
    </xf>
    <xf numFmtId="49" fontId="29" fillId="55" borderId="21" xfId="2" applyNumberFormat="1" applyFont="1" applyFill="1" applyBorder="1" applyAlignment="1">
      <alignment vertical="top" wrapText="1"/>
    </xf>
    <xf numFmtId="49" fontId="42" fillId="55" borderId="21" xfId="47" applyNumberFormat="1" applyFill="1" applyBorder="1" applyAlignment="1">
      <alignment vertical="top" wrapText="1"/>
    </xf>
    <xf numFmtId="0" fontId="42" fillId="0" borderId="21" xfId="47" applyFill="1" applyBorder="1" applyAlignment="1">
      <alignment horizontal="left" vertical="top"/>
    </xf>
    <xf numFmtId="49" fontId="27" fillId="55" borderId="21" xfId="0" applyNumberFormat="1" applyFont="1" applyFill="1" applyBorder="1" applyAlignment="1">
      <alignment vertical="top" wrapText="1"/>
    </xf>
    <xf numFmtId="49" fontId="27" fillId="0" borderId="21" xfId="0" applyNumberFormat="1" applyFont="1" applyBorder="1" applyAlignment="1">
      <alignment horizontal="left" vertical="top" wrapText="1"/>
    </xf>
    <xf numFmtId="49" fontId="42" fillId="0" borderId="21" xfId="47" applyNumberFormat="1" applyFill="1" applyBorder="1" applyAlignment="1">
      <alignment horizontal="left" vertical="top" wrapText="1"/>
    </xf>
    <xf numFmtId="49" fontId="27" fillId="0" borderId="21" xfId="0" applyNumberFormat="1" applyFont="1" applyBorder="1" applyAlignment="1">
      <alignment vertical="center" wrapText="1"/>
    </xf>
    <xf numFmtId="49" fontId="26" fillId="0" borderId="21" xfId="0" applyNumberFormat="1" applyFont="1" applyBorder="1" applyAlignment="1">
      <alignment vertical="center" wrapText="1"/>
    </xf>
    <xf numFmtId="0" fontId="26" fillId="56" borderId="21" xfId="0" applyFont="1" applyFill="1" applyBorder="1" applyAlignment="1">
      <alignment horizontal="center" vertical="center"/>
    </xf>
    <xf numFmtId="0" fontId="27" fillId="56" borderId="21" xfId="0" applyFont="1" applyFill="1" applyBorder="1" applyAlignment="1">
      <alignment horizontal="center" vertical="center"/>
    </xf>
    <xf numFmtId="164" fontId="27" fillId="56" borderId="21" xfId="1" applyNumberFormat="1" applyFont="1" applyFill="1" applyBorder="1" applyAlignment="1">
      <alignment horizontal="center" vertical="center"/>
    </xf>
    <xf numFmtId="3" fontId="29" fillId="56" borderId="21" xfId="0" applyNumberFormat="1" applyFont="1" applyFill="1" applyBorder="1" applyAlignment="1">
      <alignment horizontal="right" vertical="center"/>
    </xf>
    <xf numFmtId="9" fontId="29" fillId="56" borderId="21" xfId="2" applyFont="1" applyFill="1" applyBorder="1" applyAlignment="1">
      <alignment horizontal="center" vertical="center"/>
    </xf>
    <xf numFmtId="3" fontId="29" fillId="56" borderId="21" xfId="1" applyNumberFormat="1" applyFont="1" applyFill="1" applyBorder="1" applyAlignment="1">
      <alignment vertical="center"/>
    </xf>
    <xf numFmtId="49" fontId="27" fillId="56" borderId="21" xfId="0" applyNumberFormat="1" applyFont="1" applyFill="1" applyBorder="1" applyAlignment="1">
      <alignment vertical="center" wrapText="1"/>
    </xf>
    <xf numFmtId="49" fontId="26" fillId="56" borderId="21" xfId="0" applyNumberFormat="1" applyFont="1" applyFill="1" applyBorder="1" applyAlignment="1">
      <alignment vertical="center" wrapText="1"/>
    </xf>
    <xf numFmtId="49" fontId="29" fillId="56" borderId="21" xfId="2" applyNumberFormat="1" applyFont="1" applyFill="1" applyBorder="1" applyAlignment="1">
      <alignment vertical="top" wrapText="1"/>
    </xf>
    <xf numFmtId="49" fontId="42" fillId="56" borderId="21" xfId="47" applyNumberFormat="1" applyFill="1" applyBorder="1" applyAlignment="1">
      <alignment vertical="top" wrapText="1"/>
    </xf>
    <xf numFmtId="0" fontId="28" fillId="43" borderId="11" xfId="0" applyFont="1" applyFill="1" applyBorder="1" applyAlignment="1">
      <alignment horizontal="center" vertical="center" wrapText="1"/>
    </xf>
    <xf numFmtId="0" fontId="23" fillId="41" borderId="11" xfId="0" applyFont="1" applyFill="1" applyBorder="1" applyAlignment="1">
      <alignment horizontal="center" vertical="center" wrapText="1"/>
    </xf>
    <xf numFmtId="9" fontId="23" fillId="41" borderId="11" xfId="2" applyFont="1" applyFill="1" applyBorder="1" applyAlignment="1">
      <alignment horizontal="center" vertical="center" wrapText="1"/>
    </xf>
    <xf numFmtId="0" fontId="23" fillId="42" borderId="11" xfId="0" applyFont="1" applyFill="1" applyBorder="1" applyAlignment="1">
      <alignment horizontal="center"/>
    </xf>
    <xf numFmtId="0" fontId="23" fillId="42" borderId="11" xfId="0" applyFont="1" applyFill="1" applyBorder="1" applyAlignment="1">
      <alignment horizontal="center" vertical="center" wrapText="1"/>
    </xf>
    <xf numFmtId="9" fontId="23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6" fillId="45" borderId="1" xfId="0" applyFont="1" applyFill="1" applyBorder="1" applyAlignment="1">
      <alignment horizontal="left" vertical="top"/>
    </xf>
    <xf numFmtId="0" fontId="53" fillId="0" borderId="0" xfId="0" applyFont="1"/>
    <xf numFmtId="0" fontId="53" fillId="0" borderId="0" xfId="0" applyFont="1" applyAlignment="1">
      <alignment horizontal="left" vertical="center"/>
    </xf>
    <xf numFmtId="0" fontId="56" fillId="0" borderId="0" xfId="0" applyFont="1"/>
    <xf numFmtId="9" fontId="56" fillId="0" borderId="0" xfId="2" applyFont="1" applyAlignment="1">
      <alignment horizontal="center"/>
    </xf>
    <xf numFmtId="9" fontId="53" fillId="0" borderId="0" xfId="2" applyFont="1" applyAlignment="1">
      <alignment horizontal="center"/>
    </xf>
    <xf numFmtId="0" fontId="54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167868</xdr:colOff>
      <xdr:row>19</xdr:row>
      <xdr:rowOff>76201</xdr:rowOff>
    </xdr:from>
    <xdr:to>
      <xdr:col>21</xdr:col>
      <xdr:colOff>324903</xdr:colOff>
      <xdr:row>30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C7352-9E79-8144-D56F-0FFF5C12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4918" y="3752851"/>
          <a:ext cx="6253035" cy="2076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8667" TargetMode="External"/><Relationship Id="rId13" Type="http://schemas.openxmlformats.org/officeDocument/2006/relationships/hyperlink" Target="https://us3.assetplanner.com/service_request?ID=099323" TargetMode="External"/><Relationship Id="rId18" Type="http://schemas.openxmlformats.org/officeDocument/2006/relationships/hyperlink" Target="https://us3.assetplanner.com/service_request?ID=105312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098897" TargetMode="External"/><Relationship Id="rId7" Type="http://schemas.openxmlformats.org/officeDocument/2006/relationships/hyperlink" Target="https://us3.assetplanner.com/service_request?ID=087054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099750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075812" TargetMode="External"/><Relationship Id="rId20" Type="http://schemas.openxmlformats.org/officeDocument/2006/relationships/hyperlink" Target="https://us3.assetplanner.com/service_request?ID=104629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5517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101743" TargetMode="External"/><Relationship Id="rId15" Type="http://schemas.openxmlformats.org/officeDocument/2006/relationships/hyperlink" Target="https://us3.assetplanner.com/service_request?ID=100592" TargetMode="External"/><Relationship Id="rId23" Type="http://schemas.openxmlformats.org/officeDocument/2006/relationships/hyperlink" Target="https://us3.assetplanner.com/service_request?ID=104082" TargetMode="External"/><Relationship Id="rId10" Type="http://schemas.openxmlformats.org/officeDocument/2006/relationships/hyperlink" Target="https://us3.assetplanner.com/service_request?ID=098782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00979" TargetMode="External"/><Relationship Id="rId22" Type="http://schemas.openxmlformats.org/officeDocument/2006/relationships/hyperlink" Target="https://us3.assetplanner.com/service_request?ID=10470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782" TargetMode="External"/><Relationship Id="rId13" Type="http://schemas.openxmlformats.org/officeDocument/2006/relationships/hyperlink" Target="https://us3.assetplanner.com/service_request?ID=100979" TargetMode="External"/><Relationship Id="rId18" Type="http://schemas.openxmlformats.org/officeDocument/2006/relationships/hyperlink" Target="https://us3.assetplanner.com/service_request?ID=106784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104629" TargetMode="External"/><Relationship Id="rId7" Type="http://schemas.openxmlformats.org/officeDocument/2006/relationships/hyperlink" Target="https://us3.assetplanner.com/service_request?ID=077700" TargetMode="External"/><Relationship Id="rId12" Type="http://schemas.openxmlformats.org/officeDocument/2006/relationships/hyperlink" Target="https://us3.assetplanner.com/service_request?ID=106886" TargetMode="External"/><Relationship Id="rId17" Type="http://schemas.openxmlformats.org/officeDocument/2006/relationships/hyperlink" Target="https://us3.assetplanner.com/service_request?ID=106961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100593" TargetMode="External"/><Relationship Id="rId20" Type="http://schemas.openxmlformats.org/officeDocument/2006/relationships/hyperlink" Target="https://us3.assetplanner.com/service_request?ID=106393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5331" TargetMode="External"/><Relationship Id="rId24" Type="http://schemas.openxmlformats.org/officeDocument/2006/relationships/hyperlink" Target="https://us3.assetplanner.com/service_request?ID=105517" TargetMode="External"/><Relationship Id="rId5" Type="http://schemas.openxmlformats.org/officeDocument/2006/relationships/hyperlink" Target="https://us3.assetplanner.com/service_request?ID=105437" TargetMode="External"/><Relationship Id="rId15" Type="http://schemas.openxmlformats.org/officeDocument/2006/relationships/hyperlink" Target="https://us3.assetplanner.com/service_request?ID=075812" TargetMode="External"/><Relationship Id="rId23" Type="http://schemas.openxmlformats.org/officeDocument/2006/relationships/hyperlink" Target="https://us3.assetplanner.com/service_request?ID=104705" TargetMode="External"/><Relationship Id="rId10" Type="http://schemas.openxmlformats.org/officeDocument/2006/relationships/hyperlink" Target="https://us3.assetplanner.com/service_request?ID=105483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98791" TargetMode="External"/><Relationship Id="rId14" Type="http://schemas.openxmlformats.org/officeDocument/2006/relationships/hyperlink" Target="https://us3.assetplanner.com/service_request?ID=100592" TargetMode="External"/><Relationship Id="rId22" Type="http://schemas.openxmlformats.org/officeDocument/2006/relationships/hyperlink" Target="https://us3.assetplanner.com/service_request?ID=10465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5483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107932" TargetMode="External"/><Relationship Id="rId26" Type="http://schemas.openxmlformats.org/officeDocument/2006/relationships/hyperlink" Target="https://us3.assetplanner.com/service_request?ID=104705" TargetMode="External"/><Relationship Id="rId3" Type="http://schemas.openxmlformats.org/officeDocument/2006/relationships/hyperlink" Target="https://us3.assetplanner.com/service_request?ID=105436" TargetMode="External"/><Relationship Id="rId21" Type="http://schemas.openxmlformats.org/officeDocument/2006/relationships/hyperlink" Target="https://us3.assetplanner.com/service_request?ID=101247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075812" TargetMode="External"/><Relationship Id="rId17" Type="http://schemas.openxmlformats.org/officeDocument/2006/relationships/hyperlink" Target="https://us3.assetplanner.com/service_request?ID=107930" TargetMode="External"/><Relationship Id="rId25" Type="http://schemas.openxmlformats.org/officeDocument/2006/relationships/hyperlink" Target="https://us3.assetplanner.com/service_request?ID=107486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108243" TargetMode="External"/><Relationship Id="rId20" Type="http://schemas.openxmlformats.org/officeDocument/2006/relationships/hyperlink" Target="https://us3.assetplanner.com/service_request?ID=106526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100592" TargetMode="External"/><Relationship Id="rId24" Type="http://schemas.openxmlformats.org/officeDocument/2006/relationships/hyperlink" Target="https://us3.assetplanner.com/service_request?ID=107171" TargetMode="External"/><Relationship Id="rId5" Type="http://schemas.openxmlformats.org/officeDocument/2006/relationships/hyperlink" Target="https://us3.assetplanner.com/service_request?ID=107668" TargetMode="External"/><Relationship Id="rId15" Type="http://schemas.openxmlformats.org/officeDocument/2006/relationships/hyperlink" Target="https://us3.assetplanner.com/service_request?ID=107931" TargetMode="External"/><Relationship Id="rId23" Type="http://schemas.openxmlformats.org/officeDocument/2006/relationships/hyperlink" Target="https://us3.assetplanner.com/service_request?ID=104656" TargetMode="External"/><Relationship Id="rId10" Type="http://schemas.openxmlformats.org/officeDocument/2006/relationships/hyperlink" Target="https://us3.assetplanner.com/service_request?ID=100979" TargetMode="External"/><Relationship Id="rId19" Type="http://schemas.openxmlformats.org/officeDocument/2006/relationships/hyperlink" Target="https://us3.assetplanner.com/service_request?ID=097581" TargetMode="External"/><Relationship Id="rId4" Type="http://schemas.openxmlformats.org/officeDocument/2006/relationships/hyperlink" Target="https://us3.assetplanner.com/service_request?ID=105437" TargetMode="External"/><Relationship Id="rId9" Type="http://schemas.openxmlformats.org/officeDocument/2006/relationships/hyperlink" Target="https://us3.assetplanner.com/service_request?ID=105331" TargetMode="External"/><Relationship Id="rId14" Type="http://schemas.openxmlformats.org/officeDocument/2006/relationships/hyperlink" Target="https://us3.assetplanner.com/service_request?ID=106961" TargetMode="External"/><Relationship Id="rId22" Type="http://schemas.openxmlformats.org/officeDocument/2006/relationships/hyperlink" Target="https://us3.assetplanner.com/service_request?ID=10462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tabSelected="1" workbookViewId="0">
      <pane xSplit="1" ySplit="3" topLeftCell="B4" activePane="bottomRight" state="frozen"/>
      <selection pane="bottomRight" activeCell="H31" sqref="H31"/>
      <selection pane="bottomLeft"/>
      <selection pane="topRight"/>
    </sheetView>
  </sheetViews>
  <sheetFormatPr defaultRowHeight="12.7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18" t="str" cm="1">
        <f t="array" ref="A1">portfolio</f>
        <v>Wells Fargo</v>
      </c>
      <c r="B1" s="218"/>
      <c r="C1" s="219" t="s">
        <v>0</v>
      </c>
      <c r="D1" s="219"/>
      <c r="E1" s="219"/>
      <c r="F1" s="217" t="s">
        <v>1</v>
      </c>
      <c r="G1" s="217"/>
      <c r="H1" s="217"/>
    </row>
    <row r="2" spans="1:8" ht="19.5" customHeight="1">
      <c r="A2" s="41" t="s">
        <v>2</v>
      </c>
      <c r="B2" s="4">
        <f ca="1">SUM(B4:B95)</f>
        <v>17321723.101549905</v>
      </c>
      <c r="C2" s="4">
        <f ca="1">SUM(C4:C94)</f>
        <v>16765648.022133999</v>
      </c>
      <c r="D2" s="4">
        <f ca="1">B2-C2</f>
        <v>556075.07941590622</v>
      </c>
      <c r="E2" s="5">
        <f ca="1">IFERROR(D2/C2, 0)</f>
        <v>3.3167526759584613E-2</v>
      </c>
      <c r="F2" s="4">
        <f ca="1">SUM(F4:F94)</f>
        <v>18327821.984499998</v>
      </c>
      <c r="G2" s="6">
        <f ca="1">B2-F2</f>
        <v>-1006098.8829500936</v>
      </c>
      <c r="H2" s="5">
        <f ca="1">IFERROR(G2/F2, 0)</f>
        <v>-5.4894623256432781E-2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SUM('1st Qtr'!B4, '2nd Qtr'!B4, '3rd Qtr'!B4, '4th Qtr'!B4)</f>
        <v>1155268.7975948066</v>
      </c>
      <c r="C4" s="11">
        <f ca="1">SUM('1st Qtr'!C4, '2nd Qtr'!C4, '3rd Qtr'!C4, '4th Qtr'!C4)</f>
        <v>1038132.4129999999</v>
      </c>
      <c r="D4" s="11">
        <f ca="1">IF(AND(ISNUMBER($B4),ISNUMBER(C4)), $B4-C4, "")</f>
        <v>117136.3845948067</v>
      </c>
      <c r="E4" s="12">
        <f ca="1">IFERROR(D4/C4, "")</f>
        <v>0.11283376101927636</v>
      </c>
      <c r="F4" s="13">
        <f ca="1">SUM('1st Qtr'!F4, '2nd Qtr'!F4, '3rd Qtr'!F4, '4th Qtr'!F4)</f>
        <v>1234377.7850000001</v>
      </c>
      <c r="G4" s="13">
        <f ca="1">IF(AND(ISNUMBER($B4),ISNUMBER(F4)), $B4-F4, "")</f>
        <v>-79108.987405193504</v>
      </c>
      <c r="H4" s="14">
        <f ca="1">IFERROR(G4/F4, "")</f>
        <v>-6.4088148998236782E-2</v>
      </c>
    </row>
    <row r="5" spans="1:8" ht="15.75">
      <c r="A5" s="27" t="str">
        <v>CO</v>
      </c>
      <c r="B5" s="10">
        <f ca="1">SUM('1st Qtr'!B5, '2nd Qtr'!B5, '3rd Qtr'!B5, '4th Qtr'!B5)</f>
        <v>226625.61212141157</v>
      </c>
      <c r="C5" s="15">
        <f ca="1">SUM('1st Qtr'!C5, '2nd Qtr'!C5, '3rd Qtr'!C5, '4th Qtr'!C5)</f>
        <v>0</v>
      </c>
      <c r="D5" s="15">
        <f ca="1">IF(AND(ISNUMBER($B5),ISNUMBER(C5)), $B5-C5, "")</f>
        <v>226625.61212141157</v>
      </c>
      <c r="E5" s="16" t="str">
        <f ca="1">IFERROR(D5/C5, "")</f>
        <v/>
      </c>
      <c r="F5" s="17">
        <f ca="1">SUM('1st Qtr'!F5, '2nd Qtr'!F5, '3rd Qtr'!F5, '4th Qtr'!F5)</f>
        <v>233013.46500000003</v>
      </c>
      <c r="G5" s="17">
        <f ca="1">IF(AND(ISNUMBER($B5),ISNUMBER(F5)), $B5-F5, "")</f>
        <v>-6387.8528785884555</v>
      </c>
      <c r="H5" s="16">
        <f ca="1">IFERROR(G5/F5, "")</f>
        <v>-2.7414093338290365E-2</v>
      </c>
    </row>
    <row r="6" spans="1:8" ht="15.75">
      <c r="A6" s="25" t="str">
        <v>CT</v>
      </c>
      <c r="B6" s="21">
        <f ca="1">SUM('1st Qtr'!B6, '2nd Qtr'!B6, '3rd Qtr'!B6, '4th Qtr'!B6)</f>
        <v>11886.722785444374</v>
      </c>
      <c r="C6" s="11">
        <f ca="1">SUM('1st Qtr'!C6, '2nd Qtr'!C6, '3rd Qtr'!C6, '4th Qtr'!C6)</f>
        <v>14097.135933999998</v>
      </c>
      <c r="D6" s="11">
        <f t="shared" ref="D6:D11" ca="1" si="0">IF(AND(ISNUMBER($B6),ISNUMBER(C6)), $B6-C6, "")</f>
        <v>-2210.4131485556245</v>
      </c>
      <c r="E6" s="12">
        <f t="shared" ref="E6:E11" ca="1" si="1">IFERROR(D6/C6, "")</f>
        <v>-0.1567987397514177</v>
      </c>
      <c r="F6" s="13">
        <f ca="1">SUM('1st Qtr'!F6, '2nd Qtr'!F6, '3rd Qtr'!F6, '4th Qtr'!F6)</f>
        <v>14860.036400000001</v>
      </c>
      <c r="G6" s="13">
        <f t="shared" ref="G6:G11" ca="1" si="2">IF(AND(ISNUMBER($B6),ISNUMBER(F6)), $B6-F6, "")</f>
        <v>-2973.3136145556273</v>
      </c>
      <c r="H6" s="14">
        <f t="shared" ref="H6:H11" ca="1" si="3">IFERROR(G6/F6, "")</f>
        <v>-0.20008790924331971</v>
      </c>
    </row>
    <row r="7" spans="1:8" ht="15.75">
      <c r="A7" s="27" t="str">
        <v>FL</v>
      </c>
      <c r="B7" s="10">
        <f ca="1">SUM('1st Qtr'!B7, '2nd Qtr'!B7, '3rd Qtr'!B7, '4th Qtr'!B7)</f>
        <v>11628.316225370316</v>
      </c>
      <c r="C7" s="15">
        <f ca="1">SUM('1st Qtr'!C7, '2nd Qtr'!C7, '3rd Qtr'!C7, '4th Qtr'!C7)</f>
        <v>36841.061000000002</v>
      </c>
      <c r="D7" s="15">
        <f t="shared" ca="1" si="0"/>
        <v>-25212.744774629686</v>
      </c>
      <c r="E7" s="16">
        <f t="shared" ca="1" si="1"/>
        <v>-0.68436532744346545</v>
      </c>
      <c r="F7" s="17">
        <f ca="1">SUM('1st Qtr'!F7, '2nd Qtr'!F7, '3rd Qtr'!F7, '4th Qtr'!F7)</f>
        <v>43768</v>
      </c>
      <c r="G7" s="17">
        <f t="shared" ca="1" si="2"/>
        <v>-32139.683774629684</v>
      </c>
      <c r="H7" s="16">
        <f t="shared" ca="1" si="3"/>
        <v>-0.73431922351100543</v>
      </c>
    </row>
    <row r="8" spans="1:8" ht="15.75">
      <c r="A8" s="25" t="str">
        <v>IA</v>
      </c>
      <c r="B8" s="21">
        <f ca="1">SUM('1st Qtr'!B8, '2nd Qtr'!B8, '3rd Qtr'!B8, '4th Qtr'!B8)</f>
        <v>2240940.5</v>
      </c>
      <c r="C8" s="11">
        <f ca="1">SUM('1st Qtr'!C8, '2nd Qtr'!C8, '3rd Qtr'!C8, '4th Qtr'!C8)</f>
        <v>2310057.2599999998</v>
      </c>
      <c r="D8" s="11">
        <f t="shared" ca="1" si="0"/>
        <v>-69116.759999999776</v>
      </c>
      <c r="E8" s="12">
        <f t="shared" ca="1" si="1"/>
        <v>-2.9919933672986003E-2</v>
      </c>
      <c r="F8" s="13">
        <f ca="1">SUM('1st Qtr'!F8, '2nd Qtr'!F8, '3rd Qtr'!F8, '4th Qtr'!F8)</f>
        <v>2312856.2300000004</v>
      </c>
      <c r="G8" s="13">
        <f t="shared" ca="1" si="2"/>
        <v>-71915.730000000447</v>
      </c>
      <c r="H8" s="14">
        <f t="shared" ca="1" si="3"/>
        <v>-3.1093904180979046E-2</v>
      </c>
    </row>
    <row r="9" spans="1:8" ht="15.75">
      <c r="A9" s="27" t="str">
        <v>NC</v>
      </c>
      <c r="B9" s="10">
        <f ca="1">SUM('1st Qtr'!B9, '2nd Qtr'!B9, '3rd Qtr'!B9, '4th Qtr'!B9)</f>
        <v>2804781.2</v>
      </c>
      <c r="C9" s="15">
        <f ca="1">SUM('1st Qtr'!C9, '2nd Qtr'!C9, '3rd Qtr'!C9, '4th Qtr'!C9)</f>
        <v>2948151.0079999999</v>
      </c>
      <c r="D9" s="15">
        <f t="shared" ca="1" si="0"/>
        <v>-143369.80799999973</v>
      </c>
      <c r="E9" s="16">
        <f t="shared" ca="1" si="1"/>
        <v>-4.8630415338616104E-2</v>
      </c>
      <c r="F9" s="17">
        <f ca="1">SUM('1st Qtr'!F9, '2nd Qtr'!F9, '3rd Qtr'!F9, '4th Qtr'!F9)</f>
        <v>2880008.7409999999</v>
      </c>
      <c r="G9" s="17">
        <f t="shared" ca="1" si="2"/>
        <v>-75227.540999999736</v>
      </c>
      <c r="H9" s="16">
        <f t="shared" ca="1" si="3"/>
        <v>-2.6120594680514458E-2</v>
      </c>
    </row>
    <row r="10" spans="1:8" ht="15.75">
      <c r="A10" s="25" t="str">
        <v>NJ</v>
      </c>
      <c r="B10" s="21">
        <f ca="1">SUM('1st Qtr'!B10, '2nd Qtr'!B10, '3rd Qtr'!B10, '4th Qtr'!B10)</f>
        <v>694136.10843811743</v>
      </c>
      <c r="C10" s="11">
        <f ca="1">SUM('1st Qtr'!C10, '2nd Qtr'!C10, '3rd Qtr'!C10, '4th Qtr'!C10)</f>
        <v>687632.4902</v>
      </c>
      <c r="D10" s="11">
        <f t="shared" ca="1" si="0"/>
        <v>6503.6182381174294</v>
      </c>
      <c r="E10" s="12">
        <f t="shared" ca="1" si="1"/>
        <v>9.4579856693883559E-3</v>
      </c>
      <c r="F10" s="13">
        <f ca="1">SUM('1st Qtr'!F10, '2nd Qtr'!F10, '3rd Qtr'!F10, '4th Qtr'!F10)</f>
        <v>756542.07810000004</v>
      </c>
      <c r="G10" s="13">
        <f t="shared" ca="1" si="2"/>
        <v>-62405.969661882613</v>
      </c>
      <c r="H10" s="14">
        <f t="shared" ca="1" si="3"/>
        <v>-8.2488431864372477E-2</v>
      </c>
    </row>
    <row r="11" spans="1:8" ht="15.75">
      <c r="A11" s="27" t="str">
        <v>TX</v>
      </c>
      <c r="B11" s="10">
        <f ca="1">SUM('1st Qtr'!B11, '2nd Qtr'!B11, '3rd Qtr'!B11, '4th Qtr'!B11)</f>
        <v>6236150.9103619996</v>
      </c>
      <c r="C11" s="15">
        <f ca="1">SUM('1st Qtr'!C11, '2nd Qtr'!C11, '3rd Qtr'!C11, '4th Qtr'!C11)</f>
        <v>6146609.4489999991</v>
      </c>
      <c r="D11" s="15">
        <f t="shared" ca="1" si="0"/>
        <v>89541.461362000555</v>
      </c>
      <c r="E11" s="16">
        <f t="shared" ca="1" si="1"/>
        <v>1.45676184740464E-2</v>
      </c>
      <c r="F11" s="17">
        <f ca="1">SUM('1st Qtr'!F11, '2nd Qtr'!F11, '3rd Qtr'!F11, '4th Qtr'!F11)</f>
        <v>6934260.3090000004</v>
      </c>
      <c r="G11" s="17">
        <f t="shared" ca="1" si="2"/>
        <v>-698109.39863800071</v>
      </c>
      <c r="H11" s="16">
        <f t="shared" ca="1" si="3"/>
        <v>-0.10067539543214467</v>
      </c>
    </row>
    <row r="12" spans="1:8" ht="12.75" customHeight="1">
      <c r="A12" s="25" t="str">
        <v>AZ</v>
      </c>
      <c r="B12" s="57">
        <f ca="1">SUM('1st Qtr'!B12, '2nd Qtr'!B12, '3rd Qtr'!B12, '4th Qtr'!B12)</f>
        <v>3940304.9340227535</v>
      </c>
      <c r="C12" s="11">
        <f ca="1">SUM('1st Qtr'!C12, '2nd Qtr'!C12, '3rd Qtr'!C12, '4th Qtr'!C12)</f>
        <v>3584127.2050000001</v>
      </c>
      <c r="D12" s="11">
        <f t="shared" ref="D12" ca="1" si="4">IF(AND(ISNUMBER($B12),ISNUMBER(C12)), $B12-C12, "")</f>
        <v>356177.72902275342</v>
      </c>
      <c r="E12" s="58">
        <f t="shared" ref="E12" ca="1" si="5">IFERROR(D12/C12, "")</f>
        <v>9.9376419599692595E-2</v>
      </c>
      <c r="F12" s="74">
        <f ca="1">SUM('1st Qtr'!F12, '2nd Qtr'!F12, '3rd Qtr'!F12, '4th Qtr'!F12)</f>
        <v>3855804.34</v>
      </c>
      <c r="G12" s="74">
        <f t="shared" ref="G12" ca="1" si="6">IF(AND(ISNUMBER($B12),ISNUMBER(F12)), $B12-F12, "")</f>
        <v>84500.594022753648</v>
      </c>
      <c r="H12" s="75">
        <f t="shared" ref="H12" ca="1" si="7">IFERROR(G12/F12, "")</f>
        <v>2.1915166479311979E-2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 ht="15">
      <c r="A16" s="18"/>
      <c r="B16" s="18"/>
      <c r="C16" s="137" t="s">
        <v>9</v>
      </c>
      <c r="D16" s="18"/>
      <c r="E16" s="18"/>
      <c r="F16" s="18"/>
      <c r="G16" s="18"/>
      <c r="H16" s="18"/>
    </row>
    <row r="17" spans="1:8" ht="15">
      <c r="A17" s="18"/>
      <c r="B17" s="18"/>
      <c r="C17" s="137"/>
      <c r="D17" s="18"/>
      <c r="E17" s="18"/>
      <c r="F17" s="18"/>
      <c r="G17" s="18"/>
      <c r="H17" s="18"/>
    </row>
    <row r="18" spans="1:8" ht="15">
      <c r="A18" s="18"/>
      <c r="B18" s="18"/>
      <c r="C18" s="137" t="s">
        <v>10</v>
      </c>
      <c r="D18" s="18"/>
      <c r="E18" s="18"/>
      <c r="F18" s="18"/>
      <c r="G18" s="18"/>
      <c r="H18" s="18"/>
    </row>
    <row r="19" spans="1:8" ht="15">
      <c r="A19" s="18"/>
      <c r="B19" s="18"/>
      <c r="C19" s="137"/>
      <c r="D19" s="18"/>
      <c r="E19" s="18"/>
      <c r="F19" s="18"/>
      <c r="G19" s="18"/>
      <c r="H19" s="18"/>
    </row>
    <row r="20" spans="1:8" ht="15">
      <c r="A20" s="18"/>
      <c r="B20" s="18"/>
      <c r="C20" s="160" t="s">
        <v>11</v>
      </c>
      <c r="D20" s="161"/>
      <c r="E20" s="161"/>
      <c r="F20" s="161"/>
      <c r="G20" s="18"/>
      <c r="H20" s="18"/>
    </row>
    <row r="21" spans="1:8" ht="15">
      <c r="A21" s="18"/>
      <c r="B21" s="18"/>
      <c r="C21" s="137" t="s">
        <v>12</v>
      </c>
      <c r="D21" s="18"/>
      <c r="E21" s="19"/>
      <c r="F21" s="18"/>
      <c r="G21" s="18"/>
      <c r="H21" s="19"/>
    </row>
    <row r="22" spans="1:8">
      <c r="A22" s="18"/>
      <c r="B22" s="18"/>
      <c r="C22" t="s">
        <v>13</v>
      </c>
      <c r="D22" s="18"/>
      <c r="E22" s="19"/>
      <c r="F22" s="18"/>
      <c r="G22" s="18"/>
      <c r="H22" s="19"/>
    </row>
    <row r="23" spans="1:8" ht="15">
      <c r="A23" s="18"/>
      <c r="B23" s="18"/>
      <c r="C23" s="137" t="s">
        <v>14</v>
      </c>
      <c r="D23" s="18"/>
      <c r="E23" s="19"/>
      <c r="F23" s="18"/>
      <c r="G23" s="18"/>
      <c r="H23" s="19"/>
    </row>
    <row r="24" spans="1:8" ht="15">
      <c r="A24" s="18"/>
      <c r="B24" s="18"/>
      <c r="C24" s="137" t="s">
        <v>15</v>
      </c>
      <c r="D24" s="18"/>
      <c r="E24" s="19"/>
      <c r="F24" s="18"/>
      <c r="G24" s="18"/>
      <c r="H24" s="19"/>
    </row>
    <row r="25" spans="1:8" ht="15">
      <c r="A25" s="18"/>
      <c r="B25" s="18"/>
      <c r="C25" s="137"/>
      <c r="D25" s="18"/>
      <c r="E25" s="19"/>
      <c r="F25" s="18"/>
      <c r="G25" s="18"/>
      <c r="H25" s="19"/>
    </row>
    <row r="26" spans="1:8" ht="15">
      <c r="A26" s="18"/>
      <c r="B26" s="18"/>
      <c r="C26" s="160" t="s">
        <v>16</v>
      </c>
      <c r="D26" s="18"/>
      <c r="E26" s="19"/>
      <c r="F26" s="18"/>
      <c r="G26" s="18"/>
      <c r="H26" s="19"/>
    </row>
    <row r="27" spans="1:8" ht="15">
      <c r="A27" s="18"/>
      <c r="B27" s="18"/>
      <c r="C27" s="137" t="s">
        <v>17</v>
      </c>
      <c r="D27" s="213"/>
      <c r="E27" s="214"/>
      <c r="F27" s="211" t="s">
        <v>18</v>
      </c>
      <c r="G27" s="18"/>
      <c r="H27" s="19"/>
    </row>
    <row r="28" spans="1:8" ht="15">
      <c r="A28" s="18"/>
      <c r="B28" s="18"/>
      <c r="C28" s="211" t="s">
        <v>19</v>
      </c>
      <c r="D28" s="211"/>
      <c r="E28" s="215"/>
      <c r="F28" s="211" t="s">
        <v>20</v>
      </c>
      <c r="G28" s="18"/>
      <c r="H28" s="19"/>
    </row>
    <row r="29" spans="1:8" ht="15">
      <c r="A29" s="18"/>
      <c r="B29" s="18"/>
      <c r="C29" s="137" t="s">
        <v>21</v>
      </c>
      <c r="D29" s="211"/>
      <c r="E29" s="215"/>
      <c r="F29" s="211" t="s">
        <v>22</v>
      </c>
      <c r="G29" s="18"/>
      <c r="H29" s="19"/>
    </row>
    <row r="30" spans="1:8" ht="15">
      <c r="A30" s="18"/>
      <c r="B30" s="18"/>
      <c r="C30" s="137" t="s">
        <v>23</v>
      </c>
      <c r="D30" s="211"/>
      <c r="E30" s="215"/>
      <c r="F30" s="211" t="s">
        <v>24</v>
      </c>
      <c r="G30" s="18"/>
      <c r="H30" s="19"/>
    </row>
    <row r="31" spans="1:8" ht="15">
      <c r="A31" s="18"/>
      <c r="B31" s="18"/>
      <c r="C31" s="137" t="s">
        <v>25</v>
      </c>
      <c r="D31" s="211"/>
      <c r="E31" s="215"/>
      <c r="F31" s="211" t="s">
        <v>26</v>
      </c>
      <c r="G31" s="18"/>
      <c r="H31" s="19"/>
    </row>
    <row r="32" spans="1:8" ht="15">
      <c r="A32" s="18"/>
      <c r="B32" s="18"/>
      <c r="C32" s="137" t="s">
        <v>27</v>
      </c>
      <c r="D32" s="211"/>
      <c r="E32" s="215"/>
      <c r="F32" s="212" t="s">
        <v>28</v>
      </c>
      <c r="G32" s="18" t="s">
        <v>29</v>
      </c>
      <c r="H32" s="19"/>
    </row>
    <row r="33" spans="1:10" ht="15">
      <c r="A33" s="18"/>
      <c r="B33" s="18"/>
      <c r="C33" s="137"/>
      <c r="D33" s="18"/>
      <c r="E33" s="19"/>
      <c r="F33" s="18"/>
      <c r="G33" s="18"/>
      <c r="H33" s="19"/>
    </row>
    <row r="34" spans="1:10" ht="15">
      <c r="A34" s="18"/>
      <c r="B34" s="18"/>
      <c r="C34" s="160" t="s">
        <v>30</v>
      </c>
      <c r="D34" s="161"/>
      <c r="E34" s="19"/>
      <c r="F34" s="18"/>
      <c r="G34" s="18"/>
      <c r="H34" s="19"/>
    </row>
    <row r="35" spans="1:10" ht="15">
      <c r="A35" s="18"/>
      <c r="B35" s="18"/>
      <c r="C35" s="137" t="s">
        <v>31</v>
      </c>
      <c r="D35" s="18"/>
      <c r="E35" s="19"/>
      <c r="F35" s="18"/>
      <c r="G35" s="18"/>
      <c r="H35" s="19"/>
    </row>
    <row r="36" spans="1:10" ht="15">
      <c r="A36" s="18"/>
      <c r="B36" s="18"/>
      <c r="C36" s="137" t="s">
        <v>32</v>
      </c>
      <c r="D36" s="18"/>
      <c r="E36" s="19"/>
      <c r="F36" s="18"/>
      <c r="G36" s="18"/>
      <c r="H36" s="19"/>
    </row>
    <row r="37" spans="1:10" ht="15">
      <c r="A37" s="18"/>
      <c r="B37" s="18"/>
      <c r="C37" s="137"/>
      <c r="D37" s="18"/>
      <c r="E37" s="19"/>
      <c r="F37" s="18"/>
      <c r="G37" s="18"/>
      <c r="H37" s="19"/>
    </row>
    <row r="38" spans="1:10" ht="15">
      <c r="A38" s="18"/>
      <c r="B38" s="18"/>
      <c r="C38" s="160" t="s">
        <v>33</v>
      </c>
      <c r="D38" s="161"/>
      <c r="E38" s="19"/>
      <c r="F38" s="18"/>
      <c r="G38" s="18"/>
      <c r="H38" s="19"/>
    </row>
    <row r="39" spans="1:10" ht="15">
      <c r="A39" s="18"/>
      <c r="B39" s="18"/>
      <c r="C39" s="137" t="s">
        <v>34</v>
      </c>
      <c r="D39" s="18"/>
      <c r="E39" s="19"/>
      <c r="F39" s="18"/>
      <c r="G39" s="18"/>
      <c r="H39" s="19"/>
    </row>
    <row r="40" spans="1:10">
      <c r="A40" s="18"/>
      <c r="B40" s="18"/>
      <c r="C40" s="18"/>
      <c r="D40" s="18"/>
      <c r="E40" s="19"/>
      <c r="F40" s="18"/>
      <c r="G40" s="18"/>
      <c r="H40" s="19"/>
    </row>
    <row r="41" spans="1:10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46"/>
      <c r="B42" s="18"/>
      <c r="E42" s="146"/>
      <c r="F42" s="146"/>
      <c r="G42" s="216"/>
      <c r="H42" s="216"/>
      <c r="I42" s="146"/>
      <c r="J42" s="146"/>
    </row>
    <row r="43" spans="1:10" ht="15">
      <c r="A43" s="146"/>
      <c r="E43" s="146"/>
      <c r="F43" s="146"/>
      <c r="G43" s="146"/>
      <c r="H43" s="146"/>
      <c r="I43" s="146"/>
      <c r="J43" s="146"/>
    </row>
    <row r="44" spans="1:10" ht="15">
      <c r="A44" s="146"/>
      <c r="E44" s="146"/>
      <c r="F44" s="146"/>
      <c r="G44" s="146"/>
      <c r="H44" s="146"/>
      <c r="I44" s="146"/>
      <c r="J44" s="146"/>
    </row>
    <row r="45" spans="1:10" ht="15">
      <c r="A45" s="146"/>
      <c r="E45" s="146"/>
      <c r="F45" s="146"/>
      <c r="G45" s="146"/>
      <c r="H45" s="146"/>
      <c r="I45" s="146"/>
      <c r="J45" s="146"/>
    </row>
    <row r="46" spans="1:10" ht="15">
      <c r="A46" s="146"/>
      <c r="E46" s="146"/>
      <c r="F46" s="146"/>
      <c r="G46" s="146"/>
      <c r="H46" s="146"/>
      <c r="I46" s="146"/>
      <c r="J46" s="146"/>
    </row>
    <row r="47" spans="1:10" ht="15">
      <c r="A47" s="146"/>
      <c r="E47" s="146"/>
      <c r="F47" s="146"/>
      <c r="G47" s="146"/>
      <c r="H47" s="146"/>
      <c r="I47" s="146"/>
      <c r="J47" s="146"/>
    </row>
    <row r="48" spans="1:10" ht="13.9" customHeight="1">
      <c r="A48" s="146"/>
      <c r="E48" s="146"/>
      <c r="F48" s="146"/>
      <c r="G48" s="146"/>
      <c r="H48" s="146"/>
      <c r="I48" s="146"/>
      <c r="J48" s="146"/>
    </row>
    <row r="49" spans="1:10" ht="15">
      <c r="A49" s="146"/>
      <c r="E49" s="146"/>
      <c r="F49" s="146"/>
      <c r="G49" s="146"/>
      <c r="H49" s="146"/>
      <c r="I49" s="146"/>
      <c r="J49" s="146"/>
    </row>
    <row r="50" spans="1:10" ht="15">
      <c r="A50" s="146"/>
      <c r="E50" s="146"/>
      <c r="F50" s="146"/>
      <c r="G50" s="146"/>
      <c r="H50" s="146"/>
      <c r="I50" s="146"/>
      <c r="J50" s="146"/>
    </row>
    <row r="51" spans="1:10" ht="15">
      <c r="A51" s="146"/>
      <c r="E51" s="146"/>
      <c r="F51" s="146"/>
      <c r="G51" s="146"/>
      <c r="H51" s="146"/>
      <c r="I51" s="146"/>
      <c r="J51" s="146"/>
    </row>
    <row r="52" spans="1:10" ht="15">
      <c r="A52" s="146"/>
      <c r="C52" s="146"/>
      <c r="D52" s="146"/>
      <c r="E52" s="146"/>
      <c r="F52" s="146"/>
      <c r="G52" s="146"/>
      <c r="H52" s="146"/>
      <c r="I52" s="146"/>
      <c r="J52" s="146"/>
    </row>
    <row r="53" spans="1:10" ht="15">
      <c r="A53" s="146"/>
      <c r="B53" s="146"/>
      <c r="C53" s="146" t="s">
        <v>35</v>
      </c>
      <c r="D53" s="146">
        <v>2025</v>
      </c>
      <c r="E53" s="146"/>
      <c r="F53" s="146"/>
      <c r="G53" s="146"/>
      <c r="H53" s="146"/>
      <c r="I53" s="146"/>
      <c r="J53" s="146"/>
    </row>
    <row r="54" spans="1:10" ht="15">
      <c r="A54" s="146"/>
      <c r="B54" s="146"/>
      <c r="C54" s="146"/>
      <c r="D54" s="149" t="s">
        <v>4</v>
      </c>
      <c r="E54" s="150" t="s">
        <v>5</v>
      </c>
      <c r="F54" s="150" t="s">
        <v>6</v>
      </c>
      <c r="G54" s="150" t="s">
        <v>7</v>
      </c>
      <c r="H54" s="151" t="s">
        <v>8</v>
      </c>
      <c r="I54" s="152" t="s">
        <v>6</v>
      </c>
      <c r="J54" s="152" t="s">
        <v>7</v>
      </c>
    </row>
    <row r="55" spans="1:10" ht="15">
      <c r="A55" s="147"/>
      <c r="B55" s="146"/>
      <c r="C55" s="146"/>
      <c r="D55" s="153">
        <v>2009886</v>
      </c>
      <c r="E55" s="154">
        <v>1966799</v>
      </c>
      <c r="F55" s="154">
        <v>43087</v>
      </c>
      <c r="G55" s="155">
        <v>0.02</v>
      </c>
      <c r="H55" s="154">
        <v>2174763</v>
      </c>
      <c r="I55" s="154">
        <v>-164877</v>
      </c>
      <c r="J55" s="155">
        <v>-0.08</v>
      </c>
    </row>
    <row r="56" spans="1:10" ht="15">
      <c r="A56" s="146"/>
      <c r="B56" s="147"/>
      <c r="C56" s="146"/>
      <c r="D56" s="146"/>
      <c r="E56" s="146"/>
      <c r="F56" s="146"/>
      <c r="G56" s="146"/>
      <c r="H56" s="146"/>
      <c r="I56" s="146"/>
      <c r="J56" s="146"/>
    </row>
    <row r="57" spans="1:10" ht="15">
      <c r="A57" s="18"/>
      <c r="B57" s="146"/>
      <c r="C57" s="146" t="s">
        <v>36</v>
      </c>
      <c r="D57" s="146">
        <v>2024</v>
      </c>
      <c r="E57" s="146"/>
      <c r="F57" s="146"/>
      <c r="G57" s="146"/>
      <c r="H57" s="146"/>
      <c r="I57" s="146"/>
      <c r="J57" s="146"/>
    </row>
    <row r="58" spans="1:10" ht="15">
      <c r="A58" s="18"/>
      <c r="B58" s="146"/>
      <c r="C58" s="146"/>
      <c r="D58" s="149" t="s">
        <v>4</v>
      </c>
      <c r="E58" s="150" t="s">
        <v>5</v>
      </c>
      <c r="F58" s="150" t="s">
        <v>6</v>
      </c>
      <c r="G58" s="150" t="s">
        <v>7</v>
      </c>
      <c r="H58" s="151" t="s">
        <v>8</v>
      </c>
      <c r="I58" s="152" t="s">
        <v>6</v>
      </c>
      <c r="J58" s="152" t="s">
        <v>7</v>
      </c>
    </row>
    <row r="59" spans="1:10" ht="15">
      <c r="A59" s="18"/>
      <c r="B59" s="146"/>
      <c r="C59" s="146"/>
      <c r="D59" s="153">
        <v>1566588</v>
      </c>
      <c r="E59" s="154">
        <v>1547344</v>
      </c>
      <c r="F59" s="154">
        <v>19244</v>
      </c>
      <c r="G59" s="155">
        <v>0.01</v>
      </c>
      <c r="H59" s="154">
        <v>1863295</v>
      </c>
      <c r="I59" s="154">
        <v>-296707</v>
      </c>
      <c r="J59" s="156">
        <v>-0.16</v>
      </c>
    </row>
    <row r="60" spans="1:10" ht="15">
      <c r="A60" s="18"/>
      <c r="B60" s="146"/>
      <c r="C60" s="18"/>
      <c r="D60" s="18"/>
      <c r="E60" s="19"/>
      <c r="F60" s="18"/>
      <c r="G60" s="18"/>
      <c r="H60" s="19"/>
    </row>
    <row r="61" spans="1:10">
      <c r="A61" s="18"/>
      <c r="B61" s="18"/>
      <c r="C61" s="18"/>
      <c r="D61" s="18"/>
      <c r="E61" s="19"/>
      <c r="F61" s="18"/>
      <c r="G61" s="18"/>
      <c r="H61" s="19"/>
    </row>
    <row r="62" spans="1:10">
      <c r="A62" s="18"/>
      <c r="B62" s="18"/>
      <c r="C62" s="18"/>
      <c r="D62" s="18"/>
      <c r="E62" s="19"/>
      <c r="F62" s="18"/>
      <c r="G62" s="18"/>
      <c r="H62" s="19"/>
    </row>
    <row r="63" spans="1:10">
      <c r="A63" s="18"/>
      <c r="B63" s="18"/>
      <c r="C63" s="18"/>
      <c r="D63" s="18"/>
      <c r="E63" s="19"/>
      <c r="F63" s="18"/>
      <c r="G63" s="18"/>
      <c r="H63" s="19"/>
    </row>
    <row r="64" spans="1:10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  <row r="333" spans="1:8">
      <c r="A333" s="18"/>
      <c r="B333" s="18"/>
      <c r="C333" s="18"/>
      <c r="D333" s="18"/>
      <c r="E333" s="19"/>
      <c r="F333" s="18"/>
      <c r="G333" s="18"/>
      <c r="H333" s="19"/>
    </row>
    <row r="334" spans="1:8">
      <c r="A334" s="18"/>
      <c r="B334" s="18"/>
      <c r="C334" s="18"/>
      <c r="D334" s="18"/>
      <c r="E334" s="19"/>
      <c r="F334" s="18"/>
      <c r="G334" s="18"/>
      <c r="H334" s="19"/>
    </row>
    <row r="335" spans="1:8">
      <c r="A335" s="18"/>
      <c r="B335" s="18"/>
      <c r="C335" s="18"/>
      <c r="D335" s="18"/>
      <c r="E335" s="19"/>
      <c r="F335" s="18"/>
      <c r="G335" s="18"/>
      <c r="H335" s="19"/>
    </row>
    <row r="336" spans="1:8">
      <c r="A336" s="18"/>
      <c r="B336" s="18"/>
      <c r="C336" s="18"/>
      <c r="D336" s="18"/>
      <c r="E336" s="19"/>
      <c r="F336" s="18"/>
      <c r="G336" s="18"/>
      <c r="H336" s="19"/>
    </row>
    <row r="337" spans="2:2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60:E94 H60:H94 E4:E41 H4:H41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D22" sqref="D22"/>
      <selection pane="bottomLeft" activeCell="A4" sqref="A4"/>
      <selection pane="topRight" activeCell="B1" sqref="B1"/>
    </sheetView>
  </sheetViews>
  <sheetFormatPr defaultRowHeight="12.7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37</v>
      </c>
      <c r="D1" s="223"/>
      <c r="E1" s="224"/>
      <c r="F1" s="225" t="s">
        <v>38</v>
      </c>
      <c r="G1" s="226"/>
      <c r="H1" s="227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40</v>
      </c>
      <c r="D1" s="223"/>
      <c r="E1" s="224"/>
      <c r="F1" s="225" t="s">
        <v>41</v>
      </c>
      <c r="G1" s="226"/>
      <c r="H1" s="227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>
      <c r="A27" s="18"/>
      <c r="B27" s="18"/>
      <c r="C27" s="18"/>
      <c r="D27" s="18"/>
      <c r="E27" s="18"/>
      <c r="F27" s="18"/>
      <c r="G27" s="18"/>
      <c r="H27" s="18"/>
    </row>
    <row r="28" spans="1:8">
      <c r="A28" s="18"/>
      <c r="B28" s="18"/>
      <c r="C28" s="18"/>
      <c r="D28" s="18"/>
      <c r="E28" s="18"/>
      <c r="F28" s="19"/>
      <c r="G28" s="18"/>
      <c r="H28" s="18"/>
    </row>
    <row r="29" spans="1:8">
      <c r="A29" s="18"/>
      <c r="B29" s="18"/>
      <c r="C29" s="18"/>
      <c r="D29" s="18"/>
      <c r="E29" s="18"/>
      <c r="F29" s="19"/>
      <c r="G29" s="18"/>
      <c r="H29" s="18"/>
    </row>
    <row r="30" spans="1:8">
      <c r="A30" s="18"/>
      <c r="B30" s="18"/>
      <c r="C30" s="18"/>
      <c r="D30" s="18"/>
      <c r="E30" s="18"/>
      <c r="F30" s="19"/>
      <c r="G30" s="18"/>
      <c r="H30" s="18"/>
    </row>
    <row r="31" spans="1:8">
      <c r="A31" s="18"/>
      <c r="B31" s="18"/>
      <c r="C31" s="18"/>
      <c r="D31" s="18"/>
      <c r="E31" s="18"/>
      <c r="F31" s="19"/>
      <c r="G31" s="18"/>
      <c r="H31" s="18"/>
    </row>
    <row r="32" spans="1:8">
      <c r="A32" s="18"/>
      <c r="B32" s="18"/>
      <c r="C32" s="18"/>
      <c r="D32" s="18"/>
      <c r="E32" s="18"/>
      <c r="F32" s="19"/>
      <c r="G32" s="18"/>
      <c r="H32" s="18"/>
    </row>
    <row r="33" spans="1:8">
      <c r="A33" s="18"/>
      <c r="B33" s="18"/>
      <c r="C33" s="18"/>
      <c r="D33" s="18"/>
      <c r="E33" s="18"/>
      <c r="F33" s="19"/>
      <c r="G33" s="18"/>
      <c r="H33" s="18"/>
    </row>
    <row r="34" spans="1:8">
      <c r="A34" s="18"/>
      <c r="B34" s="18"/>
      <c r="C34" s="18"/>
      <c r="D34" s="18"/>
      <c r="E34" s="18"/>
      <c r="F34" s="19"/>
      <c r="G34" s="18"/>
      <c r="H34" s="18"/>
    </row>
    <row r="35" spans="1:8">
      <c r="A35" s="18"/>
      <c r="B35" s="18"/>
      <c r="C35" s="18"/>
      <c r="D35" s="18"/>
      <c r="E35" s="18"/>
      <c r="F35" s="19"/>
      <c r="G35" s="18"/>
      <c r="H35" s="18"/>
    </row>
    <row r="36" spans="1:8">
      <c r="A36" s="18"/>
      <c r="B36" s="18"/>
      <c r="C36" s="18"/>
      <c r="D36" s="18"/>
      <c r="E36" s="18"/>
      <c r="F36" s="19"/>
      <c r="G36" s="18"/>
      <c r="H36" s="18"/>
    </row>
    <row r="37" spans="1:8">
      <c r="A37" s="18"/>
      <c r="B37" s="18"/>
      <c r="C37" s="18"/>
      <c r="D37" s="18"/>
      <c r="E37" s="18"/>
      <c r="F37" s="19"/>
      <c r="G37" s="18"/>
      <c r="H37" s="18"/>
    </row>
    <row r="38" spans="1:8">
      <c r="A38" s="18"/>
      <c r="B38" s="18"/>
      <c r="C38" s="18"/>
      <c r="D38" s="18"/>
      <c r="E38" s="18"/>
      <c r="F38" s="19"/>
      <c r="G38" s="18"/>
      <c r="H38" s="18"/>
    </row>
    <row r="39" spans="1:8">
      <c r="A39" s="18"/>
      <c r="B39" s="18"/>
      <c r="C39" s="18"/>
      <c r="D39" s="18"/>
      <c r="E39" s="18"/>
      <c r="F39" s="19"/>
      <c r="G39" s="18"/>
      <c r="H39" s="18"/>
    </row>
    <row r="40" spans="1:8">
      <c r="A40" s="18"/>
      <c r="B40" s="18"/>
      <c r="C40" s="18"/>
      <c r="D40" s="18"/>
      <c r="E40" s="18"/>
      <c r="F40" s="19"/>
      <c r="G40" s="18"/>
      <c r="H40" s="18"/>
    </row>
    <row r="41" spans="1:8">
      <c r="A41" s="18"/>
      <c r="B41" s="18"/>
      <c r="C41" s="18"/>
      <c r="D41" s="18"/>
      <c r="E41" s="18"/>
      <c r="F41" s="19"/>
      <c r="G41" s="18"/>
      <c r="H41" s="18"/>
    </row>
    <row r="42" spans="1:8">
      <c r="A42" s="18"/>
      <c r="B42" s="18"/>
      <c r="C42" s="18"/>
      <c r="D42" s="18"/>
      <c r="E42" s="18"/>
      <c r="F42" s="19"/>
      <c r="G42" s="18"/>
      <c r="H42" s="18"/>
    </row>
    <row r="43" spans="1:8">
      <c r="A43" s="18"/>
      <c r="B43" s="18"/>
      <c r="C43" s="18"/>
      <c r="D43" s="18"/>
      <c r="E43" s="18"/>
      <c r="F43" s="19"/>
      <c r="G43" s="18"/>
      <c r="H43" s="18"/>
    </row>
    <row r="44" spans="1:8">
      <c r="A44" s="18"/>
      <c r="B44" s="18"/>
      <c r="C44" s="18"/>
      <c r="D44" s="18"/>
      <c r="E44" s="18"/>
      <c r="F44" s="19"/>
      <c r="G44" s="18"/>
      <c r="H44" s="18"/>
    </row>
    <row r="45" spans="1:8">
      <c r="A45" s="18"/>
      <c r="B45" s="18"/>
      <c r="C45" s="18"/>
      <c r="D45" s="18"/>
      <c r="E45" s="18"/>
      <c r="F45" s="19"/>
      <c r="G45" s="18"/>
      <c r="H45" s="18"/>
    </row>
    <row r="46" spans="1:8">
      <c r="A46" s="18"/>
      <c r="B46" s="18"/>
      <c r="C46" s="18"/>
      <c r="D46" s="18"/>
      <c r="E46" s="18"/>
      <c r="F46" s="19"/>
      <c r="G46" s="18"/>
      <c r="H46" s="18"/>
    </row>
    <row r="47" spans="1:8">
      <c r="A47" s="18"/>
      <c r="B47" s="18"/>
      <c r="C47" s="18"/>
      <c r="D47" s="18"/>
      <c r="E47" s="18"/>
      <c r="F47" s="19"/>
      <c r="G47" s="18"/>
      <c r="H47" s="18"/>
    </row>
    <row r="48" spans="1:8">
      <c r="A48" s="18"/>
      <c r="B48" s="18"/>
      <c r="C48" s="18"/>
      <c r="D48" s="18"/>
      <c r="E48" s="18"/>
      <c r="F48" s="19"/>
      <c r="G48" s="18"/>
      <c r="H48" s="18"/>
    </row>
    <row r="49" spans="1:8">
      <c r="A49" s="18"/>
      <c r="B49" s="18"/>
      <c r="C49" s="18"/>
      <c r="D49" s="18"/>
      <c r="E49" s="18"/>
      <c r="F49" s="19"/>
      <c r="G49" s="18"/>
      <c r="H49" s="18"/>
    </row>
    <row r="50" spans="1:8">
      <c r="A50" s="18"/>
      <c r="B50" s="18"/>
      <c r="C50" s="18"/>
      <c r="D50" s="18"/>
      <c r="E50" s="18"/>
      <c r="F50" s="19"/>
      <c r="G50" s="18"/>
      <c r="H50" s="18"/>
    </row>
    <row r="51" spans="1:8">
      <c r="A51" s="18"/>
      <c r="B51" s="18"/>
      <c r="C51" s="18"/>
      <c r="D51" s="18"/>
      <c r="E51" s="18"/>
      <c r="F51" s="19"/>
      <c r="G51" s="18"/>
      <c r="H51" s="18"/>
    </row>
    <row r="52" spans="1:8">
      <c r="A52" s="18"/>
      <c r="B52" s="18"/>
      <c r="C52" s="18"/>
      <c r="D52" s="18"/>
      <c r="E52" s="18"/>
      <c r="F52" s="19"/>
      <c r="G52" s="18"/>
      <c r="H52" s="18"/>
    </row>
    <row r="53" spans="1:8">
      <c r="A53" s="18"/>
      <c r="B53" s="18"/>
      <c r="C53" s="18"/>
      <c r="D53" s="18"/>
      <c r="E53" s="18"/>
      <c r="F53" s="19"/>
      <c r="G53" s="18"/>
      <c r="H53" s="18"/>
    </row>
    <row r="54" spans="1:8">
      <c r="A54" s="18"/>
      <c r="B54" s="18"/>
      <c r="C54" s="18"/>
      <c r="D54" s="18"/>
      <c r="E54" s="18"/>
      <c r="F54" s="19"/>
      <c r="G54" s="18"/>
      <c r="H54" s="18"/>
    </row>
    <row r="55" spans="1:8">
      <c r="A55" s="18"/>
      <c r="B55" s="18"/>
      <c r="C55" s="18"/>
      <c r="D55" s="18"/>
      <c r="E55" s="18"/>
      <c r="F55" s="19"/>
      <c r="G55" s="18"/>
      <c r="H55" s="18"/>
    </row>
    <row r="56" spans="1:8">
      <c r="A56" s="18"/>
      <c r="B56" s="18"/>
      <c r="C56" s="18"/>
      <c r="D56" s="18"/>
      <c r="E56" s="18"/>
      <c r="F56" s="19"/>
      <c r="G56" s="18"/>
      <c r="H56" s="18"/>
    </row>
    <row r="57" spans="1:8">
      <c r="A57" s="18"/>
      <c r="B57" s="18"/>
      <c r="C57" s="18"/>
      <c r="D57" s="18"/>
      <c r="E57" s="18"/>
      <c r="F57" s="19"/>
      <c r="G57" s="18"/>
      <c r="H57" s="18"/>
    </row>
    <row r="58" spans="1:8">
      <c r="A58" s="18"/>
      <c r="B58" s="18"/>
      <c r="C58" s="18"/>
      <c r="D58" s="18"/>
      <c r="E58" s="18"/>
      <c r="F58" s="19"/>
      <c r="G58" s="18"/>
      <c r="H58" s="18"/>
    </row>
    <row r="59" spans="1:8">
      <c r="A59" s="18"/>
      <c r="B59" s="18"/>
      <c r="C59" s="18"/>
      <c r="D59" s="18"/>
      <c r="E59" s="18"/>
      <c r="F59" s="19"/>
      <c r="G59" s="18"/>
      <c r="H59" s="18"/>
    </row>
    <row r="60" spans="1:8">
      <c r="A60" s="18"/>
      <c r="B60" s="18"/>
      <c r="C60" s="18"/>
      <c r="D60" s="18"/>
      <c r="E60" s="18"/>
      <c r="F60" s="19"/>
      <c r="G60" s="18"/>
      <c r="H60" s="18"/>
    </row>
    <row r="61" spans="1:8">
      <c r="A61" s="18"/>
      <c r="B61" s="18"/>
      <c r="C61" s="18"/>
      <c r="D61" s="18"/>
      <c r="E61" s="18"/>
      <c r="F61" s="19"/>
      <c r="G61" s="18"/>
      <c r="H61" s="18"/>
    </row>
    <row r="62" spans="1:8">
      <c r="A62" s="18"/>
      <c r="B62" s="18"/>
      <c r="C62" s="18"/>
      <c r="D62" s="18"/>
      <c r="E62" s="18"/>
      <c r="F62" s="19"/>
      <c r="G62" s="18"/>
      <c r="H62" s="18"/>
    </row>
    <row r="63" spans="1:8">
      <c r="A63" s="18"/>
      <c r="B63" s="18"/>
      <c r="C63" s="18"/>
      <c r="D63" s="18"/>
      <c r="E63" s="18"/>
      <c r="F63" s="19"/>
      <c r="G63" s="18"/>
      <c r="H63" s="18"/>
    </row>
    <row r="64" spans="1:8">
      <c r="A64" s="18"/>
      <c r="B64" s="18"/>
      <c r="C64" s="18"/>
      <c r="D64" s="18"/>
      <c r="E64" s="18"/>
      <c r="F64" s="19"/>
      <c r="G64" s="18"/>
      <c r="H64" s="18"/>
    </row>
    <row r="65" spans="1:8">
      <c r="A65" s="18"/>
      <c r="B65" s="18"/>
      <c r="C65" s="18"/>
      <c r="D65" s="18"/>
      <c r="E65" s="18"/>
      <c r="F65" s="19"/>
      <c r="G65" s="18"/>
      <c r="H65" s="18"/>
    </row>
    <row r="66" spans="1:8">
      <c r="A66" s="18"/>
      <c r="B66" s="18"/>
      <c r="C66" s="18"/>
      <c r="D66" s="18"/>
      <c r="E66" s="18"/>
      <c r="F66" s="19"/>
      <c r="G66" s="18"/>
      <c r="H66" s="18"/>
    </row>
    <row r="67" spans="1:8">
      <c r="A67" s="18"/>
      <c r="B67" s="18"/>
      <c r="C67" s="18"/>
      <c r="D67" s="18"/>
      <c r="E67" s="18"/>
      <c r="F67" s="19"/>
      <c r="G67" s="18"/>
      <c r="H67" s="18"/>
    </row>
    <row r="68" spans="1:8">
      <c r="A68" s="18"/>
      <c r="B68" s="18"/>
      <c r="C68" s="18"/>
      <c r="D68" s="18"/>
      <c r="E68" s="18"/>
      <c r="F68" s="19"/>
      <c r="G68" s="18"/>
      <c r="H68" s="18"/>
    </row>
    <row r="69" spans="1:8">
      <c r="A69" s="18"/>
      <c r="B69" s="18"/>
      <c r="C69" s="18"/>
      <c r="D69" s="18"/>
      <c r="E69" s="18"/>
      <c r="F69" s="19"/>
      <c r="G69" s="18"/>
      <c r="H69" s="18"/>
    </row>
    <row r="70" spans="1:8">
      <c r="A70" s="18"/>
      <c r="B70" s="18"/>
      <c r="C70" s="18"/>
      <c r="D70" s="18"/>
      <c r="E70" s="18"/>
      <c r="F70" s="19"/>
      <c r="G70" s="18"/>
      <c r="H70" s="18"/>
    </row>
    <row r="71" spans="1:8">
      <c r="A71" s="18"/>
      <c r="B71" s="18"/>
      <c r="C71" s="18"/>
      <c r="D71" s="18"/>
      <c r="E71" s="18"/>
      <c r="F71" s="19"/>
      <c r="G71" s="18"/>
      <c r="H71" s="18"/>
    </row>
    <row r="72" spans="1:8">
      <c r="A72" s="18"/>
      <c r="B72" s="18"/>
      <c r="C72" s="18"/>
      <c r="D72" s="18"/>
      <c r="E72" s="18"/>
      <c r="F72" s="19"/>
      <c r="G72" s="18"/>
      <c r="H72" s="18"/>
    </row>
    <row r="73" spans="1:8">
      <c r="A73" s="18"/>
      <c r="B73" s="18"/>
      <c r="C73" s="18"/>
      <c r="D73" s="18"/>
      <c r="E73" s="18"/>
      <c r="F73" s="19"/>
      <c r="G73" s="18"/>
      <c r="H73" s="18"/>
    </row>
    <row r="74" spans="1:8">
      <c r="A74" s="18"/>
      <c r="B74" s="18"/>
      <c r="C74" s="18"/>
      <c r="D74" s="18"/>
      <c r="E74" s="18"/>
      <c r="F74" s="19"/>
      <c r="G74" s="18"/>
      <c r="H74" s="18"/>
    </row>
    <row r="75" spans="1:8">
      <c r="A75" s="18"/>
      <c r="B75" s="18"/>
      <c r="C75" s="18"/>
      <c r="D75" s="18"/>
      <c r="E75" s="18"/>
      <c r="F75" s="19"/>
      <c r="G75" s="18"/>
      <c r="H75" s="18"/>
    </row>
    <row r="76" spans="1:8">
      <c r="A76" s="18"/>
      <c r="B76" s="18"/>
      <c r="C76" s="18"/>
      <c r="D76" s="18"/>
      <c r="E76" s="18"/>
      <c r="F76" s="19"/>
      <c r="G76" s="18"/>
      <c r="H76" s="18"/>
    </row>
    <row r="77" spans="1:8">
      <c r="A77" s="18"/>
      <c r="B77" s="18"/>
      <c r="C77" s="18"/>
      <c r="D77" s="18"/>
      <c r="E77" s="18"/>
      <c r="F77" s="19"/>
      <c r="G77" s="18"/>
      <c r="H77" s="18"/>
    </row>
    <row r="78" spans="1:8">
      <c r="A78" s="18"/>
      <c r="B78" s="18"/>
      <c r="C78" s="18"/>
      <c r="D78" s="18"/>
      <c r="E78" s="18"/>
      <c r="F78" s="19"/>
      <c r="G78" s="18"/>
      <c r="H78" s="18"/>
    </row>
    <row r="79" spans="1:8">
      <c r="A79" s="18"/>
      <c r="B79" s="18"/>
      <c r="C79" s="18"/>
      <c r="D79" s="18"/>
      <c r="E79" s="18"/>
      <c r="F79" s="19"/>
      <c r="G79" s="18"/>
      <c r="H79" s="18"/>
    </row>
    <row r="80" spans="1:8">
      <c r="A80" s="18"/>
      <c r="B80" s="18"/>
      <c r="C80" s="18"/>
      <c r="D80" s="18"/>
      <c r="E80" s="18"/>
      <c r="F80" s="19"/>
      <c r="G80" s="18"/>
      <c r="H80" s="18"/>
    </row>
    <row r="81" spans="1:8">
      <c r="A81" s="18"/>
      <c r="B81" s="18"/>
      <c r="C81" s="18"/>
      <c r="D81" s="18"/>
      <c r="E81" s="18"/>
      <c r="F81" s="19"/>
      <c r="G81" s="18"/>
      <c r="H81" s="18"/>
    </row>
    <row r="82" spans="1:8">
      <c r="A82" s="18"/>
      <c r="B82" s="18"/>
      <c r="C82" s="18"/>
      <c r="D82" s="18"/>
      <c r="E82" s="18"/>
      <c r="F82" s="19"/>
      <c r="G82" s="18"/>
      <c r="H82" s="18"/>
    </row>
    <row r="83" spans="1:8">
      <c r="A83" s="18"/>
      <c r="B83" s="18"/>
      <c r="C83" s="18"/>
      <c r="D83" s="18"/>
      <c r="E83" s="18"/>
      <c r="F83" s="19"/>
      <c r="G83" s="18"/>
      <c r="H83" s="18"/>
    </row>
    <row r="84" spans="1:8">
      <c r="A84" s="18"/>
      <c r="B84" s="18"/>
      <c r="C84" s="18"/>
      <c r="D84" s="18"/>
      <c r="E84" s="18"/>
      <c r="F84" s="19"/>
      <c r="G84" s="18"/>
      <c r="H84" s="18"/>
    </row>
    <row r="85" spans="1:8">
      <c r="A85" s="18"/>
      <c r="B85" s="18"/>
      <c r="C85" s="18"/>
      <c r="D85" s="18"/>
      <c r="E85" s="18"/>
      <c r="F85" s="19"/>
      <c r="G85" s="18"/>
      <c r="H85" s="18"/>
    </row>
    <row r="86" spans="1:8">
      <c r="A86" s="18"/>
      <c r="B86" s="18"/>
      <c r="C86" s="18"/>
      <c r="D86" s="18"/>
      <c r="E86" s="18"/>
      <c r="F86" s="19"/>
      <c r="G86" s="18"/>
      <c r="H86" s="18"/>
    </row>
    <row r="87" spans="1:8">
      <c r="A87" s="18"/>
      <c r="B87" s="18"/>
      <c r="C87" s="18"/>
      <c r="D87" s="18"/>
      <c r="E87" s="18"/>
      <c r="F87" s="19"/>
      <c r="G87" s="18"/>
      <c r="H87" s="18"/>
    </row>
    <row r="88" spans="1:8">
      <c r="A88" s="18"/>
      <c r="B88" s="18"/>
      <c r="C88" s="18"/>
      <c r="D88" s="18"/>
      <c r="E88" s="18"/>
      <c r="F88" s="19"/>
      <c r="G88" s="18"/>
      <c r="H88" s="18"/>
    </row>
    <row r="89" spans="1:8">
      <c r="A89" s="18"/>
      <c r="B89" s="18"/>
      <c r="C89" s="18"/>
      <c r="D89" s="18"/>
      <c r="E89" s="18"/>
      <c r="F89" s="19"/>
      <c r="G89" s="18"/>
      <c r="H89" s="18"/>
    </row>
    <row r="90" spans="1:8">
      <c r="A90" s="18"/>
      <c r="B90" s="18"/>
      <c r="C90" s="18"/>
      <c r="D90" s="18"/>
      <c r="E90" s="18"/>
      <c r="F90" s="19"/>
      <c r="G90" s="18"/>
      <c r="H90" s="18"/>
    </row>
    <row r="91" spans="1:8">
      <c r="A91" s="18"/>
      <c r="B91" s="18"/>
      <c r="C91" s="18"/>
      <c r="D91" s="18"/>
      <c r="E91" s="18"/>
      <c r="F91" s="19"/>
      <c r="G91" s="18"/>
      <c r="H91" s="18"/>
    </row>
    <row r="92" spans="1:8">
      <c r="A92" s="18"/>
      <c r="B92" s="18"/>
      <c r="C92" s="18"/>
      <c r="D92" s="18"/>
      <c r="E92" s="18"/>
      <c r="F92" s="19"/>
      <c r="G92" s="18"/>
      <c r="H92" s="18"/>
    </row>
    <row r="93" spans="1:8">
      <c r="A93" s="18"/>
      <c r="B93" s="18"/>
      <c r="C93" s="18"/>
      <c r="D93" s="18"/>
      <c r="E93" s="18"/>
      <c r="F93" s="19"/>
      <c r="G93" s="18"/>
      <c r="H93" s="18"/>
    </row>
    <row r="94" spans="1:8">
      <c r="A94" s="18"/>
      <c r="B94" s="18"/>
      <c r="C94" s="18"/>
      <c r="D94" s="18"/>
      <c r="E94" s="18"/>
      <c r="F94" s="19"/>
      <c r="G94" s="18"/>
      <c r="H94" s="18"/>
    </row>
    <row r="95" spans="1:8">
      <c r="A95" s="18"/>
      <c r="B95" s="18"/>
      <c r="C95" s="18"/>
      <c r="D95" s="18"/>
      <c r="E95" s="18"/>
      <c r="F95" s="19"/>
      <c r="G95" s="18"/>
      <c r="H95" s="18"/>
    </row>
    <row r="96" spans="1:8">
      <c r="A96" s="18"/>
      <c r="B96" s="18"/>
      <c r="C96" s="18"/>
      <c r="D96" s="18"/>
      <c r="E96" s="18"/>
      <c r="F96" s="19"/>
      <c r="G96" s="18"/>
      <c r="H96" s="18"/>
    </row>
    <row r="97" spans="1:8">
      <c r="A97" s="18"/>
      <c r="B97" s="18"/>
      <c r="C97" s="18"/>
      <c r="D97" s="18"/>
      <c r="E97" s="18"/>
      <c r="F97" s="19"/>
      <c r="G97" s="18"/>
      <c r="H97" s="18"/>
    </row>
    <row r="98" spans="1:8">
      <c r="A98" s="18"/>
      <c r="B98" s="18"/>
      <c r="C98" s="18"/>
      <c r="D98" s="18"/>
      <c r="E98" s="18"/>
      <c r="F98" s="19"/>
      <c r="G98" s="18"/>
      <c r="H98" s="18"/>
    </row>
    <row r="99" spans="1:8">
      <c r="A99" s="18"/>
      <c r="B99" s="18"/>
      <c r="C99" s="18"/>
      <c r="D99" s="18"/>
      <c r="E99" s="18"/>
      <c r="F99" s="19"/>
      <c r="G99" s="18"/>
      <c r="H99" s="18"/>
    </row>
    <row r="100" spans="1:8">
      <c r="A100" s="18"/>
      <c r="B100" s="18"/>
      <c r="C100" s="18"/>
      <c r="D100" s="18"/>
      <c r="E100" s="18"/>
      <c r="F100" s="19"/>
      <c r="G100" s="18"/>
      <c r="H100" s="18"/>
    </row>
    <row r="101" spans="1:8">
      <c r="A101" s="18"/>
      <c r="B101" s="18"/>
      <c r="C101" s="18"/>
      <c r="D101" s="18"/>
      <c r="E101" s="18"/>
      <c r="F101" s="19"/>
      <c r="G101" s="18"/>
      <c r="H101" s="18"/>
    </row>
    <row r="102" spans="1:8">
      <c r="A102" s="18"/>
      <c r="B102" s="18"/>
      <c r="C102" s="18"/>
      <c r="D102" s="18"/>
      <c r="E102" s="18"/>
      <c r="F102" s="19"/>
      <c r="G102" s="18"/>
      <c r="H102" s="18"/>
    </row>
    <row r="103" spans="1:8">
      <c r="A103" s="18"/>
      <c r="B103" s="18"/>
      <c r="C103" s="18"/>
      <c r="D103" s="18"/>
      <c r="E103" s="18"/>
      <c r="F103" s="19"/>
      <c r="G103" s="18"/>
      <c r="H103" s="18"/>
    </row>
    <row r="104" spans="1:8">
      <c r="A104" s="18"/>
      <c r="B104" s="18"/>
      <c r="C104" s="18"/>
      <c r="D104" s="18"/>
      <c r="E104" s="18"/>
      <c r="F104" s="19"/>
      <c r="G104" s="18"/>
      <c r="H104" s="18"/>
    </row>
    <row r="105" spans="1:8">
      <c r="A105" s="18"/>
      <c r="B105" s="18"/>
      <c r="C105" s="18"/>
      <c r="D105" s="18"/>
      <c r="E105" s="18"/>
      <c r="F105" s="19"/>
      <c r="G105" s="18"/>
      <c r="H105" s="18"/>
    </row>
    <row r="106" spans="1:8">
      <c r="A106" s="18"/>
      <c r="B106" s="18"/>
      <c r="C106" s="18"/>
      <c r="D106" s="18"/>
      <c r="E106" s="18"/>
      <c r="F106" s="19"/>
      <c r="G106" s="18"/>
      <c r="H106" s="18"/>
    </row>
    <row r="107" spans="1:8">
      <c r="A107" s="18"/>
      <c r="B107" s="18"/>
      <c r="C107" s="18"/>
      <c r="D107" s="18"/>
      <c r="E107" s="18"/>
      <c r="F107" s="19"/>
      <c r="G107" s="18"/>
      <c r="H107" s="18"/>
    </row>
    <row r="108" spans="1:8">
      <c r="A108" s="18"/>
      <c r="B108" s="18"/>
      <c r="C108" s="18"/>
      <c r="D108" s="18"/>
      <c r="E108" s="18"/>
      <c r="F108" s="19"/>
      <c r="G108" s="18"/>
      <c r="H108" s="18"/>
    </row>
    <row r="109" spans="1:8">
      <c r="A109" s="18"/>
      <c r="B109" s="18"/>
      <c r="C109" s="18"/>
      <c r="D109" s="18"/>
      <c r="E109" s="18"/>
      <c r="F109" s="19"/>
      <c r="G109" s="18"/>
      <c r="H109" s="18"/>
    </row>
    <row r="110" spans="1:8">
      <c r="A110" s="18"/>
      <c r="B110" s="18"/>
      <c r="C110" s="18"/>
      <c r="D110" s="18"/>
      <c r="E110" s="18"/>
      <c r="F110" s="19"/>
      <c r="G110" s="18"/>
      <c r="H110" s="18"/>
    </row>
    <row r="111" spans="1:8">
      <c r="A111" s="18"/>
      <c r="B111" s="18"/>
      <c r="C111" s="18"/>
      <c r="D111" s="18"/>
      <c r="E111" s="18"/>
      <c r="F111" s="19"/>
      <c r="G111" s="18"/>
      <c r="H111" s="18"/>
    </row>
    <row r="112" spans="1:8">
      <c r="A112" s="18"/>
      <c r="B112" s="18"/>
      <c r="C112" s="18"/>
      <c r="D112" s="18"/>
      <c r="E112" s="18"/>
      <c r="F112" s="19"/>
      <c r="G112" s="18"/>
      <c r="H112" s="18"/>
    </row>
    <row r="113" spans="1:8">
      <c r="A113" s="18"/>
      <c r="B113" s="18"/>
      <c r="C113" s="18"/>
      <c r="D113" s="18"/>
      <c r="E113" s="18"/>
      <c r="F113" s="19"/>
      <c r="G113" s="18"/>
      <c r="H113" s="18"/>
    </row>
    <row r="114" spans="1:8">
      <c r="A114" s="18"/>
      <c r="B114" s="18"/>
      <c r="C114" s="18"/>
      <c r="D114" s="18"/>
      <c r="E114" s="18"/>
      <c r="F114" s="19"/>
      <c r="G114" s="18"/>
      <c r="H114" s="18"/>
    </row>
    <row r="115" spans="1:8">
      <c r="A115" s="18"/>
      <c r="B115" s="18"/>
      <c r="C115" s="18"/>
      <c r="D115" s="18"/>
      <c r="E115" s="18"/>
      <c r="F115" s="19"/>
      <c r="G115" s="18"/>
      <c r="H115" s="18"/>
    </row>
    <row r="116" spans="1:8">
      <c r="A116" s="18"/>
      <c r="B116" s="18"/>
      <c r="C116" s="18"/>
      <c r="D116" s="18"/>
      <c r="E116" s="18"/>
      <c r="F116" s="19"/>
      <c r="G116" s="18"/>
      <c r="H116" s="18"/>
    </row>
    <row r="117" spans="1:8">
      <c r="A117" s="18"/>
      <c r="B117" s="18"/>
      <c r="C117" s="18"/>
      <c r="D117" s="18"/>
      <c r="E117" s="18"/>
      <c r="F117" s="19"/>
      <c r="G117" s="18"/>
      <c r="H117" s="18"/>
    </row>
    <row r="118" spans="1:8">
      <c r="A118" s="18"/>
      <c r="B118" s="18"/>
      <c r="C118" s="18"/>
      <c r="D118" s="18"/>
      <c r="E118" s="18"/>
      <c r="F118" s="19"/>
      <c r="G118" s="18"/>
      <c r="H118" s="18"/>
    </row>
    <row r="119" spans="1:8">
      <c r="A119" s="18"/>
      <c r="B119" s="18"/>
      <c r="C119" s="18"/>
      <c r="D119" s="18"/>
      <c r="E119" s="18"/>
      <c r="F119" s="19"/>
      <c r="G119" s="18"/>
      <c r="H119" s="18"/>
    </row>
    <row r="120" spans="1:8">
      <c r="A120" s="18"/>
      <c r="B120" s="18"/>
      <c r="C120" s="18"/>
      <c r="D120" s="18"/>
      <c r="E120" s="18"/>
      <c r="F120" s="19"/>
      <c r="G120" s="18"/>
      <c r="H120" s="18"/>
    </row>
    <row r="121" spans="1:8">
      <c r="A121" s="18"/>
      <c r="B121" s="18"/>
      <c r="C121" s="18"/>
      <c r="D121" s="18"/>
      <c r="E121" s="18"/>
      <c r="F121" s="19"/>
      <c r="G121" s="18"/>
      <c r="H121" s="18"/>
    </row>
    <row r="122" spans="1:8">
      <c r="A122" s="18"/>
      <c r="B122" s="18"/>
      <c r="C122" s="18"/>
      <c r="D122" s="18"/>
      <c r="E122" s="18"/>
      <c r="F122" s="19"/>
      <c r="G122" s="18"/>
      <c r="H122" s="18"/>
    </row>
    <row r="123" spans="1:8">
      <c r="A123" s="18"/>
      <c r="B123" s="18"/>
      <c r="C123" s="18"/>
      <c r="D123" s="18"/>
      <c r="E123" s="18"/>
      <c r="F123" s="19"/>
      <c r="G123" s="18"/>
      <c r="H123" s="18"/>
    </row>
    <row r="124" spans="1:8">
      <c r="A124" s="18"/>
      <c r="B124" s="18"/>
      <c r="C124" s="18"/>
      <c r="D124" s="18"/>
      <c r="E124" s="18"/>
      <c r="F124" s="19"/>
      <c r="G124" s="18"/>
      <c r="H124" s="18"/>
    </row>
    <row r="125" spans="1:8">
      <c r="A125" s="18"/>
      <c r="B125" s="18"/>
      <c r="C125" s="18"/>
      <c r="D125" s="18"/>
      <c r="E125" s="18"/>
      <c r="F125" s="19"/>
      <c r="G125" s="18"/>
      <c r="H125" s="18"/>
    </row>
    <row r="126" spans="1:8">
      <c r="A126" s="18"/>
      <c r="B126" s="18"/>
      <c r="C126" s="18"/>
      <c r="D126" s="18"/>
      <c r="E126" s="18"/>
      <c r="F126" s="19"/>
      <c r="G126" s="18"/>
      <c r="H126" s="18"/>
    </row>
    <row r="127" spans="1:8">
      <c r="A127" s="18"/>
      <c r="B127" s="18"/>
      <c r="C127" s="18"/>
      <c r="D127" s="18"/>
      <c r="E127" s="18"/>
      <c r="F127" s="19"/>
      <c r="G127" s="18"/>
      <c r="H127" s="18"/>
    </row>
    <row r="128" spans="1:8">
      <c r="A128" s="18"/>
      <c r="B128" s="18"/>
      <c r="C128" s="18"/>
      <c r="D128" s="18"/>
      <c r="E128" s="18"/>
      <c r="F128" s="19"/>
      <c r="G128" s="18"/>
      <c r="H128" s="18"/>
    </row>
    <row r="129" spans="1:8">
      <c r="A129" s="18"/>
      <c r="B129" s="18"/>
      <c r="C129" s="18"/>
      <c r="D129" s="18"/>
      <c r="E129" s="18"/>
      <c r="F129" s="19"/>
      <c r="G129" s="18"/>
      <c r="H129" s="18"/>
    </row>
    <row r="130" spans="1:8">
      <c r="A130" s="18"/>
      <c r="B130" s="18"/>
      <c r="C130" s="18"/>
      <c r="D130" s="18"/>
      <c r="E130" s="18"/>
      <c r="F130" s="19"/>
      <c r="G130" s="18"/>
      <c r="H130" s="18"/>
    </row>
    <row r="131" spans="1:8">
      <c r="A131" s="18"/>
      <c r="B131" s="18"/>
      <c r="C131" s="18"/>
      <c r="D131" s="18"/>
      <c r="E131" s="18"/>
      <c r="F131" s="19"/>
      <c r="G131" s="18"/>
      <c r="H131" s="18"/>
    </row>
    <row r="132" spans="1:8">
      <c r="A132" s="18"/>
      <c r="B132" s="18"/>
      <c r="C132" s="18"/>
      <c r="D132" s="18"/>
      <c r="E132" s="18"/>
      <c r="F132" s="19"/>
      <c r="G132" s="18"/>
      <c r="H132" s="18"/>
    </row>
    <row r="133" spans="1:8">
      <c r="A133" s="18"/>
      <c r="B133" s="18"/>
      <c r="C133" s="18"/>
      <c r="D133" s="18"/>
      <c r="E133" s="18"/>
      <c r="F133" s="19"/>
      <c r="G133" s="18"/>
      <c r="H133" s="18"/>
    </row>
    <row r="134" spans="1:8">
      <c r="A134" s="18"/>
      <c r="B134" s="18"/>
      <c r="C134" s="18"/>
      <c r="D134" s="18"/>
      <c r="E134" s="18"/>
      <c r="F134" s="19"/>
      <c r="G134" s="18"/>
      <c r="H134" s="18"/>
    </row>
    <row r="135" spans="1:8">
      <c r="A135" s="18"/>
      <c r="B135" s="18"/>
      <c r="C135" s="18"/>
      <c r="D135" s="18"/>
      <c r="E135" s="18"/>
      <c r="F135" s="19"/>
      <c r="G135" s="18"/>
      <c r="H135" s="18"/>
    </row>
    <row r="136" spans="1:8">
      <c r="A136" s="18"/>
      <c r="B136" s="18"/>
      <c r="C136" s="18"/>
      <c r="D136" s="18"/>
      <c r="E136" s="18"/>
      <c r="F136" s="19"/>
      <c r="G136" s="18"/>
      <c r="H136" s="18"/>
    </row>
    <row r="137" spans="1:8">
      <c r="A137" s="18"/>
      <c r="B137" s="18"/>
      <c r="C137" s="18"/>
      <c r="D137" s="18"/>
      <c r="E137" s="18"/>
      <c r="F137" s="19"/>
      <c r="G137" s="18"/>
      <c r="H137" s="18"/>
    </row>
    <row r="138" spans="1:8">
      <c r="A138" s="18"/>
      <c r="B138" s="18"/>
      <c r="C138" s="18"/>
      <c r="D138" s="18"/>
      <c r="E138" s="18"/>
      <c r="F138" s="19"/>
      <c r="G138" s="18"/>
      <c r="H138" s="18"/>
    </row>
    <row r="139" spans="1:8">
      <c r="A139" s="18"/>
      <c r="B139" s="18"/>
      <c r="C139" s="18"/>
      <c r="D139" s="18"/>
      <c r="E139" s="18"/>
      <c r="F139" s="19"/>
      <c r="G139" s="18"/>
      <c r="H139" s="18"/>
    </row>
    <row r="140" spans="1:8">
      <c r="A140" s="18"/>
      <c r="B140" s="18"/>
      <c r="C140" s="18"/>
      <c r="D140" s="18"/>
      <c r="E140" s="18"/>
      <c r="F140" s="19"/>
      <c r="G140" s="18"/>
      <c r="H140" s="18"/>
    </row>
    <row r="141" spans="1:8">
      <c r="A141" s="18"/>
      <c r="B141" s="18"/>
      <c r="C141" s="18"/>
      <c r="D141" s="18"/>
      <c r="E141" s="18"/>
      <c r="F141" s="19"/>
      <c r="G141" s="18"/>
      <c r="H141" s="18"/>
    </row>
    <row r="142" spans="1:8">
      <c r="A142" s="18"/>
      <c r="B142" s="18"/>
      <c r="C142" s="18"/>
      <c r="D142" s="18"/>
      <c r="E142" s="18"/>
      <c r="F142" s="19"/>
      <c r="G142" s="18"/>
      <c r="H142" s="18"/>
    </row>
    <row r="143" spans="1:8">
      <c r="A143" s="18"/>
      <c r="B143" s="18"/>
      <c r="C143" s="18"/>
      <c r="D143" s="18"/>
      <c r="E143" s="18"/>
      <c r="F143" s="19"/>
      <c r="G143" s="18"/>
      <c r="H143" s="18"/>
    </row>
    <row r="144" spans="1:8">
      <c r="A144" s="18"/>
      <c r="B144" s="18"/>
      <c r="C144" s="18"/>
      <c r="D144" s="18"/>
      <c r="E144" s="18"/>
      <c r="F144" s="19"/>
      <c r="G144" s="18"/>
      <c r="H144" s="18"/>
    </row>
    <row r="145" spans="1:8">
      <c r="A145" s="18"/>
      <c r="B145" s="18"/>
      <c r="C145" s="18"/>
      <c r="D145" s="18"/>
      <c r="E145" s="18"/>
      <c r="F145" s="19"/>
      <c r="G145" s="18"/>
      <c r="H145" s="18"/>
    </row>
    <row r="146" spans="1:8">
      <c r="A146" s="18"/>
      <c r="B146" s="18"/>
      <c r="C146" s="18"/>
      <c r="D146" s="18"/>
      <c r="E146" s="18"/>
      <c r="F146" s="19"/>
      <c r="G146" s="18"/>
      <c r="H146" s="18"/>
    </row>
    <row r="147" spans="1:8">
      <c r="A147" s="18"/>
      <c r="B147" s="18"/>
      <c r="C147" s="18"/>
      <c r="D147" s="18"/>
      <c r="E147" s="18"/>
      <c r="F147" s="19"/>
      <c r="G147" s="18"/>
      <c r="H147" s="18"/>
    </row>
    <row r="148" spans="1:8">
      <c r="A148" s="18"/>
      <c r="B148" s="18"/>
      <c r="C148" s="18"/>
      <c r="D148" s="18"/>
      <c r="E148" s="18"/>
      <c r="F148" s="19"/>
      <c r="G148" s="18"/>
      <c r="H148" s="18"/>
    </row>
    <row r="149" spans="1:8">
      <c r="A149" s="18"/>
      <c r="B149" s="18"/>
      <c r="C149" s="18"/>
      <c r="D149" s="18"/>
      <c r="E149" s="18"/>
      <c r="F149" s="19"/>
      <c r="G149" s="18"/>
      <c r="H149" s="18"/>
    </row>
    <row r="150" spans="1:8">
      <c r="A150" s="18"/>
      <c r="B150" s="18"/>
      <c r="C150" s="18"/>
      <c r="D150" s="18"/>
      <c r="E150" s="18"/>
      <c r="F150" s="19"/>
      <c r="G150" s="18"/>
      <c r="H150" s="18"/>
    </row>
    <row r="151" spans="1:8">
      <c r="A151" s="18"/>
      <c r="B151" s="18"/>
      <c r="C151" s="18"/>
      <c r="D151" s="18"/>
      <c r="E151" s="18"/>
      <c r="F151" s="19"/>
      <c r="G151" s="18"/>
      <c r="H151" s="18"/>
    </row>
    <row r="152" spans="1:8">
      <c r="A152" s="18"/>
      <c r="B152" s="18"/>
      <c r="C152" s="18"/>
      <c r="D152" s="18"/>
      <c r="E152" s="18"/>
      <c r="F152" s="19"/>
      <c r="G152" s="18"/>
      <c r="H152" s="18"/>
    </row>
    <row r="153" spans="1:8">
      <c r="A153" s="18"/>
      <c r="B153" s="18"/>
      <c r="C153" s="18"/>
      <c r="D153" s="18"/>
      <c r="E153" s="18"/>
      <c r="F153" s="19"/>
      <c r="G153" s="18"/>
      <c r="H153" s="18"/>
    </row>
    <row r="154" spans="1:8">
      <c r="A154" s="18"/>
      <c r="B154" s="18"/>
      <c r="C154" s="18"/>
      <c r="D154" s="18"/>
      <c r="E154" s="18"/>
      <c r="F154" s="19"/>
      <c r="G154" s="18"/>
      <c r="H154" s="18"/>
    </row>
    <row r="155" spans="1:8">
      <c r="A155" s="18"/>
      <c r="B155" s="18"/>
      <c r="C155" s="18"/>
      <c r="D155" s="18"/>
      <c r="E155" s="18"/>
      <c r="F155" s="19"/>
      <c r="G155" s="18"/>
      <c r="H155" s="18"/>
    </row>
    <row r="156" spans="1:8">
      <c r="A156" s="18"/>
      <c r="B156" s="18"/>
      <c r="C156" s="18"/>
      <c r="D156" s="18"/>
      <c r="E156" s="18"/>
      <c r="F156" s="19"/>
      <c r="G156" s="18"/>
      <c r="H156" s="18"/>
    </row>
    <row r="157" spans="1:8">
      <c r="A157" s="18"/>
      <c r="B157" s="18"/>
      <c r="C157" s="18"/>
      <c r="D157" s="18"/>
      <c r="E157" s="18"/>
      <c r="F157" s="19"/>
      <c r="G157" s="18"/>
      <c r="H157" s="18"/>
    </row>
    <row r="158" spans="1:8">
      <c r="A158" s="18"/>
      <c r="B158" s="18"/>
      <c r="C158" s="18"/>
      <c r="D158" s="18"/>
      <c r="E158" s="18"/>
      <c r="F158" s="19"/>
      <c r="G158" s="18"/>
      <c r="H158" s="18"/>
    </row>
    <row r="159" spans="1:8">
      <c r="A159" s="18"/>
      <c r="B159" s="18"/>
      <c r="C159" s="18"/>
      <c r="D159" s="18"/>
      <c r="E159" s="18"/>
      <c r="F159" s="19"/>
      <c r="G159" s="18"/>
      <c r="H159" s="18"/>
    </row>
    <row r="160" spans="1:8">
      <c r="A160" s="18"/>
      <c r="B160" s="18"/>
      <c r="C160" s="18"/>
      <c r="D160" s="18"/>
      <c r="E160" s="18"/>
      <c r="F160" s="19"/>
      <c r="G160" s="18"/>
      <c r="H160" s="18"/>
    </row>
    <row r="161" spans="1:8">
      <c r="A161" s="18"/>
      <c r="B161" s="18"/>
      <c r="C161" s="18"/>
      <c r="D161" s="18"/>
      <c r="E161" s="18"/>
      <c r="F161" s="19"/>
      <c r="G161" s="18"/>
      <c r="H161" s="18"/>
    </row>
    <row r="162" spans="1:8">
      <c r="A162" s="18"/>
      <c r="B162" s="18"/>
      <c r="C162" s="18"/>
      <c r="D162" s="18"/>
      <c r="E162" s="18"/>
      <c r="F162" s="19"/>
      <c r="G162" s="18"/>
      <c r="H162" s="18"/>
    </row>
    <row r="163" spans="1:8">
      <c r="A163" s="18"/>
      <c r="B163" s="18"/>
      <c r="C163" s="18"/>
      <c r="D163" s="18"/>
      <c r="E163" s="18"/>
      <c r="F163" s="19"/>
      <c r="G163" s="18"/>
      <c r="H163" s="18"/>
    </row>
    <row r="164" spans="1:8">
      <c r="A164" s="18"/>
      <c r="B164" s="18"/>
      <c r="C164" s="18"/>
      <c r="D164" s="18"/>
      <c r="E164" s="18"/>
      <c r="F164" s="19"/>
      <c r="G164" s="18"/>
      <c r="H164" s="18"/>
    </row>
    <row r="165" spans="1:8">
      <c r="A165" s="18"/>
      <c r="B165" s="18"/>
      <c r="C165" s="18"/>
      <c r="D165" s="18"/>
      <c r="E165" s="18"/>
      <c r="F165" s="19"/>
      <c r="G165" s="18"/>
      <c r="H165" s="18"/>
    </row>
    <row r="166" spans="1:8">
      <c r="A166" s="18"/>
      <c r="B166" s="18"/>
      <c r="C166" s="18"/>
      <c r="D166" s="18"/>
      <c r="E166" s="18"/>
      <c r="F166" s="19"/>
      <c r="G166" s="18"/>
      <c r="H166" s="18"/>
    </row>
    <row r="167" spans="1:8">
      <c r="A167" s="18"/>
      <c r="B167" s="18"/>
      <c r="C167" s="18"/>
      <c r="D167" s="18"/>
      <c r="E167" s="18"/>
      <c r="F167" s="19"/>
      <c r="G167" s="18"/>
      <c r="H167" s="18"/>
    </row>
    <row r="168" spans="1:8">
      <c r="A168" s="18"/>
      <c r="B168" s="18"/>
      <c r="C168" s="18"/>
      <c r="D168" s="18"/>
      <c r="E168" s="18"/>
      <c r="F168" s="19"/>
      <c r="G168" s="18"/>
      <c r="H168" s="18"/>
    </row>
    <row r="169" spans="1:8">
      <c r="A169" s="18"/>
      <c r="B169" s="18"/>
      <c r="C169" s="18"/>
      <c r="D169" s="18"/>
      <c r="E169" s="18"/>
      <c r="F169" s="19"/>
      <c r="G169" s="18"/>
      <c r="H169" s="18"/>
    </row>
    <row r="170" spans="1:8">
      <c r="A170" s="18"/>
      <c r="B170" s="18"/>
      <c r="C170" s="18"/>
      <c r="D170" s="18"/>
      <c r="E170" s="18"/>
      <c r="F170" s="19"/>
      <c r="G170" s="18"/>
      <c r="H170" s="18"/>
    </row>
    <row r="171" spans="1:8">
      <c r="A171" s="18"/>
      <c r="B171" s="18"/>
      <c r="C171" s="18"/>
      <c r="D171" s="18"/>
      <c r="E171" s="18"/>
      <c r="F171" s="19"/>
      <c r="G171" s="18"/>
      <c r="H171" s="18"/>
    </row>
    <row r="172" spans="1:8">
      <c r="A172" s="18"/>
      <c r="B172" s="18"/>
      <c r="C172" s="18"/>
      <c r="D172" s="18"/>
      <c r="E172" s="18"/>
      <c r="F172" s="19"/>
      <c r="G172" s="18"/>
      <c r="H172" s="18"/>
    </row>
    <row r="173" spans="1:8">
      <c r="A173" s="18"/>
      <c r="B173" s="18"/>
      <c r="C173" s="18"/>
      <c r="D173" s="18"/>
      <c r="E173" s="18"/>
      <c r="F173" s="19"/>
      <c r="G173" s="18"/>
      <c r="H173" s="18"/>
    </row>
    <row r="174" spans="1:8">
      <c r="A174" s="18"/>
      <c r="B174" s="18"/>
      <c r="C174" s="18"/>
      <c r="D174" s="18"/>
      <c r="E174" s="18"/>
      <c r="F174" s="19"/>
      <c r="G174" s="18"/>
      <c r="H174" s="18"/>
    </row>
    <row r="175" spans="1:8">
      <c r="A175" s="18"/>
      <c r="B175" s="18"/>
      <c r="C175" s="18"/>
      <c r="D175" s="18"/>
      <c r="E175" s="18"/>
      <c r="F175" s="19"/>
      <c r="G175" s="18"/>
      <c r="H175" s="18"/>
    </row>
    <row r="176" spans="1:8">
      <c r="A176" s="18"/>
      <c r="B176" s="18"/>
      <c r="C176" s="18"/>
      <c r="D176" s="18"/>
      <c r="E176" s="18"/>
      <c r="F176" s="19"/>
      <c r="G176" s="18"/>
      <c r="H176" s="18"/>
    </row>
    <row r="177" spans="1:8">
      <c r="A177" s="18"/>
      <c r="B177" s="18"/>
      <c r="C177" s="18"/>
      <c r="D177" s="18"/>
      <c r="E177" s="18"/>
      <c r="F177" s="19"/>
      <c r="G177" s="18"/>
      <c r="H177" s="18"/>
    </row>
    <row r="178" spans="1:8">
      <c r="A178" s="18"/>
      <c r="B178" s="18"/>
      <c r="C178" s="18"/>
      <c r="D178" s="18"/>
      <c r="E178" s="18"/>
      <c r="F178" s="19"/>
      <c r="G178" s="18"/>
      <c r="H178" s="18"/>
    </row>
    <row r="179" spans="1:8">
      <c r="A179" s="18"/>
      <c r="B179" s="18"/>
      <c r="C179" s="18"/>
      <c r="D179" s="18"/>
      <c r="E179" s="18"/>
      <c r="F179" s="19"/>
      <c r="G179" s="18"/>
      <c r="H179" s="18"/>
    </row>
    <row r="180" spans="1:8">
      <c r="A180" s="18"/>
      <c r="B180" s="18"/>
      <c r="C180" s="18"/>
      <c r="D180" s="18"/>
      <c r="E180" s="18"/>
      <c r="F180" s="19"/>
      <c r="G180" s="18"/>
      <c r="H180" s="18"/>
    </row>
    <row r="181" spans="1:8">
      <c r="A181" s="18"/>
      <c r="B181" s="18"/>
      <c r="C181" s="18"/>
      <c r="D181" s="18"/>
      <c r="E181" s="18"/>
      <c r="F181" s="19"/>
      <c r="G181" s="18"/>
      <c r="H181" s="18"/>
    </row>
    <row r="182" spans="1:8">
      <c r="A182" s="18"/>
      <c r="B182" s="18"/>
      <c r="C182" s="18"/>
      <c r="D182" s="18"/>
      <c r="E182" s="18"/>
      <c r="F182" s="19"/>
      <c r="G182" s="18"/>
      <c r="H182" s="18"/>
    </row>
    <row r="183" spans="1:8">
      <c r="A183" s="18"/>
      <c r="B183" s="18"/>
      <c r="C183" s="18"/>
      <c r="D183" s="18"/>
      <c r="E183" s="18"/>
      <c r="F183" s="19"/>
      <c r="G183" s="18"/>
      <c r="H183" s="18"/>
    </row>
    <row r="184" spans="1:8">
      <c r="A184" s="18"/>
      <c r="B184" s="18"/>
      <c r="C184" s="18"/>
      <c r="D184" s="18"/>
      <c r="E184" s="18"/>
      <c r="F184" s="19"/>
      <c r="G184" s="18"/>
      <c r="H184" s="18"/>
    </row>
    <row r="185" spans="1:8">
      <c r="A185" s="18"/>
      <c r="B185" s="18"/>
      <c r="C185" s="18"/>
      <c r="D185" s="18"/>
      <c r="E185" s="18"/>
      <c r="F185" s="19"/>
      <c r="G185" s="18"/>
      <c r="H185" s="18"/>
    </row>
    <row r="186" spans="1:8">
      <c r="A186" s="18"/>
      <c r="B186" s="18"/>
      <c r="C186" s="18"/>
      <c r="D186" s="18"/>
      <c r="E186" s="18"/>
      <c r="F186" s="19"/>
      <c r="G186" s="18"/>
      <c r="H186" s="18"/>
    </row>
    <row r="187" spans="1:8">
      <c r="A187" s="18"/>
      <c r="B187" s="18"/>
      <c r="C187" s="18"/>
      <c r="D187" s="18"/>
      <c r="E187" s="18"/>
      <c r="F187" s="19"/>
      <c r="G187" s="18"/>
      <c r="H187" s="18"/>
    </row>
    <row r="188" spans="1:8">
      <c r="A188" s="18"/>
      <c r="B188" s="18"/>
      <c r="C188" s="18"/>
      <c r="D188" s="18"/>
      <c r="E188" s="18"/>
      <c r="F188" s="19"/>
      <c r="G188" s="18"/>
      <c r="H188" s="18"/>
    </row>
    <row r="189" spans="1:8">
      <c r="A189" s="18"/>
      <c r="B189" s="18"/>
      <c r="C189" s="18"/>
      <c r="D189" s="18"/>
      <c r="E189" s="18"/>
      <c r="F189" s="19"/>
      <c r="G189" s="18"/>
      <c r="H189" s="18"/>
    </row>
    <row r="190" spans="1:8">
      <c r="A190" s="18"/>
      <c r="B190" s="18"/>
      <c r="C190" s="18"/>
      <c r="D190" s="18"/>
      <c r="E190" s="18"/>
      <c r="F190" s="19"/>
      <c r="G190" s="18"/>
      <c r="H190" s="18"/>
    </row>
    <row r="191" spans="1:8">
      <c r="A191" s="18"/>
      <c r="B191" s="18"/>
      <c r="C191" s="18"/>
      <c r="D191" s="18"/>
      <c r="E191" s="18"/>
      <c r="F191" s="19"/>
      <c r="G191" s="18"/>
      <c r="H191" s="18"/>
    </row>
    <row r="192" spans="1:8">
      <c r="A192" s="18"/>
      <c r="B192" s="18"/>
      <c r="C192" s="18"/>
      <c r="D192" s="18"/>
      <c r="E192" s="18"/>
      <c r="F192" s="19"/>
      <c r="G192" s="18"/>
      <c r="H192" s="18"/>
    </row>
    <row r="193" spans="1:8">
      <c r="A193" s="18"/>
      <c r="B193" s="18"/>
      <c r="C193" s="18"/>
      <c r="D193" s="18"/>
      <c r="E193" s="18"/>
      <c r="F193" s="19"/>
      <c r="G193" s="18"/>
      <c r="H193" s="18"/>
    </row>
    <row r="194" spans="1:8">
      <c r="A194" s="18"/>
      <c r="B194" s="18"/>
      <c r="C194" s="18"/>
      <c r="D194" s="18"/>
      <c r="E194" s="18"/>
      <c r="F194" s="19"/>
      <c r="G194" s="18"/>
      <c r="H194" s="18"/>
    </row>
    <row r="195" spans="1:8">
      <c r="A195" s="18"/>
      <c r="B195" s="18"/>
      <c r="C195" s="18"/>
      <c r="D195" s="18"/>
      <c r="E195" s="18"/>
      <c r="F195" s="19"/>
      <c r="G195" s="18"/>
      <c r="H195" s="18"/>
    </row>
    <row r="196" spans="1:8">
      <c r="A196" s="18"/>
      <c r="B196" s="18"/>
      <c r="C196" s="18"/>
      <c r="D196" s="18"/>
      <c r="E196" s="18"/>
      <c r="F196" s="19"/>
      <c r="G196" s="18"/>
      <c r="H196" s="18"/>
    </row>
    <row r="197" spans="1:8">
      <c r="A197" s="18"/>
      <c r="B197" s="18"/>
      <c r="C197" s="18"/>
      <c r="D197" s="18"/>
      <c r="E197" s="18"/>
      <c r="F197" s="19"/>
      <c r="G197" s="18"/>
      <c r="H197" s="18"/>
    </row>
    <row r="198" spans="1:8">
      <c r="A198" s="18"/>
      <c r="B198" s="18"/>
      <c r="C198" s="18"/>
      <c r="D198" s="18"/>
      <c r="E198" s="18"/>
      <c r="F198" s="19"/>
      <c r="G198" s="18"/>
      <c r="H198" s="18"/>
    </row>
    <row r="199" spans="1:8">
      <c r="A199" s="18"/>
      <c r="B199" s="18"/>
      <c r="C199" s="18"/>
      <c r="D199" s="18"/>
      <c r="E199" s="18"/>
      <c r="F199" s="19"/>
      <c r="G199" s="18"/>
      <c r="H199" s="18"/>
    </row>
    <row r="200" spans="1:8">
      <c r="A200" s="18"/>
      <c r="B200" s="18"/>
      <c r="C200" s="18"/>
      <c r="D200" s="18"/>
      <c r="E200" s="18"/>
      <c r="F200" s="19"/>
      <c r="G200" s="18"/>
      <c r="H200" s="18"/>
    </row>
    <row r="201" spans="1:8">
      <c r="A201" s="18"/>
      <c r="B201" s="18"/>
      <c r="C201" s="18"/>
      <c r="D201" s="18"/>
      <c r="E201" s="18"/>
      <c r="F201" s="19"/>
      <c r="G201" s="18"/>
      <c r="H201" s="18"/>
    </row>
    <row r="202" spans="1:8">
      <c r="A202" s="18"/>
      <c r="B202" s="18"/>
      <c r="C202" s="18"/>
      <c r="D202" s="18"/>
      <c r="E202" s="18"/>
      <c r="F202" s="19"/>
      <c r="G202" s="18"/>
      <c r="H202" s="18"/>
    </row>
    <row r="203" spans="1:8">
      <c r="A203" s="18"/>
      <c r="B203" s="18"/>
      <c r="C203" s="18"/>
      <c r="D203" s="18"/>
      <c r="E203" s="18"/>
      <c r="F203" s="19"/>
      <c r="G203" s="18"/>
      <c r="H203" s="18"/>
    </row>
    <row r="204" spans="1:8">
      <c r="A204" s="18"/>
      <c r="B204" s="18"/>
      <c r="C204" s="18"/>
      <c r="D204" s="18"/>
      <c r="E204" s="18"/>
      <c r="F204" s="19"/>
      <c r="G204" s="18"/>
      <c r="H204" s="18"/>
    </row>
    <row r="205" spans="1:8">
      <c r="A205" s="18"/>
      <c r="B205" s="18"/>
      <c r="C205" s="18"/>
      <c r="D205" s="18"/>
      <c r="E205" s="18"/>
      <c r="F205" s="19"/>
      <c r="G205" s="18"/>
      <c r="H205" s="18"/>
    </row>
    <row r="206" spans="1:8">
      <c r="A206" s="18"/>
      <c r="B206" s="18"/>
      <c r="C206" s="18"/>
      <c r="D206" s="18"/>
      <c r="E206" s="18"/>
      <c r="F206" s="19"/>
      <c r="G206" s="18"/>
      <c r="H206" s="18"/>
    </row>
    <row r="207" spans="1:8">
      <c r="A207" s="18"/>
      <c r="B207" s="18"/>
      <c r="C207" s="18"/>
      <c r="D207" s="18"/>
      <c r="E207" s="18"/>
      <c r="F207" s="19"/>
      <c r="G207" s="18"/>
      <c r="H207" s="18"/>
    </row>
    <row r="208" spans="1:8">
      <c r="A208" s="18"/>
      <c r="B208" s="18"/>
      <c r="C208" s="18"/>
      <c r="D208" s="18"/>
      <c r="E208" s="18"/>
      <c r="F208" s="19"/>
      <c r="G208" s="18"/>
      <c r="H208" s="18"/>
    </row>
    <row r="209" spans="1:8">
      <c r="A209" s="18"/>
      <c r="B209" s="18"/>
      <c r="C209" s="18"/>
      <c r="D209" s="18"/>
      <c r="E209" s="18"/>
      <c r="F209" s="19"/>
      <c r="G209" s="18"/>
      <c r="H209" s="18"/>
    </row>
    <row r="210" spans="1:8">
      <c r="A210" s="18"/>
      <c r="B210" s="18"/>
      <c r="C210" s="18"/>
      <c r="D210" s="18"/>
      <c r="E210" s="18"/>
      <c r="F210" s="19"/>
      <c r="G210" s="18"/>
      <c r="H210" s="18"/>
    </row>
    <row r="211" spans="1:8">
      <c r="A211" s="18"/>
      <c r="B211" s="18"/>
      <c r="C211" s="18"/>
      <c r="D211" s="18"/>
      <c r="E211" s="18"/>
      <c r="F211" s="19"/>
      <c r="G211" s="18"/>
      <c r="H211" s="18"/>
    </row>
    <row r="212" spans="1:8">
      <c r="A212" s="18"/>
      <c r="B212" s="18"/>
      <c r="C212" s="18"/>
      <c r="D212" s="18"/>
      <c r="E212" s="18"/>
      <c r="F212" s="19"/>
      <c r="G212" s="18"/>
      <c r="H212" s="18"/>
    </row>
    <row r="213" spans="1:8">
      <c r="A213" s="18"/>
      <c r="B213" s="18"/>
      <c r="C213" s="18"/>
      <c r="D213" s="18"/>
      <c r="E213" s="18"/>
      <c r="F213" s="19"/>
      <c r="G213" s="18"/>
      <c r="H213" s="18"/>
    </row>
    <row r="214" spans="1:8">
      <c r="A214" s="18"/>
      <c r="B214" s="18"/>
      <c r="C214" s="18"/>
      <c r="D214" s="18"/>
      <c r="E214" s="18"/>
      <c r="F214" s="19"/>
      <c r="G214" s="18"/>
      <c r="H214" s="18"/>
    </row>
    <row r="215" spans="1:8">
      <c r="A215" s="18"/>
      <c r="B215" s="18"/>
      <c r="C215" s="18"/>
      <c r="D215" s="18"/>
      <c r="E215" s="18"/>
      <c r="F215" s="19"/>
      <c r="G215" s="18"/>
      <c r="H215" s="18"/>
    </row>
    <row r="216" spans="1:8">
      <c r="A216" s="18"/>
      <c r="B216" s="18"/>
      <c r="C216" s="18"/>
      <c r="D216" s="18"/>
      <c r="E216" s="18"/>
      <c r="F216" s="19"/>
      <c r="G216" s="18"/>
      <c r="H216" s="18"/>
    </row>
    <row r="217" spans="1:8">
      <c r="A217" s="18"/>
      <c r="B217" s="18"/>
      <c r="C217" s="18"/>
      <c r="D217" s="18"/>
      <c r="E217" s="18"/>
      <c r="F217" s="19"/>
      <c r="G217" s="18"/>
      <c r="H217" s="18"/>
    </row>
    <row r="218" spans="1:8">
      <c r="A218" s="18"/>
      <c r="B218" s="18"/>
      <c r="C218" s="18"/>
      <c r="D218" s="18"/>
      <c r="E218" s="18"/>
      <c r="F218" s="19"/>
      <c r="G218" s="18"/>
      <c r="H218" s="18"/>
    </row>
    <row r="219" spans="1:8">
      <c r="A219" s="18"/>
      <c r="B219" s="18"/>
      <c r="C219" s="18"/>
      <c r="D219" s="18"/>
      <c r="E219" s="18"/>
      <c r="F219" s="19"/>
      <c r="G219" s="18"/>
      <c r="H219" s="18"/>
    </row>
    <row r="220" spans="1:8">
      <c r="A220" s="18"/>
      <c r="B220" s="18"/>
      <c r="C220" s="18"/>
      <c r="D220" s="18"/>
      <c r="E220" s="18"/>
      <c r="F220" s="19"/>
      <c r="G220" s="18"/>
      <c r="H220" s="18"/>
    </row>
    <row r="221" spans="1:8">
      <c r="A221" s="18"/>
      <c r="B221" s="18"/>
      <c r="C221" s="18"/>
      <c r="D221" s="18"/>
      <c r="E221" s="18"/>
      <c r="F221" s="19"/>
      <c r="G221" s="18"/>
      <c r="H221" s="18"/>
    </row>
    <row r="222" spans="1:8">
      <c r="A222" s="18"/>
      <c r="B222" s="18"/>
      <c r="C222" s="18"/>
      <c r="D222" s="18"/>
      <c r="E222" s="18"/>
      <c r="F222" s="19"/>
      <c r="G222" s="18"/>
      <c r="H222" s="18"/>
    </row>
    <row r="223" spans="1:8">
      <c r="A223" s="18"/>
      <c r="B223" s="18"/>
      <c r="C223" s="18"/>
      <c r="D223" s="18"/>
      <c r="E223" s="18"/>
      <c r="F223" s="19"/>
      <c r="G223" s="18"/>
      <c r="H223" s="18"/>
    </row>
    <row r="224" spans="1:8">
      <c r="A224" s="18"/>
      <c r="B224" s="18"/>
      <c r="C224" s="18"/>
      <c r="D224" s="18"/>
      <c r="E224" s="18"/>
      <c r="F224" s="19"/>
      <c r="G224" s="18"/>
      <c r="H224" s="18"/>
    </row>
    <row r="225" spans="1:8">
      <c r="A225" s="18"/>
      <c r="B225" s="18"/>
      <c r="C225" s="18"/>
      <c r="D225" s="18"/>
      <c r="E225" s="18"/>
      <c r="F225" s="19"/>
      <c r="G225" s="18"/>
      <c r="H225" s="18"/>
    </row>
    <row r="226" spans="1:8">
      <c r="A226" s="18"/>
      <c r="B226" s="18"/>
      <c r="C226" s="18"/>
      <c r="D226" s="18"/>
      <c r="E226" s="18"/>
      <c r="F226" s="19"/>
      <c r="G226" s="18"/>
      <c r="H226" s="18"/>
    </row>
    <row r="227" spans="1:8">
      <c r="A227" s="18"/>
      <c r="B227" s="18"/>
      <c r="C227" s="18"/>
      <c r="D227" s="18"/>
      <c r="E227" s="18"/>
      <c r="F227" s="19"/>
      <c r="G227" s="18"/>
      <c r="H227" s="18"/>
    </row>
    <row r="228" spans="1:8">
      <c r="A228" s="18"/>
      <c r="B228" s="18"/>
      <c r="C228" s="18"/>
      <c r="D228" s="18"/>
      <c r="E228" s="18"/>
      <c r="F228" s="19"/>
      <c r="G228" s="18"/>
      <c r="H228" s="18"/>
    </row>
    <row r="229" spans="1:8">
      <c r="A229" s="18"/>
      <c r="B229" s="18"/>
      <c r="C229" s="18"/>
      <c r="D229" s="18"/>
      <c r="E229" s="18"/>
      <c r="F229" s="19"/>
      <c r="G229" s="18"/>
      <c r="H229" s="18"/>
    </row>
    <row r="230" spans="1:8">
      <c r="A230" s="18"/>
      <c r="B230" s="18"/>
      <c r="C230" s="18"/>
      <c r="D230" s="18"/>
      <c r="E230" s="18"/>
      <c r="F230" s="19"/>
      <c r="G230" s="18"/>
      <c r="H230" s="18"/>
    </row>
    <row r="231" spans="1:8">
      <c r="A231" s="18"/>
      <c r="B231" s="18"/>
      <c r="C231" s="18"/>
      <c r="D231" s="18"/>
      <c r="E231" s="18"/>
      <c r="F231" s="19"/>
      <c r="G231" s="18"/>
      <c r="H231" s="18"/>
    </row>
    <row r="232" spans="1:8">
      <c r="A232" s="18"/>
      <c r="B232" s="18"/>
      <c r="C232" s="18"/>
      <c r="D232" s="18"/>
      <c r="E232" s="18"/>
      <c r="F232" s="19"/>
      <c r="G232" s="18"/>
      <c r="H232" s="18"/>
    </row>
    <row r="233" spans="1:8">
      <c r="A233" s="18"/>
      <c r="B233" s="18"/>
      <c r="C233" s="18"/>
      <c r="D233" s="18"/>
      <c r="E233" s="18"/>
      <c r="F233" s="19"/>
      <c r="G233" s="18"/>
      <c r="H233" s="18"/>
    </row>
    <row r="234" spans="1:8">
      <c r="A234" s="18"/>
      <c r="B234" s="18"/>
      <c r="C234" s="18"/>
      <c r="D234" s="18"/>
      <c r="E234" s="18"/>
      <c r="F234" s="19"/>
      <c r="G234" s="18"/>
      <c r="H234" s="18"/>
    </row>
    <row r="235" spans="1:8">
      <c r="A235" s="18"/>
      <c r="B235" s="18"/>
      <c r="C235" s="18"/>
      <c r="D235" s="18"/>
      <c r="E235" s="18"/>
      <c r="F235" s="19"/>
      <c r="G235" s="18"/>
      <c r="H235" s="18"/>
    </row>
    <row r="236" spans="1:8">
      <c r="A236" s="18"/>
      <c r="B236" s="18"/>
      <c r="C236" s="18"/>
      <c r="D236" s="18"/>
      <c r="E236" s="18"/>
      <c r="F236" s="19"/>
      <c r="G236" s="18"/>
      <c r="H236" s="18"/>
    </row>
    <row r="237" spans="1:8">
      <c r="A237" s="18"/>
      <c r="B237" s="18"/>
      <c r="C237" s="18"/>
      <c r="D237" s="18"/>
      <c r="E237" s="18"/>
      <c r="F237" s="19"/>
      <c r="G237" s="18"/>
      <c r="H237" s="18"/>
    </row>
    <row r="238" spans="1:8">
      <c r="A238" s="18"/>
      <c r="B238" s="18"/>
      <c r="C238" s="18"/>
      <c r="D238" s="18"/>
      <c r="E238" s="18"/>
      <c r="F238" s="19"/>
      <c r="G238" s="18"/>
      <c r="H238" s="18"/>
    </row>
    <row r="239" spans="1:8">
      <c r="A239" s="18"/>
      <c r="B239" s="18"/>
      <c r="C239" s="18"/>
      <c r="D239" s="18"/>
      <c r="E239" s="18"/>
      <c r="F239" s="19"/>
      <c r="G239" s="18"/>
      <c r="H239" s="18"/>
    </row>
    <row r="240" spans="1:8">
      <c r="A240" s="18"/>
      <c r="B240" s="18"/>
      <c r="C240" s="18"/>
      <c r="D240" s="18"/>
      <c r="E240" s="18"/>
      <c r="F240" s="19"/>
      <c r="G240" s="18"/>
      <c r="H240" s="18"/>
    </row>
    <row r="241" spans="1:8">
      <c r="A241" s="18"/>
      <c r="B241" s="18"/>
      <c r="C241" s="18"/>
      <c r="D241" s="18"/>
      <c r="E241" s="18"/>
      <c r="F241" s="19"/>
      <c r="G241" s="18"/>
      <c r="H241" s="18"/>
    </row>
    <row r="242" spans="1:8">
      <c r="A242" s="18"/>
      <c r="B242" s="18"/>
      <c r="C242" s="18"/>
      <c r="D242" s="18"/>
      <c r="E242" s="18"/>
      <c r="F242" s="19"/>
      <c r="G242" s="18"/>
      <c r="H242" s="18"/>
    </row>
    <row r="243" spans="1:8">
      <c r="A243" s="18"/>
      <c r="B243" s="18"/>
      <c r="C243" s="18"/>
      <c r="D243" s="18"/>
      <c r="E243" s="18"/>
      <c r="F243" s="19"/>
      <c r="G243" s="18"/>
      <c r="H243" s="18"/>
    </row>
    <row r="244" spans="1:8">
      <c r="A244" s="18"/>
      <c r="B244" s="18"/>
      <c r="C244" s="18"/>
      <c r="D244" s="18"/>
      <c r="E244" s="18"/>
      <c r="F244" s="19"/>
      <c r="G244" s="18"/>
      <c r="H244" s="18"/>
    </row>
    <row r="245" spans="1:8">
      <c r="A245" s="18"/>
      <c r="B245" s="18"/>
      <c r="C245" s="18"/>
      <c r="D245" s="18"/>
      <c r="E245" s="18"/>
      <c r="F245" s="19"/>
      <c r="G245" s="18"/>
      <c r="H245" s="18"/>
    </row>
    <row r="246" spans="1:8">
      <c r="A246" s="18"/>
      <c r="B246" s="18"/>
      <c r="C246" s="18"/>
      <c r="D246" s="18"/>
      <c r="E246" s="18"/>
      <c r="F246" s="19"/>
      <c r="G246" s="18"/>
      <c r="H246" s="18"/>
    </row>
    <row r="247" spans="1:8">
      <c r="A247" s="18"/>
      <c r="B247" s="18"/>
      <c r="C247" s="18"/>
      <c r="D247" s="18"/>
      <c r="E247" s="18"/>
      <c r="F247" s="19"/>
      <c r="G247" s="18"/>
      <c r="H247" s="18"/>
    </row>
    <row r="248" spans="1:8">
      <c r="A248" s="18"/>
      <c r="B248" s="18"/>
      <c r="C248" s="18"/>
      <c r="D248" s="18"/>
      <c r="E248" s="18"/>
      <c r="F248" s="19"/>
      <c r="G248" s="18"/>
      <c r="H248" s="18"/>
    </row>
    <row r="249" spans="1:8">
      <c r="A249" s="18"/>
      <c r="B249" s="18"/>
      <c r="C249" s="18"/>
      <c r="D249" s="18"/>
      <c r="E249" s="18"/>
      <c r="F249" s="19"/>
      <c r="G249" s="18"/>
      <c r="H249" s="18"/>
    </row>
    <row r="250" spans="1:8">
      <c r="A250" s="18"/>
      <c r="B250" s="18"/>
      <c r="C250" s="18"/>
      <c r="D250" s="18"/>
      <c r="E250" s="18"/>
      <c r="F250" s="19"/>
      <c r="G250" s="18"/>
      <c r="H250" s="18"/>
    </row>
    <row r="251" spans="1:8">
      <c r="A251" s="18"/>
      <c r="B251" s="18"/>
      <c r="C251" s="18"/>
      <c r="D251" s="18"/>
      <c r="E251" s="18"/>
      <c r="F251" s="19"/>
      <c r="G251" s="18"/>
      <c r="H251" s="18"/>
    </row>
    <row r="252" spans="1:8">
      <c r="A252" s="18"/>
      <c r="B252" s="18"/>
      <c r="C252" s="18"/>
      <c r="D252" s="18"/>
      <c r="E252" s="18"/>
      <c r="F252" s="19"/>
      <c r="G252" s="18"/>
      <c r="H252" s="18"/>
    </row>
    <row r="253" spans="1:8">
      <c r="A253" s="18"/>
      <c r="B253" s="18"/>
      <c r="C253" s="18"/>
      <c r="D253" s="18"/>
      <c r="E253" s="18"/>
      <c r="F253" s="19"/>
      <c r="G253" s="18"/>
      <c r="H253" s="18"/>
    </row>
    <row r="254" spans="1:8">
      <c r="A254" s="18"/>
      <c r="B254" s="18"/>
      <c r="C254" s="18"/>
      <c r="D254" s="18"/>
      <c r="E254" s="18"/>
      <c r="F254" s="19"/>
      <c r="G254" s="18"/>
      <c r="H254" s="18"/>
    </row>
    <row r="255" spans="1:8">
      <c r="A255" s="18"/>
      <c r="B255" s="18"/>
      <c r="C255" s="18"/>
      <c r="D255" s="18"/>
      <c r="E255" s="18"/>
      <c r="F255" s="19"/>
      <c r="G255" s="18"/>
      <c r="H255" s="18"/>
    </row>
    <row r="256" spans="1:8">
      <c r="A256" s="18"/>
      <c r="B256" s="18"/>
      <c r="C256" s="18"/>
      <c r="D256" s="18"/>
      <c r="E256" s="18"/>
      <c r="F256" s="19"/>
      <c r="G256" s="18"/>
      <c r="H256" s="18"/>
    </row>
    <row r="257" spans="1:8">
      <c r="A257" s="18"/>
      <c r="B257" s="18"/>
      <c r="C257" s="18"/>
      <c r="D257" s="18"/>
      <c r="E257" s="18"/>
      <c r="F257" s="19"/>
      <c r="G257" s="18"/>
      <c r="H257" s="18"/>
    </row>
    <row r="258" spans="1:8">
      <c r="A258" s="18"/>
      <c r="B258" s="18"/>
      <c r="C258" s="18"/>
      <c r="D258" s="18"/>
      <c r="E258" s="18"/>
      <c r="F258" s="19"/>
      <c r="G258" s="18"/>
      <c r="H258" s="18"/>
    </row>
    <row r="259" spans="1:8">
      <c r="A259" s="18"/>
      <c r="B259" s="18"/>
      <c r="C259" s="18"/>
      <c r="D259" s="18"/>
      <c r="E259" s="18"/>
      <c r="F259" s="19"/>
      <c r="G259" s="18"/>
      <c r="H259" s="18"/>
    </row>
    <row r="260" spans="1:8">
      <c r="A260" s="18"/>
      <c r="B260" s="18"/>
      <c r="C260" s="18"/>
      <c r="D260" s="18"/>
      <c r="E260" s="18"/>
      <c r="F260" s="19"/>
      <c r="G260" s="18"/>
      <c r="H260" s="18"/>
    </row>
    <row r="261" spans="1:8">
      <c r="A261" s="18"/>
      <c r="B261" s="18"/>
      <c r="C261" s="18"/>
      <c r="D261" s="18"/>
      <c r="E261" s="18"/>
      <c r="F261" s="19"/>
      <c r="G261" s="18"/>
      <c r="H261" s="18"/>
    </row>
    <row r="262" spans="1:8">
      <c r="A262" s="18"/>
      <c r="B262" s="18"/>
      <c r="C262" s="18"/>
      <c r="D262" s="18"/>
      <c r="E262" s="18"/>
      <c r="F262" s="19"/>
      <c r="G262" s="18"/>
      <c r="H262" s="18"/>
    </row>
    <row r="263" spans="1:8">
      <c r="A263" s="18"/>
      <c r="B263" s="18"/>
      <c r="C263" s="18"/>
      <c r="D263" s="18"/>
      <c r="E263" s="18"/>
      <c r="F263" s="19"/>
      <c r="G263" s="18"/>
      <c r="H263" s="18"/>
    </row>
    <row r="264" spans="1:8">
      <c r="A264" s="18"/>
      <c r="B264" s="18"/>
      <c r="C264" s="18"/>
      <c r="D264" s="18"/>
      <c r="E264" s="18"/>
      <c r="F264" s="19"/>
      <c r="G264" s="18"/>
      <c r="H264" s="18"/>
    </row>
    <row r="265" spans="1:8">
      <c r="A265" s="18"/>
      <c r="B265" s="18"/>
      <c r="C265" s="18"/>
      <c r="D265" s="18"/>
      <c r="E265" s="18"/>
      <c r="F265" s="19"/>
      <c r="G265" s="18"/>
      <c r="H265" s="18"/>
    </row>
    <row r="266" spans="1:8">
      <c r="A266" s="18"/>
      <c r="B266" s="18"/>
      <c r="C266" s="18"/>
      <c r="D266" s="18"/>
      <c r="E266" s="18"/>
      <c r="F266" s="19"/>
      <c r="G266" s="18"/>
      <c r="H266" s="18"/>
    </row>
    <row r="267" spans="1:8">
      <c r="A267" s="18"/>
      <c r="B267" s="18"/>
      <c r="C267" s="18"/>
      <c r="D267" s="18"/>
      <c r="E267" s="18"/>
      <c r="F267" s="19"/>
      <c r="G267" s="18"/>
      <c r="H267" s="18"/>
    </row>
    <row r="268" spans="1:8">
      <c r="A268" s="18"/>
      <c r="B268" s="18"/>
      <c r="C268" s="18"/>
      <c r="D268" s="18"/>
      <c r="E268" s="18"/>
      <c r="F268" s="19"/>
      <c r="G268" s="18"/>
      <c r="H268" s="18"/>
    </row>
    <row r="269" spans="1:8">
      <c r="A269" s="18"/>
      <c r="B269" s="18"/>
      <c r="C269" s="18"/>
      <c r="D269" s="18"/>
      <c r="E269" s="18"/>
      <c r="F269" s="19"/>
      <c r="G269" s="18"/>
      <c r="H269" s="18"/>
    </row>
    <row r="270" spans="1:8">
      <c r="A270" s="18"/>
      <c r="B270" s="18"/>
      <c r="C270" s="18"/>
      <c r="D270" s="18"/>
      <c r="E270" s="18"/>
      <c r="F270" s="19"/>
      <c r="G270" s="18"/>
      <c r="H270" s="18"/>
    </row>
    <row r="271" spans="1:8">
      <c r="A271" s="18"/>
      <c r="B271" s="18"/>
      <c r="C271" s="18"/>
      <c r="D271" s="18"/>
      <c r="E271" s="18"/>
      <c r="F271" s="19"/>
      <c r="G271" s="18"/>
      <c r="H271" s="18"/>
    </row>
    <row r="272" spans="1:8">
      <c r="A272" s="18"/>
      <c r="B272" s="18"/>
      <c r="C272" s="18"/>
      <c r="D272" s="18"/>
      <c r="E272" s="18"/>
      <c r="F272" s="19"/>
      <c r="G272" s="18"/>
      <c r="H272" s="18"/>
    </row>
    <row r="273" spans="1:8">
      <c r="A273" s="18"/>
      <c r="B273" s="18"/>
      <c r="C273" s="18"/>
      <c r="D273" s="18"/>
      <c r="E273" s="18"/>
      <c r="F273" s="19"/>
      <c r="G273" s="18"/>
      <c r="H273" s="18"/>
    </row>
    <row r="274" spans="1:8">
      <c r="A274" s="18"/>
      <c r="B274" s="18"/>
      <c r="C274" s="18"/>
      <c r="D274" s="18"/>
      <c r="E274" s="18"/>
      <c r="F274" s="19"/>
      <c r="G274" s="18"/>
      <c r="H274" s="18"/>
    </row>
    <row r="275" spans="1:8">
      <c r="A275" s="18"/>
      <c r="B275" s="18"/>
      <c r="C275" s="18"/>
      <c r="D275" s="18"/>
      <c r="E275" s="18"/>
      <c r="F275" s="19"/>
      <c r="G275" s="18"/>
      <c r="H275" s="18"/>
    </row>
    <row r="276" spans="1:8">
      <c r="A276" s="18"/>
      <c r="B276" s="18"/>
      <c r="C276" s="18"/>
      <c r="D276" s="18"/>
      <c r="E276" s="18"/>
      <c r="F276" s="19"/>
      <c r="G276" s="18"/>
      <c r="H276" s="18"/>
    </row>
    <row r="277" spans="1:8">
      <c r="A277" s="18"/>
      <c r="B277" s="18"/>
      <c r="C277" s="18"/>
      <c r="D277" s="18"/>
      <c r="E277" s="18"/>
      <c r="F277" s="19"/>
      <c r="G277" s="18"/>
      <c r="H277" s="18"/>
    </row>
    <row r="278" spans="1:8">
      <c r="A278" s="18"/>
      <c r="B278" s="18"/>
      <c r="C278" s="18"/>
      <c r="D278" s="18"/>
      <c r="E278" s="18"/>
      <c r="F278" s="19"/>
      <c r="G278" s="18"/>
      <c r="H278" s="18"/>
    </row>
    <row r="279" spans="1:8">
      <c r="A279" s="18"/>
      <c r="B279" s="18"/>
      <c r="C279" s="18"/>
      <c r="D279" s="18"/>
      <c r="E279" s="18"/>
      <c r="F279" s="19"/>
      <c r="G279" s="18"/>
      <c r="H279" s="18"/>
    </row>
    <row r="280" spans="1:8">
      <c r="A280" s="18"/>
      <c r="B280" s="18"/>
      <c r="C280" s="18"/>
      <c r="D280" s="18"/>
      <c r="E280" s="18"/>
      <c r="F280" s="19"/>
      <c r="G280" s="18"/>
      <c r="H280" s="18"/>
    </row>
    <row r="281" spans="1:8">
      <c r="A281" s="18"/>
      <c r="B281" s="18"/>
      <c r="C281" s="18"/>
      <c r="D281" s="18"/>
      <c r="E281" s="18"/>
      <c r="F281" s="19"/>
      <c r="G281" s="18"/>
      <c r="H281" s="18"/>
    </row>
    <row r="282" spans="1:8">
      <c r="A282" s="18"/>
      <c r="B282" s="18"/>
      <c r="C282" s="18"/>
      <c r="D282" s="18"/>
      <c r="E282" s="18"/>
      <c r="F282" s="19"/>
      <c r="G282" s="18"/>
      <c r="H282" s="18"/>
    </row>
    <row r="283" spans="1:8">
      <c r="A283" s="18"/>
      <c r="B283" s="18"/>
      <c r="C283" s="18"/>
      <c r="D283" s="18"/>
      <c r="E283" s="18"/>
      <c r="F283" s="19"/>
      <c r="G283" s="18"/>
      <c r="H283" s="18"/>
    </row>
    <row r="284" spans="1:8">
      <c r="A284" s="18"/>
      <c r="B284" s="18"/>
      <c r="C284" s="18"/>
      <c r="D284" s="18"/>
      <c r="E284" s="18"/>
      <c r="F284" s="19"/>
      <c r="G284" s="18"/>
      <c r="H284" s="18"/>
    </row>
    <row r="285" spans="1:8">
      <c r="A285" s="18"/>
      <c r="B285" s="18"/>
      <c r="C285" s="18"/>
      <c r="D285" s="18"/>
      <c r="E285" s="18"/>
      <c r="F285" s="19"/>
      <c r="G285" s="18"/>
      <c r="H285" s="18"/>
    </row>
    <row r="286" spans="1:8">
      <c r="A286" s="18"/>
      <c r="B286" s="18"/>
      <c r="C286" s="18"/>
      <c r="D286" s="18"/>
      <c r="E286" s="18"/>
      <c r="F286" s="19"/>
      <c r="G286" s="18"/>
      <c r="H286" s="18"/>
    </row>
    <row r="287" spans="1:8">
      <c r="A287" s="18"/>
      <c r="B287" s="18"/>
      <c r="C287" s="18"/>
      <c r="D287" s="18"/>
      <c r="E287" s="18"/>
      <c r="F287" s="19"/>
      <c r="G287" s="18"/>
      <c r="H287" s="18"/>
    </row>
    <row r="288" spans="1:8">
      <c r="A288" s="18"/>
      <c r="B288" s="18"/>
      <c r="C288" s="18"/>
      <c r="D288" s="18"/>
      <c r="E288" s="18"/>
      <c r="F288" s="19"/>
      <c r="G288" s="18"/>
      <c r="H288" s="18"/>
    </row>
    <row r="289" spans="1:8">
      <c r="A289" s="18"/>
      <c r="B289" s="18"/>
      <c r="C289" s="18"/>
      <c r="D289" s="18"/>
      <c r="E289" s="18"/>
      <c r="F289" s="19"/>
      <c r="G289" s="18"/>
      <c r="H289" s="18"/>
    </row>
    <row r="290" spans="1:8">
      <c r="A290" s="18"/>
      <c r="B290" s="18"/>
      <c r="C290" s="18"/>
      <c r="D290" s="18"/>
      <c r="E290" s="18"/>
      <c r="F290" s="19"/>
      <c r="G290" s="18"/>
      <c r="H290" s="18"/>
    </row>
    <row r="291" spans="1:8">
      <c r="A291" s="18"/>
      <c r="B291" s="18"/>
      <c r="C291" s="18"/>
      <c r="D291" s="18"/>
      <c r="E291" s="18"/>
      <c r="F291" s="19"/>
      <c r="G291" s="18"/>
      <c r="H291" s="18"/>
    </row>
    <row r="292" spans="1:8">
      <c r="A292" s="18"/>
      <c r="B292" s="18"/>
      <c r="C292" s="18"/>
      <c r="D292" s="18"/>
      <c r="E292" s="18"/>
      <c r="F292" s="19"/>
      <c r="G292" s="18"/>
      <c r="H292" s="18"/>
    </row>
    <row r="293" spans="1:8">
      <c r="A293" s="18"/>
      <c r="B293" s="18"/>
      <c r="C293" s="18"/>
      <c r="D293" s="18"/>
      <c r="E293" s="18"/>
      <c r="F293" s="19"/>
      <c r="G293" s="18"/>
      <c r="H293" s="18"/>
    </row>
    <row r="294" spans="1:8">
      <c r="A294" s="18"/>
      <c r="B294" s="18"/>
      <c r="C294" s="18"/>
      <c r="D294" s="18"/>
      <c r="E294" s="18"/>
      <c r="F294" s="19"/>
      <c r="G294" s="18"/>
      <c r="H294" s="18"/>
    </row>
    <row r="295" spans="1:8">
      <c r="A295" s="18"/>
      <c r="B295" s="18"/>
      <c r="C295" s="18"/>
      <c r="D295" s="18"/>
      <c r="E295" s="18"/>
      <c r="F295" s="19"/>
      <c r="G295" s="18"/>
      <c r="H295" s="18"/>
    </row>
    <row r="296" spans="1:8">
      <c r="A296" s="18"/>
      <c r="B296" s="18"/>
      <c r="C296" s="18"/>
      <c r="D296" s="18"/>
      <c r="E296" s="18"/>
      <c r="F296" s="19"/>
      <c r="G296" s="18"/>
      <c r="H296" s="18"/>
    </row>
    <row r="297" spans="1:8">
      <c r="A297" s="18"/>
      <c r="B297" s="18"/>
      <c r="C297" s="18"/>
      <c r="D297" s="18"/>
      <c r="E297" s="18"/>
      <c r="F297" s="19"/>
      <c r="G297" s="18"/>
      <c r="H297" s="18"/>
    </row>
    <row r="298" spans="1:8">
      <c r="A298" s="18"/>
      <c r="B298" s="18"/>
      <c r="C298" s="18"/>
      <c r="D298" s="18"/>
      <c r="E298" s="18"/>
      <c r="F298" s="19"/>
      <c r="G298" s="18"/>
      <c r="H298" s="18"/>
    </row>
    <row r="299" spans="1:8">
      <c r="A299" s="18"/>
      <c r="B299" s="18"/>
      <c r="C299" s="18"/>
      <c r="D299" s="18"/>
      <c r="E299" s="18"/>
      <c r="F299" s="19"/>
      <c r="G299" s="18"/>
      <c r="H299" s="18"/>
    </row>
    <row r="300" spans="1:8">
      <c r="A300" s="18"/>
      <c r="B300" s="18"/>
      <c r="C300" s="18"/>
      <c r="D300" s="18"/>
      <c r="E300" s="18"/>
      <c r="F300" s="19"/>
      <c r="G300" s="18"/>
      <c r="H300" s="18"/>
    </row>
    <row r="301" spans="1:8">
      <c r="A301" s="18"/>
      <c r="B301" s="18"/>
      <c r="C301" s="18"/>
      <c r="D301" s="18"/>
      <c r="E301" s="18"/>
      <c r="F301" s="19"/>
      <c r="G301" s="18"/>
      <c r="H301" s="18"/>
    </row>
    <row r="302" spans="1:8">
      <c r="A302" s="18"/>
      <c r="B302" s="18"/>
      <c r="C302" s="18"/>
      <c r="D302" s="18"/>
      <c r="E302" s="18"/>
      <c r="F302" s="19"/>
      <c r="G302" s="18"/>
      <c r="H302" s="18"/>
    </row>
    <row r="303" spans="1:8">
      <c r="A303" s="18"/>
      <c r="B303" s="18"/>
      <c r="C303" s="18"/>
      <c r="D303" s="18"/>
      <c r="E303" s="18"/>
      <c r="F303" s="19"/>
      <c r="G303" s="18"/>
      <c r="H303" s="18"/>
    </row>
    <row r="304" spans="1:8">
      <c r="A304" s="18"/>
      <c r="B304" s="18"/>
      <c r="C304" s="18"/>
      <c r="D304" s="18"/>
      <c r="E304" s="18"/>
      <c r="F304" s="19"/>
      <c r="G304" s="18"/>
      <c r="H304" s="18"/>
    </row>
    <row r="305" spans="1:8">
      <c r="A305" s="18"/>
      <c r="B305" s="18"/>
      <c r="C305" s="18"/>
      <c r="D305" s="18"/>
      <c r="E305" s="18"/>
      <c r="F305" s="19"/>
      <c r="G305" s="18"/>
      <c r="H305" s="18"/>
    </row>
    <row r="306" spans="1:8">
      <c r="A306" s="18"/>
      <c r="B306" s="18"/>
      <c r="C306" s="18"/>
      <c r="D306" s="18"/>
      <c r="E306" s="18"/>
      <c r="F306" s="19"/>
      <c r="G306" s="18"/>
      <c r="H306" s="18"/>
    </row>
    <row r="307" spans="1:8">
      <c r="A307" s="18"/>
      <c r="B307" s="18"/>
      <c r="C307" s="18"/>
      <c r="D307" s="18"/>
      <c r="E307" s="18"/>
      <c r="F307" s="19"/>
      <c r="G307" s="18"/>
      <c r="H307" s="18"/>
    </row>
    <row r="308" spans="1:8">
      <c r="A308" s="18"/>
      <c r="B308" s="18"/>
      <c r="C308" s="18"/>
      <c r="D308" s="18"/>
      <c r="E308" s="18"/>
      <c r="F308" s="19"/>
      <c r="G308" s="18"/>
      <c r="H308" s="18"/>
    </row>
    <row r="309" spans="1:8">
      <c r="A309" s="18"/>
      <c r="B309" s="18"/>
      <c r="C309" s="18"/>
      <c r="D309" s="18"/>
      <c r="E309" s="18"/>
      <c r="F309" s="19"/>
      <c r="G309" s="18"/>
      <c r="H309" s="18"/>
    </row>
    <row r="310" spans="1:8">
      <c r="A310" s="18"/>
      <c r="B310" s="18"/>
      <c r="C310" s="18"/>
      <c r="D310" s="18"/>
      <c r="E310" s="18"/>
      <c r="F310" s="19"/>
      <c r="G310" s="18"/>
      <c r="H310" s="18"/>
    </row>
    <row r="311" spans="1:8">
      <c r="A311" s="18"/>
      <c r="B311" s="18"/>
      <c r="C311" s="18"/>
      <c r="D311" s="18"/>
      <c r="E311" s="18"/>
      <c r="F311" s="19"/>
      <c r="G311" s="18"/>
      <c r="H311" s="18"/>
    </row>
    <row r="312" spans="1:8">
      <c r="A312" s="18"/>
      <c r="B312" s="18"/>
      <c r="C312" s="18"/>
      <c r="D312" s="18"/>
      <c r="E312" s="18"/>
      <c r="F312" s="19"/>
      <c r="G312" s="18"/>
      <c r="H312" s="18"/>
    </row>
    <row r="313" spans="1:8">
      <c r="A313" s="18"/>
      <c r="B313" s="18"/>
      <c r="C313" s="18"/>
      <c r="D313" s="18"/>
      <c r="E313" s="18"/>
      <c r="F313" s="19"/>
      <c r="G313" s="18"/>
      <c r="H313" s="18"/>
    </row>
    <row r="314" spans="1:8">
      <c r="A314" s="18"/>
      <c r="B314" s="18"/>
      <c r="C314" s="18"/>
      <c r="D314" s="18"/>
      <c r="E314" s="18"/>
      <c r="F314" s="19"/>
      <c r="G314" s="18"/>
      <c r="H314" s="18"/>
    </row>
    <row r="315" spans="1:8">
      <c r="A315" s="18"/>
      <c r="B315" s="18"/>
      <c r="C315" s="18"/>
      <c r="D315" s="18"/>
      <c r="E315" s="18"/>
      <c r="F315" s="19"/>
      <c r="G315" s="18"/>
      <c r="H315" s="18"/>
    </row>
    <row r="316" spans="1:8">
      <c r="A316" s="18"/>
      <c r="B316" s="18"/>
      <c r="C316" s="18"/>
      <c r="D316" s="18"/>
      <c r="E316" s="18"/>
      <c r="F316" s="19"/>
      <c r="G316" s="18"/>
      <c r="H316" s="18"/>
    </row>
    <row r="317" spans="1:8">
      <c r="A317" s="18"/>
      <c r="B317" s="18"/>
      <c r="C317" s="18"/>
      <c r="D317" s="18"/>
      <c r="E317" s="18"/>
      <c r="F317" s="19"/>
      <c r="G317" s="18"/>
      <c r="H317" s="18"/>
    </row>
    <row r="318" spans="1:8">
      <c r="A318" s="18"/>
      <c r="B318" s="18"/>
      <c r="C318" s="18"/>
      <c r="D318" s="18"/>
      <c r="E318" s="18"/>
      <c r="F318" s="19"/>
      <c r="G318" s="18"/>
      <c r="H318" s="18"/>
    </row>
    <row r="319" spans="1:8">
      <c r="A319" s="18"/>
      <c r="B319" s="18"/>
      <c r="C319" s="18"/>
      <c r="D319" s="18"/>
      <c r="E319" s="18"/>
      <c r="F319" s="19"/>
      <c r="G319" s="18"/>
      <c r="H319" s="18"/>
    </row>
    <row r="320" spans="1:8">
      <c r="A320" s="18"/>
      <c r="B320" s="18"/>
      <c r="C320" s="18"/>
      <c r="D320" s="18"/>
      <c r="E320" s="18"/>
      <c r="F320" s="19"/>
      <c r="G320" s="18"/>
      <c r="H320" s="18"/>
    </row>
    <row r="321" spans="1:8">
      <c r="A321" s="18"/>
      <c r="B321" s="18"/>
      <c r="C321" s="18"/>
      <c r="D321" s="18"/>
      <c r="E321" s="18"/>
      <c r="F321" s="19"/>
      <c r="G321" s="18"/>
      <c r="H321" s="18"/>
    </row>
    <row r="322" spans="1:8">
      <c r="A322" s="18"/>
      <c r="B322" s="18"/>
      <c r="C322" s="18"/>
      <c r="D322" s="18"/>
      <c r="E322" s="18"/>
      <c r="F322" s="19"/>
      <c r="G322" s="18"/>
      <c r="H322" s="18"/>
    </row>
    <row r="323" spans="1:8">
      <c r="A323" s="18"/>
      <c r="B323" s="18"/>
      <c r="C323" s="18"/>
      <c r="D323" s="18"/>
      <c r="E323" s="18"/>
      <c r="F323" s="19"/>
      <c r="G323" s="18"/>
      <c r="H323" s="18"/>
    </row>
    <row r="324" spans="1:8">
      <c r="A324" s="18"/>
      <c r="B324" s="18"/>
      <c r="C324" s="18"/>
      <c r="D324" s="18"/>
      <c r="E324" s="18"/>
      <c r="F324" s="19"/>
      <c r="G324" s="18"/>
      <c r="H324" s="18"/>
    </row>
    <row r="325" spans="1:8">
      <c r="A325" s="18"/>
      <c r="B325" s="18"/>
      <c r="C325" s="18"/>
      <c r="D325" s="18"/>
      <c r="E325" s="18"/>
      <c r="F325" s="19"/>
      <c r="G325" s="18"/>
      <c r="H325" s="18"/>
    </row>
    <row r="326" spans="1:8">
      <c r="A326" s="18"/>
      <c r="B326" s="18"/>
      <c r="C326" s="18"/>
      <c r="D326" s="18"/>
      <c r="E326" s="18"/>
      <c r="F326" s="19"/>
      <c r="G326" s="18"/>
      <c r="H326" s="18"/>
    </row>
    <row r="327" spans="1:8">
      <c r="A327" s="18"/>
      <c r="B327" s="18"/>
      <c r="C327" s="18"/>
      <c r="D327" s="18"/>
      <c r="E327" s="18"/>
      <c r="F327" s="19"/>
      <c r="G327" s="18"/>
      <c r="H327" s="18"/>
    </row>
    <row r="328" spans="1:8">
      <c r="A328" s="18"/>
      <c r="B328" s="18"/>
      <c r="C328" s="18"/>
      <c r="D328" s="18"/>
      <c r="E328" s="18"/>
      <c r="F328" s="19"/>
      <c r="G328" s="18"/>
      <c r="H328" s="18"/>
    </row>
    <row r="329" spans="1:8">
      <c r="A329" s="18"/>
      <c r="B329" s="18"/>
      <c r="C329" s="18"/>
      <c r="D329" s="18"/>
      <c r="E329" s="18"/>
      <c r="F329" s="19"/>
      <c r="G329" s="18"/>
      <c r="H329" s="18"/>
    </row>
    <row r="330" spans="1:8">
      <c r="A330" s="18"/>
      <c r="B330" s="18"/>
      <c r="C330" s="18"/>
      <c r="D330" s="18"/>
      <c r="E330" s="18"/>
      <c r="F330" s="19"/>
      <c r="G330" s="18"/>
      <c r="H330" s="18"/>
    </row>
    <row r="331" spans="1:8">
      <c r="A331" s="18"/>
      <c r="B331" s="18"/>
      <c r="C331" s="18"/>
      <c r="D331" s="18"/>
      <c r="E331" s="18"/>
      <c r="F331" s="19"/>
      <c r="G331" s="18"/>
      <c r="H331" s="18"/>
    </row>
    <row r="332" spans="1:8">
      <c r="A332" s="18"/>
      <c r="B332" s="18"/>
      <c r="C332" s="18"/>
      <c r="D332" s="18"/>
      <c r="E332" s="18"/>
      <c r="F332" s="19"/>
      <c r="G332" s="18"/>
      <c r="H332" s="18"/>
    </row>
    <row r="333" spans="1:8">
      <c r="A333" s="18"/>
      <c r="B333" s="18"/>
      <c r="C333" s="18"/>
      <c r="D333" s="18"/>
      <c r="E333" s="18"/>
      <c r="F333" s="19"/>
      <c r="G333" s="18"/>
      <c r="H333" s="18"/>
    </row>
    <row r="334" spans="1:8">
      <c r="A334" s="18"/>
      <c r="B334" s="18"/>
      <c r="C334" s="18"/>
      <c r="D334" s="18"/>
      <c r="E334" s="18"/>
      <c r="F334" s="19"/>
      <c r="G334" s="18"/>
      <c r="H334" s="18"/>
    </row>
    <row r="335" spans="1:8">
      <c r="A335" s="18"/>
      <c r="B335" s="18"/>
      <c r="C335" s="18"/>
      <c r="D335" s="18"/>
      <c r="E335" s="18"/>
      <c r="F335" s="19"/>
      <c r="G335" s="18"/>
      <c r="H335" s="18"/>
    </row>
    <row r="336" spans="1:8">
      <c r="A336" s="18"/>
      <c r="B336" s="18"/>
      <c r="C336" s="18"/>
      <c r="D336" s="18"/>
      <c r="E336" s="18"/>
      <c r="F336" s="19"/>
      <c r="G336" s="18"/>
      <c r="H336" s="18"/>
    </row>
    <row r="337" spans="1:8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42</v>
      </c>
      <c r="D1" s="223"/>
      <c r="E1" s="224"/>
      <c r="F1" s="225" t="s">
        <v>43</v>
      </c>
      <c r="G1" s="226"/>
      <c r="H1" s="227"/>
    </row>
    <row r="2" spans="1:8" ht="19.5" customHeight="1">
      <c r="A2" s="41" t="s">
        <v>2</v>
      </c>
      <c r="B2" s="4">
        <f ca="1">SUM(B4:B90)</f>
        <v>6130390.3505927958</v>
      </c>
      <c r="C2" s="4">
        <f ca="1">SUM(C4:C90)</f>
        <v>5954368.9574999996</v>
      </c>
      <c r="D2" s="4">
        <f ca="1">B2-C2</f>
        <v>176021.39309279621</v>
      </c>
      <c r="E2" s="5">
        <f ca="1">IFERROR(D2/C2, 0)</f>
        <v>2.9561720872382843E-2</v>
      </c>
      <c r="F2" s="4">
        <f ca="1">SUM(F4:F90)</f>
        <v>6607064.5981000001</v>
      </c>
      <c r="G2" s="6">
        <f ca="1">B2-F2</f>
        <v>-476674.2475072043</v>
      </c>
      <c r="H2" s="5">
        <f ca="1">IFERROR(G2/F2, 0)</f>
        <v>-7.2146146057703447E-2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376887.89770549018</v>
      </c>
      <c r="C4" s="11">
        <f ca="1">SUM(SUMIF(_xlfn.ANCHORARRAY(Jul!$B$4), $A4, Jul!D$4:D$65), SUMIF(_xlfn.ANCHORARRAY(Aug!$C$4), $A4, Aug!E$4:E$69), SUMIF(_xlfn.ANCHORARRAY(Sep!$B$4), $A4, Sep!D$4:D$69))</f>
        <v>337723.875</v>
      </c>
      <c r="D4" s="11">
        <f ca="1">IF(AND(ISNUMBER(B4),ISNUMBER(C4)), B4-C4, "")</f>
        <v>39164.022705490177</v>
      </c>
      <c r="E4" s="12">
        <f ca="1">IFERROR(D4/C4, "")</f>
        <v>0.11596462555538953</v>
      </c>
      <c r="F4" s="13">
        <f ca="1">SUM(SUMIF(_xlfn.ANCHORARRAY(Jul!$B$4), $A4, Jul!G$4:G$65), SUMIF(_xlfn.ANCHORARRAY(Aug!$C$4), $A4, Aug!H$4:H$69), SUMIF(_xlfn.ANCHORARRAY(Sep!$B$4), $A4, Sep!G$4:G$69))</f>
        <v>429928.09900000005</v>
      </c>
      <c r="G4" s="13">
        <f ca="1">IF(AND(ISNUMBER(B4),ISNUMBER(F4)), B4-F4, "")</f>
        <v>-53040.201294509869</v>
      </c>
      <c r="H4" s="14">
        <f ca="1">IFERROR(G4/F4, "")</f>
        <v>-0.12336993422360576</v>
      </c>
    </row>
    <row r="5" spans="1:8" ht="1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84766.084358285967</v>
      </c>
      <c r="C5" s="15">
        <f ca="1">SUM(SUMIF(_xlfn.ANCHORARRAY(Jul!$B$4), $A5, Jul!D$4:D$65), SUMIF(_xlfn.ANCHORARRAY(Aug!$C$4), $A5, Aug!E$4:E$69), SUMIF(_xlfn.ANCHORARRAY(Sep!$B$4), $A5, Sep!D$4:D$69))</f>
        <v>0</v>
      </c>
      <c r="D5" s="15">
        <f t="shared" ref="D5:D11" ca="1" si="0">IF(AND(ISNUMBER(B5),ISNUMBER(C5)), B5-C5, "")</f>
        <v>84766.084358285967</v>
      </c>
      <c r="E5" s="16" t="str">
        <f ca="1">IFERROR(D5/C5, "")</f>
        <v/>
      </c>
      <c r="F5" s="15">
        <f ca="1">SUM(SUMIF(_xlfn.ANCHORARRAY(Jul!$B$4), $A5, Jul!G$4:G$65), SUMIF(_xlfn.ANCHORARRAY(Aug!$C$4), $A5, Aug!H$4:H$69), SUMIF(_xlfn.ANCHORARRAY(Sep!$B$4), $A5, Sep!G$4:G$69))</f>
        <v>85474.804999999993</v>
      </c>
      <c r="G5" s="15">
        <f ca="1">IF(AND(ISNUMBER(B5),ISNUMBER(F5)), B5-F5, "")</f>
        <v>-708.72064171402599</v>
      </c>
      <c r="H5" s="16">
        <f ca="1">IFERROR(G5/F5, "")</f>
        <v>-8.2915736597939712E-3</v>
      </c>
    </row>
    <row r="6" spans="1:8" ht="1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5109.6630102449517</v>
      </c>
      <c r="C6" s="11">
        <f ca="1">SUM(SUMIF(_xlfn.ANCHORARRAY(Jul!$B$4), $A6, Jul!D$4:D$65), SUMIF(_xlfn.ANCHORARRAY(Aug!$C$4), $A6, Aug!E$4:E$69), SUMIF(_xlfn.ANCHORARRAY(Sep!$B$4), $A6, Sep!D$4:D$69))</f>
        <v>3669.1039999999998</v>
      </c>
      <c r="D6" s="11">
        <f t="shared" ca="1" si="0"/>
        <v>1440.5590102449519</v>
      </c>
      <c r="E6" s="12">
        <f t="shared" ref="E6:E11" ca="1" si="1">IFERROR(D6/C6, "")</f>
        <v>0.39261874567876842</v>
      </c>
      <c r="F6" s="13">
        <f ca="1">SUM(SUMIF(_xlfn.ANCHORARRAY(Jul!$B$4), $A6, Jul!G$4:G$65), SUMIF(_xlfn.ANCHORARRAY(Aug!$C$4), $A6, Aug!H$4:H$69), SUMIF(_xlfn.ANCHORARRAY(Sep!$B$4), $A6, Sep!G$4:G$69))</f>
        <v>5963.2071999999998</v>
      </c>
      <c r="G6" s="13">
        <f t="shared" ref="G6:G11" ca="1" si="2">IF(AND(ISNUMBER(B6),ISNUMBER(F6)), B6-F6, "")</f>
        <v>-853.54418975504814</v>
      </c>
      <c r="H6" s="14">
        <f t="shared" ref="H6:H11" ca="1" si="3">IFERROR(G6/F6, "")</f>
        <v>-0.14313508840595848</v>
      </c>
    </row>
    <row r="7" spans="1:8" ht="1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2209.1030453051731</v>
      </c>
      <c r="C7" s="15">
        <f ca="1">SUM(SUMIF(_xlfn.ANCHORARRAY(Jul!$B$4), $A7, Jul!D$4:D$65), SUMIF(_xlfn.ANCHORARRAY(Aug!$C$4), $A7, Aug!E$4:E$69), SUMIF(_xlfn.ANCHORARRAY(Sep!$B$4), $A7, Sep!D$4:D$69))</f>
        <v>13582.234</v>
      </c>
      <c r="D7" s="15">
        <f t="shared" ca="1" si="0"/>
        <v>-11373.130954694827</v>
      </c>
      <c r="E7" s="16">
        <f t="shared" ca="1" si="1"/>
        <v>-0.83735348357971351</v>
      </c>
      <c r="F7" s="15">
        <f ca="1">SUM(SUMIF(_xlfn.ANCHORARRAY(Jul!$B$4), $A7, Jul!G$4:G$65), SUMIF(_xlfn.ANCHORARRAY(Aug!$C$4), $A7, Aug!H$4:H$69), SUMIF(_xlfn.ANCHORARRAY(Sep!$B$4), $A7, Sep!G$4:G$69))</f>
        <v>15389</v>
      </c>
      <c r="G7" s="15">
        <f t="shared" ca="1" si="2"/>
        <v>-13179.896954694826</v>
      </c>
      <c r="H7" s="16">
        <f t="shared" ca="1" si="3"/>
        <v>-0.85644921402916541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795278.5</v>
      </c>
      <c r="C8" s="11">
        <f ca="1">SUM(SUMIF(_xlfn.ANCHORARRAY(Jul!$B$4), $A8, Jul!D$4:D$65), SUMIF(_xlfn.ANCHORARRAY(Aug!$C$4), $A8, Aug!E$4:E$69), SUMIF(_xlfn.ANCHORARRAY(Sep!$B$4), $A8, Sep!D$4:D$69))</f>
        <v>838659.48</v>
      </c>
      <c r="D8" s="11">
        <f t="shared" ca="1" si="0"/>
        <v>-43380.979999999981</v>
      </c>
      <c r="E8" s="12">
        <f t="shared" ca="1" si="1"/>
        <v>-5.172657202897174E-2</v>
      </c>
      <c r="F8" s="13">
        <f ca="1">SUM(SUMIF(_xlfn.ANCHORARRAY(Jul!$B$4), $A8, Jul!G$4:G$65), SUMIF(_xlfn.ANCHORARRAY(Aug!$C$4), $A8, Aug!H$4:H$69), SUMIF(_xlfn.ANCHORARRAY(Sep!$B$4), $A8, Sep!G$4:G$69))</f>
        <v>872315.97</v>
      </c>
      <c r="G8" s="13">
        <f t="shared" ca="1" si="2"/>
        <v>-77037.469999999972</v>
      </c>
      <c r="H8" s="14">
        <f t="shared" ca="1" si="3"/>
        <v>-8.8313721918905116E-2</v>
      </c>
    </row>
    <row r="9" spans="1:8" ht="1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877760.7</v>
      </c>
      <c r="C9" s="15">
        <f ca="1">SUM(SUMIF(_xlfn.ANCHORARRAY(Jul!$B$4), $A9, Jul!D$4:D$65), SUMIF(_xlfn.ANCHORARRAY(Aug!$C$4), $A9, Aug!E$4:E$69), SUMIF(_xlfn.ANCHORARRAY(Sep!$B$4), $A9, Sep!D$4:D$69))</f>
        <v>931701.12100000004</v>
      </c>
      <c r="D9" s="15">
        <f t="shared" ca="1" si="0"/>
        <v>-53940.421000000089</v>
      </c>
      <c r="E9" s="16">
        <f t="shared" ca="1" si="1"/>
        <v>-5.7894554148550915E-2</v>
      </c>
      <c r="F9" s="15">
        <f ca="1">SUM(SUMIF(_xlfn.ANCHORARRAY(Jul!$B$4), $A9, Jul!G$4:G$65), SUMIF(_xlfn.ANCHORARRAY(Aug!$C$4), $A9, Aug!H$4:H$69), SUMIF(_xlfn.ANCHORARRAY(Sep!$B$4), $A9, Sep!G$4:G$69))</f>
        <v>909278.7</v>
      </c>
      <c r="G9" s="15">
        <f t="shared" ca="1" si="2"/>
        <v>-31518</v>
      </c>
      <c r="H9" s="16">
        <f t="shared" ca="1" si="3"/>
        <v>-3.4662639738509221E-2</v>
      </c>
    </row>
    <row r="10" spans="1:8" ht="1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276180.04243811744</v>
      </c>
      <c r="C10" s="11">
        <f ca="1">SUM(SUMIF(_xlfn.ANCHORARRAY(Jul!$B$4), $A10, Jul!D$4:D$65), SUMIF(_xlfn.ANCHORARRAY(Aug!$C$4), $A10, Aug!E$4:E$69), SUMIF(_xlfn.ANCHORARRAY(Sep!$B$4), $A10, Sep!D$4:D$69))</f>
        <v>260816.8125</v>
      </c>
      <c r="D10" s="11">
        <f t="shared" ca="1" si="0"/>
        <v>15363.229938117438</v>
      </c>
      <c r="E10" s="12">
        <f t="shared" ca="1" si="1"/>
        <v>5.8904292981946625E-2</v>
      </c>
      <c r="F10" s="13">
        <f ca="1">SUM(SUMIF(_xlfn.ANCHORARRAY(Jul!$B$4), $A10, Jul!G$4:G$65), SUMIF(_xlfn.ANCHORARRAY(Aug!$C$4), $A10, Aug!H$4:H$69), SUMIF(_xlfn.ANCHORARRAY(Sep!$B$4), $A10, Sep!G$4:G$69))</f>
        <v>295286.28690000001</v>
      </c>
      <c r="G10" s="13">
        <f t="shared" ca="1" si="2"/>
        <v>-19106.244461882568</v>
      </c>
      <c r="H10" s="14">
        <f t="shared" ca="1" si="3"/>
        <v>-6.470413733893772E-2</v>
      </c>
    </row>
    <row r="11" spans="1:8" ht="1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2281622.5584399998</v>
      </c>
      <c r="C11" s="15">
        <f ca="1">SUM(SUMIF(_xlfn.ANCHORARRAY(Jul!$B$4), $A11, Jul!D$4:D$65), SUMIF(_xlfn.ANCHORARRAY(Aug!$C$4), $A11, Aug!E$4:E$69), SUMIF(_xlfn.ANCHORARRAY(Sep!$B$4), $A11, Sep!D$4:D$69))</f>
        <v>2255734.6689999998</v>
      </c>
      <c r="D11" s="15">
        <f t="shared" ca="1" si="0"/>
        <v>25887.889440000057</v>
      </c>
      <c r="E11" s="16">
        <f t="shared" ca="1" si="1"/>
        <v>1.147647806090445E-2</v>
      </c>
      <c r="F11" s="15">
        <f ca="1">SUM(SUMIF(_xlfn.ANCHORARRAY(Jul!$B$4), $A11, Jul!G$4:G$65), SUMIF(_xlfn.ANCHORARRAY(Aug!$C$4), $A11, Aug!H$4:H$69), SUMIF(_xlfn.ANCHORARRAY(Sep!$B$4), $A11, Sep!G$4:G$69))</f>
        <v>2611326.25</v>
      </c>
      <c r="G11" s="15">
        <f t="shared" ca="1" si="2"/>
        <v>-329703.69156000018</v>
      </c>
      <c r="H11" s="16">
        <f t="shared" ca="1" si="3"/>
        <v>-0.12625909595172191</v>
      </c>
    </row>
    <row r="12" spans="1:8" ht="1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1430575.8015953531</v>
      </c>
      <c r="C12" s="11">
        <f ca="1">SUM(SUMIF(_xlfn.ANCHORARRAY(Jul!$B$4), $A12, Jul!D$4:D$65), SUMIF(_xlfn.ANCHORARRAY(Aug!$C$4), $A12, Aug!E$4:E$69), SUMIF(_xlfn.ANCHORARRAY(Sep!$B$4), $A12, Sep!D$4:D$69))</f>
        <v>1312481.662</v>
      </c>
      <c r="D12" s="11">
        <f ca="1">IF(AND(ISNUMBER(B12),ISNUMBER(C12)), B12-C12, "")</f>
        <v>118094.13959535304</v>
      </c>
      <c r="E12" s="58">
        <f ca="1">IFERROR(D12/C12, "")</f>
        <v>8.9977744462652193E-2</v>
      </c>
      <c r="F12" s="74">
        <f ca="1">SUM(SUMIF(_xlfn.ANCHORARRAY(Jul!$B$4), $A12, Jul!G$4:G$65), SUMIF(_xlfn.ANCHORARRAY(Aug!$C$4), $A12, Aug!H$4:H$69), SUMIF(_xlfn.ANCHORARRAY(Sep!$B$4), $A12, Sep!G$4:G$69))</f>
        <v>1382102.28</v>
      </c>
      <c r="G12" s="74">
        <f ca="1">IF(AND(ISNUMBER(B12),ISNUMBER(F12)), B12-F12, "")</f>
        <v>48473.521595353028</v>
      </c>
      <c r="H12" s="75">
        <f ca="1">IFERROR(G12/F12, "")</f>
        <v>3.5072311432228463E-2</v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20" t="str" cm="1">
        <f t="array" ref="A1">portfolio</f>
        <v>Wells Fargo</v>
      </c>
      <c r="B1" s="221"/>
      <c r="C1" s="222" t="s">
        <v>44</v>
      </c>
      <c r="D1" s="223"/>
      <c r="E1" s="224"/>
      <c r="F1" s="225" t="s">
        <v>45</v>
      </c>
      <c r="G1" s="226"/>
      <c r="H1" s="227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/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/>
      <c r="B23" s="18"/>
      <c r="C23" s="18"/>
      <c r="D23" s="18"/>
      <c r="E23" s="19"/>
      <c r="F23" s="18"/>
      <c r="G23" s="18"/>
      <c r="H23" s="19"/>
    </row>
    <row r="24" spans="1:8">
      <c r="A24" s="18"/>
      <c r="B24" s="18"/>
      <c r="C24" s="18"/>
      <c r="D24" s="18"/>
      <c r="E24" s="19"/>
      <c r="F24" s="18"/>
      <c r="G24" s="18"/>
      <c r="H24" s="19"/>
    </row>
    <row r="25" spans="1:8">
      <c r="A25" s="18"/>
      <c r="B25" s="18"/>
      <c r="C25" s="18"/>
      <c r="D25" s="18"/>
      <c r="E25" s="19"/>
      <c r="F25" s="18"/>
      <c r="G25" s="18"/>
      <c r="H25" s="19"/>
    </row>
    <row r="26" spans="1:8">
      <c r="A26" s="18"/>
      <c r="B26" s="18"/>
      <c r="C26" s="18"/>
      <c r="D26" s="18"/>
      <c r="E26" s="19"/>
      <c r="F26" s="18"/>
      <c r="G26" s="18"/>
      <c r="H26" s="19"/>
    </row>
    <row r="27" spans="1:8">
      <c r="A27" s="18"/>
      <c r="B27" s="18"/>
      <c r="C27" s="18"/>
      <c r="D27" s="18"/>
      <c r="E27" s="19"/>
      <c r="F27" s="18"/>
      <c r="G27" s="18"/>
      <c r="H27" s="19"/>
    </row>
    <row r="28" spans="1:8">
      <c r="A28" s="18"/>
      <c r="B28" s="18"/>
      <c r="C28" s="18"/>
      <c r="D28" s="18"/>
      <c r="E28" s="19"/>
      <c r="F28" s="18"/>
      <c r="G28" s="18"/>
      <c r="H28" s="19"/>
    </row>
    <row r="29" spans="1:8">
      <c r="A29" s="18"/>
      <c r="B29" s="18"/>
      <c r="C29" s="18"/>
      <c r="D29" s="18"/>
      <c r="E29" s="19"/>
      <c r="F29" s="18"/>
      <c r="G29" s="18"/>
      <c r="H29" s="19"/>
    </row>
    <row r="30" spans="1:8">
      <c r="A30" s="18"/>
      <c r="B30" s="18"/>
      <c r="C30" s="18"/>
      <c r="D30" s="18"/>
      <c r="E30" s="19"/>
      <c r="F30" s="18"/>
      <c r="G30" s="18"/>
      <c r="H30" s="19"/>
    </row>
    <row r="31" spans="1:8">
      <c r="A31" s="18"/>
      <c r="B31" s="18"/>
      <c r="C31" s="18"/>
      <c r="D31" s="18"/>
      <c r="E31" s="19"/>
      <c r="F31" s="18"/>
      <c r="G31" s="18"/>
      <c r="H31" s="19"/>
    </row>
    <row r="32" spans="1:8">
      <c r="A32" s="18"/>
      <c r="B32" s="18"/>
      <c r="C32" s="18"/>
      <c r="D32" s="18"/>
      <c r="E32" s="19"/>
      <c r="F32" s="18"/>
      <c r="G32" s="18"/>
      <c r="H32" s="19"/>
    </row>
    <row r="33" spans="1:8">
      <c r="A33" s="18"/>
      <c r="B33" s="18"/>
      <c r="C33" s="18"/>
      <c r="D33" s="18"/>
      <c r="E33" s="19"/>
      <c r="F33" s="18"/>
      <c r="G33" s="18"/>
      <c r="H33" s="19"/>
    </row>
    <row r="34" spans="1:8">
      <c r="A34" s="18"/>
      <c r="B34" s="18"/>
      <c r="C34" s="18"/>
      <c r="D34" s="18"/>
      <c r="E34" s="19"/>
      <c r="F34" s="18"/>
      <c r="G34" s="18"/>
      <c r="H34" s="19"/>
    </row>
    <row r="35" spans="1:8">
      <c r="A35" s="18"/>
      <c r="B35" s="18"/>
      <c r="C35" s="18"/>
      <c r="D35" s="18"/>
      <c r="E35" s="19"/>
      <c r="F35" s="18"/>
      <c r="G35" s="18"/>
      <c r="H35" s="19"/>
    </row>
    <row r="36" spans="1:8">
      <c r="A36" s="18"/>
      <c r="B36" s="18"/>
      <c r="C36" s="18"/>
      <c r="D36" s="18"/>
      <c r="E36" s="19"/>
      <c r="F36" s="18"/>
      <c r="G36" s="18"/>
      <c r="H36" s="19"/>
    </row>
    <row r="37" spans="1:8">
      <c r="A37" s="18"/>
      <c r="B37" s="18"/>
      <c r="C37" s="18"/>
      <c r="D37" s="18"/>
      <c r="E37" s="19"/>
      <c r="F37" s="18"/>
      <c r="G37" s="18"/>
      <c r="H37" s="19"/>
    </row>
    <row r="38" spans="1:8">
      <c r="A38" s="18"/>
      <c r="B38" s="18"/>
      <c r="C38" s="18"/>
      <c r="D38" s="18"/>
      <c r="E38" s="19"/>
      <c r="F38" s="18"/>
      <c r="G38" s="18"/>
      <c r="H38" s="19"/>
    </row>
    <row r="39" spans="1:8">
      <c r="A39" s="18"/>
      <c r="B39" s="18"/>
      <c r="C39" s="18"/>
      <c r="D39" s="18"/>
      <c r="E39" s="19"/>
      <c r="F39" s="18"/>
      <c r="G39" s="18"/>
      <c r="H39" s="19"/>
    </row>
    <row r="40" spans="1:8">
      <c r="A40" s="18"/>
      <c r="B40" s="18"/>
      <c r="C40" s="18"/>
      <c r="D40" s="18"/>
      <c r="E40" s="19"/>
      <c r="F40" s="18"/>
      <c r="G40" s="18"/>
      <c r="H40" s="19"/>
    </row>
    <row r="41" spans="1:8">
      <c r="A41" s="18"/>
      <c r="B41" s="18"/>
      <c r="C41" s="18"/>
      <c r="D41" s="18"/>
      <c r="E41" s="19"/>
      <c r="F41" s="18"/>
      <c r="G41" s="18"/>
      <c r="H41" s="19"/>
    </row>
    <row r="42" spans="1:8">
      <c r="A42" s="18"/>
      <c r="B42" s="18"/>
      <c r="C42" s="18"/>
      <c r="D42" s="18"/>
      <c r="E42" s="19"/>
      <c r="F42" s="18"/>
      <c r="G42" s="18"/>
      <c r="H42" s="19"/>
    </row>
    <row r="43" spans="1:8">
      <c r="A43" s="18"/>
      <c r="B43" s="18"/>
      <c r="C43" s="18"/>
      <c r="D43" s="18"/>
      <c r="E43" s="19"/>
      <c r="F43" s="18"/>
      <c r="G43" s="18"/>
      <c r="H43" s="19"/>
    </row>
    <row r="44" spans="1:8">
      <c r="A44" s="18"/>
      <c r="B44" s="18"/>
      <c r="C44" s="18"/>
      <c r="D44" s="18"/>
      <c r="E44" s="19"/>
      <c r="F44" s="18"/>
      <c r="G44" s="18"/>
      <c r="H44" s="19"/>
    </row>
    <row r="45" spans="1:8">
      <c r="A45" s="18"/>
      <c r="B45" s="18"/>
      <c r="C45" s="18"/>
      <c r="D45" s="18"/>
      <c r="E45" s="19"/>
      <c r="F45" s="18"/>
      <c r="G45" s="18"/>
      <c r="H45" s="19"/>
    </row>
    <row r="46" spans="1:8">
      <c r="A46" s="18"/>
      <c r="B46" s="18"/>
      <c r="C46" s="18"/>
      <c r="D46" s="18"/>
      <c r="E46" s="19"/>
      <c r="F46" s="18"/>
      <c r="G46" s="18"/>
      <c r="H46" s="19"/>
    </row>
    <row r="47" spans="1:8">
      <c r="A47" s="18"/>
      <c r="B47" s="18"/>
      <c r="C47" s="18"/>
      <c r="D47" s="18"/>
      <c r="E47" s="19"/>
      <c r="F47" s="18"/>
      <c r="G47" s="18"/>
      <c r="H47" s="19"/>
    </row>
    <row r="48" spans="1:8">
      <c r="A48" s="18"/>
      <c r="B48" s="18"/>
      <c r="C48" s="18"/>
      <c r="D48" s="18"/>
      <c r="E48" s="19"/>
      <c r="F48" s="18"/>
      <c r="G48" s="18"/>
      <c r="H48" s="19"/>
    </row>
    <row r="49" spans="1:8">
      <c r="A49" s="18"/>
      <c r="B49" s="18"/>
      <c r="C49" s="18"/>
      <c r="D49" s="18"/>
      <c r="E49" s="19"/>
      <c r="F49" s="18"/>
      <c r="G49" s="18"/>
      <c r="H49" s="19"/>
    </row>
    <row r="50" spans="1:8">
      <c r="A50" s="18"/>
      <c r="B50" s="18"/>
      <c r="C50" s="18"/>
      <c r="D50" s="18"/>
      <c r="E50" s="19"/>
      <c r="F50" s="18"/>
      <c r="G50" s="18"/>
      <c r="H50" s="19"/>
    </row>
    <row r="51" spans="1:8">
      <c r="A51" s="18"/>
      <c r="B51" s="18"/>
      <c r="C51" s="18"/>
      <c r="D51" s="18"/>
      <c r="E51" s="19"/>
      <c r="F51" s="18"/>
      <c r="G51" s="18"/>
      <c r="H51" s="19"/>
    </row>
    <row r="52" spans="1:8">
      <c r="A52" s="18"/>
      <c r="B52" s="18"/>
      <c r="C52" s="18"/>
      <c r="D52" s="18"/>
      <c r="E52" s="19"/>
      <c r="F52" s="18"/>
      <c r="G52" s="18"/>
      <c r="H52" s="19"/>
    </row>
    <row r="53" spans="1:8">
      <c r="A53" s="18"/>
      <c r="B53" s="18"/>
      <c r="C53" s="18"/>
      <c r="D53" s="18"/>
      <c r="E53" s="19"/>
      <c r="F53" s="18"/>
      <c r="G53" s="18"/>
      <c r="H53" s="19"/>
    </row>
    <row r="54" spans="1:8">
      <c r="A54" s="18"/>
      <c r="B54" s="18"/>
      <c r="C54" s="18"/>
      <c r="D54" s="18"/>
      <c r="E54" s="19"/>
      <c r="F54" s="18"/>
      <c r="G54" s="18"/>
      <c r="H54" s="19"/>
    </row>
    <row r="55" spans="1:8">
      <c r="A55" s="18"/>
      <c r="B55" s="18"/>
      <c r="C55" s="18"/>
      <c r="D55" s="18"/>
      <c r="E55" s="19"/>
      <c r="F55" s="18"/>
      <c r="G55" s="18"/>
      <c r="H55" s="19"/>
    </row>
    <row r="56" spans="1:8">
      <c r="A56" s="18"/>
      <c r="B56" s="18"/>
      <c r="C56" s="18"/>
      <c r="D56" s="18"/>
      <c r="E56" s="19"/>
      <c r="F56" s="18"/>
      <c r="G56" s="18"/>
      <c r="H56" s="19"/>
    </row>
    <row r="57" spans="1:8">
      <c r="A57" s="18"/>
      <c r="B57" s="18"/>
      <c r="C57" s="18"/>
      <c r="D57" s="18"/>
      <c r="E57" s="19"/>
      <c r="F57" s="18"/>
      <c r="G57" s="18"/>
      <c r="H57" s="19"/>
    </row>
    <row r="58" spans="1:8">
      <c r="A58" s="18"/>
      <c r="B58" s="18"/>
      <c r="C58" s="18"/>
      <c r="D58" s="18"/>
      <c r="E58" s="19"/>
      <c r="F58" s="18"/>
      <c r="G58" s="18"/>
      <c r="H58" s="19"/>
    </row>
    <row r="59" spans="1:8">
      <c r="A59" s="18"/>
      <c r="B59" s="18"/>
      <c r="C59" s="18"/>
      <c r="D59" s="18"/>
      <c r="E59" s="19"/>
      <c r="F59" s="18"/>
      <c r="G59" s="18"/>
      <c r="H59" s="19"/>
    </row>
    <row r="60" spans="1:8">
      <c r="A60" s="18"/>
      <c r="B60" s="18"/>
      <c r="C60" s="18"/>
      <c r="D60" s="18"/>
      <c r="E60" s="19"/>
      <c r="F60" s="18"/>
      <c r="G60" s="18"/>
      <c r="H60" s="19"/>
    </row>
    <row r="61" spans="1:8">
      <c r="A61" s="18"/>
      <c r="B61" s="18"/>
      <c r="C61" s="18"/>
      <c r="D61" s="18"/>
      <c r="E61" s="19"/>
      <c r="F61" s="18"/>
      <c r="G61" s="18"/>
      <c r="H61" s="19"/>
    </row>
    <row r="62" spans="1:8">
      <c r="A62" s="18"/>
      <c r="B62" s="18"/>
      <c r="C62" s="18"/>
      <c r="D62" s="18"/>
      <c r="E62" s="19"/>
      <c r="F62" s="18"/>
      <c r="G62" s="18"/>
      <c r="H62" s="19"/>
    </row>
    <row r="63" spans="1:8">
      <c r="A63" s="18"/>
      <c r="B63" s="18"/>
      <c r="C63" s="18"/>
      <c r="D63" s="18"/>
      <c r="E63" s="19"/>
      <c r="F63" s="18"/>
      <c r="G63" s="18"/>
      <c r="H63" s="19"/>
    </row>
    <row r="64" spans="1:8">
      <c r="A64" s="18"/>
      <c r="B64" s="18"/>
      <c r="C64" s="18"/>
      <c r="D64" s="18"/>
      <c r="E64" s="19"/>
      <c r="F64" s="18"/>
      <c r="G64" s="18"/>
      <c r="H64" s="19"/>
    </row>
    <row r="65" spans="1:8">
      <c r="A65" s="18"/>
      <c r="B65" s="18"/>
      <c r="C65" s="18"/>
      <c r="D65" s="18"/>
      <c r="E65" s="19"/>
      <c r="F65" s="18"/>
      <c r="G65" s="18"/>
      <c r="H65" s="19"/>
    </row>
    <row r="66" spans="1:8">
      <c r="A66" s="18"/>
      <c r="B66" s="18"/>
      <c r="C66" s="18"/>
      <c r="D66" s="18"/>
      <c r="E66" s="19"/>
      <c r="F66" s="18"/>
      <c r="G66" s="18"/>
      <c r="H66" s="19"/>
    </row>
    <row r="67" spans="1:8">
      <c r="A67" s="18"/>
      <c r="B67" s="18"/>
      <c r="C67" s="18"/>
      <c r="D67" s="18"/>
      <c r="E67" s="19"/>
      <c r="F67" s="18"/>
      <c r="G67" s="18"/>
      <c r="H67" s="19"/>
    </row>
    <row r="68" spans="1:8">
      <c r="A68" s="18"/>
      <c r="B68" s="18"/>
      <c r="C68" s="18"/>
      <c r="D68" s="18"/>
      <c r="E68" s="19"/>
      <c r="F68" s="18"/>
      <c r="G68" s="18"/>
      <c r="H68" s="19"/>
    </row>
    <row r="69" spans="1:8">
      <c r="A69" s="18"/>
      <c r="B69" s="18"/>
      <c r="C69" s="18"/>
      <c r="D69" s="18"/>
      <c r="E69" s="19"/>
      <c r="F69" s="18"/>
      <c r="G69" s="18"/>
      <c r="H69" s="19"/>
    </row>
    <row r="70" spans="1:8">
      <c r="A70" s="18"/>
      <c r="B70" s="18"/>
      <c r="C70" s="18"/>
      <c r="D70" s="18"/>
      <c r="E70" s="19"/>
      <c r="F70" s="18"/>
      <c r="G70" s="18"/>
      <c r="H70" s="19"/>
    </row>
    <row r="71" spans="1:8">
      <c r="A71" s="18"/>
      <c r="B71" s="18"/>
      <c r="C71" s="18"/>
      <c r="D71" s="18"/>
      <c r="E71" s="19"/>
      <c r="F71" s="18"/>
      <c r="G71" s="18"/>
      <c r="H71" s="19"/>
    </row>
    <row r="72" spans="1:8">
      <c r="A72" s="18"/>
      <c r="B72" s="18"/>
      <c r="C72" s="18"/>
      <c r="D72" s="18"/>
      <c r="E72" s="19"/>
      <c r="F72" s="18"/>
      <c r="G72" s="18"/>
      <c r="H72" s="19"/>
    </row>
    <row r="73" spans="1:8">
      <c r="A73" s="18"/>
      <c r="B73" s="18"/>
      <c r="C73" s="18"/>
      <c r="D73" s="18"/>
      <c r="E73" s="19"/>
      <c r="F73" s="18"/>
      <c r="G73" s="18"/>
      <c r="H73" s="19"/>
    </row>
    <row r="74" spans="1:8">
      <c r="A74" s="18"/>
      <c r="B74" s="18"/>
      <c r="C74" s="18"/>
      <c r="D74" s="18"/>
      <c r="E74" s="19"/>
      <c r="F74" s="18"/>
      <c r="G74" s="18"/>
      <c r="H74" s="19"/>
    </row>
    <row r="75" spans="1:8">
      <c r="A75" s="18"/>
      <c r="B75" s="18"/>
      <c r="C75" s="18"/>
      <c r="D75" s="18"/>
      <c r="E75" s="19"/>
      <c r="F75" s="18"/>
      <c r="G75" s="18"/>
      <c r="H75" s="19"/>
    </row>
    <row r="76" spans="1:8">
      <c r="A76" s="18"/>
      <c r="B76" s="18"/>
      <c r="C76" s="18"/>
      <c r="D76" s="18"/>
      <c r="E76" s="19"/>
      <c r="F76" s="18"/>
      <c r="G76" s="18"/>
      <c r="H76" s="19"/>
    </row>
    <row r="77" spans="1:8">
      <c r="A77" s="18"/>
      <c r="B77" s="18"/>
      <c r="C77" s="18"/>
      <c r="D77" s="18"/>
      <c r="E77" s="19"/>
      <c r="F77" s="18"/>
      <c r="G77" s="18"/>
      <c r="H77" s="19"/>
    </row>
    <row r="78" spans="1:8">
      <c r="A78" s="18"/>
      <c r="B78" s="18"/>
      <c r="C78" s="18"/>
      <c r="D78" s="18"/>
      <c r="E78" s="19"/>
      <c r="F78" s="18"/>
      <c r="G78" s="18"/>
      <c r="H78" s="19"/>
    </row>
    <row r="79" spans="1:8">
      <c r="A79" s="18"/>
      <c r="B79" s="18"/>
      <c r="C79" s="18"/>
      <c r="D79" s="18"/>
      <c r="E79" s="19"/>
      <c r="F79" s="18"/>
      <c r="G79" s="18"/>
      <c r="H79" s="19"/>
    </row>
    <row r="80" spans="1:8">
      <c r="A80" s="18"/>
      <c r="B80" s="18"/>
      <c r="C80" s="18"/>
      <c r="D80" s="18"/>
      <c r="E80" s="19"/>
      <c r="F80" s="18"/>
      <c r="G80" s="18"/>
      <c r="H80" s="19"/>
    </row>
    <row r="81" spans="1:8">
      <c r="A81" s="18"/>
      <c r="B81" s="18"/>
      <c r="C81" s="18"/>
      <c r="D81" s="18"/>
      <c r="E81" s="19"/>
      <c r="F81" s="18"/>
      <c r="G81" s="18"/>
      <c r="H81" s="19"/>
    </row>
    <row r="82" spans="1:8">
      <c r="A82" s="18"/>
      <c r="B82" s="18"/>
      <c r="C82" s="18"/>
      <c r="D82" s="18"/>
      <c r="E82" s="19"/>
      <c r="F82" s="18"/>
      <c r="G82" s="18"/>
      <c r="H82" s="19"/>
    </row>
    <row r="83" spans="1:8">
      <c r="A83" s="18"/>
      <c r="B83" s="18"/>
      <c r="C83" s="18"/>
      <c r="D83" s="18"/>
      <c r="E83" s="19"/>
      <c r="F83" s="18"/>
      <c r="G83" s="18"/>
      <c r="H83" s="19"/>
    </row>
    <row r="84" spans="1:8">
      <c r="A84" s="18"/>
      <c r="B84" s="18"/>
      <c r="C84" s="18"/>
      <c r="D84" s="18"/>
      <c r="E84" s="19"/>
      <c r="F84" s="18"/>
      <c r="G84" s="18"/>
      <c r="H84" s="19"/>
    </row>
    <row r="85" spans="1:8">
      <c r="A85" s="18"/>
      <c r="B85" s="18"/>
      <c r="C85" s="18"/>
      <c r="D85" s="18"/>
      <c r="E85" s="19"/>
      <c r="F85" s="18"/>
      <c r="G85" s="18"/>
      <c r="H85" s="19"/>
    </row>
    <row r="86" spans="1:8">
      <c r="A86" s="18"/>
      <c r="B86" s="18"/>
      <c r="C86" s="18"/>
      <c r="D86" s="18"/>
      <c r="E86" s="19"/>
      <c r="F86" s="18"/>
      <c r="G86" s="18"/>
      <c r="H86" s="19"/>
    </row>
    <row r="87" spans="1:8">
      <c r="A87" s="18"/>
      <c r="B87" s="18"/>
      <c r="C87" s="18"/>
      <c r="D87" s="18"/>
      <c r="E87" s="19"/>
      <c r="F87" s="18"/>
      <c r="G87" s="18"/>
      <c r="H87" s="19"/>
    </row>
    <row r="88" spans="1:8">
      <c r="A88" s="18"/>
      <c r="B88" s="18"/>
      <c r="C88" s="18"/>
      <c r="D88" s="18"/>
      <c r="E88" s="19"/>
      <c r="F88" s="18"/>
      <c r="G88" s="18"/>
      <c r="H88" s="19"/>
    </row>
    <row r="89" spans="1:8">
      <c r="A89" s="18"/>
      <c r="B89" s="18"/>
      <c r="C89" s="18"/>
      <c r="D89" s="18"/>
      <c r="E89" s="19"/>
      <c r="F89" s="18"/>
      <c r="G89" s="18"/>
      <c r="H89" s="19"/>
    </row>
    <row r="90" spans="1:8">
      <c r="A90" s="18"/>
      <c r="B90" s="18"/>
      <c r="C90" s="18"/>
      <c r="D90" s="18"/>
      <c r="E90" s="19"/>
      <c r="F90" s="18"/>
      <c r="G90" s="18"/>
      <c r="H90" s="19"/>
    </row>
    <row r="91" spans="1:8">
      <c r="A91" s="18"/>
      <c r="B91" s="18"/>
      <c r="C91" s="18"/>
      <c r="D91" s="18"/>
      <c r="E91" s="19"/>
      <c r="F91" s="18"/>
      <c r="G91" s="18"/>
      <c r="H91" s="19"/>
    </row>
    <row r="92" spans="1:8">
      <c r="A92" s="18"/>
      <c r="B92" s="18"/>
      <c r="C92" s="18"/>
      <c r="D92" s="18"/>
      <c r="E92" s="19"/>
      <c r="F92" s="18"/>
      <c r="G92" s="18"/>
      <c r="H92" s="19"/>
    </row>
    <row r="93" spans="1:8">
      <c r="A93" s="18"/>
      <c r="B93" s="18"/>
      <c r="C93" s="18"/>
      <c r="D93" s="18"/>
      <c r="E93" s="19"/>
      <c r="F93" s="18"/>
      <c r="G93" s="18"/>
      <c r="H93" s="19"/>
    </row>
    <row r="94" spans="1:8">
      <c r="A94" s="18"/>
      <c r="B94" s="18"/>
      <c r="C94" s="18"/>
      <c r="D94" s="18"/>
      <c r="E94" s="19"/>
      <c r="F94" s="18"/>
      <c r="G94" s="18"/>
      <c r="H94" s="19"/>
    </row>
    <row r="95" spans="1:8">
      <c r="A95" s="18"/>
      <c r="B95" s="18"/>
      <c r="C95" s="18"/>
      <c r="D95" s="18"/>
      <c r="E95" s="19"/>
      <c r="F95" s="18"/>
      <c r="G95" s="18"/>
      <c r="H95" s="19"/>
    </row>
    <row r="96" spans="1:8">
      <c r="A96" s="18"/>
      <c r="B96" s="18"/>
      <c r="C96" s="18"/>
      <c r="D96" s="18"/>
      <c r="E96" s="19"/>
      <c r="F96" s="18"/>
      <c r="G96" s="18"/>
      <c r="H96" s="19"/>
    </row>
    <row r="97" spans="1:8">
      <c r="A97" s="18"/>
      <c r="B97" s="18"/>
      <c r="C97" s="18"/>
      <c r="D97" s="18"/>
      <c r="E97" s="19"/>
      <c r="F97" s="18"/>
      <c r="G97" s="18"/>
      <c r="H97" s="19"/>
    </row>
    <row r="98" spans="1:8">
      <c r="A98" s="18"/>
      <c r="B98" s="18"/>
      <c r="C98" s="18"/>
      <c r="D98" s="18"/>
      <c r="E98" s="19"/>
      <c r="F98" s="18"/>
      <c r="G98" s="18"/>
      <c r="H98" s="19"/>
    </row>
    <row r="99" spans="1:8">
      <c r="A99" s="18"/>
      <c r="B99" s="18"/>
      <c r="C99" s="18"/>
      <c r="D99" s="18"/>
      <c r="E99" s="19"/>
      <c r="F99" s="18"/>
      <c r="G99" s="18"/>
      <c r="H99" s="19"/>
    </row>
    <row r="100" spans="1:8">
      <c r="A100" s="18"/>
      <c r="B100" s="18"/>
      <c r="C100" s="18"/>
      <c r="D100" s="18"/>
      <c r="E100" s="19"/>
      <c r="F100" s="18"/>
      <c r="G100" s="18"/>
      <c r="H100" s="19"/>
    </row>
    <row r="101" spans="1:8">
      <c r="A101" s="18"/>
      <c r="B101" s="18"/>
      <c r="C101" s="18"/>
      <c r="D101" s="18"/>
      <c r="E101" s="19"/>
      <c r="F101" s="18"/>
      <c r="G101" s="18"/>
      <c r="H101" s="19"/>
    </row>
    <row r="102" spans="1:8">
      <c r="A102" s="18"/>
      <c r="B102" s="18"/>
      <c r="C102" s="18"/>
      <c r="D102" s="18"/>
      <c r="E102" s="19"/>
      <c r="F102" s="18"/>
      <c r="G102" s="18"/>
      <c r="H102" s="19"/>
    </row>
    <row r="103" spans="1:8">
      <c r="A103" s="18"/>
      <c r="B103" s="18"/>
      <c r="C103" s="18"/>
      <c r="D103" s="18"/>
      <c r="E103" s="19"/>
      <c r="F103" s="18"/>
      <c r="G103" s="18"/>
      <c r="H103" s="19"/>
    </row>
    <row r="104" spans="1:8">
      <c r="A104" s="18"/>
      <c r="B104" s="18"/>
      <c r="C104" s="18"/>
      <c r="D104" s="18"/>
      <c r="E104" s="19"/>
      <c r="F104" s="18"/>
      <c r="G104" s="18"/>
      <c r="H104" s="19"/>
    </row>
    <row r="105" spans="1:8">
      <c r="A105" s="18"/>
      <c r="B105" s="18"/>
      <c r="C105" s="18"/>
      <c r="D105" s="18"/>
      <c r="E105" s="19"/>
      <c r="F105" s="18"/>
      <c r="G105" s="18"/>
      <c r="H105" s="19"/>
    </row>
    <row r="106" spans="1:8">
      <c r="A106" s="18"/>
      <c r="B106" s="18"/>
      <c r="C106" s="18"/>
      <c r="D106" s="18"/>
      <c r="E106" s="19"/>
      <c r="F106" s="18"/>
      <c r="G106" s="18"/>
      <c r="H106" s="19"/>
    </row>
    <row r="107" spans="1:8">
      <c r="A107" s="18"/>
      <c r="B107" s="18"/>
      <c r="C107" s="18"/>
      <c r="D107" s="18"/>
      <c r="E107" s="19"/>
      <c r="F107" s="18"/>
      <c r="G107" s="18"/>
      <c r="H107" s="19"/>
    </row>
    <row r="108" spans="1:8">
      <c r="A108" s="18"/>
      <c r="B108" s="18"/>
      <c r="C108" s="18"/>
      <c r="D108" s="18"/>
      <c r="E108" s="19"/>
      <c r="F108" s="18"/>
      <c r="G108" s="18"/>
      <c r="H108" s="19"/>
    </row>
    <row r="109" spans="1:8">
      <c r="A109" s="18"/>
      <c r="B109" s="18"/>
      <c r="C109" s="18"/>
      <c r="D109" s="18"/>
      <c r="E109" s="19"/>
      <c r="F109" s="18"/>
      <c r="G109" s="18"/>
      <c r="H109" s="19"/>
    </row>
    <row r="110" spans="1:8">
      <c r="A110" s="18"/>
      <c r="B110" s="18"/>
      <c r="C110" s="18"/>
      <c r="D110" s="18"/>
      <c r="E110" s="19"/>
      <c r="F110" s="18"/>
      <c r="G110" s="18"/>
      <c r="H110" s="19"/>
    </row>
    <row r="111" spans="1:8">
      <c r="A111" s="18"/>
      <c r="B111" s="18"/>
      <c r="C111" s="18"/>
      <c r="D111" s="18"/>
      <c r="E111" s="19"/>
      <c r="F111" s="18"/>
      <c r="G111" s="18"/>
      <c r="H111" s="19"/>
    </row>
    <row r="112" spans="1:8">
      <c r="A112" s="18"/>
      <c r="B112" s="18"/>
      <c r="C112" s="18"/>
      <c r="D112" s="18"/>
      <c r="E112" s="19"/>
      <c r="F112" s="18"/>
      <c r="G112" s="18"/>
      <c r="H112" s="19"/>
    </row>
    <row r="113" spans="1:8">
      <c r="A113" s="18"/>
      <c r="B113" s="18"/>
      <c r="C113" s="18"/>
      <c r="D113" s="18"/>
      <c r="E113" s="19"/>
      <c r="F113" s="18"/>
      <c r="G113" s="18"/>
      <c r="H113" s="19"/>
    </row>
    <row r="114" spans="1:8">
      <c r="A114" s="18"/>
      <c r="B114" s="18"/>
      <c r="C114" s="18"/>
      <c r="D114" s="18"/>
      <c r="E114" s="19"/>
      <c r="F114" s="18"/>
      <c r="G114" s="18"/>
      <c r="H114" s="19"/>
    </row>
    <row r="115" spans="1:8">
      <c r="A115" s="18"/>
      <c r="B115" s="18"/>
      <c r="C115" s="18"/>
      <c r="D115" s="18"/>
      <c r="E115" s="19"/>
      <c r="F115" s="18"/>
      <c r="G115" s="18"/>
      <c r="H115" s="19"/>
    </row>
    <row r="116" spans="1:8">
      <c r="A116" s="18"/>
      <c r="B116" s="18"/>
      <c r="C116" s="18"/>
      <c r="D116" s="18"/>
      <c r="E116" s="19"/>
      <c r="F116" s="18"/>
      <c r="G116" s="18"/>
      <c r="H116" s="19"/>
    </row>
    <row r="117" spans="1:8">
      <c r="A117" s="18"/>
      <c r="B117" s="18"/>
      <c r="C117" s="18"/>
      <c r="D117" s="18"/>
      <c r="E117" s="19"/>
      <c r="F117" s="18"/>
      <c r="G117" s="18"/>
      <c r="H117" s="19"/>
    </row>
    <row r="118" spans="1:8">
      <c r="A118" s="18"/>
      <c r="B118" s="18"/>
      <c r="C118" s="18"/>
      <c r="D118" s="18"/>
      <c r="E118" s="19"/>
      <c r="F118" s="18"/>
      <c r="G118" s="18"/>
      <c r="H118" s="19"/>
    </row>
    <row r="119" spans="1:8">
      <c r="A119" s="18"/>
      <c r="B119" s="18"/>
      <c r="C119" s="18"/>
      <c r="D119" s="18"/>
      <c r="E119" s="19"/>
      <c r="F119" s="18"/>
      <c r="G119" s="18"/>
      <c r="H119" s="19"/>
    </row>
    <row r="120" spans="1:8">
      <c r="A120" s="18"/>
      <c r="B120" s="18"/>
      <c r="C120" s="18"/>
      <c r="D120" s="18"/>
      <c r="E120" s="19"/>
      <c r="F120" s="18"/>
      <c r="G120" s="18"/>
      <c r="H120" s="19"/>
    </row>
    <row r="121" spans="1:8">
      <c r="A121" s="18"/>
      <c r="B121" s="18"/>
      <c r="C121" s="18"/>
      <c r="D121" s="18"/>
      <c r="E121" s="19"/>
      <c r="F121" s="18"/>
      <c r="G121" s="18"/>
      <c r="H121" s="19"/>
    </row>
    <row r="122" spans="1:8">
      <c r="A122" s="18"/>
      <c r="B122" s="18"/>
      <c r="C122" s="18"/>
      <c r="D122" s="18"/>
      <c r="E122" s="19"/>
      <c r="F122" s="18"/>
      <c r="G122" s="18"/>
      <c r="H122" s="19"/>
    </row>
    <row r="123" spans="1:8">
      <c r="A123" s="18"/>
      <c r="B123" s="18"/>
      <c r="C123" s="18"/>
      <c r="D123" s="18"/>
      <c r="E123" s="19"/>
      <c r="F123" s="18"/>
      <c r="G123" s="18"/>
      <c r="H123" s="19"/>
    </row>
    <row r="124" spans="1:8">
      <c r="A124" s="18"/>
      <c r="B124" s="18"/>
      <c r="C124" s="18"/>
      <c r="D124" s="18"/>
      <c r="E124" s="19"/>
      <c r="F124" s="18"/>
      <c r="G124" s="18"/>
      <c r="H124" s="19"/>
    </row>
    <row r="125" spans="1:8">
      <c r="A125" s="18"/>
      <c r="B125" s="18"/>
      <c r="C125" s="18"/>
      <c r="D125" s="18"/>
      <c r="E125" s="19"/>
      <c r="F125" s="18"/>
      <c r="G125" s="18"/>
      <c r="H125" s="19"/>
    </row>
    <row r="126" spans="1:8">
      <c r="A126" s="18"/>
      <c r="B126" s="18"/>
      <c r="C126" s="18"/>
      <c r="D126" s="18"/>
      <c r="E126" s="19"/>
      <c r="F126" s="18"/>
      <c r="G126" s="18"/>
      <c r="H126" s="19"/>
    </row>
    <row r="127" spans="1:8">
      <c r="A127" s="18"/>
      <c r="B127" s="18"/>
      <c r="C127" s="18"/>
      <c r="D127" s="18"/>
      <c r="E127" s="19"/>
      <c r="F127" s="18"/>
      <c r="G127" s="18"/>
      <c r="H127" s="19"/>
    </row>
    <row r="128" spans="1:8">
      <c r="A128" s="18"/>
      <c r="B128" s="18"/>
      <c r="C128" s="18"/>
      <c r="D128" s="18"/>
      <c r="E128" s="19"/>
      <c r="F128" s="18"/>
      <c r="G128" s="18"/>
      <c r="H128" s="19"/>
    </row>
    <row r="129" spans="1:8">
      <c r="A129" s="18"/>
      <c r="B129" s="18"/>
      <c r="C129" s="18"/>
      <c r="D129" s="18"/>
      <c r="E129" s="19"/>
      <c r="F129" s="18"/>
      <c r="G129" s="18"/>
      <c r="H129" s="19"/>
    </row>
    <row r="130" spans="1:8">
      <c r="A130" s="18"/>
      <c r="B130" s="18"/>
      <c r="C130" s="18"/>
      <c r="D130" s="18"/>
      <c r="E130" s="19"/>
      <c r="F130" s="18"/>
      <c r="G130" s="18"/>
      <c r="H130" s="19"/>
    </row>
    <row r="131" spans="1:8">
      <c r="A131" s="18"/>
      <c r="B131" s="18"/>
      <c r="C131" s="18"/>
      <c r="D131" s="18"/>
      <c r="E131" s="19"/>
      <c r="F131" s="18"/>
      <c r="G131" s="18"/>
      <c r="H131" s="19"/>
    </row>
    <row r="132" spans="1:8">
      <c r="A132" s="18"/>
      <c r="B132" s="18"/>
      <c r="C132" s="18"/>
      <c r="D132" s="18"/>
      <c r="E132" s="19"/>
      <c r="F132" s="18"/>
      <c r="G132" s="18"/>
      <c r="H132" s="19"/>
    </row>
    <row r="133" spans="1:8">
      <c r="A133" s="18"/>
      <c r="B133" s="18"/>
      <c r="C133" s="18"/>
      <c r="D133" s="18"/>
      <c r="E133" s="19"/>
      <c r="F133" s="18"/>
      <c r="G133" s="18"/>
      <c r="H133" s="19"/>
    </row>
    <row r="134" spans="1:8">
      <c r="A134" s="18"/>
      <c r="B134" s="18"/>
      <c r="C134" s="18"/>
      <c r="D134" s="18"/>
      <c r="E134" s="19"/>
      <c r="F134" s="18"/>
      <c r="G134" s="18"/>
      <c r="H134" s="19"/>
    </row>
    <row r="135" spans="1:8">
      <c r="A135" s="18"/>
      <c r="B135" s="18"/>
      <c r="C135" s="18"/>
      <c r="D135" s="18"/>
      <c r="E135" s="19"/>
      <c r="F135" s="18"/>
      <c r="G135" s="18"/>
      <c r="H135" s="19"/>
    </row>
    <row r="136" spans="1:8">
      <c r="A136" s="18"/>
      <c r="B136" s="18"/>
      <c r="C136" s="18"/>
      <c r="D136" s="18"/>
      <c r="E136" s="19"/>
      <c r="F136" s="18"/>
      <c r="G136" s="18"/>
      <c r="H136" s="19"/>
    </row>
    <row r="137" spans="1:8">
      <c r="A137" s="18"/>
      <c r="B137" s="18"/>
      <c r="C137" s="18"/>
      <c r="D137" s="18"/>
      <c r="E137" s="19"/>
      <c r="F137" s="18"/>
      <c r="G137" s="18"/>
      <c r="H137" s="19"/>
    </row>
    <row r="138" spans="1:8">
      <c r="A138" s="18"/>
      <c r="B138" s="18"/>
      <c r="C138" s="18"/>
      <c r="D138" s="18"/>
      <c r="E138" s="19"/>
      <c r="F138" s="18"/>
      <c r="G138" s="18"/>
      <c r="H138" s="19"/>
    </row>
    <row r="139" spans="1:8">
      <c r="A139" s="18"/>
      <c r="B139" s="18"/>
      <c r="C139" s="18"/>
      <c r="D139" s="18"/>
      <c r="E139" s="19"/>
      <c r="F139" s="18"/>
      <c r="G139" s="18"/>
      <c r="H139" s="19"/>
    </row>
    <row r="140" spans="1:8">
      <c r="A140" s="18"/>
      <c r="B140" s="18"/>
      <c r="C140" s="18"/>
      <c r="D140" s="18"/>
      <c r="E140" s="19"/>
      <c r="F140" s="18"/>
      <c r="G140" s="18"/>
      <c r="H140" s="19"/>
    </row>
    <row r="141" spans="1:8">
      <c r="A141" s="18"/>
      <c r="B141" s="18"/>
      <c r="C141" s="18"/>
      <c r="D141" s="18"/>
      <c r="E141" s="19"/>
      <c r="F141" s="18"/>
      <c r="G141" s="18"/>
      <c r="H141" s="19"/>
    </row>
    <row r="142" spans="1:8">
      <c r="A142" s="18"/>
      <c r="B142" s="18"/>
      <c r="C142" s="18"/>
      <c r="D142" s="18"/>
      <c r="E142" s="19"/>
      <c r="F142" s="18"/>
      <c r="G142" s="18"/>
      <c r="H142" s="19"/>
    </row>
    <row r="143" spans="1:8">
      <c r="A143" s="18"/>
      <c r="B143" s="18"/>
      <c r="C143" s="18"/>
      <c r="D143" s="18"/>
      <c r="E143" s="19"/>
      <c r="F143" s="18"/>
      <c r="G143" s="18"/>
      <c r="H143" s="19"/>
    </row>
    <row r="144" spans="1:8">
      <c r="A144" s="18"/>
      <c r="B144" s="18"/>
      <c r="C144" s="18"/>
      <c r="D144" s="18"/>
      <c r="E144" s="19"/>
      <c r="F144" s="18"/>
      <c r="G144" s="18"/>
      <c r="H144" s="19"/>
    </row>
    <row r="145" spans="1:8">
      <c r="A145" s="18"/>
      <c r="B145" s="18"/>
      <c r="C145" s="18"/>
      <c r="D145" s="18"/>
      <c r="E145" s="19"/>
      <c r="F145" s="18"/>
      <c r="G145" s="18"/>
      <c r="H145" s="19"/>
    </row>
    <row r="146" spans="1:8">
      <c r="A146" s="18"/>
      <c r="B146" s="18"/>
      <c r="C146" s="18"/>
      <c r="D146" s="18"/>
      <c r="E146" s="19"/>
      <c r="F146" s="18"/>
      <c r="G146" s="18"/>
      <c r="H146" s="19"/>
    </row>
    <row r="147" spans="1:8">
      <c r="A147" s="18"/>
      <c r="B147" s="18"/>
      <c r="C147" s="18"/>
      <c r="D147" s="18"/>
      <c r="E147" s="19"/>
      <c r="F147" s="18"/>
      <c r="G147" s="18"/>
      <c r="H147" s="19"/>
    </row>
    <row r="148" spans="1:8">
      <c r="A148" s="18"/>
      <c r="B148" s="18"/>
      <c r="C148" s="18"/>
      <c r="D148" s="18"/>
      <c r="E148" s="19"/>
      <c r="F148" s="18"/>
      <c r="G148" s="18"/>
      <c r="H148" s="19"/>
    </row>
    <row r="149" spans="1:8">
      <c r="A149" s="18"/>
      <c r="B149" s="18"/>
      <c r="C149" s="18"/>
      <c r="D149" s="18"/>
      <c r="E149" s="19"/>
      <c r="F149" s="18"/>
      <c r="G149" s="18"/>
      <c r="H149" s="19"/>
    </row>
    <row r="150" spans="1:8">
      <c r="A150" s="18"/>
      <c r="B150" s="18"/>
      <c r="C150" s="18"/>
      <c r="D150" s="18"/>
      <c r="E150" s="19"/>
      <c r="F150" s="18"/>
      <c r="G150" s="18"/>
      <c r="H150" s="19"/>
    </row>
    <row r="151" spans="1:8">
      <c r="A151" s="18"/>
      <c r="B151" s="18"/>
      <c r="C151" s="18"/>
      <c r="D151" s="18"/>
      <c r="E151" s="19"/>
      <c r="F151" s="18"/>
      <c r="G151" s="18"/>
      <c r="H151" s="19"/>
    </row>
    <row r="152" spans="1:8">
      <c r="A152" s="18"/>
      <c r="B152" s="18"/>
      <c r="C152" s="18"/>
      <c r="D152" s="18"/>
      <c r="E152" s="19"/>
      <c r="F152" s="18"/>
      <c r="G152" s="18"/>
      <c r="H152" s="19"/>
    </row>
    <row r="153" spans="1:8">
      <c r="A153" s="18"/>
      <c r="B153" s="18"/>
      <c r="C153" s="18"/>
      <c r="D153" s="18"/>
      <c r="E153" s="19"/>
      <c r="F153" s="18"/>
      <c r="G153" s="18"/>
      <c r="H153" s="19"/>
    </row>
    <row r="154" spans="1:8">
      <c r="A154" s="18"/>
      <c r="B154" s="18"/>
      <c r="C154" s="18"/>
      <c r="D154" s="18"/>
      <c r="E154" s="19"/>
      <c r="F154" s="18"/>
      <c r="G154" s="18"/>
      <c r="H154" s="19"/>
    </row>
    <row r="155" spans="1:8">
      <c r="A155" s="18"/>
      <c r="B155" s="18"/>
      <c r="C155" s="18"/>
      <c r="D155" s="18"/>
      <c r="E155" s="19"/>
      <c r="F155" s="18"/>
      <c r="G155" s="18"/>
      <c r="H155" s="19"/>
    </row>
    <row r="156" spans="1:8">
      <c r="A156" s="18"/>
      <c r="B156" s="18"/>
      <c r="C156" s="18"/>
      <c r="D156" s="18"/>
      <c r="E156" s="19"/>
      <c r="F156" s="18"/>
      <c r="G156" s="18"/>
      <c r="H156" s="19"/>
    </row>
    <row r="157" spans="1:8">
      <c r="A157" s="18"/>
      <c r="B157" s="18"/>
      <c r="C157" s="18"/>
      <c r="D157" s="18"/>
      <c r="E157" s="19"/>
      <c r="F157" s="18"/>
      <c r="G157" s="18"/>
      <c r="H157" s="19"/>
    </row>
    <row r="158" spans="1:8">
      <c r="A158" s="18"/>
      <c r="B158" s="18"/>
      <c r="C158" s="18"/>
      <c r="D158" s="18"/>
      <c r="E158" s="19"/>
      <c r="F158" s="18"/>
      <c r="G158" s="18"/>
      <c r="H158" s="19"/>
    </row>
    <row r="159" spans="1:8">
      <c r="A159" s="18"/>
      <c r="B159" s="18"/>
      <c r="C159" s="18"/>
      <c r="D159" s="18"/>
      <c r="E159" s="19"/>
      <c r="F159" s="18"/>
      <c r="G159" s="18"/>
      <c r="H159" s="19"/>
    </row>
    <row r="160" spans="1:8">
      <c r="A160" s="18"/>
      <c r="B160" s="18"/>
      <c r="C160" s="18"/>
      <c r="D160" s="18"/>
      <c r="E160" s="19"/>
      <c r="F160" s="18"/>
      <c r="G160" s="18"/>
      <c r="H160" s="19"/>
    </row>
    <row r="161" spans="1:8">
      <c r="A161" s="18"/>
      <c r="B161" s="18"/>
      <c r="C161" s="18"/>
      <c r="D161" s="18"/>
      <c r="E161" s="19"/>
      <c r="F161" s="18"/>
      <c r="G161" s="18"/>
      <c r="H161" s="19"/>
    </row>
    <row r="162" spans="1:8">
      <c r="A162" s="18"/>
      <c r="B162" s="18"/>
      <c r="C162" s="18"/>
      <c r="D162" s="18"/>
      <c r="E162" s="19"/>
      <c r="F162" s="18"/>
      <c r="G162" s="18"/>
      <c r="H162" s="19"/>
    </row>
    <row r="163" spans="1:8">
      <c r="A163" s="18"/>
      <c r="B163" s="18"/>
      <c r="C163" s="18"/>
      <c r="D163" s="18"/>
      <c r="E163" s="19"/>
      <c r="F163" s="18"/>
      <c r="G163" s="18"/>
      <c r="H163" s="19"/>
    </row>
    <row r="164" spans="1:8">
      <c r="A164" s="18"/>
      <c r="B164" s="18"/>
      <c r="C164" s="18"/>
      <c r="D164" s="18"/>
      <c r="E164" s="19"/>
      <c r="F164" s="18"/>
      <c r="G164" s="18"/>
      <c r="H164" s="19"/>
    </row>
    <row r="165" spans="1:8">
      <c r="A165" s="18"/>
      <c r="B165" s="18"/>
      <c r="C165" s="18"/>
      <c r="D165" s="18"/>
      <c r="E165" s="19"/>
      <c r="F165" s="18"/>
      <c r="G165" s="18"/>
      <c r="H165" s="19"/>
    </row>
    <row r="166" spans="1:8">
      <c r="A166" s="18"/>
      <c r="B166" s="18"/>
      <c r="C166" s="18"/>
      <c r="D166" s="18"/>
      <c r="E166" s="19"/>
      <c r="F166" s="18"/>
      <c r="G166" s="18"/>
      <c r="H166" s="19"/>
    </row>
    <row r="167" spans="1:8">
      <c r="A167" s="18"/>
      <c r="B167" s="18"/>
      <c r="C167" s="18"/>
      <c r="D167" s="18"/>
      <c r="E167" s="19"/>
      <c r="F167" s="18"/>
      <c r="G167" s="18"/>
      <c r="H167" s="19"/>
    </row>
    <row r="168" spans="1:8">
      <c r="A168" s="18"/>
      <c r="B168" s="18"/>
      <c r="C168" s="18"/>
      <c r="D168" s="18"/>
      <c r="E168" s="19"/>
      <c r="F168" s="18"/>
      <c r="G168" s="18"/>
      <c r="H168" s="19"/>
    </row>
    <row r="169" spans="1:8">
      <c r="A169" s="18"/>
      <c r="B169" s="18"/>
      <c r="C169" s="18"/>
      <c r="D169" s="18"/>
      <c r="E169" s="19"/>
      <c r="F169" s="18"/>
      <c r="G169" s="18"/>
      <c r="H169" s="19"/>
    </row>
    <row r="170" spans="1:8">
      <c r="A170" s="18"/>
      <c r="B170" s="18"/>
      <c r="C170" s="18"/>
      <c r="D170" s="18"/>
      <c r="E170" s="19"/>
      <c r="F170" s="18"/>
      <c r="G170" s="18"/>
      <c r="H170" s="19"/>
    </row>
    <row r="171" spans="1:8">
      <c r="A171" s="18"/>
      <c r="B171" s="18"/>
      <c r="C171" s="18"/>
      <c r="D171" s="18"/>
      <c r="E171" s="19"/>
      <c r="F171" s="18"/>
      <c r="G171" s="18"/>
      <c r="H171" s="19"/>
    </row>
    <row r="172" spans="1:8">
      <c r="A172" s="18"/>
      <c r="B172" s="18"/>
      <c r="C172" s="18"/>
      <c r="D172" s="18"/>
      <c r="E172" s="19"/>
      <c r="F172" s="18"/>
      <c r="G172" s="18"/>
      <c r="H172" s="19"/>
    </row>
    <row r="173" spans="1:8">
      <c r="A173" s="18"/>
      <c r="B173" s="18"/>
      <c r="C173" s="18"/>
      <c r="D173" s="18"/>
      <c r="E173" s="19"/>
      <c r="F173" s="18"/>
      <c r="G173" s="18"/>
      <c r="H173" s="19"/>
    </row>
    <row r="174" spans="1:8">
      <c r="A174" s="18"/>
      <c r="B174" s="18"/>
      <c r="C174" s="18"/>
      <c r="D174" s="18"/>
      <c r="E174" s="19"/>
      <c r="F174" s="18"/>
      <c r="G174" s="18"/>
      <c r="H174" s="19"/>
    </row>
    <row r="175" spans="1:8">
      <c r="A175" s="18"/>
      <c r="B175" s="18"/>
      <c r="C175" s="18"/>
      <c r="D175" s="18"/>
      <c r="E175" s="19"/>
      <c r="F175" s="18"/>
      <c r="G175" s="18"/>
      <c r="H175" s="19"/>
    </row>
    <row r="176" spans="1:8">
      <c r="A176" s="18"/>
      <c r="B176" s="18"/>
      <c r="C176" s="18"/>
      <c r="D176" s="18"/>
      <c r="E176" s="19"/>
      <c r="F176" s="18"/>
      <c r="G176" s="18"/>
      <c r="H176" s="19"/>
    </row>
    <row r="177" spans="1:8">
      <c r="A177" s="18"/>
      <c r="B177" s="18"/>
      <c r="C177" s="18"/>
      <c r="D177" s="18"/>
      <c r="E177" s="19"/>
      <c r="F177" s="18"/>
      <c r="G177" s="18"/>
      <c r="H177" s="19"/>
    </row>
    <row r="178" spans="1:8">
      <c r="A178" s="18"/>
      <c r="B178" s="18"/>
      <c r="C178" s="18"/>
      <c r="D178" s="18"/>
      <c r="E178" s="19"/>
      <c r="F178" s="18"/>
      <c r="G178" s="18"/>
      <c r="H178" s="19"/>
    </row>
    <row r="179" spans="1:8">
      <c r="A179" s="18"/>
      <c r="B179" s="18"/>
      <c r="C179" s="18"/>
      <c r="D179" s="18"/>
      <c r="E179" s="19"/>
      <c r="F179" s="18"/>
      <c r="G179" s="18"/>
      <c r="H179" s="19"/>
    </row>
    <row r="180" spans="1:8">
      <c r="A180" s="18"/>
      <c r="B180" s="18"/>
      <c r="C180" s="18"/>
      <c r="D180" s="18"/>
      <c r="E180" s="19"/>
      <c r="F180" s="18"/>
      <c r="G180" s="18"/>
      <c r="H180" s="19"/>
    </row>
    <row r="181" spans="1:8">
      <c r="A181" s="18"/>
      <c r="B181" s="18"/>
      <c r="C181" s="18"/>
      <c r="D181" s="18"/>
      <c r="E181" s="19"/>
      <c r="F181" s="18"/>
      <c r="G181" s="18"/>
      <c r="H181" s="19"/>
    </row>
    <row r="182" spans="1:8">
      <c r="A182" s="18"/>
      <c r="B182" s="18"/>
      <c r="C182" s="18"/>
      <c r="D182" s="18"/>
      <c r="E182" s="19"/>
      <c r="F182" s="18"/>
      <c r="G182" s="18"/>
      <c r="H182" s="19"/>
    </row>
    <row r="183" spans="1:8">
      <c r="A183" s="18"/>
      <c r="B183" s="18"/>
      <c r="C183" s="18"/>
      <c r="D183" s="18"/>
      <c r="E183" s="19"/>
      <c r="F183" s="18"/>
      <c r="G183" s="18"/>
      <c r="H183" s="19"/>
    </row>
    <row r="184" spans="1:8">
      <c r="A184" s="18"/>
      <c r="B184" s="18"/>
      <c r="C184" s="18"/>
      <c r="D184" s="18"/>
      <c r="E184" s="19"/>
      <c r="F184" s="18"/>
      <c r="G184" s="18"/>
      <c r="H184" s="19"/>
    </row>
    <row r="185" spans="1:8">
      <c r="A185" s="18"/>
      <c r="B185" s="18"/>
      <c r="C185" s="18"/>
      <c r="D185" s="18"/>
      <c r="E185" s="19"/>
      <c r="F185" s="18"/>
      <c r="G185" s="18"/>
      <c r="H185" s="19"/>
    </row>
    <row r="186" spans="1:8">
      <c r="A186" s="18"/>
      <c r="B186" s="18"/>
      <c r="C186" s="18"/>
      <c r="D186" s="18"/>
      <c r="E186" s="19"/>
      <c r="F186" s="18"/>
      <c r="G186" s="18"/>
      <c r="H186" s="19"/>
    </row>
    <row r="187" spans="1:8">
      <c r="A187" s="18"/>
      <c r="B187" s="18"/>
      <c r="C187" s="18"/>
      <c r="D187" s="18"/>
      <c r="E187" s="19"/>
      <c r="F187" s="18"/>
      <c r="G187" s="18"/>
      <c r="H187" s="19"/>
    </row>
    <row r="188" spans="1:8">
      <c r="A188" s="18"/>
      <c r="B188" s="18"/>
      <c r="C188" s="18"/>
      <c r="D188" s="18"/>
      <c r="E188" s="19"/>
      <c r="F188" s="18"/>
      <c r="G188" s="18"/>
      <c r="H188" s="19"/>
    </row>
    <row r="189" spans="1:8">
      <c r="A189" s="18"/>
      <c r="B189" s="18"/>
      <c r="C189" s="18"/>
      <c r="D189" s="18"/>
      <c r="E189" s="19"/>
      <c r="F189" s="18"/>
      <c r="G189" s="18"/>
      <c r="H189" s="19"/>
    </row>
    <row r="190" spans="1:8">
      <c r="A190" s="18"/>
      <c r="B190" s="18"/>
      <c r="C190" s="18"/>
      <c r="D190" s="18"/>
      <c r="E190" s="19"/>
      <c r="F190" s="18"/>
      <c r="G190" s="18"/>
      <c r="H190" s="19"/>
    </row>
    <row r="191" spans="1:8">
      <c r="A191" s="18"/>
      <c r="B191" s="18"/>
      <c r="C191" s="18"/>
      <c r="D191" s="18"/>
      <c r="E191" s="19"/>
      <c r="F191" s="18"/>
      <c r="G191" s="18"/>
      <c r="H191" s="19"/>
    </row>
    <row r="192" spans="1:8">
      <c r="A192" s="18"/>
      <c r="B192" s="18"/>
      <c r="C192" s="18"/>
      <c r="D192" s="18"/>
      <c r="E192" s="19"/>
      <c r="F192" s="18"/>
      <c r="G192" s="18"/>
      <c r="H192" s="19"/>
    </row>
    <row r="193" spans="1:8">
      <c r="A193" s="18"/>
      <c r="B193" s="18"/>
      <c r="C193" s="18"/>
      <c r="D193" s="18"/>
      <c r="E193" s="19"/>
      <c r="F193" s="18"/>
      <c r="G193" s="18"/>
      <c r="H193" s="19"/>
    </row>
    <row r="194" spans="1:8">
      <c r="A194" s="18"/>
      <c r="B194" s="18"/>
      <c r="C194" s="18"/>
      <c r="D194" s="18"/>
      <c r="E194" s="19"/>
      <c r="F194" s="18"/>
      <c r="G194" s="18"/>
      <c r="H194" s="19"/>
    </row>
    <row r="195" spans="1:8">
      <c r="A195" s="18"/>
      <c r="B195" s="18"/>
      <c r="C195" s="18"/>
      <c r="D195" s="18"/>
      <c r="E195" s="19"/>
      <c r="F195" s="18"/>
      <c r="G195" s="18"/>
      <c r="H195" s="19"/>
    </row>
    <row r="196" spans="1:8">
      <c r="A196" s="18"/>
      <c r="B196" s="18"/>
      <c r="C196" s="18"/>
      <c r="D196" s="18"/>
      <c r="E196" s="19"/>
      <c r="F196" s="18"/>
      <c r="G196" s="18"/>
      <c r="H196" s="19"/>
    </row>
    <row r="197" spans="1:8">
      <c r="A197" s="18"/>
      <c r="B197" s="18"/>
      <c r="C197" s="18"/>
      <c r="D197" s="18"/>
      <c r="E197" s="19"/>
      <c r="F197" s="18"/>
      <c r="G197" s="18"/>
      <c r="H197" s="19"/>
    </row>
    <row r="198" spans="1:8">
      <c r="A198" s="18"/>
      <c r="B198" s="18"/>
      <c r="C198" s="18"/>
      <c r="D198" s="18"/>
      <c r="E198" s="19"/>
      <c r="F198" s="18"/>
      <c r="G198" s="18"/>
      <c r="H198" s="19"/>
    </row>
    <row r="199" spans="1:8">
      <c r="A199" s="18"/>
      <c r="B199" s="18"/>
      <c r="C199" s="18"/>
      <c r="D199" s="18"/>
      <c r="E199" s="19"/>
      <c r="F199" s="18"/>
      <c r="G199" s="18"/>
      <c r="H199" s="19"/>
    </row>
    <row r="200" spans="1:8">
      <c r="A200" s="18"/>
      <c r="B200" s="18"/>
      <c r="C200" s="18"/>
      <c r="D200" s="18"/>
      <c r="E200" s="19"/>
      <c r="F200" s="18"/>
      <c r="G200" s="18"/>
      <c r="H200" s="19"/>
    </row>
    <row r="201" spans="1:8">
      <c r="A201" s="18"/>
      <c r="B201" s="18"/>
      <c r="C201" s="18"/>
      <c r="D201" s="18"/>
      <c r="E201" s="19"/>
      <c r="F201" s="18"/>
      <c r="G201" s="18"/>
      <c r="H201" s="19"/>
    </row>
    <row r="202" spans="1:8">
      <c r="A202" s="18"/>
      <c r="B202" s="18"/>
      <c r="C202" s="18"/>
      <c r="D202" s="18"/>
      <c r="E202" s="19"/>
      <c r="F202" s="18"/>
      <c r="G202" s="18"/>
      <c r="H202" s="19"/>
    </row>
    <row r="203" spans="1:8">
      <c r="A203" s="18"/>
      <c r="B203" s="18"/>
      <c r="C203" s="18"/>
      <c r="D203" s="18"/>
      <c r="E203" s="19"/>
      <c r="F203" s="18"/>
      <c r="G203" s="18"/>
      <c r="H203" s="19"/>
    </row>
    <row r="204" spans="1:8">
      <c r="A204" s="18"/>
      <c r="B204" s="18"/>
      <c r="C204" s="18"/>
      <c r="D204" s="18"/>
      <c r="E204" s="19"/>
      <c r="F204" s="18"/>
      <c r="G204" s="18"/>
      <c r="H204" s="19"/>
    </row>
    <row r="205" spans="1:8">
      <c r="A205" s="18"/>
      <c r="B205" s="18"/>
      <c r="C205" s="18"/>
      <c r="D205" s="18"/>
      <c r="E205" s="19"/>
      <c r="F205" s="18"/>
      <c r="G205" s="18"/>
      <c r="H205" s="19"/>
    </row>
    <row r="206" spans="1:8">
      <c r="A206" s="18"/>
      <c r="B206" s="18"/>
      <c r="C206" s="18"/>
      <c r="D206" s="18"/>
      <c r="E206" s="19"/>
      <c r="F206" s="18"/>
      <c r="G206" s="18"/>
      <c r="H206" s="19"/>
    </row>
    <row r="207" spans="1:8">
      <c r="A207" s="18"/>
      <c r="B207" s="18"/>
      <c r="C207" s="18"/>
      <c r="D207" s="18"/>
      <c r="E207" s="19"/>
      <c r="F207" s="18"/>
      <c r="G207" s="18"/>
      <c r="H207" s="19"/>
    </row>
    <row r="208" spans="1:8">
      <c r="A208" s="18"/>
      <c r="B208" s="18"/>
      <c r="C208" s="18"/>
      <c r="D208" s="18"/>
      <c r="E208" s="19"/>
      <c r="F208" s="18"/>
      <c r="G208" s="18"/>
      <c r="H208" s="19"/>
    </row>
    <row r="209" spans="1:8">
      <c r="A209" s="18"/>
      <c r="B209" s="18"/>
      <c r="C209" s="18"/>
      <c r="D209" s="18"/>
      <c r="E209" s="19"/>
      <c r="F209" s="18"/>
      <c r="G209" s="18"/>
      <c r="H209" s="19"/>
    </row>
    <row r="210" spans="1:8">
      <c r="A210" s="18"/>
      <c r="B210" s="18"/>
      <c r="C210" s="18"/>
      <c r="D210" s="18"/>
      <c r="E210" s="19"/>
      <c r="F210" s="18"/>
      <c r="G210" s="18"/>
      <c r="H210" s="19"/>
    </row>
    <row r="211" spans="1:8">
      <c r="A211" s="18"/>
      <c r="B211" s="18"/>
      <c r="C211" s="18"/>
      <c r="D211" s="18"/>
      <c r="E211" s="19"/>
      <c r="F211" s="18"/>
      <c r="G211" s="18"/>
      <c r="H211" s="19"/>
    </row>
    <row r="212" spans="1:8">
      <c r="A212" s="18"/>
      <c r="B212" s="18"/>
      <c r="C212" s="18"/>
      <c r="D212" s="18"/>
      <c r="E212" s="19"/>
      <c r="F212" s="18"/>
      <c r="G212" s="18"/>
      <c r="H212" s="19"/>
    </row>
    <row r="213" spans="1:8">
      <c r="A213" s="18"/>
      <c r="B213" s="18"/>
      <c r="C213" s="18"/>
      <c r="D213" s="18"/>
      <c r="E213" s="19"/>
      <c r="F213" s="18"/>
      <c r="G213" s="18"/>
      <c r="H213" s="19"/>
    </row>
    <row r="214" spans="1:8">
      <c r="A214" s="18"/>
      <c r="B214" s="18"/>
      <c r="C214" s="18"/>
      <c r="D214" s="18"/>
      <c r="E214" s="19"/>
      <c r="F214" s="18"/>
      <c r="G214" s="18"/>
      <c r="H214" s="19"/>
    </row>
    <row r="215" spans="1:8">
      <c r="A215" s="18"/>
      <c r="B215" s="18"/>
      <c r="C215" s="18"/>
      <c r="D215" s="18"/>
      <c r="E215" s="19"/>
      <c r="F215" s="18"/>
      <c r="G215" s="18"/>
      <c r="H215" s="19"/>
    </row>
    <row r="216" spans="1:8">
      <c r="A216" s="18"/>
      <c r="B216" s="18"/>
      <c r="C216" s="18"/>
      <c r="D216" s="18"/>
      <c r="E216" s="19"/>
      <c r="F216" s="18"/>
      <c r="G216" s="18"/>
      <c r="H216" s="19"/>
    </row>
    <row r="217" spans="1:8">
      <c r="A217" s="18"/>
      <c r="B217" s="18"/>
      <c r="C217" s="18"/>
      <c r="D217" s="18"/>
      <c r="E217" s="19"/>
      <c r="F217" s="18"/>
      <c r="G217" s="18"/>
      <c r="H217" s="19"/>
    </row>
    <row r="218" spans="1:8">
      <c r="A218" s="18"/>
      <c r="B218" s="18"/>
      <c r="C218" s="18"/>
      <c r="D218" s="18"/>
      <c r="E218" s="19"/>
      <c r="F218" s="18"/>
      <c r="G218" s="18"/>
      <c r="H218" s="19"/>
    </row>
    <row r="219" spans="1:8">
      <c r="A219" s="18"/>
      <c r="B219" s="18"/>
      <c r="C219" s="18"/>
      <c r="D219" s="18"/>
      <c r="E219" s="19"/>
      <c r="F219" s="18"/>
      <c r="G219" s="18"/>
      <c r="H219" s="19"/>
    </row>
    <row r="220" spans="1:8">
      <c r="A220" s="18"/>
      <c r="B220" s="18"/>
      <c r="C220" s="18"/>
      <c r="D220" s="18"/>
      <c r="E220" s="19"/>
      <c r="F220" s="18"/>
      <c r="G220" s="18"/>
      <c r="H220" s="19"/>
    </row>
    <row r="221" spans="1:8">
      <c r="A221" s="18"/>
      <c r="B221" s="18"/>
      <c r="C221" s="18"/>
      <c r="D221" s="18"/>
      <c r="E221" s="19"/>
      <c r="F221" s="18"/>
      <c r="G221" s="18"/>
      <c r="H221" s="19"/>
    </row>
    <row r="222" spans="1:8">
      <c r="A222" s="18"/>
      <c r="B222" s="18"/>
      <c r="C222" s="18"/>
      <c r="D222" s="18"/>
      <c r="E222" s="19"/>
      <c r="F222" s="18"/>
      <c r="G222" s="18"/>
      <c r="H222" s="19"/>
    </row>
    <row r="223" spans="1:8">
      <c r="A223" s="18"/>
      <c r="B223" s="18"/>
      <c r="C223" s="18"/>
      <c r="D223" s="18"/>
      <c r="E223" s="19"/>
      <c r="F223" s="18"/>
      <c r="G223" s="18"/>
      <c r="H223" s="19"/>
    </row>
    <row r="224" spans="1:8">
      <c r="A224" s="18"/>
      <c r="B224" s="18"/>
      <c r="C224" s="18"/>
      <c r="D224" s="18"/>
      <c r="E224" s="19"/>
      <c r="F224" s="18"/>
      <c r="G224" s="18"/>
      <c r="H224" s="19"/>
    </row>
    <row r="225" spans="1:8">
      <c r="A225" s="18"/>
      <c r="B225" s="18"/>
      <c r="C225" s="18"/>
      <c r="D225" s="18"/>
      <c r="E225" s="19"/>
      <c r="F225" s="18"/>
      <c r="G225" s="18"/>
      <c r="H225" s="19"/>
    </row>
    <row r="226" spans="1:8">
      <c r="A226" s="18"/>
      <c r="B226" s="18"/>
      <c r="C226" s="18"/>
      <c r="D226" s="18"/>
      <c r="E226" s="19"/>
      <c r="F226" s="18"/>
      <c r="G226" s="18"/>
      <c r="H226" s="19"/>
    </row>
    <row r="227" spans="1:8">
      <c r="A227" s="18"/>
      <c r="B227" s="18"/>
      <c r="C227" s="18"/>
      <c r="D227" s="18"/>
      <c r="E227" s="19"/>
      <c r="F227" s="18"/>
      <c r="G227" s="18"/>
      <c r="H227" s="19"/>
    </row>
    <row r="228" spans="1:8">
      <c r="A228" s="18"/>
      <c r="B228" s="18"/>
      <c r="C228" s="18"/>
      <c r="D228" s="18"/>
      <c r="E228" s="19"/>
      <c r="F228" s="18"/>
      <c r="G228" s="18"/>
      <c r="H228" s="19"/>
    </row>
    <row r="229" spans="1:8">
      <c r="A229" s="18"/>
      <c r="B229" s="18"/>
      <c r="C229" s="18"/>
      <c r="D229" s="18"/>
      <c r="E229" s="19"/>
      <c r="F229" s="18"/>
      <c r="G229" s="18"/>
      <c r="H229" s="19"/>
    </row>
    <row r="230" spans="1:8">
      <c r="A230" s="18"/>
      <c r="B230" s="18"/>
      <c r="C230" s="18"/>
      <c r="D230" s="18"/>
      <c r="E230" s="19"/>
      <c r="F230" s="18"/>
      <c r="G230" s="18"/>
      <c r="H230" s="19"/>
    </row>
    <row r="231" spans="1:8">
      <c r="A231" s="18"/>
      <c r="B231" s="18"/>
      <c r="C231" s="18"/>
      <c r="D231" s="18"/>
      <c r="E231" s="19"/>
      <c r="F231" s="18"/>
      <c r="G231" s="18"/>
      <c r="H231" s="19"/>
    </row>
    <row r="232" spans="1:8">
      <c r="A232" s="18"/>
      <c r="B232" s="18"/>
      <c r="C232" s="18"/>
      <c r="D232" s="18"/>
      <c r="E232" s="19"/>
      <c r="F232" s="18"/>
      <c r="G232" s="18"/>
      <c r="H232" s="19"/>
    </row>
    <row r="233" spans="1:8">
      <c r="A233" s="18"/>
      <c r="B233" s="18"/>
      <c r="C233" s="18"/>
      <c r="D233" s="18"/>
      <c r="E233" s="19"/>
      <c r="F233" s="18"/>
      <c r="G233" s="18"/>
      <c r="H233" s="19"/>
    </row>
    <row r="234" spans="1:8">
      <c r="A234" s="18"/>
      <c r="B234" s="18"/>
      <c r="C234" s="18"/>
      <c r="D234" s="18"/>
      <c r="E234" s="19"/>
      <c r="F234" s="18"/>
      <c r="G234" s="18"/>
      <c r="H234" s="19"/>
    </row>
    <row r="235" spans="1:8">
      <c r="A235" s="18"/>
      <c r="B235" s="18"/>
      <c r="C235" s="18"/>
      <c r="D235" s="18"/>
      <c r="E235" s="19"/>
      <c r="F235" s="18"/>
      <c r="G235" s="18"/>
      <c r="H235" s="19"/>
    </row>
    <row r="236" spans="1:8">
      <c r="A236" s="18"/>
      <c r="B236" s="18"/>
      <c r="C236" s="18"/>
      <c r="D236" s="18"/>
      <c r="E236" s="19"/>
      <c r="F236" s="18"/>
      <c r="G236" s="18"/>
      <c r="H236" s="19"/>
    </row>
    <row r="237" spans="1:8">
      <c r="A237" s="18"/>
      <c r="B237" s="18"/>
      <c r="C237" s="18"/>
      <c r="D237" s="18"/>
      <c r="E237" s="19"/>
      <c r="F237" s="18"/>
      <c r="G237" s="18"/>
      <c r="H237" s="19"/>
    </row>
    <row r="238" spans="1:8">
      <c r="A238" s="18"/>
      <c r="B238" s="18"/>
      <c r="C238" s="18"/>
      <c r="D238" s="18"/>
      <c r="E238" s="19"/>
      <c r="F238" s="18"/>
      <c r="G238" s="18"/>
      <c r="H238" s="19"/>
    </row>
    <row r="239" spans="1:8">
      <c r="A239" s="18"/>
      <c r="B239" s="18"/>
      <c r="C239" s="18"/>
      <c r="D239" s="18"/>
      <c r="E239" s="19"/>
      <c r="F239" s="18"/>
      <c r="G239" s="18"/>
      <c r="H239" s="19"/>
    </row>
    <row r="240" spans="1:8">
      <c r="A240" s="18"/>
      <c r="B240" s="18"/>
      <c r="C240" s="18"/>
      <c r="D240" s="18"/>
      <c r="E240" s="19"/>
      <c r="F240" s="18"/>
      <c r="G240" s="18"/>
      <c r="H240" s="19"/>
    </row>
    <row r="241" spans="1:8">
      <c r="A241" s="18"/>
      <c r="B241" s="18"/>
      <c r="C241" s="18"/>
      <c r="D241" s="18"/>
      <c r="E241" s="19"/>
      <c r="F241" s="18"/>
      <c r="G241" s="18"/>
      <c r="H241" s="19"/>
    </row>
    <row r="242" spans="1:8">
      <c r="A242" s="18"/>
      <c r="B242" s="18"/>
      <c r="C242" s="18"/>
      <c r="D242" s="18"/>
      <c r="E242" s="19"/>
      <c r="F242" s="18"/>
      <c r="G242" s="18"/>
      <c r="H242" s="19"/>
    </row>
    <row r="243" spans="1:8">
      <c r="A243" s="18"/>
      <c r="B243" s="18"/>
      <c r="C243" s="18"/>
      <c r="D243" s="18"/>
      <c r="E243" s="19"/>
      <c r="F243" s="18"/>
      <c r="G243" s="18"/>
      <c r="H243" s="19"/>
    </row>
    <row r="244" spans="1:8">
      <c r="A244" s="18"/>
      <c r="B244" s="18"/>
      <c r="C244" s="18"/>
      <c r="D244" s="18"/>
      <c r="E244" s="19"/>
      <c r="F244" s="18"/>
      <c r="G244" s="18"/>
      <c r="H244" s="19"/>
    </row>
    <row r="245" spans="1:8">
      <c r="A245" s="18"/>
      <c r="B245" s="18"/>
      <c r="C245" s="18"/>
      <c r="D245" s="18"/>
      <c r="E245" s="19"/>
      <c r="F245" s="18"/>
      <c r="G245" s="18"/>
      <c r="H245" s="19"/>
    </row>
    <row r="246" spans="1:8">
      <c r="A246" s="18"/>
      <c r="B246" s="18"/>
      <c r="C246" s="18"/>
      <c r="D246" s="18"/>
      <c r="E246" s="19"/>
      <c r="F246" s="18"/>
      <c r="G246" s="18"/>
      <c r="H246" s="19"/>
    </row>
    <row r="247" spans="1:8">
      <c r="A247" s="18"/>
      <c r="B247" s="18"/>
      <c r="C247" s="18"/>
      <c r="D247" s="18"/>
      <c r="E247" s="19"/>
      <c r="F247" s="18"/>
      <c r="G247" s="18"/>
      <c r="H247" s="19"/>
    </row>
    <row r="248" spans="1:8">
      <c r="A248" s="18"/>
      <c r="B248" s="18"/>
      <c r="C248" s="18"/>
      <c r="D248" s="18"/>
      <c r="E248" s="19"/>
      <c r="F248" s="18"/>
      <c r="G248" s="18"/>
      <c r="H248" s="19"/>
    </row>
    <row r="249" spans="1:8">
      <c r="A249" s="18"/>
      <c r="B249" s="18"/>
      <c r="C249" s="18"/>
      <c r="D249" s="18"/>
      <c r="E249" s="19"/>
      <c r="F249" s="18"/>
      <c r="G249" s="18"/>
      <c r="H249" s="19"/>
    </row>
    <row r="250" spans="1:8">
      <c r="A250" s="18"/>
      <c r="B250" s="18"/>
      <c r="C250" s="18"/>
      <c r="D250" s="18"/>
      <c r="E250" s="19"/>
      <c r="F250" s="18"/>
      <c r="G250" s="18"/>
      <c r="H250" s="19"/>
    </row>
    <row r="251" spans="1:8">
      <c r="A251" s="18"/>
      <c r="B251" s="18"/>
      <c r="C251" s="18"/>
      <c r="D251" s="18"/>
      <c r="E251" s="19"/>
      <c r="F251" s="18"/>
      <c r="G251" s="18"/>
      <c r="H251" s="19"/>
    </row>
    <row r="252" spans="1:8">
      <c r="A252" s="18"/>
      <c r="B252" s="18"/>
      <c r="C252" s="18"/>
      <c r="D252" s="18"/>
      <c r="E252" s="19"/>
      <c r="F252" s="18"/>
      <c r="G252" s="18"/>
      <c r="H252" s="19"/>
    </row>
    <row r="253" spans="1:8">
      <c r="A253" s="18"/>
      <c r="B253" s="18"/>
      <c r="C253" s="18"/>
      <c r="D253" s="18"/>
      <c r="E253" s="19"/>
      <c r="F253" s="18"/>
      <c r="G253" s="18"/>
      <c r="H253" s="19"/>
    </row>
    <row r="254" spans="1:8">
      <c r="A254" s="18"/>
      <c r="B254" s="18"/>
      <c r="C254" s="18"/>
      <c r="D254" s="18"/>
      <c r="E254" s="19"/>
      <c r="F254" s="18"/>
      <c r="G254" s="18"/>
      <c r="H254" s="19"/>
    </row>
    <row r="255" spans="1:8">
      <c r="A255" s="18"/>
      <c r="B255" s="18"/>
      <c r="C255" s="18"/>
      <c r="D255" s="18"/>
      <c r="E255" s="19"/>
      <c r="F255" s="18"/>
      <c r="G255" s="18"/>
      <c r="H255" s="19"/>
    </row>
    <row r="256" spans="1:8">
      <c r="A256" s="18"/>
      <c r="B256" s="18"/>
      <c r="C256" s="18"/>
      <c r="D256" s="18"/>
      <c r="E256" s="19"/>
      <c r="F256" s="18"/>
      <c r="G256" s="18"/>
      <c r="H256" s="19"/>
    </row>
    <row r="257" spans="1:8">
      <c r="A257" s="18"/>
      <c r="B257" s="18"/>
      <c r="C257" s="18"/>
      <c r="D257" s="18"/>
      <c r="E257" s="19"/>
      <c r="F257" s="18"/>
      <c r="G257" s="18"/>
      <c r="H257" s="19"/>
    </row>
    <row r="258" spans="1:8">
      <c r="A258" s="18"/>
      <c r="B258" s="18"/>
      <c r="C258" s="18"/>
      <c r="D258" s="18"/>
      <c r="E258" s="19"/>
      <c r="F258" s="18"/>
      <c r="G258" s="18"/>
      <c r="H258" s="19"/>
    </row>
    <row r="259" spans="1:8">
      <c r="A259" s="18"/>
      <c r="B259" s="18"/>
      <c r="C259" s="18"/>
      <c r="D259" s="18"/>
      <c r="E259" s="19"/>
      <c r="F259" s="18"/>
      <c r="G259" s="18"/>
      <c r="H259" s="19"/>
    </row>
    <row r="260" spans="1:8">
      <c r="A260" s="18"/>
      <c r="B260" s="18"/>
      <c r="C260" s="18"/>
      <c r="D260" s="18"/>
      <c r="E260" s="19"/>
      <c r="F260" s="18"/>
      <c r="G260" s="18"/>
      <c r="H260" s="19"/>
    </row>
    <row r="261" spans="1:8">
      <c r="A261" s="18"/>
      <c r="B261" s="18"/>
      <c r="C261" s="18"/>
      <c r="D261" s="18"/>
      <c r="E261" s="19"/>
      <c r="F261" s="18"/>
      <c r="G261" s="18"/>
      <c r="H261" s="19"/>
    </row>
    <row r="262" spans="1:8">
      <c r="A262" s="18"/>
      <c r="B262" s="18"/>
      <c r="C262" s="18"/>
      <c r="D262" s="18"/>
      <c r="E262" s="19"/>
      <c r="F262" s="18"/>
      <c r="G262" s="18"/>
      <c r="H262" s="19"/>
    </row>
    <row r="263" spans="1:8">
      <c r="A263" s="18"/>
      <c r="B263" s="18"/>
      <c r="C263" s="18"/>
      <c r="D263" s="18"/>
      <c r="E263" s="19"/>
      <c r="F263" s="18"/>
      <c r="G263" s="18"/>
      <c r="H263" s="19"/>
    </row>
    <row r="264" spans="1:8">
      <c r="A264" s="18"/>
      <c r="B264" s="18"/>
      <c r="C264" s="18"/>
      <c r="D264" s="18"/>
      <c r="E264" s="19"/>
      <c r="F264" s="18"/>
      <c r="G264" s="18"/>
      <c r="H264" s="19"/>
    </row>
    <row r="265" spans="1:8">
      <c r="A265" s="18"/>
      <c r="B265" s="18"/>
      <c r="C265" s="18"/>
      <c r="D265" s="18"/>
      <c r="E265" s="19"/>
      <c r="F265" s="18"/>
      <c r="G265" s="18"/>
      <c r="H265" s="19"/>
    </row>
    <row r="266" spans="1:8">
      <c r="A266" s="18"/>
      <c r="B266" s="18"/>
      <c r="C266" s="18"/>
      <c r="D266" s="18"/>
      <c r="E266" s="19"/>
      <c r="F266" s="18"/>
      <c r="G266" s="18"/>
      <c r="H266" s="19"/>
    </row>
    <row r="267" spans="1:8">
      <c r="A267" s="18"/>
      <c r="B267" s="18"/>
      <c r="C267" s="18"/>
      <c r="D267" s="18"/>
      <c r="E267" s="19"/>
      <c r="F267" s="18"/>
      <c r="G267" s="18"/>
      <c r="H267" s="19"/>
    </row>
    <row r="268" spans="1:8">
      <c r="A268" s="18"/>
      <c r="B268" s="18"/>
      <c r="C268" s="18"/>
      <c r="D268" s="18"/>
      <c r="E268" s="19"/>
      <c r="F268" s="18"/>
      <c r="G268" s="18"/>
      <c r="H268" s="19"/>
    </row>
    <row r="269" spans="1:8">
      <c r="A269" s="18"/>
      <c r="B269" s="18"/>
      <c r="C269" s="18"/>
      <c r="D269" s="18"/>
      <c r="E269" s="19"/>
      <c r="F269" s="18"/>
      <c r="G269" s="18"/>
      <c r="H269" s="19"/>
    </row>
    <row r="270" spans="1:8">
      <c r="A270" s="18"/>
      <c r="B270" s="18"/>
      <c r="C270" s="18"/>
      <c r="D270" s="18"/>
      <c r="E270" s="19"/>
      <c r="F270" s="18"/>
      <c r="G270" s="18"/>
      <c r="H270" s="19"/>
    </row>
    <row r="271" spans="1:8">
      <c r="A271" s="18"/>
      <c r="B271" s="18"/>
      <c r="C271" s="18"/>
      <c r="D271" s="18"/>
      <c r="E271" s="19"/>
      <c r="F271" s="18"/>
      <c r="G271" s="18"/>
      <c r="H271" s="19"/>
    </row>
    <row r="272" spans="1:8">
      <c r="A272" s="18"/>
      <c r="B272" s="18"/>
      <c r="C272" s="18"/>
      <c r="D272" s="18"/>
      <c r="E272" s="19"/>
      <c r="F272" s="18"/>
      <c r="G272" s="18"/>
      <c r="H272" s="19"/>
    </row>
    <row r="273" spans="1:8">
      <c r="A273" s="18"/>
      <c r="B273" s="18"/>
      <c r="C273" s="18"/>
      <c r="D273" s="18"/>
      <c r="E273" s="19"/>
      <c r="F273" s="18"/>
      <c r="G273" s="18"/>
      <c r="H273" s="19"/>
    </row>
    <row r="274" spans="1:8">
      <c r="A274" s="18"/>
      <c r="B274" s="18"/>
      <c r="C274" s="18"/>
      <c r="D274" s="18"/>
      <c r="E274" s="19"/>
      <c r="F274" s="18"/>
      <c r="G274" s="18"/>
      <c r="H274" s="19"/>
    </row>
    <row r="275" spans="1:8">
      <c r="A275" s="18"/>
      <c r="B275" s="18"/>
      <c r="C275" s="18"/>
      <c r="D275" s="18"/>
      <c r="E275" s="19"/>
      <c r="F275" s="18"/>
      <c r="G275" s="18"/>
      <c r="H275" s="19"/>
    </row>
    <row r="276" spans="1:8">
      <c r="A276" s="18"/>
      <c r="B276" s="18"/>
      <c r="C276" s="18"/>
      <c r="D276" s="18"/>
      <c r="E276" s="19"/>
      <c r="F276" s="18"/>
      <c r="G276" s="18"/>
      <c r="H276" s="19"/>
    </row>
    <row r="277" spans="1:8">
      <c r="A277" s="18"/>
      <c r="B277" s="18"/>
      <c r="C277" s="18"/>
      <c r="D277" s="18"/>
      <c r="E277" s="19"/>
      <c r="F277" s="18"/>
      <c r="G277" s="18"/>
      <c r="H277" s="19"/>
    </row>
    <row r="278" spans="1:8">
      <c r="A278" s="18"/>
      <c r="B278" s="18"/>
      <c r="C278" s="18"/>
      <c r="D278" s="18"/>
      <c r="E278" s="19"/>
      <c r="F278" s="18"/>
      <c r="G278" s="18"/>
      <c r="H278" s="19"/>
    </row>
    <row r="279" spans="1:8">
      <c r="A279" s="18"/>
      <c r="B279" s="18"/>
      <c r="C279" s="18"/>
      <c r="D279" s="18"/>
      <c r="E279" s="19"/>
      <c r="F279" s="18"/>
      <c r="G279" s="18"/>
      <c r="H279" s="19"/>
    </row>
    <row r="280" spans="1:8">
      <c r="A280" s="18"/>
      <c r="B280" s="18"/>
      <c r="C280" s="18"/>
      <c r="D280" s="18"/>
      <c r="E280" s="19"/>
      <c r="F280" s="18"/>
      <c r="G280" s="18"/>
      <c r="H280" s="19"/>
    </row>
    <row r="281" spans="1:8">
      <c r="A281" s="18"/>
      <c r="B281" s="18"/>
      <c r="C281" s="18"/>
      <c r="D281" s="18"/>
      <c r="E281" s="19"/>
      <c r="F281" s="18"/>
      <c r="G281" s="18"/>
      <c r="H281" s="19"/>
    </row>
    <row r="282" spans="1:8">
      <c r="A282" s="18"/>
      <c r="B282" s="18"/>
      <c r="C282" s="18"/>
      <c r="D282" s="18"/>
      <c r="E282" s="19"/>
      <c r="F282" s="18"/>
      <c r="G282" s="18"/>
      <c r="H282" s="19"/>
    </row>
    <row r="283" spans="1:8">
      <c r="A283" s="18"/>
      <c r="B283" s="18"/>
      <c r="C283" s="18"/>
      <c r="D283" s="18"/>
      <c r="E283" s="19"/>
      <c r="F283" s="18"/>
      <c r="G283" s="18"/>
      <c r="H283" s="19"/>
    </row>
    <row r="284" spans="1:8">
      <c r="A284" s="18"/>
      <c r="B284" s="18"/>
      <c r="C284" s="18"/>
      <c r="D284" s="18"/>
      <c r="E284" s="19"/>
      <c r="F284" s="18"/>
      <c r="G284" s="18"/>
      <c r="H284" s="19"/>
    </row>
    <row r="285" spans="1:8">
      <c r="A285" s="18"/>
      <c r="B285" s="18"/>
      <c r="C285" s="18"/>
      <c r="D285" s="18"/>
      <c r="E285" s="19"/>
      <c r="F285" s="18"/>
      <c r="G285" s="18"/>
      <c r="H285" s="19"/>
    </row>
    <row r="286" spans="1:8">
      <c r="A286" s="18"/>
      <c r="B286" s="18"/>
      <c r="C286" s="18"/>
      <c r="D286" s="18"/>
      <c r="E286" s="19"/>
      <c r="F286" s="18"/>
      <c r="G286" s="18"/>
      <c r="H286" s="19"/>
    </row>
    <row r="287" spans="1:8">
      <c r="A287" s="18"/>
      <c r="B287" s="18"/>
      <c r="C287" s="18"/>
      <c r="D287" s="18"/>
      <c r="E287" s="19"/>
      <c r="F287" s="18"/>
      <c r="G287" s="18"/>
      <c r="H287" s="19"/>
    </row>
    <row r="288" spans="1:8">
      <c r="A288" s="18"/>
      <c r="B288" s="18"/>
      <c r="C288" s="18"/>
      <c r="D288" s="18"/>
      <c r="E288" s="19"/>
      <c r="F288" s="18"/>
      <c r="G288" s="18"/>
      <c r="H288" s="19"/>
    </row>
    <row r="289" spans="1:8">
      <c r="A289" s="18"/>
      <c r="B289" s="18"/>
      <c r="C289" s="18"/>
      <c r="D289" s="18"/>
      <c r="E289" s="19"/>
      <c r="F289" s="18"/>
      <c r="G289" s="18"/>
      <c r="H289" s="19"/>
    </row>
    <row r="290" spans="1:8">
      <c r="A290" s="18"/>
      <c r="B290" s="18"/>
      <c r="C290" s="18"/>
      <c r="D290" s="18"/>
      <c r="E290" s="19"/>
      <c r="F290" s="18"/>
      <c r="G290" s="18"/>
      <c r="H290" s="19"/>
    </row>
    <row r="291" spans="1:8">
      <c r="A291" s="18"/>
      <c r="B291" s="18"/>
      <c r="C291" s="18"/>
      <c r="D291" s="18"/>
      <c r="E291" s="19"/>
      <c r="F291" s="18"/>
      <c r="G291" s="18"/>
      <c r="H291" s="19"/>
    </row>
    <row r="292" spans="1:8">
      <c r="A292" s="18"/>
      <c r="B292" s="18"/>
      <c r="C292" s="18"/>
      <c r="D292" s="18"/>
      <c r="E292" s="19"/>
      <c r="F292" s="18"/>
      <c r="G292" s="18"/>
      <c r="H292" s="19"/>
    </row>
    <row r="293" spans="1:8">
      <c r="A293" s="18"/>
      <c r="B293" s="18"/>
      <c r="C293" s="18"/>
      <c r="D293" s="18"/>
      <c r="E293" s="19"/>
      <c r="F293" s="18"/>
      <c r="G293" s="18"/>
      <c r="H293" s="19"/>
    </row>
    <row r="294" spans="1:8">
      <c r="A294" s="18"/>
      <c r="B294" s="18"/>
      <c r="C294" s="18"/>
      <c r="D294" s="18"/>
      <c r="E294" s="19"/>
      <c r="F294" s="18"/>
      <c r="G294" s="18"/>
      <c r="H294" s="19"/>
    </row>
    <row r="295" spans="1:8">
      <c r="A295" s="18"/>
      <c r="B295" s="18"/>
      <c r="C295" s="18"/>
      <c r="D295" s="18"/>
      <c r="E295" s="19"/>
      <c r="F295" s="18"/>
      <c r="G295" s="18"/>
      <c r="H295" s="19"/>
    </row>
    <row r="296" spans="1:8">
      <c r="A296" s="18"/>
      <c r="B296" s="18"/>
      <c r="C296" s="18"/>
      <c r="D296" s="18"/>
      <c r="E296" s="19"/>
      <c r="F296" s="18"/>
      <c r="G296" s="18"/>
      <c r="H296" s="19"/>
    </row>
    <row r="297" spans="1:8">
      <c r="A297" s="18"/>
      <c r="B297" s="18"/>
      <c r="C297" s="18"/>
      <c r="D297" s="18"/>
      <c r="E297" s="19"/>
      <c r="F297" s="18"/>
      <c r="G297" s="18"/>
      <c r="H297" s="19"/>
    </row>
    <row r="298" spans="1:8">
      <c r="A298" s="18"/>
      <c r="B298" s="18"/>
      <c r="C298" s="18"/>
      <c r="D298" s="18"/>
      <c r="E298" s="19"/>
      <c r="F298" s="18"/>
      <c r="G298" s="18"/>
      <c r="H298" s="19"/>
    </row>
    <row r="299" spans="1:8">
      <c r="A299" s="18"/>
      <c r="B299" s="18"/>
      <c r="C299" s="18"/>
      <c r="D299" s="18"/>
      <c r="E299" s="19"/>
      <c r="F299" s="18"/>
      <c r="G299" s="18"/>
      <c r="H299" s="19"/>
    </row>
    <row r="300" spans="1:8">
      <c r="A300" s="18"/>
      <c r="B300" s="18"/>
      <c r="C300" s="18"/>
      <c r="D300" s="18"/>
      <c r="E300" s="19"/>
      <c r="F300" s="18"/>
      <c r="G300" s="18"/>
      <c r="H300" s="19"/>
    </row>
    <row r="301" spans="1:8">
      <c r="A301" s="18"/>
      <c r="B301" s="18"/>
      <c r="C301" s="18"/>
      <c r="D301" s="18"/>
      <c r="E301" s="19"/>
      <c r="F301" s="18"/>
      <c r="G301" s="18"/>
      <c r="H301" s="19"/>
    </row>
    <row r="302" spans="1:8">
      <c r="A302" s="18"/>
      <c r="B302" s="18"/>
      <c r="C302" s="18"/>
      <c r="D302" s="18"/>
      <c r="E302" s="19"/>
      <c r="F302" s="18"/>
      <c r="G302" s="18"/>
      <c r="H302" s="19"/>
    </row>
    <row r="303" spans="1:8">
      <c r="A303" s="18"/>
      <c r="B303" s="18"/>
      <c r="C303" s="18"/>
      <c r="D303" s="18"/>
      <c r="E303" s="19"/>
      <c r="F303" s="18"/>
      <c r="G303" s="18"/>
      <c r="H303" s="19"/>
    </row>
    <row r="304" spans="1:8">
      <c r="A304" s="18"/>
      <c r="B304" s="18"/>
      <c r="C304" s="18"/>
      <c r="D304" s="18"/>
      <c r="E304" s="19"/>
      <c r="F304" s="18"/>
      <c r="G304" s="18"/>
      <c r="H304" s="19"/>
    </row>
    <row r="305" spans="1:8">
      <c r="A305" s="18"/>
      <c r="B305" s="18"/>
      <c r="C305" s="18"/>
      <c r="D305" s="18"/>
      <c r="E305" s="19"/>
      <c r="F305" s="18"/>
      <c r="G305" s="18"/>
      <c r="H305" s="19"/>
    </row>
    <row r="306" spans="1:8">
      <c r="A306" s="18"/>
      <c r="B306" s="18"/>
      <c r="C306" s="18"/>
      <c r="D306" s="18"/>
      <c r="E306" s="19"/>
      <c r="F306" s="18"/>
      <c r="G306" s="18"/>
      <c r="H306" s="19"/>
    </row>
    <row r="307" spans="1:8">
      <c r="A307" s="18"/>
      <c r="B307" s="18"/>
      <c r="C307" s="18"/>
      <c r="D307" s="18"/>
      <c r="E307" s="19"/>
      <c r="F307" s="18"/>
      <c r="G307" s="18"/>
      <c r="H307" s="19"/>
    </row>
    <row r="308" spans="1:8">
      <c r="A308" s="18"/>
      <c r="B308" s="18"/>
      <c r="C308" s="18"/>
      <c r="D308" s="18"/>
      <c r="E308" s="19"/>
      <c r="F308" s="18"/>
      <c r="G308" s="18"/>
      <c r="H308" s="19"/>
    </row>
    <row r="309" spans="1:8">
      <c r="A309" s="18"/>
      <c r="B309" s="18"/>
      <c r="C309" s="18"/>
      <c r="D309" s="18"/>
      <c r="E309" s="19"/>
      <c r="F309" s="18"/>
      <c r="G309" s="18"/>
      <c r="H309" s="19"/>
    </row>
    <row r="310" spans="1:8">
      <c r="A310" s="18"/>
      <c r="B310" s="18"/>
      <c r="C310" s="18"/>
      <c r="D310" s="18"/>
      <c r="E310" s="19"/>
      <c r="F310" s="18"/>
      <c r="G310" s="18"/>
      <c r="H310" s="19"/>
    </row>
    <row r="311" spans="1:8">
      <c r="A311" s="18"/>
      <c r="B311" s="18"/>
      <c r="C311" s="18"/>
      <c r="D311" s="18"/>
      <c r="E311" s="19"/>
      <c r="F311" s="18"/>
      <c r="G311" s="18"/>
      <c r="H311" s="19"/>
    </row>
    <row r="312" spans="1:8">
      <c r="A312" s="18"/>
      <c r="B312" s="18"/>
      <c r="C312" s="18"/>
      <c r="D312" s="18"/>
      <c r="E312" s="19"/>
      <c r="F312" s="18"/>
      <c r="G312" s="18"/>
      <c r="H312" s="19"/>
    </row>
    <row r="313" spans="1:8">
      <c r="A313" s="18"/>
      <c r="B313" s="18"/>
      <c r="C313" s="18"/>
      <c r="D313" s="18"/>
      <c r="E313" s="19"/>
      <c r="F313" s="18"/>
      <c r="G313" s="18"/>
      <c r="H313" s="19"/>
    </row>
    <row r="314" spans="1:8">
      <c r="A314" s="18"/>
      <c r="B314" s="18"/>
      <c r="C314" s="18"/>
      <c r="D314" s="18"/>
      <c r="E314" s="19"/>
      <c r="F314" s="18"/>
      <c r="G314" s="18"/>
      <c r="H314" s="19"/>
    </row>
    <row r="315" spans="1:8">
      <c r="A315" s="18"/>
      <c r="B315" s="18"/>
      <c r="C315" s="18"/>
      <c r="D315" s="18"/>
      <c r="E315" s="19"/>
      <c r="F315" s="18"/>
      <c r="G315" s="18"/>
      <c r="H315" s="19"/>
    </row>
    <row r="316" spans="1:8">
      <c r="A316" s="18"/>
      <c r="B316" s="18"/>
      <c r="C316" s="18"/>
      <c r="D316" s="18"/>
      <c r="E316" s="19"/>
      <c r="F316" s="18"/>
      <c r="G316" s="18"/>
      <c r="H316" s="19"/>
    </row>
    <row r="317" spans="1:8">
      <c r="A317" s="18"/>
      <c r="B317" s="18"/>
      <c r="C317" s="18"/>
      <c r="D317" s="18"/>
      <c r="E317" s="19"/>
      <c r="F317" s="18"/>
      <c r="G317" s="18"/>
      <c r="H317" s="19"/>
    </row>
    <row r="318" spans="1:8">
      <c r="A318" s="18"/>
      <c r="B318" s="18"/>
      <c r="C318" s="18"/>
      <c r="D318" s="18"/>
      <c r="E318" s="19"/>
      <c r="F318" s="18"/>
      <c r="G318" s="18"/>
      <c r="H318" s="19"/>
    </row>
    <row r="319" spans="1:8">
      <c r="A319" s="18"/>
      <c r="B319" s="18"/>
      <c r="C319" s="18"/>
      <c r="D319" s="18"/>
      <c r="E319" s="19"/>
      <c r="F319" s="18"/>
      <c r="G319" s="18"/>
      <c r="H319" s="19"/>
    </row>
    <row r="320" spans="1:8">
      <c r="A320" s="18"/>
      <c r="B320" s="18"/>
      <c r="C320" s="18"/>
      <c r="D320" s="18"/>
      <c r="E320" s="19"/>
      <c r="F320" s="18"/>
      <c r="G320" s="18"/>
      <c r="H320" s="19"/>
    </row>
    <row r="321" spans="1:8">
      <c r="A321" s="18"/>
      <c r="B321" s="18"/>
      <c r="C321" s="18"/>
      <c r="D321" s="18"/>
      <c r="E321" s="19"/>
      <c r="F321" s="18"/>
      <c r="G321" s="18"/>
      <c r="H321" s="19"/>
    </row>
    <row r="322" spans="1:8">
      <c r="A322" s="18"/>
      <c r="B322" s="18"/>
      <c r="C322" s="18"/>
      <c r="D322" s="18"/>
      <c r="E322" s="19"/>
      <c r="F322" s="18"/>
      <c r="G322" s="18"/>
      <c r="H322" s="19"/>
    </row>
    <row r="323" spans="1:8">
      <c r="A323" s="18"/>
      <c r="B323" s="18"/>
      <c r="C323" s="18"/>
      <c r="D323" s="18"/>
      <c r="E323" s="19"/>
      <c r="F323" s="18"/>
      <c r="G323" s="18"/>
      <c r="H323" s="19"/>
    </row>
    <row r="324" spans="1:8">
      <c r="A324" s="18"/>
      <c r="B324" s="18"/>
      <c r="C324" s="18"/>
      <c r="D324" s="18"/>
      <c r="E324" s="19"/>
      <c r="F324" s="18"/>
      <c r="G324" s="18"/>
      <c r="H324" s="19"/>
    </row>
    <row r="325" spans="1:8">
      <c r="A325" s="18"/>
      <c r="B325" s="18"/>
      <c r="C325" s="18"/>
      <c r="D325" s="18"/>
      <c r="E325" s="19"/>
      <c r="F325" s="18"/>
      <c r="G325" s="18"/>
      <c r="H325" s="19"/>
    </row>
    <row r="326" spans="1:8">
      <c r="A326" s="18"/>
      <c r="B326" s="18"/>
      <c r="C326" s="18"/>
      <c r="D326" s="18"/>
      <c r="E326" s="19"/>
      <c r="F326" s="18"/>
      <c r="G326" s="18"/>
      <c r="H326" s="19"/>
    </row>
    <row r="327" spans="1:8">
      <c r="A327" s="18"/>
      <c r="B327" s="18"/>
      <c r="C327" s="18"/>
      <c r="D327" s="18"/>
      <c r="E327" s="19"/>
      <c r="F327" s="18"/>
      <c r="G327" s="18"/>
      <c r="H327" s="19"/>
    </row>
    <row r="328" spans="1:8">
      <c r="A328" s="18"/>
      <c r="B328" s="18"/>
      <c r="C328" s="18"/>
      <c r="D328" s="18"/>
      <c r="E328" s="19"/>
      <c r="F328" s="18"/>
      <c r="G328" s="18"/>
      <c r="H328" s="19"/>
    </row>
    <row r="329" spans="1:8">
      <c r="A329" s="18"/>
      <c r="B329" s="18"/>
      <c r="C329" s="18"/>
      <c r="D329" s="18"/>
      <c r="E329" s="19"/>
      <c r="F329" s="18"/>
      <c r="G329" s="18"/>
      <c r="H329" s="19"/>
    </row>
    <row r="330" spans="1:8">
      <c r="A330" s="18"/>
      <c r="B330" s="18"/>
      <c r="C330" s="18"/>
      <c r="D330" s="18"/>
      <c r="E330" s="19"/>
      <c r="F330" s="18"/>
      <c r="G330" s="18"/>
      <c r="H330" s="19"/>
    </row>
    <row r="331" spans="1:8">
      <c r="A331" s="18"/>
      <c r="B331" s="18"/>
      <c r="C331" s="18"/>
      <c r="D331" s="18"/>
      <c r="E331" s="19"/>
      <c r="F331" s="18"/>
      <c r="G331" s="18"/>
      <c r="H331" s="19"/>
    </row>
    <row r="332" spans="1:8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6" activePane="bottomRight" state="frozen"/>
      <selection pane="bottomRight" activeCell="C17" sqref="C17"/>
      <selection pane="bottomLeft"/>
      <selection pane="topRight"/>
    </sheetView>
  </sheetViews>
  <sheetFormatPr defaultRowHeight="14.25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18" t="str" cm="1">
        <f t="array" ref="A1">portfolio</f>
        <v>Wells Fargo</v>
      </c>
      <c r="B1" s="218"/>
      <c r="C1" s="218"/>
      <c r="D1" s="219" t="s">
        <v>46</v>
      </c>
      <c r="E1" s="219"/>
      <c r="F1" s="219"/>
      <c r="G1" s="217" t="s">
        <v>47</v>
      </c>
      <c r="H1" s="217"/>
      <c r="I1" s="217"/>
      <c r="J1" s="3"/>
      <c r="K1" s="3"/>
    </row>
    <row r="2" spans="1:12" ht="19.5" customHeight="1">
      <c r="A2" s="228" t="s">
        <v>2</v>
      </c>
      <c r="B2" s="228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39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2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50</v>
      </c>
      <c r="K4" s="38"/>
    </row>
    <row r="5" spans="1:12" ht="15.75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51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52</v>
      </c>
      <c r="K6" s="78" t="s">
        <v>53</v>
      </c>
      <c r="L6" s="79" t="s">
        <v>54</v>
      </c>
    </row>
    <row r="7" spans="1:12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75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75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75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50</v>
      </c>
      <c r="K12" s="38"/>
    </row>
    <row r="13" spans="1:12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50</v>
      </c>
      <c r="K13" s="39"/>
    </row>
    <row r="14" spans="1:12" ht="15.75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75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50</v>
      </c>
      <c r="K16" s="38"/>
    </row>
    <row r="17" spans="1:12" ht="15.75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50</v>
      </c>
      <c r="K18" s="38"/>
    </row>
    <row r="19" spans="1:12" ht="75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55</v>
      </c>
      <c r="K19" s="80" t="s">
        <v>56</v>
      </c>
      <c r="L19" s="79" t="s">
        <v>57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50</v>
      </c>
      <c r="K20" s="38"/>
    </row>
    <row r="21" spans="1:12" ht="15.75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50</v>
      </c>
      <c r="K22" s="38"/>
    </row>
    <row r="23" spans="1:12" ht="15.75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50</v>
      </c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50</v>
      </c>
      <c r="K25" s="38"/>
    </row>
    <row r="26" spans="1:12" ht="15.75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50</v>
      </c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50</v>
      </c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58</v>
      </c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50</v>
      </c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50</v>
      </c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50</v>
      </c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50</v>
      </c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50</v>
      </c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50</v>
      </c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50</v>
      </c>
      <c r="K36" s="39"/>
    </row>
    <row r="37" spans="1:11" ht="15.75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75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75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75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50</v>
      </c>
      <c r="K41" s="38"/>
    </row>
    <row r="42" spans="1:11" ht="15.75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75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50</v>
      </c>
      <c r="K44" s="39"/>
    </row>
    <row r="45" spans="1:11" ht="15.75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50</v>
      </c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50</v>
      </c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50</v>
      </c>
      <c r="K48" s="39"/>
    </row>
    <row r="49" spans="1:11" ht="15.75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75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50</v>
      </c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50</v>
      </c>
      <c r="K52" s="39"/>
    </row>
    <row r="53" spans="1:11" ht="30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59</v>
      </c>
      <c r="K53" s="78" t="s">
        <v>60</v>
      </c>
    </row>
    <row r="54" spans="1:11" ht="4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61</v>
      </c>
      <c r="K54" s="80" t="s">
        <v>62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63</v>
      </c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63</v>
      </c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63</v>
      </c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63</v>
      </c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63</v>
      </c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63</v>
      </c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63</v>
      </c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63</v>
      </c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63</v>
      </c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75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75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64</v>
      </c>
      <c r="K67" s="78" t="s">
        <v>65</v>
      </c>
    </row>
    <row r="68" spans="1:11" ht="15.75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75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50</v>
      </c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50</v>
      </c>
      <c r="K71" s="38"/>
    </row>
    <row r="72" spans="1:11" ht="30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66</v>
      </c>
      <c r="K72" s="81" t="s">
        <v>67</v>
      </c>
    </row>
    <row r="73" spans="1:11" ht="15.75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75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50</v>
      </c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50</v>
      </c>
      <c r="K76" s="39"/>
    </row>
    <row r="77" spans="1:11" ht="15.75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75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68</v>
      </c>
      <c r="K79" s="78" t="s">
        <v>69</v>
      </c>
    </row>
    <row r="80" spans="1:11" ht="15.75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70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50</v>
      </c>
      <c r="K81" s="38"/>
      <c r="L81" s="77"/>
    </row>
    <row r="82" spans="1:12" ht="15.75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50</v>
      </c>
      <c r="K83" s="38"/>
    </row>
    <row r="84" spans="1:12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18" t="str" cm="1">
        <f t="array" ref="A1">portfolio</f>
        <v>Wells Fargo</v>
      </c>
      <c r="B1" s="218"/>
      <c r="C1" s="218"/>
      <c r="D1" s="219" t="s">
        <v>71</v>
      </c>
      <c r="E1" s="219"/>
      <c r="F1" s="219"/>
      <c r="G1" s="217" t="s">
        <v>72</v>
      </c>
      <c r="H1" s="217"/>
      <c r="I1" s="217"/>
      <c r="J1" s="3"/>
      <c r="K1" s="3"/>
    </row>
    <row r="2" spans="1:14" ht="19.5" customHeight="1">
      <c r="A2" s="228" t="s">
        <v>2</v>
      </c>
      <c r="B2" s="228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73</v>
      </c>
      <c r="K2" s="3"/>
    </row>
    <row r="3" spans="1:14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4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75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51</v>
      </c>
      <c r="K5" s="39"/>
    </row>
    <row r="6" spans="1:14" ht="28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74</v>
      </c>
      <c r="K6" s="83" t="s">
        <v>75</v>
      </c>
      <c r="L6" s="79" t="s">
        <v>54</v>
      </c>
      <c r="M6" s="79" t="s">
        <v>76</v>
      </c>
      <c r="N6" s="79" t="s">
        <v>77</v>
      </c>
    </row>
    <row r="7" spans="1:14" ht="15.75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58</v>
      </c>
      <c r="K7" s="82"/>
    </row>
    <row r="8" spans="1:14" ht="15.75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58</v>
      </c>
      <c r="K8" s="61"/>
    </row>
    <row r="9" spans="1:14" ht="15.75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75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75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75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75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138" t="s">
        <v>58</v>
      </c>
      <c r="K13" s="56"/>
    </row>
    <row r="14" spans="1:14" ht="15.75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75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75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58</v>
      </c>
      <c r="K16" s="61"/>
    </row>
    <row r="17" spans="1:12" ht="15.75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58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58</v>
      </c>
      <c r="K18" s="61"/>
    </row>
    <row r="19" spans="1:12" ht="75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55</v>
      </c>
      <c r="K19" s="81" t="s">
        <v>56</v>
      </c>
      <c r="L19" s="79" t="s">
        <v>57</v>
      </c>
    </row>
    <row r="20" spans="1:12" ht="15.75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58</v>
      </c>
      <c r="K20" s="59"/>
    </row>
    <row r="21" spans="1:12" ht="15.75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75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58</v>
      </c>
      <c r="K22" s="59"/>
    </row>
    <row r="23" spans="1:12" ht="15.75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75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75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75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75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138" t="s">
        <v>58</v>
      </c>
      <c r="K27" s="40"/>
    </row>
    <row r="28" spans="1:12" ht="15.75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58</v>
      </c>
      <c r="K28" s="59"/>
    </row>
    <row r="29" spans="1:12" ht="15.75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58</v>
      </c>
      <c r="K29" s="40"/>
    </row>
    <row r="30" spans="1:12" ht="15.75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75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75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75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138" t="s">
        <v>58</v>
      </c>
      <c r="K33" s="40"/>
    </row>
    <row r="34" spans="1:11" ht="15.75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58</v>
      </c>
      <c r="K34" s="59"/>
    </row>
    <row r="35" spans="1:11" ht="15.75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75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58</v>
      </c>
      <c r="K36" s="59"/>
    </row>
    <row r="37" spans="1:11" ht="15.75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58</v>
      </c>
      <c r="K37" s="40"/>
    </row>
    <row r="38" spans="1:11" ht="15.75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58</v>
      </c>
      <c r="K38" s="59"/>
    </row>
    <row r="39" spans="1:11" ht="15.75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75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58</v>
      </c>
      <c r="K40" s="59"/>
    </row>
    <row r="41" spans="1:11" ht="15.75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138" t="s">
        <v>58</v>
      </c>
      <c r="K41" s="40"/>
    </row>
    <row r="42" spans="1:11" ht="30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78</v>
      </c>
      <c r="K42" s="83" t="s">
        <v>79</v>
      </c>
    </row>
    <row r="43" spans="1:11" ht="15.75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58</v>
      </c>
      <c r="K43" s="82"/>
    </row>
    <row r="44" spans="1:11" ht="15.75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75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75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58</v>
      </c>
      <c r="K46" s="61"/>
    </row>
    <row r="47" spans="1:11" ht="15.75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58</v>
      </c>
      <c r="K47" s="82"/>
    </row>
    <row r="48" spans="1:11" ht="15.75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58</v>
      </c>
      <c r="K48" s="61"/>
    </row>
    <row r="49" spans="1:11" ht="15.75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58</v>
      </c>
      <c r="K49" s="82"/>
    </row>
    <row r="50" spans="1:11" ht="15.75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75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58</v>
      </c>
      <c r="K51" s="82"/>
    </row>
    <row r="52" spans="1:11" ht="15.75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60</v>
      </c>
    </row>
    <row r="53" spans="1:11" ht="75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80</v>
      </c>
      <c r="K53" s="84" t="s">
        <v>81</v>
      </c>
    </row>
    <row r="54" spans="1:11" ht="4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61</v>
      </c>
      <c r="K54" s="83" t="s">
        <v>62</v>
      </c>
    </row>
    <row r="55" spans="1:11" ht="15.75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63</v>
      </c>
      <c r="K56" s="59"/>
    </row>
    <row r="57" spans="1:11" ht="15.75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63</v>
      </c>
      <c r="K57" s="39"/>
    </row>
    <row r="58" spans="1:11" ht="15.75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63</v>
      </c>
      <c r="K58" s="59"/>
    </row>
    <row r="59" spans="1:11" ht="15.75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63</v>
      </c>
      <c r="K59" s="39"/>
    </row>
    <row r="60" spans="1:11" ht="30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82</v>
      </c>
      <c r="K60" s="83" t="s">
        <v>83</v>
      </c>
    </row>
    <row r="61" spans="1:11" ht="15.75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63</v>
      </c>
      <c r="K61" s="81"/>
    </row>
    <row r="62" spans="1:11" ht="15.75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63</v>
      </c>
      <c r="K62" s="61"/>
    </row>
    <row r="63" spans="1:11" ht="15.75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63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63</v>
      </c>
      <c r="K64" s="61"/>
    </row>
    <row r="65" spans="1:12" ht="15.75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75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84</v>
      </c>
      <c r="K67" s="81" t="s">
        <v>85</v>
      </c>
      <c r="L67" s="79" t="s">
        <v>86</v>
      </c>
    </row>
    <row r="68" spans="1:12" ht="90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87</v>
      </c>
      <c r="K68" s="83" t="s">
        <v>88</v>
      </c>
      <c r="L68" s="79" t="s">
        <v>89</v>
      </c>
    </row>
    <row r="69" spans="1:12" ht="15.75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75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58</v>
      </c>
      <c r="K70" s="59"/>
    </row>
    <row r="71" spans="1:12" ht="15.75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30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90</v>
      </c>
      <c r="K72" s="83" t="s">
        <v>67</v>
      </c>
    </row>
    <row r="73" spans="1:12" ht="15.75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75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75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58</v>
      </c>
      <c r="K75" s="56"/>
    </row>
    <row r="76" spans="1:12" ht="15.75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75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30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91</v>
      </c>
      <c r="K78" s="83" t="s">
        <v>92</v>
      </c>
    </row>
    <row r="79" spans="1:12" ht="4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93</v>
      </c>
      <c r="K79" s="84" t="s">
        <v>94</v>
      </c>
    </row>
    <row r="80" spans="1:12" ht="60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95</v>
      </c>
      <c r="K80" s="83" t="s">
        <v>96</v>
      </c>
    </row>
    <row r="81" spans="1:11" ht="15.75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75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58</v>
      </c>
      <c r="K82" s="59"/>
    </row>
    <row r="83" spans="1:11" ht="4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139" t="s">
        <v>97</v>
      </c>
      <c r="K83" s="81" t="s">
        <v>98</v>
      </c>
    </row>
    <row r="84" spans="1:11" ht="1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6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18" t="str" cm="1">
        <f t="array" ref="A1">portfolio</f>
        <v>Wells Fargo</v>
      </c>
      <c r="B1" s="218"/>
      <c r="C1" s="218"/>
      <c r="D1" s="219" t="s">
        <v>99</v>
      </c>
      <c r="E1" s="219"/>
      <c r="F1" s="219"/>
      <c r="G1" s="217" t="s">
        <v>100</v>
      </c>
      <c r="H1" s="217"/>
      <c r="I1" s="217"/>
      <c r="J1" s="3"/>
      <c r="K1" s="3"/>
    </row>
    <row r="2" spans="1:13" ht="19.5" customHeight="1">
      <c r="A2" s="228" t="s">
        <v>2</v>
      </c>
      <c r="B2" s="228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3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75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51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101</v>
      </c>
      <c r="K6" s="78" t="s">
        <v>102</v>
      </c>
      <c r="L6" s="86" t="s">
        <v>76</v>
      </c>
      <c r="M6" s="63"/>
    </row>
    <row r="7" spans="1:13" ht="30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103</v>
      </c>
      <c r="K7" s="39"/>
      <c r="L7" s="63"/>
      <c r="M7" s="63"/>
    </row>
    <row r="8" spans="1:13" ht="4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104</v>
      </c>
      <c r="K8" s="38"/>
      <c r="L8" s="63"/>
      <c r="M8" s="63"/>
    </row>
    <row r="9" spans="1:13" ht="4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104</v>
      </c>
      <c r="K9" s="39"/>
      <c r="L9" s="63"/>
      <c r="M9" s="63"/>
    </row>
    <row r="10" spans="1:13" ht="15.75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75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75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104</v>
      </c>
      <c r="K13" s="39"/>
      <c r="L13" s="63"/>
      <c r="M13" s="63"/>
    </row>
    <row r="14" spans="1:13" ht="15.75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75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104</v>
      </c>
      <c r="K16" s="38"/>
      <c r="L16" s="63"/>
      <c r="M16" s="63"/>
    </row>
    <row r="17" spans="1:13" ht="15.75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105</v>
      </c>
      <c r="K18" s="38"/>
      <c r="L18" s="63"/>
      <c r="M18" s="63"/>
    </row>
    <row r="19" spans="1:13" ht="75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106</v>
      </c>
      <c r="K19" s="81" t="s">
        <v>107</v>
      </c>
      <c r="L19" s="86" t="s">
        <v>57</v>
      </c>
      <c r="M19" s="63"/>
    </row>
    <row r="20" spans="1:13" ht="45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108</v>
      </c>
      <c r="K20" s="78" t="s">
        <v>109</v>
      </c>
      <c r="L20" s="63"/>
      <c r="M20" s="63"/>
    </row>
    <row r="21" spans="1:13" ht="15.75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75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75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75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75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75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75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75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75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75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75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75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30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103</v>
      </c>
      <c r="K33" s="39"/>
      <c r="L33" s="63"/>
      <c r="M33" s="63"/>
    </row>
    <row r="34" spans="1:13" ht="30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110</v>
      </c>
      <c r="K34" s="38"/>
      <c r="L34" s="63"/>
      <c r="M34" s="63"/>
    </row>
    <row r="35" spans="1:13" ht="15.75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75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75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75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75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75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30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103</v>
      </c>
      <c r="K41" s="39"/>
      <c r="L41" s="63"/>
      <c r="M41" s="63"/>
    </row>
    <row r="42" spans="1:13" ht="15.75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75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75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75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30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111</v>
      </c>
      <c r="K46" s="38"/>
      <c r="L46" s="63"/>
      <c r="M46" s="63"/>
    </row>
    <row r="47" spans="1:13" ht="30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112</v>
      </c>
      <c r="K47" s="39"/>
      <c r="L47" s="63"/>
      <c r="M47" s="63"/>
    </row>
    <row r="48" spans="1:13" ht="15.75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75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75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30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113</v>
      </c>
      <c r="K51" s="39"/>
      <c r="L51" s="63"/>
      <c r="M51" s="63"/>
    </row>
    <row r="52" spans="1:13" ht="15.75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75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60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114</v>
      </c>
      <c r="K54" s="78" t="s">
        <v>62</v>
      </c>
      <c r="L54" s="63"/>
      <c r="M54" s="63"/>
    </row>
    <row r="55" spans="1:13" ht="15.75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75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75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75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75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75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75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75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75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45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115</v>
      </c>
      <c r="K64" s="78" t="s">
        <v>116</v>
      </c>
      <c r="L64" s="63"/>
      <c r="M64" s="63"/>
    </row>
    <row r="65" spans="1:13" ht="15.75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75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117</v>
      </c>
      <c r="K66" s="78" t="s">
        <v>118</v>
      </c>
      <c r="L66" s="63"/>
      <c r="M66" s="63"/>
    </row>
    <row r="67" spans="1:13" ht="30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119</v>
      </c>
      <c r="K67" s="85" t="s">
        <v>120</v>
      </c>
      <c r="L67" s="63"/>
      <c r="M67" s="63"/>
    </row>
    <row r="68" spans="1:13" ht="15.75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75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75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60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121</v>
      </c>
      <c r="K71" s="39"/>
      <c r="L71" s="63"/>
      <c r="M71" s="63"/>
    </row>
    <row r="72" spans="1:13" ht="60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121</v>
      </c>
      <c r="K72" s="38"/>
      <c r="L72" s="63"/>
      <c r="M72" s="63"/>
    </row>
    <row r="73" spans="1:13" ht="15.75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75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30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122</v>
      </c>
      <c r="K75" s="39"/>
      <c r="L75" s="63"/>
      <c r="M75" s="63"/>
    </row>
    <row r="76" spans="1:13" ht="45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123</v>
      </c>
      <c r="K76" s="38"/>
      <c r="L76" s="63"/>
      <c r="M76" s="63"/>
    </row>
    <row r="77" spans="1:13" ht="15.75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30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124</v>
      </c>
      <c r="K78" s="78" t="s">
        <v>92</v>
      </c>
      <c r="L78" s="63"/>
      <c r="M78" s="63"/>
    </row>
    <row r="79" spans="1:13" ht="15.75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75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125</v>
      </c>
      <c r="K81" s="39"/>
      <c r="L81" s="63"/>
      <c r="M81" s="63"/>
    </row>
    <row r="82" spans="1:13" ht="15.75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5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126</v>
      </c>
      <c r="K83" s="85" t="s">
        <v>127</v>
      </c>
      <c r="L83" s="63"/>
      <c r="M83" s="63"/>
    </row>
    <row r="84" spans="1:13" ht="15.75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9" activePane="bottomRight" state="frozen"/>
      <selection pane="bottomRight" activeCell="J72" sqref="J72"/>
      <selection pane="bottomLeft" activeCell="H74" sqref="H74"/>
      <selection pane="topRight" activeCell="H74" sqref="H74"/>
    </sheetView>
  </sheetViews>
  <sheetFormatPr defaultRowHeight="14.2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8" t="str" cm="1">
        <f t="array" ref="A1">portfolio</f>
        <v>Wells Fargo</v>
      </c>
      <c r="B1" s="218"/>
      <c r="C1" s="218"/>
      <c r="D1" s="219" t="s">
        <v>128</v>
      </c>
      <c r="E1" s="219"/>
      <c r="F1" s="219"/>
      <c r="G1" s="217" t="s">
        <v>129</v>
      </c>
      <c r="H1" s="217"/>
      <c r="I1" s="217"/>
      <c r="J1" s="3"/>
      <c r="K1" s="3"/>
    </row>
    <row r="2" spans="1:15" ht="19.5" customHeight="1">
      <c r="A2" s="228" t="s">
        <v>2</v>
      </c>
      <c r="B2" s="228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130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38.200000000000003</v>
      </c>
      <c r="D5" s="15" t="s">
        <v>130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51</v>
      </c>
      <c r="K5" s="39"/>
      <c r="L5" s="63"/>
      <c r="M5" s="63"/>
      <c r="N5" s="63"/>
      <c r="O5" s="63"/>
    </row>
    <row r="6" spans="1:15" ht="180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131</v>
      </c>
      <c r="K6" s="78" t="s">
        <v>132</v>
      </c>
      <c r="L6" s="86" t="s">
        <v>133</v>
      </c>
      <c r="M6" s="86" t="s">
        <v>134</v>
      </c>
      <c r="N6" s="63"/>
      <c r="O6" s="63"/>
    </row>
    <row r="7" spans="1:15" ht="30">
      <c r="A7" s="27" t="str">
        <v>Van Nuys</v>
      </c>
      <c r="B7" s="28" t="str">
        <v>CA</v>
      </c>
      <c r="C7" s="10">
        <v>1914.7</v>
      </c>
      <c r="D7" s="15" t="s">
        <v>130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103</v>
      </c>
      <c r="K7" s="40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1132.0999999999999</v>
      </c>
      <c r="D8" s="11" t="s">
        <v>130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104</v>
      </c>
      <c r="K8" s="38"/>
      <c r="L8" s="63"/>
      <c r="M8" s="63"/>
      <c r="N8" s="63"/>
      <c r="O8" s="63"/>
    </row>
    <row r="9" spans="1:15" ht="60">
      <c r="A9" s="27" t="str">
        <v>Arapahoe Crossings</v>
      </c>
      <c r="B9" s="28" t="str">
        <v>CO</v>
      </c>
      <c r="C9" s="10">
        <v>2890.2074882629099</v>
      </c>
      <c r="D9" s="15" t="s">
        <v>130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121</v>
      </c>
      <c r="K9" s="40"/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1927.8999999999901</v>
      </c>
      <c r="D10" s="11" t="s">
        <v>130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2238.5</v>
      </c>
      <c r="D11" s="15" t="s">
        <v>130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60">
      <c r="A12" s="25" t="str">
        <v>Highlands Ranch S.</v>
      </c>
      <c r="B12" s="26" t="str">
        <v>CO</v>
      </c>
      <c r="C12" s="21">
        <v>1893.2</v>
      </c>
      <c r="D12" s="11" t="s">
        <v>130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121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130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135</v>
      </c>
      <c r="K13" s="81" t="s">
        <v>136</v>
      </c>
      <c r="L13" s="86" t="s">
        <v>137</v>
      </c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3210.6000000000099</v>
      </c>
      <c r="D14" s="11" t="s">
        <v>130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3124.9</v>
      </c>
      <c r="D15" s="15" t="s">
        <v>130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5">
      <c r="A16" s="25" t="str">
        <v>Standley Lake</v>
      </c>
      <c r="B16" s="26" t="str">
        <v>CO</v>
      </c>
      <c r="C16" s="21">
        <v>3214.8</v>
      </c>
      <c r="D16" s="11" t="s">
        <v>130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104</v>
      </c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3616.7</v>
      </c>
      <c r="D17" s="15" t="s">
        <v>130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138</v>
      </c>
      <c r="K18" s="38"/>
      <c r="L18" s="63"/>
      <c r="M18" s="63"/>
      <c r="N18" s="63"/>
      <c r="O18" s="63"/>
    </row>
    <row r="19" spans="1:15" ht="15.75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139</v>
      </c>
      <c r="K19" s="85" t="s">
        <v>140</v>
      </c>
      <c r="L19" s="63"/>
      <c r="M19" s="63"/>
      <c r="N19" s="63"/>
      <c r="O19" s="63"/>
    </row>
    <row r="20" spans="1:15" ht="30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141</v>
      </c>
      <c r="K20" s="78" t="s">
        <v>109</v>
      </c>
      <c r="L20" s="63"/>
      <c r="M20" s="63"/>
      <c r="N20" s="63"/>
      <c r="O20" s="63"/>
    </row>
    <row r="21" spans="1:15" ht="15.75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75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75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103</v>
      </c>
      <c r="K25" s="55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103</v>
      </c>
      <c r="K26" s="38"/>
      <c r="L26" s="63"/>
      <c r="M26" s="63"/>
      <c r="N26" s="63"/>
      <c r="O26" s="63"/>
    </row>
    <row r="27" spans="1:15" ht="15.75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103</v>
      </c>
      <c r="K28" s="38"/>
      <c r="L28" s="63"/>
      <c r="M28" s="63"/>
      <c r="N28" s="63"/>
      <c r="O28" s="63"/>
    </row>
    <row r="29" spans="1:15" ht="15.75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103</v>
      </c>
      <c r="K30" s="38"/>
      <c r="L30" s="63"/>
      <c r="M30" s="63"/>
      <c r="N30" s="63"/>
      <c r="O30" s="63"/>
    </row>
    <row r="31" spans="1:15" ht="15.75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75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103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142</v>
      </c>
      <c r="K34" s="78" t="s">
        <v>143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103</v>
      </c>
      <c r="K35" s="40"/>
      <c r="L35" s="63"/>
      <c r="M35" s="63"/>
      <c r="N35" s="63"/>
      <c r="O35" s="63"/>
    </row>
    <row r="36" spans="1:15" ht="15.75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75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75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144</v>
      </c>
      <c r="K38" s="78" t="s">
        <v>145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103</v>
      </c>
      <c r="K39" s="40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146</v>
      </c>
      <c r="K40" s="78" t="s">
        <v>147</v>
      </c>
      <c r="L40" s="63"/>
      <c r="M40" s="63"/>
      <c r="N40" s="63"/>
      <c r="O40" s="63"/>
    </row>
    <row r="41" spans="1:15" ht="15.75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148</v>
      </c>
      <c r="K41" s="40"/>
      <c r="L41" s="63"/>
      <c r="M41" s="63"/>
      <c r="N41" s="63"/>
      <c r="O41" s="63"/>
    </row>
    <row r="42" spans="1:15" ht="15.75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75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103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149</v>
      </c>
      <c r="K45" s="81" t="s">
        <v>150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151</v>
      </c>
      <c r="K46" s="87" t="s">
        <v>152</v>
      </c>
      <c r="L46" s="63"/>
      <c r="M46" s="63"/>
      <c r="N46" s="63"/>
      <c r="O46" s="63"/>
    </row>
    <row r="47" spans="1:15" ht="30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153</v>
      </c>
      <c r="K47" s="81" t="s">
        <v>154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103</v>
      </c>
      <c r="K48" s="60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103</v>
      </c>
      <c r="K49" s="49"/>
      <c r="L49" s="63"/>
      <c r="M49" s="63"/>
      <c r="N49" s="63"/>
      <c r="O49" s="63"/>
    </row>
    <row r="50" spans="1:15" ht="15.75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103</v>
      </c>
      <c r="K51" s="40"/>
      <c r="L51" s="63"/>
      <c r="M51" s="63"/>
      <c r="N51" s="63"/>
      <c r="O51" s="63"/>
    </row>
    <row r="52" spans="1:15" ht="15.75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103</v>
      </c>
      <c r="K53" s="40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103</v>
      </c>
      <c r="K54" s="38"/>
      <c r="L54" s="63"/>
      <c r="M54" s="63"/>
      <c r="N54" s="63"/>
      <c r="O54" s="63"/>
    </row>
    <row r="55" spans="1:15" ht="15.75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75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103</v>
      </c>
      <c r="K57" s="55"/>
      <c r="L57" s="63"/>
      <c r="M57" s="63"/>
      <c r="N57" s="63"/>
      <c r="O57" s="63"/>
    </row>
    <row r="58" spans="1:15" ht="15.75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75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30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103</v>
      </c>
      <c r="K63" s="55"/>
      <c r="L63" s="63"/>
      <c r="M63" s="63"/>
      <c r="N63" s="63"/>
      <c r="O63" s="63"/>
    </row>
    <row r="64" spans="1:15" ht="10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155</v>
      </c>
      <c r="K64" s="78" t="s">
        <v>116</v>
      </c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103</v>
      </c>
      <c r="K67" s="39"/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1396.8203125</v>
      </c>
      <c r="D70" s="11" t="s">
        <v>130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9495.5</v>
      </c>
      <c r="D71" s="15" t="s">
        <v>130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60">
      <c r="A72" s="25" t="str">
        <v>Arcadia Main</v>
      </c>
      <c r="B72" s="26" t="str">
        <v>CA</v>
      </c>
      <c r="C72" s="21">
        <v>3914.4593945312499</v>
      </c>
      <c r="D72" s="11" t="s">
        <v>130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121</v>
      </c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156</v>
      </c>
      <c r="K75" s="85" t="s">
        <v>157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75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158</v>
      </c>
      <c r="K78" s="78" t="s">
        <v>92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120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159</v>
      </c>
      <c r="K83" s="81" t="s">
        <v>160</v>
      </c>
      <c r="L83" s="86" t="s">
        <v>161</v>
      </c>
      <c r="M83" s="86" t="s">
        <v>162</v>
      </c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2024.3</v>
      </c>
      <c r="D84" s="11" t="s">
        <v>130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88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7" activePane="bottomRight" state="frozen"/>
      <selection pane="bottomRight" activeCell="J57" sqref="J57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8" t="str" cm="1">
        <f t="array" ref="A1">portfolio</f>
        <v>Wells Fargo</v>
      </c>
      <c r="B1" s="218"/>
      <c r="C1" s="218"/>
      <c r="D1" s="219" t="s">
        <v>163</v>
      </c>
      <c r="E1" s="219"/>
      <c r="F1" s="219"/>
      <c r="G1" s="217" t="s">
        <v>164</v>
      </c>
      <c r="H1" s="217"/>
      <c r="I1" s="217"/>
      <c r="J1" s="3"/>
      <c r="K1" s="3"/>
    </row>
    <row r="2" spans="1:15" ht="19.5" customHeight="1">
      <c r="A2" s="228" t="s">
        <v>2</v>
      </c>
      <c r="B2" s="228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130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103</v>
      </c>
      <c r="K4" s="38"/>
      <c r="L4" s="63"/>
      <c r="M4" s="63"/>
      <c r="N4" s="63"/>
      <c r="O4" s="63"/>
    </row>
    <row r="5" spans="1:15" ht="15.75">
      <c r="A5" s="27" t="str">
        <v>Otay Mesa</v>
      </c>
      <c r="B5" s="28" t="str">
        <v>CA</v>
      </c>
      <c r="C5" s="10">
        <v>39.39</v>
      </c>
      <c r="D5" s="15" t="s">
        <v>130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130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54"/>
      <c r="L5" s="63"/>
      <c r="M5" s="63"/>
      <c r="N5" s="63"/>
      <c r="O5" s="63"/>
    </row>
    <row r="6" spans="1:15" ht="30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165</v>
      </c>
      <c r="K6" s="78" t="s">
        <v>166</v>
      </c>
      <c r="L6" s="63"/>
      <c r="M6" s="63"/>
      <c r="N6" s="63"/>
      <c r="O6" s="63"/>
    </row>
    <row r="7" spans="1:15" ht="30">
      <c r="A7" s="27" t="str">
        <v>Van Nuys</v>
      </c>
      <c r="B7" s="28" t="str">
        <v>CA</v>
      </c>
      <c r="C7" s="10">
        <v>2061.3000000000002</v>
      </c>
      <c r="D7" s="15" t="s">
        <v>130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103</v>
      </c>
      <c r="K7" s="54"/>
      <c r="L7" s="63"/>
      <c r="M7" s="63"/>
      <c r="N7" s="63"/>
      <c r="O7" s="63"/>
    </row>
    <row r="8" spans="1:15" ht="45">
      <c r="A8" s="25" t="str">
        <v>98th &amp; Grant</v>
      </c>
      <c r="B8" s="26" t="str">
        <v>CO</v>
      </c>
      <c r="C8" s="21">
        <v>1300</v>
      </c>
      <c r="D8" s="11" t="s">
        <v>130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104</v>
      </c>
      <c r="K8" s="38"/>
      <c r="L8" s="63"/>
      <c r="M8" s="63"/>
      <c r="N8" s="63"/>
      <c r="O8" s="63"/>
    </row>
    <row r="9" spans="1:15" ht="45">
      <c r="A9" s="27" t="str">
        <v>Arapahoe Crossings</v>
      </c>
      <c r="B9" s="28" t="str">
        <v>CO</v>
      </c>
      <c r="C9" s="10">
        <v>3269.7051820435599</v>
      </c>
      <c r="D9" s="15" t="s">
        <v>130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167</v>
      </c>
      <c r="K9" s="54" t="s">
        <v>168</v>
      </c>
      <c r="L9" s="63"/>
      <c r="M9" s="63"/>
      <c r="N9" s="63"/>
      <c r="O9" s="63"/>
    </row>
    <row r="10" spans="1:15" ht="15.75">
      <c r="A10" s="25" t="str">
        <v>Aurora City Center</v>
      </c>
      <c r="B10" s="26" t="str">
        <v>CO</v>
      </c>
      <c r="C10" s="21">
        <v>2109.8000000000002</v>
      </c>
      <c r="D10" s="11" t="s">
        <v>130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75">
      <c r="A11" s="27" t="str">
        <v>Dry Creek</v>
      </c>
      <c r="B11" s="28" t="str">
        <v>CO</v>
      </c>
      <c r="C11" s="10">
        <v>2695.8</v>
      </c>
      <c r="D11" s="15" t="s">
        <v>130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30">
      <c r="A12" s="25" t="str">
        <v>Highlands Ranch S.</v>
      </c>
      <c r="B12" s="26" t="str">
        <v>CO</v>
      </c>
      <c r="C12" s="21">
        <v>1924.8</v>
      </c>
      <c r="D12" s="11" t="s">
        <v>130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169</v>
      </c>
      <c r="K12" s="38" t="s">
        <v>170</v>
      </c>
      <c r="L12" s="63"/>
      <c r="M12" s="63"/>
      <c r="N12" s="63"/>
      <c r="O12" s="63"/>
    </row>
    <row r="13" spans="1:15" ht="30">
      <c r="A13" s="27" t="str">
        <v>Lone Tree</v>
      </c>
      <c r="B13" s="28" t="str">
        <v>CO</v>
      </c>
      <c r="C13" s="10">
        <v>3676.6000000000099</v>
      </c>
      <c r="D13" s="15" t="s">
        <v>130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89" t="s">
        <v>171</v>
      </c>
      <c r="K13" s="80" t="s">
        <v>172</v>
      </c>
      <c r="L13" s="63"/>
      <c r="M13" s="63"/>
      <c r="N13" s="63"/>
      <c r="O13" s="63"/>
    </row>
    <row r="14" spans="1:15" ht="15.75">
      <c r="A14" s="25" t="str">
        <v>Meridian</v>
      </c>
      <c r="B14" s="26" t="str">
        <v>CO</v>
      </c>
      <c r="C14" s="21">
        <v>3650.3999999999901</v>
      </c>
      <c r="D14" s="11" t="s">
        <v>130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75">
      <c r="A15" s="27" t="str">
        <v>Southglenn</v>
      </c>
      <c r="B15" s="28" t="str">
        <v>CO</v>
      </c>
      <c r="C15" s="10">
        <v>3662.6</v>
      </c>
      <c r="D15" s="15" t="s">
        <v>130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75">
      <c r="A16" s="25" t="str">
        <v>Standley Lake</v>
      </c>
      <c r="B16" s="26" t="str">
        <v>CO</v>
      </c>
      <c r="C16" s="21">
        <v>4329.0999999999904</v>
      </c>
      <c r="D16" s="11" t="s">
        <v>130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75">
      <c r="A17" s="27" t="str">
        <v>Havana Gardens</v>
      </c>
      <c r="B17" s="28" t="str">
        <v>CO</v>
      </c>
      <c r="C17" s="10">
        <v>4143.99999999999</v>
      </c>
      <c r="D17" s="15" t="s">
        <v>130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173</v>
      </c>
      <c r="K18" s="38"/>
      <c r="L18" s="63"/>
      <c r="M18" s="63"/>
      <c r="N18" s="63"/>
      <c r="O18" s="63"/>
    </row>
    <row r="19" spans="1:15" ht="75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89" t="s">
        <v>174</v>
      </c>
      <c r="K19" s="80" t="s">
        <v>175</v>
      </c>
      <c r="L19" s="86" t="s">
        <v>176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177</v>
      </c>
      <c r="K20" s="78" t="s">
        <v>109</v>
      </c>
      <c r="L20" s="63"/>
      <c r="M20" s="63"/>
      <c r="N20" s="63"/>
      <c r="O20" s="63"/>
    </row>
    <row r="21" spans="1:15" ht="30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178</v>
      </c>
      <c r="K21" s="80" t="s">
        <v>179</v>
      </c>
      <c r="L21" s="63"/>
      <c r="M21" s="63"/>
      <c r="N21" s="63"/>
      <c r="O21" s="63"/>
    </row>
    <row r="22" spans="1:15" ht="30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180</v>
      </c>
      <c r="K22" s="78" t="s">
        <v>181</v>
      </c>
      <c r="L22" s="63"/>
      <c r="M22" s="63"/>
      <c r="N22" s="63"/>
      <c r="O22" s="63"/>
    </row>
    <row r="23" spans="1:15" ht="30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182</v>
      </c>
      <c r="K23" s="80" t="s">
        <v>183</v>
      </c>
      <c r="L23" s="63"/>
      <c r="M23" s="63"/>
      <c r="N23" s="63"/>
      <c r="O23" s="63"/>
    </row>
    <row r="24" spans="1:15" ht="15.75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30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103</v>
      </c>
      <c r="K25" s="54"/>
      <c r="L25" s="63"/>
      <c r="M25" s="63"/>
      <c r="N25" s="63"/>
      <c r="O25" s="63"/>
    </row>
    <row r="26" spans="1:15" ht="30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103</v>
      </c>
      <c r="K26" s="38"/>
      <c r="L26" s="63"/>
      <c r="M26" s="63"/>
      <c r="N26" s="63"/>
      <c r="O26" s="63"/>
    </row>
    <row r="27" spans="1:15" ht="30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184</v>
      </c>
      <c r="K27" s="54"/>
      <c r="L27" s="63"/>
      <c r="M27" s="63"/>
      <c r="N27" s="63"/>
      <c r="O27" s="63"/>
    </row>
    <row r="28" spans="1:15" ht="30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184</v>
      </c>
      <c r="K28" s="38"/>
      <c r="L28" s="63"/>
      <c r="M28" s="63"/>
      <c r="N28" s="63"/>
      <c r="O28" s="63"/>
    </row>
    <row r="29" spans="1:15" ht="60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185</v>
      </c>
      <c r="K29" s="80" t="s">
        <v>186</v>
      </c>
      <c r="L29" s="86" t="s">
        <v>187</v>
      </c>
      <c r="M29" s="63"/>
      <c r="N29" s="63"/>
      <c r="O29" s="63"/>
    </row>
    <row r="30" spans="1:15" ht="30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103</v>
      </c>
      <c r="K30" s="38"/>
      <c r="L30" s="63"/>
      <c r="M30" s="63"/>
      <c r="N30" s="63"/>
      <c r="O30" s="63"/>
    </row>
    <row r="31" spans="1:15" ht="30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103</v>
      </c>
      <c r="K31" s="54"/>
      <c r="L31" s="63"/>
      <c r="M31" s="63"/>
      <c r="N31" s="63"/>
      <c r="O31" s="63"/>
    </row>
    <row r="32" spans="1:15" ht="30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188</v>
      </c>
      <c r="K32" s="78" t="s">
        <v>189</v>
      </c>
      <c r="L32" s="63"/>
      <c r="M32" s="63"/>
      <c r="N32" s="63"/>
      <c r="O32" s="63"/>
    </row>
    <row r="33" spans="1:15" ht="30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103</v>
      </c>
      <c r="K33" s="54"/>
      <c r="L33" s="63"/>
      <c r="M33" s="63"/>
      <c r="N33" s="63"/>
      <c r="O33" s="63"/>
    </row>
    <row r="34" spans="1:15" ht="4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190</v>
      </c>
      <c r="K34" s="78" t="s">
        <v>191</v>
      </c>
      <c r="L34" s="63"/>
      <c r="M34" s="63"/>
      <c r="N34" s="63"/>
      <c r="O34" s="63"/>
    </row>
    <row r="35" spans="1:15" ht="30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103</v>
      </c>
      <c r="K35" s="54"/>
      <c r="L35" s="63"/>
      <c r="M35" s="63"/>
      <c r="N35" s="63"/>
      <c r="O35" s="63"/>
    </row>
    <row r="36" spans="1:15" ht="30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103</v>
      </c>
      <c r="K36" s="38"/>
      <c r="L36" s="63"/>
      <c r="M36" s="63"/>
      <c r="N36" s="63"/>
      <c r="O36" s="63"/>
    </row>
    <row r="37" spans="1:15" ht="30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103</v>
      </c>
      <c r="K37" s="54"/>
      <c r="L37" s="63"/>
      <c r="M37" s="63"/>
      <c r="N37" s="63"/>
      <c r="O37" s="63"/>
    </row>
    <row r="38" spans="1:15" ht="30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192</v>
      </c>
      <c r="K38" s="78" t="s">
        <v>193</v>
      </c>
      <c r="L38" s="63"/>
      <c r="M38" s="63"/>
      <c r="N38" s="63"/>
      <c r="O38" s="63"/>
    </row>
    <row r="39" spans="1:15" ht="30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103</v>
      </c>
      <c r="K39" s="54"/>
      <c r="L39" s="63"/>
      <c r="M39" s="63"/>
      <c r="N39" s="63"/>
      <c r="O39" s="63"/>
    </row>
    <row r="40" spans="1:15" ht="30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103</v>
      </c>
      <c r="K40" s="38"/>
      <c r="L40" s="63"/>
      <c r="M40" s="63"/>
      <c r="N40" s="63"/>
      <c r="O40" s="63"/>
    </row>
    <row r="41" spans="1:15" ht="30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194</v>
      </c>
      <c r="K41" s="54"/>
      <c r="L41" s="63"/>
      <c r="M41" s="63"/>
      <c r="N41" s="63"/>
      <c r="O41" s="63"/>
    </row>
    <row r="42" spans="1:15" ht="30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103</v>
      </c>
      <c r="K42" s="38"/>
      <c r="L42" s="63"/>
      <c r="M42" s="63"/>
      <c r="N42" s="63"/>
      <c r="O42" s="63"/>
    </row>
    <row r="43" spans="1:15" ht="30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103</v>
      </c>
      <c r="K43" s="54"/>
      <c r="L43" s="63"/>
      <c r="M43" s="63"/>
      <c r="N43" s="63"/>
      <c r="O43" s="63"/>
    </row>
    <row r="44" spans="1:15" ht="30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195</v>
      </c>
      <c r="K44" s="78" t="s">
        <v>196</v>
      </c>
      <c r="L44" s="63"/>
      <c r="M44" s="63"/>
      <c r="N44" s="63"/>
      <c r="O44" s="63"/>
    </row>
    <row r="45" spans="1:15" ht="30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103</v>
      </c>
      <c r="K45" s="54"/>
      <c r="L45" s="63"/>
      <c r="M45" s="63"/>
      <c r="N45" s="63"/>
      <c r="O45" s="63"/>
    </row>
    <row r="46" spans="1:15" ht="30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194</v>
      </c>
      <c r="K46" s="38"/>
      <c r="L46" s="63"/>
      <c r="M46" s="63"/>
      <c r="N46" s="63"/>
      <c r="O46" s="63"/>
    </row>
    <row r="47" spans="1:15" ht="4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197</v>
      </c>
      <c r="K47" s="80" t="s">
        <v>154</v>
      </c>
      <c r="L47" s="63"/>
      <c r="M47" s="63"/>
      <c r="N47" s="63"/>
      <c r="O47" s="63"/>
    </row>
    <row r="48" spans="1:15" ht="30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103</v>
      </c>
      <c r="K48" s="38"/>
      <c r="L48" s="63"/>
      <c r="M48" s="63"/>
      <c r="N48" s="63"/>
      <c r="O48" s="63"/>
    </row>
    <row r="49" spans="1:15" ht="30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103</v>
      </c>
      <c r="K49" s="54"/>
      <c r="L49" s="63"/>
      <c r="M49" s="63"/>
      <c r="N49" s="63"/>
      <c r="O49" s="63"/>
    </row>
    <row r="50" spans="1:15" ht="30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103</v>
      </c>
      <c r="K50" s="38"/>
      <c r="L50" s="63"/>
      <c r="M50" s="63"/>
      <c r="N50" s="63"/>
      <c r="O50" s="63"/>
    </row>
    <row r="51" spans="1:15" ht="30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103</v>
      </c>
      <c r="K51" s="54"/>
      <c r="L51" s="63"/>
      <c r="M51" s="63"/>
      <c r="N51" s="63"/>
      <c r="O51" s="63"/>
    </row>
    <row r="52" spans="1:15" ht="30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103</v>
      </c>
      <c r="K52" s="38"/>
      <c r="L52" s="63"/>
      <c r="M52" s="63"/>
      <c r="N52" s="63"/>
      <c r="O52" s="63"/>
    </row>
    <row r="53" spans="1:15" ht="30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103</v>
      </c>
      <c r="K53" s="54"/>
      <c r="L53" s="63"/>
      <c r="M53" s="63"/>
      <c r="N53" s="63"/>
      <c r="O53" s="63"/>
    </row>
    <row r="54" spans="1:15" ht="30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103</v>
      </c>
      <c r="K54" s="38"/>
      <c r="L54" s="63"/>
      <c r="M54" s="63"/>
      <c r="N54" s="63"/>
      <c r="O54" s="63"/>
    </row>
    <row r="55" spans="1:15" ht="30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194</v>
      </c>
      <c r="K55" s="54"/>
      <c r="L55" s="63"/>
      <c r="M55" s="63"/>
      <c r="N55" s="63"/>
      <c r="O55" s="63"/>
    </row>
    <row r="56" spans="1:15" ht="30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198</v>
      </c>
      <c r="K56" s="78" t="s">
        <v>199</v>
      </c>
      <c r="L56" s="63"/>
      <c r="M56" s="63"/>
      <c r="N56" s="63"/>
      <c r="O56" s="63"/>
    </row>
    <row r="57" spans="1:15" ht="30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103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75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75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200</v>
      </c>
      <c r="K61" s="80" t="s">
        <v>201</v>
      </c>
      <c r="L61" s="63"/>
      <c r="M61" s="63"/>
      <c r="N61" s="63"/>
      <c r="O61" s="63"/>
    </row>
    <row r="62" spans="1:15" ht="15.75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5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202</v>
      </c>
      <c r="K63" s="81" t="s">
        <v>203</v>
      </c>
      <c r="L63" s="86" t="s">
        <v>204</v>
      </c>
      <c r="M63" s="63"/>
      <c r="N63" s="63"/>
      <c r="O63" s="63"/>
    </row>
    <row r="64" spans="1:15" ht="15.75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75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75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30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205</v>
      </c>
      <c r="K67" s="81" t="s">
        <v>206</v>
      </c>
      <c r="L67" s="63"/>
      <c r="M67" s="63"/>
      <c r="N67" s="63"/>
      <c r="O67" s="63"/>
    </row>
    <row r="68" spans="1:15" ht="15.75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75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75">
      <c r="A70" s="25" t="str">
        <v>Old Ranch Town Center</v>
      </c>
      <c r="B70" s="26" t="str">
        <v>CA</v>
      </c>
      <c r="C70" s="21">
        <v>1461.28173828125</v>
      </c>
      <c r="D70" s="11" t="s">
        <v>130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75">
      <c r="A71" s="27" t="str">
        <v>Mountain Gate Plaza</v>
      </c>
      <c r="B71" s="28" t="str">
        <v>CA</v>
      </c>
      <c r="C71" s="10">
        <v>10399.4</v>
      </c>
      <c r="D71" s="15" t="s">
        <v>130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75">
      <c r="A72" s="25" t="str">
        <v>Arcadia Main</v>
      </c>
      <c r="B72" s="26" t="str">
        <v>CA</v>
      </c>
      <c r="C72" s="21">
        <v>4669.9694726562502</v>
      </c>
      <c r="D72" s="11" t="s">
        <v>130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75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75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75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156</v>
      </c>
      <c r="K75" s="80" t="s">
        <v>207</v>
      </c>
      <c r="L75" s="63"/>
      <c r="M75" s="63"/>
      <c r="N75" s="63"/>
      <c r="O75" s="63"/>
    </row>
    <row r="76" spans="1:15" ht="15.75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75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30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208</v>
      </c>
      <c r="K78" s="78" t="s">
        <v>209</v>
      </c>
      <c r="L78" s="63"/>
      <c r="M78" s="63"/>
      <c r="N78" s="63"/>
      <c r="O78" s="63"/>
    </row>
    <row r="79" spans="1:15" ht="15.75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75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75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210</v>
      </c>
      <c r="K81" s="80" t="s">
        <v>211</v>
      </c>
      <c r="L81" s="63"/>
      <c r="M81" s="63"/>
      <c r="N81" s="63"/>
      <c r="O81" s="63"/>
    </row>
    <row r="82" spans="1:15" ht="15.75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60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212</v>
      </c>
      <c r="K83" s="80" t="s">
        <v>213</v>
      </c>
      <c r="L83" s="86" t="s">
        <v>214</v>
      </c>
      <c r="M83" s="63"/>
      <c r="N83" s="63"/>
      <c r="O83" s="63"/>
    </row>
    <row r="84" spans="1:15" ht="15.75">
      <c r="A84" s="25" t="str">
        <v>BE 199502 - Westgate</v>
      </c>
      <c r="B84" s="26" t="str">
        <v>CA</v>
      </c>
      <c r="C84" s="21">
        <v>2685.8</v>
      </c>
      <c r="D84" s="11" t="s">
        <v>130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4" activePane="bottomRight" state="frozen"/>
      <selection pane="bottomRight" activeCell="O41" sqref="O41"/>
      <selection pane="bottomLeft" activeCell="H74" sqref="H74"/>
      <selection pane="topRight" activeCell="H74" sqref="H74"/>
    </sheetView>
  </sheetViews>
  <sheetFormatPr defaultRowHeight="14.25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215</v>
      </c>
      <c r="E1" s="219"/>
      <c r="F1" s="219"/>
      <c r="G1" s="217" t="s">
        <v>216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217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75">
      <c r="A5" s="27" t="str">
        <v>Otay Mesa</v>
      </c>
      <c r="B5" s="28" t="str">
        <v>CA</v>
      </c>
      <c r="C5" s="10">
        <v>38.201000000000001</v>
      </c>
      <c r="D5" s="15" t="s">
        <v>217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217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 t="s">
        <v>217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218</v>
      </c>
      <c r="K6" s="87" t="s">
        <v>219</v>
      </c>
    </row>
    <row r="7" spans="1:11" ht="30">
      <c r="A7" s="27" t="str">
        <v>Van Nuys</v>
      </c>
      <c r="B7" s="28" t="str">
        <v>CA</v>
      </c>
      <c r="C7" s="10">
        <v>2144.8999999999901</v>
      </c>
      <c r="D7" s="15" t="s">
        <v>217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103</v>
      </c>
      <c r="K7" s="49"/>
    </row>
    <row r="8" spans="1:11" ht="45">
      <c r="A8" s="25" t="str">
        <v>98th &amp; Grant</v>
      </c>
      <c r="B8" s="26" t="str">
        <v>CO</v>
      </c>
      <c r="C8" s="21">
        <v>1894.9</v>
      </c>
      <c r="D8" s="11" t="s">
        <v>217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104</v>
      </c>
      <c r="K8" s="60"/>
    </row>
    <row r="9" spans="1:11" ht="45">
      <c r="A9" s="27" t="str">
        <v>Arapahoe Crossings</v>
      </c>
      <c r="B9" s="28" t="str">
        <v>CO</v>
      </c>
      <c r="C9" s="10">
        <v>3183.6996602787799</v>
      </c>
      <c r="D9" s="15" t="s">
        <v>217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220</v>
      </c>
      <c r="K9" s="49" t="s">
        <v>168</v>
      </c>
    </row>
    <row r="10" spans="1:11" ht="15.75">
      <c r="A10" s="25" t="str">
        <v>Aurora City Center</v>
      </c>
      <c r="B10" s="26" t="str">
        <v>CO</v>
      </c>
      <c r="C10" s="21">
        <v>2153.5</v>
      </c>
      <c r="D10" s="11" t="s">
        <v>217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2659.2</v>
      </c>
      <c r="D11" s="15" t="s">
        <v>217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75">
      <c r="A12" s="25" t="str">
        <v>Highlands Ranch S.</v>
      </c>
      <c r="B12" s="26" t="str">
        <v>CO</v>
      </c>
      <c r="C12" s="21">
        <v>2194.0999999999899</v>
      </c>
      <c r="D12" s="11" t="s">
        <v>217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3084.8999999999901</v>
      </c>
      <c r="D13" s="15" t="s">
        <v>217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221</v>
      </c>
      <c r="K13" s="81" t="s">
        <v>222</v>
      </c>
    </row>
    <row r="14" spans="1:11" ht="15.75">
      <c r="A14" s="25" t="str">
        <v>Meridian</v>
      </c>
      <c r="B14" s="26" t="str">
        <v>CO</v>
      </c>
      <c r="C14" s="21">
        <v>3588.3000000000202</v>
      </c>
      <c r="D14" s="11" t="s">
        <v>217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75">
      <c r="A15" s="27" t="str">
        <v>Southglenn</v>
      </c>
      <c r="B15" s="28" t="str">
        <v>CO</v>
      </c>
      <c r="C15" s="10">
        <v>3486.4</v>
      </c>
      <c r="D15" s="15" t="s">
        <v>217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30">
      <c r="A16" s="25" t="str">
        <v>Standley Lake</v>
      </c>
      <c r="B16" s="26" t="str">
        <v>CO</v>
      </c>
      <c r="C16" s="21">
        <v>3540.3999999999901</v>
      </c>
      <c r="D16" s="11" t="s">
        <v>217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223</v>
      </c>
      <c r="K16" s="60" t="s">
        <v>224</v>
      </c>
    </row>
    <row r="17" spans="1:13" ht="81.75" customHeight="1">
      <c r="A17" s="27" t="str">
        <v>Havana Gardens</v>
      </c>
      <c r="B17" s="28" t="str">
        <v>CO</v>
      </c>
      <c r="C17" s="10">
        <v>4152.8</v>
      </c>
      <c r="D17" s="15" t="s">
        <v>217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225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226</v>
      </c>
      <c r="K18" s="60"/>
    </row>
    <row r="19" spans="1:13" ht="75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227</v>
      </c>
      <c r="K19" s="81" t="s">
        <v>228</v>
      </c>
      <c r="L19" s="79" t="s">
        <v>229</v>
      </c>
      <c r="M19" s="79" t="s">
        <v>57</v>
      </c>
    </row>
    <row r="20" spans="1:13" ht="45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177</v>
      </c>
      <c r="K20" s="87" t="s">
        <v>109</v>
      </c>
    </row>
    <row r="21" spans="1:13" ht="15.75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75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75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75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75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75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5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230</v>
      </c>
      <c r="K27" s="49"/>
    </row>
    <row r="28" spans="1:13" ht="75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230</v>
      </c>
      <c r="K28" s="60"/>
    </row>
    <row r="29" spans="1:13" ht="15.75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75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75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30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231</v>
      </c>
      <c r="K32" s="87" t="s">
        <v>232</v>
      </c>
    </row>
    <row r="33" spans="1:11" ht="15.75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30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233</v>
      </c>
      <c r="K34" s="87" t="s">
        <v>143</v>
      </c>
    </row>
    <row r="35" spans="1:11" ht="30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234</v>
      </c>
      <c r="K35" s="81" t="s">
        <v>235</v>
      </c>
    </row>
    <row r="36" spans="1:11" ht="15.75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75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30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103</v>
      </c>
      <c r="K39" s="49"/>
    </row>
    <row r="40" spans="1:11" ht="30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103</v>
      </c>
      <c r="K40" s="60"/>
    </row>
    <row r="41" spans="1:11" ht="75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230</v>
      </c>
      <c r="K41" s="49"/>
    </row>
    <row r="42" spans="1:11" ht="15.75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75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37.5" customHeight="1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236</v>
      </c>
      <c r="K46" s="87" t="s">
        <v>237</v>
      </c>
    </row>
    <row r="47" spans="1:11" ht="4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197</v>
      </c>
      <c r="K47" s="81" t="s">
        <v>154</v>
      </c>
    </row>
    <row r="48" spans="1:11" ht="30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103</v>
      </c>
      <c r="K48" s="60"/>
    </row>
    <row r="49" spans="1:11" ht="15.75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75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75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75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75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75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75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238</v>
      </c>
      <c r="K55" s="49"/>
    </row>
    <row r="56" spans="1:11" ht="30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198</v>
      </c>
      <c r="K56" s="87" t="s">
        <v>239</v>
      </c>
    </row>
    <row r="57" spans="1:11" ht="4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240</v>
      </c>
      <c r="K57" s="49"/>
    </row>
    <row r="58" spans="1:11" ht="75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241</v>
      </c>
      <c r="K58" s="60"/>
    </row>
    <row r="59" spans="1:11" ht="15.75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75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241</v>
      </c>
      <c r="K60" s="60"/>
    </row>
    <row r="61" spans="1:11" ht="75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241</v>
      </c>
      <c r="K61" s="49"/>
    </row>
    <row r="62" spans="1:11" ht="75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241</v>
      </c>
      <c r="K62" s="60"/>
    </row>
    <row r="63" spans="1:11" ht="75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241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59519.51</v>
      </c>
      <c r="D64" s="11" t="s">
        <v>217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75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75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75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242</v>
      </c>
      <c r="K67" s="81" t="s">
        <v>206</v>
      </c>
    </row>
    <row r="68" spans="1:11" ht="15.75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75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5">
      <c r="A70" s="25" t="str">
        <v>Old Ranch Town Center</v>
      </c>
      <c r="B70" s="26" t="str">
        <v>CA</v>
      </c>
      <c r="C70" s="21">
        <v>1466.37428710937</v>
      </c>
      <c r="D70" s="11" t="s">
        <v>217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243</v>
      </c>
      <c r="K70" s="60"/>
    </row>
    <row r="71" spans="1:11" ht="15.75">
      <c r="A71" s="27" t="str">
        <v>Mountain Gate Plaza</v>
      </c>
      <c r="B71" s="28" t="str">
        <v>CA</v>
      </c>
      <c r="C71" s="10">
        <v>11481.1</v>
      </c>
      <c r="D71" s="15" t="s">
        <v>217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75">
      <c r="A72" s="25" t="str">
        <v>Arcadia Main</v>
      </c>
      <c r="B72" s="26" t="str">
        <v>CA</v>
      </c>
      <c r="C72" s="21">
        <v>5117.5574804687503</v>
      </c>
      <c r="D72" s="11" t="s">
        <v>217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75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75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30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244</v>
      </c>
      <c r="K75" s="81" t="s">
        <v>207</v>
      </c>
    </row>
    <row r="76" spans="1:11" ht="75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230</v>
      </c>
      <c r="K76" s="60"/>
    </row>
    <row r="77" spans="1:11" ht="15.75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75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75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75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75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210</v>
      </c>
      <c r="K81" s="81" t="s">
        <v>211</v>
      </c>
    </row>
    <row r="82" spans="1:11" ht="15.75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30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245</v>
      </c>
      <c r="K83" s="81" t="s">
        <v>246</v>
      </c>
    </row>
    <row r="84" spans="1:11" ht="15.75">
      <c r="A84" s="25" t="str">
        <v>BE 199502 - Westgate</v>
      </c>
      <c r="B84" s="26" t="str">
        <v>CA</v>
      </c>
      <c r="C84" s="57">
        <v>2586.6</v>
      </c>
      <c r="D84" s="11" t="s">
        <v>217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11" activePane="bottomRight" state="frozen"/>
      <selection pane="bottomRight" activeCell="D17" sqref="D17"/>
      <selection pane="bottomLeft" activeCell="H74" sqref="H74"/>
      <selection pane="topRight" activeCell="H74" sqref="H74"/>
    </sheetView>
  </sheetViews>
  <sheetFormatPr defaultColWidth="9.140625" defaultRowHeight="18"/>
  <cols>
    <col min="1" max="1" width="46.5703125" style="129" customWidth="1"/>
    <col min="2" max="2" width="8.42578125" style="129" customWidth="1"/>
    <col min="3" max="3" width="11.85546875" style="94" customWidth="1"/>
    <col min="4" max="4" width="16.5703125" style="94" customWidth="1"/>
    <col min="5" max="5" width="13.140625" style="94" customWidth="1"/>
    <col min="6" max="6" width="13.140625" style="130" customWidth="1"/>
    <col min="7" max="8" width="13.140625" style="94" customWidth="1"/>
    <col min="9" max="9" width="13.140625" style="130" customWidth="1"/>
    <col min="10" max="10" width="71.5703125" style="94" customWidth="1"/>
    <col min="11" max="11" width="25.140625" style="94" bestFit="1" customWidth="1"/>
    <col min="12" max="12" width="14.7109375" style="94" bestFit="1" customWidth="1"/>
    <col min="13" max="13" width="27.85546875" style="133" customWidth="1"/>
    <col min="14" max="14" width="61.42578125" style="94" bestFit="1" customWidth="1"/>
    <col min="15" max="18" width="9.140625" style="94"/>
    <col min="19" max="19" width="23.7109375" style="94" bestFit="1" customWidth="1"/>
    <col min="20" max="16384" width="9.140625" style="94"/>
  </cols>
  <sheetData>
    <row r="1" spans="1:14" ht="19.5" customHeight="1">
      <c r="A1" s="230" t="str" cm="1">
        <f t="array" ref="A1">portfolio</f>
        <v>Wells Fargo</v>
      </c>
      <c r="B1" s="230"/>
      <c r="C1" s="230"/>
      <c r="D1" s="231" t="s">
        <v>247</v>
      </c>
      <c r="E1" s="231"/>
      <c r="F1" s="231"/>
      <c r="G1" s="229" t="s">
        <v>248</v>
      </c>
      <c r="H1" s="229"/>
      <c r="I1" s="229"/>
      <c r="J1" s="93"/>
      <c r="K1" s="93"/>
    </row>
    <row r="2" spans="1:14" ht="36">
      <c r="A2" s="232" t="s">
        <v>2</v>
      </c>
      <c r="B2" s="232"/>
      <c r="C2" s="95">
        <f>SUM(C4:C86)</f>
        <v>2231470.5697385995</v>
      </c>
      <c r="D2" s="95">
        <f>SUM(D4:D86)</f>
        <v>2110474.1669999999</v>
      </c>
      <c r="E2" s="95">
        <f>C2-D2</f>
        <v>120996.40273859957</v>
      </c>
      <c r="F2" s="96">
        <f>IFERROR(E2/D2, 0)</f>
        <v>5.7331382980438814E-2</v>
      </c>
      <c r="G2" s="95">
        <f>SUM(G4:G86)</f>
        <v>2397903.4945</v>
      </c>
      <c r="H2" s="97">
        <f>C2-G2</f>
        <v>-166432.92476140056</v>
      </c>
      <c r="I2" s="96">
        <f>IFERROR(H2/G2, 0)</f>
        <v>-6.9407682645754018E-2</v>
      </c>
      <c r="J2" s="9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3"/>
      <c r="M2" s="136" t="s">
        <v>249</v>
      </c>
      <c r="N2" s="94" t="s">
        <v>48</v>
      </c>
    </row>
    <row r="3" spans="1:14" ht="14.25" customHeight="1">
      <c r="A3" s="92" t="s">
        <v>3</v>
      </c>
      <c r="B3" s="92" t="s">
        <v>39</v>
      </c>
      <c r="C3" s="99" t="s">
        <v>4</v>
      </c>
      <c r="D3" s="100" t="s">
        <v>5</v>
      </c>
      <c r="E3" s="100" t="s">
        <v>6</v>
      </c>
      <c r="F3" s="101" t="s">
        <v>7</v>
      </c>
      <c r="G3" s="102" t="s">
        <v>8</v>
      </c>
      <c r="H3" s="103" t="s">
        <v>6</v>
      </c>
      <c r="I3" s="104" t="s">
        <v>7</v>
      </c>
      <c r="J3" s="105" t="s">
        <v>48</v>
      </c>
      <c r="K3" s="105" t="s">
        <v>49</v>
      </c>
      <c r="M3" s="134" t="s">
        <v>250</v>
      </c>
    </row>
    <row r="4" spans="1:14" ht="18.75">
      <c r="A4" s="106" t="str" cm="1">
        <f t="array" ref="A4:A84">Sites[Site]</f>
        <v>Adams &amp; Broadway</v>
      </c>
      <c r="B4" s="107" t="str" cm="1">
        <f t="array" ref="B4:B84">Sites[State]</f>
        <v>CA</v>
      </c>
      <c r="C4" s="108">
        <v>1342.5</v>
      </c>
      <c r="D4" s="109" t="s">
        <v>217</v>
      </c>
      <c r="E4" s="109" t="str">
        <f>IF(AND(ISNUMBER(C4),ISNUMBER(D4)), C4-D4, "")</f>
        <v/>
      </c>
      <c r="F4" s="110" t="str">
        <f>IFERROR(E4/D4, "")</f>
        <v/>
      </c>
      <c r="G4" s="111">
        <v>1364</v>
      </c>
      <c r="H4" s="111">
        <f>IF(AND(ISNUMBER(C4),ISNUMBER(G4)), C4-G4, "")</f>
        <v>-21.5</v>
      </c>
      <c r="I4" s="112">
        <f>IFERROR(H4/G4, "")</f>
        <v>-1.5762463343108504E-2</v>
      </c>
      <c r="J4" s="113"/>
      <c r="K4" s="113"/>
      <c r="L4" s="233" t="s">
        <v>251</v>
      </c>
    </row>
    <row r="5" spans="1:14" ht="18.75">
      <c r="A5" s="114" t="str">
        <v>Otay Mesa</v>
      </c>
      <c r="B5" s="114" t="str">
        <v>CA</v>
      </c>
      <c r="C5" s="115">
        <v>39.301000000000002</v>
      </c>
      <c r="D5" s="116" t="s">
        <v>217</v>
      </c>
      <c r="E5" s="116" t="str">
        <f t="shared" ref="E5:E68" si="0">IF(AND(ISNUMBER(C5),ISNUMBER(D5)), C5-D5, "")</f>
        <v/>
      </c>
      <c r="F5" s="117" t="str">
        <f>IFERROR(E5/D5, "")</f>
        <v/>
      </c>
      <c r="G5" s="118" t="s">
        <v>217</v>
      </c>
      <c r="H5" s="119" t="str">
        <f t="shared" ref="H5:H68" si="1">IF(AND(ISNUMBER(C5),ISNUMBER(G5)), C5-G5, "")</f>
        <v/>
      </c>
      <c r="I5" s="117" t="str">
        <f t="shared" ref="I5:I68" si="2">IFERROR(H5/G5, "")</f>
        <v/>
      </c>
      <c r="J5" s="120" t="s">
        <v>51</v>
      </c>
      <c r="K5" s="121"/>
      <c r="L5" s="233"/>
    </row>
    <row r="6" spans="1:14" ht="28.35" customHeight="1">
      <c r="A6" s="107" t="str">
        <v>San Leandro</v>
      </c>
      <c r="B6" s="107" t="str">
        <v>CA</v>
      </c>
      <c r="C6" s="108">
        <v>0</v>
      </c>
      <c r="D6" s="109" t="s">
        <v>217</v>
      </c>
      <c r="E6" s="109" t="str">
        <f t="shared" si="0"/>
        <v/>
      </c>
      <c r="F6" s="110" t="str">
        <f t="shared" ref="F6:F69" si="3">IFERROR(E6/D6, "")</f>
        <v/>
      </c>
      <c r="G6" s="111">
        <v>0</v>
      </c>
      <c r="H6" s="111">
        <f t="shared" si="1"/>
        <v>0</v>
      </c>
      <c r="I6" s="112" t="str">
        <f t="shared" si="2"/>
        <v/>
      </c>
      <c r="J6" s="113" t="s">
        <v>218</v>
      </c>
      <c r="K6" s="122" t="s">
        <v>166</v>
      </c>
      <c r="L6" s="233"/>
    </row>
    <row r="7" spans="1:14" ht="56.25">
      <c r="A7" s="114" t="str">
        <v>Van Nuys</v>
      </c>
      <c r="B7" s="114" t="str">
        <v>CA</v>
      </c>
      <c r="C7" s="115">
        <v>2166.3000000000002</v>
      </c>
      <c r="D7" s="116" t="s">
        <v>217</v>
      </c>
      <c r="E7" s="116" t="str">
        <f t="shared" si="0"/>
        <v/>
      </c>
      <c r="F7" s="117" t="str">
        <f t="shared" si="3"/>
        <v/>
      </c>
      <c r="G7" s="119">
        <v>2735.2310000000002</v>
      </c>
      <c r="H7" s="119">
        <f t="shared" si="1"/>
        <v>-568.93100000000004</v>
      </c>
      <c r="I7" s="117">
        <f t="shared" si="2"/>
        <v>-0.20800107925071046</v>
      </c>
      <c r="J7" s="121" t="s">
        <v>103</v>
      </c>
      <c r="K7" s="121"/>
      <c r="L7" s="233"/>
    </row>
    <row r="8" spans="1:14" ht="18.75">
      <c r="A8" s="107" t="str">
        <v>98th &amp; Grant</v>
      </c>
      <c r="B8" s="107" t="str">
        <v>CO</v>
      </c>
      <c r="C8" s="108">
        <v>2432.4</v>
      </c>
      <c r="D8" s="109" t="s">
        <v>217</v>
      </c>
      <c r="E8" s="109" t="str">
        <f t="shared" si="0"/>
        <v/>
      </c>
      <c r="F8" s="110" t="str">
        <f t="shared" si="3"/>
        <v/>
      </c>
      <c r="G8" s="111">
        <v>2218</v>
      </c>
      <c r="H8" s="111">
        <f t="shared" si="1"/>
        <v>214.40000000000009</v>
      </c>
      <c r="I8" s="112">
        <f t="shared" si="2"/>
        <v>9.6663660955816091E-2</v>
      </c>
      <c r="J8" s="113"/>
      <c r="K8" s="113"/>
      <c r="L8" s="233"/>
    </row>
    <row r="9" spans="1:14" ht="37.5">
      <c r="A9" s="114" t="str">
        <v>Arapahoe Crossings</v>
      </c>
      <c r="B9" s="114" t="str">
        <v>CO</v>
      </c>
      <c r="C9" s="115">
        <v>3164.2056659999998</v>
      </c>
      <c r="D9" s="116" t="s">
        <v>217</v>
      </c>
      <c r="E9" s="116" t="str">
        <f t="shared" si="0"/>
        <v/>
      </c>
      <c r="F9" s="117" t="str">
        <f t="shared" si="3"/>
        <v/>
      </c>
      <c r="G9" s="119">
        <v>4185.0529999999999</v>
      </c>
      <c r="H9" s="119">
        <f t="shared" si="1"/>
        <v>-1020.847334</v>
      </c>
      <c r="I9" s="117">
        <f t="shared" si="2"/>
        <v>-0.24392697870253974</v>
      </c>
      <c r="J9" s="121" t="s">
        <v>252</v>
      </c>
      <c r="K9" s="123" t="s">
        <v>253</v>
      </c>
      <c r="L9" s="233"/>
      <c r="M9" s="133" t="s">
        <v>254</v>
      </c>
    </row>
    <row r="10" spans="1:14" ht="18.75">
      <c r="A10" s="107" t="str">
        <v>Aurora City Center</v>
      </c>
      <c r="B10" s="107" t="str">
        <v>CO</v>
      </c>
      <c r="C10" s="108">
        <v>632.29999999999995</v>
      </c>
      <c r="D10" s="109" t="s">
        <v>217</v>
      </c>
      <c r="E10" s="109" t="str">
        <f t="shared" si="0"/>
        <v/>
      </c>
      <c r="F10" s="110" t="str">
        <f t="shared" si="3"/>
        <v/>
      </c>
      <c r="G10" s="111">
        <v>1923</v>
      </c>
      <c r="H10" s="111">
        <f t="shared" si="1"/>
        <v>-1290.7</v>
      </c>
      <c r="I10" s="112">
        <f t="shared" si="2"/>
        <v>-0.67119084763390535</v>
      </c>
      <c r="J10" s="113" t="s">
        <v>255</v>
      </c>
      <c r="K10" s="122" t="s">
        <v>256</v>
      </c>
      <c r="L10" s="233"/>
      <c r="M10" s="133" t="s">
        <v>254</v>
      </c>
    </row>
    <row r="11" spans="1:14" ht="18.75">
      <c r="A11" s="114" t="str">
        <v>Dry Creek</v>
      </c>
      <c r="B11" s="114" t="str">
        <v>CO</v>
      </c>
      <c r="C11" s="115">
        <v>2620</v>
      </c>
      <c r="D11" s="116" t="s">
        <v>217</v>
      </c>
      <c r="E11" s="116" t="str">
        <f t="shared" si="0"/>
        <v/>
      </c>
      <c r="F11" s="117" t="str">
        <f t="shared" si="3"/>
        <v/>
      </c>
      <c r="G11" s="119">
        <v>2426</v>
      </c>
      <c r="H11" s="119">
        <f t="shared" si="1"/>
        <v>194</v>
      </c>
      <c r="I11" s="117">
        <f t="shared" si="2"/>
        <v>7.996702390766694E-2</v>
      </c>
      <c r="J11" s="121"/>
      <c r="K11" s="121"/>
      <c r="L11" s="233"/>
      <c r="M11" s="133" t="s">
        <v>257</v>
      </c>
    </row>
    <row r="12" spans="1:14" ht="18.75">
      <c r="A12" s="107" t="str">
        <v>Highlands Ranch S.</v>
      </c>
      <c r="B12" s="107" t="str">
        <v>CO</v>
      </c>
      <c r="C12" s="108">
        <v>2184.5</v>
      </c>
      <c r="D12" s="109" t="s">
        <v>217</v>
      </c>
      <c r="E12" s="109" t="str">
        <f t="shared" si="0"/>
        <v/>
      </c>
      <c r="F12" s="110" t="str">
        <f t="shared" si="3"/>
        <v/>
      </c>
      <c r="G12" s="111">
        <v>2380</v>
      </c>
      <c r="H12" s="111">
        <f t="shared" si="1"/>
        <v>-195.5</v>
      </c>
      <c r="I12" s="112">
        <f t="shared" si="2"/>
        <v>-8.2142857142857142E-2</v>
      </c>
      <c r="J12" s="113"/>
      <c r="K12" s="113"/>
      <c r="L12" s="233"/>
    </row>
    <row r="13" spans="1:14" ht="75">
      <c r="A13" s="114" t="str">
        <v>Lone Tree</v>
      </c>
      <c r="B13" s="114" t="str">
        <v>CO</v>
      </c>
      <c r="C13" s="115">
        <v>3439.4</v>
      </c>
      <c r="D13" s="116" t="s">
        <v>217</v>
      </c>
      <c r="E13" s="116" t="str">
        <f t="shared" si="0"/>
        <v/>
      </c>
      <c r="F13" s="117" t="str">
        <f t="shared" si="3"/>
        <v/>
      </c>
      <c r="G13" s="119">
        <v>5432</v>
      </c>
      <c r="H13" s="119">
        <f t="shared" si="1"/>
        <v>-1992.6</v>
      </c>
      <c r="I13" s="117">
        <f t="shared" si="2"/>
        <v>-0.36682621502209128</v>
      </c>
      <c r="J13" s="121" t="s">
        <v>258</v>
      </c>
      <c r="K13" s="123" t="s">
        <v>259</v>
      </c>
      <c r="L13" s="233"/>
    </row>
    <row r="14" spans="1:14" ht="18.75">
      <c r="A14" s="107" t="str">
        <v>Meridian</v>
      </c>
      <c r="B14" s="107" t="str">
        <v>CO</v>
      </c>
      <c r="C14" s="108">
        <v>3524</v>
      </c>
      <c r="D14" s="109" t="s">
        <v>217</v>
      </c>
      <c r="E14" s="109" t="str">
        <f t="shared" si="0"/>
        <v/>
      </c>
      <c r="F14" s="110" t="str">
        <f t="shared" si="3"/>
        <v/>
      </c>
      <c r="G14" s="111">
        <v>3145</v>
      </c>
      <c r="H14" s="111">
        <f t="shared" si="1"/>
        <v>379</v>
      </c>
      <c r="I14" s="112">
        <f t="shared" si="2"/>
        <v>0.1205087440381558</v>
      </c>
      <c r="J14" s="113"/>
      <c r="K14" s="113"/>
      <c r="L14" s="233"/>
    </row>
    <row r="15" spans="1:14" ht="18.75">
      <c r="A15" s="114" t="str">
        <v>Southglenn</v>
      </c>
      <c r="B15" s="114" t="str">
        <v>CO</v>
      </c>
      <c r="C15" s="115">
        <v>3464.2</v>
      </c>
      <c r="D15" s="116" t="s">
        <v>217</v>
      </c>
      <c r="E15" s="116" t="str">
        <f t="shared" si="0"/>
        <v/>
      </c>
      <c r="F15" s="117" t="str">
        <f t="shared" si="3"/>
        <v/>
      </c>
      <c r="G15" s="119">
        <v>3174</v>
      </c>
      <c r="H15" s="119">
        <f t="shared" si="1"/>
        <v>290.19999999999982</v>
      </c>
      <c r="I15" s="117">
        <f t="shared" si="2"/>
        <v>9.1430371770636357E-2</v>
      </c>
      <c r="J15" s="121"/>
      <c r="K15" s="121"/>
      <c r="L15" s="233"/>
    </row>
    <row r="16" spans="1:14" ht="18.75">
      <c r="A16" s="107" t="str">
        <v>Standley Lake</v>
      </c>
      <c r="B16" s="107" t="str">
        <v>CO</v>
      </c>
      <c r="C16" s="108">
        <v>4109.6000000000004</v>
      </c>
      <c r="D16" s="109" t="s">
        <v>217</v>
      </c>
      <c r="E16" s="109" t="str">
        <f t="shared" si="0"/>
        <v/>
      </c>
      <c r="F16" s="110" t="str">
        <f t="shared" si="3"/>
        <v/>
      </c>
      <c r="G16" s="111">
        <v>4231</v>
      </c>
      <c r="H16" s="111">
        <f t="shared" si="1"/>
        <v>-121.39999999999964</v>
      </c>
      <c r="I16" s="112">
        <f t="shared" si="2"/>
        <v>-2.869298038288812E-2</v>
      </c>
      <c r="J16" s="113" t="s">
        <v>260</v>
      </c>
      <c r="K16" s="122" t="s">
        <v>261</v>
      </c>
    </row>
    <row r="17" spans="1:19" ht="131.25">
      <c r="A17" s="114" t="str">
        <v>Havana Gardens</v>
      </c>
      <c r="B17" s="114" t="str">
        <v>CO</v>
      </c>
      <c r="C17" s="115">
        <v>4124.8</v>
      </c>
      <c r="D17" s="116" t="s">
        <v>217</v>
      </c>
      <c r="E17" s="116" t="str">
        <f t="shared" si="0"/>
        <v/>
      </c>
      <c r="F17" s="117" t="str">
        <f t="shared" si="3"/>
        <v/>
      </c>
      <c r="G17" s="119">
        <v>1646</v>
      </c>
      <c r="H17" s="119">
        <f t="shared" si="1"/>
        <v>2478.8000000000002</v>
      </c>
      <c r="I17" s="117">
        <f t="shared" si="2"/>
        <v>1.5059538274605104</v>
      </c>
      <c r="J17" s="121" t="s">
        <v>225</v>
      </c>
      <c r="K17" s="121"/>
      <c r="M17" s="133" t="s">
        <v>254</v>
      </c>
      <c r="N17" s="94" t="s">
        <v>262</v>
      </c>
    </row>
    <row r="18" spans="1:19" ht="16.5" customHeight="1">
      <c r="A18" s="107" t="str">
        <v>East Hartford</v>
      </c>
      <c r="B18" s="107" t="str">
        <v>CT</v>
      </c>
      <c r="C18" s="108">
        <v>894.7</v>
      </c>
      <c r="D18" s="109">
        <v>1944.548</v>
      </c>
      <c r="E18" s="109">
        <f t="shared" si="0"/>
        <v>-1049.848</v>
      </c>
      <c r="F18" s="110">
        <f t="shared" si="3"/>
        <v>-0.53989307540878395</v>
      </c>
      <c r="G18" s="111">
        <v>928.78650000000005</v>
      </c>
      <c r="H18" s="111">
        <f t="shared" si="1"/>
        <v>-34.086500000000001</v>
      </c>
      <c r="I18" s="112">
        <f t="shared" si="2"/>
        <v>-3.670003816808276E-2</v>
      </c>
      <c r="J18" s="113" t="s">
        <v>263</v>
      </c>
      <c r="K18" s="122" t="s">
        <v>264</v>
      </c>
      <c r="M18" s="133" t="s">
        <v>254</v>
      </c>
      <c r="N18" s="94" t="s">
        <v>265</v>
      </c>
    </row>
    <row r="19" spans="1:19" ht="112.5">
      <c r="A19" s="114" t="str">
        <v>Norwalk</v>
      </c>
      <c r="B19" s="114" t="str">
        <v>CT</v>
      </c>
      <c r="C19" s="115">
        <v>1030.7943069999999</v>
      </c>
      <c r="D19" s="116">
        <v>0</v>
      </c>
      <c r="E19" s="116">
        <f t="shared" si="0"/>
        <v>1030.7943069999999</v>
      </c>
      <c r="F19" s="110" t="str">
        <f t="shared" si="3"/>
        <v/>
      </c>
      <c r="G19" s="119">
        <v>1142.3679999999999</v>
      </c>
      <c r="H19" s="119">
        <f t="shared" si="1"/>
        <v>-111.57369300000005</v>
      </c>
      <c r="I19" s="117">
        <f t="shared" si="2"/>
        <v>-9.7668783614387009E-2</v>
      </c>
      <c r="J19" s="125" t="s">
        <v>266</v>
      </c>
      <c r="K19" s="123" t="s">
        <v>56</v>
      </c>
      <c r="L19" s="124" t="s">
        <v>57</v>
      </c>
      <c r="M19" s="133" t="s">
        <v>254</v>
      </c>
      <c r="N19" s="94" t="s">
        <v>29</v>
      </c>
      <c r="S19" s="135" t="s">
        <v>29</v>
      </c>
    </row>
    <row r="20" spans="1:19" ht="56.25">
      <c r="A20" s="107" t="str">
        <v>Hialeah Gardens</v>
      </c>
      <c r="B20" s="107" t="str">
        <v>FL</v>
      </c>
      <c r="C20" s="108">
        <v>832.50049760000002</v>
      </c>
      <c r="D20" s="109">
        <v>4924.6840000000002</v>
      </c>
      <c r="E20" s="109">
        <f t="shared" si="0"/>
        <v>-4092.1835024000002</v>
      </c>
      <c r="F20" s="110">
        <f t="shared" si="3"/>
        <v>-0.83095351953546659</v>
      </c>
      <c r="G20" s="111">
        <v>5675</v>
      </c>
      <c r="H20" s="111">
        <f t="shared" si="1"/>
        <v>-4842.4995024</v>
      </c>
      <c r="I20" s="112">
        <f t="shared" si="2"/>
        <v>-0.85330387707488986</v>
      </c>
      <c r="J20" s="113" t="s">
        <v>177</v>
      </c>
      <c r="K20" s="122" t="s">
        <v>109</v>
      </c>
      <c r="M20" s="133" t="s">
        <v>254</v>
      </c>
      <c r="N20" s="132" t="s">
        <v>267</v>
      </c>
    </row>
    <row r="21" spans="1:19" ht="18.75">
      <c r="A21" s="114" t="str">
        <v>W. Des Moines Campus EAST</v>
      </c>
      <c r="B21" s="114" t="str">
        <v>IA</v>
      </c>
      <c r="C21" s="115">
        <v>198640</v>
      </c>
      <c r="D21" s="116">
        <v>192283.5</v>
      </c>
      <c r="E21" s="116">
        <f t="shared" si="0"/>
        <v>6356.5</v>
      </c>
      <c r="F21" s="117">
        <f t="shared" si="3"/>
        <v>3.3057958691203357E-2</v>
      </c>
      <c r="G21" s="119">
        <v>204900</v>
      </c>
      <c r="H21" s="119">
        <f t="shared" si="1"/>
        <v>-6260</v>
      </c>
      <c r="I21" s="117">
        <f t="shared" si="2"/>
        <v>-3.0551488530990729E-2</v>
      </c>
      <c r="J21" s="121"/>
      <c r="K21" s="121"/>
      <c r="M21" s="133" t="s">
        <v>257</v>
      </c>
    </row>
    <row r="22" spans="1:19" ht="56.25">
      <c r="A22" s="107" t="str">
        <v>W. Des Moines Campus SW</v>
      </c>
      <c r="B22" s="107" t="str">
        <v>IA</v>
      </c>
      <c r="C22" s="108">
        <v>90103.5</v>
      </c>
      <c r="D22" s="109">
        <v>93693.57</v>
      </c>
      <c r="E22" s="109">
        <f t="shared" si="0"/>
        <v>-3590.070000000007</v>
      </c>
      <c r="F22" s="110">
        <f t="shared" si="3"/>
        <v>-3.8317143855229413E-2</v>
      </c>
      <c r="G22" s="111">
        <v>100519.1</v>
      </c>
      <c r="H22" s="111">
        <f t="shared" si="1"/>
        <v>-10415.600000000006</v>
      </c>
      <c r="I22" s="112">
        <f t="shared" si="2"/>
        <v>-0.10361811834765736</v>
      </c>
      <c r="J22" s="113" t="s">
        <v>268</v>
      </c>
      <c r="K22" s="122" t="s">
        <v>269</v>
      </c>
      <c r="L22" s="124" t="s">
        <v>270</v>
      </c>
      <c r="M22" s="133" t="s">
        <v>254</v>
      </c>
      <c r="N22" s="94" t="s">
        <v>271</v>
      </c>
    </row>
    <row r="23" spans="1:19" ht="18.75">
      <c r="A23" s="114" t="str">
        <v>WF - CIC</v>
      </c>
      <c r="B23" s="114" t="str">
        <v>NC</v>
      </c>
      <c r="C23" s="115">
        <v>204468</v>
      </c>
      <c r="D23" s="116">
        <v>203434</v>
      </c>
      <c r="E23" s="116">
        <f t="shared" si="0"/>
        <v>1034</v>
      </c>
      <c r="F23" s="117">
        <f t="shared" si="3"/>
        <v>5.0827295339028874E-3</v>
      </c>
      <c r="G23" s="119">
        <v>210055.3</v>
      </c>
      <c r="H23" s="119">
        <f t="shared" si="1"/>
        <v>-5587.2999999999884</v>
      </c>
      <c r="I23" s="117">
        <f t="shared" si="2"/>
        <v>-2.6599186023870802E-2</v>
      </c>
      <c r="J23" s="121"/>
      <c r="K23" s="121"/>
      <c r="M23" s="133" t="s">
        <v>257</v>
      </c>
    </row>
    <row r="24" spans="1:19" ht="37.5">
      <c r="A24" s="107" t="str">
        <v>Charlotte - Wells Fargo - DUC</v>
      </c>
      <c r="B24" s="107" t="str">
        <v>NC</v>
      </c>
      <c r="C24" s="108">
        <v>201246</v>
      </c>
      <c r="D24" s="109">
        <v>221442.8</v>
      </c>
      <c r="E24" s="109">
        <f t="shared" si="0"/>
        <v>-20196.799999999988</v>
      </c>
      <c r="F24" s="110">
        <f t="shared" si="3"/>
        <v>-9.1205494150182295E-2</v>
      </c>
      <c r="G24" s="111">
        <v>179546.7</v>
      </c>
      <c r="H24" s="111">
        <f t="shared" si="1"/>
        <v>21699.299999999988</v>
      </c>
      <c r="I24" s="112">
        <f t="shared" si="2"/>
        <v>0.12085602241645202</v>
      </c>
      <c r="J24" s="113" t="s">
        <v>272</v>
      </c>
      <c r="K24" s="122" t="s">
        <v>273</v>
      </c>
    </row>
    <row r="25" spans="1:19" ht="18.75">
      <c r="A25" s="114" t="str">
        <v>East Windsor</v>
      </c>
      <c r="B25" s="114" t="str">
        <v>NJ</v>
      </c>
      <c r="C25" s="115">
        <v>1197.9000000000001</v>
      </c>
      <c r="D25" s="116">
        <v>1054.1869999999999</v>
      </c>
      <c r="E25" s="116">
        <f t="shared" si="0"/>
        <v>143.71300000000019</v>
      </c>
      <c r="F25" s="117">
        <f t="shared" si="3"/>
        <v>0.13632590802201147</v>
      </c>
      <c r="G25" s="119">
        <v>1202.568</v>
      </c>
      <c r="H25" s="119">
        <f t="shared" si="1"/>
        <v>-4.6679999999998927</v>
      </c>
      <c r="I25" s="117">
        <f t="shared" si="2"/>
        <v>-3.8816931766019825E-3</v>
      </c>
      <c r="J25" s="121"/>
      <c r="K25" s="121"/>
      <c r="M25" s="133" t="s">
        <v>257</v>
      </c>
      <c r="N25" s="94" t="s">
        <v>274</v>
      </c>
    </row>
    <row r="26" spans="1:19" ht="18.75">
      <c r="A26" s="107" t="str">
        <v>Burlington</v>
      </c>
      <c r="B26" s="107" t="str">
        <v>NJ</v>
      </c>
      <c r="C26" s="108">
        <v>2956.7</v>
      </c>
      <c r="D26" s="109">
        <v>2853.357</v>
      </c>
      <c r="E26" s="109">
        <f t="shared" si="0"/>
        <v>103.34299999999985</v>
      </c>
      <c r="F26" s="110">
        <f t="shared" si="3"/>
        <v>3.6218040714849159E-2</v>
      </c>
      <c r="G26" s="111">
        <v>3072.4110000000001</v>
      </c>
      <c r="H26" s="111">
        <f t="shared" si="1"/>
        <v>-115.71100000000024</v>
      </c>
      <c r="I26" s="112">
        <f t="shared" si="2"/>
        <v>-3.7661302475482689E-2</v>
      </c>
      <c r="J26" s="113"/>
      <c r="K26" s="113"/>
      <c r="M26" s="133" t="s">
        <v>257</v>
      </c>
    </row>
    <row r="27" spans="1:19" ht="18.75">
      <c r="A27" s="114" t="str">
        <v>Bayonne</v>
      </c>
      <c r="B27" s="114" t="str">
        <v>NJ</v>
      </c>
      <c r="C27" s="115">
        <v>3984.4</v>
      </c>
      <c r="D27" s="116">
        <v>3676.4670000000001</v>
      </c>
      <c r="E27" s="116">
        <f t="shared" si="0"/>
        <v>307.93299999999999</v>
      </c>
      <c r="F27" s="117">
        <f t="shared" si="3"/>
        <v>8.3757857747669154E-2</v>
      </c>
      <c r="G27" s="119">
        <v>3874.7950000000001</v>
      </c>
      <c r="H27" s="119">
        <f t="shared" si="1"/>
        <v>109.60500000000002</v>
      </c>
      <c r="I27" s="117">
        <f t="shared" si="2"/>
        <v>2.828665774576462E-2</v>
      </c>
      <c r="J27" s="121"/>
      <c r="K27" s="121"/>
      <c r="M27" s="133" t="s">
        <v>257</v>
      </c>
    </row>
    <row r="28" spans="1:19" ht="18.75">
      <c r="A28" s="107" t="str">
        <v>Clifton</v>
      </c>
      <c r="B28" s="107" t="str">
        <v>NJ</v>
      </c>
      <c r="C28" s="108">
        <v>4726.546875</v>
      </c>
      <c r="D28" s="109">
        <v>4797.0450000000001</v>
      </c>
      <c r="E28" s="109">
        <f t="shared" si="0"/>
        <v>-70.498125000000073</v>
      </c>
      <c r="F28" s="110">
        <f t="shared" si="3"/>
        <v>-1.4696156696466277E-2</v>
      </c>
      <c r="G28" s="111">
        <v>5091.3879999999999</v>
      </c>
      <c r="H28" s="111">
        <f t="shared" si="1"/>
        <v>-364.84112499999992</v>
      </c>
      <c r="I28" s="112">
        <f t="shared" si="2"/>
        <v>-7.1658479966563132E-2</v>
      </c>
      <c r="J28" s="113"/>
      <c r="K28" s="113"/>
      <c r="M28" s="133" t="s">
        <v>254</v>
      </c>
      <c r="N28" s="94" t="s">
        <v>28</v>
      </c>
    </row>
    <row r="29" spans="1:19" ht="18.75">
      <c r="A29" s="114" t="str">
        <v>North Elizabeth</v>
      </c>
      <c r="B29" s="114" t="str">
        <v>NJ</v>
      </c>
      <c r="C29" s="115">
        <v>4079.3</v>
      </c>
      <c r="D29" s="116">
        <v>3757.3629999999998</v>
      </c>
      <c r="E29" s="116">
        <f t="shared" si="0"/>
        <v>321.93700000000035</v>
      </c>
      <c r="F29" s="117">
        <f t="shared" si="3"/>
        <v>8.5681633635078747E-2</v>
      </c>
      <c r="G29" s="119">
        <v>3903.1689999999999</v>
      </c>
      <c r="H29" s="119">
        <f t="shared" si="1"/>
        <v>176.13100000000031</v>
      </c>
      <c r="I29" s="117">
        <f t="shared" si="2"/>
        <v>4.5125127812810646E-2</v>
      </c>
      <c r="J29" s="121"/>
      <c r="K29" s="121"/>
      <c r="M29" s="133" t="s">
        <v>257</v>
      </c>
      <c r="N29" s="94" t="s">
        <v>275</v>
      </c>
    </row>
    <row r="30" spans="1:19" ht="18.75">
      <c r="A30" s="107" t="str">
        <v>Haddon Westmont Plaza</v>
      </c>
      <c r="B30" s="107" t="str">
        <v>NJ</v>
      </c>
      <c r="C30" s="108">
        <v>2901.2</v>
      </c>
      <c r="D30" s="109">
        <v>2798.248</v>
      </c>
      <c r="E30" s="109">
        <f t="shared" si="0"/>
        <v>102.95199999999977</v>
      </c>
      <c r="F30" s="110">
        <f t="shared" si="3"/>
        <v>3.6791592453563719E-2</v>
      </c>
      <c r="G30" s="111">
        <v>2876.201</v>
      </c>
      <c r="H30" s="111">
        <f t="shared" si="1"/>
        <v>24.998999999999796</v>
      </c>
      <c r="I30" s="112">
        <f t="shared" si="2"/>
        <v>8.6916734956978998E-3</v>
      </c>
      <c r="J30" s="113"/>
      <c r="K30" s="113"/>
      <c r="M30" s="133" t="s">
        <v>257</v>
      </c>
    </row>
    <row r="31" spans="1:19" ht="18.75">
      <c r="A31" s="114" t="str">
        <v>Parsippany</v>
      </c>
      <c r="B31" s="114" t="str">
        <v>NJ</v>
      </c>
      <c r="C31" s="115">
        <v>3547.9</v>
      </c>
      <c r="D31" s="116">
        <v>3275.12</v>
      </c>
      <c r="E31" s="116">
        <f t="shared" si="0"/>
        <v>272.7800000000002</v>
      </c>
      <c r="F31" s="117">
        <f t="shared" si="3"/>
        <v>8.328855125919056E-2</v>
      </c>
      <c r="G31" s="119">
        <v>3439.4250000000002</v>
      </c>
      <c r="H31" s="119">
        <f t="shared" si="1"/>
        <v>108.47499999999991</v>
      </c>
      <c r="I31" s="117">
        <f t="shared" si="2"/>
        <v>3.1538701963264179E-2</v>
      </c>
      <c r="J31" s="121"/>
      <c r="K31" s="121"/>
      <c r="M31" s="133" t="s">
        <v>257</v>
      </c>
      <c r="N31" s="94" t="s">
        <v>276</v>
      </c>
    </row>
    <row r="32" spans="1:19" ht="18.75">
      <c r="A32" s="107" t="str">
        <v>Clark</v>
      </c>
      <c r="B32" s="107" t="str">
        <v>NJ</v>
      </c>
      <c r="C32" s="108">
        <v>2937.5</v>
      </c>
      <c r="D32" s="109">
        <v>2834.6480000000001</v>
      </c>
      <c r="E32" s="109">
        <f t="shared" si="0"/>
        <v>102.85199999999986</v>
      </c>
      <c r="F32" s="110">
        <f t="shared" si="3"/>
        <v>3.6283870166595587E-2</v>
      </c>
      <c r="G32" s="111">
        <v>2808.6</v>
      </c>
      <c r="H32" s="111">
        <f t="shared" si="1"/>
        <v>128.90000000000009</v>
      </c>
      <c r="I32" s="112">
        <f t="shared" si="2"/>
        <v>4.589475183365381E-2</v>
      </c>
      <c r="J32" s="113"/>
      <c r="K32" s="113"/>
      <c r="M32" s="133" t="s">
        <v>257</v>
      </c>
    </row>
    <row r="33" spans="1:14" ht="131.25">
      <c r="A33" s="114" t="str">
        <v>Closter</v>
      </c>
      <c r="B33" s="114" t="str">
        <v>NJ</v>
      </c>
      <c r="C33" s="115">
        <v>1548.6</v>
      </c>
      <c r="D33" s="116">
        <v>1198.5360000000001</v>
      </c>
      <c r="E33" s="116">
        <f t="shared" si="0"/>
        <v>350.06399999999985</v>
      </c>
      <c r="F33" s="117">
        <f t="shared" si="3"/>
        <v>0.29207633312641407</v>
      </c>
      <c r="G33" s="119">
        <v>1739.414</v>
      </c>
      <c r="H33" s="119">
        <f t="shared" si="1"/>
        <v>-190.81400000000008</v>
      </c>
      <c r="I33" s="117">
        <f t="shared" si="2"/>
        <v>-0.10970016338835957</v>
      </c>
      <c r="J33" s="121" t="s">
        <v>230</v>
      </c>
      <c r="K33" s="121"/>
      <c r="M33" s="133" t="s">
        <v>257</v>
      </c>
      <c r="N33" s="132" t="s">
        <v>277</v>
      </c>
    </row>
    <row r="34" spans="1:14" ht="37.5">
      <c r="A34" s="107" t="str">
        <v>Holmdel</v>
      </c>
      <c r="B34" s="107" t="str">
        <v>NJ</v>
      </c>
      <c r="C34" s="108">
        <v>2512.6</v>
      </c>
      <c r="D34" s="109">
        <v>6084.7449999999999</v>
      </c>
      <c r="E34" s="109">
        <f t="shared" si="0"/>
        <v>-3572.145</v>
      </c>
      <c r="F34" s="110">
        <f t="shared" si="3"/>
        <v>-0.58706568640099133</v>
      </c>
      <c r="G34" s="111">
        <v>2332.0169999999998</v>
      </c>
      <c r="H34" s="111">
        <f t="shared" si="1"/>
        <v>180.58300000000008</v>
      </c>
      <c r="I34" s="112">
        <f t="shared" si="2"/>
        <v>7.7436399477362347E-2</v>
      </c>
      <c r="J34" s="113" t="s">
        <v>233</v>
      </c>
      <c r="K34" s="122" t="s">
        <v>191</v>
      </c>
      <c r="M34" s="133" t="s">
        <v>254</v>
      </c>
      <c r="N34" s="132" t="s">
        <v>278</v>
      </c>
    </row>
    <row r="35" spans="1:14" ht="18.75">
      <c r="A35" s="114" t="str">
        <v>Ellisburg Circle Center</v>
      </c>
      <c r="B35" s="114" t="str">
        <v>NJ</v>
      </c>
      <c r="C35" s="115">
        <v>1325</v>
      </c>
      <c r="D35" s="116">
        <v>1273.73</v>
      </c>
      <c r="E35" s="116">
        <f t="shared" si="0"/>
        <v>51.269999999999982</v>
      </c>
      <c r="F35" s="117">
        <f t="shared" si="3"/>
        <v>4.0251858714170176E-2</v>
      </c>
      <c r="G35" s="119">
        <v>1332.25</v>
      </c>
      <c r="H35" s="119">
        <f t="shared" si="1"/>
        <v>-7.25</v>
      </c>
      <c r="I35" s="117">
        <f t="shared" si="2"/>
        <v>-5.4419215612685305E-3</v>
      </c>
      <c r="J35" s="121"/>
      <c r="K35" s="121"/>
      <c r="M35" s="133" t="s">
        <v>257</v>
      </c>
      <c r="N35" s="94" t="s">
        <v>279</v>
      </c>
    </row>
    <row r="36" spans="1:14" ht="18.75">
      <c r="A36" s="107" t="str">
        <v>Nutley</v>
      </c>
      <c r="B36" s="107" t="str">
        <v>NJ</v>
      </c>
      <c r="C36" s="108">
        <v>5189.4431759999998</v>
      </c>
      <c r="D36" s="109">
        <v>4003.32</v>
      </c>
      <c r="E36" s="109">
        <f t="shared" si="0"/>
        <v>1186.1231759999996</v>
      </c>
      <c r="F36" s="110">
        <f t="shared" si="3"/>
        <v>0.29628487755163202</v>
      </c>
      <c r="G36" s="111">
        <v>4917.7250000000004</v>
      </c>
      <c r="H36" s="111">
        <f t="shared" si="1"/>
        <v>271.7181759999994</v>
      </c>
      <c r="I36" s="112">
        <f t="shared" si="2"/>
        <v>5.5252820359007346E-2</v>
      </c>
      <c r="J36" s="113"/>
      <c r="K36" s="113"/>
      <c r="M36" s="133" t="s">
        <v>257</v>
      </c>
      <c r="N36" s="94" t="s">
        <v>280</v>
      </c>
    </row>
    <row r="37" spans="1:14" ht="18.75">
      <c r="A37" s="114" t="str">
        <v>Marlton</v>
      </c>
      <c r="B37" s="114" t="str">
        <v>NJ</v>
      </c>
      <c r="C37" s="115">
        <v>4549.2</v>
      </c>
      <c r="D37" s="116">
        <v>4094.7460000000001</v>
      </c>
      <c r="E37" s="116">
        <f t="shared" si="0"/>
        <v>454.45399999999972</v>
      </c>
      <c r="F37" s="117">
        <f t="shared" si="3"/>
        <v>0.11098466180808278</v>
      </c>
      <c r="G37" s="119">
        <v>4583.25</v>
      </c>
      <c r="H37" s="119">
        <f t="shared" si="1"/>
        <v>-34.050000000000182</v>
      </c>
      <c r="I37" s="117">
        <f t="shared" si="2"/>
        <v>-7.4292259859270564E-3</v>
      </c>
      <c r="J37" s="121" t="s">
        <v>29</v>
      </c>
      <c r="K37" s="121"/>
      <c r="M37" s="133" t="s">
        <v>257</v>
      </c>
      <c r="N37" s="94" t="s">
        <v>279</v>
      </c>
    </row>
    <row r="38" spans="1:14" ht="37.5">
      <c r="A38" s="107" t="str">
        <v>Middletown</v>
      </c>
      <c r="B38" s="107" t="str">
        <v>NJ</v>
      </c>
      <c r="C38" s="108">
        <v>3656.9</v>
      </c>
      <c r="D38" s="109">
        <v>1825.9770000000001</v>
      </c>
      <c r="E38" s="109">
        <f t="shared" si="0"/>
        <v>1830.923</v>
      </c>
      <c r="F38" s="110">
        <f t="shared" si="3"/>
        <v>1.0027086869111714</v>
      </c>
      <c r="G38" s="111">
        <v>3678.9850000000001</v>
      </c>
      <c r="H38" s="111">
        <f t="shared" si="1"/>
        <v>-22.085000000000036</v>
      </c>
      <c r="I38" s="112">
        <f t="shared" si="2"/>
        <v>-6.0030144183789921E-3</v>
      </c>
      <c r="J38" s="113" t="s">
        <v>281</v>
      </c>
      <c r="K38" s="122" t="s">
        <v>193</v>
      </c>
      <c r="N38" s="132" t="s">
        <v>282</v>
      </c>
    </row>
    <row r="39" spans="1:14" ht="18.75">
      <c r="A39" s="114" t="str">
        <v>Whiting Crestwood</v>
      </c>
      <c r="B39" s="114" t="str">
        <v>NJ</v>
      </c>
      <c r="C39" s="115">
        <v>4614</v>
      </c>
      <c r="D39" s="116">
        <v>4551.4799999999996</v>
      </c>
      <c r="E39" s="116">
        <f t="shared" si="0"/>
        <v>62.520000000000437</v>
      </c>
      <c r="F39" s="117">
        <f t="shared" si="3"/>
        <v>1.3736191304806446E-2</v>
      </c>
      <c r="G39" s="119">
        <v>4973.5259999999998</v>
      </c>
      <c r="H39" s="119">
        <f t="shared" si="1"/>
        <v>-359.52599999999984</v>
      </c>
      <c r="I39" s="117">
        <f t="shared" si="2"/>
        <v>-7.2287950238925036E-2</v>
      </c>
      <c r="J39" s="121"/>
      <c r="K39" s="121"/>
      <c r="M39" s="133" t="s">
        <v>283</v>
      </c>
    </row>
    <row r="40" spans="1:14" ht="18.75">
      <c r="A40" s="107" t="str">
        <v>Barnegat</v>
      </c>
      <c r="B40" s="107" t="str">
        <v>NJ</v>
      </c>
      <c r="C40" s="108">
        <v>6802.5625</v>
      </c>
      <c r="D40" s="109">
        <v>6004.6670000000004</v>
      </c>
      <c r="E40" s="109">
        <f t="shared" si="0"/>
        <v>797.89549999999963</v>
      </c>
      <c r="F40" s="110">
        <f t="shared" si="3"/>
        <v>0.1328792254424766</v>
      </c>
      <c r="G40" s="111">
        <v>6871.7730000000001</v>
      </c>
      <c r="H40" s="111">
        <f t="shared" si="1"/>
        <v>-69.210500000000138</v>
      </c>
      <c r="I40" s="112">
        <f t="shared" si="2"/>
        <v>-1.0071709295403113E-2</v>
      </c>
      <c r="J40" s="113" t="s">
        <v>29</v>
      </c>
      <c r="K40" s="113"/>
      <c r="M40" s="133" t="s">
        <v>257</v>
      </c>
    </row>
    <row r="41" spans="1:14" ht="131.25">
      <c r="A41" s="114" t="str">
        <v>Manchester</v>
      </c>
      <c r="B41" s="114" t="str">
        <v>NJ</v>
      </c>
      <c r="C41" s="115">
        <v>2590.1</v>
      </c>
      <c r="D41" s="116">
        <v>2824.5160000000001</v>
      </c>
      <c r="E41" s="116">
        <f t="shared" si="0"/>
        <v>-234.41600000000017</v>
      </c>
      <c r="F41" s="117">
        <f t="shared" si="3"/>
        <v>-8.2993334079183884E-2</v>
      </c>
      <c r="G41" s="119">
        <v>4194.8720000000003</v>
      </c>
      <c r="H41" s="119">
        <f t="shared" si="1"/>
        <v>-1604.7720000000004</v>
      </c>
      <c r="I41" s="117">
        <f t="shared" si="2"/>
        <v>-0.3825556536647603</v>
      </c>
      <c r="J41" s="121" t="s">
        <v>230</v>
      </c>
      <c r="K41" s="121"/>
      <c r="M41" s="133" t="s">
        <v>254</v>
      </c>
      <c r="N41" s="94" t="s">
        <v>262</v>
      </c>
    </row>
    <row r="42" spans="1:14" ht="18.75">
      <c r="A42" s="107" t="str">
        <v>West Deptford - Woodbury</v>
      </c>
      <c r="B42" s="107" t="str">
        <v>NJ</v>
      </c>
      <c r="C42" s="108">
        <v>4008.4</v>
      </c>
      <c r="D42" s="109">
        <v>4209.5020000000004</v>
      </c>
      <c r="E42" s="109">
        <f t="shared" si="0"/>
        <v>-201.10200000000032</v>
      </c>
      <c r="F42" s="110">
        <f t="shared" si="3"/>
        <v>-4.777334706100634E-2</v>
      </c>
      <c r="G42" s="111">
        <v>3884.1669999999999</v>
      </c>
      <c r="H42" s="111">
        <f t="shared" si="1"/>
        <v>124.23300000000017</v>
      </c>
      <c r="I42" s="112">
        <f t="shared" si="2"/>
        <v>3.1984464107748245E-2</v>
      </c>
      <c r="J42" s="113"/>
      <c r="K42" s="113"/>
      <c r="M42" s="133" t="s">
        <v>283</v>
      </c>
    </row>
    <row r="43" spans="1:14" ht="18.75">
      <c r="A43" s="114" t="str">
        <v>Edison</v>
      </c>
      <c r="B43" s="114" t="str">
        <v>NJ</v>
      </c>
      <c r="C43" s="115">
        <v>3650.4</v>
      </c>
      <c r="D43" s="116">
        <v>3666.3069999999998</v>
      </c>
      <c r="E43" s="116">
        <f t="shared" si="0"/>
        <v>-15.906999999999698</v>
      </c>
      <c r="F43" s="117">
        <f t="shared" si="3"/>
        <v>-4.3386983141345502E-3</v>
      </c>
      <c r="G43" s="119">
        <v>3608.393</v>
      </c>
      <c r="H43" s="119">
        <f t="shared" si="1"/>
        <v>42.007000000000062</v>
      </c>
      <c r="I43" s="117">
        <f t="shared" si="2"/>
        <v>1.164147031656476E-2</v>
      </c>
      <c r="J43" s="121"/>
      <c r="K43" s="121"/>
      <c r="M43" s="133" t="s">
        <v>283</v>
      </c>
    </row>
    <row r="44" spans="1:14" ht="18.75">
      <c r="A44" s="107" t="str">
        <v>Flemington</v>
      </c>
      <c r="B44" s="107" t="str">
        <v>NJ</v>
      </c>
      <c r="C44" s="108">
        <v>3518.4</v>
      </c>
      <c r="D44" s="109">
        <v>3715.1419999999998</v>
      </c>
      <c r="E44" s="109">
        <f t="shared" si="0"/>
        <v>-196.74199999999973</v>
      </c>
      <c r="F44" s="110">
        <f t="shared" si="3"/>
        <v>-5.2956791422777309E-2</v>
      </c>
      <c r="G44" s="111">
        <v>3731.2109999999998</v>
      </c>
      <c r="H44" s="111">
        <f t="shared" si="1"/>
        <v>-212.81099999999969</v>
      </c>
      <c r="I44" s="112">
        <f t="shared" si="2"/>
        <v>-5.7035370017937799E-2</v>
      </c>
      <c r="J44" s="113"/>
      <c r="K44" s="113"/>
      <c r="M44" s="133" t="s">
        <v>283</v>
      </c>
    </row>
    <row r="45" spans="1:14" ht="37.5">
      <c r="A45" s="114" t="str">
        <v>Route 22</v>
      </c>
      <c r="B45" s="114" t="str">
        <v>NJ</v>
      </c>
      <c r="C45" s="115">
        <v>2981.8</v>
      </c>
      <c r="D45" s="116">
        <v>3285.7829999999999</v>
      </c>
      <c r="E45" s="116">
        <f t="shared" si="0"/>
        <v>-303.98299999999972</v>
      </c>
      <c r="F45" s="117">
        <f t="shared" si="3"/>
        <v>-9.2514630454902144E-2</v>
      </c>
      <c r="G45" s="119">
        <v>3517.38</v>
      </c>
      <c r="H45" s="119">
        <f t="shared" si="1"/>
        <v>-535.57999999999993</v>
      </c>
      <c r="I45" s="117">
        <f t="shared" si="2"/>
        <v>-0.15226674399695225</v>
      </c>
      <c r="J45" s="121" t="s">
        <v>284</v>
      </c>
      <c r="K45" s="123" t="s">
        <v>285</v>
      </c>
      <c r="M45" s="133" t="s">
        <v>254</v>
      </c>
    </row>
    <row r="46" spans="1:14" ht="18.75">
      <c r="A46" s="107" t="str">
        <v>Laurelton</v>
      </c>
      <c r="B46" s="107" t="str">
        <v>NJ</v>
      </c>
      <c r="C46" s="108">
        <v>1984.5</v>
      </c>
      <c r="D46" s="109">
        <v>3045.2370000000001</v>
      </c>
      <c r="E46" s="109">
        <f t="shared" si="0"/>
        <v>-1060.7370000000001</v>
      </c>
      <c r="F46" s="110">
        <f t="shared" si="3"/>
        <v>-0.34832658344818485</v>
      </c>
      <c r="G46" s="111">
        <v>3103.0630000000001</v>
      </c>
      <c r="H46" s="111">
        <f t="shared" si="1"/>
        <v>-1118.5630000000001</v>
      </c>
      <c r="I46" s="112">
        <f t="shared" si="2"/>
        <v>-0.36047060597867336</v>
      </c>
      <c r="J46" s="113" t="s">
        <v>286</v>
      </c>
      <c r="K46" s="122" t="s">
        <v>287</v>
      </c>
    </row>
    <row r="47" spans="1:14" ht="75">
      <c r="A47" s="114" t="str">
        <v>Mahwah</v>
      </c>
      <c r="B47" s="114" t="str">
        <v>NJ</v>
      </c>
      <c r="C47" s="115">
        <v>2838.8</v>
      </c>
      <c r="D47" s="116">
        <v>346.87</v>
      </c>
      <c r="E47" s="116">
        <f t="shared" si="0"/>
        <v>2491.9300000000003</v>
      </c>
      <c r="F47" s="117">
        <f t="shared" si="3"/>
        <v>7.1840458961570626</v>
      </c>
      <c r="G47" s="119">
        <v>3082.5680000000002</v>
      </c>
      <c r="H47" s="119">
        <f t="shared" si="1"/>
        <v>-243.76800000000003</v>
      </c>
      <c r="I47" s="117">
        <f t="shared" si="2"/>
        <v>-7.9079520711303045E-2</v>
      </c>
      <c r="J47" s="121" t="s">
        <v>197</v>
      </c>
      <c r="K47" s="81" t="s">
        <v>154</v>
      </c>
      <c r="N47" s="132" t="s">
        <v>288</v>
      </c>
    </row>
    <row r="48" spans="1:14" ht="18.75">
      <c r="A48" s="107" t="str">
        <v>Franklin Township WF</v>
      </c>
      <c r="B48" s="107" t="str">
        <v>NJ</v>
      </c>
      <c r="C48" s="108">
        <v>3184.8</v>
      </c>
      <c r="D48" s="109">
        <v>3168.17</v>
      </c>
      <c r="E48" s="109">
        <f t="shared" si="0"/>
        <v>16.630000000000109</v>
      </c>
      <c r="F48" s="110">
        <f t="shared" si="3"/>
        <v>5.2490870123762644E-3</v>
      </c>
      <c r="G48" s="111">
        <v>3453.143</v>
      </c>
      <c r="H48" s="111">
        <f t="shared" si="1"/>
        <v>-268.34299999999985</v>
      </c>
      <c r="I48" s="112">
        <f t="shared" si="2"/>
        <v>-7.7709784969808612E-2</v>
      </c>
      <c r="J48" s="113"/>
      <c r="K48" s="113"/>
    </row>
    <row r="49" spans="1:14" ht="18.75">
      <c r="A49" s="114" t="str">
        <v>Bordentown</v>
      </c>
      <c r="B49" s="114" t="str">
        <v>NJ</v>
      </c>
      <c r="C49" s="115">
        <v>2418</v>
      </c>
      <c r="D49" s="116">
        <v>2227.44</v>
      </c>
      <c r="E49" s="116">
        <f t="shared" si="0"/>
        <v>190.55999999999995</v>
      </c>
      <c r="F49" s="117">
        <f t="shared" si="3"/>
        <v>8.5551125956254692E-2</v>
      </c>
      <c r="G49" s="119">
        <v>2340.239</v>
      </c>
      <c r="H49" s="119">
        <f t="shared" si="1"/>
        <v>77.760999999999967</v>
      </c>
      <c r="I49" s="117">
        <f t="shared" si="2"/>
        <v>3.3227802801337795E-2</v>
      </c>
      <c r="J49" s="121"/>
      <c r="K49" s="121"/>
    </row>
    <row r="50" spans="1:14" ht="18.75">
      <c r="A50" s="107" t="str">
        <v>South Plainfield</v>
      </c>
      <c r="B50" s="107" t="str">
        <v>NJ</v>
      </c>
      <c r="C50" s="108">
        <v>1796.2</v>
      </c>
      <c r="D50" s="109">
        <v>1772.441</v>
      </c>
      <c r="E50" s="109">
        <f t="shared" si="0"/>
        <v>23.759000000000015</v>
      </c>
      <c r="F50" s="110">
        <f t="shared" si="3"/>
        <v>1.3404677504074897E-2</v>
      </c>
      <c r="G50" s="111">
        <v>1697.6079999999999</v>
      </c>
      <c r="H50" s="111">
        <f t="shared" si="1"/>
        <v>98.592000000000098</v>
      </c>
      <c r="I50" s="112">
        <f t="shared" si="2"/>
        <v>5.8077011889670703E-2</v>
      </c>
      <c r="J50" s="113"/>
      <c r="K50" s="113"/>
    </row>
    <row r="51" spans="1:14" ht="18.75">
      <c r="A51" s="114" t="str">
        <v>Somerset</v>
      </c>
      <c r="B51" s="114" t="str">
        <v>NJ</v>
      </c>
      <c r="C51" s="115">
        <v>2944.5</v>
      </c>
      <c r="D51" s="116">
        <v>2751.665</v>
      </c>
      <c r="E51" s="116">
        <f t="shared" si="0"/>
        <v>192.83500000000004</v>
      </c>
      <c r="F51" s="117">
        <f t="shared" si="3"/>
        <v>7.0079388297630718E-2</v>
      </c>
      <c r="G51" s="119">
        <v>2907.846</v>
      </c>
      <c r="H51" s="119">
        <f t="shared" si="1"/>
        <v>36.653999999999996</v>
      </c>
      <c r="I51" s="117">
        <f t="shared" si="2"/>
        <v>1.260520674065958E-2</v>
      </c>
      <c r="J51" s="121"/>
      <c r="K51" s="121"/>
    </row>
    <row r="52" spans="1:14" ht="18.75">
      <c r="A52" s="107" t="str">
        <v>Clinton Main Relo</v>
      </c>
      <c r="B52" s="107" t="str">
        <v>NJ</v>
      </c>
      <c r="C52" s="108">
        <v>3447</v>
      </c>
      <c r="D52" s="109">
        <v>3490</v>
      </c>
      <c r="E52" s="109">
        <f t="shared" si="0"/>
        <v>-43</v>
      </c>
      <c r="F52" s="110">
        <f t="shared" si="3"/>
        <v>-1.2320916905444125E-2</v>
      </c>
      <c r="G52" s="111">
        <v>3434.1</v>
      </c>
      <c r="H52" s="111">
        <f t="shared" si="1"/>
        <v>12.900000000000091</v>
      </c>
      <c r="I52" s="112">
        <f t="shared" si="2"/>
        <v>3.7564427360880846E-3</v>
      </c>
      <c r="J52" s="113"/>
      <c r="K52" s="113"/>
    </row>
    <row r="53" spans="1:14" ht="18.75">
      <c r="A53" s="114" t="str">
        <v>North Brunswick</v>
      </c>
      <c r="B53" s="114" t="str">
        <v>NJ</v>
      </c>
      <c r="C53" s="115">
        <v>3501.2</v>
      </c>
      <c r="D53" s="116">
        <v>3177.3429999999998</v>
      </c>
      <c r="E53" s="116">
        <f t="shared" si="0"/>
        <v>323.85699999999997</v>
      </c>
      <c r="F53" s="117">
        <f t="shared" si="3"/>
        <v>0.1019269874231394</v>
      </c>
      <c r="G53" s="119">
        <v>3737.9520000000002</v>
      </c>
      <c r="H53" s="119">
        <f t="shared" si="1"/>
        <v>-236.75200000000041</v>
      </c>
      <c r="I53" s="117">
        <f t="shared" si="2"/>
        <v>-6.3337356927001848E-2</v>
      </c>
      <c r="J53" s="121"/>
      <c r="K53" s="121"/>
    </row>
    <row r="54" spans="1:14" ht="18.75">
      <c r="A54" s="107" t="str">
        <v>Cherry Hill</v>
      </c>
      <c r="B54" s="107" t="str">
        <v>NJ</v>
      </c>
      <c r="C54" s="108">
        <v>2331.3515630000002</v>
      </c>
      <c r="D54" s="109">
        <v>2230.0309999999999</v>
      </c>
      <c r="E54" s="109">
        <f t="shared" si="0"/>
        <v>101.32056300000022</v>
      </c>
      <c r="F54" s="110">
        <f t="shared" si="3"/>
        <v>4.5434598442802017E-2</v>
      </c>
      <c r="G54" s="111">
        <v>2349.35</v>
      </c>
      <c r="H54" s="111">
        <f t="shared" si="1"/>
        <v>-17.99843699999974</v>
      </c>
      <c r="I54" s="112">
        <f t="shared" si="2"/>
        <v>-7.6610283695489135E-3</v>
      </c>
      <c r="J54" s="113"/>
      <c r="K54" s="113"/>
    </row>
    <row r="55" spans="1:14" ht="18.75">
      <c r="A55" s="114" t="str">
        <v>Hainesport</v>
      </c>
      <c r="B55" s="114" t="str">
        <v>NJ</v>
      </c>
      <c r="C55" s="115">
        <v>2404.5</v>
      </c>
      <c r="D55" s="116">
        <v>2847.491</v>
      </c>
      <c r="E55" s="116">
        <f t="shared" si="0"/>
        <v>-442.99099999999999</v>
      </c>
      <c r="F55" s="117">
        <f t="shared" si="3"/>
        <v>-0.15557239689256261</v>
      </c>
      <c r="G55" s="119">
        <v>2309.299</v>
      </c>
      <c r="H55" s="119">
        <f t="shared" si="1"/>
        <v>95.201000000000022</v>
      </c>
      <c r="I55" s="117">
        <f t="shared" si="2"/>
        <v>4.122506440266073E-2</v>
      </c>
      <c r="J55" s="121"/>
      <c r="K55" s="121"/>
    </row>
    <row r="56" spans="1:14" ht="18.75">
      <c r="A56" s="107" t="str">
        <v>San Antonio - Ops Ctr (Bldg 106)</v>
      </c>
      <c r="B56" s="107" t="str">
        <v>TX</v>
      </c>
      <c r="C56" s="108">
        <v>51870.6</v>
      </c>
      <c r="D56" s="109">
        <v>46882.7</v>
      </c>
      <c r="E56" s="109">
        <f t="shared" si="0"/>
        <v>4987.9000000000015</v>
      </c>
      <c r="F56" s="110">
        <f t="shared" si="3"/>
        <v>0.10639105682906491</v>
      </c>
      <c r="G56" s="111">
        <v>63072.6</v>
      </c>
      <c r="H56" s="111">
        <f t="shared" si="1"/>
        <v>-11202</v>
      </c>
      <c r="I56" s="112">
        <f t="shared" si="2"/>
        <v>-0.17760485535715984</v>
      </c>
      <c r="J56" s="113" t="s">
        <v>289</v>
      </c>
      <c r="K56" s="122" t="s">
        <v>239</v>
      </c>
      <c r="M56" s="133" t="s">
        <v>257</v>
      </c>
      <c r="N56" s="94" t="s">
        <v>290</v>
      </c>
    </row>
    <row r="57" spans="1:14" ht="54">
      <c r="A57" s="114" t="str">
        <v>San Antonio - Ops Ctr GM</v>
      </c>
      <c r="B57" s="114" t="str">
        <v>TX</v>
      </c>
      <c r="C57" s="115">
        <v>349532.25</v>
      </c>
      <c r="D57" s="116">
        <v>388727.97899999999</v>
      </c>
      <c r="E57" s="116">
        <f t="shared" si="0"/>
        <v>-39195.728999999992</v>
      </c>
      <c r="F57" s="117">
        <f t="shared" si="3"/>
        <v>-0.10083073799017692</v>
      </c>
      <c r="G57" s="119">
        <v>461978.1</v>
      </c>
      <c r="H57" s="119">
        <f t="shared" si="1"/>
        <v>-112445.84999999998</v>
      </c>
      <c r="I57" s="117">
        <f t="shared" si="2"/>
        <v>-0.24340082354553166</v>
      </c>
      <c r="J57" s="121" t="s">
        <v>29</v>
      </c>
      <c r="K57" s="121"/>
      <c r="M57" s="133" t="s">
        <v>254</v>
      </c>
      <c r="N57" s="132" t="s">
        <v>291</v>
      </c>
    </row>
    <row r="58" spans="1:14" ht="18.75">
      <c r="A58" s="107" t="str">
        <v>San Antonio - Ctr (Bldg 201)</v>
      </c>
      <c r="B58" s="107" t="str">
        <v>TX</v>
      </c>
      <c r="C58" s="108">
        <v>52526.1</v>
      </c>
      <c r="D58" s="109">
        <v>46501.7</v>
      </c>
      <c r="E58" s="109">
        <f t="shared" si="0"/>
        <v>6024.4000000000015</v>
      </c>
      <c r="F58" s="110">
        <f t="shared" si="3"/>
        <v>0.1295522529283876</v>
      </c>
      <c r="G58" s="111">
        <v>62302.7</v>
      </c>
      <c r="H58" s="111">
        <f t="shared" si="1"/>
        <v>-9776.5999999999985</v>
      </c>
      <c r="I58" s="112">
        <f t="shared" si="2"/>
        <v>-0.15692096811213638</v>
      </c>
      <c r="J58" s="113" t="s">
        <v>29</v>
      </c>
      <c r="K58" s="113"/>
      <c r="M58" s="133" t="s">
        <v>257</v>
      </c>
      <c r="N58" s="94" t="s">
        <v>262</v>
      </c>
    </row>
    <row r="59" spans="1:14" ht="18.75">
      <c r="A59" s="114" t="str">
        <v>San Antonio - Ops Ctr (Bldg 203)</v>
      </c>
      <c r="B59" s="114" t="str">
        <v>TX</v>
      </c>
      <c r="C59" s="115">
        <v>52305.7</v>
      </c>
      <c r="D59" s="116">
        <v>50500.5</v>
      </c>
      <c r="E59" s="116">
        <f t="shared" si="0"/>
        <v>1805.1999999999971</v>
      </c>
      <c r="F59" s="117">
        <f t="shared" si="3"/>
        <v>3.5746180730883793E-2</v>
      </c>
      <c r="G59" s="119">
        <v>62577.8</v>
      </c>
      <c r="H59" s="119">
        <f t="shared" si="1"/>
        <v>-10272.100000000006</v>
      </c>
      <c r="I59" s="117">
        <f t="shared" si="2"/>
        <v>-0.16414926699244789</v>
      </c>
      <c r="J59" s="121" t="s">
        <v>29</v>
      </c>
      <c r="K59" s="121"/>
      <c r="M59" s="133" t="s">
        <v>257</v>
      </c>
      <c r="N59" s="94" t="s">
        <v>262</v>
      </c>
    </row>
    <row r="60" spans="1:14" ht="18.75">
      <c r="A60" s="107" t="str">
        <v>San Antonio - Ops Ctr (Bldg 205)</v>
      </c>
      <c r="B60" s="107" t="str">
        <v>TX</v>
      </c>
      <c r="C60" s="108">
        <v>48676.5</v>
      </c>
      <c r="D60" s="109">
        <v>42368.7</v>
      </c>
      <c r="E60" s="109">
        <f t="shared" si="0"/>
        <v>6307.8000000000029</v>
      </c>
      <c r="F60" s="110">
        <f t="shared" si="3"/>
        <v>0.1488787713571576</v>
      </c>
      <c r="G60" s="111">
        <v>59706</v>
      </c>
      <c r="H60" s="111">
        <f t="shared" si="1"/>
        <v>-11029.5</v>
      </c>
      <c r="I60" s="112">
        <f t="shared" si="2"/>
        <v>-0.1847301778715707</v>
      </c>
      <c r="J60" s="113" t="s">
        <v>29</v>
      </c>
      <c r="K60" s="113"/>
      <c r="M60" s="133" t="s">
        <v>257</v>
      </c>
      <c r="N60" s="94" t="s">
        <v>262</v>
      </c>
    </row>
    <row r="61" spans="1:14" ht="18.75">
      <c r="A61" s="114" t="str">
        <v>San Antonio - Ops Ctr (Bldg 307)</v>
      </c>
      <c r="B61" s="114" t="str">
        <v>TX</v>
      </c>
      <c r="C61" s="115">
        <v>50988.3</v>
      </c>
      <c r="D61" s="116">
        <v>46074.1</v>
      </c>
      <c r="E61" s="116">
        <f t="shared" si="0"/>
        <v>4914.2000000000044</v>
      </c>
      <c r="F61" s="117">
        <f t="shared" si="3"/>
        <v>0.10665862165511653</v>
      </c>
      <c r="G61" s="119">
        <v>60625.599999999999</v>
      </c>
      <c r="H61" s="119">
        <f t="shared" si="1"/>
        <v>-9637.2999999999956</v>
      </c>
      <c r="I61" s="117">
        <f t="shared" si="2"/>
        <v>-0.15896419994193864</v>
      </c>
      <c r="J61" s="121" t="s">
        <v>29</v>
      </c>
      <c r="K61" s="121"/>
      <c r="M61" s="133" t="s">
        <v>257</v>
      </c>
      <c r="N61" s="94" t="s">
        <v>262</v>
      </c>
    </row>
    <row r="62" spans="1:14" ht="37.5">
      <c r="A62" s="107" t="str">
        <v>San Antonio - Ctr (Bldg 308)</v>
      </c>
      <c r="B62" s="107" t="str">
        <v>TX</v>
      </c>
      <c r="C62" s="108">
        <v>48109.9</v>
      </c>
      <c r="D62" s="109">
        <v>45024.5</v>
      </c>
      <c r="E62" s="109">
        <f t="shared" si="0"/>
        <v>3085.4000000000015</v>
      </c>
      <c r="F62" s="110">
        <f t="shared" si="3"/>
        <v>6.8527135226376781E-2</v>
      </c>
      <c r="G62" s="111">
        <v>57851.4</v>
      </c>
      <c r="H62" s="111">
        <f t="shared" si="1"/>
        <v>-9741.5</v>
      </c>
      <c r="I62" s="112">
        <f t="shared" si="2"/>
        <v>-0.16838831903808724</v>
      </c>
      <c r="J62" s="113" t="s">
        <v>292</v>
      </c>
      <c r="K62" s="122" t="s">
        <v>293</v>
      </c>
      <c r="M62" s="133" t="s">
        <v>257</v>
      </c>
      <c r="N62" s="94" t="s">
        <v>262</v>
      </c>
    </row>
    <row r="63" spans="1:14" ht="18.75">
      <c r="A63" s="114" t="str">
        <v>San Antonio - Ops Ctr (Bldg 104)</v>
      </c>
      <c r="B63" s="114" t="str">
        <v>TX</v>
      </c>
      <c r="C63" s="115">
        <v>14451.68</v>
      </c>
      <c r="D63" s="116">
        <v>14120.4</v>
      </c>
      <c r="E63" s="116">
        <f t="shared" si="0"/>
        <v>331.28000000000065</v>
      </c>
      <c r="F63" s="117">
        <f t="shared" si="3"/>
        <v>2.3461091753774727E-2</v>
      </c>
      <c r="G63" s="119">
        <v>18301.900000000001</v>
      </c>
      <c r="H63" s="119">
        <f t="shared" si="1"/>
        <v>-3850.2200000000012</v>
      </c>
      <c r="I63" s="117">
        <f t="shared" si="2"/>
        <v>-0.21037269354547894</v>
      </c>
      <c r="J63" s="121" t="s">
        <v>29</v>
      </c>
      <c r="K63" s="121"/>
      <c r="M63" s="133" t="s">
        <v>257</v>
      </c>
      <c r="N63" s="94" t="s">
        <v>262</v>
      </c>
    </row>
    <row r="64" spans="1:14" ht="18.75">
      <c r="A64" s="107" t="str">
        <v>San Antonio - Ops Ctr (Bldg 102)</v>
      </c>
      <c r="B64" s="107" t="str">
        <v>TX</v>
      </c>
      <c r="C64" s="108">
        <v>54506.7</v>
      </c>
      <c r="D64" s="109" t="s">
        <v>217</v>
      </c>
      <c r="E64" s="109" t="str">
        <f t="shared" si="0"/>
        <v/>
      </c>
      <c r="F64" s="110" t="str">
        <f t="shared" si="3"/>
        <v/>
      </c>
      <c r="G64" s="111">
        <v>64945</v>
      </c>
      <c r="H64" s="111">
        <f t="shared" si="1"/>
        <v>-10438.300000000003</v>
      </c>
      <c r="I64" s="112">
        <f t="shared" si="2"/>
        <v>-0.16072522903995692</v>
      </c>
      <c r="J64" s="113" t="s">
        <v>29</v>
      </c>
      <c r="K64" s="113"/>
      <c r="M64" s="133" t="s">
        <v>257</v>
      </c>
      <c r="N64" s="94" t="s">
        <v>262</v>
      </c>
    </row>
    <row r="65" spans="1:14" ht="18.75">
      <c r="A65" s="114" t="str">
        <v>Lodi - Lodi Vineyard</v>
      </c>
      <c r="B65" s="114" t="str">
        <v>CA</v>
      </c>
      <c r="C65" s="115">
        <v>51556.42656</v>
      </c>
      <c r="D65" s="116">
        <v>46484.14</v>
      </c>
      <c r="E65" s="116">
        <f t="shared" si="0"/>
        <v>5072.2865600000005</v>
      </c>
      <c r="F65" s="117">
        <f t="shared" si="3"/>
        <v>0.10911864907041413</v>
      </c>
      <c r="G65" s="119">
        <v>44559</v>
      </c>
      <c r="H65" s="119">
        <f t="shared" si="1"/>
        <v>6997.4265599999999</v>
      </c>
      <c r="I65" s="112">
        <f t="shared" si="2"/>
        <v>0.15703733387194505</v>
      </c>
      <c r="J65" s="121"/>
      <c r="K65" s="121"/>
      <c r="M65" s="133" t="s">
        <v>257</v>
      </c>
    </row>
    <row r="66" spans="1:14" ht="18.75">
      <c r="A66" s="107" t="str">
        <v>Arden Fair Mall</v>
      </c>
      <c r="B66" s="107" t="str">
        <v>CA</v>
      </c>
      <c r="C66" s="108">
        <v>26900.346239999999</v>
      </c>
      <c r="D66" s="109">
        <v>27312.75</v>
      </c>
      <c r="E66" s="109">
        <f t="shared" si="0"/>
        <v>-412.40376000000106</v>
      </c>
      <c r="F66" s="110">
        <f t="shared" si="3"/>
        <v>-1.5099312958233831E-2</v>
      </c>
      <c r="G66" s="111">
        <v>28718</v>
      </c>
      <c r="H66" s="111">
        <f t="shared" si="1"/>
        <v>-1817.6537600000011</v>
      </c>
      <c r="I66" s="112">
        <f t="shared" si="2"/>
        <v>-6.3293187547879409E-2</v>
      </c>
      <c r="J66" s="113"/>
      <c r="K66" s="113"/>
      <c r="M66" s="133" t="s">
        <v>254</v>
      </c>
    </row>
    <row r="67" spans="1:14" ht="18.75">
      <c r="A67" s="114" t="str">
        <v>Modesto - Modesto Main</v>
      </c>
      <c r="B67" s="114" t="str">
        <v>CA</v>
      </c>
      <c r="C67" s="115">
        <v>20578.609380000002</v>
      </c>
      <c r="D67" s="116">
        <v>22391.08</v>
      </c>
      <c r="E67" s="116">
        <f t="shared" si="0"/>
        <v>-1812.4706200000001</v>
      </c>
      <c r="F67" s="117">
        <f t="shared" si="3"/>
        <v>-8.0946100858020245E-2</v>
      </c>
      <c r="G67" s="119">
        <v>26303.81</v>
      </c>
      <c r="H67" s="119">
        <f t="shared" si="1"/>
        <v>-5725.2006199999996</v>
      </c>
      <c r="I67" s="112">
        <f t="shared" si="2"/>
        <v>-0.21765670524536176</v>
      </c>
      <c r="J67" s="121" t="s">
        <v>242</v>
      </c>
      <c r="K67" s="123" t="s">
        <v>294</v>
      </c>
      <c r="M67" s="133" t="s">
        <v>254</v>
      </c>
    </row>
    <row r="68" spans="1:14" ht="131.25">
      <c r="A68" s="107" t="str">
        <v>Stevens Creek</v>
      </c>
      <c r="B68" s="107" t="str">
        <v>CA</v>
      </c>
      <c r="C68" s="108">
        <v>6675.194227</v>
      </c>
      <c r="D68" s="109">
        <v>7095.5150000000003</v>
      </c>
      <c r="E68" s="109">
        <f t="shared" si="0"/>
        <v>-420.32077300000037</v>
      </c>
      <c r="F68" s="110">
        <f t="shared" si="3"/>
        <v>-5.9237528636046907E-2</v>
      </c>
      <c r="G68" s="111">
        <v>7887</v>
      </c>
      <c r="H68" s="111">
        <f t="shared" si="1"/>
        <v>-1211.805773</v>
      </c>
      <c r="I68" s="112">
        <f t="shared" si="2"/>
        <v>-0.15364597096487892</v>
      </c>
      <c r="J68" s="113" t="s">
        <v>230</v>
      </c>
      <c r="K68" s="113"/>
      <c r="M68" s="133" t="s">
        <v>254</v>
      </c>
      <c r="N68" s="94" t="s">
        <v>262</v>
      </c>
    </row>
    <row r="69" spans="1:14" ht="20.25">
      <c r="A69" s="114" t="str">
        <v>Covina Main</v>
      </c>
      <c r="B69" s="114" t="str">
        <v>CA</v>
      </c>
      <c r="C69" s="115">
        <v>4616.3</v>
      </c>
      <c r="D69" s="116">
        <v>4541.4210000000003</v>
      </c>
      <c r="E69" s="116">
        <f t="shared" ref="E69:E84" si="4">IF(AND(ISNUMBER(C69),ISNUMBER(D69)), C69-D69, "")</f>
        <v>74.878999999999905</v>
      </c>
      <c r="F69" s="117">
        <f t="shared" si="3"/>
        <v>1.6488011131317686E-2</v>
      </c>
      <c r="G69" s="119">
        <v>4147</v>
      </c>
      <c r="H69" s="119">
        <f t="shared" ref="H69:H84" si="5">IF(AND(ISNUMBER(C69),ISNUMBER(G69)), C69-G69, "")</f>
        <v>469.30000000000018</v>
      </c>
      <c r="I69" s="112">
        <f t="shared" ref="I69:I84" si="6">IFERROR(H69/G69, "")</f>
        <v>0.113166144200627</v>
      </c>
      <c r="J69" s="121"/>
      <c r="K69" s="121"/>
      <c r="L69" s="131" t="s">
        <v>29</v>
      </c>
      <c r="M69" s="133" t="s">
        <v>257</v>
      </c>
    </row>
    <row r="70" spans="1:14" ht="131.25">
      <c r="A70" s="107" t="str">
        <v>Old Ranch Town Center</v>
      </c>
      <c r="B70" s="107" t="str">
        <v>CA</v>
      </c>
      <c r="C70" s="108">
        <v>1532.368003</v>
      </c>
      <c r="D70" s="109" t="s">
        <v>217</v>
      </c>
      <c r="E70" s="109" t="str">
        <f t="shared" si="4"/>
        <v/>
      </c>
      <c r="F70" s="110" t="str">
        <f t="shared" ref="F70:F84" si="7">IFERROR(E70/D70, "")</f>
        <v/>
      </c>
      <c r="G70" s="111">
        <v>1742</v>
      </c>
      <c r="H70" s="111">
        <f t="shared" si="5"/>
        <v>-209.63199699999996</v>
      </c>
      <c r="I70" s="112">
        <f t="shared" si="6"/>
        <v>-0.12033983754305394</v>
      </c>
      <c r="J70" s="113" t="s">
        <v>230</v>
      </c>
      <c r="K70" s="113"/>
      <c r="N70" s="94" t="s">
        <v>262</v>
      </c>
    </row>
    <row r="71" spans="1:14" ht="18.75">
      <c r="A71" s="114" t="str">
        <v>Mountain Gate Plaza</v>
      </c>
      <c r="B71" s="114" t="str">
        <v>CA</v>
      </c>
      <c r="C71" s="115">
        <v>11390.4</v>
      </c>
      <c r="D71" s="116" t="s">
        <v>217</v>
      </c>
      <c r="E71" s="116" t="str">
        <f t="shared" si="4"/>
        <v/>
      </c>
      <c r="F71" s="117" t="str">
        <f t="shared" si="7"/>
        <v/>
      </c>
      <c r="G71" s="119">
        <v>11486</v>
      </c>
      <c r="H71" s="119">
        <f t="shared" si="5"/>
        <v>-95.600000000000364</v>
      </c>
      <c r="I71" s="112">
        <f t="shared" si="6"/>
        <v>-8.3231760403970362E-3</v>
      </c>
      <c r="J71" s="121"/>
      <c r="K71" s="121"/>
    </row>
    <row r="72" spans="1:14" ht="131.25">
      <c r="A72" s="107" t="str">
        <v>Arcadia Main</v>
      </c>
      <c r="B72" s="107" t="str">
        <v>CA</v>
      </c>
      <c r="C72" s="108">
        <v>5220.7890630000002</v>
      </c>
      <c r="D72" s="109" t="s">
        <v>217</v>
      </c>
      <c r="E72" s="109" t="str">
        <f t="shared" si="4"/>
        <v/>
      </c>
      <c r="F72" s="110" t="str">
        <f t="shared" si="7"/>
        <v/>
      </c>
      <c r="G72" s="111">
        <v>6209</v>
      </c>
      <c r="H72" s="111">
        <f t="shared" si="5"/>
        <v>-988.21093699999983</v>
      </c>
      <c r="I72" s="112">
        <f t="shared" si="6"/>
        <v>-0.15915782525366401</v>
      </c>
      <c r="J72" s="113" t="s">
        <v>230</v>
      </c>
      <c r="K72" s="113"/>
      <c r="N72" s="94" t="s">
        <v>262</v>
      </c>
    </row>
    <row r="73" spans="1:14" ht="18.75">
      <c r="A73" s="114" t="str">
        <v>Fairfield</v>
      </c>
      <c r="B73" s="114" t="str">
        <v>CA</v>
      </c>
      <c r="C73" s="115">
        <v>4973.2113099999997</v>
      </c>
      <c r="D73" s="116">
        <v>4885.3140000000003</v>
      </c>
      <c r="E73" s="116">
        <f t="shared" si="4"/>
        <v>87.897309999999379</v>
      </c>
      <c r="F73" s="117">
        <f t="shared" si="7"/>
        <v>1.7992151579202354E-2</v>
      </c>
      <c r="G73" s="119">
        <v>5311</v>
      </c>
      <c r="H73" s="119">
        <f t="shared" si="5"/>
        <v>-337.78869000000032</v>
      </c>
      <c r="I73" s="112">
        <f t="shared" si="6"/>
        <v>-6.3601711542082523E-2</v>
      </c>
      <c r="J73" s="121"/>
      <c r="K73" s="121"/>
    </row>
    <row r="74" spans="1:14" ht="18.75">
      <c r="A74" s="107" t="str">
        <v>Los Gatos</v>
      </c>
      <c r="B74" s="107" t="str">
        <v>CA</v>
      </c>
      <c r="C74" s="108">
        <v>2733.0061329999999</v>
      </c>
      <c r="D74" s="109">
        <v>2795.2179999999998</v>
      </c>
      <c r="E74" s="109">
        <f t="shared" si="4"/>
        <v>-62.211866999999984</v>
      </c>
      <c r="F74" s="110">
        <f t="shared" si="7"/>
        <v>-2.2256534910693904E-2</v>
      </c>
      <c r="G74" s="111">
        <v>0</v>
      </c>
      <c r="H74" s="111">
        <f t="shared" si="5"/>
        <v>2733.0061329999999</v>
      </c>
      <c r="I74" s="112" t="str">
        <f t="shared" si="6"/>
        <v/>
      </c>
      <c r="J74" s="113"/>
      <c r="K74" s="113"/>
    </row>
    <row r="75" spans="1:14" ht="37.5">
      <c r="A75" s="114" t="str">
        <v>San Marino</v>
      </c>
      <c r="B75" s="114" t="str">
        <v>CA</v>
      </c>
      <c r="C75" s="115">
        <v>4253.7</v>
      </c>
      <c r="D75" s="116">
        <v>5789.8729999999996</v>
      </c>
      <c r="E75" s="116">
        <f t="shared" si="4"/>
        <v>-1536.1729999999998</v>
      </c>
      <c r="F75" s="117">
        <f t="shared" si="7"/>
        <v>-0.26532067283686533</v>
      </c>
      <c r="G75" s="119">
        <v>6929.1949999999997</v>
      </c>
      <c r="H75" s="119">
        <f t="shared" si="5"/>
        <v>-2675.4949999999999</v>
      </c>
      <c r="I75" s="112">
        <f t="shared" si="6"/>
        <v>-0.38611916680076114</v>
      </c>
      <c r="J75" s="121" t="s">
        <v>244</v>
      </c>
      <c r="K75" s="123" t="s">
        <v>295</v>
      </c>
      <c r="M75" s="133" t="s">
        <v>254</v>
      </c>
      <c r="N75" s="94" t="s">
        <v>262</v>
      </c>
    </row>
    <row r="76" spans="1:14" ht="18.75">
      <c r="A76" s="107" t="str">
        <v>Buenaventura</v>
      </c>
      <c r="B76" s="107" t="str">
        <v>CA</v>
      </c>
      <c r="C76" s="108">
        <v>5732.5830029999997</v>
      </c>
      <c r="D76" s="109">
        <v>4263.027</v>
      </c>
      <c r="E76" s="109">
        <f t="shared" si="4"/>
        <v>1469.5560029999997</v>
      </c>
      <c r="F76" s="110">
        <f t="shared" si="7"/>
        <v>0.34472125158953948</v>
      </c>
      <c r="G76" s="111">
        <v>6207.0029999999997</v>
      </c>
      <c r="H76" s="111">
        <f t="shared" si="5"/>
        <v>-474.41999699999997</v>
      </c>
      <c r="I76" s="112">
        <f t="shared" si="6"/>
        <v>-7.643302202367229E-2</v>
      </c>
      <c r="J76" s="113"/>
      <c r="K76" s="113"/>
      <c r="M76" s="133" t="s">
        <v>257</v>
      </c>
    </row>
    <row r="77" spans="1:14" ht="18.75">
      <c r="A77" s="114" t="str">
        <v>N Black Canyon Hwy, Phoenix - North</v>
      </c>
      <c r="B77" s="114" t="str">
        <v>AZ</v>
      </c>
      <c r="C77" s="115">
        <v>101491.875</v>
      </c>
      <c r="D77" s="116">
        <v>83569.83</v>
      </c>
      <c r="E77" s="116">
        <f t="shared" si="4"/>
        <v>17922.044999999998</v>
      </c>
      <c r="F77" s="117">
        <f t="shared" si="7"/>
        <v>0.21445592266970026</v>
      </c>
      <c r="G77" s="119">
        <v>98348</v>
      </c>
      <c r="H77" s="119">
        <f t="shared" si="5"/>
        <v>3143.875</v>
      </c>
      <c r="I77" s="112">
        <f t="shared" si="6"/>
        <v>3.1966842233700735E-2</v>
      </c>
      <c r="J77" s="121"/>
      <c r="K77" s="121"/>
      <c r="M77" s="133" t="s">
        <v>257</v>
      </c>
      <c r="N77" s="94" t="s">
        <v>296</v>
      </c>
    </row>
    <row r="78" spans="1:14" ht="18.75">
      <c r="A78" s="107" t="str">
        <v>N Black Canyon Hwy, Phoenix - South</v>
      </c>
      <c r="B78" s="107" t="str">
        <v>AZ</v>
      </c>
      <c r="C78" s="108">
        <v>104766.375</v>
      </c>
      <c r="D78" s="109">
        <v>91413.17</v>
      </c>
      <c r="E78" s="109">
        <f t="shared" si="4"/>
        <v>13353.205000000002</v>
      </c>
      <c r="F78" s="110">
        <f t="shared" si="7"/>
        <v>0.1460752865260006</v>
      </c>
      <c r="G78" s="111">
        <v>108066</v>
      </c>
      <c r="H78" s="111">
        <f t="shared" si="5"/>
        <v>-3299.625</v>
      </c>
      <c r="I78" s="112">
        <f t="shared" si="6"/>
        <v>-3.0533424018655265E-2</v>
      </c>
      <c r="J78" s="113"/>
      <c r="K78" s="113"/>
      <c r="M78" s="133" t="s">
        <v>257</v>
      </c>
      <c r="N78" s="94" t="s">
        <v>296</v>
      </c>
    </row>
    <row r="79" spans="1:14" ht="18.75">
      <c r="A79" s="114" t="str">
        <v xml:space="preserve"> Building 2222, Rose Garden Ln, Phoenix</v>
      </c>
      <c r="B79" s="114" t="str">
        <v>AZ</v>
      </c>
      <c r="C79" s="115">
        <v>137055.625</v>
      </c>
      <c r="D79" s="116">
        <v>134327.79999999999</v>
      </c>
      <c r="E79" s="116">
        <f t="shared" si="4"/>
        <v>2727.8250000000116</v>
      </c>
      <c r="F79" s="117">
        <f t="shared" si="7"/>
        <v>2.0307226054472802E-2</v>
      </c>
      <c r="G79" s="119">
        <v>137881</v>
      </c>
      <c r="H79" s="119">
        <f t="shared" si="5"/>
        <v>-825.375</v>
      </c>
      <c r="I79" s="112">
        <f t="shared" si="6"/>
        <v>-5.9861402223656632E-3</v>
      </c>
      <c r="J79" s="121"/>
      <c r="K79" s="121"/>
      <c r="N79" s="94" t="s">
        <v>296</v>
      </c>
    </row>
    <row r="80" spans="1:14" ht="18.75">
      <c r="A80" s="107" t="str">
        <v xml:space="preserve"> Building 2202, Rose Garden Ln, Phoenix</v>
      </c>
      <c r="B80" s="107" t="str">
        <v>AZ</v>
      </c>
      <c r="C80" s="108">
        <v>136806.125</v>
      </c>
      <c r="D80" s="109">
        <v>134691.20000000001</v>
      </c>
      <c r="E80" s="109">
        <f t="shared" si="4"/>
        <v>2114.9249999999884</v>
      </c>
      <c r="F80" s="110">
        <f t="shared" si="7"/>
        <v>1.5702028046375622E-2</v>
      </c>
      <c r="G80" s="111">
        <v>105148.7</v>
      </c>
      <c r="H80" s="111">
        <f t="shared" si="5"/>
        <v>31657.425000000003</v>
      </c>
      <c r="I80" s="112">
        <f t="shared" si="6"/>
        <v>0.3010729091277401</v>
      </c>
      <c r="J80" s="113"/>
      <c r="K80" s="113"/>
      <c r="M80" s="133" t="s">
        <v>257</v>
      </c>
      <c r="N80" s="94" t="s">
        <v>296</v>
      </c>
    </row>
    <row r="81" spans="1:14" ht="18.75">
      <c r="A81" s="114" t="str">
        <v xml:space="preserve"> 99TH Ave &amp; BELL</v>
      </c>
      <c r="B81" s="114" t="str">
        <v>AZ</v>
      </c>
      <c r="C81" s="115">
        <v>24380.103360000001</v>
      </c>
      <c r="D81" s="116">
        <v>23445.97</v>
      </c>
      <c r="E81" s="116">
        <f t="shared" si="4"/>
        <v>934.13335999999981</v>
      </c>
      <c r="F81" s="117">
        <f t="shared" si="7"/>
        <v>3.9841958340815067E-2</v>
      </c>
      <c r="G81" s="119">
        <v>23804</v>
      </c>
      <c r="H81" s="119">
        <f t="shared" si="5"/>
        <v>576.10336000000098</v>
      </c>
      <c r="I81" s="112">
        <f t="shared" si="6"/>
        <v>2.4201955973785959E-2</v>
      </c>
      <c r="J81" s="121"/>
      <c r="K81" s="121"/>
      <c r="M81" s="133" t="s">
        <v>257</v>
      </c>
      <c r="N81" s="94" t="s">
        <v>296</v>
      </c>
    </row>
    <row r="82" spans="1:14" ht="18.75">
      <c r="A82" s="107" t="str">
        <v>Rincon</v>
      </c>
      <c r="B82" s="107" t="str">
        <v>AZ</v>
      </c>
      <c r="C82" s="108">
        <v>8821.796875</v>
      </c>
      <c r="D82" s="109">
        <v>7591.174</v>
      </c>
      <c r="E82" s="109">
        <f t="shared" si="4"/>
        <v>1230.622875</v>
      </c>
      <c r="F82" s="110">
        <f t="shared" si="7"/>
        <v>0.16211232610397286</v>
      </c>
      <c r="G82" s="111">
        <v>8452</v>
      </c>
      <c r="H82" s="111">
        <f t="shared" si="5"/>
        <v>369.796875</v>
      </c>
      <c r="I82" s="112">
        <f t="shared" si="6"/>
        <v>4.3752588144817792E-2</v>
      </c>
      <c r="J82" s="113"/>
      <c r="K82" s="113"/>
      <c r="M82" s="133" t="s">
        <v>257</v>
      </c>
      <c r="N82" s="94" t="s">
        <v>296</v>
      </c>
    </row>
    <row r="83" spans="1:14" ht="75">
      <c r="A83" s="114" t="str">
        <v>Tucson Main Parking Garage</v>
      </c>
      <c r="B83" s="114" t="str">
        <v>AZ</v>
      </c>
      <c r="C83" s="115">
        <v>15951</v>
      </c>
      <c r="D83" s="116">
        <v>15111.43</v>
      </c>
      <c r="E83" s="116">
        <f t="shared" si="4"/>
        <v>839.56999999999971</v>
      </c>
      <c r="F83" s="117">
        <f t="shared" si="7"/>
        <v>5.5558606961750127E-2</v>
      </c>
      <c r="G83" s="119">
        <v>11034</v>
      </c>
      <c r="H83" s="119">
        <f t="shared" si="5"/>
        <v>4917</v>
      </c>
      <c r="I83" s="112">
        <f t="shared" si="6"/>
        <v>0.44562262098966832</v>
      </c>
      <c r="J83" s="121" t="s">
        <v>297</v>
      </c>
      <c r="K83" s="123" t="s">
        <v>298</v>
      </c>
      <c r="L83" s="124" t="s">
        <v>299</v>
      </c>
      <c r="M83" s="133" t="s">
        <v>257</v>
      </c>
      <c r="N83" s="132" t="s">
        <v>300</v>
      </c>
    </row>
    <row r="84" spans="1:14" ht="18.75">
      <c r="A84" s="107" t="str">
        <v>BE 199502 - Westgate</v>
      </c>
      <c r="B84" s="107" t="str">
        <v>CA</v>
      </c>
      <c r="C84" s="108">
        <v>2478.3000000000002</v>
      </c>
      <c r="D84" s="109">
        <v>0</v>
      </c>
      <c r="E84" s="109">
        <f t="shared" si="4"/>
        <v>2478.3000000000002</v>
      </c>
      <c r="F84" s="110" t="str">
        <f t="shared" si="7"/>
        <v/>
      </c>
      <c r="G84" s="111">
        <v>2634.46</v>
      </c>
      <c r="H84" s="111">
        <f t="shared" si="5"/>
        <v>-156.15999999999985</v>
      </c>
      <c r="I84" s="112">
        <f t="shared" si="6"/>
        <v>-5.9275904739491146E-2</v>
      </c>
      <c r="J84" s="113"/>
      <c r="K84" s="113"/>
    </row>
    <row r="85" spans="1:14" ht="18.75">
      <c r="A85" s="126"/>
      <c r="B85" s="126"/>
      <c r="C85" s="127"/>
      <c r="D85" s="127"/>
      <c r="E85" s="127"/>
      <c r="F85" s="128"/>
      <c r="G85" s="127"/>
      <c r="H85" s="127"/>
      <c r="I85" s="128"/>
      <c r="J85" s="127"/>
      <c r="K85" s="127"/>
    </row>
    <row r="86" spans="1:14" ht="18.75">
      <c r="A86" s="126"/>
      <c r="B86" s="126"/>
      <c r="C86" s="127"/>
      <c r="D86" s="127"/>
      <c r="E86" s="127"/>
      <c r="F86" s="128"/>
      <c r="G86" s="127"/>
      <c r="H86" s="127"/>
      <c r="I86" s="128"/>
      <c r="J86" s="127"/>
      <c r="K86" s="127"/>
    </row>
    <row r="87" spans="1:14" ht="18.75">
      <c r="A87" s="126"/>
      <c r="B87" s="126"/>
      <c r="C87" s="127"/>
      <c r="D87" s="127"/>
      <c r="E87" s="127"/>
      <c r="F87" s="128"/>
      <c r="G87" s="127"/>
      <c r="H87" s="127"/>
      <c r="I87" s="128"/>
      <c r="J87" s="127"/>
      <c r="K87" s="127"/>
    </row>
    <row r="88" spans="1:14" ht="18.75">
      <c r="A88" s="126"/>
      <c r="B88" s="126"/>
      <c r="C88" s="127"/>
      <c r="D88" s="127"/>
      <c r="E88" s="127"/>
      <c r="F88" s="128"/>
      <c r="G88" s="127"/>
      <c r="H88" s="127"/>
      <c r="I88" s="128"/>
      <c r="J88" s="127"/>
      <c r="K88" s="127"/>
    </row>
    <row r="89" spans="1:14" ht="18.75">
      <c r="A89" s="126"/>
      <c r="B89" s="126"/>
      <c r="C89" s="127"/>
      <c r="D89" s="127"/>
      <c r="E89" s="127"/>
      <c r="F89" s="128"/>
      <c r="G89" s="127"/>
      <c r="H89" s="127"/>
      <c r="I89" s="128"/>
      <c r="J89" s="127"/>
      <c r="K89" s="127"/>
    </row>
    <row r="90" spans="1:14" ht="18.75">
      <c r="A90" s="126"/>
      <c r="B90" s="126"/>
      <c r="C90" s="127"/>
      <c r="D90" s="127"/>
      <c r="E90" s="127"/>
      <c r="F90" s="128"/>
      <c r="G90" s="127"/>
      <c r="H90" s="127"/>
      <c r="I90" s="128"/>
      <c r="J90" s="127"/>
      <c r="K90" s="127"/>
    </row>
    <row r="91" spans="1:14" ht="18.75">
      <c r="A91" s="126"/>
      <c r="B91" s="126"/>
      <c r="C91" s="127"/>
      <c r="D91" s="127"/>
      <c r="E91" s="127"/>
      <c r="F91" s="128"/>
      <c r="G91" s="127"/>
      <c r="H91" s="127"/>
      <c r="I91" s="128"/>
      <c r="J91" s="127"/>
      <c r="K91" s="127"/>
    </row>
    <row r="92" spans="1:14" ht="18.75">
      <c r="A92" s="126"/>
      <c r="B92" s="126"/>
      <c r="C92" s="127"/>
      <c r="D92" s="127"/>
      <c r="E92" s="127"/>
      <c r="F92" s="128"/>
      <c r="G92" s="127"/>
      <c r="H92" s="127"/>
      <c r="I92" s="128"/>
      <c r="J92" s="127"/>
      <c r="K92" s="127"/>
    </row>
    <row r="93" spans="1:14" ht="18.75">
      <c r="A93" s="126"/>
      <c r="B93" s="126"/>
      <c r="C93" s="127"/>
      <c r="D93" s="127"/>
      <c r="E93" s="127"/>
      <c r="F93" s="128"/>
      <c r="G93" s="127"/>
      <c r="H93" s="127"/>
      <c r="I93" s="128"/>
      <c r="J93" s="127"/>
      <c r="K93" s="127"/>
    </row>
    <row r="94" spans="1:14" ht="18.75">
      <c r="A94" s="126"/>
      <c r="B94" s="126"/>
      <c r="C94" s="127"/>
      <c r="D94" s="127"/>
      <c r="E94" s="127"/>
      <c r="F94" s="128"/>
      <c r="G94" s="127"/>
      <c r="H94" s="127"/>
      <c r="I94" s="128"/>
      <c r="J94" s="127"/>
      <c r="K94" s="127"/>
    </row>
    <row r="95" spans="1:14" ht="18.75">
      <c r="A95" s="126"/>
      <c r="B95" s="126"/>
      <c r="C95" s="127"/>
      <c r="D95" s="127"/>
      <c r="E95" s="127"/>
      <c r="F95" s="128"/>
      <c r="G95" s="127"/>
      <c r="H95" s="127"/>
      <c r="I95" s="128"/>
      <c r="J95" s="127"/>
      <c r="K95" s="127"/>
    </row>
    <row r="96" spans="1:14" ht="18.75">
      <c r="A96" s="126"/>
      <c r="B96" s="126"/>
      <c r="C96" s="127"/>
      <c r="D96" s="127"/>
      <c r="E96" s="127"/>
      <c r="F96" s="128"/>
      <c r="G96" s="127"/>
      <c r="H96" s="127"/>
      <c r="I96" s="128"/>
      <c r="J96" s="127"/>
      <c r="K96" s="127"/>
    </row>
    <row r="97" spans="1:11" ht="18.75">
      <c r="A97" s="126"/>
      <c r="B97" s="126"/>
      <c r="C97" s="127"/>
      <c r="D97" s="127"/>
      <c r="E97" s="127"/>
      <c r="F97" s="128"/>
      <c r="G97" s="127"/>
      <c r="H97" s="127"/>
      <c r="I97" s="128"/>
      <c r="J97" s="127"/>
      <c r="K97" s="127"/>
    </row>
    <row r="98" spans="1:11" ht="18.75">
      <c r="A98" s="126"/>
      <c r="B98" s="126"/>
      <c r="C98" s="127"/>
      <c r="D98" s="127"/>
      <c r="E98" s="127"/>
      <c r="F98" s="128"/>
      <c r="G98" s="127"/>
      <c r="H98" s="127"/>
      <c r="I98" s="128"/>
      <c r="J98" s="127"/>
      <c r="K98" s="127"/>
    </row>
    <row r="99" spans="1:11" ht="18.75">
      <c r="A99" s="126"/>
      <c r="B99" s="126"/>
      <c r="C99" s="127"/>
      <c r="D99" s="127"/>
      <c r="E99" s="127"/>
      <c r="F99" s="128"/>
      <c r="G99" s="127"/>
      <c r="H99" s="127"/>
      <c r="I99" s="128"/>
      <c r="J99" s="127"/>
      <c r="K99" s="127"/>
    </row>
    <row r="100" spans="1:11" ht="18.75">
      <c r="A100" s="126"/>
      <c r="B100" s="126"/>
      <c r="C100" s="127"/>
      <c r="D100" s="127"/>
      <c r="E100" s="127"/>
      <c r="F100" s="128"/>
      <c r="G100" s="127"/>
      <c r="H100" s="127"/>
      <c r="I100" s="128"/>
      <c r="J100" s="127"/>
      <c r="K100" s="127"/>
    </row>
    <row r="101" spans="1:11" ht="18.75">
      <c r="A101" s="126"/>
      <c r="B101" s="126"/>
      <c r="C101" s="127"/>
      <c r="D101" s="127"/>
      <c r="E101" s="127"/>
      <c r="F101" s="128"/>
      <c r="G101" s="127"/>
      <c r="H101" s="127"/>
      <c r="I101" s="128"/>
      <c r="J101" s="127"/>
      <c r="K101" s="127"/>
    </row>
    <row r="102" spans="1:11" ht="18.75">
      <c r="A102" s="126"/>
      <c r="B102" s="126"/>
      <c r="C102" s="127"/>
      <c r="D102" s="127"/>
      <c r="E102" s="127"/>
      <c r="F102" s="128"/>
      <c r="G102" s="127"/>
      <c r="H102" s="127"/>
      <c r="I102" s="128"/>
      <c r="J102" s="127"/>
      <c r="K102" s="127"/>
    </row>
    <row r="103" spans="1:11" ht="18.75">
      <c r="A103" s="126"/>
      <c r="B103" s="126"/>
      <c r="C103" s="127"/>
      <c r="D103" s="127"/>
      <c r="E103" s="127"/>
      <c r="F103" s="128"/>
      <c r="G103" s="127"/>
      <c r="H103" s="127"/>
      <c r="I103" s="128"/>
      <c r="J103" s="127"/>
      <c r="K103" s="127"/>
    </row>
    <row r="104" spans="1:11" ht="18.75">
      <c r="A104" s="126"/>
      <c r="B104" s="126"/>
      <c r="C104" s="127"/>
      <c r="D104" s="127"/>
      <c r="E104" s="127"/>
      <c r="F104" s="128"/>
      <c r="G104" s="127"/>
      <c r="H104" s="127"/>
      <c r="I104" s="128"/>
      <c r="J104" s="127"/>
      <c r="K104" s="127"/>
    </row>
    <row r="105" spans="1:11" ht="18.75">
      <c r="A105" s="126"/>
      <c r="B105" s="126"/>
      <c r="C105" s="127"/>
      <c r="D105" s="127"/>
      <c r="E105" s="127"/>
      <c r="F105" s="128"/>
      <c r="G105" s="127"/>
      <c r="H105" s="127"/>
      <c r="I105" s="128"/>
      <c r="J105" s="127"/>
      <c r="K105" s="127"/>
    </row>
    <row r="106" spans="1:11" ht="18.75">
      <c r="A106" s="126"/>
      <c r="B106" s="126"/>
      <c r="C106" s="127"/>
      <c r="D106" s="127"/>
      <c r="E106" s="127"/>
      <c r="F106" s="128"/>
      <c r="G106" s="127"/>
      <c r="H106" s="127"/>
      <c r="I106" s="128"/>
      <c r="J106" s="127"/>
      <c r="K106" s="127"/>
    </row>
    <row r="107" spans="1:11" ht="18.75">
      <c r="A107" s="126"/>
      <c r="B107" s="126"/>
      <c r="C107" s="127"/>
      <c r="D107" s="127"/>
      <c r="E107" s="127"/>
      <c r="F107" s="128"/>
      <c r="G107" s="127"/>
      <c r="H107" s="127"/>
      <c r="I107" s="128"/>
      <c r="J107" s="127"/>
      <c r="K107" s="127"/>
    </row>
    <row r="108" spans="1:11" ht="18.75">
      <c r="A108" s="126"/>
      <c r="B108" s="126"/>
      <c r="C108" s="127"/>
      <c r="D108" s="127"/>
      <c r="E108" s="127"/>
      <c r="F108" s="128"/>
      <c r="G108" s="127"/>
      <c r="H108" s="127"/>
      <c r="I108" s="128"/>
      <c r="J108" s="127"/>
      <c r="K108" s="127"/>
    </row>
    <row r="109" spans="1:11" ht="18.75">
      <c r="A109" s="126"/>
      <c r="B109" s="126"/>
      <c r="C109" s="127"/>
      <c r="D109" s="127"/>
      <c r="E109" s="127"/>
      <c r="F109" s="128"/>
      <c r="G109" s="127"/>
      <c r="H109" s="127"/>
      <c r="I109" s="128"/>
      <c r="J109" s="127"/>
      <c r="K109" s="127"/>
    </row>
    <row r="110" spans="1:11" ht="18.75">
      <c r="A110" s="126"/>
      <c r="B110" s="126"/>
      <c r="C110" s="127"/>
      <c r="D110" s="127"/>
      <c r="E110" s="127"/>
      <c r="F110" s="128"/>
      <c r="G110" s="127"/>
      <c r="H110" s="127"/>
      <c r="I110" s="128"/>
      <c r="J110" s="127"/>
      <c r="K110" s="127"/>
    </row>
    <row r="111" spans="1:11" ht="18.75">
      <c r="A111" s="126"/>
      <c r="B111" s="126"/>
      <c r="C111" s="127"/>
      <c r="D111" s="127"/>
      <c r="E111" s="127"/>
      <c r="F111" s="128"/>
      <c r="G111" s="127"/>
      <c r="H111" s="127"/>
      <c r="I111" s="128"/>
      <c r="J111" s="127"/>
      <c r="K111" s="127"/>
    </row>
    <row r="112" spans="1:11" ht="18.75">
      <c r="A112" s="126"/>
      <c r="B112" s="126"/>
      <c r="C112" s="127"/>
      <c r="D112" s="127"/>
      <c r="E112" s="127"/>
      <c r="F112" s="128"/>
      <c r="G112" s="127"/>
      <c r="H112" s="127"/>
      <c r="I112" s="128"/>
      <c r="J112" s="127"/>
      <c r="K112" s="127"/>
    </row>
    <row r="113" spans="1:11" ht="18.75">
      <c r="A113" s="126"/>
      <c r="B113" s="126"/>
      <c r="C113" s="127"/>
      <c r="D113" s="127"/>
      <c r="E113" s="127"/>
      <c r="F113" s="128"/>
      <c r="G113" s="127"/>
      <c r="H113" s="127"/>
      <c r="I113" s="128"/>
      <c r="J113" s="127"/>
      <c r="K113" s="127"/>
    </row>
    <row r="114" spans="1:11" ht="18.75">
      <c r="A114" s="126"/>
      <c r="B114" s="126"/>
      <c r="C114" s="127"/>
      <c r="D114" s="127"/>
      <c r="E114" s="127"/>
      <c r="F114" s="128"/>
      <c r="G114" s="127"/>
      <c r="H114" s="127"/>
      <c r="I114" s="128"/>
      <c r="J114" s="127"/>
      <c r="K114" s="127"/>
    </row>
    <row r="115" spans="1:11" ht="18.75">
      <c r="A115" s="126"/>
      <c r="B115" s="126"/>
      <c r="C115" s="127"/>
      <c r="D115" s="127"/>
      <c r="E115" s="127"/>
      <c r="F115" s="128"/>
      <c r="G115" s="127"/>
      <c r="H115" s="127"/>
      <c r="I115" s="128"/>
      <c r="J115" s="127"/>
      <c r="K115" s="127"/>
    </row>
    <row r="116" spans="1:11" ht="18.75">
      <c r="A116" s="126"/>
      <c r="B116" s="126"/>
      <c r="C116" s="127"/>
      <c r="D116" s="127"/>
      <c r="E116" s="127"/>
      <c r="F116" s="128"/>
      <c r="G116" s="127"/>
      <c r="H116" s="127"/>
      <c r="I116" s="128"/>
      <c r="J116" s="127"/>
      <c r="K116" s="127"/>
    </row>
    <row r="117" spans="1:11" ht="18.75">
      <c r="A117" s="126"/>
      <c r="B117" s="126"/>
      <c r="C117" s="127"/>
      <c r="D117" s="127"/>
      <c r="E117" s="127"/>
      <c r="F117" s="128"/>
      <c r="G117" s="127"/>
      <c r="H117" s="127"/>
      <c r="I117" s="128"/>
      <c r="J117" s="127"/>
      <c r="K117" s="127"/>
    </row>
    <row r="118" spans="1:11" ht="18.75">
      <c r="A118" s="126"/>
      <c r="B118" s="126"/>
      <c r="C118" s="127"/>
      <c r="D118" s="127"/>
      <c r="E118" s="127"/>
      <c r="F118" s="128"/>
      <c r="G118" s="127"/>
      <c r="H118" s="127"/>
      <c r="I118" s="128"/>
      <c r="J118" s="127"/>
      <c r="K118" s="127"/>
    </row>
    <row r="119" spans="1:11" ht="18.75">
      <c r="A119" s="126"/>
      <c r="B119" s="126"/>
      <c r="C119" s="127"/>
      <c r="D119" s="127"/>
      <c r="E119" s="127"/>
      <c r="F119" s="128"/>
      <c r="G119" s="127"/>
      <c r="H119" s="127"/>
      <c r="I119" s="128"/>
      <c r="J119" s="127"/>
      <c r="K119" s="127"/>
    </row>
    <row r="120" spans="1:11" ht="18.75">
      <c r="A120" s="126"/>
      <c r="B120" s="126"/>
      <c r="C120" s="127"/>
      <c r="D120" s="127"/>
      <c r="E120" s="127"/>
      <c r="F120" s="128"/>
      <c r="G120" s="127"/>
      <c r="H120" s="127"/>
      <c r="I120" s="128"/>
      <c r="J120" s="127"/>
      <c r="K120" s="127"/>
    </row>
    <row r="121" spans="1:11" ht="18.75">
      <c r="A121" s="126"/>
      <c r="B121" s="126"/>
      <c r="C121" s="127"/>
      <c r="D121" s="127"/>
      <c r="E121" s="127"/>
      <c r="F121" s="128"/>
      <c r="G121" s="127"/>
      <c r="H121" s="127"/>
      <c r="I121" s="128"/>
      <c r="J121" s="127"/>
      <c r="K121" s="127"/>
    </row>
    <row r="122" spans="1:11" ht="18.75">
      <c r="A122" s="126"/>
      <c r="B122" s="126"/>
      <c r="C122" s="127"/>
      <c r="D122" s="127"/>
      <c r="E122" s="127"/>
      <c r="F122" s="128"/>
      <c r="G122" s="127"/>
      <c r="H122" s="127"/>
      <c r="I122" s="128"/>
      <c r="J122" s="127"/>
      <c r="K122" s="127"/>
    </row>
    <row r="123" spans="1:11" ht="18.75">
      <c r="A123" s="126"/>
      <c r="B123" s="126"/>
      <c r="C123" s="127"/>
      <c r="D123" s="127"/>
      <c r="E123" s="127"/>
      <c r="F123" s="128"/>
      <c r="G123" s="127"/>
      <c r="H123" s="127"/>
      <c r="I123" s="128"/>
      <c r="J123" s="127"/>
      <c r="K123" s="127"/>
    </row>
    <row r="124" spans="1:11" ht="18.75">
      <c r="A124" s="126"/>
      <c r="B124" s="126"/>
      <c r="C124" s="127"/>
      <c r="D124" s="127"/>
      <c r="E124" s="127"/>
      <c r="F124" s="128"/>
      <c r="G124" s="127"/>
      <c r="H124" s="127"/>
      <c r="I124" s="128"/>
      <c r="J124" s="127"/>
      <c r="K124" s="127"/>
    </row>
    <row r="125" spans="1:11" ht="18.75">
      <c r="A125" s="126"/>
      <c r="B125" s="126"/>
      <c r="C125" s="127"/>
      <c r="D125" s="127"/>
      <c r="E125" s="127"/>
      <c r="F125" s="128"/>
      <c r="G125" s="127"/>
      <c r="H125" s="127"/>
      <c r="I125" s="128"/>
      <c r="J125" s="127"/>
      <c r="K125" s="127"/>
    </row>
    <row r="126" spans="1:11" ht="18.75">
      <c r="A126" s="126"/>
      <c r="B126" s="126"/>
      <c r="C126" s="127"/>
      <c r="D126" s="127"/>
      <c r="E126" s="127"/>
      <c r="F126" s="128"/>
      <c r="G126" s="127"/>
      <c r="H126" s="127"/>
      <c r="I126" s="128"/>
      <c r="J126" s="127"/>
      <c r="K126" s="127"/>
    </row>
    <row r="127" spans="1:11" ht="18.75">
      <c r="A127" s="126"/>
      <c r="B127" s="126"/>
      <c r="C127" s="127"/>
      <c r="D127" s="127"/>
      <c r="E127" s="127"/>
      <c r="F127" s="128"/>
      <c r="G127" s="127"/>
      <c r="H127" s="127"/>
      <c r="I127" s="128"/>
      <c r="J127" s="127"/>
      <c r="K127" s="127"/>
    </row>
    <row r="128" spans="1:11" ht="18.75">
      <c r="A128" s="126"/>
      <c r="B128" s="126"/>
      <c r="C128" s="127"/>
      <c r="D128" s="127"/>
      <c r="E128" s="127"/>
      <c r="F128" s="128"/>
      <c r="G128" s="127"/>
      <c r="H128" s="127"/>
      <c r="I128" s="128"/>
      <c r="J128" s="127"/>
      <c r="K128" s="127"/>
    </row>
    <row r="129" spans="1:11" ht="18.75">
      <c r="A129" s="126"/>
      <c r="B129" s="126"/>
      <c r="C129" s="127"/>
      <c r="D129" s="127"/>
      <c r="E129" s="127"/>
      <c r="F129" s="128"/>
      <c r="G129" s="127"/>
      <c r="H129" s="127"/>
      <c r="I129" s="128"/>
      <c r="J129" s="127"/>
      <c r="K129" s="127"/>
    </row>
    <row r="130" spans="1:11" ht="18.75">
      <c r="A130" s="126"/>
      <c r="B130" s="126"/>
      <c r="C130" s="127"/>
      <c r="D130" s="127"/>
      <c r="E130" s="127"/>
      <c r="F130" s="128"/>
      <c r="G130" s="127"/>
      <c r="H130" s="127"/>
      <c r="I130" s="128"/>
      <c r="J130" s="127"/>
      <c r="K130" s="127"/>
    </row>
    <row r="131" spans="1:11" ht="18.75">
      <c r="A131" s="126"/>
      <c r="B131" s="126"/>
      <c r="C131" s="127"/>
      <c r="D131" s="127"/>
      <c r="E131" s="127"/>
      <c r="F131" s="128"/>
      <c r="G131" s="127"/>
      <c r="H131" s="127"/>
      <c r="I131" s="128"/>
      <c r="J131" s="127"/>
      <c r="K131" s="127"/>
    </row>
    <row r="132" spans="1:11" ht="18.75">
      <c r="A132" s="126"/>
      <c r="B132" s="126"/>
      <c r="C132" s="127"/>
      <c r="D132" s="127"/>
      <c r="E132" s="127"/>
      <c r="F132" s="128"/>
      <c r="G132" s="127"/>
      <c r="H132" s="127"/>
      <c r="I132" s="128"/>
      <c r="J132" s="127"/>
      <c r="K132" s="127"/>
    </row>
    <row r="133" spans="1:11" ht="18.75">
      <c r="A133" s="126"/>
      <c r="B133" s="126"/>
      <c r="C133" s="127"/>
      <c r="D133" s="127"/>
      <c r="E133" s="127"/>
      <c r="F133" s="128"/>
      <c r="G133" s="127"/>
      <c r="H133" s="127"/>
      <c r="I133" s="128"/>
      <c r="J133" s="127"/>
      <c r="K133" s="127"/>
    </row>
    <row r="134" spans="1:11" ht="18.75">
      <c r="A134" s="126"/>
      <c r="B134" s="126"/>
      <c r="C134" s="127"/>
      <c r="D134" s="127"/>
      <c r="E134" s="127"/>
      <c r="F134" s="128"/>
      <c r="G134" s="127"/>
      <c r="H134" s="127"/>
      <c r="I134" s="128"/>
      <c r="J134" s="127"/>
      <c r="K134" s="127"/>
    </row>
    <row r="135" spans="1:11" ht="18.75">
      <c r="A135" s="126"/>
      <c r="B135" s="126"/>
      <c r="C135" s="127"/>
      <c r="D135" s="127"/>
      <c r="E135" s="127"/>
      <c r="F135" s="128"/>
      <c r="G135" s="127"/>
      <c r="H135" s="127"/>
      <c r="I135" s="128"/>
      <c r="J135" s="127"/>
      <c r="K135" s="127"/>
    </row>
    <row r="136" spans="1:11" ht="18.75">
      <c r="A136" s="126"/>
      <c r="B136" s="126"/>
      <c r="C136" s="127"/>
      <c r="D136" s="127"/>
      <c r="E136" s="127"/>
      <c r="F136" s="128"/>
      <c r="G136" s="127"/>
      <c r="H136" s="127"/>
      <c r="I136" s="128"/>
      <c r="J136" s="127"/>
      <c r="K136" s="127"/>
    </row>
    <row r="137" spans="1:11" ht="18.75">
      <c r="A137" s="126"/>
      <c r="B137" s="126"/>
      <c r="C137" s="127"/>
      <c r="D137" s="127"/>
      <c r="E137" s="127"/>
      <c r="F137" s="128"/>
      <c r="G137" s="127"/>
      <c r="H137" s="127"/>
      <c r="I137" s="128"/>
      <c r="J137" s="127"/>
      <c r="K137" s="127"/>
    </row>
    <row r="138" spans="1:11" ht="18.75">
      <c r="A138" s="126"/>
      <c r="B138" s="126"/>
      <c r="C138" s="127"/>
      <c r="D138" s="127"/>
      <c r="E138" s="127"/>
      <c r="F138" s="128"/>
      <c r="G138" s="127"/>
      <c r="H138" s="127"/>
      <c r="I138" s="128"/>
      <c r="J138" s="127"/>
      <c r="K138" s="127"/>
    </row>
    <row r="139" spans="1:11" ht="18.75">
      <c r="A139" s="126"/>
      <c r="B139" s="126"/>
      <c r="C139" s="127"/>
      <c r="D139" s="127"/>
      <c r="E139" s="127"/>
      <c r="F139" s="128"/>
      <c r="G139" s="127"/>
      <c r="H139" s="127"/>
      <c r="I139" s="128"/>
      <c r="J139" s="127"/>
      <c r="K139" s="127"/>
    </row>
    <row r="140" spans="1:11" ht="18.75">
      <c r="A140" s="126"/>
      <c r="B140" s="126"/>
      <c r="C140" s="127"/>
      <c r="D140" s="127"/>
      <c r="E140" s="127"/>
      <c r="F140" s="128"/>
      <c r="G140" s="127"/>
      <c r="H140" s="127"/>
      <c r="I140" s="128"/>
      <c r="J140" s="127"/>
      <c r="K140" s="127"/>
    </row>
    <row r="141" spans="1:11" ht="18.75">
      <c r="A141" s="126"/>
      <c r="B141" s="126"/>
      <c r="C141" s="127"/>
      <c r="D141" s="127"/>
      <c r="E141" s="127"/>
      <c r="F141" s="128"/>
      <c r="G141" s="127"/>
      <c r="H141" s="127"/>
      <c r="I141" s="128"/>
      <c r="J141" s="127"/>
      <c r="K141" s="127"/>
    </row>
    <row r="142" spans="1:11" ht="18.75">
      <c r="A142" s="126"/>
      <c r="B142" s="126"/>
      <c r="C142" s="127"/>
      <c r="D142" s="127"/>
      <c r="E142" s="127"/>
      <c r="F142" s="128"/>
      <c r="G142" s="127"/>
      <c r="H142" s="127"/>
      <c r="I142" s="128"/>
      <c r="J142" s="127"/>
      <c r="K142" s="127"/>
    </row>
    <row r="143" spans="1:11" ht="18.75">
      <c r="A143" s="126"/>
      <c r="B143" s="126"/>
      <c r="C143" s="127"/>
      <c r="D143" s="127"/>
      <c r="E143" s="127"/>
      <c r="F143" s="128"/>
      <c r="G143" s="127"/>
      <c r="H143" s="127"/>
      <c r="I143" s="128"/>
      <c r="J143" s="127"/>
      <c r="K143" s="127"/>
    </row>
    <row r="144" spans="1:11" ht="18.75">
      <c r="A144" s="126"/>
      <c r="B144" s="126"/>
      <c r="C144" s="127"/>
      <c r="D144" s="127"/>
      <c r="E144" s="127"/>
      <c r="F144" s="128"/>
      <c r="G144" s="127"/>
      <c r="H144" s="127"/>
      <c r="I144" s="128"/>
      <c r="J144" s="127"/>
      <c r="K144" s="127"/>
    </row>
    <row r="145" spans="1:11" ht="18.75">
      <c r="A145" s="126"/>
      <c r="B145" s="126"/>
      <c r="C145" s="127"/>
      <c r="D145" s="127"/>
      <c r="E145" s="127"/>
      <c r="F145" s="128"/>
      <c r="G145" s="127"/>
      <c r="H145" s="127"/>
      <c r="I145" s="128"/>
      <c r="J145" s="127"/>
      <c r="K145" s="127"/>
    </row>
    <row r="146" spans="1:11" ht="18.75">
      <c r="A146" s="126"/>
      <c r="B146" s="126"/>
      <c r="C146" s="127"/>
      <c r="D146" s="127"/>
      <c r="E146" s="127"/>
      <c r="F146" s="128"/>
      <c r="G146" s="127"/>
      <c r="H146" s="127"/>
      <c r="I146" s="128"/>
      <c r="J146" s="127"/>
      <c r="K146" s="127"/>
    </row>
    <row r="147" spans="1:11" ht="18.75">
      <c r="A147" s="126"/>
      <c r="B147" s="126"/>
      <c r="C147" s="127"/>
      <c r="D147" s="127"/>
      <c r="E147" s="127"/>
      <c r="F147" s="128"/>
      <c r="G147" s="127"/>
      <c r="H147" s="127"/>
      <c r="I147" s="128"/>
      <c r="J147" s="127"/>
      <c r="K147" s="127"/>
    </row>
    <row r="148" spans="1:11" ht="18.75">
      <c r="A148" s="126"/>
      <c r="B148" s="126"/>
      <c r="C148" s="127"/>
      <c r="D148" s="127"/>
      <c r="E148" s="127"/>
      <c r="F148" s="128"/>
      <c r="G148" s="127"/>
      <c r="H148" s="127"/>
      <c r="I148" s="128"/>
      <c r="J148" s="127"/>
      <c r="K148" s="127"/>
    </row>
    <row r="149" spans="1:11" ht="18.75">
      <c r="A149" s="126"/>
      <c r="B149" s="126"/>
      <c r="C149" s="127"/>
      <c r="D149" s="127"/>
      <c r="E149" s="127"/>
      <c r="F149" s="128"/>
      <c r="G149" s="127"/>
      <c r="H149" s="127"/>
      <c r="I149" s="128"/>
      <c r="J149" s="127"/>
      <c r="K149" s="127"/>
    </row>
    <row r="150" spans="1:11" ht="18.75">
      <c r="A150" s="126"/>
      <c r="B150" s="126"/>
      <c r="C150" s="127"/>
      <c r="D150" s="127"/>
      <c r="E150" s="127"/>
      <c r="F150" s="128"/>
      <c r="G150" s="127"/>
      <c r="H150" s="127"/>
      <c r="I150" s="128"/>
      <c r="J150" s="127"/>
      <c r="K150" s="127"/>
    </row>
    <row r="151" spans="1:11" ht="18.75">
      <c r="A151" s="126"/>
      <c r="B151" s="126"/>
      <c r="C151" s="127"/>
      <c r="D151" s="127"/>
      <c r="E151" s="127"/>
      <c r="F151" s="128"/>
      <c r="G151" s="127"/>
      <c r="H151" s="127"/>
      <c r="I151" s="128"/>
      <c r="J151" s="127"/>
      <c r="K151" s="127"/>
    </row>
    <row r="152" spans="1:11" ht="18.75">
      <c r="A152" s="126"/>
      <c r="B152" s="126"/>
      <c r="C152" s="127"/>
      <c r="D152" s="127"/>
      <c r="E152" s="127"/>
      <c r="F152" s="128"/>
      <c r="G152" s="127"/>
      <c r="H152" s="127"/>
      <c r="I152" s="128"/>
      <c r="J152" s="127"/>
      <c r="K152" s="127"/>
    </row>
    <row r="153" spans="1:11" ht="18.75">
      <c r="A153" s="126"/>
      <c r="B153" s="126"/>
      <c r="C153" s="127"/>
      <c r="D153" s="127"/>
      <c r="E153" s="127"/>
      <c r="F153" s="128"/>
      <c r="G153" s="127"/>
      <c r="H153" s="127"/>
      <c r="I153" s="128"/>
      <c r="J153" s="127"/>
      <c r="K153" s="127"/>
    </row>
    <row r="154" spans="1:11" ht="18.75">
      <c r="A154" s="126"/>
      <c r="B154" s="126"/>
      <c r="C154" s="127"/>
      <c r="D154" s="127"/>
      <c r="E154" s="127"/>
      <c r="F154" s="128"/>
      <c r="G154" s="127"/>
      <c r="H154" s="127"/>
      <c r="I154" s="128"/>
      <c r="J154" s="127"/>
      <c r="K154" s="127"/>
    </row>
    <row r="155" spans="1:11" ht="18.75">
      <c r="A155" s="126"/>
      <c r="B155" s="126"/>
      <c r="C155" s="127"/>
      <c r="D155" s="127"/>
      <c r="E155" s="127"/>
      <c r="F155" s="128"/>
      <c r="G155" s="127"/>
      <c r="H155" s="127"/>
      <c r="I155" s="128"/>
      <c r="J155" s="127"/>
      <c r="K155" s="127"/>
    </row>
    <row r="156" spans="1:11" ht="18.75">
      <c r="A156" s="126"/>
      <c r="B156" s="126"/>
      <c r="C156" s="127"/>
      <c r="D156" s="127"/>
      <c r="E156" s="127"/>
      <c r="F156" s="128"/>
      <c r="G156" s="127"/>
      <c r="H156" s="127"/>
      <c r="I156" s="128"/>
      <c r="J156" s="127"/>
      <c r="K156" s="127"/>
    </row>
    <row r="157" spans="1:11" ht="18.75">
      <c r="A157" s="126"/>
      <c r="B157" s="126"/>
      <c r="C157" s="127"/>
      <c r="D157" s="127"/>
      <c r="E157" s="127"/>
      <c r="F157" s="128"/>
      <c r="G157" s="127"/>
      <c r="H157" s="127"/>
      <c r="I157" s="128"/>
      <c r="J157" s="127"/>
      <c r="K157" s="127"/>
    </row>
    <row r="158" spans="1:11" ht="18.75">
      <c r="A158" s="126"/>
      <c r="B158" s="126"/>
      <c r="C158" s="127"/>
      <c r="D158" s="127"/>
      <c r="E158" s="127"/>
      <c r="F158" s="128"/>
      <c r="G158" s="127"/>
      <c r="H158" s="127"/>
      <c r="I158" s="128"/>
      <c r="J158" s="127"/>
      <c r="K158" s="127"/>
    </row>
    <row r="159" spans="1:11" ht="18.75">
      <c r="A159" s="126"/>
      <c r="B159" s="126"/>
      <c r="C159" s="127"/>
      <c r="D159" s="127"/>
      <c r="E159" s="127"/>
      <c r="F159" s="128"/>
      <c r="G159" s="127"/>
      <c r="H159" s="127"/>
      <c r="I159" s="128"/>
      <c r="J159" s="127"/>
      <c r="K159" s="127"/>
    </row>
    <row r="160" spans="1:11" ht="18.75">
      <c r="A160" s="126"/>
      <c r="B160" s="126"/>
      <c r="C160" s="127"/>
      <c r="D160" s="127"/>
      <c r="E160" s="127"/>
      <c r="F160" s="128"/>
      <c r="G160" s="127"/>
      <c r="H160" s="127"/>
      <c r="I160" s="128"/>
      <c r="J160" s="127"/>
      <c r="K160" s="127"/>
    </row>
    <row r="161" spans="1:11" ht="18.75">
      <c r="A161" s="126"/>
      <c r="B161" s="126"/>
      <c r="C161" s="127"/>
      <c r="D161" s="127"/>
      <c r="E161" s="127"/>
      <c r="F161" s="128"/>
      <c r="G161" s="127"/>
      <c r="H161" s="127"/>
      <c r="I161" s="128"/>
      <c r="J161" s="127"/>
      <c r="K161" s="127"/>
    </row>
    <row r="162" spans="1:11" ht="18.75">
      <c r="A162" s="126"/>
      <c r="B162" s="126"/>
      <c r="C162" s="127"/>
      <c r="D162" s="127"/>
      <c r="E162" s="127"/>
      <c r="F162" s="128"/>
      <c r="G162" s="127"/>
      <c r="H162" s="127"/>
      <c r="I162" s="128"/>
      <c r="J162" s="127"/>
      <c r="K162" s="127"/>
    </row>
    <row r="163" spans="1:11" ht="18.75">
      <c r="A163" s="126"/>
      <c r="B163" s="126"/>
      <c r="C163" s="127"/>
      <c r="D163" s="127"/>
      <c r="E163" s="127"/>
      <c r="F163" s="128"/>
      <c r="G163" s="127"/>
      <c r="H163" s="127"/>
      <c r="I163" s="128"/>
      <c r="J163" s="127"/>
      <c r="K163" s="127"/>
    </row>
    <row r="164" spans="1:11" ht="18.75">
      <c r="A164" s="126"/>
      <c r="B164" s="126"/>
      <c r="C164" s="127"/>
      <c r="D164" s="127"/>
      <c r="E164" s="127"/>
      <c r="F164" s="128"/>
      <c r="G164" s="127"/>
      <c r="H164" s="127"/>
      <c r="I164" s="128"/>
      <c r="J164" s="127"/>
      <c r="K164" s="127"/>
    </row>
    <row r="165" spans="1:11" ht="18.75">
      <c r="A165" s="126"/>
      <c r="B165" s="126"/>
      <c r="C165" s="127"/>
      <c r="D165" s="127"/>
      <c r="E165" s="127"/>
      <c r="F165" s="128"/>
      <c r="G165" s="127"/>
      <c r="H165" s="127"/>
      <c r="I165" s="128"/>
      <c r="J165" s="127"/>
      <c r="K165" s="127"/>
    </row>
    <row r="166" spans="1:11" ht="18.75">
      <c r="A166" s="126"/>
      <c r="B166" s="126"/>
      <c r="C166" s="127"/>
      <c r="D166" s="127"/>
      <c r="E166" s="127"/>
      <c r="F166" s="128"/>
      <c r="G166" s="127"/>
      <c r="H166" s="127"/>
      <c r="I166" s="128"/>
      <c r="J166" s="127"/>
      <c r="K166" s="127"/>
    </row>
    <row r="167" spans="1:11" ht="18.75">
      <c r="A167" s="126"/>
      <c r="B167" s="126"/>
      <c r="C167" s="127"/>
      <c r="D167" s="127"/>
      <c r="E167" s="127"/>
      <c r="F167" s="128"/>
      <c r="G167" s="127"/>
      <c r="H167" s="127"/>
      <c r="I167" s="128"/>
      <c r="J167" s="127"/>
      <c r="K167" s="127"/>
    </row>
    <row r="168" spans="1:11" ht="18.75">
      <c r="A168" s="126"/>
      <c r="B168" s="126"/>
      <c r="C168" s="127"/>
      <c r="D168" s="127"/>
      <c r="E168" s="127"/>
      <c r="F168" s="128"/>
      <c r="G168" s="127"/>
      <c r="H168" s="127"/>
      <c r="I168" s="128"/>
      <c r="J168" s="127"/>
      <c r="K168" s="127"/>
    </row>
    <row r="169" spans="1:11" ht="18.75">
      <c r="A169" s="126"/>
      <c r="B169" s="126"/>
      <c r="C169" s="127"/>
      <c r="D169" s="127"/>
      <c r="E169" s="127"/>
      <c r="F169" s="128"/>
      <c r="G169" s="127"/>
      <c r="H169" s="127"/>
      <c r="I169" s="128"/>
      <c r="J169" s="127"/>
      <c r="K169" s="127"/>
    </row>
    <row r="170" spans="1:11" ht="18.75">
      <c r="A170" s="126"/>
      <c r="B170" s="126"/>
      <c r="C170" s="127"/>
      <c r="D170" s="127"/>
      <c r="E170" s="127"/>
      <c r="F170" s="128"/>
      <c r="G170" s="127"/>
      <c r="H170" s="127"/>
      <c r="I170" s="128"/>
      <c r="J170" s="127"/>
      <c r="K170" s="127"/>
    </row>
    <row r="171" spans="1:11" ht="18.75">
      <c r="A171" s="126"/>
      <c r="B171" s="126"/>
      <c r="C171" s="127"/>
      <c r="D171" s="127"/>
      <c r="E171" s="127"/>
      <c r="F171" s="128"/>
      <c r="G171" s="127"/>
      <c r="H171" s="127"/>
      <c r="I171" s="128"/>
      <c r="J171" s="127"/>
      <c r="K171" s="127"/>
    </row>
    <row r="172" spans="1:11" ht="18.75">
      <c r="A172" s="126"/>
      <c r="B172" s="126"/>
      <c r="C172" s="127"/>
      <c r="D172" s="127"/>
      <c r="E172" s="127"/>
      <c r="F172" s="128"/>
      <c r="G172" s="127"/>
      <c r="H172" s="127"/>
      <c r="I172" s="128"/>
      <c r="J172" s="127"/>
      <c r="K172" s="127"/>
    </row>
    <row r="173" spans="1:11" ht="18.75">
      <c r="A173" s="126"/>
      <c r="B173" s="126"/>
      <c r="C173" s="127"/>
      <c r="D173" s="127"/>
      <c r="E173" s="127"/>
      <c r="F173" s="128"/>
      <c r="G173" s="127"/>
      <c r="H173" s="127"/>
      <c r="I173" s="128"/>
      <c r="J173" s="127"/>
      <c r="K173" s="127"/>
    </row>
    <row r="174" spans="1:11" ht="18.75">
      <c r="A174" s="126"/>
      <c r="B174" s="126"/>
      <c r="C174" s="127"/>
      <c r="D174" s="127"/>
      <c r="E174" s="127"/>
      <c r="F174" s="128"/>
      <c r="G174" s="127"/>
      <c r="H174" s="127"/>
      <c r="I174" s="128"/>
      <c r="J174" s="127"/>
      <c r="K174" s="127"/>
    </row>
    <row r="175" spans="1:11" ht="18.75">
      <c r="A175" s="126"/>
      <c r="B175" s="126"/>
      <c r="C175" s="127"/>
      <c r="D175" s="127"/>
      <c r="E175" s="127"/>
      <c r="F175" s="128"/>
      <c r="G175" s="127"/>
      <c r="H175" s="127"/>
      <c r="I175" s="128"/>
      <c r="J175" s="127"/>
      <c r="K175" s="127"/>
    </row>
    <row r="176" spans="1:11" ht="18.75">
      <c r="A176" s="126"/>
      <c r="B176" s="126"/>
      <c r="C176" s="127"/>
      <c r="D176" s="127"/>
      <c r="E176" s="127"/>
      <c r="F176" s="128"/>
      <c r="G176" s="127"/>
      <c r="H176" s="127"/>
      <c r="I176" s="128"/>
      <c r="J176" s="127"/>
      <c r="K176" s="127"/>
    </row>
    <row r="177" spans="1:11" ht="18.75">
      <c r="A177" s="126"/>
      <c r="B177" s="126"/>
      <c r="C177" s="127"/>
      <c r="D177" s="127"/>
      <c r="E177" s="127"/>
      <c r="F177" s="128"/>
      <c r="G177" s="127"/>
      <c r="H177" s="127"/>
      <c r="I177" s="128"/>
      <c r="J177" s="127"/>
      <c r="K177" s="127"/>
    </row>
    <row r="178" spans="1:11" ht="18.75">
      <c r="A178" s="126"/>
      <c r="B178" s="126"/>
      <c r="C178" s="127"/>
      <c r="D178" s="127"/>
      <c r="E178" s="127"/>
      <c r="F178" s="128"/>
      <c r="G178" s="127"/>
      <c r="H178" s="127"/>
      <c r="I178" s="128"/>
      <c r="J178" s="127"/>
      <c r="K178" s="127"/>
    </row>
    <row r="179" spans="1:11" ht="18.75">
      <c r="A179" s="126"/>
      <c r="B179" s="126"/>
      <c r="C179" s="127"/>
      <c r="D179" s="127"/>
      <c r="E179" s="127"/>
      <c r="F179" s="128"/>
      <c r="G179" s="127"/>
      <c r="H179" s="127"/>
      <c r="I179" s="128"/>
      <c r="J179" s="127"/>
      <c r="K179" s="127"/>
    </row>
    <row r="180" spans="1:11" ht="18.75">
      <c r="A180" s="126"/>
      <c r="B180" s="126"/>
      <c r="C180" s="127"/>
      <c r="D180" s="127"/>
      <c r="E180" s="127"/>
      <c r="F180" s="128"/>
      <c r="G180" s="127"/>
      <c r="H180" s="127"/>
      <c r="I180" s="128"/>
      <c r="J180" s="127"/>
      <c r="K180" s="127"/>
    </row>
    <row r="181" spans="1:11" ht="18.75">
      <c r="A181" s="126"/>
      <c r="B181" s="126"/>
      <c r="C181" s="127"/>
      <c r="D181" s="127"/>
      <c r="E181" s="127"/>
      <c r="F181" s="128"/>
      <c r="G181" s="127"/>
      <c r="H181" s="127"/>
      <c r="I181" s="128"/>
      <c r="J181" s="127"/>
      <c r="K181" s="127"/>
    </row>
    <row r="182" spans="1:11" ht="18.75">
      <c r="A182" s="126"/>
      <c r="B182" s="126"/>
      <c r="C182" s="127"/>
      <c r="D182" s="127"/>
      <c r="E182" s="127"/>
      <c r="F182" s="128"/>
      <c r="G182" s="127"/>
      <c r="H182" s="127"/>
      <c r="I182" s="128"/>
      <c r="J182" s="127"/>
      <c r="K182" s="127"/>
    </row>
    <row r="183" spans="1:11" ht="18.75">
      <c r="A183" s="126"/>
      <c r="B183" s="126"/>
      <c r="C183" s="127"/>
      <c r="D183" s="127"/>
      <c r="E183" s="127"/>
      <c r="F183" s="128"/>
      <c r="G183" s="127"/>
      <c r="H183" s="127"/>
      <c r="I183" s="128"/>
      <c r="J183" s="127"/>
      <c r="K183" s="127"/>
    </row>
    <row r="184" spans="1:11" ht="18.75">
      <c r="A184" s="126"/>
      <c r="B184" s="126"/>
      <c r="C184" s="127"/>
      <c r="D184" s="127"/>
      <c r="E184" s="127"/>
      <c r="F184" s="128"/>
      <c r="G184" s="127"/>
      <c r="H184" s="127"/>
      <c r="I184" s="128"/>
      <c r="J184" s="127"/>
      <c r="K184" s="127"/>
    </row>
    <row r="185" spans="1:11" ht="18.75">
      <c r="A185" s="126"/>
      <c r="B185" s="126"/>
      <c r="C185" s="127"/>
      <c r="D185" s="127"/>
      <c r="E185" s="127"/>
      <c r="F185" s="128"/>
      <c r="G185" s="127"/>
      <c r="H185" s="127"/>
      <c r="I185" s="128"/>
      <c r="J185" s="127"/>
      <c r="K185" s="127"/>
    </row>
    <row r="186" spans="1:11" ht="18.75">
      <c r="A186" s="126"/>
      <c r="B186" s="126"/>
      <c r="C186" s="127"/>
      <c r="D186" s="127"/>
      <c r="E186" s="127"/>
      <c r="F186" s="128"/>
      <c r="G186" s="127"/>
      <c r="H186" s="127"/>
      <c r="I186" s="128"/>
      <c r="J186" s="127"/>
      <c r="K186" s="127"/>
    </row>
    <row r="187" spans="1:11" ht="18.75">
      <c r="A187" s="126"/>
      <c r="B187" s="126"/>
      <c r="C187" s="127"/>
      <c r="D187" s="127"/>
      <c r="E187" s="127"/>
      <c r="F187" s="128"/>
      <c r="G187" s="127"/>
      <c r="H187" s="127"/>
      <c r="I187" s="128"/>
      <c r="J187" s="127"/>
      <c r="K187" s="127"/>
    </row>
    <row r="188" spans="1:11" ht="18.75">
      <c r="A188" s="126"/>
      <c r="B188" s="126"/>
      <c r="C188" s="127"/>
      <c r="D188" s="127"/>
      <c r="E188" s="127"/>
      <c r="F188" s="128"/>
      <c r="G188" s="127"/>
      <c r="H188" s="127"/>
      <c r="I188" s="128"/>
      <c r="J188" s="127"/>
      <c r="K188" s="127"/>
    </row>
    <row r="189" spans="1:11" ht="18.75">
      <c r="A189" s="126"/>
      <c r="B189" s="126"/>
      <c r="C189" s="127"/>
      <c r="D189" s="127"/>
      <c r="E189" s="127"/>
      <c r="F189" s="128"/>
      <c r="G189" s="127"/>
      <c r="H189" s="127"/>
      <c r="I189" s="128"/>
      <c r="J189" s="127"/>
      <c r="K189" s="127"/>
    </row>
    <row r="190" spans="1:11" ht="18.75">
      <c r="A190" s="126"/>
      <c r="B190" s="126"/>
      <c r="C190" s="127"/>
      <c r="D190" s="127"/>
      <c r="E190" s="127"/>
      <c r="F190" s="128"/>
      <c r="G190" s="127"/>
      <c r="H190" s="127"/>
      <c r="I190" s="128"/>
      <c r="J190" s="127"/>
      <c r="K190" s="127"/>
    </row>
    <row r="191" spans="1:11" ht="18.75">
      <c r="A191" s="126"/>
      <c r="B191" s="126"/>
      <c r="C191" s="127"/>
      <c r="D191" s="127"/>
      <c r="E191" s="127"/>
      <c r="F191" s="128"/>
      <c r="G191" s="127"/>
      <c r="H191" s="127"/>
      <c r="I191" s="128"/>
      <c r="J191" s="127"/>
      <c r="K191" s="127"/>
    </row>
    <row r="192" spans="1:11" ht="18.75">
      <c r="A192" s="126"/>
      <c r="B192" s="126"/>
      <c r="C192" s="127"/>
      <c r="D192" s="127"/>
      <c r="E192" s="127"/>
      <c r="F192" s="128"/>
      <c r="G192" s="127"/>
      <c r="H192" s="127"/>
      <c r="I192" s="128"/>
      <c r="J192" s="127"/>
      <c r="K192" s="127"/>
    </row>
    <row r="193" spans="1:11" ht="18.75">
      <c r="A193" s="126"/>
      <c r="B193" s="126"/>
      <c r="C193" s="127"/>
      <c r="D193" s="127"/>
      <c r="E193" s="127"/>
      <c r="F193" s="128"/>
      <c r="G193" s="127"/>
      <c r="H193" s="127"/>
      <c r="I193" s="128"/>
      <c r="J193" s="127"/>
      <c r="K193" s="127"/>
    </row>
    <row r="194" spans="1:11" ht="18.75">
      <c r="A194" s="126"/>
      <c r="B194" s="126"/>
      <c r="C194" s="127"/>
      <c r="D194" s="127"/>
      <c r="E194" s="127"/>
      <c r="F194" s="128"/>
      <c r="G194" s="127"/>
      <c r="H194" s="127"/>
      <c r="I194" s="128"/>
      <c r="J194" s="127"/>
      <c r="K194" s="127"/>
    </row>
    <row r="195" spans="1:11" ht="18.75">
      <c r="A195" s="126"/>
      <c r="B195" s="126"/>
      <c r="C195" s="127"/>
      <c r="D195" s="127"/>
      <c r="E195" s="127"/>
      <c r="F195" s="128"/>
      <c r="G195" s="127"/>
      <c r="H195" s="127"/>
      <c r="I195" s="128"/>
      <c r="J195" s="127"/>
      <c r="K195" s="127"/>
    </row>
    <row r="196" spans="1:11" ht="18.75">
      <c r="A196" s="126"/>
      <c r="B196" s="126"/>
      <c r="C196" s="127"/>
      <c r="D196" s="127"/>
      <c r="E196" s="127"/>
      <c r="F196" s="128"/>
      <c r="G196" s="127"/>
      <c r="H196" s="127"/>
      <c r="I196" s="128"/>
      <c r="J196" s="127"/>
      <c r="K196" s="127"/>
    </row>
    <row r="197" spans="1:11" ht="18.75">
      <c r="A197" s="126"/>
      <c r="B197" s="126"/>
      <c r="C197" s="127"/>
      <c r="D197" s="127"/>
      <c r="E197" s="127"/>
      <c r="F197" s="128"/>
      <c r="G197" s="127"/>
      <c r="H197" s="127"/>
      <c r="I197" s="128"/>
      <c r="J197" s="127"/>
      <c r="K197" s="127"/>
    </row>
    <row r="198" spans="1:11" ht="18.75">
      <c r="A198" s="126"/>
      <c r="B198" s="126"/>
      <c r="C198" s="127"/>
      <c r="D198" s="127"/>
      <c r="E198" s="127"/>
      <c r="F198" s="128"/>
      <c r="G198" s="127"/>
      <c r="H198" s="127"/>
      <c r="I198" s="128"/>
      <c r="J198" s="127"/>
      <c r="K198" s="127"/>
    </row>
    <row r="199" spans="1:11" ht="18.75">
      <c r="A199" s="126"/>
      <c r="B199" s="126"/>
      <c r="C199" s="127"/>
      <c r="D199" s="127"/>
      <c r="E199" s="127"/>
      <c r="F199" s="128"/>
      <c r="G199" s="127"/>
      <c r="H199" s="127"/>
      <c r="I199" s="128"/>
      <c r="J199" s="127"/>
      <c r="K199" s="127"/>
    </row>
    <row r="200" spans="1:11" ht="18.75">
      <c r="A200" s="126"/>
      <c r="B200" s="126"/>
      <c r="C200" s="127"/>
      <c r="D200" s="127"/>
      <c r="E200" s="127"/>
      <c r="F200" s="128"/>
      <c r="G200" s="127"/>
      <c r="H200" s="127"/>
      <c r="I200" s="128"/>
      <c r="J200" s="127"/>
      <c r="K200" s="127"/>
    </row>
    <row r="201" spans="1:11" ht="18.75">
      <c r="A201" s="126"/>
      <c r="B201" s="126"/>
      <c r="C201" s="127"/>
      <c r="D201" s="127"/>
      <c r="E201" s="127"/>
      <c r="F201" s="128"/>
      <c r="G201" s="127"/>
      <c r="H201" s="127"/>
      <c r="I201" s="128"/>
      <c r="J201" s="127"/>
      <c r="K201" s="127"/>
    </row>
    <row r="202" spans="1:11" ht="18.75">
      <c r="A202" s="126"/>
      <c r="B202" s="126"/>
      <c r="C202" s="127"/>
      <c r="D202" s="127"/>
      <c r="E202" s="127"/>
      <c r="F202" s="128"/>
      <c r="G202" s="127"/>
      <c r="H202" s="127"/>
      <c r="I202" s="128"/>
      <c r="J202" s="127"/>
      <c r="K202" s="127"/>
    </row>
    <row r="203" spans="1:11" ht="18.75">
      <c r="A203" s="126"/>
      <c r="B203" s="126"/>
      <c r="C203" s="127"/>
      <c r="D203" s="127"/>
      <c r="E203" s="127"/>
      <c r="F203" s="128"/>
      <c r="G203" s="127"/>
      <c r="H203" s="127"/>
      <c r="I203" s="128"/>
      <c r="J203" s="127"/>
      <c r="K203" s="127"/>
    </row>
    <row r="204" spans="1:11" ht="18.75">
      <c r="A204" s="126"/>
      <c r="B204" s="126"/>
      <c r="C204" s="127"/>
      <c r="D204" s="127"/>
      <c r="E204" s="127"/>
      <c r="F204" s="128"/>
      <c r="G204" s="127"/>
      <c r="H204" s="127"/>
      <c r="I204" s="128"/>
      <c r="J204" s="127"/>
      <c r="K204" s="127"/>
    </row>
    <row r="205" spans="1:11" ht="18.75">
      <c r="A205" s="126"/>
      <c r="B205" s="126"/>
      <c r="C205" s="127"/>
      <c r="D205" s="127"/>
      <c r="E205" s="127"/>
      <c r="F205" s="128"/>
      <c r="G205" s="127"/>
      <c r="H205" s="127"/>
      <c r="I205" s="128"/>
      <c r="J205" s="127"/>
      <c r="K205" s="127"/>
    </row>
    <row r="206" spans="1:11" ht="18.75">
      <c r="A206" s="126"/>
      <c r="B206" s="126"/>
      <c r="C206" s="127"/>
      <c r="D206" s="127"/>
      <c r="E206" s="127"/>
      <c r="F206" s="128"/>
      <c r="G206" s="127"/>
      <c r="H206" s="127"/>
      <c r="I206" s="128"/>
      <c r="J206" s="127"/>
      <c r="K206" s="127"/>
    </row>
    <row r="207" spans="1:11" ht="18.75">
      <c r="A207" s="126"/>
      <c r="B207" s="126"/>
      <c r="C207" s="127"/>
      <c r="D207" s="127"/>
      <c r="E207" s="127"/>
      <c r="F207" s="128"/>
      <c r="G207" s="127"/>
      <c r="H207" s="127"/>
      <c r="I207" s="128"/>
      <c r="J207" s="127"/>
      <c r="K207" s="127"/>
    </row>
    <row r="208" spans="1:11" ht="18.75">
      <c r="A208" s="126"/>
      <c r="B208" s="126"/>
      <c r="C208" s="127"/>
      <c r="D208" s="127"/>
      <c r="E208" s="127"/>
      <c r="F208" s="128"/>
      <c r="G208" s="127"/>
      <c r="H208" s="127"/>
      <c r="I208" s="128"/>
      <c r="J208" s="127"/>
      <c r="K208" s="127"/>
    </row>
    <row r="209" spans="1:11" ht="18.75">
      <c r="A209" s="126"/>
      <c r="B209" s="126"/>
      <c r="C209" s="127"/>
      <c r="D209" s="127"/>
      <c r="E209" s="127"/>
      <c r="F209" s="128"/>
      <c r="G209" s="127"/>
      <c r="H209" s="127"/>
      <c r="I209" s="128"/>
      <c r="J209" s="127"/>
      <c r="K209" s="127"/>
    </row>
    <row r="210" spans="1:11" ht="18.75">
      <c r="A210" s="126"/>
      <c r="B210" s="126"/>
      <c r="C210" s="127"/>
      <c r="D210" s="127"/>
      <c r="E210" s="127"/>
      <c r="F210" s="128"/>
      <c r="G210" s="127"/>
      <c r="H210" s="127"/>
      <c r="I210" s="128"/>
      <c r="J210" s="127"/>
      <c r="K210" s="127"/>
    </row>
    <row r="211" spans="1:11" ht="18.75">
      <c r="A211" s="126"/>
      <c r="B211" s="126"/>
      <c r="C211" s="127"/>
      <c r="D211" s="127"/>
      <c r="E211" s="127"/>
      <c r="F211" s="128"/>
      <c r="G211" s="127"/>
      <c r="H211" s="127"/>
      <c r="I211" s="128"/>
      <c r="J211" s="127"/>
      <c r="K211" s="127"/>
    </row>
    <row r="212" spans="1:11" ht="18.75">
      <c r="A212" s="126"/>
      <c r="B212" s="126"/>
      <c r="C212" s="127"/>
      <c r="D212" s="127"/>
      <c r="E212" s="127"/>
      <c r="F212" s="128"/>
      <c r="G212" s="127"/>
      <c r="H212" s="127"/>
      <c r="I212" s="128"/>
      <c r="J212" s="127"/>
      <c r="K212" s="127"/>
    </row>
    <row r="213" spans="1:11" ht="18.75">
      <c r="A213" s="126"/>
      <c r="B213" s="126"/>
      <c r="C213" s="127"/>
      <c r="D213" s="127"/>
      <c r="E213" s="127"/>
      <c r="F213" s="128"/>
      <c r="G213" s="127"/>
      <c r="H213" s="127"/>
      <c r="I213" s="128"/>
      <c r="J213" s="127"/>
      <c r="K213" s="127"/>
    </row>
    <row r="214" spans="1:11" ht="18.75">
      <c r="A214" s="126"/>
      <c r="B214" s="126"/>
      <c r="C214" s="127"/>
      <c r="D214" s="127"/>
      <c r="E214" s="127"/>
      <c r="F214" s="128"/>
      <c r="G214" s="127"/>
      <c r="H214" s="127"/>
      <c r="I214" s="128"/>
      <c r="J214" s="127"/>
      <c r="K214" s="127"/>
    </row>
    <row r="215" spans="1:11" ht="18.75">
      <c r="A215" s="126"/>
      <c r="B215" s="126"/>
      <c r="C215" s="127"/>
      <c r="D215" s="127"/>
      <c r="E215" s="127"/>
      <c r="F215" s="128"/>
      <c r="G215" s="127"/>
      <c r="H215" s="127"/>
      <c r="I215" s="128"/>
      <c r="J215" s="127"/>
      <c r="K215" s="127"/>
    </row>
    <row r="216" spans="1:11" ht="18.75">
      <c r="A216" s="126"/>
      <c r="B216" s="126"/>
      <c r="C216" s="127"/>
      <c r="D216" s="127"/>
      <c r="E216" s="127"/>
      <c r="F216" s="128"/>
      <c r="G216" s="127"/>
      <c r="H216" s="127"/>
      <c r="I216" s="128"/>
      <c r="J216" s="127"/>
      <c r="K216" s="127"/>
    </row>
    <row r="217" spans="1:11" ht="18.75">
      <c r="A217" s="126"/>
      <c r="B217" s="126"/>
      <c r="C217" s="127"/>
      <c r="D217" s="127"/>
      <c r="E217" s="127"/>
      <c r="F217" s="128"/>
      <c r="G217" s="127"/>
      <c r="H217" s="127"/>
      <c r="I217" s="128"/>
      <c r="J217" s="127"/>
      <c r="K217" s="127"/>
    </row>
    <row r="218" spans="1:11" ht="18.75">
      <c r="A218" s="126"/>
      <c r="B218" s="126"/>
      <c r="C218" s="127"/>
      <c r="D218" s="127"/>
      <c r="E218" s="127"/>
      <c r="F218" s="128"/>
      <c r="G218" s="127"/>
      <c r="H218" s="127"/>
      <c r="I218" s="128"/>
      <c r="J218" s="127"/>
      <c r="K218" s="127"/>
    </row>
    <row r="219" spans="1:11" ht="18.75">
      <c r="A219" s="126"/>
      <c r="B219" s="126"/>
      <c r="C219" s="127"/>
      <c r="D219" s="127"/>
      <c r="E219" s="127"/>
      <c r="F219" s="128"/>
      <c r="G219" s="127"/>
      <c r="H219" s="127"/>
      <c r="I219" s="128"/>
      <c r="J219" s="127"/>
      <c r="K219" s="127"/>
    </row>
    <row r="220" spans="1:11" ht="18.75">
      <c r="A220" s="126"/>
      <c r="B220" s="126"/>
      <c r="C220" s="127"/>
      <c r="D220" s="127"/>
      <c r="E220" s="127"/>
      <c r="F220" s="128"/>
      <c r="G220" s="127"/>
      <c r="H220" s="127"/>
      <c r="I220" s="128"/>
      <c r="J220" s="127"/>
      <c r="K220" s="127"/>
    </row>
    <row r="221" spans="1:11" ht="18.75">
      <c r="A221" s="126"/>
      <c r="B221" s="126"/>
      <c r="C221" s="127"/>
      <c r="D221" s="127"/>
      <c r="E221" s="127"/>
      <c r="F221" s="128"/>
      <c r="G221" s="127"/>
      <c r="H221" s="127"/>
      <c r="I221" s="128"/>
      <c r="J221" s="127"/>
      <c r="K221" s="127"/>
    </row>
    <row r="222" spans="1:11" ht="18.75">
      <c r="A222" s="126"/>
      <c r="B222" s="126"/>
      <c r="C222" s="127"/>
      <c r="D222" s="127"/>
      <c r="E222" s="127"/>
      <c r="F222" s="128"/>
      <c r="G222" s="127"/>
      <c r="H222" s="127"/>
      <c r="I222" s="128"/>
      <c r="J222" s="127"/>
      <c r="K222" s="127"/>
    </row>
    <row r="223" spans="1:11" ht="18.75">
      <c r="A223" s="126"/>
      <c r="B223" s="126"/>
      <c r="C223" s="127"/>
      <c r="D223" s="127"/>
      <c r="E223" s="127"/>
      <c r="F223" s="128"/>
      <c r="G223" s="127"/>
      <c r="H223" s="127"/>
      <c r="I223" s="128"/>
      <c r="J223" s="127"/>
      <c r="K223" s="127"/>
    </row>
    <row r="224" spans="1:11" ht="18.75">
      <c r="A224" s="126"/>
      <c r="B224" s="126"/>
      <c r="C224" s="127"/>
      <c r="D224" s="127"/>
      <c r="E224" s="127"/>
      <c r="F224" s="128"/>
      <c r="G224" s="127"/>
      <c r="H224" s="127"/>
      <c r="I224" s="128"/>
      <c r="J224" s="127"/>
      <c r="K224" s="127"/>
    </row>
    <row r="225" spans="1:11" ht="18.75">
      <c r="A225" s="126"/>
      <c r="B225" s="126"/>
      <c r="C225" s="127"/>
      <c r="D225" s="127"/>
      <c r="E225" s="127"/>
      <c r="F225" s="128"/>
      <c r="G225" s="127"/>
      <c r="H225" s="127"/>
      <c r="I225" s="128"/>
      <c r="J225" s="127"/>
      <c r="K225" s="127"/>
    </row>
    <row r="226" spans="1:11" ht="18.75">
      <c r="A226" s="126"/>
      <c r="B226" s="126"/>
      <c r="C226" s="127"/>
      <c r="D226" s="127"/>
      <c r="E226" s="127"/>
      <c r="F226" s="128"/>
      <c r="G226" s="127"/>
      <c r="H226" s="127"/>
      <c r="I226" s="128"/>
      <c r="J226" s="127"/>
      <c r="K226" s="127"/>
    </row>
    <row r="227" spans="1:11" ht="18.75">
      <c r="A227" s="126"/>
      <c r="B227" s="126"/>
      <c r="C227" s="127"/>
      <c r="D227" s="127"/>
      <c r="E227" s="127"/>
      <c r="F227" s="128"/>
      <c r="G227" s="127"/>
      <c r="H227" s="127"/>
      <c r="I227" s="128"/>
      <c r="J227" s="127"/>
      <c r="K227" s="127"/>
    </row>
    <row r="228" spans="1:11" ht="18.75">
      <c r="A228" s="126"/>
      <c r="B228" s="126"/>
      <c r="C228" s="127"/>
      <c r="D228" s="127"/>
      <c r="E228" s="127"/>
      <c r="F228" s="128"/>
      <c r="G228" s="127"/>
      <c r="H228" s="127"/>
      <c r="I228" s="128"/>
      <c r="J228" s="127"/>
      <c r="K228" s="127"/>
    </row>
    <row r="229" spans="1:11" ht="18.75">
      <c r="A229" s="126"/>
      <c r="B229" s="126"/>
      <c r="C229" s="127"/>
      <c r="D229" s="127"/>
      <c r="E229" s="127"/>
      <c r="F229" s="128"/>
      <c r="G229" s="127"/>
      <c r="H229" s="127"/>
      <c r="I229" s="128"/>
      <c r="J229" s="127"/>
      <c r="K229" s="127"/>
    </row>
    <row r="230" spans="1:11" ht="18.75">
      <c r="A230" s="126"/>
      <c r="B230" s="126"/>
      <c r="C230" s="127"/>
      <c r="D230" s="127"/>
      <c r="E230" s="127"/>
      <c r="F230" s="128"/>
      <c r="G230" s="127"/>
      <c r="H230" s="127"/>
      <c r="I230" s="128"/>
      <c r="J230" s="127"/>
      <c r="K230" s="127"/>
    </row>
    <row r="231" spans="1:11" ht="18.75">
      <c r="A231" s="126"/>
      <c r="B231" s="126"/>
      <c r="C231" s="127"/>
      <c r="D231" s="127"/>
      <c r="E231" s="127"/>
      <c r="F231" s="128"/>
      <c r="G231" s="127"/>
      <c r="H231" s="127"/>
      <c r="I231" s="128"/>
      <c r="J231" s="127"/>
      <c r="K231" s="127"/>
    </row>
    <row r="232" spans="1:11" ht="18.75">
      <c r="A232" s="126"/>
      <c r="B232" s="126"/>
      <c r="C232" s="127"/>
      <c r="D232" s="127"/>
      <c r="E232" s="127"/>
      <c r="F232" s="128"/>
      <c r="G232" s="127"/>
      <c r="H232" s="127"/>
      <c r="I232" s="128"/>
      <c r="J232" s="127"/>
      <c r="K232" s="127"/>
    </row>
    <row r="233" spans="1:11" ht="18.75">
      <c r="A233" s="126"/>
      <c r="B233" s="126"/>
      <c r="C233" s="127"/>
      <c r="D233" s="127"/>
      <c r="E233" s="127"/>
      <c r="F233" s="128"/>
      <c r="G233" s="127"/>
      <c r="H233" s="127"/>
      <c r="I233" s="128"/>
      <c r="J233" s="127"/>
      <c r="K233" s="127"/>
    </row>
    <row r="234" spans="1:11" ht="18.75">
      <c r="A234" s="126"/>
      <c r="B234" s="126"/>
      <c r="C234" s="127"/>
      <c r="D234" s="127"/>
      <c r="E234" s="127"/>
      <c r="F234" s="128"/>
      <c r="G234" s="127"/>
      <c r="H234" s="127"/>
      <c r="I234" s="128"/>
      <c r="J234" s="127"/>
      <c r="K234" s="127"/>
    </row>
    <row r="235" spans="1:11" ht="18.75">
      <c r="A235" s="126"/>
      <c r="B235" s="126"/>
      <c r="C235" s="127"/>
      <c r="D235" s="127"/>
      <c r="E235" s="127"/>
      <c r="F235" s="128"/>
      <c r="G235" s="127"/>
      <c r="H235" s="127"/>
      <c r="I235" s="128"/>
      <c r="J235" s="127"/>
      <c r="K235" s="127"/>
    </row>
    <row r="236" spans="1:11" ht="18.75">
      <c r="A236" s="126"/>
      <c r="B236" s="126"/>
      <c r="C236" s="127"/>
      <c r="D236" s="127"/>
      <c r="E236" s="127"/>
      <c r="F236" s="128"/>
      <c r="G236" s="127"/>
      <c r="H236" s="127"/>
      <c r="I236" s="128"/>
      <c r="J236" s="127"/>
      <c r="K236" s="127"/>
    </row>
    <row r="237" spans="1:11" ht="18.75">
      <c r="A237" s="126"/>
      <c r="B237" s="126"/>
      <c r="C237" s="127"/>
      <c r="D237" s="127"/>
      <c r="E237" s="127"/>
      <c r="F237" s="128"/>
      <c r="G237" s="127"/>
      <c r="H237" s="127"/>
      <c r="I237" s="128"/>
      <c r="J237" s="127"/>
      <c r="K237" s="127"/>
    </row>
    <row r="238" spans="1:11" ht="18.75">
      <c r="A238" s="126"/>
      <c r="B238" s="126"/>
      <c r="C238" s="127"/>
      <c r="D238" s="127"/>
      <c r="E238" s="127"/>
      <c r="F238" s="128"/>
      <c r="G238" s="127"/>
      <c r="H238" s="127"/>
      <c r="I238" s="128"/>
      <c r="J238" s="127"/>
      <c r="K238" s="127"/>
    </row>
    <row r="239" spans="1:11" ht="18.75">
      <c r="A239" s="126"/>
      <c r="B239" s="126"/>
      <c r="C239" s="127"/>
      <c r="D239" s="127"/>
      <c r="E239" s="127"/>
      <c r="F239" s="128"/>
      <c r="G239" s="127"/>
      <c r="H239" s="127"/>
      <c r="I239" s="128"/>
      <c r="J239" s="127"/>
      <c r="K239" s="127"/>
    </row>
    <row r="240" spans="1:11" ht="18.75">
      <c r="A240" s="126"/>
      <c r="B240" s="126"/>
      <c r="C240" s="127"/>
      <c r="D240" s="127"/>
      <c r="E240" s="127"/>
      <c r="F240" s="128"/>
      <c r="G240" s="127"/>
      <c r="H240" s="127"/>
      <c r="I240" s="128"/>
      <c r="J240" s="127"/>
      <c r="K240" s="127"/>
    </row>
    <row r="241" spans="1:11" ht="18.75">
      <c r="A241" s="126"/>
      <c r="B241" s="126"/>
      <c r="C241" s="127"/>
      <c r="D241" s="127"/>
      <c r="E241" s="127"/>
      <c r="F241" s="128"/>
      <c r="G241" s="127"/>
      <c r="H241" s="127"/>
      <c r="I241" s="128"/>
      <c r="J241" s="127"/>
      <c r="K241" s="127"/>
    </row>
    <row r="242" spans="1:11" ht="18.75">
      <c r="A242" s="126"/>
      <c r="B242" s="126"/>
      <c r="C242" s="127"/>
      <c r="D242" s="127"/>
      <c r="E242" s="127"/>
      <c r="F242" s="128"/>
      <c r="G242" s="127"/>
      <c r="H242" s="127"/>
      <c r="I242" s="128"/>
      <c r="J242" s="127"/>
      <c r="K242" s="127"/>
    </row>
    <row r="243" spans="1:11" ht="18.75">
      <c r="A243" s="126"/>
      <c r="B243" s="126"/>
      <c r="C243" s="127"/>
      <c r="D243" s="127"/>
      <c r="E243" s="127"/>
      <c r="F243" s="128"/>
      <c r="G243" s="127"/>
      <c r="H243" s="127"/>
      <c r="I243" s="128"/>
      <c r="J243" s="127"/>
      <c r="K243" s="127"/>
    </row>
    <row r="244" spans="1:11" ht="18.75">
      <c r="A244" s="126"/>
      <c r="B244" s="126"/>
      <c r="C244" s="127"/>
      <c r="D244" s="127"/>
      <c r="E244" s="127"/>
      <c r="F244" s="128"/>
      <c r="G244" s="127"/>
      <c r="H244" s="127"/>
      <c r="I244" s="128"/>
      <c r="J244" s="127"/>
      <c r="K244" s="127"/>
    </row>
    <row r="245" spans="1:11" ht="18.75">
      <c r="A245" s="126"/>
      <c r="B245" s="126"/>
      <c r="C245" s="127"/>
      <c r="D245" s="127"/>
      <c r="E245" s="127"/>
      <c r="F245" s="128"/>
      <c r="G245" s="127"/>
      <c r="H245" s="127"/>
      <c r="I245" s="128"/>
      <c r="J245" s="127"/>
      <c r="K245" s="127"/>
    </row>
    <row r="246" spans="1:11" ht="18.75">
      <c r="A246" s="126"/>
      <c r="B246" s="126"/>
      <c r="C246" s="127"/>
      <c r="D246" s="127"/>
      <c r="E246" s="127"/>
      <c r="F246" s="128"/>
      <c r="G246" s="127"/>
      <c r="H246" s="127"/>
      <c r="I246" s="128"/>
      <c r="J246" s="127"/>
      <c r="K246" s="127"/>
    </row>
    <row r="247" spans="1:11" ht="18.75">
      <c r="A247" s="126"/>
      <c r="B247" s="126"/>
      <c r="C247" s="127"/>
      <c r="D247" s="127"/>
      <c r="E247" s="127"/>
      <c r="F247" s="128"/>
      <c r="G247" s="127"/>
      <c r="H247" s="127"/>
      <c r="I247" s="128"/>
      <c r="J247" s="127"/>
      <c r="K247" s="127"/>
    </row>
    <row r="248" spans="1:11" ht="18.75">
      <c r="A248" s="126"/>
      <c r="B248" s="126"/>
      <c r="C248" s="127"/>
      <c r="D248" s="127"/>
      <c r="E248" s="127"/>
      <c r="F248" s="128"/>
      <c r="G248" s="127"/>
      <c r="H248" s="127"/>
      <c r="I248" s="128"/>
      <c r="J248" s="127"/>
      <c r="K248" s="127"/>
    </row>
    <row r="249" spans="1:11" ht="18.75">
      <c r="A249" s="126"/>
      <c r="B249" s="126"/>
      <c r="C249" s="127"/>
      <c r="D249" s="127"/>
      <c r="E249" s="127"/>
      <c r="F249" s="128"/>
      <c r="G249" s="127"/>
      <c r="H249" s="127"/>
      <c r="I249" s="128"/>
      <c r="J249" s="127"/>
      <c r="K249" s="127"/>
    </row>
    <row r="250" spans="1:11" ht="18.75">
      <c r="A250" s="126"/>
      <c r="B250" s="126"/>
      <c r="C250" s="127"/>
      <c r="D250" s="127"/>
      <c r="E250" s="127"/>
      <c r="F250" s="128"/>
      <c r="G250" s="127"/>
      <c r="H250" s="127"/>
      <c r="I250" s="128"/>
      <c r="J250" s="127"/>
      <c r="K250" s="127"/>
    </row>
    <row r="251" spans="1:11" ht="18.75">
      <c r="A251" s="126"/>
      <c r="B251" s="126"/>
      <c r="C251" s="127"/>
      <c r="D251" s="127"/>
      <c r="E251" s="127"/>
      <c r="F251" s="128"/>
      <c r="G251" s="127"/>
      <c r="H251" s="127"/>
      <c r="I251" s="128"/>
      <c r="J251" s="127"/>
      <c r="K251" s="127"/>
    </row>
    <row r="252" spans="1:11" ht="18.75">
      <c r="A252" s="126"/>
      <c r="B252" s="126"/>
      <c r="C252" s="127"/>
      <c r="D252" s="127"/>
      <c r="E252" s="127"/>
      <c r="F252" s="128"/>
      <c r="G252" s="127"/>
      <c r="H252" s="127"/>
      <c r="I252" s="128"/>
      <c r="J252" s="127"/>
      <c r="K252" s="127"/>
    </row>
    <row r="253" spans="1:11" ht="18.75">
      <c r="A253" s="126"/>
      <c r="B253" s="126"/>
      <c r="C253" s="127"/>
      <c r="D253" s="127"/>
      <c r="E253" s="127"/>
      <c r="F253" s="128"/>
      <c r="G253" s="127"/>
      <c r="H253" s="127"/>
      <c r="I253" s="128"/>
      <c r="J253" s="127"/>
      <c r="K253" s="127"/>
    </row>
    <row r="254" spans="1:11" ht="18.75">
      <c r="A254" s="126"/>
      <c r="B254" s="126"/>
      <c r="C254" s="127"/>
      <c r="D254" s="127"/>
      <c r="E254" s="127"/>
      <c r="F254" s="128"/>
      <c r="G254" s="127"/>
      <c r="H254" s="127"/>
      <c r="I254" s="128"/>
      <c r="J254" s="127"/>
      <c r="K254" s="127"/>
    </row>
    <row r="255" spans="1:11" ht="18.75">
      <c r="A255" s="126"/>
      <c r="B255" s="126"/>
      <c r="C255" s="127"/>
      <c r="D255" s="127"/>
      <c r="E255" s="127"/>
      <c r="F255" s="128"/>
      <c r="G255" s="127"/>
      <c r="H255" s="127"/>
      <c r="I255" s="128"/>
      <c r="J255" s="127"/>
      <c r="K255" s="127"/>
    </row>
    <row r="256" spans="1:11" ht="18.75">
      <c r="A256" s="126"/>
      <c r="B256" s="126"/>
      <c r="C256" s="127"/>
      <c r="D256" s="127"/>
      <c r="E256" s="127"/>
      <c r="F256" s="128"/>
      <c r="G256" s="127"/>
      <c r="H256" s="127"/>
      <c r="I256" s="128"/>
      <c r="J256" s="127"/>
      <c r="K256" s="127"/>
    </row>
    <row r="257" spans="1:11" ht="18.75">
      <c r="A257" s="126"/>
      <c r="B257" s="126"/>
      <c r="C257" s="127"/>
      <c r="D257" s="127"/>
      <c r="E257" s="127"/>
      <c r="F257" s="128"/>
      <c r="G257" s="127"/>
      <c r="H257" s="127"/>
      <c r="I257" s="128"/>
      <c r="J257" s="127"/>
      <c r="K257" s="127"/>
    </row>
    <row r="258" spans="1:11" ht="18.75">
      <c r="A258" s="126"/>
      <c r="B258" s="126"/>
      <c r="C258" s="127"/>
      <c r="D258" s="127"/>
      <c r="E258" s="127"/>
      <c r="F258" s="128"/>
      <c r="G258" s="127"/>
      <c r="H258" s="127"/>
      <c r="I258" s="128"/>
      <c r="J258" s="127"/>
      <c r="K258" s="127"/>
    </row>
    <row r="259" spans="1:11" ht="18.75">
      <c r="A259" s="126"/>
      <c r="B259" s="126"/>
      <c r="C259" s="127"/>
      <c r="D259" s="127"/>
      <c r="E259" s="127"/>
      <c r="F259" s="128"/>
      <c r="G259" s="127"/>
      <c r="H259" s="127"/>
      <c r="I259" s="128"/>
      <c r="J259" s="127"/>
      <c r="K259" s="127"/>
    </row>
    <row r="260" spans="1:11" ht="18.75">
      <c r="A260" s="126"/>
      <c r="B260" s="126"/>
      <c r="C260" s="127"/>
      <c r="D260" s="127"/>
      <c r="E260" s="127"/>
      <c r="F260" s="128"/>
      <c r="G260" s="127"/>
      <c r="H260" s="127"/>
      <c r="I260" s="128"/>
      <c r="J260" s="127"/>
      <c r="K260" s="127"/>
    </row>
    <row r="261" spans="1:11" ht="18.75">
      <c r="A261" s="126"/>
      <c r="B261" s="126"/>
      <c r="C261" s="127"/>
      <c r="D261" s="127"/>
      <c r="E261" s="127"/>
      <c r="F261" s="128"/>
      <c r="G261" s="127"/>
      <c r="H261" s="127"/>
      <c r="I261" s="128"/>
      <c r="J261" s="127"/>
      <c r="K261" s="127"/>
    </row>
    <row r="262" spans="1:11" ht="18.75">
      <c r="A262" s="126"/>
      <c r="B262" s="126"/>
      <c r="C262" s="127"/>
      <c r="D262" s="127"/>
      <c r="E262" s="127"/>
      <c r="F262" s="128"/>
      <c r="G262" s="127"/>
      <c r="H262" s="127"/>
      <c r="I262" s="128"/>
      <c r="J262" s="127"/>
      <c r="K262" s="127"/>
    </row>
    <row r="263" spans="1:11" ht="18.75">
      <c r="A263" s="126"/>
      <c r="B263" s="126"/>
      <c r="C263" s="127"/>
      <c r="D263" s="127"/>
      <c r="E263" s="127"/>
      <c r="F263" s="128"/>
      <c r="G263" s="127"/>
      <c r="H263" s="127"/>
      <c r="I263" s="128"/>
      <c r="J263" s="127"/>
      <c r="K263" s="127"/>
    </row>
    <row r="264" spans="1:11" ht="18.75">
      <c r="A264" s="126"/>
      <c r="B264" s="126"/>
      <c r="C264" s="127"/>
      <c r="D264" s="127"/>
      <c r="E264" s="127"/>
      <c r="F264" s="128"/>
      <c r="G264" s="127"/>
      <c r="H264" s="127"/>
      <c r="I264" s="128"/>
      <c r="J264" s="127"/>
      <c r="K264" s="127"/>
    </row>
    <row r="265" spans="1:11" ht="18.75">
      <c r="A265" s="126"/>
      <c r="B265" s="126"/>
      <c r="C265" s="127"/>
      <c r="D265" s="127"/>
      <c r="E265" s="127"/>
      <c r="F265" s="128"/>
      <c r="G265" s="127"/>
      <c r="H265" s="127"/>
      <c r="I265" s="128"/>
      <c r="J265" s="127"/>
      <c r="K265" s="127"/>
    </row>
    <row r="266" spans="1:11" ht="18.75">
      <c r="A266" s="126"/>
      <c r="B266" s="126"/>
      <c r="C266" s="127"/>
      <c r="D266" s="127"/>
      <c r="E266" s="127"/>
      <c r="F266" s="128"/>
      <c r="G266" s="127"/>
      <c r="H266" s="127"/>
      <c r="I266" s="128"/>
      <c r="J266" s="127"/>
      <c r="K266" s="127"/>
    </row>
    <row r="267" spans="1:11" ht="18.75">
      <c r="A267" s="126"/>
      <c r="B267" s="126"/>
      <c r="C267" s="127"/>
      <c r="D267" s="127"/>
      <c r="E267" s="127"/>
      <c r="F267" s="128"/>
      <c r="G267" s="127"/>
      <c r="H267" s="127"/>
      <c r="I267" s="128"/>
      <c r="J267" s="127"/>
      <c r="K267" s="127"/>
    </row>
    <row r="268" spans="1:11" ht="18.75">
      <c r="A268" s="126"/>
      <c r="B268" s="126"/>
      <c r="C268" s="127"/>
      <c r="D268" s="127"/>
      <c r="E268" s="127"/>
      <c r="F268" s="128"/>
      <c r="G268" s="127"/>
      <c r="H268" s="127"/>
      <c r="I268" s="128"/>
      <c r="J268" s="127"/>
      <c r="K268" s="127"/>
    </row>
    <row r="269" spans="1:11" ht="18.75">
      <c r="A269" s="126"/>
      <c r="B269" s="126"/>
      <c r="C269" s="127"/>
      <c r="D269" s="127"/>
      <c r="E269" s="127"/>
      <c r="F269" s="128"/>
      <c r="G269" s="127"/>
      <c r="H269" s="127"/>
      <c r="I269" s="128"/>
      <c r="J269" s="127"/>
      <c r="K269" s="127"/>
    </row>
    <row r="270" spans="1:11" ht="18.75">
      <c r="A270" s="126"/>
      <c r="B270" s="126"/>
      <c r="C270" s="127"/>
      <c r="D270" s="127"/>
      <c r="E270" s="127"/>
      <c r="F270" s="128"/>
      <c r="G270" s="127"/>
      <c r="H270" s="127"/>
      <c r="I270" s="128"/>
      <c r="J270" s="127"/>
      <c r="K270" s="127"/>
    </row>
    <row r="271" spans="1:11" ht="18.75">
      <c r="A271" s="126"/>
      <c r="B271" s="126"/>
      <c r="C271" s="127"/>
      <c r="D271" s="127"/>
      <c r="E271" s="127"/>
      <c r="F271" s="128"/>
      <c r="G271" s="127"/>
      <c r="H271" s="127"/>
      <c r="I271" s="128"/>
      <c r="J271" s="127"/>
      <c r="K271" s="127"/>
    </row>
    <row r="272" spans="1:11" ht="18.75">
      <c r="A272" s="126"/>
      <c r="B272" s="126"/>
      <c r="C272" s="127"/>
      <c r="D272" s="127"/>
      <c r="E272" s="127"/>
      <c r="F272" s="128"/>
      <c r="G272" s="127"/>
      <c r="H272" s="127"/>
      <c r="I272" s="128"/>
      <c r="J272" s="127"/>
      <c r="K272" s="127"/>
    </row>
    <row r="273" spans="1:11" ht="18.75">
      <c r="A273" s="126"/>
      <c r="B273" s="126"/>
      <c r="C273" s="127"/>
      <c r="D273" s="127"/>
      <c r="E273" s="127"/>
      <c r="F273" s="128"/>
      <c r="G273" s="127"/>
      <c r="H273" s="127"/>
      <c r="I273" s="128"/>
      <c r="J273" s="127"/>
      <c r="K273" s="127"/>
    </row>
    <row r="274" spans="1:11" ht="18.75">
      <c r="A274" s="126"/>
      <c r="B274" s="126"/>
      <c r="C274" s="127"/>
      <c r="D274" s="127"/>
      <c r="E274" s="127"/>
      <c r="F274" s="128"/>
      <c r="G274" s="127"/>
      <c r="H274" s="127"/>
      <c r="I274" s="128"/>
      <c r="J274" s="127"/>
      <c r="K274" s="127"/>
    </row>
    <row r="275" spans="1:11" ht="18.75">
      <c r="A275" s="126"/>
      <c r="B275" s="126"/>
      <c r="C275" s="127"/>
      <c r="D275" s="127"/>
      <c r="E275" s="127"/>
      <c r="F275" s="128"/>
      <c r="G275" s="127"/>
      <c r="H275" s="127"/>
      <c r="I275" s="128"/>
      <c r="J275" s="127"/>
      <c r="K275" s="127"/>
    </row>
    <row r="276" spans="1:11" ht="18.75">
      <c r="A276" s="126"/>
      <c r="B276" s="126"/>
      <c r="C276" s="127"/>
      <c r="D276" s="127"/>
      <c r="E276" s="127"/>
      <c r="F276" s="128"/>
      <c r="G276" s="127"/>
      <c r="H276" s="127"/>
      <c r="I276" s="128"/>
      <c r="J276" s="127"/>
      <c r="K276" s="127"/>
    </row>
    <row r="277" spans="1:11" ht="18.75">
      <c r="A277" s="126"/>
      <c r="B277" s="126"/>
      <c r="C277" s="127"/>
      <c r="D277" s="127"/>
      <c r="E277" s="127"/>
      <c r="F277" s="128"/>
      <c r="G277" s="127"/>
      <c r="H277" s="127"/>
      <c r="I277" s="128"/>
      <c r="J277" s="127"/>
      <c r="K277" s="127"/>
    </row>
    <row r="278" spans="1:11" ht="18.75">
      <c r="A278" s="126"/>
      <c r="B278" s="126"/>
      <c r="C278" s="127"/>
      <c r="D278" s="127"/>
      <c r="E278" s="127"/>
      <c r="F278" s="128"/>
      <c r="G278" s="127"/>
      <c r="H278" s="127"/>
      <c r="I278" s="128"/>
      <c r="J278" s="127"/>
      <c r="K278" s="127"/>
    </row>
    <row r="279" spans="1:11" ht="18.75">
      <c r="A279" s="126"/>
      <c r="B279" s="126"/>
      <c r="C279" s="127"/>
      <c r="D279" s="127"/>
      <c r="E279" s="127"/>
      <c r="F279" s="128"/>
      <c r="G279" s="127"/>
      <c r="H279" s="127"/>
      <c r="I279" s="128"/>
      <c r="J279" s="127"/>
      <c r="K279" s="127"/>
    </row>
    <row r="280" spans="1:11" ht="18.75">
      <c r="A280" s="126"/>
      <c r="B280" s="126"/>
      <c r="C280" s="127"/>
      <c r="D280" s="127"/>
      <c r="E280" s="127"/>
      <c r="F280" s="128"/>
      <c r="G280" s="127"/>
      <c r="H280" s="127"/>
      <c r="I280" s="128"/>
      <c r="J280" s="127"/>
      <c r="K280" s="127"/>
    </row>
    <row r="281" spans="1:11" ht="18.75">
      <c r="A281" s="126"/>
      <c r="B281" s="126"/>
      <c r="C281" s="127"/>
      <c r="D281" s="127"/>
      <c r="E281" s="127"/>
      <c r="F281" s="128"/>
      <c r="G281" s="127"/>
      <c r="H281" s="127"/>
      <c r="I281" s="128"/>
      <c r="J281" s="127"/>
      <c r="K281" s="127"/>
    </row>
    <row r="282" spans="1:11" ht="18.75">
      <c r="A282" s="126"/>
      <c r="B282" s="126"/>
      <c r="C282" s="127"/>
      <c r="D282" s="127"/>
      <c r="E282" s="127"/>
      <c r="F282" s="128"/>
      <c r="G282" s="127"/>
      <c r="H282" s="127"/>
      <c r="I282" s="128"/>
      <c r="J282" s="127"/>
      <c r="K282" s="127"/>
    </row>
    <row r="283" spans="1:11" ht="18.75">
      <c r="A283" s="126"/>
      <c r="B283" s="126"/>
      <c r="C283" s="127"/>
      <c r="D283" s="127"/>
      <c r="E283" s="127"/>
      <c r="F283" s="128"/>
      <c r="G283" s="127"/>
      <c r="H283" s="127"/>
      <c r="I283" s="128"/>
      <c r="J283" s="127"/>
      <c r="K283" s="127"/>
    </row>
    <row r="284" spans="1:11" ht="18.75">
      <c r="A284" s="126"/>
      <c r="B284" s="126"/>
      <c r="C284" s="127"/>
      <c r="D284" s="127"/>
      <c r="E284" s="127"/>
      <c r="F284" s="128"/>
      <c r="G284" s="127"/>
      <c r="H284" s="127"/>
      <c r="I284" s="128"/>
      <c r="J284" s="127"/>
      <c r="K284" s="127"/>
    </row>
    <row r="285" spans="1:11" ht="18.75">
      <c r="A285" s="126"/>
      <c r="B285" s="126"/>
      <c r="C285" s="127"/>
      <c r="D285" s="127"/>
      <c r="E285" s="127"/>
      <c r="F285" s="128"/>
      <c r="G285" s="127"/>
      <c r="H285" s="127"/>
      <c r="I285" s="128"/>
      <c r="J285" s="127"/>
      <c r="K285" s="127"/>
    </row>
    <row r="286" spans="1:11" ht="18.75">
      <c r="A286" s="126"/>
      <c r="B286" s="126"/>
      <c r="C286" s="127"/>
      <c r="D286" s="127"/>
      <c r="E286" s="127"/>
      <c r="F286" s="128"/>
      <c r="G286" s="127"/>
      <c r="H286" s="127"/>
      <c r="I286" s="128"/>
      <c r="J286" s="127"/>
      <c r="K286" s="127"/>
    </row>
    <row r="287" spans="1:11" ht="18.75">
      <c r="A287" s="126"/>
      <c r="B287" s="126"/>
      <c r="C287" s="127"/>
      <c r="D287" s="127"/>
      <c r="E287" s="127"/>
      <c r="F287" s="128"/>
      <c r="G287" s="127"/>
      <c r="H287" s="127"/>
      <c r="I287" s="128"/>
      <c r="J287" s="127"/>
      <c r="K287" s="127"/>
    </row>
    <row r="288" spans="1:11" ht="18.75">
      <c r="A288" s="126"/>
      <c r="B288" s="126"/>
      <c r="C288" s="127"/>
      <c r="D288" s="127"/>
      <c r="E288" s="127"/>
      <c r="F288" s="128"/>
      <c r="G288" s="127"/>
      <c r="H288" s="127"/>
      <c r="I288" s="128"/>
      <c r="J288" s="127"/>
      <c r="K288" s="127"/>
    </row>
    <row r="289" spans="1:11" ht="18.75">
      <c r="A289" s="126"/>
      <c r="B289" s="126"/>
      <c r="C289" s="127"/>
      <c r="D289" s="127"/>
      <c r="E289" s="127"/>
      <c r="F289" s="128"/>
      <c r="G289" s="127"/>
      <c r="H289" s="127"/>
      <c r="I289" s="128"/>
      <c r="J289" s="127"/>
      <c r="K289" s="127"/>
    </row>
    <row r="290" spans="1:11" ht="18.75">
      <c r="A290" s="126"/>
      <c r="B290" s="126"/>
      <c r="C290" s="127"/>
      <c r="D290" s="127"/>
      <c r="E290" s="127"/>
      <c r="F290" s="128"/>
      <c r="G290" s="127"/>
      <c r="H290" s="127"/>
      <c r="I290" s="128"/>
      <c r="J290" s="127"/>
      <c r="K290" s="127"/>
    </row>
    <row r="291" spans="1:11" ht="18.75">
      <c r="A291" s="126"/>
      <c r="B291" s="126"/>
      <c r="C291" s="127"/>
      <c r="D291" s="127"/>
      <c r="E291" s="127"/>
      <c r="F291" s="128"/>
      <c r="G291" s="127"/>
      <c r="H291" s="127"/>
      <c r="I291" s="128"/>
      <c r="J291" s="127"/>
      <c r="K291" s="127"/>
    </row>
    <row r="292" spans="1:11" ht="18.75">
      <c r="A292" s="126"/>
      <c r="B292" s="126"/>
      <c r="C292" s="127"/>
      <c r="D292" s="127"/>
      <c r="E292" s="127"/>
      <c r="F292" s="128"/>
      <c r="G292" s="127"/>
      <c r="H292" s="127"/>
      <c r="I292" s="128"/>
      <c r="J292" s="127"/>
      <c r="K292" s="127"/>
    </row>
    <row r="293" spans="1:11" ht="18.75">
      <c r="A293" s="126"/>
      <c r="B293" s="126"/>
      <c r="C293" s="127"/>
      <c r="D293" s="127"/>
      <c r="E293" s="127"/>
      <c r="F293" s="128"/>
      <c r="G293" s="127"/>
      <c r="H293" s="127"/>
      <c r="I293" s="128"/>
      <c r="J293" s="127"/>
      <c r="K293" s="127"/>
    </row>
    <row r="294" spans="1:11" ht="18.75">
      <c r="A294" s="126"/>
      <c r="B294" s="126"/>
      <c r="C294" s="127"/>
      <c r="D294" s="127"/>
      <c r="E294" s="127"/>
      <c r="F294" s="128"/>
      <c r="G294" s="127"/>
      <c r="H294" s="127"/>
      <c r="I294" s="128"/>
      <c r="J294" s="127"/>
      <c r="K294" s="127"/>
    </row>
    <row r="295" spans="1:11" ht="18.75">
      <c r="A295" s="126"/>
      <c r="B295" s="126"/>
      <c r="C295" s="127"/>
      <c r="D295" s="127"/>
      <c r="E295" s="127"/>
      <c r="F295" s="128"/>
      <c r="G295" s="127"/>
      <c r="H295" s="127"/>
      <c r="I295" s="128"/>
      <c r="J295" s="127"/>
      <c r="K295" s="127"/>
    </row>
    <row r="296" spans="1:11" ht="18.75">
      <c r="A296" s="126"/>
      <c r="B296" s="126"/>
      <c r="C296" s="127"/>
      <c r="D296" s="127"/>
      <c r="E296" s="127"/>
      <c r="F296" s="128"/>
      <c r="G296" s="127"/>
      <c r="H296" s="127"/>
      <c r="I296" s="128"/>
      <c r="J296" s="127"/>
      <c r="K296" s="127"/>
    </row>
    <row r="297" spans="1:11" ht="18.75">
      <c r="A297" s="126"/>
      <c r="B297" s="126"/>
      <c r="C297" s="127"/>
      <c r="D297" s="127"/>
      <c r="E297" s="127"/>
      <c r="F297" s="128"/>
      <c r="G297" s="127"/>
      <c r="H297" s="127"/>
      <c r="I297" s="128"/>
      <c r="J297" s="127"/>
      <c r="K297" s="127"/>
    </row>
    <row r="298" spans="1:11" ht="18.75">
      <c r="A298" s="126"/>
      <c r="B298" s="126"/>
      <c r="C298" s="127"/>
      <c r="D298" s="127"/>
      <c r="E298" s="127"/>
      <c r="F298" s="128"/>
      <c r="G298" s="127"/>
      <c r="H298" s="127"/>
      <c r="I298" s="128"/>
      <c r="J298" s="127"/>
      <c r="K298" s="127"/>
    </row>
    <row r="299" spans="1:11" ht="18.75">
      <c r="A299" s="126"/>
      <c r="B299" s="126"/>
      <c r="C299" s="127"/>
      <c r="D299" s="127"/>
      <c r="E299" s="127"/>
      <c r="F299" s="128"/>
      <c r="G299" s="127"/>
      <c r="H299" s="127"/>
      <c r="I299" s="128"/>
      <c r="J299" s="127"/>
      <c r="K299" s="127"/>
    </row>
    <row r="300" spans="1:11" ht="18.75">
      <c r="A300" s="126"/>
      <c r="B300" s="126"/>
      <c r="C300" s="127"/>
      <c r="D300" s="127"/>
      <c r="E300" s="127"/>
      <c r="F300" s="128"/>
      <c r="G300" s="127"/>
      <c r="H300" s="127"/>
      <c r="I300" s="128"/>
      <c r="J300" s="127"/>
      <c r="K300" s="127"/>
    </row>
    <row r="301" spans="1:11" ht="18.75">
      <c r="A301" s="126"/>
      <c r="B301" s="126"/>
      <c r="C301" s="127"/>
      <c r="D301" s="127"/>
      <c r="E301" s="127"/>
      <c r="F301" s="128"/>
      <c r="G301" s="127"/>
      <c r="H301" s="127"/>
      <c r="I301" s="128"/>
      <c r="J301" s="127"/>
      <c r="K301" s="127"/>
    </row>
    <row r="302" spans="1:11" ht="18.75">
      <c r="A302" s="126"/>
      <c r="B302" s="126"/>
      <c r="C302" s="127"/>
      <c r="D302" s="127"/>
      <c r="E302" s="127"/>
      <c r="F302" s="128"/>
      <c r="G302" s="127"/>
      <c r="H302" s="127"/>
      <c r="I302" s="128"/>
      <c r="J302" s="127"/>
      <c r="K302" s="127"/>
    </row>
    <row r="303" spans="1:11" ht="18.75">
      <c r="A303" s="126"/>
      <c r="B303" s="126"/>
      <c r="C303" s="127"/>
      <c r="D303" s="127"/>
      <c r="E303" s="127"/>
      <c r="F303" s="128"/>
      <c r="G303" s="127"/>
      <c r="H303" s="127"/>
      <c r="I303" s="128"/>
      <c r="J303" s="127"/>
      <c r="K303" s="127"/>
    </row>
    <row r="304" spans="1:11" ht="18.75">
      <c r="A304" s="126"/>
      <c r="B304" s="126"/>
      <c r="C304" s="127"/>
      <c r="D304" s="127"/>
      <c r="E304" s="127"/>
      <c r="F304" s="128"/>
      <c r="G304" s="127"/>
      <c r="H304" s="127"/>
      <c r="I304" s="128"/>
      <c r="J304" s="127"/>
      <c r="K304" s="127"/>
    </row>
    <row r="305" spans="1:11" ht="18.75">
      <c r="A305" s="126"/>
      <c r="B305" s="126"/>
      <c r="C305" s="127"/>
      <c r="D305" s="127"/>
      <c r="E305" s="127"/>
      <c r="F305" s="128"/>
      <c r="G305" s="127"/>
      <c r="H305" s="127"/>
      <c r="I305" s="128"/>
      <c r="J305" s="127"/>
      <c r="K305" s="127"/>
    </row>
    <row r="306" spans="1:11" ht="18.75">
      <c r="A306" s="126"/>
      <c r="B306" s="126"/>
      <c r="C306" s="127"/>
      <c r="D306" s="127"/>
      <c r="E306" s="127"/>
      <c r="F306" s="128"/>
      <c r="G306" s="127"/>
      <c r="H306" s="127"/>
      <c r="I306" s="128"/>
      <c r="J306" s="127"/>
      <c r="K306" s="127"/>
    </row>
    <row r="307" spans="1:11" ht="18.75">
      <c r="A307" s="126"/>
      <c r="B307" s="126"/>
      <c r="C307" s="127"/>
      <c r="D307" s="127"/>
      <c r="E307" s="127"/>
      <c r="F307" s="128"/>
      <c r="G307" s="127"/>
      <c r="H307" s="127"/>
      <c r="I307" s="128"/>
      <c r="J307" s="127"/>
      <c r="K307" s="127"/>
    </row>
    <row r="308" spans="1:11" ht="18.75">
      <c r="A308" s="126"/>
      <c r="B308" s="126"/>
      <c r="C308" s="127"/>
      <c r="D308" s="127"/>
      <c r="E308" s="127"/>
      <c r="F308" s="128"/>
      <c r="G308" s="127"/>
      <c r="H308" s="127"/>
      <c r="I308" s="128"/>
      <c r="J308" s="127"/>
      <c r="K308" s="127"/>
    </row>
    <row r="309" spans="1:11" ht="18.75">
      <c r="A309" s="126"/>
      <c r="B309" s="126"/>
      <c r="C309" s="127"/>
      <c r="D309" s="127"/>
      <c r="E309" s="127"/>
      <c r="F309" s="128"/>
      <c r="G309" s="127"/>
      <c r="H309" s="127"/>
      <c r="I309" s="128"/>
      <c r="J309" s="127"/>
      <c r="K309" s="127"/>
    </row>
    <row r="310" spans="1:11" ht="18.75">
      <c r="A310" s="126"/>
      <c r="B310" s="126"/>
      <c r="C310" s="127"/>
      <c r="D310" s="127"/>
      <c r="E310" s="127"/>
      <c r="F310" s="128"/>
      <c r="G310" s="127"/>
      <c r="H310" s="127"/>
      <c r="I310" s="128"/>
      <c r="J310" s="127"/>
      <c r="K310" s="127"/>
    </row>
    <row r="311" spans="1:11" ht="18.75">
      <c r="A311" s="126"/>
      <c r="B311" s="126"/>
      <c r="C311" s="127"/>
      <c r="D311" s="127"/>
      <c r="E311" s="127"/>
      <c r="F311" s="128"/>
      <c r="G311" s="127"/>
      <c r="H311" s="127"/>
      <c r="I311" s="128"/>
      <c r="J311" s="127"/>
      <c r="K311" s="127"/>
    </row>
    <row r="312" spans="1:11" ht="18.75">
      <c r="A312" s="126"/>
      <c r="B312" s="126"/>
      <c r="C312" s="127"/>
      <c r="D312" s="127"/>
      <c r="E312" s="127"/>
      <c r="F312" s="128"/>
      <c r="G312" s="127"/>
      <c r="H312" s="127"/>
      <c r="I312" s="128"/>
      <c r="J312" s="127"/>
      <c r="K312" s="127"/>
    </row>
    <row r="313" spans="1:11" ht="18.75">
      <c r="A313" s="126"/>
      <c r="B313" s="126"/>
      <c r="C313" s="127"/>
      <c r="D313" s="127"/>
      <c r="E313" s="127"/>
      <c r="F313" s="128"/>
      <c r="G313" s="127"/>
      <c r="H313" s="127"/>
      <c r="I313" s="128"/>
      <c r="J313" s="127"/>
      <c r="K313" s="127"/>
    </row>
    <row r="314" spans="1:11" ht="18.75">
      <c r="A314" s="126"/>
      <c r="B314" s="126"/>
      <c r="C314" s="127"/>
      <c r="D314" s="127"/>
      <c r="E314" s="127"/>
      <c r="F314" s="128"/>
      <c r="G314" s="127"/>
      <c r="H314" s="127"/>
      <c r="I314" s="128"/>
      <c r="J314" s="127"/>
      <c r="K314" s="127"/>
    </row>
    <row r="315" spans="1:11" ht="18.75">
      <c r="A315" s="126"/>
      <c r="B315" s="126"/>
      <c r="C315" s="127"/>
      <c r="D315" s="127"/>
      <c r="E315" s="127"/>
      <c r="F315" s="128"/>
      <c r="G315" s="127"/>
      <c r="H315" s="127"/>
      <c r="I315" s="128"/>
      <c r="J315" s="127"/>
      <c r="K315" s="127"/>
    </row>
    <row r="316" spans="1:11" ht="18.75">
      <c r="A316" s="126"/>
      <c r="B316" s="126"/>
      <c r="C316" s="127"/>
      <c r="D316" s="127"/>
      <c r="E316" s="127"/>
      <c r="F316" s="128"/>
      <c r="G316" s="127"/>
      <c r="H316" s="127"/>
      <c r="I316" s="128"/>
      <c r="J316" s="127"/>
      <c r="K316" s="127"/>
    </row>
    <row r="317" spans="1:11" ht="18.75">
      <c r="A317" s="126"/>
      <c r="B317" s="126"/>
      <c r="C317" s="127"/>
      <c r="D317" s="127"/>
      <c r="E317" s="127"/>
      <c r="F317" s="128"/>
      <c r="G317" s="127"/>
      <c r="H317" s="127"/>
      <c r="I317" s="128"/>
      <c r="J317" s="127"/>
      <c r="K317" s="127"/>
    </row>
    <row r="318" spans="1:11" ht="18.75">
      <c r="A318" s="126"/>
      <c r="B318" s="126"/>
      <c r="C318" s="127"/>
      <c r="D318" s="127"/>
      <c r="E318" s="127"/>
      <c r="F318" s="128"/>
      <c r="G318" s="127"/>
      <c r="H318" s="127"/>
      <c r="I318" s="128"/>
      <c r="J318" s="127"/>
      <c r="K318" s="127"/>
    </row>
    <row r="319" spans="1:11" ht="18.75">
      <c r="A319" s="126"/>
      <c r="B319" s="126"/>
      <c r="C319" s="127"/>
      <c r="D319" s="127"/>
      <c r="E319" s="127"/>
      <c r="F319" s="128"/>
      <c r="G319" s="127"/>
      <c r="H319" s="127"/>
      <c r="I319" s="128"/>
      <c r="J319" s="127"/>
      <c r="K319" s="127"/>
    </row>
    <row r="320" spans="1:11" ht="18.75">
      <c r="A320" s="126"/>
      <c r="B320" s="126"/>
      <c r="C320" s="127"/>
      <c r="D320" s="127"/>
      <c r="E320" s="127"/>
      <c r="F320" s="128"/>
      <c r="G320" s="127"/>
      <c r="H320" s="127"/>
      <c r="I320" s="128"/>
      <c r="J320" s="127"/>
      <c r="K320" s="127"/>
    </row>
    <row r="321" spans="1:11" ht="18.75">
      <c r="A321" s="126"/>
      <c r="B321" s="126"/>
      <c r="C321" s="127"/>
      <c r="D321" s="127"/>
      <c r="E321" s="127"/>
      <c r="F321" s="128"/>
      <c r="G321" s="127"/>
      <c r="H321" s="127"/>
      <c r="I321" s="128"/>
      <c r="J321" s="127"/>
      <c r="K321" s="127"/>
    </row>
    <row r="322" spans="1:11" ht="18.75">
      <c r="A322" s="126"/>
      <c r="B322" s="126"/>
      <c r="C322" s="127"/>
      <c r="D322" s="127"/>
      <c r="E322" s="127"/>
      <c r="F322" s="128"/>
      <c r="G322" s="127"/>
      <c r="H322" s="127"/>
      <c r="I322" s="128"/>
      <c r="J322" s="127"/>
      <c r="K322" s="127"/>
    </row>
    <row r="323" spans="1:11" ht="18.75">
      <c r="A323" s="126"/>
      <c r="B323" s="126"/>
      <c r="C323" s="127"/>
      <c r="D323" s="127"/>
      <c r="E323" s="127"/>
      <c r="F323" s="128"/>
      <c r="G323" s="127"/>
      <c r="H323" s="127"/>
      <c r="I323" s="128"/>
      <c r="J323" s="127"/>
      <c r="K323" s="127"/>
    </row>
    <row r="324" spans="1:11" ht="18.75">
      <c r="A324" s="126"/>
      <c r="B324" s="126"/>
      <c r="C324" s="127"/>
      <c r="D324" s="127"/>
      <c r="E324" s="127"/>
      <c r="F324" s="128"/>
      <c r="G324" s="127"/>
      <c r="H324" s="127"/>
      <c r="I324" s="128"/>
      <c r="J324" s="127"/>
      <c r="K324" s="127"/>
    </row>
    <row r="325" spans="1:11" ht="18.75">
      <c r="A325" s="126"/>
      <c r="B325" s="126"/>
      <c r="C325" s="127"/>
      <c r="D325" s="127"/>
      <c r="E325" s="127"/>
      <c r="F325" s="128"/>
      <c r="G325" s="127"/>
      <c r="H325" s="127"/>
      <c r="I325" s="128"/>
      <c r="J325" s="127"/>
      <c r="K325" s="127"/>
    </row>
    <row r="326" spans="1:11" ht="18.75">
      <c r="A326" s="126"/>
      <c r="B326" s="126"/>
      <c r="C326" s="127"/>
      <c r="D326" s="127"/>
      <c r="E326" s="127"/>
      <c r="F326" s="128"/>
      <c r="G326" s="127"/>
      <c r="H326" s="127"/>
      <c r="I326" s="128"/>
      <c r="J326" s="127"/>
      <c r="K326" s="127"/>
    </row>
    <row r="327" spans="1:11" ht="18.75">
      <c r="A327" s="126"/>
      <c r="B327" s="126"/>
      <c r="C327" s="127"/>
      <c r="D327" s="127"/>
      <c r="E327" s="127"/>
      <c r="F327" s="128"/>
      <c r="G327" s="127"/>
      <c r="H327" s="127"/>
      <c r="I327" s="128"/>
      <c r="J327" s="127"/>
      <c r="K327" s="127"/>
    </row>
    <row r="328" spans="1:11" ht="18.75">
      <c r="C328" s="127"/>
      <c r="D328" s="127"/>
      <c r="E328" s="127"/>
      <c r="F328" s="128"/>
      <c r="G328" s="127"/>
      <c r="H328" s="127"/>
      <c r="I328" s="128"/>
      <c r="J328" s="127"/>
      <c r="K328" s="127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K9" r:id="rId2" display="https://us3.assetplanner.com/service_request?ID=105604" xr:uid="{EC55517F-1371-4D1F-9877-5AFC0FFAC05B}"/>
    <hyperlink ref="K10" r:id="rId3" display="https://us3.assetplanner.com/service_request?ID=103075" xr:uid="{96475A39-6DA8-4EDF-A6EA-519C1C468D3B}"/>
    <hyperlink ref="K13" r:id="rId4" display="https://us3.assetplanner.com/service_request?ID=105436" xr:uid="{FF499781-E07E-4092-B51A-0B35D92B199C}"/>
    <hyperlink ref="L4" r:id="rId5" display="https://us3.assetplanner.com/service_request?ID=101743" xr:uid="{4B00F580-FF04-4A2A-95C3-CD472DC56ABF}"/>
    <hyperlink ref="K16" r:id="rId6" display="https://us3.assetplanner.com/service_request?ID=105517" xr:uid="{93E8488C-433A-4F76-9F43-08112DD9F803}"/>
    <hyperlink ref="K18" r:id="rId7" display="https://us3.assetplanner.com/service_request?ID=087054" xr:uid="{1C1622A6-288B-4883-9088-121134A3D9CA}"/>
    <hyperlink ref="K19" r:id="rId8" display="https://us3.assetplanner.com/service_request?ID=088667" xr:uid="{6AA7B3B2-C526-4FE0-BA75-5324C2EECE82}"/>
    <hyperlink ref="L19" r:id="rId9" display="https://us3.assetplanner.com/service_request?ID=077700" xr:uid="{E3275D74-8147-4636-95C2-0C91A570F0D1}"/>
    <hyperlink ref="K20" r:id="rId10" display="https://us3.assetplanner.com/service_request?ID=098782" xr:uid="{7CAB2B80-382D-4927-B787-B9DF78E3264B}"/>
    <hyperlink ref="K22" r:id="rId11" display="https://us3.assetplanner.com/service_request?ID=105483" xr:uid="{59065DD8-0528-4338-AA06-D8A17E8299C2}"/>
    <hyperlink ref="L22" r:id="rId12" display="https://us3.assetplanner.com/service_request?ID=105331" xr:uid="{E4EB3783-A3D7-43BC-B690-0878D02F38D6}"/>
    <hyperlink ref="K24" r:id="rId13" display="https://us3.assetplanner.com/service_request?ID=099323" xr:uid="{8E21F0F6-97AD-4F51-BE5B-90E650ABEE11}"/>
    <hyperlink ref="K34" r:id="rId14" display="https://us3.assetplanner.com/service_request?ID=100979" xr:uid="{9125A672-A476-43EC-A9D8-A721017D19C7}"/>
    <hyperlink ref="K38" r:id="rId15" display="https://us3.assetplanner.com/service_request?ID=100592" xr:uid="{429316E3-3384-49E0-B7AE-39BBD00A266C}"/>
    <hyperlink ref="K46" r:id="rId16" display="https://us3.assetplanner.com/service_request?ID=075812" xr:uid="{9D30BB58-CEE7-45D6-8DCB-4968609508AD}"/>
    <hyperlink ref="K56" r:id="rId17" display="https://us3.assetplanner.com/service_request?ID=099750" xr:uid="{040A5E90-171B-4A22-8083-72E3FFE7102D}"/>
    <hyperlink ref="K62" r:id="rId18" display="https://us3.assetplanner.com/service_request?ID=105312" xr:uid="{5CF408A8-9691-488F-B346-B48BBD0CE928}"/>
    <hyperlink ref="K67" r:id="rId19" display="https://us3.assetplanner.com/service_request?ID=101247" xr:uid="{01F7E8F7-348B-4894-A8C0-996F2DCC950A}"/>
    <hyperlink ref="K75" r:id="rId20" display="https://us3.assetplanner.com/service_request?ID=104629" xr:uid="{A17E79ED-4FE0-4024-AFB7-05568BF87F52}"/>
    <hyperlink ref="K83" r:id="rId21" display="https://us3.assetplanner.com/service_request?ID=098897" xr:uid="{967A2161-8A3D-4292-9C91-C9BBBBB7FD29}"/>
    <hyperlink ref="L83" r:id="rId22" display="https://us3.assetplanner.com/service_request?ID=104705" xr:uid="{CB85FD27-AA02-4642-B02C-01C78AA1E07D}"/>
    <hyperlink ref="K45" r:id="rId23" display="SR104082" xr:uid="{225DAA1F-BB7C-44DE-A17D-EA1656A2C2BD}"/>
    <hyperlink ref="K47" r:id="rId24" xr:uid="{69761159-8D30-4D50-B79D-D6A393741369}"/>
  </hyperlinks>
  <pageMargins left="0.4" right="0.7" top="0.25" bottom="0.25" header="0.3" footer="0.3"/>
  <pageSetup fitToHeight="99" orientation="landscape" r:id="rId2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4" activePane="bottomRight" state="frozen"/>
      <selection pane="bottomRight" activeCell="E17" sqref="E17"/>
      <selection pane="bottomLeft" activeCell="H74" sqref="H74"/>
      <selection pane="topRight" activeCell="H74" sqref="H74"/>
    </sheetView>
  </sheetViews>
  <sheetFormatPr defaultRowHeight="14.25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75">
      <c r="B1" s="218" t="str" cm="1">
        <f t="array" ref="B1">portfolio</f>
        <v>Wells Fargo</v>
      </c>
      <c r="C1" s="218"/>
      <c r="D1" s="218"/>
      <c r="E1" s="219" t="s">
        <v>301</v>
      </c>
      <c r="F1" s="219"/>
      <c r="G1" s="219"/>
      <c r="H1" s="217" t="s">
        <v>302</v>
      </c>
      <c r="I1" s="217"/>
      <c r="J1" s="217"/>
      <c r="K1" t="s">
        <v>29</v>
      </c>
      <c r="L1" s="3"/>
    </row>
    <row r="2" spans="1:20" ht="15.75">
      <c r="B2" s="228" t="s">
        <v>2</v>
      </c>
      <c r="C2" s="228"/>
      <c r="D2" s="4">
        <f>SUM(D4:D91)</f>
        <v>2009885.9516048443</v>
      </c>
      <c r="E2" s="4">
        <f>SUM(E4:E91)</f>
        <v>1954765.1180999998</v>
      </c>
      <c r="F2" s="4">
        <f>D2-E2</f>
        <v>55120.833504844457</v>
      </c>
      <c r="G2" s="5">
        <f>IFERROR(F2/E2, 0)</f>
        <v>2.8198187595254932E-2</v>
      </c>
      <c r="H2" s="4">
        <f>SUM(H4:H91)</f>
        <v>2174762.8205999997</v>
      </c>
      <c r="I2" s="6">
        <f>D2-H2</f>
        <v>-164876.86899515544</v>
      </c>
      <c r="J2" s="5">
        <f>IFERROR(I2/H2, 0)</f>
        <v>-7.5813724344279174E-2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75">
      <c r="B3" s="24" t="s">
        <v>3</v>
      </c>
      <c r="C3" s="24" t="s">
        <v>39</v>
      </c>
      <c r="D3" s="200" t="s">
        <v>4</v>
      </c>
      <c r="E3" s="201" t="s">
        <v>5</v>
      </c>
      <c r="F3" s="201" t="s">
        <v>6</v>
      </c>
      <c r="G3" s="202" t="s">
        <v>7</v>
      </c>
      <c r="H3" s="203" t="s">
        <v>8</v>
      </c>
      <c r="I3" s="204" t="s">
        <v>6</v>
      </c>
      <c r="J3" s="205" t="s">
        <v>7</v>
      </c>
      <c r="K3" s="206" t="s">
        <v>48</v>
      </c>
      <c r="L3" s="206" t="s">
        <v>49</v>
      </c>
    </row>
    <row r="4" spans="1:20" ht="15.75">
      <c r="A4">
        <v>1</v>
      </c>
      <c r="B4" s="162" t="str" cm="1">
        <f t="array" ref="B4:B84">Sites[Site]</f>
        <v>Adams &amp; Broadway</v>
      </c>
      <c r="C4" s="163" t="str" cm="1">
        <f t="array" ref="C4:C84">Sites[State]</f>
        <v>CA</v>
      </c>
      <c r="D4" s="164">
        <v>1193.3</v>
      </c>
      <c r="E4" s="165" t="s">
        <v>217</v>
      </c>
      <c r="F4" s="165" t="str">
        <f t="shared" ref="F4:F35" si="0">IF(AND(ISNUMBER(D4),ISNUMBER(E4)), D4-E4, "")</f>
        <v/>
      </c>
      <c r="G4" s="166" t="str">
        <f t="shared" ref="G4:G35" si="1">IFERROR(F4/E4, "")</f>
        <v/>
      </c>
      <c r="H4" s="167">
        <v>1312</v>
      </c>
      <c r="I4" s="167">
        <f t="shared" ref="I4:I35" si="2">IF(AND(ISNUMBER(D4),ISNUMBER(H4)), D4-H4, "")</f>
        <v>-118.70000000000005</v>
      </c>
      <c r="J4" s="166">
        <f t="shared" ref="J4:J35" si="3">IFERROR(I4/H4, "")</f>
        <v>-9.0472560975609795E-2</v>
      </c>
      <c r="K4" s="168"/>
      <c r="L4" s="168"/>
      <c r="M4" s="169"/>
      <c r="N4" s="169"/>
      <c r="O4" s="63"/>
      <c r="P4" s="63"/>
      <c r="Q4" s="63"/>
      <c r="R4" s="63"/>
      <c r="S4" s="63"/>
      <c r="T4" s="63"/>
    </row>
    <row r="5" spans="1:20" ht="15.75">
      <c r="A5">
        <f>A4+1</f>
        <v>2</v>
      </c>
      <c r="B5" s="170" t="str">
        <v>Otay Mesa</v>
      </c>
      <c r="C5" s="163" t="str">
        <v>CA</v>
      </c>
      <c r="D5" s="164">
        <v>39.101999999999997</v>
      </c>
      <c r="E5" s="165" t="s">
        <v>217</v>
      </c>
      <c r="F5" s="165" t="str">
        <f t="shared" si="0"/>
        <v/>
      </c>
      <c r="G5" s="166" t="str">
        <f t="shared" si="1"/>
        <v/>
      </c>
      <c r="H5" s="171" t="s">
        <v>217</v>
      </c>
      <c r="I5" s="167" t="str">
        <f t="shared" si="2"/>
        <v/>
      </c>
      <c r="J5" s="166" t="str">
        <f t="shared" si="3"/>
        <v/>
      </c>
      <c r="K5" s="172" t="s">
        <v>51</v>
      </c>
      <c r="L5" s="173"/>
      <c r="M5" s="169"/>
      <c r="N5" s="169"/>
      <c r="O5" s="63"/>
      <c r="P5" s="63"/>
      <c r="Q5" s="63"/>
      <c r="R5" s="63"/>
      <c r="S5" s="63"/>
      <c r="T5" s="63"/>
    </row>
    <row r="6" spans="1:20" ht="15.75">
      <c r="A6">
        <f t="shared" ref="A6:A69" si="4">A5+1</f>
        <v>3</v>
      </c>
      <c r="B6" s="170" t="str">
        <v>San Leandro</v>
      </c>
      <c r="C6" s="163" t="str">
        <v>CA</v>
      </c>
      <c r="D6" s="164">
        <v>0</v>
      </c>
      <c r="E6" s="165" t="s">
        <v>217</v>
      </c>
      <c r="F6" s="165" t="str">
        <f t="shared" si="0"/>
        <v/>
      </c>
      <c r="G6" s="166" t="str">
        <f t="shared" si="1"/>
        <v/>
      </c>
      <c r="H6" s="167">
        <v>0</v>
      </c>
      <c r="I6" s="167">
        <f t="shared" si="2"/>
        <v>0</v>
      </c>
      <c r="J6" s="166" t="str">
        <f t="shared" si="3"/>
        <v/>
      </c>
      <c r="K6" s="174" t="s">
        <v>218</v>
      </c>
      <c r="L6" s="175" t="s">
        <v>166</v>
      </c>
      <c r="M6" s="169"/>
      <c r="N6" s="169"/>
      <c r="O6" s="63"/>
      <c r="P6" s="63"/>
      <c r="Q6" s="63"/>
      <c r="R6" s="63"/>
      <c r="S6" s="63"/>
      <c r="T6" s="63"/>
    </row>
    <row r="7" spans="1:20" ht="30">
      <c r="A7">
        <f t="shared" si="4"/>
        <v>4</v>
      </c>
      <c r="B7" s="170" t="str">
        <v>Van Nuys</v>
      </c>
      <c r="C7" s="163" t="str">
        <v>CA</v>
      </c>
      <c r="D7" s="164">
        <v>1834.8</v>
      </c>
      <c r="E7" s="165" t="s">
        <v>217</v>
      </c>
      <c r="F7" s="165" t="str">
        <f t="shared" si="0"/>
        <v/>
      </c>
      <c r="G7" s="166" t="str">
        <f t="shared" si="1"/>
        <v/>
      </c>
      <c r="H7" s="167">
        <v>2594.9969999999998</v>
      </c>
      <c r="I7" s="167">
        <f t="shared" si="2"/>
        <v>-760.19699999999989</v>
      </c>
      <c r="J7" s="166">
        <f t="shared" si="3"/>
        <v>-0.29294715947648492</v>
      </c>
      <c r="K7" s="173" t="s">
        <v>103</v>
      </c>
      <c r="L7" s="173"/>
      <c r="M7" s="169"/>
      <c r="N7" s="169"/>
      <c r="O7" s="63"/>
      <c r="P7" s="63"/>
      <c r="Q7" s="63"/>
      <c r="R7" s="63"/>
      <c r="S7" s="63"/>
      <c r="T7" s="63"/>
    </row>
    <row r="8" spans="1:20" ht="15.75">
      <c r="A8">
        <f t="shared" si="4"/>
        <v>5</v>
      </c>
      <c r="B8" s="170" t="str">
        <v>98th &amp; Grant</v>
      </c>
      <c r="C8" s="163" t="str">
        <v>CO</v>
      </c>
      <c r="D8" s="164">
        <v>2312.8000000000002</v>
      </c>
      <c r="E8" s="165" t="s">
        <v>217</v>
      </c>
      <c r="F8" s="165" t="str">
        <f t="shared" si="0"/>
        <v/>
      </c>
      <c r="G8" s="166" t="str">
        <f t="shared" si="1"/>
        <v/>
      </c>
      <c r="H8" s="167">
        <v>2124</v>
      </c>
      <c r="I8" s="167">
        <f t="shared" si="2"/>
        <v>188.80000000000018</v>
      </c>
      <c r="J8" s="166">
        <f t="shared" si="3"/>
        <v>8.8888888888888976E-2</v>
      </c>
      <c r="K8" s="168"/>
      <c r="L8" s="168"/>
      <c r="M8" s="169"/>
      <c r="N8" s="169"/>
      <c r="O8" s="63"/>
      <c r="P8" s="63"/>
      <c r="Q8" s="63"/>
      <c r="R8" s="63"/>
      <c r="S8" s="63"/>
      <c r="T8" s="63"/>
    </row>
    <row r="9" spans="1:20" ht="30">
      <c r="A9">
        <f t="shared" si="4"/>
        <v>6</v>
      </c>
      <c r="B9" s="170" t="str">
        <v>Arapahoe Crossings</v>
      </c>
      <c r="C9" s="163" t="str">
        <v>CO</v>
      </c>
      <c r="D9" s="164">
        <v>3029.69419015011</v>
      </c>
      <c r="E9" s="165" t="s">
        <v>217</v>
      </c>
      <c r="F9" s="165" t="str">
        <f t="shared" si="0"/>
        <v/>
      </c>
      <c r="G9" s="166" t="str">
        <f t="shared" si="1"/>
        <v/>
      </c>
      <c r="H9" s="167">
        <v>3982.2669999999998</v>
      </c>
      <c r="I9" s="167">
        <f t="shared" si="2"/>
        <v>-952.57280984988984</v>
      </c>
      <c r="J9" s="166">
        <f t="shared" si="3"/>
        <v>-0.23920365205293614</v>
      </c>
      <c r="K9" s="173" t="s">
        <v>303</v>
      </c>
      <c r="L9" s="175" t="s">
        <v>253</v>
      </c>
      <c r="M9" s="169"/>
      <c r="N9" s="169"/>
      <c r="O9" s="63"/>
      <c r="P9" s="63"/>
      <c r="Q9" s="63"/>
      <c r="R9" s="63"/>
      <c r="S9" s="63"/>
      <c r="T9" s="63"/>
    </row>
    <row r="10" spans="1:20" ht="15.75">
      <c r="A10">
        <f t="shared" si="4"/>
        <v>7</v>
      </c>
      <c r="B10" s="170" t="str">
        <v>Aurora City Center</v>
      </c>
      <c r="C10" s="163" t="str">
        <v>CO</v>
      </c>
      <c r="D10" s="164">
        <v>1839.5</v>
      </c>
      <c r="E10" s="165" t="s">
        <v>217</v>
      </c>
      <c r="F10" s="165" t="str">
        <f t="shared" si="0"/>
        <v/>
      </c>
      <c r="G10" s="166" t="str">
        <f t="shared" si="1"/>
        <v/>
      </c>
      <c r="H10" s="167">
        <v>1840</v>
      </c>
      <c r="I10" s="167">
        <f t="shared" si="2"/>
        <v>-0.5</v>
      </c>
      <c r="J10" s="166">
        <f t="shared" si="3"/>
        <v>-2.7173913043478261E-4</v>
      </c>
      <c r="K10" s="168" t="s">
        <v>304</v>
      </c>
      <c r="L10" s="175" t="s">
        <v>256</v>
      </c>
      <c r="M10" s="169"/>
      <c r="N10" s="169"/>
      <c r="O10" s="63"/>
      <c r="P10" s="63"/>
      <c r="Q10" s="63"/>
      <c r="R10" s="63"/>
      <c r="S10" s="63"/>
      <c r="T10" s="63"/>
    </row>
    <row r="11" spans="1:20" ht="15.75">
      <c r="A11">
        <f t="shared" si="4"/>
        <v>8</v>
      </c>
      <c r="B11" s="170" t="str">
        <v>Dry Creek</v>
      </c>
      <c r="C11" s="163" t="str">
        <v>CO</v>
      </c>
      <c r="D11" s="164">
        <v>2456.4000000000101</v>
      </c>
      <c r="E11" s="165">
        <v>0</v>
      </c>
      <c r="F11" s="165">
        <f t="shared" si="0"/>
        <v>2456.4000000000101</v>
      </c>
      <c r="G11" s="166" t="str">
        <f t="shared" si="1"/>
        <v/>
      </c>
      <c r="H11" s="167">
        <v>2319</v>
      </c>
      <c r="I11" s="167">
        <f t="shared" si="2"/>
        <v>137.4000000000101</v>
      </c>
      <c r="J11" s="166">
        <f t="shared" si="3"/>
        <v>5.9249676584739154E-2</v>
      </c>
      <c r="K11" s="173"/>
      <c r="L11" s="173"/>
      <c r="M11" s="169"/>
      <c r="N11" s="169"/>
      <c r="O11" s="63"/>
      <c r="P11" s="63"/>
      <c r="Q11" s="63"/>
      <c r="R11" s="63"/>
      <c r="S11" s="63"/>
      <c r="T11" s="63"/>
    </row>
    <row r="12" spans="1:20" ht="15.75">
      <c r="A12">
        <f t="shared" si="4"/>
        <v>9</v>
      </c>
      <c r="B12" s="170" t="str">
        <v>Highlands Ranch S.</v>
      </c>
      <c r="C12" s="163" t="str">
        <v>CO</v>
      </c>
      <c r="D12" s="164">
        <v>2054.6000000000199</v>
      </c>
      <c r="E12" s="165" t="s">
        <v>217</v>
      </c>
      <c r="F12" s="165" t="str">
        <f t="shared" si="0"/>
        <v/>
      </c>
      <c r="G12" s="166" t="str">
        <f t="shared" si="1"/>
        <v/>
      </c>
      <c r="H12" s="167">
        <v>2235</v>
      </c>
      <c r="I12" s="167">
        <f t="shared" si="2"/>
        <v>-180.39999999998008</v>
      </c>
      <c r="J12" s="166">
        <f t="shared" si="3"/>
        <v>-8.0715883668894886E-2</v>
      </c>
      <c r="K12" s="168"/>
      <c r="L12" s="168"/>
      <c r="M12" s="169"/>
      <c r="N12" s="169"/>
      <c r="O12" s="63"/>
      <c r="P12" s="63"/>
      <c r="Q12" s="63"/>
      <c r="R12" s="63"/>
      <c r="S12" s="63"/>
      <c r="T12" s="63"/>
    </row>
    <row r="13" spans="1:20" ht="30">
      <c r="A13">
        <f t="shared" si="4"/>
        <v>10</v>
      </c>
      <c r="B13" s="170" t="str">
        <v>Lone Tree</v>
      </c>
      <c r="C13" s="163" t="str">
        <v>CO</v>
      </c>
      <c r="D13" s="164">
        <v>0</v>
      </c>
      <c r="E13" s="165" t="s">
        <v>217</v>
      </c>
      <c r="F13" s="165" t="str">
        <f t="shared" si="0"/>
        <v/>
      </c>
      <c r="G13" s="166" t="str">
        <f t="shared" si="1"/>
        <v/>
      </c>
      <c r="H13" s="167">
        <v>5091</v>
      </c>
      <c r="I13" s="167">
        <f t="shared" si="2"/>
        <v>-5091</v>
      </c>
      <c r="J13" s="166">
        <f t="shared" si="3"/>
        <v>-1</v>
      </c>
      <c r="K13" s="173" t="s">
        <v>305</v>
      </c>
      <c r="L13" s="175" t="s">
        <v>306</v>
      </c>
      <c r="M13" s="169"/>
      <c r="N13" s="169"/>
      <c r="O13" s="63"/>
      <c r="P13" s="63"/>
      <c r="Q13" s="63"/>
      <c r="R13" s="63"/>
      <c r="S13" s="63"/>
      <c r="T13" s="63"/>
    </row>
    <row r="14" spans="1:20" ht="30">
      <c r="A14">
        <f t="shared" si="4"/>
        <v>11</v>
      </c>
      <c r="B14" s="170" t="str">
        <v>Meridian</v>
      </c>
      <c r="C14" s="163" t="str">
        <v>CO</v>
      </c>
      <c r="D14" s="164">
        <v>0</v>
      </c>
      <c r="E14" s="165" t="s">
        <v>217</v>
      </c>
      <c r="F14" s="165" t="str">
        <f t="shared" si="0"/>
        <v/>
      </c>
      <c r="G14" s="166" t="str">
        <f t="shared" si="1"/>
        <v/>
      </c>
      <c r="H14" s="167">
        <v>2948</v>
      </c>
      <c r="I14" s="167">
        <f t="shared" si="2"/>
        <v>-2948</v>
      </c>
      <c r="J14" s="166">
        <f t="shared" si="3"/>
        <v>-1</v>
      </c>
      <c r="K14" s="168" t="s">
        <v>305</v>
      </c>
      <c r="L14" s="175" t="s">
        <v>307</v>
      </c>
      <c r="M14" s="169"/>
      <c r="N14" s="169"/>
      <c r="O14" s="63"/>
      <c r="P14" s="63"/>
      <c r="Q14" s="63"/>
      <c r="R14" s="63"/>
      <c r="S14" s="63"/>
      <c r="T14" s="63"/>
    </row>
    <row r="15" spans="1:20" ht="15.75">
      <c r="A15">
        <f t="shared" si="4"/>
        <v>12</v>
      </c>
      <c r="B15" s="170" t="str">
        <v>Southglenn</v>
      </c>
      <c r="C15" s="163" t="str">
        <v>CO</v>
      </c>
      <c r="D15" s="164">
        <v>3255.2</v>
      </c>
      <c r="E15" s="165" t="s">
        <v>217</v>
      </c>
      <c r="F15" s="165" t="str">
        <f t="shared" si="0"/>
        <v/>
      </c>
      <c r="G15" s="166" t="str">
        <f t="shared" si="1"/>
        <v/>
      </c>
      <c r="H15" s="167">
        <v>3016</v>
      </c>
      <c r="I15" s="167">
        <f t="shared" si="2"/>
        <v>239.19999999999982</v>
      </c>
      <c r="J15" s="166">
        <f t="shared" si="3"/>
        <v>7.9310344827586143E-2</v>
      </c>
      <c r="K15" s="173"/>
      <c r="L15" s="173"/>
      <c r="M15" s="169"/>
      <c r="N15" s="169"/>
      <c r="O15" s="63"/>
      <c r="P15" s="63"/>
      <c r="Q15" s="63"/>
      <c r="R15" s="63"/>
      <c r="S15" s="63"/>
      <c r="T15" s="63"/>
    </row>
    <row r="16" spans="1:20" ht="15.75">
      <c r="A16" s="157">
        <f t="shared" si="4"/>
        <v>13</v>
      </c>
      <c r="B16" s="176" t="str">
        <v>Standley Lake</v>
      </c>
      <c r="C16" s="177" t="str">
        <v>CO</v>
      </c>
      <c r="D16" s="178">
        <v>4329.5</v>
      </c>
      <c r="E16" s="179" t="s">
        <v>217</v>
      </c>
      <c r="F16" s="179" t="str">
        <f t="shared" si="0"/>
        <v/>
      </c>
      <c r="G16" s="180" t="str">
        <f t="shared" si="1"/>
        <v/>
      </c>
      <c r="H16" s="181">
        <v>4022</v>
      </c>
      <c r="I16" s="181">
        <f t="shared" si="2"/>
        <v>307.5</v>
      </c>
      <c r="J16" s="180">
        <f t="shared" si="3"/>
        <v>7.6454500248632526E-2</v>
      </c>
      <c r="K16" s="182" t="s">
        <v>260</v>
      </c>
      <c r="L16" s="183" t="s">
        <v>261</v>
      </c>
      <c r="M16" s="169"/>
      <c r="N16" s="169"/>
      <c r="O16" s="63"/>
      <c r="P16" s="63"/>
      <c r="Q16" s="63"/>
      <c r="R16" s="63"/>
      <c r="S16" s="63"/>
      <c r="T16" s="63"/>
    </row>
    <row r="17" spans="1:20" ht="60">
      <c r="A17">
        <f t="shared" si="4"/>
        <v>14</v>
      </c>
      <c r="B17" s="170" t="str">
        <v>Havana Gardens</v>
      </c>
      <c r="C17" s="163" t="str">
        <v>CO</v>
      </c>
      <c r="D17" s="164">
        <v>3738.99999999999</v>
      </c>
      <c r="E17" s="165" t="s">
        <v>217</v>
      </c>
      <c r="F17" s="165" t="str">
        <f t="shared" si="0"/>
        <v/>
      </c>
      <c r="G17" s="166" t="str">
        <f t="shared" si="1"/>
        <v/>
      </c>
      <c r="H17" s="167">
        <v>1565</v>
      </c>
      <c r="I17" s="167">
        <f t="shared" si="2"/>
        <v>2173.99999999999</v>
      </c>
      <c r="J17" s="166">
        <f t="shared" si="3"/>
        <v>1.3891373801916869</v>
      </c>
      <c r="K17" s="173" t="s">
        <v>225</v>
      </c>
      <c r="L17" s="173"/>
      <c r="M17" s="169"/>
      <c r="N17" s="169"/>
      <c r="O17" s="63"/>
      <c r="P17" s="63"/>
      <c r="Q17" s="63"/>
      <c r="R17" s="63"/>
      <c r="S17" s="63"/>
      <c r="T17" s="63"/>
    </row>
    <row r="18" spans="1:20" ht="15.75">
      <c r="A18">
        <f t="shared" si="4"/>
        <v>15</v>
      </c>
      <c r="B18" s="170" t="str">
        <v>East Hartford</v>
      </c>
      <c r="C18" s="163" t="str">
        <v>CT</v>
      </c>
      <c r="D18" s="164">
        <v>878.30000000000302</v>
      </c>
      <c r="E18" s="165">
        <v>952.80989999999997</v>
      </c>
      <c r="F18" s="165">
        <f t="shared" si="0"/>
        <v>-74.509899999996946</v>
      </c>
      <c r="G18" s="166">
        <f t="shared" si="1"/>
        <v>-7.8200174032613382E-2</v>
      </c>
      <c r="H18" s="167">
        <v>956.79160000000002</v>
      </c>
      <c r="I18" s="167">
        <f t="shared" si="2"/>
        <v>-78.491599999996993</v>
      </c>
      <c r="J18" s="166">
        <f t="shared" si="3"/>
        <v>-8.2036255335014435E-2</v>
      </c>
      <c r="K18" s="168"/>
      <c r="L18" s="175"/>
      <c r="M18" s="169"/>
      <c r="N18" s="169"/>
      <c r="O18" s="63"/>
      <c r="P18" s="63"/>
      <c r="Q18" s="63"/>
      <c r="R18" s="63"/>
      <c r="S18" s="63"/>
      <c r="T18" s="63"/>
    </row>
    <row r="19" spans="1:20" ht="75">
      <c r="A19">
        <f t="shared" si="4"/>
        <v>16</v>
      </c>
      <c r="B19" s="170" t="str">
        <v>Norwalk</v>
      </c>
      <c r="C19" s="163" t="str">
        <v>CT</v>
      </c>
      <c r="D19" s="164">
        <v>984.94915910941199</v>
      </c>
      <c r="E19" s="165">
        <v>0</v>
      </c>
      <c r="F19" s="165">
        <f t="shared" si="0"/>
        <v>984.94915910941199</v>
      </c>
      <c r="G19" s="166" t="str">
        <f t="shared" si="1"/>
        <v/>
      </c>
      <c r="H19" s="167">
        <v>1224.145</v>
      </c>
      <c r="I19" s="167">
        <f t="shared" si="2"/>
        <v>-239.19584089058799</v>
      </c>
      <c r="J19" s="166">
        <f t="shared" si="3"/>
        <v>-0.19539829096274378</v>
      </c>
      <c r="K19" s="173" t="s">
        <v>266</v>
      </c>
      <c r="L19" s="175" t="s">
        <v>56</v>
      </c>
      <c r="M19" s="184" t="s">
        <v>57</v>
      </c>
      <c r="N19" s="169"/>
      <c r="O19" s="63"/>
      <c r="P19" s="63"/>
      <c r="Q19" s="63"/>
      <c r="R19" s="63"/>
      <c r="S19" s="63"/>
      <c r="T19" s="63"/>
    </row>
    <row r="20" spans="1:20" ht="45">
      <c r="A20" s="157">
        <f t="shared" si="4"/>
        <v>17</v>
      </c>
      <c r="B20" s="176" t="str">
        <v>Hialeah Gardens</v>
      </c>
      <c r="C20" s="177" t="str">
        <v>FL</v>
      </c>
      <c r="D20" s="178">
        <v>753.60254770517304</v>
      </c>
      <c r="E20" s="179">
        <v>4768.6099999999997</v>
      </c>
      <c r="F20" s="179">
        <f t="shared" si="0"/>
        <v>-4015.0074522948266</v>
      </c>
      <c r="G20" s="180">
        <f t="shared" si="1"/>
        <v>-0.84196599266763839</v>
      </c>
      <c r="H20" s="181">
        <v>5217</v>
      </c>
      <c r="I20" s="181">
        <f t="shared" si="2"/>
        <v>-4463.3974522948265</v>
      </c>
      <c r="J20" s="180">
        <f t="shared" si="3"/>
        <v>-0.85554867784067978</v>
      </c>
      <c r="K20" s="182" t="s">
        <v>308</v>
      </c>
      <c r="L20" s="183" t="s">
        <v>309</v>
      </c>
      <c r="M20" s="184" t="s">
        <v>310</v>
      </c>
      <c r="N20" s="169"/>
      <c r="O20" s="63"/>
      <c r="P20" s="63"/>
      <c r="Q20" s="63"/>
      <c r="R20" s="63"/>
      <c r="S20" s="63"/>
      <c r="T20" s="63"/>
    </row>
    <row r="21" spans="1:20" ht="15.75">
      <c r="A21">
        <f t="shared" si="4"/>
        <v>18</v>
      </c>
      <c r="B21" s="170" t="str">
        <v>W. Des Moines Campus EAST</v>
      </c>
      <c r="C21" s="163" t="str">
        <v>IA</v>
      </c>
      <c r="D21" s="164">
        <v>201998</v>
      </c>
      <c r="E21" s="165">
        <v>197228</v>
      </c>
      <c r="F21" s="165">
        <f t="shared" si="0"/>
        <v>4770</v>
      </c>
      <c r="G21" s="166">
        <f t="shared" si="1"/>
        <v>2.4185206968584581E-2</v>
      </c>
      <c r="H21" s="167">
        <v>197900</v>
      </c>
      <c r="I21" s="167">
        <f t="shared" si="2"/>
        <v>4098</v>
      </c>
      <c r="J21" s="166">
        <f t="shared" si="3"/>
        <v>2.0707427993936333E-2</v>
      </c>
      <c r="K21" s="173"/>
      <c r="L21" s="173"/>
      <c r="M21" s="169"/>
      <c r="N21" s="169"/>
      <c r="O21" s="63"/>
      <c r="P21" s="63"/>
      <c r="Q21" s="63"/>
      <c r="R21" s="63"/>
      <c r="S21" s="63"/>
      <c r="T21" s="63"/>
    </row>
    <row r="22" spans="1:20" ht="72" customHeight="1">
      <c r="A22" s="157">
        <f t="shared" si="4"/>
        <v>19</v>
      </c>
      <c r="B22" s="176" t="str">
        <v>W. Des Moines Campus SW</v>
      </c>
      <c r="C22" s="177" t="str">
        <v>IA</v>
      </c>
      <c r="D22" s="178">
        <v>73064.5</v>
      </c>
      <c r="E22" s="179">
        <v>98477.19</v>
      </c>
      <c r="F22" s="179">
        <f t="shared" si="0"/>
        <v>-25412.690000000002</v>
      </c>
      <c r="G22" s="180">
        <f t="shared" si="1"/>
        <v>-0.25805661189154566</v>
      </c>
      <c r="H22" s="181">
        <v>97149.42</v>
      </c>
      <c r="I22" s="181">
        <f t="shared" si="2"/>
        <v>-24084.92</v>
      </c>
      <c r="J22" s="180">
        <f t="shared" si="3"/>
        <v>-0.24791625106974388</v>
      </c>
      <c r="K22" s="182" t="s">
        <v>311</v>
      </c>
      <c r="L22" s="183" t="s">
        <v>269</v>
      </c>
      <c r="M22" s="184" t="s">
        <v>270</v>
      </c>
      <c r="N22" s="169"/>
      <c r="O22" s="63"/>
      <c r="P22" s="63"/>
      <c r="Q22" s="63"/>
      <c r="R22" s="63"/>
      <c r="S22" s="63"/>
      <c r="T22" s="63"/>
    </row>
    <row r="23" spans="1:20" ht="45">
      <c r="A23">
        <f t="shared" si="4"/>
        <v>20</v>
      </c>
      <c r="B23" s="176" t="str">
        <v>WF - CIC</v>
      </c>
      <c r="C23" s="177" t="str">
        <v>NC</v>
      </c>
      <c r="D23" s="178">
        <v>144278</v>
      </c>
      <c r="E23" s="179">
        <v>149904.20000000001</v>
      </c>
      <c r="F23" s="179">
        <f t="shared" si="0"/>
        <v>-5626.2000000000116</v>
      </c>
      <c r="G23" s="180">
        <f t="shared" si="1"/>
        <v>-3.7531970418440655E-2</v>
      </c>
      <c r="H23" s="181">
        <v>193435</v>
      </c>
      <c r="I23" s="181">
        <f t="shared" si="2"/>
        <v>-49157</v>
      </c>
      <c r="J23" s="180">
        <f t="shared" si="3"/>
        <v>-0.25412670923049085</v>
      </c>
      <c r="K23" s="185" t="s">
        <v>312</v>
      </c>
      <c r="L23" s="183" t="s">
        <v>313</v>
      </c>
      <c r="M23" s="169"/>
      <c r="N23" s="169"/>
      <c r="O23" s="63"/>
      <c r="P23" s="63"/>
      <c r="Q23" s="63"/>
      <c r="R23" s="63"/>
      <c r="S23" s="63"/>
      <c r="T23" s="63"/>
    </row>
    <row r="24" spans="1:20" ht="15.75">
      <c r="A24">
        <f t="shared" si="4"/>
        <v>21</v>
      </c>
      <c r="B24" s="170" t="str">
        <v>Charlotte - Wells Fargo - DUC</v>
      </c>
      <c r="C24" s="163" t="str">
        <v>NC</v>
      </c>
      <c r="D24" s="164">
        <v>3965.7</v>
      </c>
      <c r="E24" s="165">
        <v>4035.4209999999998</v>
      </c>
      <c r="F24" s="165">
        <f t="shared" si="0"/>
        <v>-69.721000000000004</v>
      </c>
      <c r="G24" s="166">
        <f t="shared" si="1"/>
        <v>-1.7277255582503041E-2</v>
      </c>
      <c r="H24" s="167">
        <v>3959</v>
      </c>
      <c r="I24" s="167">
        <f t="shared" si="2"/>
        <v>6.6999999999998181</v>
      </c>
      <c r="J24" s="166">
        <f t="shared" si="3"/>
        <v>1.6923465521595904E-3</v>
      </c>
      <c r="K24" s="168"/>
      <c r="L24" s="168"/>
      <c r="M24" s="169"/>
      <c r="N24" s="169"/>
      <c r="O24" s="63"/>
      <c r="P24" s="63"/>
      <c r="Q24" s="63"/>
      <c r="R24" s="63"/>
      <c r="S24" s="63"/>
      <c r="T24" s="63"/>
    </row>
    <row r="25" spans="1:20" ht="15.75">
      <c r="A25">
        <f t="shared" si="4"/>
        <v>22</v>
      </c>
      <c r="B25" s="170" t="str">
        <v>East Windsor</v>
      </c>
      <c r="C25" s="163" t="str">
        <v>NJ</v>
      </c>
      <c r="D25" s="164">
        <v>1145.7</v>
      </c>
      <c r="E25" s="165">
        <v>1029.9000000000001</v>
      </c>
      <c r="F25" s="165">
        <f t="shared" si="0"/>
        <v>115.79999999999995</v>
      </c>
      <c r="G25" s="166">
        <f t="shared" si="1"/>
        <v>0.11243810078648407</v>
      </c>
      <c r="H25" s="167">
        <v>1251.241</v>
      </c>
      <c r="I25" s="167">
        <f t="shared" si="2"/>
        <v>-105.54099999999994</v>
      </c>
      <c r="J25" s="166">
        <f t="shared" si="3"/>
        <v>-8.4349058254964429E-2</v>
      </c>
      <c r="K25" s="186"/>
      <c r="L25" s="186"/>
      <c r="M25" s="169"/>
      <c r="N25" s="169"/>
      <c r="O25" s="63"/>
      <c r="P25" s="63"/>
      <c r="Q25" s="63"/>
      <c r="R25" s="63"/>
      <c r="S25" s="63"/>
      <c r="T25" s="63"/>
    </row>
    <row r="26" spans="1:20" ht="75">
      <c r="A26">
        <f t="shared" si="4"/>
        <v>23</v>
      </c>
      <c r="B26" s="170" t="str">
        <v>Burlington</v>
      </c>
      <c r="C26" s="163" t="str">
        <v>NJ</v>
      </c>
      <c r="D26" s="164">
        <v>2802.2000000000098</v>
      </c>
      <c r="E26" s="165">
        <v>2608.96</v>
      </c>
      <c r="F26" s="165">
        <f t="shared" si="0"/>
        <v>193.24000000000979</v>
      </c>
      <c r="G26" s="166">
        <f t="shared" si="1"/>
        <v>7.4067827793454014E-2</v>
      </c>
      <c r="H26" s="167">
        <v>3194.8910000000001</v>
      </c>
      <c r="I26" s="167">
        <f t="shared" si="2"/>
        <v>-392.69099999999025</v>
      </c>
      <c r="J26" s="166">
        <f t="shared" si="3"/>
        <v>-0.12291217446854689</v>
      </c>
      <c r="K26" s="168" t="s">
        <v>230</v>
      </c>
      <c r="L26" s="168"/>
      <c r="M26" s="169"/>
      <c r="N26" s="169"/>
      <c r="O26" s="63"/>
      <c r="P26" s="63"/>
      <c r="Q26" s="63"/>
      <c r="R26" s="63"/>
      <c r="S26" s="63"/>
      <c r="T26" s="63"/>
    </row>
    <row r="27" spans="1:20" ht="15.75">
      <c r="A27">
        <f t="shared" si="4"/>
        <v>24</v>
      </c>
      <c r="B27" s="170" t="str">
        <v>Bayonne</v>
      </c>
      <c r="C27" s="163" t="str">
        <v>NJ</v>
      </c>
      <c r="D27" s="164">
        <v>3829.2</v>
      </c>
      <c r="E27" s="165">
        <v>3523.355</v>
      </c>
      <c r="F27" s="165">
        <f t="shared" si="0"/>
        <v>305.8449999999998</v>
      </c>
      <c r="G27" s="166">
        <f t="shared" si="1"/>
        <v>8.6805048029505907E-2</v>
      </c>
      <c r="H27" s="167">
        <v>3653.931</v>
      </c>
      <c r="I27" s="167">
        <f t="shared" si="2"/>
        <v>175.26899999999978</v>
      </c>
      <c r="J27" s="166">
        <f t="shared" si="3"/>
        <v>4.7967244044838223E-2</v>
      </c>
      <c r="K27" s="173"/>
      <c r="L27" s="173"/>
      <c r="M27" s="169"/>
      <c r="N27" s="169"/>
      <c r="O27" s="63"/>
      <c r="P27" s="63"/>
      <c r="Q27" s="63"/>
      <c r="R27" s="63"/>
      <c r="S27" s="63"/>
      <c r="T27" s="63"/>
    </row>
    <row r="28" spans="1:20" ht="15.75">
      <c r="A28">
        <f t="shared" si="4"/>
        <v>25</v>
      </c>
      <c r="B28" s="170" t="str">
        <v>Clifton</v>
      </c>
      <c r="C28" s="163" t="str">
        <v>NJ</v>
      </c>
      <c r="D28" s="164">
        <v>4744.875</v>
      </c>
      <c r="E28" s="165">
        <v>4824.9790000000003</v>
      </c>
      <c r="F28" s="165">
        <f t="shared" si="0"/>
        <v>-80.104000000000269</v>
      </c>
      <c r="G28" s="166">
        <f t="shared" si="1"/>
        <v>-1.6601937542111637E-2</v>
      </c>
      <c r="H28" s="167">
        <v>4538.6109999999999</v>
      </c>
      <c r="I28" s="167">
        <f t="shared" si="2"/>
        <v>206.26400000000012</v>
      </c>
      <c r="J28" s="166">
        <f t="shared" si="3"/>
        <v>4.5446503346508467E-2</v>
      </c>
      <c r="K28" s="168"/>
      <c r="L28" s="168"/>
      <c r="M28" s="169"/>
      <c r="N28" s="169"/>
      <c r="O28" s="63"/>
      <c r="P28" s="63"/>
      <c r="Q28" s="63"/>
      <c r="R28" s="63"/>
      <c r="S28" s="63"/>
      <c r="T28" s="63"/>
    </row>
    <row r="29" spans="1:20" ht="15.75">
      <c r="A29">
        <f t="shared" si="4"/>
        <v>26</v>
      </c>
      <c r="B29" s="170" t="str">
        <v>North Elizabeth</v>
      </c>
      <c r="C29" s="163" t="str">
        <v>NJ</v>
      </c>
      <c r="D29" s="164">
        <v>4011.5999999999599</v>
      </c>
      <c r="E29" s="165">
        <v>3425.5149999999999</v>
      </c>
      <c r="F29" s="165">
        <f t="shared" si="0"/>
        <v>586.08499999996002</v>
      </c>
      <c r="G29" s="166">
        <f t="shared" si="1"/>
        <v>0.17109398148890315</v>
      </c>
      <c r="H29" s="167">
        <v>4162.134</v>
      </c>
      <c r="I29" s="167">
        <f t="shared" si="2"/>
        <v>-150.53400000004012</v>
      </c>
      <c r="J29" s="166">
        <f t="shared" si="3"/>
        <v>-3.6167504458059288E-2</v>
      </c>
      <c r="K29" s="173" t="s">
        <v>314</v>
      </c>
      <c r="L29" s="173"/>
      <c r="M29" s="169"/>
      <c r="N29" s="169"/>
      <c r="O29" s="63"/>
      <c r="P29" s="63"/>
      <c r="Q29" s="63"/>
      <c r="R29" s="63"/>
      <c r="S29" s="63"/>
      <c r="T29" s="63"/>
    </row>
    <row r="30" spans="1:20" ht="15.75">
      <c r="A30">
        <f t="shared" si="4"/>
        <v>27</v>
      </c>
      <c r="B30" s="170" t="str">
        <v>Haddon Westmont Plaza</v>
      </c>
      <c r="C30" s="163" t="str">
        <v>NJ</v>
      </c>
      <c r="D30" s="164">
        <v>2740.3999999999801</v>
      </c>
      <c r="E30" s="165">
        <v>2636.8110000000001</v>
      </c>
      <c r="F30" s="165">
        <f t="shared" si="0"/>
        <v>103.58899999997993</v>
      </c>
      <c r="G30" s="166">
        <f t="shared" si="1"/>
        <v>3.9285712931256704E-2</v>
      </c>
      <c r="H30" s="167">
        <v>2998.866</v>
      </c>
      <c r="I30" s="167">
        <f t="shared" si="2"/>
        <v>-258.4660000000199</v>
      </c>
      <c r="J30" s="166">
        <f t="shared" si="3"/>
        <v>-8.6187912364213637E-2</v>
      </c>
      <c r="K30" s="168"/>
      <c r="L30" s="168"/>
      <c r="M30" s="169"/>
      <c r="N30" s="169"/>
      <c r="O30" s="63"/>
      <c r="P30" s="63"/>
      <c r="Q30" s="63"/>
      <c r="R30" s="63"/>
      <c r="S30" s="63"/>
      <c r="T30" s="63"/>
    </row>
    <row r="31" spans="1:20" ht="15.75">
      <c r="A31">
        <f t="shared" si="4"/>
        <v>28</v>
      </c>
      <c r="B31" s="170" t="str">
        <v>Parsippany</v>
      </c>
      <c r="C31" s="163" t="str">
        <v>NJ</v>
      </c>
      <c r="D31" s="164">
        <v>3499.2000000000098</v>
      </c>
      <c r="E31" s="165">
        <v>3268.248</v>
      </c>
      <c r="F31" s="165">
        <f t="shared" si="0"/>
        <v>230.95200000000978</v>
      </c>
      <c r="G31" s="166">
        <f t="shared" si="1"/>
        <v>7.066538402226813E-2</v>
      </c>
      <c r="H31" s="167">
        <v>3475.3420000000001</v>
      </c>
      <c r="I31" s="167">
        <f t="shared" si="2"/>
        <v>23.858000000009724</v>
      </c>
      <c r="J31" s="166">
        <f t="shared" si="3"/>
        <v>6.8649358825720527E-3</v>
      </c>
      <c r="K31" s="173"/>
      <c r="L31" s="173"/>
      <c r="M31" s="169"/>
      <c r="N31" s="169"/>
      <c r="O31" s="63"/>
      <c r="P31" s="63"/>
      <c r="Q31" s="63"/>
      <c r="R31" s="63"/>
      <c r="S31" s="63"/>
      <c r="T31" s="63"/>
    </row>
    <row r="32" spans="1:20" ht="15.75">
      <c r="A32">
        <f t="shared" si="4"/>
        <v>29</v>
      </c>
      <c r="B32" s="170" t="str">
        <v>Clark</v>
      </c>
      <c r="C32" s="163" t="str">
        <v>NJ</v>
      </c>
      <c r="D32" s="164">
        <v>2889.00000000001</v>
      </c>
      <c r="E32" s="165">
        <v>2721.6849999999999</v>
      </c>
      <c r="F32" s="165">
        <f t="shared" si="0"/>
        <v>167.31500000001006</v>
      </c>
      <c r="G32" s="166">
        <f t="shared" si="1"/>
        <v>6.1474784921844397E-2</v>
      </c>
      <c r="H32" s="167">
        <v>2898.7910000000002</v>
      </c>
      <c r="I32" s="167">
        <f t="shared" si="2"/>
        <v>-9.7909999999901629</v>
      </c>
      <c r="J32" s="166">
        <f t="shared" si="3"/>
        <v>-3.3776150126001367E-3</v>
      </c>
      <c r="K32" s="168"/>
      <c r="L32" s="168"/>
      <c r="M32" s="169"/>
      <c r="N32" s="169"/>
      <c r="O32" s="63"/>
      <c r="P32" s="63"/>
      <c r="Q32" s="63"/>
      <c r="R32" s="63"/>
      <c r="S32" s="63"/>
      <c r="T32" s="63"/>
    </row>
    <row r="33" spans="1:20" ht="75">
      <c r="A33">
        <f t="shared" si="4"/>
        <v>30</v>
      </c>
      <c r="B33" s="170" t="str">
        <v>Closter</v>
      </c>
      <c r="C33" s="163" t="str">
        <v>NJ</v>
      </c>
      <c r="D33" s="164">
        <v>1293.79999999999</v>
      </c>
      <c r="E33" s="165">
        <v>1158.9549999999999</v>
      </c>
      <c r="F33" s="165">
        <f t="shared" si="0"/>
        <v>134.84499999999002</v>
      </c>
      <c r="G33" s="166">
        <f t="shared" si="1"/>
        <v>0.11635050541219463</v>
      </c>
      <c r="H33" s="167">
        <v>1818.2850000000001</v>
      </c>
      <c r="I33" s="167">
        <f t="shared" si="2"/>
        <v>-524.48500000001013</v>
      </c>
      <c r="J33" s="166">
        <f t="shared" si="3"/>
        <v>-0.28845038044091553</v>
      </c>
      <c r="K33" s="173" t="s">
        <v>230</v>
      </c>
      <c r="L33" s="173"/>
      <c r="M33" s="169"/>
      <c r="N33" s="169"/>
      <c r="O33" s="63"/>
      <c r="P33" s="63"/>
      <c r="Q33" s="63"/>
      <c r="R33" s="63"/>
      <c r="S33" s="63"/>
      <c r="T33" s="63"/>
    </row>
    <row r="34" spans="1:20" ht="30">
      <c r="A34">
        <f t="shared" si="4"/>
        <v>31</v>
      </c>
      <c r="B34" s="170" t="str">
        <v>Holmdel</v>
      </c>
      <c r="C34" s="163" t="str">
        <v>NJ</v>
      </c>
      <c r="D34" s="164">
        <v>2427.2999999999902</v>
      </c>
      <c r="E34" s="165">
        <v>4053.402</v>
      </c>
      <c r="F34" s="165">
        <f t="shared" si="0"/>
        <v>-1626.1020000000099</v>
      </c>
      <c r="G34" s="166">
        <f t="shared" si="1"/>
        <v>-0.40116968413199822</v>
      </c>
      <c r="H34" s="167">
        <v>2523.721</v>
      </c>
      <c r="I34" s="167">
        <f t="shared" si="2"/>
        <v>-96.421000000009826</v>
      </c>
      <c r="J34" s="166">
        <f t="shared" si="3"/>
        <v>-3.820588725933248E-2</v>
      </c>
      <c r="K34" s="168" t="s">
        <v>233</v>
      </c>
      <c r="L34" s="175" t="s">
        <v>191</v>
      </c>
      <c r="M34" s="169"/>
      <c r="N34" s="169"/>
      <c r="O34" s="63"/>
      <c r="P34" s="63"/>
      <c r="Q34" s="63"/>
      <c r="R34" s="63"/>
      <c r="S34" s="63"/>
      <c r="T34" s="63"/>
    </row>
    <row r="35" spans="1:20" ht="15.75">
      <c r="A35">
        <f t="shared" si="4"/>
        <v>32</v>
      </c>
      <c r="B35" s="170" t="str">
        <v>Ellisburg Circle Center</v>
      </c>
      <c r="C35" s="163" t="str">
        <v>NJ</v>
      </c>
      <c r="D35" s="164">
        <v>1251.4000000000001</v>
      </c>
      <c r="E35" s="165">
        <v>1176.2719999999999</v>
      </c>
      <c r="F35" s="165">
        <f t="shared" si="0"/>
        <v>75.128000000000156</v>
      </c>
      <c r="G35" s="166">
        <f t="shared" si="1"/>
        <v>6.3869581185304211E-2</v>
      </c>
      <c r="H35" s="167">
        <v>1368.0740000000001</v>
      </c>
      <c r="I35" s="167">
        <f t="shared" si="2"/>
        <v>-116.67399999999998</v>
      </c>
      <c r="J35" s="166">
        <f t="shared" si="3"/>
        <v>-8.5283398412658945E-2</v>
      </c>
      <c r="K35" s="173"/>
      <c r="L35" s="173"/>
      <c r="M35" s="169"/>
      <c r="N35" s="169"/>
      <c r="O35" s="63"/>
      <c r="P35" s="63"/>
      <c r="Q35" s="63"/>
      <c r="R35" s="63"/>
      <c r="S35" s="63"/>
      <c r="T35" s="63"/>
    </row>
    <row r="36" spans="1:20" ht="15.75">
      <c r="A36">
        <f t="shared" si="4"/>
        <v>33</v>
      </c>
      <c r="B36" s="170" t="str">
        <v>Nutley</v>
      </c>
      <c r="C36" s="163" t="str">
        <v>NJ</v>
      </c>
      <c r="D36" s="164">
        <v>5101.1568236175099</v>
      </c>
      <c r="E36" s="165">
        <v>3901.88</v>
      </c>
      <c r="F36" s="165">
        <f t="shared" ref="F36:F67" si="5">IF(AND(ISNUMBER(D36),ISNUMBER(E36)), D36-E36, "")</f>
        <v>1199.2768236175098</v>
      </c>
      <c r="G36" s="166">
        <f t="shared" ref="G36:G67" si="6">IFERROR(F36/E36, "")</f>
        <v>0.30735871518793756</v>
      </c>
      <c r="H36" s="167">
        <v>5068.018</v>
      </c>
      <c r="I36" s="167">
        <f t="shared" ref="I36:I67" si="7">IF(AND(ISNUMBER(D36),ISNUMBER(H36)), D36-H36, "")</f>
        <v>33.138823617509843</v>
      </c>
      <c r="J36" s="166">
        <f t="shared" ref="J36:J67" si="8">IFERROR(I36/H36, "")</f>
        <v>6.5388133225868263E-3</v>
      </c>
      <c r="K36" s="168"/>
      <c r="L36" s="168"/>
      <c r="M36" s="169"/>
      <c r="N36" s="169"/>
      <c r="O36" s="63"/>
      <c r="P36" s="63"/>
      <c r="Q36" s="63"/>
      <c r="R36" s="63"/>
      <c r="S36" s="63"/>
      <c r="T36" s="63"/>
    </row>
    <row r="37" spans="1:20" ht="15.75">
      <c r="A37">
        <f t="shared" si="4"/>
        <v>34</v>
      </c>
      <c r="B37" s="170" t="str">
        <v>Marlton</v>
      </c>
      <c r="C37" s="163" t="str">
        <v>NJ</v>
      </c>
      <c r="D37" s="164">
        <v>4394.3000000000202</v>
      </c>
      <c r="E37" s="165">
        <v>3869.2579999999998</v>
      </c>
      <c r="F37" s="165">
        <f t="shared" si="5"/>
        <v>525.04200000002038</v>
      </c>
      <c r="G37" s="166">
        <f t="shared" si="6"/>
        <v>0.13569578456645187</v>
      </c>
      <c r="H37" s="167">
        <v>4750.2879999999996</v>
      </c>
      <c r="I37" s="167">
        <f t="shared" si="7"/>
        <v>-355.98799999997937</v>
      </c>
      <c r="J37" s="166">
        <f t="shared" si="8"/>
        <v>-7.4940298356642676E-2</v>
      </c>
      <c r="K37" s="173"/>
      <c r="L37" s="173"/>
      <c r="M37" s="169"/>
      <c r="N37" s="169"/>
      <c r="O37" s="63"/>
      <c r="P37" s="63"/>
      <c r="Q37" s="63"/>
      <c r="R37" s="63"/>
      <c r="S37" s="63"/>
      <c r="T37" s="63"/>
    </row>
    <row r="38" spans="1:20" ht="30">
      <c r="A38">
        <f t="shared" si="4"/>
        <v>35</v>
      </c>
      <c r="B38" s="170" t="str">
        <v>Middletown</v>
      </c>
      <c r="C38" s="163" t="str">
        <v>NJ</v>
      </c>
      <c r="D38" s="164">
        <v>3558.6000000000099</v>
      </c>
      <c r="E38" s="165">
        <v>2248.232</v>
      </c>
      <c r="F38" s="165">
        <f t="shared" si="5"/>
        <v>1310.3680000000099</v>
      </c>
      <c r="G38" s="166">
        <f t="shared" si="6"/>
        <v>0.58284376345502154</v>
      </c>
      <c r="H38" s="167">
        <v>3948.5839999999998</v>
      </c>
      <c r="I38" s="167">
        <f t="shared" si="7"/>
        <v>-389.98399999998992</v>
      </c>
      <c r="J38" s="166">
        <f t="shared" si="8"/>
        <v>-9.8765532150256879E-2</v>
      </c>
      <c r="K38" s="168" t="s">
        <v>192</v>
      </c>
      <c r="L38" s="175" t="s">
        <v>193</v>
      </c>
      <c r="M38" s="169"/>
      <c r="N38" s="169"/>
      <c r="O38" s="63"/>
      <c r="P38" s="63"/>
      <c r="Q38" s="63"/>
      <c r="R38" s="63"/>
      <c r="S38" s="63"/>
      <c r="T38" s="63"/>
    </row>
    <row r="39" spans="1:20" ht="30">
      <c r="A39">
        <f t="shared" si="4"/>
        <v>36</v>
      </c>
      <c r="B39" s="170" t="str">
        <v>Whiting Crestwood</v>
      </c>
      <c r="C39" s="163" t="str">
        <v>NJ</v>
      </c>
      <c r="D39" s="164">
        <v>4489.6000000000104</v>
      </c>
      <c r="E39" s="165">
        <v>4379.4560000000001</v>
      </c>
      <c r="F39" s="165">
        <f t="shared" si="5"/>
        <v>110.14400000001024</v>
      </c>
      <c r="G39" s="166">
        <f t="shared" si="6"/>
        <v>2.5150155635770798E-2</v>
      </c>
      <c r="H39" s="167">
        <v>5490.68</v>
      </c>
      <c r="I39" s="167">
        <f t="shared" si="7"/>
        <v>-1001.0799999999899</v>
      </c>
      <c r="J39" s="166">
        <f t="shared" si="8"/>
        <v>-0.18232350091427471</v>
      </c>
      <c r="K39" s="173" t="s">
        <v>103</v>
      </c>
      <c r="L39" s="173"/>
      <c r="M39" s="169"/>
      <c r="N39" s="169"/>
      <c r="O39" s="63"/>
      <c r="P39" s="63"/>
      <c r="Q39" s="63"/>
      <c r="R39" s="63"/>
      <c r="S39" s="63"/>
      <c r="T39" s="63"/>
    </row>
    <row r="40" spans="1:20" ht="15.75">
      <c r="A40">
        <f t="shared" si="4"/>
        <v>37</v>
      </c>
      <c r="B40" s="170" t="str">
        <v>Barnegat</v>
      </c>
      <c r="C40" s="163" t="str">
        <v>NJ</v>
      </c>
      <c r="D40" s="164">
        <v>6198.046875</v>
      </c>
      <c r="E40" s="165">
        <v>5506.0460000000003</v>
      </c>
      <c r="F40" s="165">
        <f t="shared" si="5"/>
        <v>692.00087499999972</v>
      </c>
      <c r="G40" s="166">
        <f t="shared" si="6"/>
        <v>0.12568018411033974</v>
      </c>
      <c r="H40" s="167">
        <v>6840.3530000000001</v>
      </c>
      <c r="I40" s="167">
        <f t="shared" si="7"/>
        <v>-642.30612500000007</v>
      </c>
      <c r="J40" s="166">
        <f t="shared" si="8"/>
        <v>-9.3899558253791884E-2</v>
      </c>
      <c r="K40" s="168"/>
      <c r="L40" s="168"/>
      <c r="M40" s="169"/>
      <c r="N40" s="169"/>
      <c r="O40" s="63"/>
      <c r="P40" s="63"/>
      <c r="Q40" s="63"/>
      <c r="R40" s="63"/>
      <c r="S40" s="63"/>
      <c r="T40" s="63"/>
    </row>
    <row r="41" spans="1:20" ht="75">
      <c r="A41">
        <f t="shared" si="4"/>
        <v>38</v>
      </c>
      <c r="B41" s="170" t="str">
        <v>Manchester</v>
      </c>
      <c r="C41" s="163" t="str">
        <v>NJ</v>
      </c>
      <c r="D41" s="164">
        <v>2624.2</v>
      </c>
      <c r="E41" s="165">
        <v>2886.0709999999999</v>
      </c>
      <c r="F41" s="165">
        <f t="shared" si="5"/>
        <v>-261.87100000000009</v>
      </c>
      <c r="G41" s="166">
        <f t="shared" si="6"/>
        <v>-9.0736159990520024E-2</v>
      </c>
      <c r="H41" s="167">
        <v>4703.4570000000003</v>
      </c>
      <c r="I41" s="167">
        <f t="shared" si="7"/>
        <v>-2079.2570000000005</v>
      </c>
      <c r="J41" s="166">
        <f t="shared" si="8"/>
        <v>-0.44206994982626618</v>
      </c>
      <c r="K41" s="173" t="s">
        <v>230</v>
      </c>
      <c r="L41" s="173"/>
      <c r="M41" s="169"/>
      <c r="N41" s="169"/>
      <c r="O41" s="63"/>
      <c r="P41" s="63"/>
      <c r="Q41" s="63"/>
      <c r="R41" s="63"/>
      <c r="S41" s="63"/>
      <c r="T41" s="63"/>
    </row>
    <row r="42" spans="1:20" ht="15.75">
      <c r="A42">
        <f t="shared" si="4"/>
        <v>39</v>
      </c>
      <c r="B42" s="170" t="str">
        <v>West Deptford - Woodbury</v>
      </c>
      <c r="C42" s="163" t="str">
        <v>NJ</v>
      </c>
      <c r="D42" s="164">
        <v>3861.8999999999901</v>
      </c>
      <c r="E42" s="165">
        <v>3937.2420000000002</v>
      </c>
      <c r="F42" s="165">
        <f t="shared" si="5"/>
        <v>-75.342000000010103</v>
      </c>
      <c r="G42" s="166">
        <f t="shared" si="6"/>
        <v>-1.9135730036408762E-2</v>
      </c>
      <c r="H42" s="167">
        <v>4100.5569999999998</v>
      </c>
      <c r="I42" s="167">
        <f t="shared" si="7"/>
        <v>-238.6570000000097</v>
      </c>
      <c r="J42" s="166">
        <f t="shared" si="8"/>
        <v>-5.8201117555495438E-2</v>
      </c>
      <c r="K42" s="168"/>
      <c r="L42" s="168"/>
      <c r="M42" s="169"/>
      <c r="N42" s="169"/>
      <c r="O42" s="63"/>
      <c r="P42" s="63"/>
      <c r="Q42" s="63"/>
      <c r="R42" s="63"/>
      <c r="S42" s="63"/>
      <c r="T42" s="63"/>
    </row>
    <row r="43" spans="1:20" ht="15.75">
      <c r="A43">
        <f t="shared" si="4"/>
        <v>40</v>
      </c>
      <c r="B43" s="170" t="str">
        <v>Edison</v>
      </c>
      <c r="C43" s="163" t="str">
        <v>NJ</v>
      </c>
      <c r="D43" s="164">
        <v>3610.1000000000099</v>
      </c>
      <c r="E43" s="165">
        <v>3454.058</v>
      </c>
      <c r="F43" s="165">
        <f t="shared" si="5"/>
        <v>156.04200000000992</v>
      </c>
      <c r="G43" s="166">
        <f t="shared" si="6"/>
        <v>4.5176427263239331E-2</v>
      </c>
      <c r="H43" s="167">
        <v>3818.3319999999999</v>
      </c>
      <c r="I43" s="167">
        <f t="shared" si="7"/>
        <v>-208.23199999998997</v>
      </c>
      <c r="J43" s="166">
        <f t="shared" si="8"/>
        <v>-5.4534807345194176E-2</v>
      </c>
      <c r="K43" s="173"/>
      <c r="L43" s="173"/>
      <c r="M43" s="169"/>
      <c r="N43" s="169"/>
      <c r="O43" s="63"/>
      <c r="P43" s="63"/>
      <c r="Q43" s="63"/>
      <c r="R43" s="63"/>
      <c r="S43" s="63"/>
      <c r="T43" s="63"/>
    </row>
    <row r="44" spans="1:20" ht="75">
      <c r="A44">
        <f t="shared" si="4"/>
        <v>41</v>
      </c>
      <c r="B44" s="170" t="str">
        <v>Flemington</v>
      </c>
      <c r="C44" s="163" t="str">
        <v>NJ</v>
      </c>
      <c r="D44" s="164">
        <v>3430.49999999999</v>
      </c>
      <c r="E44" s="165">
        <v>3216.1109999999999</v>
      </c>
      <c r="F44" s="165">
        <f t="shared" si="5"/>
        <v>214.38899999999012</v>
      </c>
      <c r="G44" s="166">
        <f t="shared" si="6"/>
        <v>6.6660945471095412E-2</v>
      </c>
      <c r="H44" s="167">
        <v>3911.4850000000001</v>
      </c>
      <c r="I44" s="167">
        <f t="shared" si="7"/>
        <v>-480.98500000001013</v>
      </c>
      <c r="J44" s="166">
        <f t="shared" si="8"/>
        <v>-0.12296736405738744</v>
      </c>
      <c r="K44" s="168" t="s">
        <v>230</v>
      </c>
      <c r="L44" s="168"/>
      <c r="M44" s="169"/>
      <c r="N44" s="169"/>
      <c r="O44" s="63"/>
      <c r="P44" s="63"/>
      <c r="Q44" s="63"/>
      <c r="R44" s="63"/>
      <c r="S44" s="63"/>
      <c r="T44" s="63"/>
    </row>
    <row r="45" spans="1:20" ht="15.75">
      <c r="A45">
        <f t="shared" si="4"/>
        <v>42</v>
      </c>
      <c r="B45" s="170" t="str">
        <v>Route 22</v>
      </c>
      <c r="C45" s="163" t="str">
        <v>NJ</v>
      </c>
      <c r="D45" s="164">
        <v>3468.8999999999901</v>
      </c>
      <c r="E45" s="165">
        <v>3507.136</v>
      </c>
      <c r="F45" s="165">
        <f t="shared" si="5"/>
        <v>-38.236000000009881</v>
      </c>
      <c r="G45" s="166">
        <f t="shared" si="6"/>
        <v>-1.0902343108453701E-2</v>
      </c>
      <c r="H45" s="167">
        <v>3643.7339999999999</v>
      </c>
      <c r="I45" s="167">
        <f t="shared" si="7"/>
        <v>-174.83400000000984</v>
      </c>
      <c r="J45" s="166">
        <f t="shared" si="8"/>
        <v>-4.798209748571379E-2</v>
      </c>
      <c r="K45" s="173"/>
      <c r="L45" s="173"/>
      <c r="M45" s="169"/>
      <c r="N45" s="169"/>
      <c r="O45" s="63"/>
      <c r="P45" s="63"/>
      <c r="Q45" s="63"/>
      <c r="R45" s="63"/>
      <c r="S45" s="63"/>
      <c r="T45" s="63"/>
    </row>
    <row r="46" spans="1:20" ht="15.75">
      <c r="A46">
        <f t="shared" si="4"/>
        <v>43</v>
      </c>
      <c r="B46" s="170" t="str">
        <v>Laurelton</v>
      </c>
      <c r="C46" s="163" t="str">
        <v>NJ</v>
      </c>
      <c r="D46" s="164">
        <v>2015.3999999999901</v>
      </c>
      <c r="E46" s="165">
        <v>3005.0790000000002</v>
      </c>
      <c r="F46" s="165">
        <f t="shared" si="5"/>
        <v>-989.67900000001009</v>
      </c>
      <c r="G46" s="166">
        <f t="shared" si="6"/>
        <v>-0.32933543510836488</v>
      </c>
      <c r="H46" s="167">
        <v>3308.7220000000002</v>
      </c>
      <c r="I46" s="167">
        <f t="shared" si="7"/>
        <v>-1293.3220000000101</v>
      </c>
      <c r="J46" s="166">
        <f t="shared" si="8"/>
        <v>-0.39088264290563246</v>
      </c>
      <c r="K46" s="168" t="s">
        <v>286</v>
      </c>
      <c r="L46" s="175" t="s">
        <v>287</v>
      </c>
      <c r="M46" s="169"/>
      <c r="N46" s="169"/>
      <c r="O46" s="63"/>
      <c r="P46" s="63"/>
      <c r="Q46" s="63"/>
      <c r="R46" s="63"/>
      <c r="S46" s="63"/>
      <c r="T46" s="63"/>
    </row>
    <row r="47" spans="1:20" ht="45">
      <c r="A47">
        <f t="shared" si="4"/>
        <v>44</v>
      </c>
      <c r="B47" s="170" t="str">
        <v>Mahwah</v>
      </c>
      <c r="C47" s="163" t="str">
        <v>NJ</v>
      </c>
      <c r="D47" s="164">
        <v>2761.3</v>
      </c>
      <c r="E47" s="165">
        <v>733.63520000000005</v>
      </c>
      <c r="F47" s="165">
        <f t="shared" si="5"/>
        <v>2027.6648</v>
      </c>
      <c r="G47" s="166">
        <f t="shared" si="6"/>
        <v>2.7638597493686232</v>
      </c>
      <c r="H47" s="167">
        <v>3131.3820000000001</v>
      </c>
      <c r="I47" s="167">
        <f t="shared" si="7"/>
        <v>-370.08199999999988</v>
      </c>
      <c r="J47" s="166">
        <f t="shared" si="8"/>
        <v>-0.11818487811451936</v>
      </c>
      <c r="K47" s="173" t="s">
        <v>197</v>
      </c>
      <c r="L47" s="175" t="s">
        <v>154</v>
      </c>
      <c r="M47" s="169"/>
      <c r="N47" s="169"/>
      <c r="O47" s="63"/>
      <c r="P47" s="63"/>
      <c r="Q47" s="63"/>
      <c r="R47" s="63"/>
      <c r="S47" s="63"/>
      <c r="T47" s="63"/>
    </row>
    <row r="48" spans="1:20" ht="15.75">
      <c r="A48">
        <f t="shared" si="4"/>
        <v>45</v>
      </c>
      <c r="B48" s="170" t="str">
        <v>Franklin Township WF</v>
      </c>
      <c r="C48" s="163" t="str">
        <v>NJ</v>
      </c>
      <c r="D48" s="164">
        <v>3050.7</v>
      </c>
      <c r="E48" s="165">
        <v>2965.5140000000001</v>
      </c>
      <c r="F48" s="165">
        <f t="shared" si="5"/>
        <v>85.185999999999694</v>
      </c>
      <c r="G48" s="166">
        <f t="shared" si="6"/>
        <v>2.8725543025593436E-2</v>
      </c>
      <c r="H48" s="167">
        <v>3195.3029999999999</v>
      </c>
      <c r="I48" s="167">
        <f t="shared" si="7"/>
        <v>-144.60300000000007</v>
      </c>
      <c r="J48" s="166">
        <f t="shared" si="8"/>
        <v>-4.5254863153822995E-2</v>
      </c>
      <c r="K48" s="168"/>
      <c r="L48" s="168"/>
      <c r="M48" s="169"/>
      <c r="N48" s="169"/>
      <c r="O48" s="63"/>
      <c r="P48" s="63"/>
      <c r="Q48" s="63"/>
      <c r="R48" s="63"/>
      <c r="S48" s="63"/>
      <c r="T48" s="63"/>
    </row>
    <row r="49" spans="1:20" ht="15.75">
      <c r="A49">
        <f t="shared" si="4"/>
        <v>46</v>
      </c>
      <c r="B49" s="170" t="str">
        <v>Bordentown</v>
      </c>
      <c r="C49" s="163" t="str">
        <v>NJ</v>
      </c>
      <c r="D49" s="164">
        <v>2359.6000000000099</v>
      </c>
      <c r="E49" s="165">
        <v>2103.0509999999999</v>
      </c>
      <c r="F49" s="165">
        <f t="shared" si="5"/>
        <v>256.54900000000998</v>
      </c>
      <c r="G49" s="166">
        <f t="shared" si="6"/>
        <v>0.12198895794729181</v>
      </c>
      <c r="H49" s="167">
        <v>2527.6390000000001</v>
      </c>
      <c r="I49" s="167">
        <f t="shared" si="7"/>
        <v>-168.03899999999021</v>
      </c>
      <c r="J49" s="166">
        <f t="shared" si="8"/>
        <v>-6.6480616891886141E-2</v>
      </c>
      <c r="K49" s="173"/>
      <c r="L49" s="173"/>
      <c r="M49" s="169"/>
      <c r="N49" s="169"/>
      <c r="O49" s="63"/>
      <c r="P49" s="63"/>
      <c r="Q49" s="63"/>
      <c r="R49" s="63"/>
      <c r="S49" s="63"/>
      <c r="T49" s="63"/>
    </row>
    <row r="50" spans="1:20" ht="15.75">
      <c r="A50">
        <f t="shared" si="4"/>
        <v>47</v>
      </c>
      <c r="B50" s="170" t="str">
        <v>South Plainfield</v>
      </c>
      <c r="C50" s="163" t="str">
        <v>NJ</v>
      </c>
      <c r="D50" s="164">
        <v>1766.4</v>
      </c>
      <c r="E50" s="165">
        <v>1695.9110000000001</v>
      </c>
      <c r="F50" s="165">
        <f t="shared" si="5"/>
        <v>70.489000000000033</v>
      </c>
      <c r="G50" s="166">
        <f t="shared" si="6"/>
        <v>4.1564091511877704E-2</v>
      </c>
      <c r="H50" s="167">
        <v>1790.175</v>
      </c>
      <c r="I50" s="167">
        <f t="shared" si="7"/>
        <v>-23.774999999999864</v>
      </c>
      <c r="J50" s="166">
        <f t="shared" si="8"/>
        <v>-1.328082450039793E-2</v>
      </c>
      <c r="K50" s="168"/>
      <c r="L50" s="168"/>
      <c r="M50" s="169"/>
      <c r="N50" s="169"/>
      <c r="O50" s="63"/>
      <c r="P50" s="63"/>
      <c r="Q50" s="63"/>
      <c r="R50" s="63"/>
      <c r="S50" s="63"/>
      <c r="T50" s="63"/>
    </row>
    <row r="51" spans="1:20" ht="15.75">
      <c r="A51">
        <f t="shared" si="4"/>
        <v>48</v>
      </c>
      <c r="B51" s="170" t="str">
        <v>Somerset</v>
      </c>
      <c r="C51" s="163" t="str">
        <v>NJ</v>
      </c>
      <c r="D51" s="164">
        <v>2821.9000000000201</v>
      </c>
      <c r="E51" s="165">
        <v>2731.0680000000002</v>
      </c>
      <c r="F51" s="165">
        <f t="shared" si="5"/>
        <v>90.832000000019889</v>
      </c>
      <c r="G51" s="166">
        <f t="shared" si="6"/>
        <v>3.3258783743216898E-2</v>
      </c>
      <c r="H51" s="167">
        <v>2989.8510000000001</v>
      </c>
      <c r="I51" s="167">
        <f t="shared" si="7"/>
        <v>-167.95099999998001</v>
      </c>
      <c r="J51" s="166">
        <f t="shared" si="8"/>
        <v>-5.6173702301546134E-2</v>
      </c>
      <c r="K51" s="173"/>
      <c r="L51" s="173"/>
      <c r="M51" s="169"/>
      <c r="N51" s="169"/>
      <c r="O51" s="63"/>
      <c r="P51" s="63"/>
      <c r="Q51" s="63"/>
      <c r="R51" s="63"/>
      <c r="S51" s="63"/>
      <c r="T51" s="63"/>
    </row>
    <row r="52" spans="1:20" ht="15.75">
      <c r="A52">
        <f t="shared" si="4"/>
        <v>49</v>
      </c>
      <c r="B52" s="170" t="str">
        <v>Clinton Main Relo</v>
      </c>
      <c r="C52" s="163" t="str">
        <v>NJ</v>
      </c>
      <c r="D52" s="164">
        <v>3298.0859380000002</v>
      </c>
      <c r="E52" s="165">
        <v>3329.248</v>
      </c>
      <c r="F52" s="165">
        <f t="shared" si="5"/>
        <v>-31.162061999999878</v>
      </c>
      <c r="G52" s="166">
        <f t="shared" si="6"/>
        <v>-9.3600903267043716E-3</v>
      </c>
      <c r="H52" s="167">
        <v>3450.13</v>
      </c>
      <c r="I52" s="167">
        <f t="shared" si="7"/>
        <v>-152.04406199999994</v>
      </c>
      <c r="J52" s="166">
        <f t="shared" si="8"/>
        <v>-4.4069082034589979E-2</v>
      </c>
      <c r="K52" s="168"/>
      <c r="L52" s="168"/>
      <c r="M52" s="169"/>
      <c r="N52" s="169"/>
      <c r="O52" s="63"/>
      <c r="P52" s="63"/>
      <c r="Q52" s="63"/>
      <c r="R52" s="63"/>
      <c r="S52" s="63"/>
      <c r="T52" s="63"/>
    </row>
    <row r="53" spans="1:20" ht="75">
      <c r="A53">
        <f t="shared" si="4"/>
        <v>50</v>
      </c>
      <c r="B53" s="170" t="str">
        <v>North Brunswick</v>
      </c>
      <c r="C53" s="163" t="str">
        <v>NJ</v>
      </c>
      <c r="D53" s="164">
        <v>3223.3999999999801</v>
      </c>
      <c r="E53" s="165">
        <v>2922.1819999999998</v>
      </c>
      <c r="F53" s="165">
        <f t="shared" si="5"/>
        <v>301.21799999998029</v>
      </c>
      <c r="G53" s="166">
        <f t="shared" si="6"/>
        <v>0.10307982185913825</v>
      </c>
      <c r="H53" s="167">
        <v>3856.0360000000001</v>
      </c>
      <c r="I53" s="167">
        <f t="shared" si="7"/>
        <v>-632.63600000001998</v>
      </c>
      <c r="J53" s="166">
        <f t="shared" si="8"/>
        <v>-0.16406382098092964</v>
      </c>
      <c r="K53" s="173" t="s">
        <v>230</v>
      </c>
      <c r="L53" s="173"/>
      <c r="M53" s="169"/>
      <c r="N53" s="169"/>
      <c r="O53" s="63"/>
      <c r="P53" s="63"/>
      <c r="Q53" s="63"/>
      <c r="R53" s="63"/>
      <c r="S53" s="63"/>
      <c r="T53" s="63"/>
    </row>
    <row r="54" spans="1:20" ht="15.75">
      <c r="A54">
        <f t="shared" si="4"/>
        <v>51</v>
      </c>
      <c r="B54" s="170" t="str">
        <v>Cherry Hill</v>
      </c>
      <c r="C54" s="163" t="str">
        <v>NJ</v>
      </c>
      <c r="D54" s="164">
        <v>2229.2265625</v>
      </c>
      <c r="E54" s="165">
        <v>2185.77</v>
      </c>
      <c r="F54" s="165">
        <f t="shared" si="5"/>
        <v>43.456562500000018</v>
      </c>
      <c r="G54" s="166">
        <f t="shared" si="6"/>
        <v>1.9881580632911979E-2</v>
      </c>
      <c r="H54" s="167">
        <v>2433.835</v>
      </c>
      <c r="I54" s="167">
        <f t="shared" si="7"/>
        <v>-204.60843750000004</v>
      </c>
      <c r="J54" s="166">
        <f t="shared" si="8"/>
        <v>-8.4068327351689842E-2</v>
      </c>
      <c r="K54" s="168"/>
      <c r="L54" s="168"/>
      <c r="M54" s="169"/>
      <c r="N54" s="169"/>
      <c r="O54" s="63"/>
      <c r="P54" s="63"/>
      <c r="Q54" s="63"/>
      <c r="R54" s="63"/>
      <c r="S54" s="63"/>
      <c r="T54" s="63"/>
    </row>
    <row r="55" spans="1:20" ht="45">
      <c r="A55">
        <f t="shared" si="4"/>
        <v>52</v>
      </c>
      <c r="B55" s="170" t="str">
        <v>Hainesport</v>
      </c>
      <c r="C55" s="163" t="str">
        <v>NJ</v>
      </c>
      <c r="D55" s="164">
        <v>2305.7999999999902</v>
      </c>
      <c r="E55" s="165">
        <v>2569.7620000000002</v>
      </c>
      <c r="F55" s="165">
        <f t="shared" si="5"/>
        <v>-263.96200000000999</v>
      </c>
      <c r="G55" s="166">
        <f t="shared" si="6"/>
        <v>-0.10271846186534395</v>
      </c>
      <c r="H55" s="167">
        <v>2471.096</v>
      </c>
      <c r="I55" s="167">
        <f t="shared" si="7"/>
        <v>-165.29600000000983</v>
      </c>
      <c r="J55" s="166">
        <f t="shared" si="8"/>
        <v>-6.6891775956907304E-2</v>
      </c>
      <c r="K55" s="173" t="s">
        <v>315</v>
      </c>
      <c r="L55" s="173"/>
      <c r="M55" s="169"/>
      <c r="N55" s="169"/>
      <c r="O55" s="63"/>
      <c r="P55" s="63"/>
      <c r="Q55" s="63"/>
      <c r="R55" s="63"/>
      <c r="S55" s="63"/>
      <c r="T55" s="63"/>
    </row>
    <row r="56" spans="1:20" ht="15.75">
      <c r="A56">
        <f t="shared" si="4"/>
        <v>53</v>
      </c>
      <c r="B56" s="170" t="str">
        <v>San Antonio - Ops Ctr (Bldg 106)</v>
      </c>
      <c r="C56" s="163" t="str">
        <v>TX</v>
      </c>
      <c r="D56" s="164">
        <v>57417.373749999999</v>
      </c>
      <c r="E56" s="165">
        <v>53442.31</v>
      </c>
      <c r="F56" s="165">
        <f t="shared" si="5"/>
        <v>3975.0637500000012</v>
      </c>
      <c r="G56" s="166">
        <f t="shared" si="6"/>
        <v>7.438046278313945E-2</v>
      </c>
      <c r="H56" s="167">
        <v>64182.07</v>
      </c>
      <c r="I56" s="167">
        <f t="shared" si="7"/>
        <v>-6764.6962500000009</v>
      </c>
      <c r="J56" s="166">
        <f t="shared" si="8"/>
        <v>-0.10539853653831983</v>
      </c>
      <c r="K56" s="168" t="s">
        <v>289</v>
      </c>
      <c r="L56" s="175" t="s">
        <v>316</v>
      </c>
      <c r="M56" s="169"/>
      <c r="N56" s="169"/>
      <c r="O56" s="63"/>
      <c r="P56" s="63"/>
      <c r="Q56" s="63"/>
      <c r="R56" s="63"/>
      <c r="S56" s="63"/>
      <c r="T56" s="63"/>
    </row>
    <row r="57" spans="1:20" ht="15.75">
      <c r="A57">
        <f t="shared" si="4"/>
        <v>54</v>
      </c>
      <c r="B57" s="170" t="str">
        <v>San Antonio - Ops Ctr GM</v>
      </c>
      <c r="C57" s="163" t="str">
        <v>TX</v>
      </c>
      <c r="D57" s="164">
        <v>415927.5</v>
      </c>
      <c r="E57" s="165">
        <v>452363.3</v>
      </c>
      <c r="F57" s="165">
        <f t="shared" si="5"/>
        <v>-36435.799999999988</v>
      </c>
      <c r="G57" s="166">
        <f t="shared" si="6"/>
        <v>-8.0545437704605982E-2</v>
      </c>
      <c r="H57" s="167">
        <v>460683</v>
      </c>
      <c r="I57" s="167">
        <f t="shared" si="7"/>
        <v>-44755.5</v>
      </c>
      <c r="J57" s="166">
        <f t="shared" si="8"/>
        <v>-9.7150318114625461E-2</v>
      </c>
      <c r="K57" s="173"/>
      <c r="L57" s="173"/>
      <c r="M57" s="169"/>
      <c r="N57" s="169"/>
      <c r="O57" s="63"/>
      <c r="P57" s="63"/>
      <c r="Q57" s="63"/>
      <c r="R57" s="63"/>
      <c r="S57" s="63"/>
      <c r="T57" s="63"/>
    </row>
    <row r="58" spans="1:20" ht="60">
      <c r="A58">
        <f t="shared" si="4"/>
        <v>55</v>
      </c>
      <c r="B58" s="170" t="str">
        <v>San Antonio - Ctr (Bldg 201)</v>
      </c>
      <c r="C58" s="163" t="str">
        <v>TX</v>
      </c>
      <c r="D58" s="164">
        <v>59555.375</v>
      </c>
      <c r="E58" s="165">
        <v>53047.38</v>
      </c>
      <c r="F58" s="165">
        <f t="shared" si="5"/>
        <v>6507.9950000000026</v>
      </c>
      <c r="G58" s="166">
        <f t="shared" si="6"/>
        <v>0.12268268479989027</v>
      </c>
      <c r="H58" s="167">
        <v>64017.43</v>
      </c>
      <c r="I58" s="167">
        <f t="shared" si="7"/>
        <v>-4462.0550000000003</v>
      </c>
      <c r="J58" s="166">
        <f t="shared" si="8"/>
        <v>-6.9700626844907715E-2</v>
      </c>
      <c r="K58" s="174" t="s">
        <v>241</v>
      </c>
      <c r="L58" s="168"/>
      <c r="M58" s="169"/>
      <c r="N58" s="169"/>
      <c r="O58" s="63"/>
      <c r="P58" s="63"/>
      <c r="Q58" s="63"/>
      <c r="R58" s="63"/>
      <c r="S58" s="63"/>
      <c r="T58" s="63"/>
    </row>
    <row r="59" spans="1:20" ht="30">
      <c r="A59">
        <f t="shared" si="4"/>
        <v>56</v>
      </c>
      <c r="B59" s="170" t="str">
        <v>San Antonio - Ops Ctr (Bldg 203)</v>
      </c>
      <c r="C59" s="163" t="str">
        <v>TX</v>
      </c>
      <c r="D59" s="164">
        <v>57715.625</v>
      </c>
      <c r="E59" s="165">
        <v>54819.73</v>
      </c>
      <c r="F59" s="165">
        <f t="shared" si="5"/>
        <v>2895.8949999999968</v>
      </c>
      <c r="G59" s="166">
        <f t="shared" si="6"/>
        <v>5.2825780061302688E-2</v>
      </c>
      <c r="H59" s="167">
        <v>64293.47</v>
      </c>
      <c r="I59" s="167">
        <f t="shared" si="7"/>
        <v>-6577.8450000000012</v>
      </c>
      <c r="J59" s="166">
        <f t="shared" si="8"/>
        <v>-0.10230969023759336</v>
      </c>
      <c r="K59" s="172" t="s">
        <v>103</v>
      </c>
      <c r="L59" s="173"/>
      <c r="M59" s="169"/>
      <c r="N59" s="169"/>
      <c r="O59" s="63"/>
      <c r="P59" s="63"/>
      <c r="Q59" s="63"/>
      <c r="R59" s="63"/>
      <c r="S59" s="63"/>
      <c r="T59" s="63"/>
    </row>
    <row r="60" spans="1:20" ht="30">
      <c r="A60">
        <f t="shared" si="4"/>
        <v>57</v>
      </c>
      <c r="B60" s="170" t="str">
        <v>San Antonio - Ops Ctr (Bldg 205)</v>
      </c>
      <c r="C60" s="163" t="str">
        <v>TX</v>
      </c>
      <c r="D60" s="164">
        <v>52704.803390000001</v>
      </c>
      <c r="E60" s="165">
        <v>48340.52</v>
      </c>
      <c r="F60" s="165">
        <f t="shared" si="5"/>
        <v>4364.2833900000041</v>
      </c>
      <c r="G60" s="166">
        <f t="shared" si="6"/>
        <v>9.0282094400308571E-2</v>
      </c>
      <c r="H60" s="167">
        <v>60792.65</v>
      </c>
      <c r="I60" s="167">
        <f t="shared" si="7"/>
        <v>-8087.8466100000005</v>
      </c>
      <c r="J60" s="166">
        <f t="shared" si="8"/>
        <v>-0.13303987587315244</v>
      </c>
      <c r="K60" s="174" t="s">
        <v>103</v>
      </c>
      <c r="L60" s="168"/>
      <c r="M60" s="169"/>
      <c r="N60" s="169"/>
      <c r="O60" s="63"/>
      <c r="P60" s="63"/>
      <c r="Q60" s="63"/>
      <c r="R60" s="63"/>
      <c r="S60" s="63"/>
      <c r="T60" s="63"/>
    </row>
    <row r="61" spans="1:20" ht="15.75">
      <c r="A61">
        <f t="shared" si="4"/>
        <v>58</v>
      </c>
      <c r="B61" s="170" t="str">
        <v>San Antonio - Ops Ctr (Bldg 307)</v>
      </c>
      <c r="C61" s="163" t="str">
        <v>TX</v>
      </c>
      <c r="D61" s="164">
        <v>57100.17929</v>
      </c>
      <c r="E61" s="165">
        <v>52570.02</v>
      </c>
      <c r="F61" s="165">
        <f t="shared" si="5"/>
        <v>4530.1592900000032</v>
      </c>
      <c r="G61" s="166">
        <f t="shared" si="6"/>
        <v>8.6173817129991642E-2</v>
      </c>
      <c r="H61" s="167">
        <v>61953.02</v>
      </c>
      <c r="I61" s="167">
        <f t="shared" si="7"/>
        <v>-4852.8407099999968</v>
      </c>
      <c r="J61" s="166">
        <f t="shared" si="8"/>
        <v>-7.8330979022491518E-2</v>
      </c>
      <c r="K61" s="173"/>
      <c r="L61" s="173"/>
      <c r="M61" s="169"/>
      <c r="N61" s="169"/>
      <c r="O61" s="63"/>
      <c r="P61" s="63"/>
      <c r="Q61" s="63"/>
      <c r="R61" s="63"/>
      <c r="S61" s="63"/>
      <c r="T61" s="63"/>
    </row>
    <row r="62" spans="1:20" ht="15.75">
      <c r="A62">
        <f t="shared" si="4"/>
        <v>59</v>
      </c>
      <c r="B62" s="170" t="str">
        <v>San Antonio - Ctr (Bldg 308)</v>
      </c>
      <c r="C62" s="163" t="str">
        <v>TX</v>
      </c>
      <c r="D62" s="164">
        <v>54252.132539999999</v>
      </c>
      <c r="E62" s="165">
        <v>51366.87</v>
      </c>
      <c r="F62" s="165">
        <f t="shared" si="5"/>
        <v>2885.2625399999961</v>
      </c>
      <c r="G62" s="166">
        <f t="shared" si="6"/>
        <v>5.6169716784378647E-2</v>
      </c>
      <c r="H62" s="167">
        <v>59510.04</v>
      </c>
      <c r="I62" s="167">
        <f t="shared" si="7"/>
        <v>-5257.9074600000022</v>
      </c>
      <c r="J62" s="166">
        <f t="shared" si="8"/>
        <v>-8.8353283916461869E-2</v>
      </c>
      <c r="K62" s="168"/>
      <c r="L62" s="168"/>
      <c r="M62" s="169"/>
      <c r="N62" s="169"/>
      <c r="O62" s="63"/>
      <c r="P62" s="63"/>
      <c r="Q62" s="63"/>
      <c r="R62" s="63"/>
      <c r="S62" s="63"/>
      <c r="T62" s="63"/>
    </row>
    <row r="63" spans="1:20" ht="75">
      <c r="A63">
        <f t="shared" si="4"/>
        <v>60</v>
      </c>
      <c r="B63" s="170" t="str">
        <v>San Antonio - Ops Ctr (Bldg 104)</v>
      </c>
      <c r="C63" s="163" t="str">
        <v>TX</v>
      </c>
      <c r="D63" s="164">
        <v>15975.67188</v>
      </c>
      <c r="E63" s="165">
        <v>16098.38</v>
      </c>
      <c r="F63" s="165">
        <f t="shared" si="5"/>
        <v>-122.70811999999933</v>
      </c>
      <c r="G63" s="166">
        <f t="shared" si="6"/>
        <v>-7.6223893335850773E-3</v>
      </c>
      <c r="H63" s="167">
        <v>18628.990000000002</v>
      </c>
      <c r="I63" s="167">
        <f t="shared" si="7"/>
        <v>-2653.3181200000017</v>
      </c>
      <c r="J63" s="166">
        <f t="shared" si="8"/>
        <v>-0.14242952087042837</v>
      </c>
      <c r="K63" s="173" t="s">
        <v>230</v>
      </c>
      <c r="L63" s="173"/>
      <c r="M63" s="169"/>
      <c r="N63" s="169"/>
      <c r="O63" s="63"/>
      <c r="P63" s="63"/>
      <c r="Q63" s="63"/>
      <c r="R63" s="63"/>
      <c r="S63" s="63"/>
      <c r="T63" s="63"/>
    </row>
    <row r="64" spans="1:20" ht="30">
      <c r="A64">
        <f t="shared" si="4"/>
        <v>61</v>
      </c>
      <c r="B64" s="170" t="str">
        <v>San Antonio - Ops Ctr (Bldg 102)</v>
      </c>
      <c r="C64" s="163" t="str">
        <v>TX</v>
      </c>
      <c r="D64" s="164">
        <v>61403.125</v>
      </c>
      <c r="E64" s="165">
        <v>51225.4</v>
      </c>
      <c r="F64" s="165">
        <f t="shared" si="5"/>
        <v>10177.724999999999</v>
      </c>
      <c r="G64" s="166">
        <f t="shared" si="6"/>
        <v>0.19868512495754057</v>
      </c>
      <c r="H64" s="167">
        <v>66657.73</v>
      </c>
      <c r="I64" s="167">
        <f t="shared" si="7"/>
        <v>-5254.6049999999959</v>
      </c>
      <c r="J64" s="166">
        <f t="shared" si="8"/>
        <v>-7.8829642113525264E-2</v>
      </c>
      <c r="K64" s="168" t="s">
        <v>317</v>
      </c>
      <c r="L64" s="175" t="s">
        <v>318</v>
      </c>
      <c r="M64" s="169"/>
      <c r="N64" s="169"/>
      <c r="O64" s="63"/>
      <c r="P64" s="63"/>
      <c r="Q64" s="63"/>
      <c r="R64" s="63"/>
      <c r="S64" s="63"/>
      <c r="T64" s="63"/>
    </row>
    <row r="65" spans="1:20" ht="15.75">
      <c r="A65" s="157">
        <f t="shared" si="4"/>
        <v>62</v>
      </c>
      <c r="B65" s="176" t="str">
        <v>Lodi - Lodi Vineyard</v>
      </c>
      <c r="C65" s="177" t="str">
        <v>CA</v>
      </c>
      <c r="D65" s="178">
        <v>43767.75</v>
      </c>
      <c r="E65" s="179">
        <v>50159.55</v>
      </c>
      <c r="F65" s="179">
        <f t="shared" si="5"/>
        <v>-6391.8000000000029</v>
      </c>
      <c r="G65" s="180">
        <f t="shared" si="6"/>
        <v>-0.12742937287116815</v>
      </c>
      <c r="H65" s="181">
        <v>42061</v>
      </c>
      <c r="I65" s="181">
        <f t="shared" si="7"/>
        <v>1706.75</v>
      </c>
      <c r="J65" s="180">
        <f t="shared" si="8"/>
        <v>4.0577970091058228E-2</v>
      </c>
      <c r="K65" s="185" t="s">
        <v>319</v>
      </c>
      <c r="L65" s="185"/>
      <c r="M65" s="169"/>
      <c r="N65" s="169"/>
      <c r="O65" s="63"/>
      <c r="P65" s="63"/>
      <c r="Q65" s="63"/>
      <c r="R65" s="63"/>
      <c r="S65" s="63"/>
      <c r="T65" s="63"/>
    </row>
    <row r="66" spans="1:20" ht="75">
      <c r="A66">
        <f t="shared" si="4"/>
        <v>63</v>
      </c>
      <c r="B66" s="170" t="str">
        <v>Arden Fair Mall</v>
      </c>
      <c r="C66" s="163" t="str">
        <v>CA</v>
      </c>
      <c r="D66" s="164">
        <v>23269.65625</v>
      </c>
      <c r="E66" s="165">
        <v>24625.79</v>
      </c>
      <c r="F66" s="165">
        <f t="shared" si="5"/>
        <v>-1356.1337500000009</v>
      </c>
      <c r="G66" s="166">
        <f t="shared" si="6"/>
        <v>-5.50696546181869E-2</v>
      </c>
      <c r="H66" s="167">
        <v>27363</v>
      </c>
      <c r="I66" s="167">
        <f t="shared" si="7"/>
        <v>-4093.34375</v>
      </c>
      <c r="J66" s="166">
        <f t="shared" si="8"/>
        <v>-0.14959411431495084</v>
      </c>
      <c r="K66" s="174" t="s">
        <v>230</v>
      </c>
      <c r="L66" s="174"/>
      <c r="M66" s="169"/>
      <c r="N66" s="169"/>
      <c r="O66" s="63"/>
      <c r="P66" s="63"/>
      <c r="Q66" s="63"/>
      <c r="R66" s="63"/>
      <c r="S66" s="63"/>
      <c r="T66" s="63"/>
    </row>
    <row r="67" spans="1:20" ht="45">
      <c r="A67">
        <f t="shared" si="4"/>
        <v>64</v>
      </c>
      <c r="B67" s="170" t="str">
        <v>Modesto - Modesto Main</v>
      </c>
      <c r="C67" s="163" t="str">
        <v>CA</v>
      </c>
      <c r="D67" s="164">
        <v>16280.515625</v>
      </c>
      <c r="E67" s="165">
        <v>18633.689999999999</v>
      </c>
      <c r="F67" s="165">
        <f t="shared" si="5"/>
        <v>-2353.1743749999987</v>
      </c>
      <c r="G67" s="166">
        <f t="shared" si="6"/>
        <v>-0.12628601071500056</v>
      </c>
      <c r="H67" s="167">
        <v>24712.720000000001</v>
      </c>
      <c r="I67" s="167">
        <f t="shared" si="7"/>
        <v>-8432.2043750000012</v>
      </c>
      <c r="J67" s="166">
        <f t="shared" si="8"/>
        <v>-0.34120907674266537</v>
      </c>
      <c r="K67" s="186" t="s">
        <v>320</v>
      </c>
      <c r="L67" s="187" t="s">
        <v>321</v>
      </c>
      <c r="M67" s="184" t="s">
        <v>322</v>
      </c>
      <c r="N67" s="169"/>
      <c r="O67" s="63"/>
      <c r="P67" s="63"/>
      <c r="Q67" s="63"/>
      <c r="R67" s="63"/>
      <c r="S67" s="63"/>
      <c r="T67" s="63"/>
    </row>
    <row r="68" spans="1:20" ht="75">
      <c r="A68">
        <f t="shared" si="4"/>
        <v>65</v>
      </c>
      <c r="B68" s="170" t="str">
        <v>Stevens Creek</v>
      </c>
      <c r="C68" s="163" t="str">
        <v>CA</v>
      </c>
      <c r="D68" s="164">
        <v>5848.1104110030101</v>
      </c>
      <c r="E68" s="165">
        <v>6344.4690000000001</v>
      </c>
      <c r="F68" s="165">
        <f t="shared" ref="F68:F84" si="9">IF(AND(ISNUMBER(D68),ISNUMBER(E68)), D68-E68, "")</f>
        <v>-496.35858899698997</v>
      </c>
      <c r="G68" s="166">
        <f t="shared" ref="G68:G84" si="10">IFERROR(F68/E68, "")</f>
        <v>-7.8234851332237565E-2</v>
      </c>
      <c r="H68" s="167">
        <v>7034</v>
      </c>
      <c r="I68" s="167">
        <f t="shared" ref="I68:I84" si="11">IF(AND(ISNUMBER(D68),ISNUMBER(H68)), D68-H68, "")</f>
        <v>-1185.8895889969899</v>
      </c>
      <c r="J68" s="166">
        <f t="shared" ref="J68:J84" si="12">IFERROR(I68/H68, "")</f>
        <v>-0.16859391370443416</v>
      </c>
      <c r="K68" s="168" t="s">
        <v>230</v>
      </c>
      <c r="L68" s="168"/>
      <c r="M68" s="169"/>
      <c r="N68" s="169"/>
      <c r="O68" s="63"/>
      <c r="P68" s="63"/>
      <c r="Q68" s="63"/>
      <c r="R68" s="63"/>
      <c r="S68" s="63"/>
      <c r="T68" s="63"/>
    </row>
    <row r="69" spans="1:20" ht="15.75">
      <c r="A69">
        <f t="shared" si="4"/>
        <v>66</v>
      </c>
      <c r="B69" s="170" t="str">
        <v>Covina Main</v>
      </c>
      <c r="C69" s="163" t="str">
        <v>CA</v>
      </c>
      <c r="D69" s="164">
        <v>3965.7000000000098</v>
      </c>
      <c r="E69" s="165">
        <v>4035.4209999999998</v>
      </c>
      <c r="F69" s="165">
        <f t="shared" si="9"/>
        <v>-69.720999999989999</v>
      </c>
      <c r="G69" s="166">
        <f t="shared" si="10"/>
        <v>-1.7277255582500563E-2</v>
      </c>
      <c r="H69" s="167">
        <v>3959</v>
      </c>
      <c r="I69" s="167">
        <f t="shared" si="11"/>
        <v>6.7000000000098225</v>
      </c>
      <c r="J69" s="166">
        <f t="shared" si="12"/>
        <v>1.6923465521621174E-3</v>
      </c>
      <c r="K69" s="188"/>
      <c r="L69" s="189"/>
      <c r="M69" s="169"/>
      <c r="N69" s="169"/>
      <c r="O69" s="63"/>
      <c r="P69" s="63"/>
      <c r="Q69" s="63"/>
      <c r="R69" s="63"/>
      <c r="S69" s="63"/>
      <c r="T69" s="63"/>
    </row>
    <row r="70" spans="1:20" ht="75">
      <c r="A70">
        <f t="shared" ref="A70:A84" si="13">A69+1</f>
        <v>67</v>
      </c>
      <c r="B70" s="170" t="str">
        <v>Old Ranch Town Center</v>
      </c>
      <c r="C70" s="163" t="str">
        <v>CA</v>
      </c>
      <c r="D70" s="164">
        <v>1450.0545214843801</v>
      </c>
      <c r="E70" s="165" t="s">
        <v>217</v>
      </c>
      <c r="F70" s="165" t="str">
        <f t="shared" si="9"/>
        <v/>
      </c>
      <c r="G70" s="166" t="str">
        <f t="shared" si="10"/>
        <v/>
      </c>
      <c r="H70" s="167">
        <v>1682</v>
      </c>
      <c r="I70" s="167">
        <f t="shared" si="11"/>
        <v>-231.94547851561993</v>
      </c>
      <c r="J70" s="166">
        <f t="shared" si="12"/>
        <v>-0.13789861980714621</v>
      </c>
      <c r="K70" s="174" t="s">
        <v>243</v>
      </c>
      <c r="L70" s="168"/>
      <c r="M70" s="169"/>
      <c r="N70" s="169"/>
      <c r="O70" s="63"/>
      <c r="P70" s="63"/>
      <c r="Q70" s="63"/>
      <c r="R70" s="63"/>
      <c r="S70" s="63"/>
      <c r="T70" s="63"/>
    </row>
    <row r="71" spans="1:20" ht="45">
      <c r="A71">
        <f t="shared" si="13"/>
        <v>68</v>
      </c>
      <c r="B71" s="170" t="str">
        <v>Mountain Gate Plaza</v>
      </c>
      <c r="C71" s="163" t="str">
        <v>CA</v>
      </c>
      <c r="D71" s="164">
        <v>9379.4000000000196</v>
      </c>
      <c r="E71" s="165" t="s">
        <v>217</v>
      </c>
      <c r="F71" s="165" t="str">
        <f t="shared" si="9"/>
        <v/>
      </c>
      <c r="G71" s="166" t="str">
        <f t="shared" si="10"/>
        <v/>
      </c>
      <c r="H71" s="167">
        <v>11380</v>
      </c>
      <c r="I71" s="167">
        <f t="shared" si="11"/>
        <v>-2000.5999999999804</v>
      </c>
      <c r="J71" s="166">
        <f t="shared" si="12"/>
        <v>-0.1757996485061494</v>
      </c>
      <c r="K71" s="174" t="s">
        <v>323</v>
      </c>
      <c r="L71" s="189"/>
      <c r="M71" s="169"/>
      <c r="N71" s="169"/>
      <c r="O71" s="63"/>
      <c r="P71" s="63"/>
      <c r="Q71" s="63"/>
      <c r="R71" s="63"/>
      <c r="S71" s="63"/>
      <c r="T71" s="63"/>
    </row>
    <row r="72" spans="1:20" ht="75">
      <c r="A72">
        <f t="shared" si="13"/>
        <v>69</v>
      </c>
      <c r="B72" s="170" t="str">
        <v>Arcadia Main</v>
      </c>
      <c r="C72" s="163" t="str">
        <v>CA</v>
      </c>
      <c r="D72" s="164">
        <v>4359.01171875</v>
      </c>
      <c r="E72" s="165" t="s">
        <v>217</v>
      </c>
      <c r="F72" s="165" t="str">
        <f t="shared" si="9"/>
        <v/>
      </c>
      <c r="G72" s="166" t="str">
        <f t="shared" si="10"/>
        <v/>
      </c>
      <c r="H72" s="167">
        <v>6193</v>
      </c>
      <c r="I72" s="167">
        <f t="shared" si="11"/>
        <v>-1833.98828125</v>
      </c>
      <c r="J72" s="166">
        <f t="shared" si="12"/>
        <v>-0.29613891187631197</v>
      </c>
      <c r="K72" s="174" t="s">
        <v>230</v>
      </c>
      <c r="L72" s="168"/>
      <c r="M72" s="169"/>
      <c r="N72" s="169"/>
      <c r="O72" s="63"/>
      <c r="P72" s="63"/>
      <c r="Q72" s="63"/>
      <c r="R72" s="63"/>
      <c r="S72" s="63"/>
      <c r="T72" s="63"/>
    </row>
    <row r="73" spans="1:20" ht="75">
      <c r="A73">
        <f t="shared" si="13"/>
        <v>70</v>
      </c>
      <c r="B73" s="170" t="str">
        <v>Fairfield</v>
      </c>
      <c r="C73" s="163" t="str">
        <v>CA</v>
      </c>
      <c r="D73" s="164">
        <v>4371.0665234375001</v>
      </c>
      <c r="E73" s="165">
        <v>4242.5540000000001</v>
      </c>
      <c r="F73" s="165">
        <f t="shared" si="9"/>
        <v>128.51252343750002</v>
      </c>
      <c r="G73" s="166">
        <f t="shared" si="10"/>
        <v>3.0291311186021443E-2</v>
      </c>
      <c r="H73" s="167">
        <v>4986</v>
      </c>
      <c r="I73" s="167">
        <f t="shared" si="11"/>
        <v>-614.93347656249989</v>
      </c>
      <c r="J73" s="166">
        <f t="shared" si="12"/>
        <v>-0.12333202498245084</v>
      </c>
      <c r="K73" s="188" t="s">
        <v>230</v>
      </c>
      <c r="L73" s="189"/>
      <c r="M73" s="169"/>
      <c r="N73" s="169"/>
      <c r="O73" s="63"/>
      <c r="P73" s="63"/>
      <c r="Q73" s="63"/>
      <c r="R73" s="63"/>
      <c r="S73" s="63"/>
      <c r="T73" s="63"/>
    </row>
    <row r="74" spans="1:20" ht="15.75">
      <c r="A74">
        <f t="shared" si="13"/>
        <v>71</v>
      </c>
      <c r="B74" s="170" t="str">
        <v>Los Gatos</v>
      </c>
      <c r="C74" s="163" t="str">
        <v>CA</v>
      </c>
      <c r="D74" s="164">
        <v>2392.70703125</v>
      </c>
      <c r="E74" s="165">
        <v>2502.0569999999998</v>
      </c>
      <c r="F74" s="165">
        <f t="shared" si="9"/>
        <v>-109.34996874999979</v>
      </c>
      <c r="G74" s="166">
        <f t="shared" si="10"/>
        <v>-4.3704027825904768E-2</v>
      </c>
      <c r="H74" s="167">
        <v>0</v>
      </c>
      <c r="I74" s="167">
        <f t="shared" si="11"/>
        <v>2392.70703125</v>
      </c>
      <c r="J74" s="166" t="str">
        <f t="shared" si="12"/>
        <v/>
      </c>
      <c r="K74" s="168"/>
      <c r="L74" s="168"/>
      <c r="M74" s="169"/>
      <c r="N74" s="169"/>
      <c r="O74" s="63"/>
      <c r="P74" s="63"/>
      <c r="Q74" s="63"/>
      <c r="R74" s="63"/>
      <c r="S74" s="63"/>
      <c r="T74" s="63"/>
    </row>
    <row r="75" spans="1:20" ht="30">
      <c r="A75">
        <f t="shared" si="13"/>
        <v>72</v>
      </c>
      <c r="B75" s="170" t="str">
        <v>San Marino</v>
      </c>
      <c r="C75" s="163" t="str">
        <v>CA</v>
      </c>
      <c r="D75" s="164">
        <v>3888.3</v>
      </c>
      <c r="E75" s="165">
        <v>5291.0640000000003</v>
      </c>
      <c r="F75" s="165">
        <f t="shared" si="9"/>
        <v>-1402.7640000000001</v>
      </c>
      <c r="G75" s="166">
        <f t="shared" si="10"/>
        <v>-0.26511945423453581</v>
      </c>
      <c r="H75" s="167">
        <v>6479.5839999999998</v>
      </c>
      <c r="I75" s="167">
        <f t="shared" si="11"/>
        <v>-2591.2839999999997</v>
      </c>
      <c r="J75" s="166">
        <f t="shared" si="12"/>
        <v>-0.3999151797399339</v>
      </c>
      <c r="K75" s="188" t="s">
        <v>244</v>
      </c>
      <c r="L75" s="187" t="s">
        <v>295</v>
      </c>
      <c r="M75" s="169"/>
      <c r="N75" s="169"/>
      <c r="O75" s="63"/>
      <c r="P75" s="63"/>
      <c r="Q75" s="63"/>
      <c r="R75" s="63"/>
      <c r="S75" s="63"/>
      <c r="T75" s="63"/>
    </row>
    <row r="76" spans="1:20" ht="75">
      <c r="A76">
        <f t="shared" si="13"/>
        <v>73</v>
      </c>
      <c r="B76" s="170" t="str">
        <v>Buenaventura</v>
      </c>
      <c r="C76" s="163" t="str">
        <v>CA</v>
      </c>
      <c r="D76" s="164">
        <v>5383.8818407960198</v>
      </c>
      <c r="E76" s="165">
        <v>3896.886</v>
      </c>
      <c r="F76" s="165">
        <f t="shared" si="9"/>
        <v>1486.9958407960198</v>
      </c>
      <c r="G76" s="166">
        <f t="shared" si="10"/>
        <v>0.38158566629765917</v>
      </c>
      <c r="H76" s="167">
        <v>6069.5720000000001</v>
      </c>
      <c r="I76" s="167">
        <f t="shared" si="11"/>
        <v>-685.69015920398033</v>
      </c>
      <c r="J76" s="166">
        <f t="shared" si="12"/>
        <v>-0.11297174812391719</v>
      </c>
      <c r="K76" s="188" t="s">
        <v>230</v>
      </c>
      <c r="L76" s="168"/>
      <c r="M76" s="169"/>
      <c r="N76" s="169"/>
      <c r="O76" s="63"/>
      <c r="P76" s="63"/>
      <c r="Q76" s="63"/>
      <c r="R76" s="63"/>
      <c r="S76" s="63"/>
      <c r="T76" s="63"/>
    </row>
    <row r="77" spans="1:20" ht="15.75">
      <c r="A77" s="159">
        <f t="shared" si="13"/>
        <v>74</v>
      </c>
      <c r="B77" s="190" t="str">
        <v>N Black Canyon Hwy, Phoenix - North</v>
      </c>
      <c r="C77" s="191" t="str">
        <v>AZ</v>
      </c>
      <c r="D77" s="192">
        <v>97248.25</v>
      </c>
      <c r="E77" s="193">
        <v>79215.62</v>
      </c>
      <c r="F77" s="193">
        <f t="shared" si="9"/>
        <v>18032.630000000005</v>
      </c>
      <c r="G77" s="194">
        <f t="shared" si="10"/>
        <v>0.22763982658975598</v>
      </c>
      <c r="H77" s="195">
        <v>95432</v>
      </c>
      <c r="I77" s="195">
        <f t="shared" si="11"/>
        <v>1816.25</v>
      </c>
      <c r="J77" s="194">
        <f t="shared" si="12"/>
        <v>1.903187610025987E-2</v>
      </c>
      <c r="K77" s="196"/>
      <c r="L77" s="197"/>
      <c r="M77" s="169"/>
      <c r="N77" s="169"/>
      <c r="O77" s="63"/>
      <c r="P77" s="63"/>
      <c r="Q77" s="63"/>
      <c r="R77" s="63"/>
      <c r="S77" s="63"/>
      <c r="T77" s="63"/>
    </row>
    <row r="78" spans="1:20" ht="15.75">
      <c r="A78" s="159">
        <f t="shared" si="13"/>
        <v>75</v>
      </c>
      <c r="B78" s="190" t="str">
        <v>N Black Canyon Hwy, Phoenix - South</v>
      </c>
      <c r="C78" s="191" t="str">
        <v>AZ</v>
      </c>
      <c r="D78" s="192">
        <v>103082</v>
      </c>
      <c r="E78" s="193">
        <v>86572.02</v>
      </c>
      <c r="F78" s="193">
        <f t="shared" si="9"/>
        <v>16509.979999999996</v>
      </c>
      <c r="G78" s="194">
        <f t="shared" si="10"/>
        <v>0.19070803707710637</v>
      </c>
      <c r="H78" s="195">
        <v>105078</v>
      </c>
      <c r="I78" s="195">
        <f t="shared" si="11"/>
        <v>-1996</v>
      </c>
      <c r="J78" s="194">
        <f t="shared" si="12"/>
        <v>-1.8995412931346239E-2</v>
      </c>
      <c r="K78" s="198" t="s">
        <v>324</v>
      </c>
      <c r="L78" s="199" t="s">
        <v>325</v>
      </c>
      <c r="M78" s="169"/>
      <c r="N78" s="169"/>
      <c r="O78" s="63"/>
      <c r="P78" s="63"/>
      <c r="Q78" s="63"/>
      <c r="R78" s="63"/>
      <c r="S78" s="63"/>
      <c r="T78" s="63"/>
    </row>
    <row r="79" spans="1:20" ht="15.75">
      <c r="A79">
        <f t="shared" si="13"/>
        <v>76</v>
      </c>
      <c r="B79" s="170" t="str">
        <v xml:space="preserve"> Building 2222, Rose Garden Ln, Phoenix</v>
      </c>
      <c r="C79" s="163" t="str">
        <v>AZ</v>
      </c>
      <c r="D79" s="164">
        <v>128293.5</v>
      </c>
      <c r="E79" s="165">
        <v>124183.8</v>
      </c>
      <c r="F79" s="165">
        <f t="shared" si="9"/>
        <v>4109.6999999999971</v>
      </c>
      <c r="G79" s="166">
        <f t="shared" si="10"/>
        <v>3.3093688548747884E-2</v>
      </c>
      <c r="H79" s="167">
        <v>130682</v>
      </c>
      <c r="I79" s="167">
        <f t="shared" si="11"/>
        <v>-2388.5</v>
      </c>
      <c r="J79" s="166">
        <f t="shared" si="12"/>
        <v>-1.8277191962167705E-2</v>
      </c>
      <c r="K79" s="188"/>
      <c r="L79" s="189"/>
      <c r="M79" s="169"/>
      <c r="N79" s="169"/>
      <c r="O79" s="63"/>
      <c r="P79" s="63"/>
      <c r="Q79" s="63"/>
      <c r="R79" s="63"/>
      <c r="S79" s="63"/>
      <c r="T79" s="63"/>
    </row>
    <row r="80" spans="1:20" ht="15.75">
      <c r="A80">
        <f t="shared" si="13"/>
        <v>77</v>
      </c>
      <c r="B80" s="170" t="str">
        <v xml:space="preserve"> Building 2202, Rose Garden Ln, Phoenix</v>
      </c>
      <c r="C80" s="163" t="str">
        <v>AZ</v>
      </c>
      <c r="D80" s="164">
        <v>127758.5</v>
      </c>
      <c r="E80" s="165">
        <v>121462</v>
      </c>
      <c r="F80" s="165">
        <f t="shared" si="9"/>
        <v>6296.5</v>
      </c>
      <c r="G80" s="166">
        <f t="shared" si="10"/>
        <v>5.1839258368872571E-2</v>
      </c>
      <c r="H80" s="167">
        <v>96396.38</v>
      </c>
      <c r="I80" s="167">
        <f t="shared" si="11"/>
        <v>31362.119999999995</v>
      </c>
      <c r="J80" s="166">
        <f t="shared" si="12"/>
        <v>0.32534541234847192</v>
      </c>
      <c r="K80" s="168"/>
      <c r="L80" s="168"/>
      <c r="M80" s="169"/>
      <c r="N80" s="169"/>
      <c r="O80" s="63"/>
      <c r="P80" s="63"/>
      <c r="Q80" s="63"/>
      <c r="R80" s="63"/>
      <c r="S80" s="63"/>
      <c r="T80" s="63"/>
    </row>
    <row r="81" spans="1:20" ht="15.75">
      <c r="A81">
        <f t="shared" si="13"/>
        <v>78</v>
      </c>
      <c r="B81" s="170" t="str">
        <v xml:space="preserve"> 99TH Ave &amp; BELL</v>
      </c>
      <c r="C81" s="163" t="str">
        <v>AZ</v>
      </c>
      <c r="D81" s="164">
        <v>22657.200862041402</v>
      </c>
      <c r="E81" s="165">
        <v>22130.53</v>
      </c>
      <c r="F81" s="165">
        <f t="shared" si="9"/>
        <v>526.67086204140287</v>
      </c>
      <c r="G81" s="166">
        <f t="shared" si="10"/>
        <v>2.3798384496051515E-2</v>
      </c>
      <c r="H81" s="167">
        <v>22945</v>
      </c>
      <c r="I81" s="167">
        <f t="shared" si="11"/>
        <v>-287.79913795859829</v>
      </c>
      <c r="J81" s="166">
        <f t="shared" si="12"/>
        <v>-1.2543000128943051E-2</v>
      </c>
      <c r="K81" s="188"/>
      <c r="L81" s="189"/>
      <c r="M81" s="169"/>
      <c r="N81" s="169"/>
      <c r="O81" s="63"/>
      <c r="P81" s="63"/>
      <c r="Q81" s="63"/>
      <c r="R81" s="63"/>
      <c r="S81" s="63"/>
      <c r="T81" s="63"/>
    </row>
    <row r="82" spans="1:20" ht="15.75">
      <c r="A82" s="159">
        <f t="shared" si="13"/>
        <v>79</v>
      </c>
      <c r="B82" s="190" t="str">
        <v>Rincon</v>
      </c>
      <c r="C82" s="191" t="str">
        <v>AZ</v>
      </c>
      <c r="D82" s="192">
        <v>8356.421875</v>
      </c>
      <c r="E82" s="193">
        <v>7037.5940000000001</v>
      </c>
      <c r="F82" s="193">
        <f t="shared" si="9"/>
        <v>1318.8278749999999</v>
      </c>
      <c r="G82" s="194">
        <f t="shared" si="10"/>
        <v>0.18739755021389412</v>
      </c>
      <c r="H82" s="195">
        <v>8019</v>
      </c>
      <c r="I82" s="195">
        <f t="shared" si="11"/>
        <v>337.421875</v>
      </c>
      <c r="J82" s="194">
        <f t="shared" si="12"/>
        <v>4.2077799600947749E-2</v>
      </c>
      <c r="K82" s="198"/>
      <c r="L82" s="198"/>
      <c r="M82" s="169"/>
      <c r="N82" s="169"/>
      <c r="O82" s="63"/>
      <c r="P82" s="63"/>
      <c r="Q82" s="63"/>
      <c r="R82" s="63"/>
      <c r="S82" s="63"/>
      <c r="T82" s="63"/>
    </row>
    <row r="83" spans="1:20" ht="45">
      <c r="A83">
        <f t="shared" si="13"/>
        <v>80</v>
      </c>
      <c r="B83" s="170" t="str">
        <v>Tucson Main Parking Garage</v>
      </c>
      <c r="C83" s="163" t="str">
        <v>AZ</v>
      </c>
      <c r="D83" s="164">
        <v>14768</v>
      </c>
      <c r="E83" s="165">
        <v>14217.14</v>
      </c>
      <c r="F83" s="165">
        <f t="shared" si="9"/>
        <v>550.86000000000058</v>
      </c>
      <c r="G83" s="166">
        <f t="shared" si="10"/>
        <v>3.8746189458639405E-2</v>
      </c>
      <c r="H83" s="167">
        <v>10848</v>
      </c>
      <c r="I83" s="167">
        <f t="shared" si="11"/>
        <v>3920</v>
      </c>
      <c r="J83" s="166">
        <f t="shared" si="12"/>
        <v>0.36135693215339232</v>
      </c>
      <c r="K83" s="186" t="s">
        <v>326</v>
      </c>
      <c r="L83" s="187" t="s">
        <v>327</v>
      </c>
      <c r="M83" s="169"/>
      <c r="N83" s="169"/>
      <c r="O83" s="63"/>
      <c r="P83" s="63"/>
      <c r="Q83" s="63"/>
      <c r="R83" s="63"/>
      <c r="S83" s="63"/>
      <c r="T83" s="63"/>
    </row>
    <row r="84" spans="1:20" ht="75">
      <c r="A84">
        <f t="shared" si="13"/>
        <v>81</v>
      </c>
      <c r="B84" s="170" t="str">
        <v>BE 199502 - Westgate</v>
      </c>
      <c r="C84" s="163" t="str">
        <v>CA</v>
      </c>
      <c r="D84" s="164">
        <v>2103.4</v>
      </c>
      <c r="E84" s="165">
        <v>0</v>
      </c>
      <c r="F84" s="165">
        <f t="shared" si="9"/>
        <v>2103.4</v>
      </c>
      <c r="G84" s="166" t="str">
        <f t="shared" si="10"/>
        <v/>
      </c>
      <c r="H84" s="167">
        <v>2520</v>
      </c>
      <c r="I84" s="167">
        <f t="shared" si="11"/>
        <v>-416.59999999999991</v>
      </c>
      <c r="J84" s="166">
        <f t="shared" si="12"/>
        <v>-0.16531746031746028</v>
      </c>
      <c r="K84" s="168" t="s">
        <v>243</v>
      </c>
      <c r="L84" s="168"/>
      <c r="M84" s="169"/>
      <c r="N84" s="169"/>
      <c r="O84" s="63"/>
      <c r="P84" s="63"/>
      <c r="Q84" s="63"/>
      <c r="R84" s="63"/>
      <c r="S84" s="63"/>
      <c r="T84" s="63"/>
    </row>
    <row r="85" spans="1:20" ht="15">
      <c r="B85" s="18"/>
      <c r="C85" s="30"/>
      <c r="D85" s="18"/>
      <c r="E85" s="18"/>
      <c r="F85" s="18"/>
      <c r="G85" s="158"/>
      <c r="H85" s="18"/>
      <c r="I85" s="18"/>
      <c r="J85" s="158"/>
      <c r="K85" s="18"/>
      <c r="L85" s="18"/>
    </row>
    <row r="86" spans="1:20" ht="15">
      <c r="B86" s="18"/>
      <c r="C86" s="30"/>
      <c r="D86" s="18"/>
      <c r="E86" s="18"/>
      <c r="F86" s="18"/>
      <c r="G86" s="158"/>
      <c r="H86" s="18"/>
      <c r="I86" s="18"/>
      <c r="J86" s="158"/>
      <c r="K86" s="18"/>
      <c r="L86" s="18"/>
    </row>
    <row r="87" spans="1:20" ht="15">
      <c r="B87" s="18"/>
      <c r="C87" s="30"/>
      <c r="D87" s="18"/>
      <c r="E87" s="18"/>
      <c r="F87" s="18"/>
      <c r="G87" s="158"/>
      <c r="H87" s="18"/>
      <c r="I87" s="18"/>
      <c r="J87" s="158"/>
      <c r="K87" s="18"/>
      <c r="L87" s="18"/>
    </row>
    <row r="88" spans="1:20" ht="15">
      <c r="B88" s="18"/>
      <c r="C88" s="30"/>
      <c r="D88" s="18"/>
      <c r="E88" s="18"/>
      <c r="F88" s="18"/>
      <c r="G88" s="158"/>
      <c r="H88" s="18"/>
      <c r="I88" s="18"/>
      <c r="J88" s="158"/>
      <c r="K88" s="18"/>
      <c r="L88" s="18"/>
    </row>
    <row r="89" spans="1:20" ht="15">
      <c r="B89" s="18"/>
      <c r="C89" s="30"/>
      <c r="D89" s="18"/>
      <c r="E89" s="18"/>
      <c r="F89" s="18"/>
      <c r="G89" s="158"/>
      <c r="H89" s="18"/>
      <c r="I89" s="18"/>
      <c r="J89" s="158"/>
      <c r="K89" s="18"/>
      <c r="L89" s="18"/>
    </row>
    <row r="90" spans="1:20" ht="15">
      <c r="B90" s="18"/>
      <c r="C90" s="30"/>
      <c r="D90" s="18"/>
      <c r="E90" s="18"/>
      <c r="F90" s="18"/>
      <c r="G90" s="158"/>
      <c r="H90" s="18"/>
      <c r="I90" s="18"/>
      <c r="J90" s="158"/>
      <c r="K90" s="18"/>
      <c r="L90" s="18"/>
    </row>
    <row r="91" spans="1:20" ht="15">
      <c r="B91" s="18"/>
      <c r="C91" s="30"/>
      <c r="D91" s="18"/>
      <c r="E91" s="18"/>
      <c r="F91" s="18"/>
      <c r="G91" s="158"/>
      <c r="H91" s="18"/>
      <c r="I91" s="18"/>
      <c r="J91" s="158"/>
      <c r="K91" s="18"/>
      <c r="L91" s="18"/>
    </row>
    <row r="92" spans="1:20" ht="15">
      <c r="B92" s="18"/>
      <c r="C92" s="30"/>
      <c r="D92" s="18"/>
      <c r="E92" s="18"/>
      <c r="F92" s="18"/>
      <c r="G92" s="158"/>
      <c r="H92" s="18"/>
      <c r="I92" s="18"/>
      <c r="J92" s="158"/>
      <c r="K92" s="18"/>
      <c r="L92" s="18"/>
    </row>
    <row r="93" spans="1:20" ht="15">
      <c r="B93" s="18"/>
      <c r="C93" s="30"/>
      <c r="D93" s="18"/>
      <c r="E93" s="18"/>
      <c r="F93" s="18"/>
      <c r="G93" s="158"/>
      <c r="H93" s="18"/>
      <c r="I93" s="18"/>
      <c r="J93" s="158"/>
      <c r="K93" s="18"/>
      <c r="L93" s="18"/>
    </row>
    <row r="94" spans="1:20" ht="15">
      <c r="B94" s="18"/>
      <c r="C94" s="30"/>
      <c r="D94" s="18"/>
      <c r="E94" s="18"/>
      <c r="F94" s="18"/>
      <c r="G94" s="158"/>
      <c r="H94" s="18"/>
      <c r="I94" s="18"/>
      <c r="J94" s="158"/>
      <c r="K94" s="18"/>
      <c r="L94" s="18"/>
    </row>
    <row r="95" spans="1:20" ht="15">
      <c r="B95" s="18"/>
      <c r="C95" s="30"/>
      <c r="D95" s="18"/>
      <c r="E95" s="18"/>
      <c r="F95" s="18"/>
      <c r="G95" s="158"/>
      <c r="H95" s="18"/>
      <c r="I95" s="18"/>
      <c r="J95" s="158"/>
      <c r="K95" s="18"/>
      <c r="L95" s="18"/>
    </row>
    <row r="96" spans="1:20" ht="1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5">
      <c r="B256" s="216" t="s">
        <v>328</v>
      </c>
      <c r="C256" s="216"/>
      <c r="D256" s="216"/>
      <c r="E256" s="18"/>
      <c r="F256" s="18"/>
      <c r="G256" s="19"/>
      <c r="H256" s="18"/>
      <c r="I256" s="18"/>
      <c r="J256" s="19"/>
      <c r="K256" s="18"/>
      <c r="L256" s="18"/>
    </row>
    <row r="257" spans="2:12" ht="15">
      <c r="B257" s="146" t="s">
        <v>329</v>
      </c>
      <c r="C257" s="146">
        <v>23</v>
      </c>
      <c r="D257" s="148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5">
      <c r="B258" s="146" t="s">
        <v>330</v>
      </c>
      <c r="C258" s="146">
        <v>18</v>
      </c>
      <c r="D258" s="148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5">
      <c r="B259" s="146" t="s">
        <v>331</v>
      </c>
      <c r="C259" s="146">
        <v>40</v>
      </c>
      <c r="D259" s="148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5">
      <c r="B260" s="146"/>
      <c r="C260" s="146"/>
      <c r="D260" s="146"/>
      <c r="E260" s="18"/>
      <c r="F260" s="18"/>
      <c r="G260" s="19"/>
      <c r="H260" s="18"/>
      <c r="I260" s="18"/>
      <c r="J260" s="19"/>
      <c r="K260" s="18"/>
      <c r="L260" s="18"/>
    </row>
    <row r="261" spans="2:12" ht="15">
      <c r="B261" s="146"/>
      <c r="C261" s="146"/>
      <c r="D261" s="146"/>
      <c r="E261" s="18"/>
      <c r="F261" s="18"/>
      <c r="G261" s="19"/>
      <c r="H261" s="18"/>
      <c r="I261" s="18"/>
      <c r="J261" s="19"/>
      <c r="K261" s="18"/>
      <c r="L261" s="18"/>
    </row>
    <row r="262" spans="2:12" ht="15">
      <c r="B262" s="216" t="s">
        <v>332</v>
      </c>
      <c r="C262" s="216"/>
      <c r="D262" s="216"/>
      <c r="E262" s="18"/>
      <c r="F262" s="18"/>
      <c r="G262" s="19"/>
      <c r="H262" s="18"/>
      <c r="I262" s="18"/>
      <c r="J262" s="19"/>
      <c r="K262" s="18"/>
      <c r="L262" s="18"/>
    </row>
    <row r="263" spans="2:12" ht="15">
      <c r="B263" s="146" t="s">
        <v>329</v>
      </c>
      <c r="C263" s="146">
        <v>58</v>
      </c>
      <c r="D263" s="148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5">
      <c r="B264" s="146" t="s">
        <v>330</v>
      </c>
      <c r="C264" s="146">
        <v>8</v>
      </c>
      <c r="D264" s="148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5">
      <c r="B265" s="146" t="s">
        <v>331</v>
      </c>
      <c r="C265" s="146">
        <v>15</v>
      </c>
      <c r="D265" s="148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0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  <hyperlink ref="L9" r:id="rId2" display="https://us3.assetplanner.com/service_request?ID=105604" xr:uid="{AD7B3C72-084E-406A-BDC3-5BF426E7969B}"/>
    <hyperlink ref="L10" r:id="rId3" display="https://us3.assetplanner.com/service_request?ID=103075" xr:uid="{1D98DD94-BF75-434C-AC82-7262BC580D10}"/>
    <hyperlink ref="L13" r:id="rId4" display="https://us3.assetplanner.com/service_request?ID=105436" xr:uid="{6568927A-05FD-4968-B5A4-A8A2B64F9CE3}"/>
    <hyperlink ref="L14" r:id="rId5" display="https://us3.assetplanner.com/service_request?ID=105437" xr:uid="{E01541EC-32F8-44B1-833E-7D1425CD29BB}"/>
    <hyperlink ref="L19" r:id="rId6" display="https://us3.assetplanner.com/service_request?ID=088667" xr:uid="{FBC9F16E-1769-467C-B195-5C9FE38891B4}"/>
    <hyperlink ref="M19" r:id="rId7" display="https://us3.assetplanner.com/service_request?ID=077700" xr:uid="{96485EDC-1C5A-4B33-A620-B39B0CC0C94A}"/>
    <hyperlink ref="L20" r:id="rId8" display="https://us3.assetplanner.com/service_request?ID=098782" xr:uid="{84A9A846-7205-4FE4-BC84-FFA78D58A563}"/>
    <hyperlink ref="M20" r:id="rId9" display="https://us3.assetplanner.com/service_request?ID=098791" xr:uid="{5DE5826F-D2A4-4D2E-84CA-7A9A954C5A3D}"/>
    <hyperlink ref="L22" r:id="rId10" display="https://us3.assetplanner.com/service_request?ID=105483" xr:uid="{3CB34C8E-FC6A-40D6-A106-55E749A8A686}"/>
    <hyperlink ref="M22" r:id="rId11" display="https://us3.assetplanner.com/service_request?ID=105331" xr:uid="{9956E975-D479-40F1-9EE5-FA62C6481DA8}"/>
    <hyperlink ref="L23" r:id="rId12" display="https://us3.assetplanner.com/service_request?ID=106886" xr:uid="{6583C608-1AF2-403C-900D-462DE3D53296}"/>
    <hyperlink ref="L34" r:id="rId13" display="https://us3.assetplanner.com/service_request?ID=100979" xr:uid="{066EF0AC-A2E0-40D3-8B98-6155AD500A0F}"/>
    <hyperlink ref="L38" r:id="rId14" display="https://us3.assetplanner.com/service_request?ID=100592" xr:uid="{08D7CDDE-CD02-436C-BB2A-6D9DF2561FBF}"/>
    <hyperlink ref="L46" r:id="rId15" display="https://us3.assetplanner.com/service_request?ID=075812" xr:uid="{9D9D51D1-5127-4923-8281-302DCEA580F5}"/>
    <hyperlink ref="L47" r:id="rId16" display="https://us3.assetplanner.com/service_request?ID=100593" xr:uid="{984B97B9-5443-4E0E-A44E-8D230A6A1EE9}"/>
    <hyperlink ref="L56" r:id="rId17" display="https://us3.assetplanner.com/service_request?ID=106961" xr:uid="{3D251421-77EF-45AF-BC71-1D8E60099174}"/>
    <hyperlink ref="L64" r:id="rId18" display="https://us3.assetplanner.com/service_request?ID=106784" xr:uid="{FAEABB84-58C3-4CA8-8053-779BE2A400C5}"/>
    <hyperlink ref="L67" r:id="rId19" display="https://us3.assetplanner.com/service_request?ID=101247" xr:uid="{A479E181-37C9-4B55-A315-B9A83BB11256}"/>
    <hyperlink ref="M67" r:id="rId20" display="https://us3.assetplanner.com/service_request?ID=106393" xr:uid="{527E6976-C7D7-48E9-AAEB-F68758C1FD88}"/>
    <hyperlink ref="L75" r:id="rId21" display="https://us3.assetplanner.com/service_request?ID=104629" xr:uid="{F0A60F18-3532-4AB5-9B4B-20B771AF30C4}"/>
    <hyperlink ref="L78" r:id="rId22" display="https://us3.assetplanner.com/service_request?ID=104656" xr:uid="{FD1A5FEE-05A5-4B3E-A0BA-6B0EA0232F21}"/>
    <hyperlink ref="L83" r:id="rId23" display="https://us3.assetplanner.com/service_request?ID=104705" xr:uid="{82C381A4-F129-4ADA-979E-5D5A2C066246}"/>
    <hyperlink ref="L16" r:id="rId24" display="https://us3.assetplanner.com/service_request?ID=105517" xr:uid="{AC70136D-CE71-4891-A84F-638982A00792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zoomScale="80" zoomScaleNormal="80" workbookViewId="0">
      <pane xSplit="2" ySplit="3" topLeftCell="C74" activePane="bottomRight" state="frozen"/>
      <selection pane="bottomRight" activeCell="E77" sqref="E77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333</v>
      </c>
      <c r="E1" s="219"/>
      <c r="F1" s="219"/>
      <c r="G1" s="217" t="s">
        <v>334</v>
      </c>
      <c r="H1" s="217"/>
      <c r="I1" s="217"/>
      <c r="J1" s="208"/>
      <c r="K1" s="208"/>
    </row>
    <row r="2" spans="1:11" ht="19.5" customHeight="1">
      <c r="A2" s="228" t="s">
        <v>2</v>
      </c>
      <c r="B2" s="228"/>
      <c r="C2" s="4">
        <f>SUM(C4:C91)</f>
        <v>1889033.8292493527</v>
      </c>
      <c r="D2" s="4">
        <f>SUM(D4:D91)</f>
        <v>1889129.6723999998</v>
      </c>
      <c r="E2" s="4">
        <f>C2-D2</f>
        <v>-95.843150647124276</v>
      </c>
      <c r="F2" s="5">
        <f>IFERROR(E2/D2, 0)</f>
        <v>-5.0734024269155979E-5</v>
      </c>
      <c r="G2" s="4">
        <f>SUM(G4:G91)</f>
        <v>2034398.2830000003</v>
      </c>
      <c r="H2" s="6">
        <f>C2-G2</f>
        <v>-145364.4537506476</v>
      </c>
      <c r="I2" s="5">
        <f>IFERROR(H2/G2, 0)</f>
        <v>-7.1453291602413121E-2</v>
      </c>
      <c r="J2" s="209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208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10" t="s">
        <v>48</v>
      </c>
      <c r="K3" s="210" t="s">
        <v>49</v>
      </c>
    </row>
    <row r="4" spans="1:11" ht="30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939.89999999999804</v>
      </c>
      <c r="D4" s="11" t="s">
        <v>217</v>
      </c>
      <c r="E4" s="11" t="str">
        <f>IF(AND(ISNUMBER(C4),ISNUMBER(D4)), C4-D4, "")</f>
        <v/>
      </c>
      <c r="F4" s="12" t="str">
        <f>IFERROR(E4/D4, "")</f>
        <v/>
      </c>
      <c r="G4" s="13">
        <v>1067</v>
      </c>
      <c r="H4" s="13">
        <f>IF(AND(ISNUMBER(C4),ISNUMBER(G4)), C4-G4, "")</f>
        <v>-127.10000000000196</v>
      </c>
      <c r="I4" s="14">
        <f>IFERROR(H4/G4, "")</f>
        <v>-0.11911902530459414</v>
      </c>
      <c r="J4" s="60" t="s">
        <v>103</v>
      </c>
      <c r="K4" s="60"/>
    </row>
    <row r="5" spans="1:11" ht="15.75">
      <c r="A5" s="27" t="str">
        <v>Otay Mesa</v>
      </c>
      <c r="B5" s="28" t="str">
        <v>CA</v>
      </c>
      <c r="C5" s="10">
        <v>37.906999999999996</v>
      </c>
      <c r="D5" s="15" t="s">
        <v>217</v>
      </c>
      <c r="E5" s="15" t="str">
        <f t="shared" ref="E5:E70" si="0">IF(AND(ISNUMBER(C5),ISNUMBER(D5)), C5-D5, "")</f>
        <v/>
      </c>
      <c r="F5" s="16" t="str">
        <f>IFERROR(E5/D5, "")</f>
        <v/>
      </c>
      <c r="G5" s="207" t="s">
        <v>217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49" t="s">
        <v>51</v>
      </c>
      <c r="K5" s="49"/>
    </row>
    <row r="6" spans="1:11" ht="15.75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1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218</v>
      </c>
      <c r="K6" s="87" t="s">
        <v>166</v>
      </c>
    </row>
    <row r="7" spans="1:11" ht="30">
      <c r="A7" s="27" t="str">
        <v>Van Nuys</v>
      </c>
      <c r="B7" s="28" t="str">
        <v>CA</v>
      </c>
      <c r="C7" s="10">
        <v>1504</v>
      </c>
      <c r="D7" s="15" t="s">
        <v>217</v>
      </c>
      <c r="E7" s="15" t="str">
        <f t="shared" si="0"/>
        <v/>
      </c>
      <c r="F7" s="16" t="str">
        <f t="shared" si="3"/>
        <v/>
      </c>
      <c r="G7" s="17">
        <v>2136.4380000000001</v>
      </c>
      <c r="H7" s="17">
        <f t="shared" si="1"/>
        <v>-632.4380000000001</v>
      </c>
      <c r="I7" s="16">
        <f t="shared" si="2"/>
        <v>-0.29602450433852989</v>
      </c>
      <c r="J7" s="49" t="s">
        <v>103</v>
      </c>
      <c r="K7" s="55"/>
    </row>
    <row r="8" spans="1:11" ht="15.75">
      <c r="A8" s="25" t="str">
        <v>98th &amp; Grant</v>
      </c>
      <c r="B8" s="26" t="str">
        <v>CO</v>
      </c>
      <c r="C8" s="21">
        <v>1973.50000000001</v>
      </c>
      <c r="D8" s="11" t="s">
        <v>217</v>
      </c>
      <c r="E8" s="11" t="str">
        <f t="shared" si="0"/>
        <v/>
      </c>
      <c r="F8" s="12" t="str">
        <f t="shared" si="3"/>
        <v/>
      </c>
      <c r="G8" s="13">
        <v>1914</v>
      </c>
      <c r="H8" s="13">
        <f t="shared" si="1"/>
        <v>59.500000000010004</v>
      </c>
      <c r="I8" s="14">
        <f t="shared" si="2"/>
        <v>3.1086729362596658E-2</v>
      </c>
      <c r="J8" s="60"/>
      <c r="K8" s="60"/>
    </row>
    <row r="9" spans="1:11" ht="27" customHeight="1">
      <c r="A9" s="27" t="str">
        <v>Arapahoe Crossings</v>
      </c>
      <c r="B9" s="28" t="str">
        <v>CO</v>
      </c>
      <c r="C9" s="10">
        <v>2474.7005266829201</v>
      </c>
      <c r="D9" s="15" t="s">
        <v>217</v>
      </c>
      <c r="E9" s="15" t="str">
        <f t="shared" si="0"/>
        <v/>
      </c>
      <c r="F9" s="16" t="str">
        <f t="shared" si="3"/>
        <v/>
      </c>
      <c r="G9" s="17">
        <v>3508.4850000000001</v>
      </c>
      <c r="H9" s="17">
        <f t="shared" si="1"/>
        <v>-1033.78447331708</v>
      </c>
      <c r="I9" s="16">
        <f t="shared" si="2"/>
        <v>-0.29465267011746665</v>
      </c>
      <c r="J9" s="49" t="s">
        <v>335</v>
      </c>
      <c r="K9" s="81" t="s">
        <v>253</v>
      </c>
    </row>
    <row r="10" spans="1:11" ht="15.75">
      <c r="A10" s="25" t="str">
        <v>Aurora City Center</v>
      </c>
      <c r="B10" s="26" t="str">
        <v>CO</v>
      </c>
      <c r="C10" s="21">
        <v>1662</v>
      </c>
      <c r="D10" s="11" t="s">
        <v>217</v>
      </c>
      <c r="E10" s="11" t="str">
        <f t="shared" si="0"/>
        <v/>
      </c>
      <c r="F10" s="12" t="str">
        <f t="shared" si="3"/>
        <v/>
      </c>
      <c r="G10" s="13">
        <v>1642</v>
      </c>
      <c r="H10" s="13">
        <f t="shared" si="1"/>
        <v>20</v>
      </c>
      <c r="I10" s="14">
        <f t="shared" si="2"/>
        <v>1.2180267965895249E-2</v>
      </c>
      <c r="J10" s="60"/>
      <c r="K10" s="60"/>
    </row>
    <row r="11" spans="1:11" ht="15.75">
      <c r="A11" s="27" t="str">
        <v>Dry Creek</v>
      </c>
      <c r="B11" s="28" t="str">
        <v>CO</v>
      </c>
      <c r="C11" s="10">
        <v>2167.2999999999902</v>
      </c>
      <c r="D11" s="15">
        <v>0</v>
      </c>
      <c r="E11" s="15">
        <f t="shared" si="0"/>
        <v>2167.2999999999902</v>
      </c>
      <c r="F11" s="16" t="str">
        <f t="shared" si="3"/>
        <v/>
      </c>
      <c r="G11" s="17">
        <v>2079</v>
      </c>
      <c r="H11" s="17">
        <f t="shared" si="1"/>
        <v>88.299999999990177</v>
      </c>
      <c r="I11" s="16">
        <f t="shared" si="2"/>
        <v>4.2472342472337749E-2</v>
      </c>
      <c r="J11" s="49"/>
      <c r="K11" s="55"/>
    </row>
    <row r="12" spans="1:11" ht="15.75">
      <c r="A12" s="25" t="str">
        <v>Highlands Ranch S.</v>
      </c>
      <c r="B12" s="26" t="str">
        <v>CO</v>
      </c>
      <c r="C12" s="21">
        <v>1813.99999999999</v>
      </c>
      <c r="D12" s="11" t="s">
        <v>217</v>
      </c>
      <c r="E12" s="11" t="str">
        <f t="shared" si="0"/>
        <v/>
      </c>
      <c r="F12" s="12" t="str">
        <f t="shared" si="3"/>
        <v/>
      </c>
      <c r="G12" s="13">
        <v>1934</v>
      </c>
      <c r="H12" s="13">
        <f t="shared" si="1"/>
        <v>-120.00000000001</v>
      </c>
      <c r="I12" s="14">
        <f t="shared" si="2"/>
        <v>-6.2047569803521205E-2</v>
      </c>
      <c r="J12" s="60"/>
      <c r="K12" s="60"/>
    </row>
    <row r="13" spans="1:11" ht="15.75">
      <c r="A13" s="27" t="str">
        <v>Lone Tree</v>
      </c>
      <c r="B13" s="28" t="str">
        <v>CO</v>
      </c>
      <c r="C13" s="10">
        <v>5747.9690000000001</v>
      </c>
      <c r="D13" s="15" t="s">
        <v>217</v>
      </c>
      <c r="E13" s="15" t="str">
        <f t="shared" si="0"/>
        <v/>
      </c>
      <c r="F13" s="16" t="str">
        <f t="shared" si="3"/>
        <v/>
      </c>
      <c r="G13" s="17">
        <v>4395</v>
      </c>
      <c r="H13" s="17">
        <f t="shared" si="1"/>
        <v>1352.9690000000001</v>
      </c>
      <c r="I13" s="16">
        <f t="shared" si="2"/>
        <v>0.30784277588168374</v>
      </c>
      <c r="J13" s="49" t="s">
        <v>336</v>
      </c>
      <c r="K13" s="81" t="s">
        <v>306</v>
      </c>
    </row>
    <row r="14" spans="1:11" ht="15.75">
      <c r="A14" s="25" t="str">
        <v>Meridian</v>
      </c>
      <c r="B14" s="26" t="str">
        <v>CO</v>
      </c>
      <c r="C14" s="21">
        <v>6253.5149754529102</v>
      </c>
      <c r="D14" s="11" t="s">
        <v>217</v>
      </c>
      <c r="E14" s="11" t="str">
        <f t="shared" si="0"/>
        <v/>
      </c>
      <c r="F14" s="12" t="str">
        <f t="shared" si="3"/>
        <v/>
      </c>
      <c r="G14" s="13">
        <v>2534</v>
      </c>
      <c r="H14" s="13">
        <f t="shared" si="1"/>
        <v>3719.5149754529102</v>
      </c>
      <c r="I14" s="14">
        <f t="shared" si="2"/>
        <v>1.4678433210153552</v>
      </c>
      <c r="J14" s="60" t="s">
        <v>337</v>
      </c>
      <c r="K14" s="87" t="s">
        <v>338</v>
      </c>
    </row>
    <row r="15" spans="1:11" ht="15.75">
      <c r="A15" s="27" t="str">
        <v>Southglenn</v>
      </c>
      <c r="B15" s="28" t="str">
        <v>CO</v>
      </c>
      <c r="C15" s="10">
        <v>2920.8</v>
      </c>
      <c r="D15" s="15" t="s">
        <v>217</v>
      </c>
      <c r="E15" s="15" t="str">
        <f t="shared" si="0"/>
        <v/>
      </c>
      <c r="F15" s="16" t="str">
        <f t="shared" si="3"/>
        <v/>
      </c>
      <c r="G15" s="17">
        <v>2652</v>
      </c>
      <c r="H15" s="17">
        <f t="shared" si="1"/>
        <v>268.80000000000018</v>
      </c>
      <c r="I15" s="16">
        <f t="shared" si="2"/>
        <v>0.10135746606334849</v>
      </c>
      <c r="J15" s="49"/>
      <c r="K15" s="55"/>
    </row>
    <row r="16" spans="1:11" ht="15.75">
      <c r="A16" s="25" t="str">
        <v>Standley Lake</v>
      </c>
      <c r="B16" s="26" t="str">
        <v>CO</v>
      </c>
      <c r="C16" s="21">
        <v>3822</v>
      </c>
      <c r="D16" s="11" t="s">
        <v>217</v>
      </c>
      <c r="E16" s="11" t="str">
        <f t="shared" si="0"/>
        <v/>
      </c>
      <c r="F16" s="12" t="str">
        <f t="shared" si="3"/>
        <v/>
      </c>
      <c r="G16" s="13">
        <v>3536</v>
      </c>
      <c r="H16" s="13">
        <f t="shared" si="1"/>
        <v>286</v>
      </c>
      <c r="I16" s="14">
        <f t="shared" si="2"/>
        <v>8.0882352941176475E-2</v>
      </c>
      <c r="J16" s="60"/>
      <c r="K16" s="60"/>
    </row>
    <row r="17" spans="1:12" ht="75">
      <c r="A17" s="27" t="str">
        <v>Havana Gardens</v>
      </c>
      <c r="B17" s="28" t="str">
        <v>CO</v>
      </c>
      <c r="C17" s="10">
        <v>3218.2000000000098</v>
      </c>
      <c r="D17" s="15" t="s">
        <v>217</v>
      </c>
      <c r="E17" s="15" t="str">
        <f t="shared" si="0"/>
        <v/>
      </c>
      <c r="F17" s="16" t="str">
        <f t="shared" si="3"/>
        <v/>
      </c>
      <c r="G17" s="17">
        <v>1378</v>
      </c>
      <c r="H17" s="17">
        <f t="shared" si="1"/>
        <v>1840.2000000000098</v>
      </c>
      <c r="I17" s="16">
        <f t="shared" si="2"/>
        <v>1.3354136429608199</v>
      </c>
      <c r="J17" s="186" t="s">
        <v>339</v>
      </c>
      <c r="K17" s="55"/>
    </row>
    <row r="18" spans="1:12" ht="27.75" customHeight="1">
      <c r="A18" s="25" t="str">
        <v>East Hartford</v>
      </c>
      <c r="B18" s="26" t="str">
        <v>CT</v>
      </c>
      <c r="C18" s="21">
        <v>696.599999999999</v>
      </c>
      <c r="D18" s="11">
        <v>771.74609999999996</v>
      </c>
      <c r="E18" s="11">
        <f t="shared" si="0"/>
        <v>-75.146100000000956</v>
      </c>
      <c r="F18" s="12">
        <f t="shared" si="3"/>
        <v>-9.7371531906673664E-2</v>
      </c>
      <c r="G18" s="13">
        <v>782.14059999999995</v>
      </c>
      <c r="H18" s="13">
        <f t="shared" si="1"/>
        <v>-85.54060000000095</v>
      </c>
      <c r="I18" s="14">
        <f t="shared" si="2"/>
        <v>-0.10936729278597858</v>
      </c>
      <c r="J18" s="60" t="s">
        <v>103</v>
      </c>
      <c r="K18" s="60"/>
    </row>
    <row r="19" spans="1:12" ht="75">
      <c r="A19" s="27" t="str">
        <v>Norwalk</v>
      </c>
      <c r="B19" s="28" t="str">
        <v>CT</v>
      </c>
      <c r="C19" s="10">
        <v>624.31954413553797</v>
      </c>
      <c r="D19" s="15">
        <v>0</v>
      </c>
      <c r="E19" s="15">
        <f t="shared" si="0"/>
        <v>624.31954413553797</v>
      </c>
      <c r="F19" s="16" t="str">
        <f t="shared" si="3"/>
        <v/>
      </c>
      <c r="G19" s="17">
        <v>928.97550000000001</v>
      </c>
      <c r="H19" s="17">
        <f t="shared" si="1"/>
        <v>-304.65595586446204</v>
      </c>
      <c r="I19" s="16">
        <f t="shared" si="2"/>
        <v>-0.32794832141909236</v>
      </c>
      <c r="J19" s="139" t="s">
        <v>266</v>
      </c>
      <c r="K19" s="81" t="s">
        <v>340</v>
      </c>
      <c r="L19" s="86" t="s">
        <v>57</v>
      </c>
    </row>
    <row r="20" spans="1:12" ht="45">
      <c r="A20" s="25" t="str">
        <v>Hialeah Gardens</v>
      </c>
      <c r="B20" s="26" t="str">
        <v>FL</v>
      </c>
      <c r="C20" s="21">
        <v>623</v>
      </c>
      <c r="D20" s="11">
        <v>3888.94</v>
      </c>
      <c r="E20" s="11">
        <f t="shared" si="0"/>
        <v>-3265.94</v>
      </c>
      <c r="F20" s="12">
        <f t="shared" si="3"/>
        <v>-0.83980210545804257</v>
      </c>
      <c r="G20" s="13">
        <v>4497</v>
      </c>
      <c r="H20" s="13">
        <f t="shared" si="1"/>
        <v>-3874</v>
      </c>
      <c r="I20" s="14">
        <f t="shared" si="2"/>
        <v>-0.86146319768734714</v>
      </c>
      <c r="J20" s="60" t="s">
        <v>177</v>
      </c>
      <c r="K20" s="87" t="s">
        <v>109</v>
      </c>
    </row>
    <row r="21" spans="1:12" ht="15.75">
      <c r="A21" s="27" t="str">
        <v>W. Des Moines Campus EAST</v>
      </c>
      <c r="B21" s="28" t="str">
        <v>IA</v>
      </c>
      <c r="C21" s="10">
        <v>170617.5</v>
      </c>
      <c r="D21" s="15">
        <v>169170.2</v>
      </c>
      <c r="E21" s="15">
        <f t="shared" si="0"/>
        <v>1447.2999999999884</v>
      </c>
      <c r="F21" s="16">
        <f t="shared" si="3"/>
        <v>8.5552892885389278E-3</v>
      </c>
      <c r="G21" s="17">
        <v>182300</v>
      </c>
      <c r="H21" s="17">
        <f t="shared" si="1"/>
        <v>-11682.5</v>
      </c>
      <c r="I21" s="16">
        <f t="shared" si="2"/>
        <v>-6.4083927591881515E-2</v>
      </c>
      <c r="J21" s="49"/>
      <c r="K21" s="55"/>
    </row>
    <row r="22" spans="1:12" ht="60">
      <c r="A22" s="25" t="str">
        <v>W. Des Moines Campus SW</v>
      </c>
      <c r="B22" s="26" t="str">
        <v>IA</v>
      </c>
      <c r="C22" s="21">
        <v>60855</v>
      </c>
      <c r="D22" s="11">
        <v>87807.02</v>
      </c>
      <c r="E22" s="11">
        <f t="shared" si="0"/>
        <v>-26952.020000000004</v>
      </c>
      <c r="F22" s="12">
        <f t="shared" si="3"/>
        <v>-0.30694607333217783</v>
      </c>
      <c r="G22" s="13">
        <v>89547.45</v>
      </c>
      <c r="H22" s="13">
        <f t="shared" si="1"/>
        <v>-28692.449999999997</v>
      </c>
      <c r="I22" s="14">
        <f t="shared" si="2"/>
        <v>-0.3204161592541161</v>
      </c>
      <c r="J22" s="60" t="s">
        <v>341</v>
      </c>
      <c r="K22" s="87" t="s">
        <v>269</v>
      </c>
      <c r="L22" s="86" t="s">
        <v>270</v>
      </c>
    </row>
    <row r="23" spans="1:12" ht="15.75">
      <c r="A23" s="27" t="str">
        <v>WF - CIC</v>
      </c>
      <c r="B23" s="28" t="str">
        <v>NC</v>
      </c>
      <c r="C23" s="10">
        <v>156184</v>
      </c>
      <c r="D23" s="15">
        <v>165961.60000000001</v>
      </c>
      <c r="E23" s="15">
        <f t="shared" si="0"/>
        <v>-9777.6000000000058</v>
      </c>
      <c r="F23" s="16">
        <f t="shared" si="3"/>
        <v>-5.8914833310838202E-2</v>
      </c>
      <c r="G23" s="17">
        <v>165450</v>
      </c>
      <c r="H23" s="17">
        <f t="shared" si="1"/>
        <v>-9266</v>
      </c>
      <c r="I23" s="16">
        <f t="shared" si="2"/>
        <v>-5.6004835297673014E-2</v>
      </c>
      <c r="J23" s="49"/>
      <c r="K23" s="55"/>
    </row>
    <row r="24" spans="1:12" ht="15.75">
      <c r="A24" s="25" t="str">
        <v>Charlotte - Wells Fargo - DUC</v>
      </c>
      <c r="B24" s="26" t="str">
        <v>NC</v>
      </c>
      <c r="C24" s="21">
        <v>167619</v>
      </c>
      <c r="D24" s="11">
        <v>186923.1</v>
      </c>
      <c r="E24" s="11">
        <f t="shared" si="0"/>
        <v>-19304.100000000006</v>
      </c>
      <c r="F24" s="12">
        <f t="shared" si="3"/>
        <v>-0.10327295021321604</v>
      </c>
      <c r="G24" s="13">
        <v>156832.70000000001</v>
      </c>
      <c r="H24" s="13">
        <f t="shared" si="1"/>
        <v>10786.299999999988</v>
      </c>
      <c r="I24" s="14">
        <f t="shared" si="2"/>
        <v>6.8775835651621042E-2</v>
      </c>
      <c r="J24" s="60" t="s">
        <v>342</v>
      </c>
      <c r="K24" s="60"/>
    </row>
    <row r="25" spans="1:12" ht="15.75">
      <c r="A25" s="27" t="str">
        <v>East Windsor</v>
      </c>
      <c r="B25" s="28" t="str">
        <v>NJ</v>
      </c>
      <c r="C25" s="10">
        <v>927.5</v>
      </c>
      <c r="D25" s="15">
        <v>875.96360000000004</v>
      </c>
      <c r="E25" s="15">
        <f t="shared" si="0"/>
        <v>51.536399999999958</v>
      </c>
      <c r="F25" s="16">
        <f t="shared" si="3"/>
        <v>5.8833951547758327E-2</v>
      </c>
      <c r="G25" s="17">
        <v>920.3329</v>
      </c>
      <c r="H25" s="17">
        <f t="shared" si="1"/>
        <v>7.1671000000000049</v>
      </c>
      <c r="I25" s="16">
        <f t="shared" si="2"/>
        <v>7.7875081940458769E-3</v>
      </c>
      <c r="J25" s="49"/>
      <c r="K25" s="55"/>
    </row>
    <row r="26" spans="1:12" ht="75">
      <c r="A26" s="25" t="str">
        <v>Burlington</v>
      </c>
      <c r="B26" s="26" t="str">
        <v>NJ</v>
      </c>
      <c r="C26" s="21">
        <v>2310.5999999999899</v>
      </c>
      <c r="D26" s="11">
        <v>2103.5990000000002</v>
      </c>
      <c r="E26" s="11">
        <f t="shared" si="0"/>
        <v>207.00099999998974</v>
      </c>
      <c r="F26" s="12">
        <f t="shared" si="3"/>
        <v>9.840326031719436E-2</v>
      </c>
      <c r="G26" s="13">
        <v>2390.239</v>
      </c>
      <c r="H26" s="13">
        <f t="shared" si="1"/>
        <v>-79.639000000010128</v>
      </c>
      <c r="I26" s="14">
        <f t="shared" si="2"/>
        <v>-3.3318425479632006E-2</v>
      </c>
      <c r="J26" s="60" t="s">
        <v>343</v>
      </c>
      <c r="K26" s="60"/>
    </row>
    <row r="27" spans="1:12" ht="15.75">
      <c r="A27" s="27" t="str">
        <v>Bayonne</v>
      </c>
      <c r="B27" s="28" t="str">
        <v>NJ</v>
      </c>
      <c r="C27" s="10">
        <v>3131.3</v>
      </c>
      <c r="D27" s="15">
        <v>2949.3679999999999</v>
      </c>
      <c r="E27" s="15">
        <f t="shared" si="0"/>
        <v>181.93200000000024</v>
      </c>
      <c r="F27" s="16">
        <f t="shared" si="3"/>
        <v>6.1685079650962593E-2</v>
      </c>
      <c r="G27" s="17">
        <v>3027.4340000000002</v>
      </c>
      <c r="H27" s="17">
        <f t="shared" si="1"/>
        <v>103.86599999999999</v>
      </c>
      <c r="I27" s="16">
        <f t="shared" si="2"/>
        <v>3.4308262376652958E-2</v>
      </c>
      <c r="J27" s="49"/>
      <c r="K27" s="55"/>
    </row>
    <row r="28" spans="1:12" ht="15.75">
      <c r="A28" s="25" t="str">
        <v>Clifton</v>
      </c>
      <c r="B28" s="26" t="str">
        <v>NJ</v>
      </c>
      <c r="C28" s="21">
        <v>3729.921875</v>
      </c>
      <c r="D28" s="11">
        <v>3755.748</v>
      </c>
      <c r="E28" s="11">
        <f t="shared" si="0"/>
        <v>-25.826125000000047</v>
      </c>
      <c r="F28" s="12">
        <f t="shared" si="3"/>
        <v>-6.8764264801578932E-3</v>
      </c>
      <c r="G28" s="13">
        <v>3932.2489999999998</v>
      </c>
      <c r="H28" s="13">
        <f t="shared" si="1"/>
        <v>-202.3271249999998</v>
      </c>
      <c r="I28" s="14">
        <f t="shared" si="2"/>
        <v>-5.1453284112984658E-2</v>
      </c>
      <c r="J28" s="60"/>
      <c r="K28" s="60"/>
    </row>
    <row r="29" spans="1:12" ht="30">
      <c r="A29" s="27" t="str">
        <v>North Elizabeth</v>
      </c>
      <c r="B29" s="28" t="str">
        <v>NJ</v>
      </c>
      <c r="C29" s="10">
        <v>3192.8000000000202</v>
      </c>
      <c r="D29" s="15">
        <v>2532.288</v>
      </c>
      <c r="E29" s="15">
        <f t="shared" si="0"/>
        <v>660.51200000002018</v>
      </c>
      <c r="F29" s="16">
        <f t="shared" si="3"/>
        <v>0.26083605024389805</v>
      </c>
      <c r="G29" s="17">
        <v>3185.1559999999999</v>
      </c>
      <c r="H29" s="17">
        <f t="shared" si="1"/>
        <v>7.6440000000202417</v>
      </c>
      <c r="I29" s="16">
        <f t="shared" si="2"/>
        <v>2.3998824547432659E-3</v>
      </c>
      <c r="J29" s="49" t="s">
        <v>344</v>
      </c>
      <c r="K29" s="55"/>
    </row>
    <row r="30" spans="1:12" ht="15.75">
      <c r="A30" s="25" t="str">
        <v>Haddon Westmont Plaza</v>
      </c>
      <c r="B30" s="26" t="str">
        <v>NJ</v>
      </c>
      <c r="C30" s="21">
        <v>2164.8000000000202</v>
      </c>
      <c r="D30" s="11">
        <v>2029.1010000000001</v>
      </c>
      <c r="E30" s="11">
        <f t="shared" si="0"/>
        <v>135.69900000002008</v>
      </c>
      <c r="F30" s="12">
        <f t="shared" si="3"/>
        <v>6.6876414727517292E-2</v>
      </c>
      <c r="G30" s="13">
        <v>2252.6149999999998</v>
      </c>
      <c r="H30" s="13">
        <f t="shared" si="1"/>
        <v>-87.814999999979591</v>
      </c>
      <c r="I30" s="14">
        <f t="shared" si="2"/>
        <v>-3.8983581304386054E-2</v>
      </c>
      <c r="J30" s="60"/>
      <c r="K30" s="60"/>
    </row>
    <row r="31" spans="1:12" ht="15.75">
      <c r="A31" s="27" t="str">
        <v>Parsippany</v>
      </c>
      <c r="B31" s="28" t="str">
        <v>NJ</v>
      </c>
      <c r="C31" s="10">
        <v>2751.5999999999899</v>
      </c>
      <c r="D31" s="15">
        <v>2581.462</v>
      </c>
      <c r="E31" s="15">
        <f t="shared" si="0"/>
        <v>170.13799999998992</v>
      </c>
      <c r="F31" s="16">
        <f t="shared" si="3"/>
        <v>6.5907613592603692E-2</v>
      </c>
      <c r="G31" s="17">
        <v>2839.66</v>
      </c>
      <c r="H31" s="17">
        <f t="shared" si="1"/>
        <v>-88.06000000000995</v>
      </c>
      <c r="I31" s="16">
        <f t="shared" si="2"/>
        <v>-3.1010754808677782E-2</v>
      </c>
      <c r="J31" s="49"/>
      <c r="K31" s="55"/>
    </row>
    <row r="32" spans="1:12" ht="15.75">
      <c r="A32" s="25" t="str">
        <v>Clark</v>
      </c>
      <c r="B32" s="26" t="str">
        <v>NJ</v>
      </c>
      <c r="C32" s="21">
        <v>2283.8000000000002</v>
      </c>
      <c r="D32" s="11">
        <v>2097.4520000000002</v>
      </c>
      <c r="E32" s="11">
        <f t="shared" si="0"/>
        <v>186.34799999999996</v>
      </c>
      <c r="F32" s="12">
        <f t="shared" si="3"/>
        <v>8.8844941386024542E-2</v>
      </c>
      <c r="G32" s="13">
        <v>2219.8240000000001</v>
      </c>
      <c r="H32" s="13">
        <f t="shared" si="1"/>
        <v>63.976000000000113</v>
      </c>
      <c r="I32" s="14">
        <f t="shared" si="2"/>
        <v>2.882030287085828E-2</v>
      </c>
      <c r="J32" s="60"/>
      <c r="K32" s="60"/>
    </row>
    <row r="33" spans="1:11" ht="75">
      <c r="A33" s="27" t="str">
        <v>Closter</v>
      </c>
      <c r="B33" s="28" t="str">
        <v>NJ</v>
      </c>
      <c r="C33" s="10">
        <v>780.40000000000896</v>
      </c>
      <c r="D33" s="15">
        <v>844.15710000000001</v>
      </c>
      <c r="E33" s="15">
        <f t="shared" si="0"/>
        <v>-63.757099999991055</v>
      </c>
      <c r="F33" s="16">
        <f t="shared" si="3"/>
        <v>-7.5527529176726768E-2</v>
      </c>
      <c r="G33" s="17">
        <v>1434.3610000000001</v>
      </c>
      <c r="H33" s="17">
        <f t="shared" si="1"/>
        <v>-653.96099999999115</v>
      </c>
      <c r="I33" s="16">
        <f t="shared" si="2"/>
        <v>-0.45592497286247402</v>
      </c>
      <c r="J33" s="49" t="s">
        <v>343</v>
      </c>
      <c r="K33" s="55"/>
    </row>
    <row r="34" spans="1:11" ht="45">
      <c r="A34" s="25" t="str">
        <v>Holmdel</v>
      </c>
      <c r="B34" s="26" t="str">
        <v>NJ</v>
      </c>
      <c r="C34" s="21">
        <v>1975.8</v>
      </c>
      <c r="D34" s="11">
        <v>2725.078</v>
      </c>
      <c r="E34" s="11">
        <f t="shared" si="0"/>
        <v>-749.27800000000002</v>
      </c>
      <c r="F34" s="12">
        <f t="shared" si="3"/>
        <v>-0.27495653335427461</v>
      </c>
      <c r="G34" s="13">
        <v>1942.8409999999999</v>
      </c>
      <c r="H34" s="13">
        <f t="shared" si="1"/>
        <v>32.95900000000006</v>
      </c>
      <c r="I34" s="14">
        <f t="shared" si="2"/>
        <v>1.6964332130112583E-2</v>
      </c>
      <c r="J34" s="60" t="s">
        <v>345</v>
      </c>
      <c r="K34" s="87" t="s">
        <v>143</v>
      </c>
    </row>
    <row r="35" spans="1:11" ht="15.75">
      <c r="A35" s="27" t="str">
        <v>Ellisburg Circle Center</v>
      </c>
      <c r="B35" s="28" t="str">
        <v>NJ</v>
      </c>
      <c r="C35" s="10">
        <v>980.19999999999698</v>
      </c>
      <c r="D35" s="15">
        <v>937.73140000000001</v>
      </c>
      <c r="E35" s="15">
        <f t="shared" si="0"/>
        <v>42.468599999996968</v>
      </c>
      <c r="F35" s="16">
        <f t="shared" si="3"/>
        <v>4.5288661550628426E-2</v>
      </c>
      <c r="G35" s="17">
        <v>1040.1199999999999</v>
      </c>
      <c r="H35" s="17">
        <f t="shared" si="1"/>
        <v>-59.920000000002915</v>
      </c>
      <c r="I35" s="16">
        <f t="shared" si="2"/>
        <v>-5.7608737453373575E-2</v>
      </c>
      <c r="J35" s="49"/>
      <c r="K35" s="55"/>
    </row>
    <row r="36" spans="1:11" ht="15.75">
      <c r="A36" s="25" t="str">
        <v>Nutley</v>
      </c>
      <c r="B36" s="26" t="str">
        <v>NJ</v>
      </c>
      <c r="C36" s="21">
        <v>4056.7999999999902</v>
      </c>
      <c r="D36" s="11">
        <v>3010.9349999999999</v>
      </c>
      <c r="E36" s="11">
        <f t="shared" si="0"/>
        <v>1045.8649999999902</v>
      </c>
      <c r="F36" s="12">
        <f t="shared" si="3"/>
        <v>0.34735555566625992</v>
      </c>
      <c r="G36" s="13">
        <v>4022.2260000000001</v>
      </c>
      <c r="H36" s="13">
        <f t="shared" si="1"/>
        <v>34.573999999990065</v>
      </c>
      <c r="I36" s="14">
        <f t="shared" si="2"/>
        <v>8.5957377830062423E-3</v>
      </c>
      <c r="J36" s="60"/>
      <c r="K36" s="60"/>
    </row>
    <row r="37" spans="1:11" ht="15.75">
      <c r="A37" s="27" t="str">
        <v>Marlton</v>
      </c>
      <c r="B37" s="28" t="str">
        <v>NJ</v>
      </c>
      <c r="C37" s="10">
        <v>3551.8999999999901</v>
      </c>
      <c r="D37" s="15">
        <v>3014.1640000000002</v>
      </c>
      <c r="E37" s="15">
        <f t="shared" si="0"/>
        <v>537.73599999998987</v>
      </c>
      <c r="F37" s="16">
        <f t="shared" si="3"/>
        <v>0.17840303314616918</v>
      </c>
      <c r="G37" s="17">
        <v>3601.2190000000001</v>
      </c>
      <c r="H37" s="17">
        <f t="shared" si="1"/>
        <v>-49.319000000009964</v>
      </c>
      <c r="I37" s="16">
        <f t="shared" si="2"/>
        <v>-1.3695084914305397E-2</v>
      </c>
      <c r="J37" s="49"/>
      <c r="K37" s="55"/>
    </row>
    <row r="38" spans="1:11" ht="30">
      <c r="A38" s="25" t="str">
        <v>Middletown</v>
      </c>
      <c r="B38" s="26" t="str">
        <v>NJ</v>
      </c>
      <c r="C38" s="21">
        <v>3035.0999999999899</v>
      </c>
      <c r="D38" s="11">
        <v>1818.479</v>
      </c>
      <c r="E38" s="11">
        <f t="shared" si="0"/>
        <v>1216.6209999999899</v>
      </c>
      <c r="F38" s="12">
        <f t="shared" si="3"/>
        <v>0.66903219668744585</v>
      </c>
      <c r="G38" s="13">
        <v>3130.8119999999999</v>
      </c>
      <c r="H38" s="13">
        <f t="shared" si="1"/>
        <v>-95.712000000009994</v>
      </c>
      <c r="I38" s="14">
        <f t="shared" si="2"/>
        <v>-3.0570982863234841E-2</v>
      </c>
      <c r="J38" s="60" t="s">
        <v>192</v>
      </c>
      <c r="K38" s="87" t="s">
        <v>145</v>
      </c>
    </row>
    <row r="39" spans="1:11" ht="30">
      <c r="A39" s="27" t="str">
        <v>Whiting Crestwood</v>
      </c>
      <c r="B39" s="28" t="str">
        <v>NJ</v>
      </c>
      <c r="C39" s="10">
        <v>3877.6999999999798</v>
      </c>
      <c r="D39" s="15">
        <v>3791.9160000000002</v>
      </c>
      <c r="E39" s="15">
        <f t="shared" si="0"/>
        <v>85.783999999979642</v>
      </c>
      <c r="F39" s="16">
        <f t="shared" si="3"/>
        <v>2.2622864008585538E-2</v>
      </c>
      <c r="G39" s="17">
        <v>4175.9790000000003</v>
      </c>
      <c r="H39" s="17">
        <f t="shared" si="1"/>
        <v>-298.27900000002046</v>
      </c>
      <c r="I39" s="16">
        <f t="shared" si="2"/>
        <v>-7.1427322790660691E-2</v>
      </c>
      <c r="J39" s="49" t="s">
        <v>103</v>
      </c>
      <c r="K39" s="55"/>
    </row>
    <row r="40" spans="1:11" ht="15.75">
      <c r="A40" s="25" t="str">
        <v>Barnegat</v>
      </c>
      <c r="B40" s="26" t="str">
        <v>NJ</v>
      </c>
      <c r="C40" s="21">
        <v>4855.90625</v>
      </c>
      <c r="D40" s="11">
        <v>4261.6840000000002</v>
      </c>
      <c r="E40" s="11">
        <f t="shared" si="0"/>
        <v>594.2222499999998</v>
      </c>
      <c r="F40" s="12">
        <f t="shared" si="3"/>
        <v>0.1394336722291</v>
      </c>
      <c r="G40" s="13">
        <v>5002.6000000000004</v>
      </c>
      <c r="H40" s="13">
        <f t="shared" si="1"/>
        <v>-146.69375000000036</v>
      </c>
      <c r="I40" s="14">
        <f t="shared" si="2"/>
        <v>-2.9323501779074952E-2</v>
      </c>
      <c r="J40" s="60"/>
      <c r="K40" s="60"/>
    </row>
    <row r="41" spans="1:11" ht="75">
      <c r="A41" s="27" t="str">
        <v>Manchester</v>
      </c>
      <c r="B41" s="28" t="str">
        <v>NJ</v>
      </c>
      <c r="C41" s="10">
        <v>2265.0999999999899</v>
      </c>
      <c r="D41" s="15">
        <v>2468.6469999999999</v>
      </c>
      <c r="E41" s="15">
        <f t="shared" si="0"/>
        <v>-203.54700000001003</v>
      </c>
      <c r="F41" s="16">
        <f t="shared" si="3"/>
        <v>-8.2452857779994476E-2</v>
      </c>
      <c r="G41" s="17">
        <v>3602.5169999999998</v>
      </c>
      <c r="H41" s="17">
        <f t="shared" si="1"/>
        <v>-1337.4170000000099</v>
      </c>
      <c r="I41" s="16">
        <f t="shared" si="2"/>
        <v>-0.37124515998120483</v>
      </c>
      <c r="J41" s="49" t="s">
        <v>343</v>
      </c>
      <c r="K41" s="55"/>
    </row>
    <row r="42" spans="1:11" ht="15.75">
      <c r="A42" s="25" t="str">
        <v>West Deptford - Woodbury</v>
      </c>
      <c r="B42" s="26" t="str">
        <v>NJ</v>
      </c>
      <c r="C42" s="21">
        <v>3321.7999999999902</v>
      </c>
      <c r="D42" s="11">
        <v>3303.8870000000002</v>
      </c>
      <c r="E42" s="11">
        <f t="shared" si="0"/>
        <v>17.912999999990006</v>
      </c>
      <c r="F42" s="12">
        <f t="shared" si="3"/>
        <v>5.4217956001491596E-3</v>
      </c>
      <c r="G42" s="13">
        <v>3346.7910000000002</v>
      </c>
      <c r="H42" s="13">
        <f t="shared" si="1"/>
        <v>-24.99100000000999</v>
      </c>
      <c r="I42" s="14">
        <f t="shared" si="2"/>
        <v>-7.4671528637461938E-3</v>
      </c>
      <c r="J42" s="60"/>
      <c r="K42" s="60"/>
    </row>
    <row r="43" spans="1:11" ht="15.75">
      <c r="A43" s="27" t="str">
        <v>Edison</v>
      </c>
      <c r="B43" s="28" t="str">
        <v>NJ</v>
      </c>
      <c r="C43" s="10">
        <v>3045.8999999999801</v>
      </c>
      <c r="D43" s="15">
        <v>2714.759</v>
      </c>
      <c r="E43" s="15">
        <f t="shared" si="0"/>
        <v>331.14099999998007</v>
      </c>
      <c r="F43" s="16">
        <f t="shared" si="3"/>
        <v>0.1219780466700654</v>
      </c>
      <c r="G43" s="17">
        <v>3072.44</v>
      </c>
      <c r="H43" s="17">
        <f t="shared" si="1"/>
        <v>-26.540000000019973</v>
      </c>
      <c r="I43" s="16">
        <f t="shared" si="2"/>
        <v>-8.6380856908580706E-3</v>
      </c>
      <c r="J43" s="49"/>
      <c r="K43" s="55"/>
    </row>
    <row r="44" spans="1:11" ht="15.75">
      <c r="A44" s="25" t="str">
        <v>Flemington</v>
      </c>
      <c r="B44" s="26" t="str">
        <v>NJ</v>
      </c>
      <c r="C44" s="21">
        <v>2771.7000000000398</v>
      </c>
      <c r="D44" s="11">
        <v>2406.279</v>
      </c>
      <c r="E44" s="11">
        <f t="shared" si="0"/>
        <v>365.42100000003984</v>
      </c>
      <c r="F44" s="12">
        <f t="shared" si="3"/>
        <v>0.15186144250107317</v>
      </c>
      <c r="G44" s="13">
        <v>2944.895</v>
      </c>
      <c r="H44" s="13">
        <f t="shared" si="1"/>
        <v>-173.19499999996015</v>
      </c>
      <c r="I44" s="14">
        <f t="shared" si="2"/>
        <v>-5.8811944059112511E-2</v>
      </c>
      <c r="J44" s="60"/>
      <c r="K44" s="60"/>
    </row>
    <row r="45" spans="1:11" ht="15.75">
      <c r="A45" s="27" t="str">
        <v>Route 22</v>
      </c>
      <c r="B45" s="28" t="str">
        <v>NJ</v>
      </c>
      <c r="C45" s="10">
        <v>2805.9000000000101</v>
      </c>
      <c r="D45" s="15">
        <v>2761.06</v>
      </c>
      <c r="E45" s="15">
        <f t="shared" si="0"/>
        <v>44.84000000001015</v>
      </c>
      <c r="F45" s="16">
        <f t="shared" si="3"/>
        <v>1.6240139656512408E-2</v>
      </c>
      <c r="G45" s="17">
        <v>2806.596</v>
      </c>
      <c r="H45" s="17">
        <f t="shared" si="1"/>
        <v>-0.69599999998990825</v>
      </c>
      <c r="I45" s="16">
        <f t="shared" si="2"/>
        <v>-2.4798724148039413E-4</v>
      </c>
      <c r="J45" s="49"/>
      <c r="K45" s="55"/>
    </row>
    <row r="46" spans="1:11" ht="15.75">
      <c r="A46" s="25" t="str">
        <v>Laurelton</v>
      </c>
      <c r="B46" s="26" t="str">
        <v>NJ</v>
      </c>
      <c r="C46" s="21">
        <v>1557.7</v>
      </c>
      <c r="D46" s="11">
        <v>2261.4589999999998</v>
      </c>
      <c r="E46" s="11">
        <f t="shared" si="0"/>
        <v>-703.75899999999979</v>
      </c>
      <c r="F46" s="12">
        <f t="shared" si="3"/>
        <v>-0.3111968866116962</v>
      </c>
      <c r="G46" s="13">
        <v>2464.0830000000001</v>
      </c>
      <c r="H46" s="13">
        <f t="shared" si="1"/>
        <v>-906.38300000000004</v>
      </c>
      <c r="I46" s="14">
        <f t="shared" si="2"/>
        <v>-0.36783785286453419</v>
      </c>
      <c r="J46" s="60" t="s">
        <v>346</v>
      </c>
      <c r="K46" s="87" t="s">
        <v>347</v>
      </c>
    </row>
    <row r="47" spans="1:11" ht="45">
      <c r="A47" s="27" t="str">
        <v>Mahwah</v>
      </c>
      <c r="B47" s="28" t="str">
        <v>NJ</v>
      </c>
      <c r="C47" s="10">
        <v>2139.2999999999902</v>
      </c>
      <c r="D47" s="15">
        <v>576.81719999999996</v>
      </c>
      <c r="E47" s="15">
        <f t="shared" si="0"/>
        <v>1562.4827999999902</v>
      </c>
      <c r="F47" s="16">
        <f t="shared" si="3"/>
        <v>2.7088006390932695</v>
      </c>
      <c r="G47" s="17">
        <v>2397.1509999999998</v>
      </c>
      <c r="H47" s="17">
        <f t="shared" si="1"/>
        <v>-257.85100000000966</v>
      </c>
      <c r="I47" s="16">
        <f t="shared" si="2"/>
        <v>-0.10756560600479889</v>
      </c>
      <c r="J47" s="49" t="s">
        <v>197</v>
      </c>
      <c r="K47" s="81" t="s">
        <v>348</v>
      </c>
    </row>
    <row r="48" spans="1:11" ht="15.75">
      <c r="A48" s="25" t="str">
        <v>Franklin Township WF</v>
      </c>
      <c r="B48" s="26" t="str">
        <v>NJ</v>
      </c>
      <c r="C48" s="21">
        <v>2562.3999999999901</v>
      </c>
      <c r="D48" s="11">
        <v>2358.6129999999998</v>
      </c>
      <c r="E48" s="11">
        <f t="shared" si="0"/>
        <v>203.78699999999026</v>
      </c>
      <c r="F48" s="12">
        <f t="shared" si="3"/>
        <v>8.64012027407592E-2</v>
      </c>
      <c r="G48" s="13">
        <v>2801.2060000000001</v>
      </c>
      <c r="H48" s="13">
        <f t="shared" si="1"/>
        <v>-238.80600000001004</v>
      </c>
      <c r="I48" s="14">
        <f t="shared" si="2"/>
        <v>-8.525113825973886E-2</v>
      </c>
      <c r="J48" s="60"/>
      <c r="K48" s="60"/>
    </row>
    <row r="49" spans="1:12" ht="15.75">
      <c r="A49" s="27" t="str">
        <v>Bordentown</v>
      </c>
      <c r="B49" s="28" t="str">
        <v>NJ</v>
      </c>
      <c r="C49" s="10">
        <v>2039.29999999999</v>
      </c>
      <c r="D49" s="15">
        <v>1704.4949999999999</v>
      </c>
      <c r="E49" s="15">
        <f t="shared" si="0"/>
        <v>334.80499999999006</v>
      </c>
      <c r="F49" s="16">
        <f t="shared" si="3"/>
        <v>0.19642474750585368</v>
      </c>
      <c r="G49" s="17">
        <v>2039.1020000000001</v>
      </c>
      <c r="H49" s="17">
        <f t="shared" si="1"/>
        <v>0.19799999998986095</v>
      </c>
      <c r="I49" s="16">
        <f t="shared" si="2"/>
        <v>9.7101567253556198E-5</v>
      </c>
      <c r="J49" s="49"/>
      <c r="K49" s="55"/>
    </row>
    <row r="50" spans="1:12" ht="15.75">
      <c r="A50" s="25" t="str">
        <v>South Plainfield</v>
      </c>
      <c r="B50" s="26" t="str">
        <v>NJ</v>
      </c>
      <c r="C50" s="21">
        <v>1479.3</v>
      </c>
      <c r="D50" s="11">
        <v>1348.7929999999999</v>
      </c>
      <c r="E50" s="11">
        <f t="shared" si="0"/>
        <v>130.50700000000006</v>
      </c>
      <c r="F50" s="12">
        <f t="shared" si="3"/>
        <v>9.6758360993866421E-2</v>
      </c>
      <c r="G50" s="13">
        <v>1465.4939999999999</v>
      </c>
      <c r="H50" s="13">
        <f t="shared" si="1"/>
        <v>13.80600000000004</v>
      </c>
      <c r="I50" s="14">
        <f t="shared" si="2"/>
        <v>9.4207141073249304E-3</v>
      </c>
      <c r="J50" s="60"/>
      <c r="K50" s="60"/>
    </row>
    <row r="51" spans="1:12" ht="15.75">
      <c r="A51" s="27" t="str">
        <v>Somerset</v>
      </c>
      <c r="B51" s="28" t="str">
        <v>NJ</v>
      </c>
      <c r="C51" s="10">
        <v>2314.1999999999798</v>
      </c>
      <c r="D51" s="15">
        <v>2307.1559999999999</v>
      </c>
      <c r="E51" s="15">
        <f t="shared" si="0"/>
        <v>7.0439999999798601</v>
      </c>
      <c r="F51" s="16">
        <f t="shared" si="3"/>
        <v>3.0531095426489844E-3</v>
      </c>
      <c r="G51" s="17">
        <v>2374.81</v>
      </c>
      <c r="H51" s="17">
        <f t="shared" si="1"/>
        <v>-60.610000000020136</v>
      </c>
      <c r="I51" s="16">
        <f t="shared" si="2"/>
        <v>-2.5522041763349546E-2</v>
      </c>
      <c r="J51" s="49"/>
      <c r="K51" s="55"/>
    </row>
    <row r="52" spans="1:12" ht="15.75">
      <c r="A52" s="25" t="str">
        <v>Clinton Main Relo</v>
      </c>
      <c r="B52" s="26" t="str">
        <v>NJ</v>
      </c>
      <c r="C52" s="21">
        <v>2656.7190000000001</v>
      </c>
      <c r="D52" s="11">
        <v>2686.1419999999998</v>
      </c>
      <c r="E52" s="11">
        <f t="shared" si="0"/>
        <v>-29.422999999999774</v>
      </c>
      <c r="F52" s="12">
        <f t="shared" si="3"/>
        <v>-1.0953627916915702E-2</v>
      </c>
      <c r="G52" s="13">
        <v>2729.1709999999998</v>
      </c>
      <c r="H52" s="13">
        <f t="shared" si="1"/>
        <v>-72.451999999999771</v>
      </c>
      <c r="I52" s="14">
        <f t="shared" si="2"/>
        <v>-2.6547255558555978E-2</v>
      </c>
      <c r="J52" s="60"/>
      <c r="K52" s="60"/>
    </row>
    <row r="53" spans="1:12" ht="75">
      <c r="A53" s="27" t="str">
        <v>North Brunswick</v>
      </c>
      <c r="B53" s="28" t="str">
        <v>NJ</v>
      </c>
      <c r="C53" s="10">
        <v>2625.6000000000099</v>
      </c>
      <c r="D53" s="15">
        <v>2328.3649999999998</v>
      </c>
      <c r="E53" s="15">
        <f t="shared" si="0"/>
        <v>297.23500000001013</v>
      </c>
      <c r="F53" s="16">
        <f t="shared" si="3"/>
        <v>0.12765824945831525</v>
      </c>
      <c r="G53" s="17">
        <v>2988.6030000000001</v>
      </c>
      <c r="H53" s="17">
        <f t="shared" si="1"/>
        <v>-363.00299999999015</v>
      </c>
      <c r="I53" s="16">
        <f t="shared" si="2"/>
        <v>-0.12146243579357652</v>
      </c>
      <c r="J53" s="49" t="s">
        <v>343</v>
      </c>
      <c r="K53" s="55"/>
    </row>
    <row r="54" spans="1:12" ht="15.75">
      <c r="A54" s="25" t="str">
        <v>Cherry Hill</v>
      </c>
      <c r="B54" s="26" t="str">
        <v>NJ</v>
      </c>
      <c r="C54" s="21">
        <v>1775.5</v>
      </c>
      <c r="D54" s="11">
        <v>1742.143</v>
      </c>
      <c r="E54" s="11">
        <f t="shared" si="0"/>
        <v>33.356999999999971</v>
      </c>
      <c r="F54" s="12">
        <f t="shared" si="3"/>
        <v>1.9147107901016144E-2</v>
      </c>
      <c r="G54" s="13">
        <v>1870.0250000000001</v>
      </c>
      <c r="H54" s="13">
        <f t="shared" si="1"/>
        <v>-94.525000000000091</v>
      </c>
      <c r="I54" s="14">
        <f t="shared" si="2"/>
        <v>-5.0547452574163494E-2</v>
      </c>
      <c r="J54" s="60"/>
      <c r="K54" s="60"/>
    </row>
    <row r="55" spans="1:12" ht="45">
      <c r="A55" s="27" t="str">
        <v>Hainesport</v>
      </c>
      <c r="B55" s="28" t="str">
        <v>NJ</v>
      </c>
      <c r="C55" s="10">
        <v>1880.00000000001</v>
      </c>
      <c r="D55" s="15">
        <v>2102.7049999999999</v>
      </c>
      <c r="E55" s="15">
        <f t="shared" si="0"/>
        <v>-222.70499999998992</v>
      </c>
      <c r="F55" s="16">
        <f t="shared" si="3"/>
        <v>-0.10591357323066714</v>
      </c>
      <c r="G55" s="17">
        <v>1903.5029999999999</v>
      </c>
      <c r="H55" s="17">
        <f t="shared" si="1"/>
        <v>-23.502999999989925</v>
      </c>
      <c r="I55" s="16">
        <f t="shared" si="2"/>
        <v>-1.2347235596681447E-2</v>
      </c>
      <c r="J55" s="49" t="s">
        <v>349</v>
      </c>
      <c r="K55" s="55"/>
    </row>
    <row r="56" spans="1:12" ht="45">
      <c r="A56" s="25" t="str">
        <v>San Antonio - Ops Ctr (Bldg 106)</v>
      </c>
      <c r="B56" s="26" t="str">
        <v>TX</v>
      </c>
      <c r="C56" s="21">
        <v>50709.471879999997</v>
      </c>
      <c r="D56" s="11">
        <v>47603.06</v>
      </c>
      <c r="E56" s="11">
        <f t="shared" si="0"/>
        <v>3106.4118799999997</v>
      </c>
      <c r="F56" s="12">
        <f t="shared" si="3"/>
        <v>6.5256558717023655E-2</v>
      </c>
      <c r="G56" s="13">
        <v>56068.17</v>
      </c>
      <c r="H56" s="13">
        <f t="shared" si="1"/>
        <v>-5358.6981200000009</v>
      </c>
      <c r="I56" s="14">
        <f t="shared" si="2"/>
        <v>-9.5574692735646644E-2</v>
      </c>
      <c r="J56" s="60" t="s">
        <v>350</v>
      </c>
      <c r="K56" s="87" t="s">
        <v>351</v>
      </c>
    </row>
    <row r="57" spans="1:12" ht="45">
      <c r="A57" s="27" t="str">
        <v>San Antonio - Ops Ctr GM</v>
      </c>
      <c r="B57" s="28" t="str">
        <v>TX</v>
      </c>
      <c r="C57" s="10">
        <v>358065.25</v>
      </c>
      <c r="D57" s="15">
        <v>403954.5</v>
      </c>
      <c r="E57" s="15">
        <f t="shared" si="0"/>
        <v>-45889.25</v>
      </c>
      <c r="F57" s="16">
        <f t="shared" si="3"/>
        <v>-0.11360004653989496</v>
      </c>
      <c r="G57" s="17">
        <v>376464</v>
      </c>
      <c r="H57" s="17">
        <f t="shared" si="1"/>
        <v>-18398.75</v>
      </c>
      <c r="I57" s="16">
        <f t="shared" si="2"/>
        <v>-4.8872534956861745E-2</v>
      </c>
      <c r="J57" s="49" t="s">
        <v>352</v>
      </c>
      <c r="K57" s="81" t="s">
        <v>353</v>
      </c>
      <c r="L57" s="86" t="s">
        <v>354</v>
      </c>
    </row>
    <row r="58" spans="1:12" ht="19.5" customHeight="1">
      <c r="A58" s="25" t="str">
        <v>San Antonio - Ctr (Bldg 201)</v>
      </c>
      <c r="B58" s="26" t="str">
        <v>TX</v>
      </c>
      <c r="C58" s="21">
        <v>50634.875</v>
      </c>
      <c r="D58" s="11">
        <v>47255.41</v>
      </c>
      <c r="E58" s="11">
        <f t="shared" si="0"/>
        <v>3379.4649999999965</v>
      </c>
      <c r="F58" s="12">
        <f t="shared" si="3"/>
        <v>7.1514880518442153E-2</v>
      </c>
      <c r="G58" s="13">
        <v>55559.68</v>
      </c>
      <c r="H58" s="13">
        <f t="shared" si="1"/>
        <v>-4924.8050000000003</v>
      </c>
      <c r="I58" s="14">
        <f t="shared" si="2"/>
        <v>-8.8639909373128142E-2</v>
      </c>
      <c r="J58" s="60" t="s">
        <v>355</v>
      </c>
      <c r="K58" s="87" t="s">
        <v>356</v>
      </c>
    </row>
    <row r="59" spans="1:12" ht="17.25" customHeight="1">
      <c r="A59" s="27" t="str">
        <v>San Antonio - Ops Ctr (Bldg 203)</v>
      </c>
      <c r="B59" s="28" t="str">
        <v>TX</v>
      </c>
      <c r="C59" s="10">
        <v>51537.375</v>
      </c>
      <c r="D59" s="15">
        <v>48845.72</v>
      </c>
      <c r="E59" s="15">
        <f t="shared" si="0"/>
        <v>2691.6549999999988</v>
      </c>
      <c r="F59" s="16">
        <f t="shared" si="3"/>
        <v>5.5105237470140657E-2</v>
      </c>
      <c r="G59" s="17">
        <v>56467.28</v>
      </c>
      <c r="H59" s="17">
        <f t="shared" si="1"/>
        <v>-4929.9049999999988</v>
      </c>
      <c r="I59" s="16">
        <f t="shared" si="2"/>
        <v>-8.7305515689794139E-2</v>
      </c>
      <c r="J59" s="49" t="s">
        <v>357</v>
      </c>
      <c r="K59" s="81" t="s">
        <v>358</v>
      </c>
    </row>
    <row r="60" spans="1:12" ht="30">
      <c r="A60" s="25" t="str">
        <v>San Antonio - Ops Ctr (Bldg 205)</v>
      </c>
      <c r="B60" s="26" t="str">
        <v>TX</v>
      </c>
      <c r="C60" s="21">
        <v>47691.875</v>
      </c>
      <c r="D60" s="11">
        <v>43060.13</v>
      </c>
      <c r="E60" s="11">
        <f t="shared" si="0"/>
        <v>4631.7450000000026</v>
      </c>
      <c r="F60" s="12">
        <f t="shared" si="3"/>
        <v>0.10756458468657672</v>
      </c>
      <c r="G60" s="13">
        <v>53097.04</v>
      </c>
      <c r="H60" s="13">
        <f t="shared" si="1"/>
        <v>-5405.1650000000009</v>
      </c>
      <c r="I60" s="14">
        <f t="shared" si="2"/>
        <v>-0.10179785916503069</v>
      </c>
      <c r="J60" s="60" t="s">
        <v>359</v>
      </c>
      <c r="K60" s="87" t="s">
        <v>360</v>
      </c>
    </row>
    <row r="61" spans="1:12" ht="15.75">
      <c r="A61" s="27" t="str">
        <v>San Antonio - Ops Ctr (Bldg 307)</v>
      </c>
      <c r="B61" s="28" t="str">
        <v>TX</v>
      </c>
      <c r="C61" s="10">
        <v>50238.69571</v>
      </c>
      <c r="D61" s="15">
        <v>46830.39</v>
      </c>
      <c r="E61" s="15">
        <f t="shared" si="0"/>
        <v>3408.3057100000005</v>
      </c>
      <c r="F61" s="16">
        <f t="shared" si="3"/>
        <v>7.2779784879006992E-2</v>
      </c>
      <c r="G61" s="17">
        <v>54281.55</v>
      </c>
      <c r="H61" s="17">
        <f t="shared" si="1"/>
        <v>-4042.8542900000029</v>
      </c>
      <c r="I61" s="16">
        <f t="shared" si="2"/>
        <v>-7.447934500764998E-2</v>
      </c>
      <c r="J61" s="49"/>
      <c r="K61" s="55"/>
    </row>
    <row r="62" spans="1:12" ht="30">
      <c r="A62" s="25" t="str">
        <v>San Antonio - Ctr (Bldg 308)</v>
      </c>
      <c r="B62" s="26" t="str">
        <v>TX</v>
      </c>
      <c r="C62" s="21">
        <v>48671.375</v>
      </c>
      <c r="D62" s="11">
        <v>45757.48</v>
      </c>
      <c r="E62" s="11">
        <f t="shared" si="0"/>
        <v>2913.8949999999968</v>
      </c>
      <c r="F62" s="12">
        <f t="shared" si="3"/>
        <v>6.3681282273411841E-2</v>
      </c>
      <c r="G62" s="13">
        <v>52330.36</v>
      </c>
      <c r="H62" s="13">
        <f t="shared" si="1"/>
        <v>-3658.9850000000006</v>
      </c>
      <c r="I62" s="14">
        <f t="shared" si="2"/>
        <v>-6.9920883403057049E-2</v>
      </c>
      <c r="J62" s="60" t="s">
        <v>361</v>
      </c>
      <c r="K62" s="87" t="s">
        <v>362</v>
      </c>
    </row>
    <row r="63" spans="1:12" ht="75">
      <c r="A63" s="27" t="str">
        <v>San Antonio - Ops Ctr (Bldg 104)</v>
      </c>
      <c r="B63" s="28" t="str">
        <v>TX</v>
      </c>
      <c r="C63" s="10">
        <v>13988.375</v>
      </c>
      <c r="D63" s="15">
        <v>14341.09</v>
      </c>
      <c r="E63" s="15">
        <f t="shared" si="0"/>
        <v>-352.71500000000015</v>
      </c>
      <c r="F63" s="16">
        <f t="shared" si="3"/>
        <v>-2.4594713512013391E-2</v>
      </c>
      <c r="G63" s="17">
        <v>16266.82</v>
      </c>
      <c r="H63" s="17">
        <f t="shared" si="1"/>
        <v>-2278.4449999999997</v>
      </c>
      <c r="I63" s="16">
        <f t="shared" si="2"/>
        <v>-0.14006701986005868</v>
      </c>
      <c r="J63" s="49" t="s">
        <v>343</v>
      </c>
      <c r="K63" s="55"/>
    </row>
    <row r="64" spans="1:12" ht="15.75">
      <c r="A64" s="25" t="str">
        <v>San Antonio - Ops Ctr (Bldg 102)</v>
      </c>
      <c r="B64" s="26" t="str">
        <v>TX</v>
      </c>
      <c r="C64" s="21">
        <v>55065.75</v>
      </c>
      <c r="D64" s="11">
        <v>44612.4</v>
      </c>
      <c r="E64" s="11">
        <f t="shared" si="0"/>
        <v>10453.349999999999</v>
      </c>
      <c r="F64" s="12">
        <f t="shared" si="3"/>
        <v>0.23431489899669147</v>
      </c>
      <c r="G64" s="13">
        <v>58711.85</v>
      </c>
      <c r="H64" s="13">
        <f t="shared" si="1"/>
        <v>-3646.0999999999985</v>
      </c>
      <c r="I64" s="14">
        <f t="shared" si="2"/>
        <v>-6.2101602998372536E-2</v>
      </c>
      <c r="J64" s="60"/>
      <c r="K64" s="60"/>
    </row>
    <row r="65" spans="1:13" ht="15.75">
      <c r="A65" s="27" t="str">
        <v>Lodi - Lodi Vineyard</v>
      </c>
      <c r="B65" s="28" t="str">
        <v>CA</v>
      </c>
      <c r="C65" s="10">
        <v>31165.562500000098</v>
      </c>
      <c r="D65" s="15">
        <v>38966.17</v>
      </c>
      <c r="E65" s="15">
        <f t="shared" si="0"/>
        <v>-7800.6074999999</v>
      </c>
      <c r="F65" s="16">
        <f t="shared" si="3"/>
        <v>-0.20018922824593488</v>
      </c>
      <c r="G65" s="17">
        <v>36116</v>
      </c>
      <c r="H65" s="17">
        <f t="shared" si="1"/>
        <v>-4950.4374999999018</v>
      </c>
      <c r="I65" s="16">
        <f t="shared" si="2"/>
        <v>-0.13707048122715421</v>
      </c>
      <c r="J65" s="49" t="s">
        <v>363</v>
      </c>
      <c r="K65" s="55"/>
    </row>
    <row r="66" spans="1:13" ht="15.75">
      <c r="A66" s="25" t="str">
        <v>Arden Fair Mall</v>
      </c>
      <c r="B66" s="26" t="str">
        <v>CA</v>
      </c>
      <c r="C66" s="21">
        <v>15988.78125</v>
      </c>
      <c r="D66" s="11">
        <v>18017.21</v>
      </c>
      <c r="E66" s="11">
        <f t="shared" si="0"/>
        <v>-2028.4287499999991</v>
      </c>
      <c r="F66" s="12">
        <f t="shared" si="3"/>
        <v>-0.1125828444026572</v>
      </c>
      <c r="G66" s="13">
        <v>22974</v>
      </c>
      <c r="H66" s="13">
        <f t="shared" si="1"/>
        <v>-6985.21875</v>
      </c>
      <c r="I66" s="14">
        <f t="shared" si="2"/>
        <v>-0.3040488704622617</v>
      </c>
      <c r="J66" s="60" t="s">
        <v>364</v>
      </c>
      <c r="K66" s="60"/>
    </row>
    <row r="67" spans="1:13" ht="30">
      <c r="A67" s="27" t="str">
        <v>Modesto - Modesto Main</v>
      </c>
      <c r="B67" s="28" t="str">
        <v>CA</v>
      </c>
      <c r="C67" s="10">
        <v>11449.328125</v>
      </c>
      <c r="D67" s="15">
        <v>15591.51</v>
      </c>
      <c r="E67" s="15">
        <f t="shared" si="0"/>
        <v>-4142.1818750000002</v>
      </c>
      <c r="F67" s="16">
        <f t="shared" si="3"/>
        <v>-0.26566906444597094</v>
      </c>
      <c r="G67" s="17">
        <v>21109.13</v>
      </c>
      <c r="H67" s="17">
        <f t="shared" si="1"/>
        <v>-9659.801875000001</v>
      </c>
      <c r="I67" s="16">
        <f t="shared" si="2"/>
        <v>-0.45761250582094104</v>
      </c>
      <c r="J67" s="49" t="s">
        <v>205</v>
      </c>
      <c r="K67" s="81" t="s">
        <v>365</v>
      </c>
    </row>
    <row r="68" spans="1:13" ht="75">
      <c r="A68" s="25" t="str">
        <v>Stevens Creek</v>
      </c>
      <c r="B68" s="26" t="str">
        <v>CA</v>
      </c>
      <c r="C68" s="21">
        <v>4596.9903139878998</v>
      </c>
      <c r="D68" s="11">
        <v>4563.2510000000002</v>
      </c>
      <c r="E68" s="11">
        <f t="shared" si="0"/>
        <v>33.73931398789955</v>
      </c>
      <c r="F68" s="12">
        <f t="shared" si="3"/>
        <v>7.393701110874582E-3</v>
      </c>
      <c r="G68" s="13">
        <v>5507</v>
      </c>
      <c r="H68" s="13">
        <f t="shared" si="1"/>
        <v>-910.00968601210025</v>
      </c>
      <c r="I68" s="14">
        <f t="shared" si="2"/>
        <v>-0.16524599346506269</v>
      </c>
      <c r="J68" s="60" t="s">
        <v>343</v>
      </c>
      <c r="K68" s="60"/>
    </row>
    <row r="69" spans="1:13" ht="15.75">
      <c r="A69" s="27" t="str">
        <v>Covina Main</v>
      </c>
      <c r="B69" s="28" t="str">
        <v>CA</v>
      </c>
      <c r="C69" s="10">
        <v>3232.8</v>
      </c>
      <c r="D69" s="15">
        <v>3057.6149999999998</v>
      </c>
      <c r="E69" s="15">
        <f t="shared" ref="E69" si="4">IF(AND(ISNUMBER(C69),ISNUMBER(D69)), C69-D69, "")</f>
        <v>175.1850000000004</v>
      </c>
      <c r="F69" s="16">
        <f t="shared" si="3"/>
        <v>5.7294656129041888E-2</v>
      </c>
      <c r="G69" s="17">
        <v>3348</v>
      </c>
      <c r="H69" s="17">
        <f t="shared" ref="H69" si="5">IF(AND(ISNUMBER(C69),ISNUMBER(G69)), C69-G69, "")</f>
        <v>-115.19999999999982</v>
      </c>
      <c r="I69" s="16">
        <f t="shared" ref="I69" si="6">IFERROR(H69/G69, "")</f>
        <v>-3.4408602150537579E-2</v>
      </c>
      <c r="J69" s="49"/>
      <c r="K69" s="49"/>
    </row>
    <row r="70" spans="1:13" ht="75">
      <c r="A70" s="25" t="str">
        <v>Old Ranch Town Center</v>
      </c>
      <c r="B70" s="26" t="str">
        <v>CA</v>
      </c>
      <c r="C70" s="57">
        <v>1228.1211718750001</v>
      </c>
      <c r="D70" s="11" t="s">
        <v>217</v>
      </c>
      <c r="E70" s="11" t="str">
        <f t="shared" si="0"/>
        <v/>
      </c>
      <c r="F70" s="12" t="str">
        <f t="shared" si="3"/>
        <v/>
      </c>
      <c r="G70" s="74">
        <v>1389</v>
      </c>
      <c r="H70" s="13">
        <f t="shared" si="1"/>
        <v>-160.87882812499993</v>
      </c>
      <c r="I70" s="14">
        <f t="shared" si="2"/>
        <v>-0.11582349037077029</v>
      </c>
      <c r="J70" s="61" t="s">
        <v>366</v>
      </c>
      <c r="K70" s="61"/>
    </row>
    <row r="71" spans="1:13" ht="75">
      <c r="A71" s="27" t="str">
        <v>Mountain Gate Plaza</v>
      </c>
      <c r="B71" s="28" t="str">
        <v>CA</v>
      </c>
      <c r="C71" s="72">
        <v>7459.7</v>
      </c>
      <c r="D71" s="15" t="s">
        <v>217</v>
      </c>
      <c r="E71" s="15" t="str">
        <f t="shared" ref="E71:E84" si="7">IF(AND(ISNUMBER(C71),ISNUMBER(D71)), C71-D71, "")</f>
        <v/>
      </c>
      <c r="F71" s="16" t="str">
        <f t="shared" si="3"/>
        <v/>
      </c>
      <c r="G71" s="73">
        <v>9596</v>
      </c>
      <c r="H71" s="17">
        <f t="shared" ref="H71:H84" si="8">IF(AND(ISNUMBER(C71),ISNUMBER(G71)), C71-G71, "")</f>
        <v>-2136.3000000000002</v>
      </c>
      <c r="I71" s="16">
        <f t="shared" ref="I71:I84" si="9">IFERROR(H71/G71, "")</f>
        <v>-0.22262401000416843</v>
      </c>
      <c r="J71" s="49" t="s">
        <v>343</v>
      </c>
      <c r="K71" s="49"/>
    </row>
    <row r="72" spans="1:13" ht="75">
      <c r="A72" s="25" t="str">
        <v>Arcadia Main</v>
      </c>
      <c r="B72" s="26" t="str">
        <v>CA</v>
      </c>
      <c r="C72" s="57">
        <v>3411.5446289062502</v>
      </c>
      <c r="D72" s="11" t="s">
        <v>217</v>
      </c>
      <c r="E72" s="11" t="str">
        <f t="shared" si="7"/>
        <v/>
      </c>
      <c r="F72" s="12" t="str">
        <f t="shared" ref="F72:F84" si="10">IFERROR(E72/D72, "")</f>
        <v/>
      </c>
      <c r="G72" s="74">
        <v>5139</v>
      </c>
      <c r="H72" s="13">
        <f t="shared" si="8"/>
        <v>-1727.4553710937498</v>
      </c>
      <c r="I72" s="14">
        <f t="shared" si="9"/>
        <v>-0.33614620959208985</v>
      </c>
      <c r="J72" s="61" t="s">
        <v>343</v>
      </c>
      <c r="K72" s="61"/>
    </row>
    <row r="73" spans="1:13" ht="75">
      <c r="A73" s="27" t="str">
        <v>Fairfield</v>
      </c>
      <c r="B73" s="28" t="str">
        <v>CA</v>
      </c>
      <c r="C73" s="72">
        <v>3280.9256640624999</v>
      </c>
      <c r="D73" s="15">
        <v>3373.9760000000001</v>
      </c>
      <c r="E73" s="15">
        <f t="shared" si="7"/>
        <v>-93.050335937500222</v>
      </c>
      <c r="F73" s="16">
        <f t="shared" si="10"/>
        <v>-2.7578837531002064E-2</v>
      </c>
      <c r="G73" s="73">
        <v>4277</v>
      </c>
      <c r="H73" s="17">
        <f t="shared" si="8"/>
        <v>-996.07433593750011</v>
      </c>
      <c r="I73" s="16">
        <f t="shared" si="9"/>
        <v>-0.23289088986146833</v>
      </c>
      <c r="J73" s="49" t="s">
        <v>343</v>
      </c>
      <c r="K73" s="49"/>
    </row>
    <row r="74" spans="1:13" ht="15.75">
      <c r="A74" s="25" t="str">
        <v>Los Gatos</v>
      </c>
      <c r="B74" s="26" t="str">
        <v>CA</v>
      </c>
      <c r="C74" s="57">
        <v>1768.5102734375</v>
      </c>
      <c r="D74" s="11">
        <v>1843.4349999999999</v>
      </c>
      <c r="E74" s="11">
        <f t="shared" si="7"/>
        <v>-74.924726562499927</v>
      </c>
      <c r="F74" s="12">
        <f t="shared" si="10"/>
        <v>-4.0644083768887937E-2</v>
      </c>
      <c r="G74" s="74">
        <v>0</v>
      </c>
      <c r="H74" s="13">
        <f t="shared" si="8"/>
        <v>1768.5102734375</v>
      </c>
      <c r="I74" s="14" t="str">
        <f t="shared" si="9"/>
        <v/>
      </c>
      <c r="J74" s="61"/>
      <c r="K74" s="61"/>
    </row>
    <row r="75" spans="1:13" ht="30">
      <c r="A75" s="27" t="str">
        <v>San Marino</v>
      </c>
      <c r="B75" s="28" t="str">
        <v>CA</v>
      </c>
      <c r="C75" s="72">
        <v>3093.3</v>
      </c>
      <c r="D75" s="15">
        <v>3886.3409999999999</v>
      </c>
      <c r="E75" s="15">
        <f t="shared" si="7"/>
        <v>-793.04099999999971</v>
      </c>
      <c r="F75" s="16">
        <f t="shared" si="10"/>
        <v>-0.2040585218847239</v>
      </c>
      <c r="G75" s="73">
        <v>5184.6090000000004</v>
      </c>
      <c r="H75" s="17">
        <f t="shared" si="8"/>
        <v>-2091.3090000000002</v>
      </c>
      <c r="I75" s="16">
        <f t="shared" si="9"/>
        <v>-0.40336870147777781</v>
      </c>
      <c r="J75" s="49" t="s">
        <v>244</v>
      </c>
      <c r="K75" s="81" t="s">
        <v>295</v>
      </c>
    </row>
    <row r="76" spans="1:13" ht="75">
      <c r="A76" s="25" t="str">
        <v>Buenaventura</v>
      </c>
      <c r="B76" s="26" t="str">
        <v>CA</v>
      </c>
      <c r="C76" s="57">
        <v>4317.8359375</v>
      </c>
      <c r="D76" s="11">
        <v>3134.5479999999998</v>
      </c>
      <c r="E76" s="11">
        <f t="shared" si="7"/>
        <v>1183.2879375000002</v>
      </c>
      <c r="F76" s="12">
        <f t="shared" si="10"/>
        <v>0.37749874543315348</v>
      </c>
      <c r="G76" s="74">
        <v>5391.35</v>
      </c>
      <c r="H76" s="13">
        <f t="shared" si="8"/>
        <v>-1073.5140625000004</v>
      </c>
      <c r="I76" s="14">
        <f t="shared" si="9"/>
        <v>-0.19911785777217214</v>
      </c>
      <c r="J76" s="61" t="s">
        <v>343</v>
      </c>
      <c r="K76" s="61"/>
    </row>
    <row r="77" spans="1:13" ht="15.75">
      <c r="A77" s="27" t="str">
        <v>N Black Canyon Hwy, Phoenix - North</v>
      </c>
      <c r="B77" s="28" t="str">
        <v>AZ</v>
      </c>
      <c r="C77" s="72">
        <v>81181.25</v>
      </c>
      <c r="D77" s="15">
        <v>67122.559999999998</v>
      </c>
      <c r="E77" s="15">
        <f t="shared" si="7"/>
        <v>14058.690000000002</v>
      </c>
      <c r="F77" s="16">
        <f t="shared" si="10"/>
        <v>0.20944806038387098</v>
      </c>
      <c r="G77" s="73">
        <v>87653</v>
      </c>
      <c r="H77" s="17">
        <f t="shared" si="8"/>
        <v>-6471.75</v>
      </c>
      <c r="I77" s="16">
        <f t="shared" si="9"/>
        <v>-7.3833753550933801E-2</v>
      </c>
      <c r="J77" s="49"/>
      <c r="K77" s="49"/>
    </row>
    <row r="78" spans="1:13" ht="45">
      <c r="A78" s="25" t="str">
        <v>N Black Canyon Hwy, Phoenix - South</v>
      </c>
      <c r="B78" s="26" t="str">
        <v>AZ</v>
      </c>
      <c r="C78" s="57">
        <v>78052</v>
      </c>
      <c r="D78" s="11">
        <v>73387.179999999993</v>
      </c>
      <c r="E78" s="11">
        <f t="shared" si="7"/>
        <v>4664.820000000007</v>
      </c>
      <c r="F78" s="12">
        <f t="shared" si="10"/>
        <v>6.3564508133437031E-2</v>
      </c>
      <c r="G78" s="74">
        <v>96512</v>
      </c>
      <c r="H78" s="13">
        <f t="shared" si="8"/>
        <v>-18460</v>
      </c>
      <c r="I78" s="14">
        <f t="shared" si="9"/>
        <v>-0.19127155172413793</v>
      </c>
      <c r="J78" s="61" t="s">
        <v>367</v>
      </c>
      <c r="K78" s="83" t="s">
        <v>368</v>
      </c>
      <c r="L78" s="86" t="s">
        <v>369</v>
      </c>
      <c r="M78" s="86" t="s">
        <v>370</v>
      </c>
    </row>
    <row r="79" spans="1:13" ht="15.75">
      <c r="A79" s="27" t="str">
        <v xml:space="preserve"> Building 2222, Rose Garden Ln, Phoenix</v>
      </c>
      <c r="B79" s="28" t="str">
        <v>AZ</v>
      </c>
      <c r="C79" s="72">
        <v>101251.25</v>
      </c>
      <c r="D79" s="15">
        <v>98654.83</v>
      </c>
      <c r="E79" s="15">
        <f t="shared" si="7"/>
        <v>2596.4199999999983</v>
      </c>
      <c r="F79" s="16">
        <f t="shared" si="10"/>
        <v>2.6318224865422183E-2</v>
      </c>
      <c r="G79" s="73">
        <v>114270</v>
      </c>
      <c r="H79" s="17">
        <f t="shared" si="8"/>
        <v>-13018.75</v>
      </c>
      <c r="I79" s="16">
        <f t="shared" si="9"/>
        <v>-0.11392972783757767</v>
      </c>
      <c r="J79" s="49" t="s">
        <v>371</v>
      </c>
      <c r="K79" s="49"/>
    </row>
    <row r="80" spans="1:13" ht="15.75">
      <c r="A80" s="25" t="str">
        <v xml:space="preserve"> Building 2202, Rose Garden Ln, Phoenix</v>
      </c>
      <c r="B80" s="26" t="str">
        <v>AZ</v>
      </c>
      <c r="C80" s="57">
        <v>100873.25</v>
      </c>
      <c r="D80" s="11">
        <v>92623.19</v>
      </c>
      <c r="E80" s="11">
        <f t="shared" si="7"/>
        <v>8250.0599999999977</v>
      </c>
      <c r="F80" s="12">
        <f t="shared" si="10"/>
        <v>8.9071214239112226E-2</v>
      </c>
      <c r="G80" s="74">
        <v>83211.199999999997</v>
      </c>
      <c r="H80" s="13">
        <f t="shared" si="8"/>
        <v>17662.050000000003</v>
      </c>
      <c r="I80" s="14">
        <f t="shared" si="9"/>
        <v>0.21225568192743288</v>
      </c>
      <c r="J80" s="61"/>
      <c r="K80" s="61"/>
    </row>
    <row r="81" spans="1:11" ht="75">
      <c r="A81" s="27" t="str">
        <v xml:space="preserve"> 99TH Ave &amp; BELL</v>
      </c>
      <c r="B81" s="28" t="str">
        <v>AZ</v>
      </c>
      <c r="C81" s="72">
        <v>18190.9973733115</v>
      </c>
      <c r="D81" s="15">
        <v>17782.5</v>
      </c>
      <c r="E81" s="15">
        <f t="shared" si="7"/>
        <v>408.49737331150027</v>
      </c>
      <c r="F81" s="16">
        <f t="shared" si="10"/>
        <v>2.2971875344383538E-2</v>
      </c>
      <c r="G81" s="73">
        <v>20866</v>
      </c>
      <c r="H81" s="17">
        <f t="shared" si="8"/>
        <v>-2675.0026266884997</v>
      </c>
      <c r="I81" s="16">
        <f t="shared" si="9"/>
        <v>-0.12819910987676122</v>
      </c>
      <c r="J81" s="49" t="s">
        <v>372</v>
      </c>
      <c r="K81" s="49"/>
    </row>
    <row r="82" spans="1:11" ht="15.75">
      <c r="A82" s="25" t="str">
        <v>Rincon</v>
      </c>
      <c r="B82" s="26" t="str">
        <v>AZ</v>
      </c>
      <c r="C82" s="57">
        <v>7294.28124999997</v>
      </c>
      <c r="D82" s="11">
        <v>5798.8140000000003</v>
      </c>
      <c r="E82" s="11">
        <f t="shared" si="7"/>
        <v>1495.4672499999697</v>
      </c>
      <c r="F82" s="12">
        <f t="shared" si="10"/>
        <v>0.2578919154847818</v>
      </c>
      <c r="G82" s="74">
        <v>7064</v>
      </c>
      <c r="H82" s="13">
        <f t="shared" si="8"/>
        <v>230.28124999996999</v>
      </c>
      <c r="I82" s="14">
        <f t="shared" si="9"/>
        <v>3.259927095129813E-2</v>
      </c>
      <c r="J82" s="61"/>
      <c r="K82" s="61"/>
    </row>
    <row r="83" spans="1:11" ht="60">
      <c r="A83" s="27" t="str">
        <v>Tucson Main Parking Garage</v>
      </c>
      <c r="B83" s="28" t="str">
        <v>AZ</v>
      </c>
      <c r="C83" s="72">
        <v>12296</v>
      </c>
      <c r="D83" s="15">
        <v>12143.31</v>
      </c>
      <c r="E83" s="15">
        <f t="shared" si="7"/>
        <v>152.69000000000051</v>
      </c>
      <c r="F83" s="16">
        <f t="shared" si="10"/>
        <v>1.2574001651938435E-2</v>
      </c>
      <c r="G83" s="73">
        <v>10392</v>
      </c>
      <c r="H83" s="17">
        <f t="shared" si="8"/>
        <v>1904</v>
      </c>
      <c r="I83" s="16">
        <f t="shared" si="9"/>
        <v>0.18321785989222478</v>
      </c>
      <c r="J83" s="49" t="s">
        <v>326</v>
      </c>
      <c r="K83" s="81" t="s">
        <v>373</v>
      </c>
    </row>
    <row r="84" spans="1:11" ht="75">
      <c r="A84" s="25" t="str">
        <v>BE 199502 - Westgate</v>
      </c>
      <c r="B84" s="26" t="str">
        <v>CA</v>
      </c>
      <c r="C84" s="57">
        <v>1696.6</v>
      </c>
      <c r="D84" s="11">
        <v>0</v>
      </c>
      <c r="E84" s="11">
        <f t="shared" si="7"/>
        <v>1696.6</v>
      </c>
      <c r="F84" s="12" t="str">
        <f t="shared" si="10"/>
        <v/>
      </c>
      <c r="G84" s="74">
        <v>2114</v>
      </c>
      <c r="H84" s="13">
        <f t="shared" si="8"/>
        <v>-417.40000000000009</v>
      </c>
      <c r="I84" s="14">
        <f t="shared" si="9"/>
        <v>-0.19744560075685907</v>
      </c>
      <c r="J84" s="61" t="s">
        <v>366</v>
      </c>
      <c r="K84" s="61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hyperlinks>
    <hyperlink ref="K6" r:id="rId1" display="https://us3.assetplanner.com/service_request?ID=099548" xr:uid="{C004A389-7DDB-4C1F-AF15-33CF069E0898}"/>
    <hyperlink ref="K9" r:id="rId2" display="https://us3.assetplanner.com/service_request?ID=105604" xr:uid="{847B11B7-D8AC-4378-87DB-E75A27E5C8D5}"/>
    <hyperlink ref="K13" r:id="rId3" display="https://us3.assetplanner.com/service_request?ID=105436" xr:uid="{CB306070-533C-4ED6-A10C-DE917ED92991}"/>
    <hyperlink ref="K14" r:id="rId4" display="https://us3.assetplanner.com/service_request?ID=105437" xr:uid="{BAE81469-2A43-41F4-8304-FE6C14B5EA86}"/>
    <hyperlink ref="K19" r:id="rId5" display="https://us3.assetplanner.com/service_request?ID=107668" xr:uid="{4EC89600-4BAF-4052-B30C-F54B572E7141}"/>
    <hyperlink ref="L19" r:id="rId6" display="https://us3.assetplanner.com/service_request?ID=077700" xr:uid="{9A8215BA-C272-4385-B810-B48EBD52E048}"/>
    <hyperlink ref="K20" r:id="rId7" display="https://us3.assetplanner.com/service_request?ID=098782" xr:uid="{383CDC62-3C95-4318-AE9C-68BD8A623916}"/>
    <hyperlink ref="K22" r:id="rId8" display="https://us3.assetplanner.com/service_request?ID=105483" xr:uid="{FFDF5835-327E-4A0D-8FB7-B6C372273C3E}"/>
    <hyperlink ref="L22" r:id="rId9" display="https://us3.assetplanner.com/service_request?ID=105331" xr:uid="{86CB2107-4EE1-4F03-9FDB-2EFCD3018658}"/>
    <hyperlink ref="K34" r:id="rId10" display="https://us3.assetplanner.com/service_request?ID=100979" xr:uid="{6B0F4537-B6AD-4324-9C4C-6FBA92B36ABA}"/>
    <hyperlink ref="K38" r:id="rId11" display="https://us3.assetplanner.com/service_request?ID=100592" xr:uid="{0D7E4986-30E8-479C-BE8E-6E081DC2D886}"/>
    <hyperlink ref="K46" r:id="rId12" display="https://us3.assetplanner.com/service_request?ID=075812" xr:uid="{5ECF1B34-1245-4F58-8F96-9C6548B4A17E}"/>
    <hyperlink ref="K47" r:id="rId13" display="https://us3.assetplanner.com/service_request?ID=100593" xr:uid="{1BAC61DB-1ADD-4C25-BF36-984ADB1BA4E0}"/>
    <hyperlink ref="K56" r:id="rId14" display="https://us3.assetplanner.com/service_request?ID=106961" xr:uid="{9F7DB266-1F20-4EE2-9077-CA9B600A90EC}"/>
    <hyperlink ref="K57" r:id="rId15" display="https://us3.assetplanner.com/service_request?ID=107931" xr:uid="{AF2D5C67-6700-48B3-AE65-080F8851285F}"/>
    <hyperlink ref="L57" r:id="rId16" display="https://us3.assetplanner.com/service_request?ID=108243" xr:uid="{E7B5B5D7-239D-49E1-A70A-FC0F6CC0E204}"/>
    <hyperlink ref="K58" r:id="rId17" display="https://us3.assetplanner.com/service_request?ID=107930" xr:uid="{1A330FAF-1F04-4E02-ADEB-FF8F03809287}"/>
    <hyperlink ref="K59" r:id="rId18" display="https://us3.assetplanner.com/service_request?ID=107932" xr:uid="{3FF92E98-3F5C-42DB-B0F7-566C252A2E6C}"/>
    <hyperlink ref="K60" r:id="rId19" display="https://us3.assetplanner.com/service_request?ID=097581" xr:uid="{25DC7872-1DD0-4098-B5C2-3EB47880E60D}"/>
    <hyperlink ref="K62" r:id="rId20" display="https://us3.assetplanner.com/service_request?ID=106526" xr:uid="{53E2E30E-5D28-4626-AF20-6E418CEEE93B}"/>
    <hyperlink ref="K67" r:id="rId21" display="https://us3.assetplanner.com/service_request?ID=101247" xr:uid="{49D6E8B0-58D8-4AC6-9DCB-74BACC27705B}"/>
    <hyperlink ref="K75" r:id="rId22" display="https://us3.assetplanner.com/service_request?ID=104629" xr:uid="{439F7605-4A35-45E2-9AFD-1B0CAA4442C6}"/>
    <hyperlink ref="K78" r:id="rId23" display="https://us3.assetplanner.com/service_request?ID=104656" xr:uid="{1D6A2B08-1333-4619-82AE-4F0E2D44FBC7}"/>
    <hyperlink ref="L78" r:id="rId24" display="https://us3.assetplanner.com/service_request?ID=107171" xr:uid="{6E2293A7-95BE-4398-9988-CEB58677C68E}"/>
    <hyperlink ref="M78" r:id="rId25" display="https://us3.assetplanner.com/service_request?ID=107486" xr:uid="{0068863F-CF9C-4991-9D48-2984E217D5B2}"/>
    <hyperlink ref="K83" r:id="rId26" display="https://us3.assetplanner.com/service_request?ID=104705" xr:uid="{17371DB9-A340-4929-B578-AAFAFDDA1561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374</v>
      </c>
      <c r="E1" s="219"/>
      <c r="F1" s="219"/>
      <c r="G1" s="217" t="s">
        <v>375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75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75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75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75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75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75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75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376</v>
      </c>
      <c r="E1" s="219"/>
      <c r="F1" s="219"/>
      <c r="G1" s="217" t="s">
        <v>377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1"/>
      <c r="K7" s="69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1"/>
      <c r="K9" s="6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1"/>
      <c r="K11" s="69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1"/>
      <c r="K13" s="69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69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1"/>
      <c r="K21" s="69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1"/>
      <c r="K23" s="6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1"/>
      <c r="K25" s="69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1"/>
      <c r="K27" s="69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1"/>
      <c r="K29" s="69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1"/>
      <c r="K31" s="69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1"/>
      <c r="K33" s="69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1"/>
      <c r="K35" s="69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1"/>
      <c r="K37" s="69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1"/>
      <c r="K39" s="69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1"/>
      <c r="K41" s="69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1"/>
      <c r="K43" s="69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1"/>
      <c r="K45" s="69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1"/>
      <c r="K49" s="6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1"/>
      <c r="K51" s="69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1"/>
      <c r="K53" s="6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1"/>
      <c r="K57" s="6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1"/>
      <c r="K61" s="6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1"/>
      <c r="K63" s="71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1"/>
      <c r="K65" s="71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1"/>
      <c r="K67" s="69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1"/>
      <c r="K71" s="71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1"/>
      <c r="K73" s="6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1"/>
      <c r="K75" s="71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1"/>
      <c r="K77" s="71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1"/>
      <c r="K79" s="71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1"/>
      <c r="K81" s="71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1"/>
      <c r="K83" s="71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4.2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8" t="str" cm="1">
        <f t="array" ref="A1">portfolio</f>
        <v>Wells Fargo</v>
      </c>
      <c r="B1" s="218"/>
      <c r="C1" s="218"/>
      <c r="D1" s="219" t="s">
        <v>378</v>
      </c>
      <c r="E1" s="219"/>
      <c r="F1" s="219"/>
      <c r="G1" s="217" t="s">
        <v>379</v>
      </c>
      <c r="H1" s="217"/>
      <c r="I1" s="217"/>
      <c r="J1" s="3"/>
      <c r="K1" s="3"/>
    </row>
    <row r="2" spans="1:11" ht="19.5" customHeight="1">
      <c r="A2" s="228" t="s">
        <v>2</v>
      </c>
      <c r="B2" s="22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75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1"/>
      <c r="K19" s="91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1"/>
      <c r="K47" s="91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1"/>
      <c r="K55" s="71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75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26" activePane="bottomLeft" state="frozen"/>
      <selection pane="bottomLeft" activeCell="B46" sqref="B46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380</v>
      </c>
      <c r="B1" t="s">
        <v>381</v>
      </c>
    </row>
    <row r="3" spans="1:8">
      <c r="A3" t="s">
        <v>382</v>
      </c>
      <c r="B3" t="s">
        <v>3</v>
      </c>
      <c r="C3" t="s">
        <v>39</v>
      </c>
      <c r="D3" t="s">
        <v>383</v>
      </c>
      <c r="E3" s="2" t="s">
        <v>384</v>
      </c>
      <c r="F3" s="140" t="s">
        <v>385</v>
      </c>
      <c r="G3" s="140" t="s">
        <v>386</v>
      </c>
      <c r="H3" s="141" t="s">
        <v>387</v>
      </c>
    </row>
    <row r="4" spans="1:8">
      <c r="A4" s="44" t="s">
        <v>388</v>
      </c>
      <c r="B4" s="46" t="s">
        <v>389</v>
      </c>
      <c r="C4" s="46" t="s">
        <v>390</v>
      </c>
      <c r="D4" t="s">
        <v>391</v>
      </c>
      <c r="E4" s="42" t="s">
        <v>392</v>
      </c>
      <c r="F4" s="142">
        <v>191334</v>
      </c>
      <c r="G4" s="142" t="s">
        <v>393</v>
      </c>
      <c r="H4" s="143" t="s">
        <v>394</v>
      </c>
    </row>
    <row r="5" spans="1:8">
      <c r="A5" s="45" t="s">
        <v>395</v>
      </c>
      <c r="B5" s="45" t="s">
        <v>396</v>
      </c>
      <c r="C5" s="45" t="s">
        <v>390</v>
      </c>
      <c r="E5" s="42" t="s">
        <v>392</v>
      </c>
      <c r="F5" s="144">
        <v>196270</v>
      </c>
      <c r="G5" s="144" t="s">
        <v>393</v>
      </c>
      <c r="H5" s="145" t="s">
        <v>394</v>
      </c>
    </row>
    <row r="6" spans="1:8">
      <c r="A6" s="46" t="s">
        <v>397</v>
      </c>
      <c r="B6" s="46" t="s">
        <v>398</v>
      </c>
      <c r="C6" s="46" t="s">
        <v>390</v>
      </c>
      <c r="D6" t="s">
        <v>391</v>
      </c>
      <c r="E6" s="42" t="s">
        <v>392</v>
      </c>
      <c r="F6" s="142">
        <v>144682</v>
      </c>
      <c r="G6" s="142" t="s">
        <v>399</v>
      </c>
      <c r="H6" s="143" t="s">
        <v>400</v>
      </c>
    </row>
    <row r="7" spans="1:8" ht="12.75" customHeight="1">
      <c r="A7" s="45" t="s">
        <v>401</v>
      </c>
      <c r="B7" s="45" t="s">
        <v>402</v>
      </c>
      <c r="C7" s="45" t="s">
        <v>390</v>
      </c>
      <c r="D7" t="s">
        <v>403</v>
      </c>
      <c r="E7" s="42" t="s">
        <v>392</v>
      </c>
      <c r="F7" s="144">
        <v>191705</v>
      </c>
      <c r="G7" s="144" t="s">
        <v>393</v>
      </c>
      <c r="H7" s="145" t="s">
        <v>394</v>
      </c>
    </row>
    <row r="8" spans="1:8" ht="12.75" customHeight="1">
      <c r="A8" s="46" t="s">
        <v>404</v>
      </c>
      <c r="B8" s="46" t="s">
        <v>405</v>
      </c>
      <c r="C8" s="46" t="s">
        <v>406</v>
      </c>
      <c r="D8" t="s">
        <v>403</v>
      </c>
      <c r="E8" s="42" t="s">
        <v>392</v>
      </c>
      <c r="F8" s="142">
        <v>103541</v>
      </c>
      <c r="G8" s="142" t="s">
        <v>393</v>
      </c>
      <c r="H8" s="143" t="s">
        <v>394</v>
      </c>
    </row>
    <row r="9" spans="1:8" ht="12.75" customHeight="1">
      <c r="A9" s="45" t="s">
        <v>407</v>
      </c>
      <c r="B9" s="45" t="s">
        <v>408</v>
      </c>
      <c r="C9" s="45" t="s">
        <v>406</v>
      </c>
      <c r="D9" t="s">
        <v>403</v>
      </c>
      <c r="E9" s="42" t="s">
        <v>392</v>
      </c>
      <c r="F9" s="144">
        <v>101451</v>
      </c>
      <c r="G9" s="144" t="s">
        <v>393</v>
      </c>
      <c r="H9" s="145" t="s">
        <v>394</v>
      </c>
    </row>
    <row r="10" spans="1:8" ht="12.75" customHeight="1">
      <c r="A10" s="46" t="s">
        <v>409</v>
      </c>
      <c r="B10" s="46" t="s">
        <v>410</v>
      </c>
      <c r="C10" s="46" t="s">
        <v>406</v>
      </c>
      <c r="D10" t="s">
        <v>403</v>
      </c>
      <c r="E10" s="42" t="s">
        <v>392</v>
      </c>
      <c r="F10" s="142">
        <v>120617</v>
      </c>
      <c r="G10" s="142" t="s">
        <v>393</v>
      </c>
      <c r="H10" s="143" t="s">
        <v>394</v>
      </c>
    </row>
    <row r="11" spans="1:8" ht="12.75" customHeight="1">
      <c r="A11" s="45" t="s">
        <v>411</v>
      </c>
      <c r="B11" s="45" t="s">
        <v>412</v>
      </c>
      <c r="C11" s="45" t="s">
        <v>406</v>
      </c>
      <c r="D11" t="s">
        <v>391</v>
      </c>
      <c r="E11" s="42" t="s">
        <v>392</v>
      </c>
      <c r="F11" s="144">
        <v>101995</v>
      </c>
      <c r="G11" s="144" t="s">
        <v>393</v>
      </c>
      <c r="H11" s="145" t="s">
        <v>394</v>
      </c>
    </row>
    <row r="12" spans="1:8" ht="12.75" customHeight="1">
      <c r="A12" s="46" t="s">
        <v>413</v>
      </c>
      <c r="B12" s="46" t="s">
        <v>414</v>
      </c>
      <c r="C12" s="46" t="s">
        <v>406</v>
      </c>
      <c r="D12" t="s">
        <v>391</v>
      </c>
      <c r="E12" s="42" t="s">
        <v>392</v>
      </c>
      <c r="F12" s="142">
        <v>102040</v>
      </c>
      <c r="G12" s="142" t="s">
        <v>393</v>
      </c>
      <c r="H12" s="143" t="s">
        <v>394</v>
      </c>
    </row>
    <row r="13" spans="1:8" ht="12.75" customHeight="1">
      <c r="A13" s="45" t="s">
        <v>415</v>
      </c>
      <c r="B13" s="45" t="s">
        <v>416</v>
      </c>
      <c r="C13" s="45" t="s">
        <v>406</v>
      </c>
      <c r="D13" t="s">
        <v>391</v>
      </c>
      <c r="E13" s="42" t="s">
        <v>392</v>
      </c>
      <c r="F13" s="144">
        <v>120717</v>
      </c>
      <c r="G13" s="144" t="s">
        <v>393</v>
      </c>
      <c r="H13" s="145" t="s">
        <v>394</v>
      </c>
    </row>
    <row r="14" spans="1:8" ht="12.75" customHeight="1">
      <c r="A14" s="46" t="s">
        <v>417</v>
      </c>
      <c r="B14" s="46" t="s">
        <v>418</v>
      </c>
      <c r="C14" s="46" t="s">
        <v>406</v>
      </c>
      <c r="D14" t="s">
        <v>403</v>
      </c>
      <c r="E14" s="42" t="s">
        <v>392</v>
      </c>
      <c r="F14" s="142">
        <v>103553</v>
      </c>
      <c r="G14" s="142" t="s">
        <v>393</v>
      </c>
      <c r="H14" s="143" t="s">
        <v>394</v>
      </c>
    </row>
    <row r="15" spans="1:8" ht="12.75" customHeight="1">
      <c r="A15" s="45" t="s">
        <v>419</v>
      </c>
      <c r="B15" s="45" t="s">
        <v>420</v>
      </c>
      <c r="C15" s="45" t="s">
        <v>406</v>
      </c>
      <c r="E15" s="42" t="s">
        <v>392</v>
      </c>
      <c r="F15" s="144">
        <v>105797</v>
      </c>
      <c r="G15" s="144" t="s">
        <v>393</v>
      </c>
      <c r="H15" s="145" t="s">
        <v>394</v>
      </c>
    </row>
    <row r="16" spans="1:8" ht="12.75" customHeight="1">
      <c r="A16" s="46" t="s">
        <v>421</v>
      </c>
      <c r="B16" s="46" t="s">
        <v>422</v>
      </c>
      <c r="C16" s="46" t="s">
        <v>406</v>
      </c>
      <c r="D16" t="s">
        <v>391</v>
      </c>
      <c r="E16" s="42" t="s">
        <v>392</v>
      </c>
      <c r="F16" s="142">
        <v>120768</v>
      </c>
      <c r="G16" s="142" t="s">
        <v>393</v>
      </c>
      <c r="H16" s="143" t="s">
        <v>394</v>
      </c>
    </row>
    <row r="17" spans="1:8" ht="12.75" customHeight="1">
      <c r="A17" s="45" t="s">
        <v>423</v>
      </c>
      <c r="B17" s="45" t="s">
        <v>424</v>
      </c>
      <c r="C17" s="45" t="s">
        <v>406</v>
      </c>
      <c r="D17" t="s">
        <v>403</v>
      </c>
      <c r="E17" s="42" t="s">
        <v>392</v>
      </c>
      <c r="F17" s="144">
        <v>106004</v>
      </c>
      <c r="G17" s="144" t="s">
        <v>393</v>
      </c>
      <c r="H17" s="145" t="s">
        <v>394</v>
      </c>
    </row>
    <row r="18" spans="1:8" ht="12.75" customHeight="1">
      <c r="A18" s="46" t="s">
        <v>425</v>
      </c>
      <c r="B18" s="46" t="s">
        <v>426</v>
      </c>
      <c r="C18" s="46" t="s">
        <v>427</v>
      </c>
      <c r="D18" t="s">
        <v>391</v>
      </c>
      <c r="E18" s="42" t="s">
        <v>392</v>
      </c>
      <c r="F18" s="142">
        <v>144783</v>
      </c>
      <c r="G18" s="142" t="s">
        <v>393</v>
      </c>
      <c r="H18" s="143" t="s">
        <v>394</v>
      </c>
    </row>
    <row r="19" spans="1:8" ht="12.75" customHeight="1">
      <c r="A19" s="45" t="s">
        <v>428</v>
      </c>
      <c r="B19" s="45" t="s">
        <v>429</v>
      </c>
      <c r="C19" s="45" t="s">
        <v>427</v>
      </c>
      <c r="D19" t="s">
        <v>391</v>
      </c>
      <c r="E19" s="42" t="s">
        <v>392</v>
      </c>
      <c r="F19" s="144">
        <v>144725</v>
      </c>
      <c r="G19" s="144" t="s">
        <v>393</v>
      </c>
      <c r="H19" s="145" t="s">
        <v>394</v>
      </c>
    </row>
    <row r="20" spans="1:8" ht="12.75" customHeight="1">
      <c r="A20" s="46" t="s">
        <v>430</v>
      </c>
      <c r="B20" s="46" t="s">
        <v>431</v>
      </c>
      <c r="C20" s="46" t="s">
        <v>432</v>
      </c>
      <c r="D20" t="s">
        <v>391</v>
      </c>
      <c r="E20" s="42" t="s">
        <v>392</v>
      </c>
      <c r="F20" s="142">
        <v>107447</v>
      </c>
      <c r="G20" s="142" t="s">
        <v>393</v>
      </c>
      <c r="H20" s="143" t="s">
        <v>394</v>
      </c>
    </row>
    <row r="21" spans="1:8" ht="12.75" customHeight="1">
      <c r="A21" s="45" t="s">
        <v>433</v>
      </c>
      <c r="B21" s="45" t="s">
        <v>434</v>
      </c>
      <c r="C21" s="45" t="s">
        <v>435</v>
      </c>
      <c r="D21" t="s">
        <v>391</v>
      </c>
      <c r="E21" s="42" t="s">
        <v>392</v>
      </c>
      <c r="F21" s="144">
        <v>150496</v>
      </c>
      <c r="G21" s="144" t="s">
        <v>399</v>
      </c>
      <c r="H21" s="145" t="s">
        <v>394</v>
      </c>
    </row>
    <row r="22" spans="1:8" ht="12.75" customHeight="1">
      <c r="A22" s="45" t="s">
        <v>436</v>
      </c>
      <c r="B22" s="45" t="s">
        <v>437</v>
      </c>
      <c r="C22" s="45" t="s">
        <v>435</v>
      </c>
      <c r="D22" t="s">
        <v>391</v>
      </c>
      <c r="E22" s="42" t="s">
        <v>392</v>
      </c>
      <c r="F22" s="142">
        <v>150496</v>
      </c>
      <c r="G22" s="142" t="s">
        <v>399</v>
      </c>
      <c r="H22" s="143" t="s">
        <v>394</v>
      </c>
    </row>
    <row r="23" spans="1:8" ht="12.75" customHeight="1">
      <c r="A23" s="45" t="s">
        <v>438</v>
      </c>
      <c r="B23" s="45" t="s">
        <v>439</v>
      </c>
      <c r="C23" s="45" t="s">
        <v>283</v>
      </c>
      <c r="E23" s="42" t="s">
        <v>392</v>
      </c>
      <c r="F23" s="144">
        <v>141278</v>
      </c>
      <c r="G23" s="144" t="s">
        <v>399</v>
      </c>
      <c r="H23" s="145" t="s">
        <v>400</v>
      </c>
    </row>
    <row r="24" spans="1:8" ht="12.75" customHeight="1">
      <c r="A24" s="47" t="s">
        <v>440</v>
      </c>
      <c r="B24" s="45" t="s">
        <v>441</v>
      </c>
      <c r="C24" s="45" t="s">
        <v>283</v>
      </c>
      <c r="E24" s="42" t="s">
        <v>392</v>
      </c>
      <c r="F24" s="142">
        <v>141954</v>
      </c>
      <c r="G24" s="142" t="s">
        <v>399</v>
      </c>
      <c r="H24" s="143" t="s">
        <v>400</v>
      </c>
    </row>
    <row r="25" spans="1:8" ht="12.75" customHeight="1">
      <c r="A25" s="45" t="s">
        <v>442</v>
      </c>
      <c r="B25" s="45" t="s">
        <v>443</v>
      </c>
      <c r="C25" s="45" t="s">
        <v>444</v>
      </c>
      <c r="D25" t="s">
        <v>391</v>
      </c>
      <c r="E25" s="42" t="s">
        <v>392</v>
      </c>
      <c r="F25" s="144">
        <v>140171</v>
      </c>
      <c r="G25" s="144" t="s">
        <v>393</v>
      </c>
      <c r="H25" s="145" t="s">
        <v>394</v>
      </c>
    </row>
    <row r="26" spans="1:8" ht="12.75" customHeight="1">
      <c r="A26" s="47" t="s">
        <v>445</v>
      </c>
      <c r="B26" s="45" t="s">
        <v>446</v>
      </c>
      <c r="C26" s="45" t="s">
        <v>444</v>
      </c>
      <c r="D26" t="s">
        <v>391</v>
      </c>
      <c r="E26" s="42" t="s">
        <v>392</v>
      </c>
      <c r="F26" s="142">
        <v>141423</v>
      </c>
      <c r="G26" s="142" t="s">
        <v>393</v>
      </c>
      <c r="H26" s="143" t="s">
        <v>394</v>
      </c>
    </row>
    <row r="27" spans="1:8" ht="12.75" customHeight="1">
      <c r="A27" s="45" t="s">
        <v>447</v>
      </c>
      <c r="B27" s="45" t="s">
        <v>448</v>
      </c>
      <c r="C27" s="45" t="s">
        <v>444</v>
      </c>
      <c r="D27" t="s">
        <v>391</v>
      </c>
      <c r="E27" s="42" t="s">
        <v>392</v>
      </c>
      <c r="F27" s="144">
        <v>141327</v>
      </c>
      <c r="G27" s="144" t="s">
        <v>393</v>
      </c>
      <c r="H27" s="145" t="s">
        <v>394</v>
      </c>
    </row>
    <row r="28" spans="1:8" ht="12.75" customHeight="1">
      <c r="A28" s="47" t="s">
        <v>449</v>
      </c>
      <c r="B28" s="45" t="s">
        <v>450</v>
      </c>
      <c r="C28" s="45" t="s">
        <v>444</v>
      </c>
      <c r="D28" t="s">
        <v>391</v>
      </c>
      <c r="E28" s="42" t="s">
        <v>392</v>
      </c>
      <c r="F28" s="142">
        <v>141382</v>
      </c>
      <c r="G28" s="142" t="s">
        <v>393</v>
      </c>
      <c r="H28" s="143" t="s">
        <v>394</v>
      </c>
    </row>
    <row r="29" spans="1:8" ht="12.75" customHeight="1">
      <c r="A29" s="45" t="s">
        <v>451</v>
      </c>
      <c r="B29" s="45" t="s">
        <v>452</v>
      </c>
      <c r="C29" s="45" t="s">
        <v>444</v>
      </c>
      <c r="D29" t="s">
        <v>391</v>
      </c>
      <c r="E29" s="42" t="s">
        <v>392</v>
      </c>
      <c r="F29" s="144">
        <v>141427</v>
      </c>
      <c r="G29" s="144" t="s">
        <v>393</v>
      </c>
      <c r="H29" s="145" t="s">
        <v>394</v>
      </c>
    </row>
    <row r="30" spans="1:8" ht="12.75" customHeight="1">
      <c r="A30" s="47" t="s">
        <v>453</v>
      </c>
      <c r="B30" s="45" t="s">
        <v>454</v>
      </c>
      <c r="C30" s="45" t="s">
        <v>444</v>
      </c>
      <c r="D30" t="s">
        <v>391</v>
      </c>
      <c r="E30" s="42" t="s">
        <v>392</v>
      </c>
      <c r="F30" s="142">
        <v>145739</v>
      </c>
      <c r="G30" s="142" t="s">
        <v>393</v>
      </c>
      <c r="H30" s="143" t="s">
        <v>394</v>
      </c>
    </row>
    <row r="31" spans="1:8" ht="12.75" customHeight="1">
      <c r="A31" s="45" t="s">
        <v>455</v>
      </c>
      <c r="B31" s="45" t="s">
        <v>456</v>
      </c>
      <c r="C31" s="45" t="s">
        <v>444</v>
      </c>
      <c r="D31" t="s">
        <v>391</v>
      </c>
      <c r="E31" s="42" t="s">
        <v>392</v>
      </c>
      <c r="F31" s="144">
        <v>141464</v>
      </c>
      <c r="G31" s="144" t="s">
        <v>393</v>
      </c>
      <c r="H31" s="145" t="s">
        <v>394</v>
      </c>
    </row>
    <row r="32" spans="1:8" ht="12.75" customHeight="1">
      <c r="A32" s="47" t="s">
        <v>457</v>
      </c>
      <c r="B32" s="45" t="s">
        <v>458</v>
      </c>
      <c r="C32" s="45" t="s">
        <v>444</v>
      </c>
      <c r="D32" t="s">
        <v>391</v>
      </c>
      <c r="E32" s="42" t="s">
        <v>392</v>
      </c>
      <c r="F32" s="142">
        <v>141467</v>
      </c>
      <c r="G32" s="142" t="s">
        <v>393</v>
      </c>
      <c r="H32" s="143" t="s">
        <v>394</v>
      </c>
    </row>
    <row r="33" spans="1:8" ht="12.75" customHeight="1">
      <c r="A33" s="45" t="s">
        <v>459</v>
      </c>
      <c r="B33" s="45" t="s">
        <v>460</v>
      </c>
      <c r="C33" s="45" t="s">
        <v>444</v>
      </c>
      <c r="D33" t="s">
        <v>391</v>
      </c>
      <c r="E33" s="42" t="s">
        <v>392</v>
      </c>
      <c r="F33" s="144">
        <v>141468</v>
      </c>
      <c r="G33" s="144" t="s">
        <v>393</v>
      </c>
      <c r="H33" s="145" t="s">
        <v>394</v>
      </c>
    </row>
    <row r="34" spans="1:8" ht="12.75" customHeight="1">
      <c r="A34" s="47" t="s">
        <v>461</v>
      </c>
      <c r="B34" s="45" t="s">
        <v>462</v>
      </c>
      <c r="C34" s="45" t="s">
        <v>444</v>
      </c>
      <c r="D34" t="s">
        <v>391</v>
      </c>
      <c r="E34" s="42" t="s">
        <v>392</v>
      </c>
      <c r="F34" s="142">
        <v>140216</v>
      </c>
      <c r="G34" s="142" t="s">
        <v>393</v>
      </c>
      <c r="H34" s="143" t="s">
        <v>394</v>
      </c>
    </row>
    <row r="35" spans="1:8" ht="12.75" customHeight="1">
      <c r="A35" s="45" t="s">
        <v>463</v>
      </c>
      <c r="B35" s="45" t="s">
        <v>464</v>
      </c>
      <c r="C35" s="45" t="s">
        <v>444</v>
      </c>
      <c r="D35" t="s">
        <v>391</v>
      </c>
      <c r="E35" s="42" t="s">
        <v>392</v>
      </c>
      <c r="F35" s="144">
        <v>144566</v>
      </c>
      <c r="G35" s="144" t="s">
        <v>393</v>
      </c>
      <c r="H35" s="145" t="s">
        <v>394</v>
      </c>
    </row>
    <row r="36" spans="1:8" ht="12.75" customHeight="1">
      <c r="A36" s="47" t="s">
        <v>465</v>
      </c>
      <c r="B36" s="45" t="s">
        <v>466</v>
      </c>
      <c r="C36" s="45" t="s">
        <v>444</v>
      </c>
      <c r="D36" t="s">
        <v>391</v>
      </c>
      <c r="E36" s="42" t="s">
        <v>392</v>
      </c>
      <c r="F36" s="142">
        <v>141317</v>
      </c>
      <c r="G36" s="142" t="s">
        <v>393</v>
      </c>
      <c r="H36" s="143" t="s">
        <v>394</v>
      </c>
    </row>
    <row r="37" spans="1:8" ht="12.75" customHeight="1">
      <c r="A37" s="45" t="s">
        <v>467</v>
      </c>
      <c r="B37" s="45" t="s">
        <v>468</v>
      </c>
      <c r="C37" s="45" t="s">
        <v>444</v>
      </c>
      <c r="D37" t="s">
        <v>391</v>
      </c>
      <c r="E37" s="42" t="s">
        <v>392</v>
      </c>
      <c r="F37" s="144">
        <v>140334</v>
      </c>
      <c r="G37" s="144" t="s">
        <v>393</v>
      </c>
      <c r="H37" s="145" t="s">
        <v>394</v>
      </c>
    </row>
    <row r="38" spans="1:8" ht="12.75" customHeight="1">
      <c r="A38" s="48" t="s">
        <v>469</v>
      </c>
      <c r="B38" s="45" t="s">
        <v>470</v>
      </c>
      <c r="C38" s="45" t="s">
        <v>444</v>
      </c>
      <c r="D38" t="s">
        <v>391</v>
      </c>
      <c r="E38" s="42" t="s">
        <v>392</v>
      </c>
      <c r="F38" s="142">
        <v>140262</v>
      </c>
      <c r="G38" s="142" t="s">
        <v>393</v>
      </c>
      <c r="H38" s="143" t="s">
        <v>394</v>
      </c>
    </row>
    <row r="39" spans="1:8" ht="12.75" customHeight="1">
      <c r="A39" s="45" t="s">
        <v>471</v>
      </c>
      <c r="B39" s="45" t="s">
        <v>472</v>
      </c>
      <c r="C39" s="45" t="s">
        <v>444</v>
      </c>
      <c r="D39" t="s">
        <v>391</v>
      </c>
      <c r="E39" s="42" t="s">
        <v>392</v>
      </c>
      <c r="F39" s="144">
        <v>141443</v>
      </c>
      <c r="G39" s="144" t="s">
        <v>393</v>
      </c>
      <c r="H39" s="145" t="s">
        <v>394</v>
      </c>
    </row>
    <row r="40" spans="1:8" ht="12.75" customHeight="1">
      <c r="A40" s="47" t="s">
        <v>473</v>
      </c>
      <c r="B40" s="45" t="s">
        <v>474</v>
      </c>
      <c r="C40" s="45" t="s">
        <v>444</v>
      </c>
      <c r="D40" t="s">
        <v>391</v>
      </c>
      <c r="E40" s="42" t="s">
        <v>392</v>
      </c>
      <c r="F40" s="142">
        <v>141441</v>
      </c>
      <c r="G40" s="142" t="s">
        <v>393</v>
      </c>
      <c r="H40" s="143" t="s">
        <v>394</v>
      </c>
    </row>
    <row r="41" spans="1:8" ht="12.75" customHeight="1">
      <c r="A41" s="45" t="s">
        <v>475</v>
      </c>
      <c r="B41" s="45" t="s">
        <v>476</v>
      </c>
      <c r="C41" s="45" t="s">
        <v>444</v>
      </c>
      <c r="D41" t="s">
        <v>391</v>
      </c>
      <c r="E41" s="42" t="s">
        <v>392</v>
      </c>
      <c r="F41" s="144">
        <v>141445</v>
      </c>
      <c r="G41" s="144" t="s">
        <v>393</v>
      </c>
      <c r="H41" s="145" t="s">
        <v>394</v>
      </c>
    </row>
    <row r="42" spans="1:8" ht="12.75" customHeight="1">
      <c r="A42" s="47" t="s">
        <v>477</v>
      </c>
      <c r="B42" s="45" t="s">
        <v>478</v>
      </c>
      <c r="C42" s="45" t="s">
        <v>444</v>
      </c>
      <c r="D42" t="s">
        <v>391</v>
      </c>
      <c r="E42" s="42" t="s">
        <v>392</v>
      </c>
      <c r="F42" s="142">
        <v>144269</v>
      </c>
      <c r="G42" s="142" t="s">
        <v>393</v>
      </c>
      <c r="H42" s="143" t="s">
        <v>394</v>
      </c>
    </row>
    <row r="43" spans="1:8" ht="12.75" customHeight="1">
      <c r="A43" s="45" t="s">
        <v>479</v>
      </c>
      <c r="B43" s="45" t="s">
        <v>480</v>
      </c>
      <c r="C43" s="45" t="s">
        <v>444</v>
      </c>
      <c r="D43" t="s">
        <v>391</v>
      </c>
      <c r="E43" s="42" t="s">
        <v>392</v>
      </c>
      <c r="F43" s="144">
        <v>141344</v>
      </c>
      <c r="G43" s="144" t="s">
        <v>393</v>
      </c>
      <c r="H43" s="145" t="s">
        <v>394</v>
      </c>
    </row>
    <row r="44" spans="1:8" ht="12.75" customHeight="1">
      <c r="A44" s="47" t="s">
        <v>481</v>
      </c>
      <c r="B44" s="45" t="s">
        <v>482</v>
      </c>
      <c r="C44" s="45" t="s">
        <v>444</v>
      </c>
      <c r="D44" t="s">
        <v>391</v>
      </c>
      <c r="E44" s="42" t="s">
        <v>392</v>
      </c>
      <c r="F44" s="142">
        <v>142050</v>
      </c>
      <c r="G44" s="142" t="s">
        <v>393</v>
      </c>
      <c r="H44" s="143" t="s">
        <v>394</v>
      </c>
    </row>
    <row r="45" spans="1:8" ht="12.75" customHeight="1">
      <c r="A45" s="45" t="s">
        <v>483</v>
      </c>
      <c r="B45" s="45" t="s">
        <v>484</v>
      </c>
      <c r="C45" s="45" t="s">
        <v>444</v>
      </c>
      <c r="D45" t="s">
        <v>391</v>
      </c>
      <c r="E45" s="42" t="s">
        <v>392</v>
      </c>
      <c r="F45" s="144">
        <v>140332</v>
      </c>
      <c r="G45" s="144" t="s">
        <v>393</v>
      </c>
      <c r="H45" s="145" t="s">
        <v>394</v>
      </c>
    </row>
    <row r="46" spans="1:8" ht="12.75" customHeight="1">
      <c r="A46" s="45" t="s">
        <v>485</v>
      </c>
      <c r="B46" s="45" t="s">
        <v>486</v>
      </c>
      <c r="C46" s="45" t="s">
        <v>444</v>
      </c>
      <c r="E46" s="42" t="s">
        <v>392</v>
      </c>
      <c r="F46" s="142">
        <v>141466</v>
      </c>
      <c r="G46" s="142" t="s">
        <v>393</v>
      </c>
      <c r="H46" s="143" t="s">
        <v>394</v>
      </c>
    </row>
    <row r="47" spans="1:8" ht="12.75" customHeight="1">
      <c r="A47" s="45" t="s">
        <v>487</v>
      </c>
      <c r="B47" s="45" t="s">
        <v>488</v>
      </c>
      <c r="C47" s="45" t="s">
        <v>444</v>
      </c>
      <c r="D47" t="s">
        <v>391</v>
      </c>
      <c r="E47" s="42" t="s">
        <v>392</v>
      </c>
      <c r="F47" s="144">
        <v>142088</v>
      </c>
      <c r="G47" s="144" t="s">
        <v>393</v>
      </c>
      <c r="H47" s="145" t="s">
        <v>394</v>
      </c>
    </row>
    <row r="48" spans="1:8" ht="12.75" customHeight="1">
      <c r="A48" s="47" t="s">
        <v>489</v>
      </c>
      <c r="B48" s="45" t="s">
        <v>490</v>
      </c>
      <c r="C48" s="45" t="s">
        <v>444</v>
      </c>
      <c r="D48" t="s">
        <v>391</v>
      </c>
      <c r="E48" s="42" t="s">
        <v>392</v>
      </c>
      <c r="F48" s="142">
        <v>144110</v>
      </c>
      <c r="G48" s="142" t="s">
        <v>393</v>
      </c>
      <c r="H48" s="143" t="s">
        <v>394</v>
      </c>
    </row>
    <row r="49" spans="1:8" ht="12.75" customHeight="1">
      <c r="A49" s="45" t="s">
        <v>491</v>
      </c>
      <c r="B49" s="45" t="s">
        <v>492</v>
      </c>
      <c r="C49" s="45" t="s">
        <v>444</v>
      </c>
      <c r="D49" t="s">
        <v>391</v>
      </c>
      <c r="E49" s="42" t="s">
        <v>392</v>
      </c>
      <c r="F49" s="144">
        <v>144103</v>
      </c>
      <c r="G49" s="144" t="s">
        <v>393</v>
      </c>
      <c r="H49" s="145" t="s">
        <v>394</v>
      </c>
    </row>
    <row r="50" spans="1:8" ht="12.75" customHeight="1">
      <c r="A50" s="47" t="s">
        <v>493</v>
      </c>
      <c r="B50" s="45" t="s">
        <v>494</v>
      </c>
      <c r="C50" s="45" t="s">
        <v>444</v>
      </c>
      <c r="D50" t="s">
        <v>391</v>
      </c>
      <c r="E50" s="42" t="s">
        <v>392</v>
      </c>
      <c r="F50" s="142">
        <v>141918</v>
      </c>
      <c r="G50" s="142" t="s">
        <v>393</v>
      </c>
      <c r="H50" s="143" t="s">
        <v>394</v>
      </c>
    </row>
    <row r="51" spans="1:8" ht="12.75" customHeight="1">
      <c r="A51" s="45" t="s">
        <v>495</v>
      </c>
      <c r="B51" s="45" t="s">
        <v>496</v>
      </c>
      <c r="C51" s="45" t="s">
        <v>444</v>
      </c>
      <c r="D51" t="s">
        <v>391</v>
      </c>
      <c r="E51" s="42" t="s">
        <v>392</v>
      </c>
      <c r="F51" s="144">
        <v>144813</v>
      </c>
      <c r="G51" s="144" t="s">
        <v>393</v>
      </c>
      <c r="H51" s="145" t="s">
        <v>394</v>
      </c>
    </row>
    <row r="52" spans="1:8" ht="12.75" customHeight="1">
      <c r="A52" s="47" t="s">
        <v>497</v>
      </c>
      <c r="B52" s="45" t="s">
        <v>498</v>
      </c>
      <c r="C52" s="45" t="s">
        <v>444</v>
      </c>
      <c r="E52" s="42" t="s">
        <v>392</v>
      </c>
      <c r="F52" s="142">
        <v>145709</v>
      </c>
      <c r="G52" s="142" t="s">
        <v>393</v>
      </c>
      <c r="H52" s="143" t="s">
        <v>394</v>
      </c>
    </row>
    <row r="53" spans="1:8" ht="12.75" customHeight="1">
      <c r="A53" s="45" t="s">
        <v>499</v>
      </c>
      <c r="B53" s="45" t="s">
        <v>500</v>
      </c>
      <c r="C53" s="45" t="s">
        <v>444</v>
      </c>
      <c r="D53" t="s">
        <v>391</v>
      </c>
      <c r="E53" s="42" t="s">
        <v>392</v>
      </c>
      <c r="F53" s="144">
        <v>143233</v>
      </c>
      <c r="G53" s="144" t="s">
        <v>393</v>
      </c>
      <c r="H53" s="145" t="s">
        <v>394</v>
      </c>
    </row>
    <row r="54" spans="1:8" ht="12.75" customHeight="1">
      <c r="A54" s="47" t="s">
        <v>501</v>
      </c>
      <c r="B54" s="45" t="s">
        <v>502</v>
      </c>
      <c r="C54" s="45" t="s">
        <v>444</v>
      </c>
      <c r="D54" t="s">
        <v>391</v>
      </c>
      <c r="E54" s="42" t="s">
        <v>392</v>
      </c>
      <c r="F54" s="142">
        <v>141916</v>
      </c>
      <c r="G54" s="142" t="s">
        <v>393</v>
      </c>
      <c r="H54" s="143" t="s">
        <v>394</v>
      </c>
    </row>
    <row r="55" spans="1:8" ht="12.75" customHeight="1">
      <c r="A55" s="45" t="s">
        <v>503</v>
      </c>
      <c r="B55" s="45" t="s">
        <v>504</v>
      </c>
      <c r="C55" s="45" t="s">
        <v>444</v>
      </c>
      <c r="D55" t="s">
        <v>391</v>
      </c>
      <c r="E55" s="42" t="s">
        <v>392</v>
      </c>
      <c r="F55" s="144">
        <v>142875</v>
      </c>
      <c r="G55" s="144" t="s">
        <v>393</v>
      </c>
      <c r="H55" s="145" t="s">
        <v>394</v>
      </c>
    </row>
    <row r="56" spans="1:8" ht="12.75" customHeight="1">
      <c r="A56" s="47" t="s">
        <v>505</v>
      </c>
      <c r="B56" s="45" t="s">
        <v>506</v>
      </c>
      <c r="C56" s="45" t="s">
        <v>507</v>
      </c>
      <c r="E56" s="42" t="s">
        <v>392</v>
      </c>
      <c r="F56" s="142">
        <v>144679</v>
      </c>
      <c r="G56" s="142" t="s">
        <v>399</v>
      </c>
      <c r="H56" s="143" t="s">
        <v>394</v>
      </c>
    </row>
    <row r="57" spans="1:8" ht="12.75" customHeight="1">
      <c r="A57" s="45" t="s">
        <v>508</v>
      </c>
      <c r="B57" s="45" t="s">
        <v>509</v>
      </c>
      <c r="C57" s="45" t="s">
        <v>507</v>
      </c>
      <c r="E57" s="42" t="s">
        <v>392</v>
      </c>
      <c r="F57" s="144">
        <v>144679</v>
      </c>
      <c r="G57" s="144" t="s">
        <v>399</v>
      </c>
      <c r="H57" s="145" t="s">
        <v>394</v>
      </c>
    </row>
    <row r="58" spans="1:8" ht="12.75" customHeight="1">
      <c r="A58" s="47" t="s">
        <v>510</v>
      </c>
      <c r="B58" s="45" t="s">
        <v>511</v>
      </c>
      <c r="C58" s="45" t="s">
        <v>507</v>
      </c>
      <c r="E58" s="42" t="s">
        <v>392</v>
      </c>
      <c r="F58" s="142">
        <v>144679</v>
      </c>
      <c r="G58" s="142" t="s">
        <v>399</v>
      </c>
      <c r="H58" s="143" t="s">
        <v>394</v>
      </c>
    </row>
    <row r="59" spans="1:8" ht="12.75" customHeight="1">
      <c r="A59" s="45" t="s">
        <v>512</v>
      </c>
      <c r="B59" s="45" t="s">
        <v>513</v>
      </c>
      <c r="C59" s="45" t="s">
        <v>507</v>
      </c>
      <c r="E59" s="42" t="s">
        <v>392</v>
      </c>
      <c r="F59" s="144">
        <v>144679</v>
      </c>
      <c r="G59" s="144" t="s">
        <v>399</v>
      </c>
      <c r="H59" s="145" t="s">
        <v>394</v>
      </c>
    </row>
    <row r="60" spans="1:8" ht="12.75" customHeight="1">
      <c r="A60" s="47" t="s">
        <v>514</v>
      </c>
      <c r="B60" s="45" t="s">
        <v>515</v>
      </c>
      <c r="C60" s="45" t="s">
        <v>507</v>
      </c>
      <c r="E60" s="42" t="s">
        <v>392</v>
      </c>
      <c r="F60" s="142">
        <v>144679</v>
      </c>
      <c r="G60" s="142" t="s">
        <v>399</v>
      </c>
      <c r="H60" s="143" t="s">
        <v>394</v>
      </c>
    </row>
    <row r="61" spans="1:8" ht="12.75" customHeight="1">
      <c r="A61" s="45" t="s">
        <v>516</v>
      </c>
      <c r="B61" s="45" t="s">
        <v>517</v>
      </c>
      <c r="C61" s="45" t="s">
        <v>507</v>
      </c>
      <c r="E61" s="42" t="s">
        <v>392</v>
      </c>
      <c r="F61" s="144">
        <v>144679</v>
      </c>
      <c r="G61" s="144" t="s">
        <v>399</v>
      </c>
      <c r="H61" s="145" t="s">
        <v>394</v>
      </c>
    </row>
    <row r="62" spans="1:8" ht="12.75" customHeight="1">
      <c r="A62" s="45" t="s">
        <v>518</v>
      </c>
      <c r="B62" s="45" t="s">
        <v>519</v>
      </c>
      <c r="C62" s="45" t="s">
        <v>507</v>
      </c>
      <c r="E62" s="42" t="s">
        <v>392</v>
      </c>
      <c r="F62" s="142">
        <v>144679</v>
      </c>
      <c r="G62" s="142" t="s">
        <v>399</v>
      </c>
      <c r="H62" s="143" t="s">
        <v>394</v>
      </c>
    </row>
    <row r="63" spans="1:8" ht="12.75" customHeight="1">
      <c r="A63" s="45" t="s">
        <v>520</v>
      </c>
      <c r="B63" s="45" t="s">
        <v>521</v>
      </c>
      <c r="C63" s="45" t="s">
        <v>507</v>
      </c>
      <c r="E63" s="42" t="s">
        <v>392</v>
      </c>
      <c r="F63" s="144">
        <v>144679</v>
      </c>
      <c r="G63" s="144" t="s">
        <v>399</v>
      </c>
      <c r="H63" s="145" t="s">
        <v>394</v>
      </c>
    </row>
    <row r="64" spans="1:8" ht="12.75" customHeight="1">
      <c r="A64" s="47" t="s">
        <v>522</v>
      </c>
      <c r="B64" s="45" t="s">
        <v>523</v>
      </c>
      <c r="C64" s="45" t="s">
        <v>507</v>
      </c>
      <c r="E64" s="42" t="s">
        <v>392</v>
      </c>
      <c r="F64" s="142">
        <v>144679</v>
      </c>
      <c r="G64" s="142" t="s">
        <v>399</v>
      </c>
      <c r="H64" s="143" t="s">
        <v>394</v>
      </c>
    </row>
    <row r="65" spans="1:8" ht="12.75" customHeight="1">
      <c r="A65" t="s">
        <v>524</v>
      </c>
      <c r="B65" t="s">
        <v>525</v>
      </c>
      <c r="C65" t="s">
        <v>390</v>
      </c>
      <c r="D65" t="s">
        <v>391</v>
      </c>
      <c r="E65" s="42" t="s">
        <v>392</v>
      </c>
      <c r="F65" s="144">
        <v>105499</v>
      </c>
      <c r="G65" s="144" t="s">
        <v>399</v>
      </c>
      <c r="H65" s="145" t="s">
        <v>400</v>
      </c>
    </row>
    <row r="66" spans="1:8" ht="12.75" customHeight="1">
      <c r="A66" t="s">
        <v>526</v>
      </c>
      <c r="B66" t="s">
        <v>527</v>
      </c>
      <c r="C66" t="s">
        <v>390</v>
      </c>
      <c r="D66" t="s">
        <v>391</v>
      </c>
      <c r="E66" s="42" t="s">
        <v>392</v>
      </c>
      <c r="F66" s="142">
        <v>144486</v>
      </c>
      <c r="G66" s="142" t="s">
        <v>399</v>
      </c>
      <c r="H66" s="143" t="s">
        <v>400</v>
      </c>
    </row>
    <row r="67" spans="1:8" ht="12.75" customHeight="1">
      <c r="A67" t="s">
        <v>528</v>
      </c>
      <c r="B67" t="s">
        <v>529</v>
      </c>
      <c r="C67" t="s">
        <v>390</v>
      </c>
      <c r="D67" t="s">
        <v>391</v>
      </c>
      <c r="E67" s="42" t="s">
        <v>392</v>
      </c>
      <c r="F67" s="144">
        <v>199250</v>
      </c>
      <c r="G67" s="144" t="s">
        <v>399</v>
      </c>
      <c r="H67" s="145" t="s">
        <v>400</v>
      </c>
    </row>
    <row r="68" spans="1:8" ht="12.75" customHeight="1">
      <c r="A68" t="s">
        <v>530</v>
      </c>
      <c r="B68" t="s">
        <v>531</v>
      </c>
      <c r="C68" t="s">
        <v>390</v>
      </c>
      <c r="D68" t="s">
        <v>391</v>
      </c>
      <c r="E68" s="42" t="s">
        <v>392</v>
      </c>
      <c r="F68" s="142">
        <v>199506</v>
      </c>
      <c r="G68" s="142" t="s">
        <v>393</v>
      </c>
      <c r="H68" s="143" t="s">
        <v>394</v>
      </c>
    </row>
    <row r="69" spans="1:8" ht="12.75" customHeight="1">
      <c r="A69" t="s">
        <v>532</v>
      </c>
      <c r="B69" t="s">
        <v>533</v>
      </c>
      <c r="C69" t="s">
        <v>390</v>
      </c>
      <c r="D69" t="s">
        <v>391</v>
      </c>
      <c r="E69" t="s">
        <v>392</v>
      </c>
      <c r="F69" s="144">
        <v>101173</v>
      </c>
      <c r="G69" s="144" t="s">
        <v>393</v>
      </c>
      <c r="H69" s="145" t="s">
        <v>394</v>
      </c>
    </row>
    <row r="70" spans="1:8" ht="12.75" customHeight="1">
      <c r="A70" t="s">
        <v>534</v>
      </c>
      <c r="B70" t="s">
        <v>535</v>
      </c>
      <c r="C70" t="s">
        <v>390</v>
      </c>
      <c r="D70" t="s">
        <v>403</v>
      </c>
      <c r="E70" t="s">
        <v>392</v>
      </c>
      <c r="F70" s="142">
        <v>144507</v>
      </c>
      <c r="G70" s="142" t="s">
        <v>393</v>
      </c>
      <c r="H70" s="143" t="s">
        <v>394</v>
      </c>
    </row>
    <row r="71" spans="1:8" ht="12.75" customHeight="1">
      <c r="A71" t="s">
        <v>536</v>
      </c>
      <c r="B71" t="s">
        <v>537</v>
      </c>
      <c r="C71" t="s">
        <v>390</v>
      </c>
      <c r="D71" t="s">
        <v>403</v>
      </c>
      <c r="E71" t="s">
        <v>392</v>
      </c>
      <c r="F71" s="144">
        <v>191411</v>
      </c>
      <c r="G71" s="144" t="s">
        <v>393</v>
      </c>
      <c r="H71" s="145" t="s">
        <v>394</v>
      </c>
    </row>
    <row r="72" spans="1:8" ht="12.75" customHeight="1">
      <c r="A72" t="s">
        <v>538</v>
      </c>
      <c r="B72" t="s">
        <v>539</v>
      </c>
      <c r="C72" t="s">
        <v>390</v>
      </c>
      <c r="D72" t="s">
        <v>403</v>
      </c>
      <c r="E72" t="s">
        <v>392</v>
      </c>
      <c r="F72" s="142">
        <v>144410</v>
      </c>
      <c r="G72" s="142" t="s">
        <v>393</v>
      </c>
      <c r="H72" s="143" t="s">
        <v>394</v>
      </c>
    </row>
    <row r="73" spans="1:8" ht="12.75" customHeight="1">
      <c r="A73" t="s">
        <v>540</v>
      </c>
      <c r="B73" t="s">
        <v>541</v>
      </c>
      <c r="C73" t="s">
        <v>390</v>
      </c>
      <c r="D73" t="s">
        <v>391</v>
      </c>
      <c r="E73" t="s">
        <v>392</v>
      </c>
      <c r="F73" s="144">
        <v>199190</v>
      </c>
      <c r="G73" s="144" t="s">
        <v>393</v>
      </c>
      <c r="H73" s="145" t="s">
        <v>394</v>
      </c>
    </row>
    <row r="74" spans="1:8" ht="12.75" customHeight="1">
      <c r="A74" t="s">
        <v>542</v>
      </c>
      <c r="B74" t="s">
        <v>543</v>
      </c>
      <c r="C74" t="s">
        <v>390</v>
      </c>
      <c r="D74" t="s">
        <v>391</v>
      </c>
      <c r="E74" t="s">
        <v>392</v>
      </c>
      <c r="F74" s="142">
        <v>199487</v>
      </c>
      <c r="G74" s="142" t="s">
        <v>393</v>
      </c>
      <c r="H74" s="143" t="s">
        <v>394</v>
      </c>
    </row>
    <row r="75" spans="1:8" ht="12.75" customHeight="1">
      <c r="A75" t="s">
        <v>544</v>
      </c>
      <c r="B75" t="s">
        <v>545</v>
      </c>
      <c r="C75" t="s">
        <v>390</v>
      </c>
      <c r="D75" t="s">
        <v>391</v>
      </c>
      <c r="E75" t="s">
        <v>392</v>
      </c>
      <c r="F75" s="144">
        <v>199892</v>
      </c>
      <c r="G75" s="144" t="s">
        <v>393</v>
      </c>
      <c r="H75" s="145" t="s">
        <v>394</v>
      </c>
    </row>
    <row r="76" spans="1:8" ht="12.75" customHeight="1">
      <c r="A76" t="s">
        <v>546</v>
      </c>
      <c r="B76" t="s">
        <v>547</v>
      </c>
      <c r="C76" t="s">
        <v>390</v>
      </c>
      <c r="D76" t="s">
        <v>391</v>
      </c>
      <c r="E76" t="s">
        <v>392</v>
      </c>
      <c r="F76" s="142">
        <v>199924</v>
      </c>
      <c r="G76" s="142" t="s">
        <v>393</v>
      </c>
      <c r="H76" s="143" t="s">
        <v>394</v>
      </c>
    </row>
    <row r="77" spans="1:8" ht="12.75" customHeight="1">
      <c r="A77" t="s">
        <v>548</v>
      </c>
      <c r="B77" t="s">
        <v>12</v>
      </c>
      <c r="C77" t="s">
        <v>549</v>
      </c>
      <c r="D77" t="s">
        <v>391</v>
      </c>
      <c r="E77" t="s">
        <v>392</v>
      </c>
      <c r="F77" s="144">
        <v>101497</v>
      </c>
      <c r="G77" s="144" t="s">
        <v>399</v>
      </c>
      <c r="H77" s="145" t="s">
        <v>400</v>
      </c>
    </row>
    <row r="78" spans="1:8" ht="12.75" customHeight="1">
      <c r="A78" t="s">
        <v>550</v>
      </c>
      <c r="B78" t="s">
        <v>551</v>
      </c>
      <c r="C78" t="s">
        <v>549</v>
      </c>
      <c r="D78" t="s">
        <v>391</v>
      </c>
      <c r="E78" t="s">
        <v>392</v>
      </c>
      <c r="F78" s="142">
        <v>101497</v>
      </c>
      <c r="G78" s="142" t="s">
        <v>399</v>
      </c>
      <c r="H78" s="143" t="s">
        <v>400</v>
      </c>
    </row>
    <row r="79" spans="1:8" ht="12.75" customHeight="1">
      <c r="A79" t="s">
        <v>552</v>
      </c>
      <c r="B79" t="s">
        <v>553</v>
      </c>
      <c r="C79" t="s">
        <v>549</v>
      </c>
      <c r="D79" t="s">
        <v>391</v>
      </c>
      <c r="E79" t="s">
        <v>392</v>
      </c>
      <c r="F79" s="144">
        <v>102073</v>
      </c>
      <c r="G79" s="144" t="s">
        <v>399</v>
      </c>
      <c r="H79" s="145" t="s">
        <v>400</v>
      </c>
    </row>
    <row r="80" spans="1:8" ht="12.75" customHeight="1">
      <c r="A80" t="s">
        <v>554</v>
      </c>
      <c r="B80" t="s">
        <v>555</v>
      </c>
      <c r="C80" t="s">
        <v>549</v>
      </c>
      <c r="D80" t="s">
        <v>391</v>
      </c>
      <c r="E80" t="s">
        <v>392</v>
      </c>
      <c r="F80" s="142">
        <v>102566</v>
      </c>
      <c r="G80" s="142" t="s">
        <v>399</v>
      </c>
      <c r="H80" s="143" t="s">
        <v>400</v>
      </c>
    </row>
    <row r="81" spans="1:8" ht="12.75" customHeight="1">
      <c r="A81" t="s">
        <v>556</v>
      </c>
      <c r="B81" t="s">
        <v>557</v>
      </c>
      <c r="C81" t="s">
        <v>549</v>
      </c>
      <c r="D81" t="s">
        <v>391</v>
      </c>
      <c r="E81" t="s">
        <v>392</v>
      </c>
      <c r="F81" s="144">
        <v>192010</v>
      </c>
      <c r="G81" s="144" t="s">
        <v>393</v>
      </c>
      <c r="H81" s="145" t="s">
        <v>394</v>
      </c>
    </row>
    <row r="82" spans="1:8" ht="12.75" customHeight="1">
      <c r="A82" t="s">
        <v>558</v>
      </c>
      <c r="B82" t="s">
        <v>559</v>
      </c>
      <c r="C82" t="s">
        <v>549</v>
      </c>
      <c r="D82" t="s">
        <v>391</v>
      </c>
      <c r="E82" t="s">
        <v>392</v>
      </c>
      <c r="F82" s="142">
        <v>192156</v>
      </c>
      <c r="G82" s="142" t="s">
        <v>393</v>
      </c>
      <c r="H82" s="143" t="s">
        <v>394</v>
      </c>
    </row>
    <row r="83" spans="1:8" ht="12.75" customHeight="1">
      <c r="A83" t="s">
        <v>560</v>
      </c>
      <c r="B83" t="s">
        <v>561</v>
      </c>
      <c r="C83" t="s">
        <v>549</v>
      </c>
      <c r="D83" t="s">
        <v>391</v>
      </c>
      <c r="E83" t="s">
        <v>392</v>
      </c>
      <c r="F83" s="144">
        <v>198359</v>
      </c>
      <c r="G83" s="144" t="s">
        <v>393</v>
      </c>
      <c r="H83" s="145" t="s">
        <v>394</v>
      </c>
    </row>
    <row r="84" spans="1:8" ht="12.75" customHeight="1">
      <c r="A84" t="s">
        <v>562</v>
      </c>
      <c r="B84" t="s">
        <v>563</v>
      </c>
      <c r="C84" t="s">
        <v>390</v>
      </c>
      <c r="E84" t="s">
        <v>392</v>
      </c>
      <c r="F84" s="142">
        <v>199502</v>
      </c>
      <c r="G84" s="142" t="s">
        <v>393</v>
      </c>
      <c r="H84" s="143" t="s">
        <v>394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68B6005A-2608-4E6F-80E0-6FA30A49176C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2025-10-22T05:53:09Z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