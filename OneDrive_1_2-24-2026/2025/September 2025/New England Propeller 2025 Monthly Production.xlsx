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3" documentId="13_ncr:1_{EE52ED33-28B5-4924-B998-B652A4E37FD7}" xr6:coauthVersionLast="47" xr6:coauthVersionMax="47" xr10:uidLastSave="{A20D9929-0CD0-493B-A2A6-83288196149F}"/>
  <bookViews>
    <workbookView xWindow="-108" yWindow="-108" windowWidth="23256" windowHeight="12456" tabRatio="866" firstSheet="13" activeTab="11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4" l="1"/>
  <c r="G4" i="30"/>
  <c r="G4" i="29"/>
  <c r="G4" i="18"/>
  <c r="G2" i="18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I4" i="4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G4" i="34" l="1"/>
  <c r="E4" i="18"/>
  <c r="F4" i="18" s="1"/>
  <c r="E4" i="30"/>
  <c r="F4" i="30" s="1"/>
  <c r="D4" i="34"/>
  <c r="D2" i="34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<sst xmlns="http://schemas.openxmlformats.org/spreadsheetml/2006/main" count="253" uniqueCount="62">
  <si>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</si>
  <si>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</si>
  <si>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</si>
  <si>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</si>
  <si>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</si>
  <si>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</si>
  <si>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</si>
  <si>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</si>
  <si>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</si>
  <si>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</si>
  <si>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</si>
  <si>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</si>
  <si>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</si>
  <si>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</si>
  <si>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</si>
  <si>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</si>
  <si>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</si>
  <si>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</si>
  <si>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</si>
  <si>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</si>
  <si>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</si>
  <si>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</si>
  <si>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</si>
  <si>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 Site was not started for production on 01/20, 01/21, 01/22 and low production 01/23, 01/24, 01/25 01/26 due to snow event.</t>
  </si>
  <si>
    <t>February Actual v. Expected</t>
  </si>
  <si>
    <t>February Actual v. Forecasted</t>
  </si>
  <si>
    <t>1. Site was not started for production on 02/09, 02/10, 02/11, 02/12, 02/13, 02/16 due to heavy snow.</t>
  </si>
  <si>
    <t>March Actual v. Expected</t>
  </si>
  <si>
    <t>March Actual v. Forecasted</t>
  </si>
  <si>
    <t>1.Low genaration on 03/05,03/17,03/24 due to rain.</t>
  </si>
  <si>
    <t>April Actual v. Expected</t>
  </si>
  <si>
    <t>April Actual v. Forecasted</t>
  </si>
  <si>
    <t>1. Site has low production on 04/03, 04/05, 04/06, 04/07, 04/12,  due to low irradiance.</t>
  </si>
  <si>
    <t>May Actual v. Expected</t>
  </si>
  <si>
    <t>May Actual v. Forecasted</t>
  </si>
  <si>
    <t>1. Site has low production on 05/04, 05/05, 05/06,05/09, 05/15, 05/21, 05/22, due to low irradiance.</t>
  </si>
  <si>
    <t>June Actual v. Expected</t>
  </si>
  <si>
    <t>June Actual v. Forecasted</t>
  </si>
  <si>
    <t>1. Site has low production on 06/09, 06/10, 06/17, 06/18 due to low irradiance.</t>
  </si>
  <si>
    <t>July Actual v. Expected</t>
  </si>
  <si>
    <t>July Actual v. Forecasted</t>
  </si>
  <si>
    <t>1. Site production was low on 09/07 and 09/25 due to rain and cloudy weather.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</si>
  <si>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</si>
  <si>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</si>
  <si>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</si>
  <si>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</si>
  <si>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</si>
  <si>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</si>
  <si>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</si>
  <si>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</si>
  <si>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</si>
  <si>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</si>
  <si>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</si>
  <si>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New England Propeller</t>
  </si>
  <si>
    <t>Site DAS Name</t>
  </si>
  <si>
    <t>Update</t>
  </si>
  <si>
    <t>DAS</t>
  </si>
  <si>
    <t>New England Propeller Services</t>
  </si>
  <si>
    <t>CT: East Haddam - New England Propeller</t>
  </si>
  <si>
    <t>CT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</si>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</sst>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9"/>
      <color rgb="FF000000"/>
      <name val="Arial"/>
      <family val="2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 style="thin">
        <color rgb="FF000000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3" fontId="35" fillId="46" borderId="12" xfId="0" applyNumberFormat="1" applyFont="1" applyFill="1" applyBorder="1" applyAlignment="1">
      <alignment vertical="center"/>
    </xf>
    <xf numFmtId="3" fontId="30" fillId="3" borderId="0" xfId="0" applyNumberFormat="1" applyFont="1" applyFill="1" applyAlignment="1">
      <alignment horizontal="center" vertical="center"/>
    </xf>
    <xf numFmtId="164" fontId="28" fillId="44" borderId="0" xfId="1" applyNumberFormat="1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0"/>
  <sheetViews>
    <sheetView workbookViewId="0">
      <pane xSplit="2" ySplit="3" topLeftCell="C4" activePane="bottomRight" state="frozen"/>
      <selection pane="bottomRight" activeCell="G4" sqref="G4"/>
      <selection pane="bottomLeft" activeCell="B13" sqref="B13"/>
      <selection pane="topRight" activeCell="B13" sqref="B1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New England Propeller</v>
      </c>
      <c r="B1" s="44"/>
      <c r="C1" s="44"/>
      <c r="D1" s="45" t="s">
        <v>0</v>
      </c>
      <c r="E1" s="45"/>
      <c r="F1" s="45"/>
      <c r="G1" s="43" t="s">
        <v>1</v>
      </c>
      <c r="H1" s="43"/>
      <c r="I1" s="43"/>
    </row>
    <row r="2" spans="1:9" ht="19.5" customHeight="1">
      <c r="A2" s="46" t="s">
        <v>2</v>
      </c>
      <c r="B2" s="46"/>
      <c r="C2" s="5">
        <f>SUM(C4:C58)</f>
        <v>101481.25</v>
      </c>
      <c r="D2" s="5">
        <f>SUM(D4:D58)</f>
        <v>0</v>
      </c>
      <c r="E2" s="5">
        <f>C2-D2</f>
        <v>101481.25</v>
      </c>
      <c r="F2" s="6">
        <f>IFERROR(E2/D2, 0)</f>
        <v>0</v>
      </c>
      <c r="G2" s="5">
        <f>SUM(G4:G58)</f>
        <v>120615.08199999999</v>
      </c>
      <c r="H2" s="7">
        <f>C2-G2</f>
        <v>-19133.831999999995</v>
      </c>
      <c r="I2" s="6">
        <f>IFERROR(H2/G2, 0)</f>
        <v>-0.15863548473979394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10" t="str" cm="1">
        <f t="array" ref="A4">Sites[Site]</f>
        <v>CT: East Haddam - New England Propeller</v>
      </c>
      <c r="B4" s="9" t="str" cm="1">
        <f t="array" ref="B4">Sites[State]</f>
        <v>CT</v>
      </c>
      <c r="C4" s="18">
        <f>SUM('1st Qtr'!C4, '2nd Qtr'!C4, '3rd Qtr'!C4, '4th Qtr'!C4)</f>
        <v>101481.25</v>
      </c>
      <c r="D4" s="11">
        <f>SUM('1st Qtr'!D4, '2nd Qtr'!D4, '3rd Qtr'!D4, '4th Qtr'!D4)</f>
        <v>0</v>
      </c>
      <c r="E4" s="11">
        <f>IF(AND(ISNUMBER(C4),ISNUMBER(D4)), C4-D4, "")</f>
        <v>101481.25</v>
      </c>
      <c r="F4" s="12" t="str">
        <f>IFERROR(E4/D4, "")</f>
        <v/>
      </c>
      <c r="G4" s="13">
        <f>SUM('1st Qtr'!G4, '2nd Qtr'!G4, '3rd Qtr'!G4, '4th Qtr'!G4)</f>
        <v>120615.08199999999</v>
      </c>
      <c r="H4" s="13">
        <f>SUM('1st Qtr'!H4, '2nd Qtr'!H4, '3rd Qtr'!H4, '4th Qtr'!H4)</f>
        <v>-19133.832000000002</v>
      </c>
      <c r="I4" s="14">
        <f>IFERROR(H4/G4, "")</f>
        <v>-0.158635484739794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58 I4:I58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00"/>
  <sheetViews>
    <sheetView workbookViewId="0">
      <pane xSplit="2" ySplit="3" topLeftCell="C4" activePane="bottomRight" state="frozen"/>
      <selection pane="bottomRight" activeCell="E19" sqref="E19"/>
      <selection pane="bottomLeft" activeCell="B13" sqref="B13"/>
      <selection pane="topRight" activeCell="B13" sqref="B1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New England Propeller</v>
      </c>
      <c r="B1" s="44"/>
      <c r="C1" s="44"/>
      <c r="D1" s="45" t="s">
        <v>10</v>
      </c>
      <c r="E1" s="45"/>
      <c r="F1" s="45"/>
      <c r="G1" s="43" t="s">
        <v>11</v>
      </c>
      <c r="H1" s="43"/>
      <c r="I1" s="43"/>
    </row>
    <row r="2" spans="1:9" ht="19.5" customHeight="1">
      <c r="A2" s="46" t="s">
        <v>2</v>
      </c>
      <c r="B2" s="46"/>
      <c r="C2" s="5">
        <f>SUM(C4:C58)</f>
        <v>21602.75</v>
      </c>
      <c r="D2" s="5">
        <f>SUM(D4:D58)</f>
        <v>0</v>
      </c>
      <c r="E2" s="5">
        <f>C2-D2</f>
        <v>21602.75</v>
      </c>
      <c r="F2" s="6">
        <f>IFERROR(E2/D2, 0)</f>
        <v>0</v>
      </c>
      <c r="G2" s="5">
        <f>SUM(G4:G58)</f>
        <v>27183.436000000002</v>
      </c>
      <c r="H2" s="7">
        <f>C2-G2</f>
        <v>-5580.6860000000015</v>
      </c>
      <c r="I2" s="6">
        <f>IFERROR(H2/G2, 0)</f>
        <v>-0.20529729942896113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CT: East Haddam - New England Propeller</v>
      </c>
      <c r="B4" s="9" t="str" cm="1">
        <f t="array" ref="B4">Sites[State]</f>
        <v>CT</v>
      </c>
      <c r="C4" s="18">
        <f>SUM(Jan!C4, Feb!C4, Mar!C4)</f>
        <v>21602.75</v>
      </c>
      <c r="D4" s="11">
        <f>SUM(Jan!D4, Feb!D4, Mar!D4)</f>
        <v>0</v>
      </c>
      <c r="E4" s="11">
        <f>IF(AND(ISNUMBER(C4),ISNUMBER(D4)), C4-D4, "")</f>
        <v>21602.75</v>
      </c>
      <c r="F4" s="12" t="str">
        <f>IFERROR(E4/D4, "")</f>
        <v/>
      </c>
      <c r="G4" s="13">
        <f>SUM(Jan!G4, Feb!G4, Mar!G4)</f>
        <v>27183.436000000002</v>
      </c>
      <c r="H4" s="13">
        <f>SUM(Jan!H4, Feb!H4, Mar!H4)</f>
        <v>-5580.6860000000006</v>
      </c>
      <c r="I4" s="14">
        <f>IFERROR(H4/G4, "")</f>
        <v>-0.20529729942896108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58 I4:I5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00"/>
  <sheetViews>
    <sheetView workbookViewId="0">
      <pane xSplit="2" ySplit="3" topLeftCell="C4" activePane="bottomRight" state="frozen"/>
      <selection pane="bottomRight" activeCell="G4" sqref="G4"/>
      <selection pane="bottomLeft" activeCell="B13" sqref="B13"/>
      <selection pane="topRight" activeCell="B13" sqref="B1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New England Propeller</v>
      </c>
      <c r="B1" s="44"/>
      <c r="C1" s="44"/>
      <c r="D1" s="45" t="s">
        <v>12</v>
      </c>
      <c r="E1" s="45"/>
      <c r="F1" s="45"/>
      <c r="G1" s="43" t="s">
        <v>13</v>
      </c>
      <c r="H1" s="43"/>
      <c r="I1" s="43"/>
    </row>
    <row r="2" spans="1:9" ht="19.5" customHeight="1">
      <c r="A2" s="46" t="s">
        <v>2</v>
      </c>
      <c r="B2" s="46"/>
      <c r="C2" s="5">
        <f>SUM(C4:C58)</f>
        <v>38549.25</v>
      </c>
      <c r="D2" s="5">
        <f>SUM(D4:D58)</f>
        <v>0</v>
      </c>
      <c r="E2" s="5">
        <f>C2-D2</f>
        <v>38549.25</v>
      </c>
      <c r="F2" s="6">
        <f>IFERROR(E2/D2, 0)</f>
        <v>0</v>
      </c>
      <c r="G2" s="5">
        <f>SUM(G4:G58)</f>
        <v>48370.328999999998</v>
      </c>
      <c r="H2" s="7">
        <f>C2-G2</f>
        <v>-9821.0789999999979</v>
      </c>
      <c r="I2" s="6">
        <f>IFERROR(H2/G2, 0)</f>
        <v>-0.20303932602980637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CT: East Haddam - New England Propeller</v>
      </c>
      <c r="B4" s="9" t="str" cm="1">
        <f t="array" ref="B4">Sites[State]</f>
        <v>CT</v>
      </c>
      <c r="C4" s="18">
        <f>SUM(Apr!C4, May!C4, Jun!C4)</f>
        <v>38549.25</v>
      </c>
      <c r="D4" s="11">
        <f>SUM(Apr!D4, May!D4, Jun!D4)</f>
        <v>0</v>
      </c>
      <c r="E4" s="11">
        <f>IF(AND(ISNUMBER(C4),ISNUMBER(D4)), C4-D4, "")</f>
        <v>38549.25</v>
      </c>
      <c r="F4" s="12" t="str">
        <f>IFERROR(E4/D4, "")</f>
        <v/>
      </c>
      <c r="G4" s="13">
        <f>SUM(Apr!G4,May!G4,Jun!G4)</f>
        <v>48370.328999999998</v>
      </c>
      <c r="H4" s="13">
        <f>SUM(Apr!H4, May!H4, Jun!H4)</f>
        <v>-9821.0789999999979</v>
      </c>
      <c r="I4" s="14">
        <f>IFERROR(H4/G4, "")</f>
        <v>-0.20303932602980637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58 I4:I58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00"/>
  <sheetViews>
    <sheetView workbookViewId="0">
      <pane xSplit="2" ySplit="3" topLeftCell="C4" activePane="bottomRight" state="frozen"/>
      <selection pane="bottomRight" activeCell="G4" sqref="G4"/>
      <selection pane="bottomLeft" activeCell="B13" sqref="B13"/>
      <selection pane="topRight" activeCell="B13" sqref="B1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New England Propeller</v>
      </c>
      <c r="B1" s="44"/>
      <c r="C1" s="44"/>
      <c r="D1" s="45" t="s">
        <v>14</v>
      </c>
      <c r="E1" s="45"/>
      <c r="F1" s="45"/>
      <c r="G1" s="43" t="s">
        <v>15</v>
      </c>
      <c r="H1" s="43"/>
      <c r="I1" s="43"/>
    </row>
    <row r="2" spans="1:9" ht="19.5" customHeight="1">
      <c r="A2" s="46" t="s">
        <v>2</v>
      </c>
      <c r="B2" s="46"/>
      <c r="C2" s="5">
        <f>SUM(C4:C58)</f>
        <v>41329.25</v>
      </c>
      <c r="D2" s="5">
        <f>SUM(D4:D58)</f>
        <v>0</v>
      </c>
      <c r="E2" s="5">
        <f>C2-D2</f>
        <v>41329.25</v>
      </c>
      <c r="F2" s="6">
        <f>IFERROR(E2/D2, 0)</f>
        <v>0</v>
      </c>
      <c r="G2" s="5">
        <f>SUM(G4:G58)</f>
        <v>45061.317000000003</v>
      </c>
      <c r="H2" s="7">
        <f>C2-G2</f>
        <v>-3732.0670000000027</v>
      </c>
      <c r="I2" s="6">
        <f>IFERROR(H2/G2, 0)</f>
        <v>-8.2821969007252999E-2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CT: East Haddam - New England Propeller</v>
      </c>
      <c r="B4" s="9" t="str" cm="1">
        <f t="array" ref="B4">Sites[State]</f>
        <v>CT</v>
      </c>
      <c r="C4" s="18">
        <f>SUM(Jul!C4, Aug!C4, Sep!C4)</f>
        <v>41329.25</v>
      </c>
      <c r="D4" s="11">
        <f>SUM(Jul!D4, Aug!D4, Sep!D4)</f>
        <v>0</v>
      </c>
      <c r="E4" s="11">
        <f>IF(AND(ISNUMBER(C4),ISNUMBER(D4)), C4-D4, "")</f>
        <v>41329.25</v>
      </c>
      <c r="F4" s="12" t="str">
        <f>IFERROR(E4/D4, "")</f>
        <v/>
      </c>
      <c r="G4" s="13">
        <f>SUM(Jul!G4,Aug!G4,Sep!G4)</f>
        <v>45061.317000000003</v>
      </c>
      <c r="H4" s="13">
        <f>SUM(Jul!H4, Aug!H4, Sep!H4)</f>
        <v>-3732.0670000000009</v>
      </c>
      <c r="I4" s="14">
        <f>IFERROR(H4/G4, "")</f>
        <v>-8.2821969007252957E-2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</sheetData>
  <mergeCells count="4">
    <mergeCell ref="G1:I1"/>
    <mergeCell ref="A1:C1"/>
    <mergeCell ref="D1:F1"/>
    <mergeCell ref="A2:B2"/>
  </mergeCells>
  <conditionalFormatting sqref="F2 I2 F4:F58 I4:I58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00"/>
  <sheetViews>
    <sheetView workbookViewId="0">
      <pane xSplit="2" ySplit="3" topLeftCell="C4" activePane="bottomRight" state="frozen"/>
      <selection pane="bottomRight" activeCell="G4" sqref="G4"/>
      <selection pane="bottomLeft" activeCell="B13" sqref="B13"/>
      <selection pane="topRight" activeCell="B13" sqref="B1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New England Propeller</v>
      </c>
      <c r="B1" s="44"/>
      <c r="C1" s="44"/>
      <c r="D1" s="45" t="s">
        <v>16</v>
      </c>
      <c r="E1" s="45"/>
      <c r="F1" s="45"/>
      <c r="G1" s="43" t="s">
        <v>17</v>
      </c>
      <c r="H1" s="43"/>
      <c r="I1" s="43"/>
    </row>
    <row r="2" spans="1:9" ht="19.5" customHeight="1">
      <c r="A2" s="46" t="s">
        <v>2</v>
      </c>
      <c r="B2" s="46"/>
      <c r="C2" s="5">
        <f>SUM(C4:C58)</f>
        <v>0</v>
      </c>
      <c r="D2" s="5">
        <f>SUM(D4:D58)</f>
        <v>0</v>
      </c>
      <c r="E2" s="5">
        <f>C2-D2</f>
        <v>0</v>
      </c>
      <c r="F2" s="6">
        <f>IFERROR(E2/D2, 0)</f>
        <v>0</v>
      </c>
      <c r="G2" s="5">
        <f>SUM(G4:G58)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CT: East Haddam - New England Propeller</v>
      </c>
      <c r="B4" s="9" t="str" cm="1">
        <f t="array" ref="B4">Sites[State]</f>
        <v>CT</v>
      </c>
      <c r="C4" s="18">
        <f>SUM(Oct!C4, Nov!C4, Dec!C4)</f>
        <v>0</v>
      </c>
      <c r="D4" s="11">
        <f>SUM(Oct!D4, Nov!D4, Dec!D4)</f>
        <v>0</v>
      </c>
      <c r="E4" s="11">
        <f>IF(AND(ISNUMBER(C4),ISNUMBER(D4)), C4-D4, "")</f>
        <v>0</v>
      </c>
      <c r="F4" s="12" t="str">
        <f>IFERROR(E4/D4, "")</f>
        <v/>
      </c>
      <c r="G4" s="13">
        <f>SUM(Oct!G4,Nov!G4,Dec!G4)</f>
        <v>0</v>
      </c>
      <c r="H4" s="13">
        <f>SUM(Oct!H4, Nov!H4, Dec!H4)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</sheetData>
  <mergeCells count="4">
    <mergeCell ref="G1:I1"/>
    <mergeCell ref="A1:C1"/>
    <mergeCell ref="D1:F1"/>
    <mergeCell ref="A2:B2"/>
  </mergeCells>
  <conditionalFormatting sqref="F2 I2 F4:F58 I4:I58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299"/>
  <sheetViews>
    <sheetView workbookViewId="0">
      <pane xSplit="2" ySplit="3" topLeftCell="C4" activePane="bottomRight" state="frozen"/>
      <selection pane="bottomRight" activeCell="C11" sqref="C11"/>
      <selection pane="bottomLeft" activeCell="B13" sqref="B13"/>
      <selection pane="topRight" activeCell="B13" sqref="B13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New England Propeller</v>
      </c>
      <c r="B1" s="44"/>
      <c r="C1" s="44"/>
      <c r="D1" s="45" t="s">
        <v>18</v>
      </c>
      <c r="E1" s="45"/>
      <c r="F1" s="45"/>
      <c r="G1" s="43" t="s">
        <v>19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SUM(C4:C57)</f>
        <v>4554.75</v>
      </c>
      <c r="D2" s="5">
        <f>SUM(D4:D57)</f>
        <v>0</v>
      </c>
      <c r="E2" s="5">
        <f>C2-D2</f>
        <v>4554.75</v>
      </c>
      <c r="F2" s="6">
        <f>IFERROR(E2/D2, 0)</f>
        <v>0</v>
      </c>
      <c r="G2" s="5">
        <f>SUM(G4:G57)</f>
        <v>6298.7</v>
      </c>
      <c r="H2" s="7">
        <f>C2-G2</f>
        <v>-1743.9499999999998</v>
      </c>
      <c r="I2" s="6">
        <f>IFERROR(H2/G2, 0)</f>
        <v>-0.27687459317001917</v>
      </c>
      <c r="J2" s="20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1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31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30.75">
      <c r="A4" s="39" t="str" cm="1">
        <f t="array" ref="A4">Sites[Site]</f>
        <v>CT: East Haddam - New England Propeller</v>
      </c>
      <c r="B4" s="22" t="str" cm="1">
        <f t="array" ref="B4">Sites[State]</f>
        <v>CT</v>
      </c>
      <c r="C4" s="42">
        <v>4554.75</v>
      </c>
      <c r="D4" s="41" t="s">
        <v>22</v>
      </c>
      <c r="E4" s="11" t="str">
        <f>IF(AND(ISNUMBER(C4),ISNUMBER(D4)), C4-D4, "")</f>
        <v/>
      </c>
      <c r="F4" s="34" t="str">
        <f>IFERROR(E4/D4, "")</f>
        <v/>
      </c>
      <c r="G4" s="40">
        <v>6298.7</v>
      </c>
      <c r="H4" s="13">
        <f>IF(AND(ISNUMBER(C4),ISNUMBER(G4)), C4-G4, "")</f>
        <v>-1743.9499999999998</v>
      </c>
      <c r="I4" s="14">
        <f>IFERROR(H4/G4, "")</f>
        <v>-0.27687459317001917</v>
      </c>
      <c r="J4" s="32" t="s">
        <v>23</v>
      </c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</sheetData>
  <mergeCells count="4">
    <mergeCell ref="D1:F1"/>
    <mergeCell ref="A1:C1"/>
    <mergeCell ref="G1:I1"/>
    <mergeCell ref="A2:B2"/>
  </mergeCells>
  <conditionalFormatting sqref="F2 I2 I4:I57 F5:F57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00"/>
  <sheetViews>
    <sheetView workbookViewId="0">
      <pane xSplit="2" ySplit="3" topLeftCell="D4" activePane="bottomRight" state="frozen"/>
      <selection pane="bottomRight" activeCell="D11" sqref="D11"/>
      <selection pane="bottomLeft" activeCell="H18" sqref="H18"/>
      <selection pane="topRight" activeCell="H18" sqref="H18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New England Propeller</v>
      </c>
      <c r="B1" s="44"/>
      <c r="C1" s="44"/>
      <c r="D1" s="45" t="s">
        <v>24</v>
      </c>
      <c r="E1" s="45"/>
      <c r="F1" s="45"/>
      <c r="G1" s="43" t="s">
        <v>25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SUM(C4:C58)</f>
        <v>6076</v>
      </c>
      <c r="D2" s="5">
        <f>SUM(D4:D58)</f>
        <v>0</v>
      </c>
      <c r="E2" s="5">
        <f>C2-D2</f>
        <v>6076</v>
      </c>
      <c r="F2" s="6">
        <f>IFERROR(E2/D2, 0)</f>
        <v>0</v>
      </c>
      <c r="G2" s="5">
        <f>SUM(G4:G58)</f>
        <v>8170.6</v>
      </c>
      <c r="H2" s="7">
        <f>C2-G2</f>
        <v>-2094.6000000000004</v>
      </c>
      <c r="I2" s="6">
        <f>IFERROR(H2/G2, 0)</f>
        <v>-0.25635816219127117</v>
      </c>
      <c r="J2" s="20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28.9">
      <c r="A4" s="39" t="str" cm="1">
        <f t="array" ref="A4">Sites[Site]</f>
        <v>CT: East Haddam - New England Propeller</v>
      </c>
      <c r="B4" s="22" t="str" cm="1">
        <f t="array" ref="B4">Sites[State]</f>
        <v>CT</v>
      </c>
      <c r="C4" s="18">
        <v>6076</v>
      </c>
      <c r="D4" s="41" t="s">
        <v>22</v>
      </c>
      <c r="E4" s="11" t="str">
        <f>IF(AND(ISNUMBER(C4),ISNUMBER(D4)), C4-D4, "")</f>
        <v/>
      </c>
      <c r="F4" s="12" t="str">
        <f>IFERROR(E4/D4, "")</f>
        <v/>
      </c>
      <c r="G4" s="13">
        <v>8170.6</v>
      </c>
      <c r="H4" s="13">
        <f>IF(AND(ISNUMBER(C4),ISNUMBER(G4)), C4-G4, "")</f>
        <v>-2094.6000000000004</v>
      </c>
      <c r="I4" s="14">
        <f>IFERROR(H4/G4, "")</f>
        <v>-0.25635816219127117</v>
      </c>
      <c r="J4" s="32" t="s">
        <v>26</v>
      </c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C300" s="15"/>
      <c r="D300" s="15"/>
      <c r="E300" s="15"/>
      <c r="F300" s="16"/>
      <c r="G300" s="15"/>
      <c r="H300" s="15"/>
      <c r="I300" s="16"/>
      <c r="J300" s="15"/>
      <c r="K300" s="15"/>
    </row>
  </sheetData>
  <mergeCells count="4">
    <mergeCell ref="G1:I1"/>
    <mergeCell ref="A1:C1"/>
    <mergeCell ref="D1:F1"/>
    <mergeCell ref="A2:B2"/>
  </mergeCells>
  <conditionalFormatting sqref="F2 I2 F4:F58 I4:I58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00"/>
  <sheetViews>
    <sheetView zoomScale="80" zoomScaleNormal="80" workbookViewId="0">
      <pane xSplit="2" ySplit="3" topLeftCell="C4" activePane="bottomRight" state="frozen"/>
      <selection pane="bottomRight" activeCell="G20" sqref="G20"/>
      <selection pane="bottomLeft" activeCell="H18" sqref="H18"/>
      <selection pane="topRight" activeCell="H18" sqref="H18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New England Propeller</v>
      </c>
      <c r="B1" s="44"/>
      <c r="C1" s="44"/>
      <c r="D1" s="45" t="s">
        <v>27</v>
      </c>
      <c r="E1" s="45"/>
      <c r="F1" s="45"/>
      <c r="G1" s="43" t="s">
        <v>28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SUM(C4:C58)</f>
        <v>10972</v>
      </c>
      <c r="D2" s="5">
        <f>SUM(D4:D58)</f>
        <v>0</v>
      </c>
      <c r="E2" s="5">
        <f>C2-D2</f>
        <v>10972</v>
      </c>
      <c r="F2" s="6">
        <f>IFERROR(E2/D2, 0)</f>
        <v>0</v>
      </c>
      <c r="G2" s="5">
        <f>SUM(G4:G58)</f>
        <v>12714.136</v>
      </c>
      <c r="H2" s="7">
        <f>C2-G2</f>
        <v>-1742.1360000000004</v>
      </c>
      <c r="I2" s="6">
        <f>IFERROR(H2/G2, 0)</f>
        <v>-0.13702354607501449</v>
      </c>
      <c r="J2" s="20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East Haddam - New England Propeller</v>
      </c>
      <c r="B4" s="22" t="str" cm="1">
        <f t="array" ref="B4">Sites[State]</f>
        <v>CT</v>
      </c>
      <c r="C4" s="18">
        <v>10972</v>
      </c>
      <c r="D4" s="41" t="s">
        <v>22</v>
      </c>
      <c r="E4" s="11" t="str">
        <f>IF(AND(ISNUMBER(C4),ISNUMBER(D4)), C4-D4, "")</f>
        <v/>
      </c>
      <c r="F4" s="12" t="str">
        <f>IFERROR(E4/D4, "")</f>
        <v/>
      </c>
      <c r="G4" s="13">
        <v>12714.136</v>
      </c>
      <c r="H4" s="13">
        <f>IF(AND(ISNUMBER(C4),ISNUMBER(G4)), C4-G4, "")</f>
        <v>-1742.1360000000004</v>
      </c>
      <c r="I4" s="14">
        <f>IFERROR(H4/G4, "")</f>
        <v>-0.13702354607501449</v>
      </c>
      <c r="J4" s="32" t="s">
        <v>29</v>
      </c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C300" s="15"/>
      <c r="D300" s="15"/>
      <c r="E300" s="15"/>
      <c r="F300" s="16"/>
      <c r="G300" s="15"/>
      <c r="H300" s="15"/>
      <c r="I300" s="16"/>
      <c r="J300" s="15"/>
      <c r="K300" s="15"/>
    </row>
  </sheetData>
  <mergeCells count="4">
    <mergeCell ref="G1:I1"/>
    <mergeCell ref="A1:C1"/>
    <mergeCell ref="D1:F1"/>
    <mergeCell ref="A2:B2"/>
  </mergeCells>
  <conditionalFormatting sqref="F2 I2 F4:F58 I4:I58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00"/>
  <sheetViews>
    <sheetView zoomScale="80" zoomScaleNormal="80" workbookViewId="0">
      <pane xSplit="2" ySplit="3" topLeftCell="C4" activePane="bottomRight" state="frozen"/>
      <selection pane="bottomRight" activeCell="J4" sqref="J4"/>
      <selection pane="bottomLeft" activeCell="H18" sqref="H18"/>
      <selection pane="topRight" activeCell="H18" sqref="H18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New England Propeller</v>
      </c>
      <c r="B1" s="44"/>
      <c r="C1" s="44"/>
      <c r="D1" s="45" t="s">
        <v>30</v>
      </c>
      <c r="E1" s="45"/>
      <c r="F1" s="45"/>
      <c r="G1" s="43" t="s">
        <v>31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SUM(C4:C58)</f>
        <v>12540</v>
      </c>
      <c r="D2" s="5">
        <f>SUM(D4:D58)</f>
        <v>0</v>
      </c>
      <c r="E2" s="5">
        <f>C2-D2</f>
        <v>12540</v>
      </c>
      <c r="F2" s="6">
        <f>IFERROR(E2/D2, 0)</f>
        <v>0</v>
      </c>
      <c r="G2" s="5">
        <f>SUM(G4:G58)</f>
        <v>14384.657999999999</v>
      </c>
      <c r="H2" s="7">
        <f>C2-G2</f>
        <v>-1844.6579999999994</v>
      </c>
      <c r="I2" s="6">
        <f>IFERROR(H2/G2, 0)</f>
        <v>-0.12823787677120996</v>
      </c>
      <c r="J2" s="20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28.9">
      <c r="A4" s="23" t="str" cm="1">
        <f t="array" ref="A4">Sites[Site]</f>
        <v>CT: East Haddam - New England Propeller</v>
      </c>
      <c r="B4" s="22" t="str" cm="1">
        <f t="array" ref="B4">Sites[State]</f>
        <v>CT</v>
      </c>
      <c r="C4" s="18">
        <v>12540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13">
        <v>14384.657999999999</v>
      </c>
      <c r="H4" s="13">
        <f>IF(AND(ISNUMBER(C4),ISNUMBER(G4)), C4-G4, "")</f>
        <v>-1844.6579999999994</v>
      </c>
      <c r="I4" s="14">
        <f>IFERROR(H4/G4, "")</f>
        <v>-0.12823787677120996</v>
      </c>
      <c r="J4" s="32" t="s">
        <v>32</v>
      </c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C300" s="15"/>
      <c r="D300" s="15"/>
      <c r="E300" s="15"/>
      <c r="F300" s="16"/>
      <c r="G300" s="15"/>
      <c r="H300" s="15"/>
      <c r="I300" s="16"/>
      <c r="J300" s="15"/>
      <c r="K300" s="15"/>
    </row>
  </sheetData>
  <mergeCells count="4">
    <mergeCell ref="G1:I1"/>
    <mergeCell ref="A1:C1"/>
    <mergeCell ref="D1:F1"/>
    <mergeCell ref="A2:B2"/>
  </mergeCells>
  <conditionalFormatting sqref="F2 I2 F4:F58 I4:I58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00"/>
  <sheetViews>
    <sheetView workbookViewId="0">
      <pane xSplit="2" ySplit="3" topLeftCell="C4" activePane="bottomRight" state="frozen"/>
      <selection pane="bottomRight" activeCell="I29" sqref="I29"/>
      <selection pane="bottomLeft" activeCell="H18" sqref="H18"/>
      <selection pane="topRight" activeCell="H18" sqref="H18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New England Propeller</v>
      </c>
      <c r="B1" s="44"/>
      <c r="C1" s="44"/>
      <c r="D1" s="45" t="s">
        <v>33</v>
      </c>
      <c r="E1" s="45"/>
      <c r="F1" s="45"/>
      <c r="G1" s="43" t="s">
        <v>34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SUM(C4:C58)</f>
        <v>12431.5</v>
      </c>
      <c r="D2" s="5">
        <f>SUM(D4:D58)</f>
        <v>0</v>
      </c>
      <c r="E2" s="5">
        <f>C2-D2</f>
        <v>12431.5</v>
      </c>
      <c r="F2" s="6">
        <f>IFERROR(E2/D2, 0)</f>
        <v>0</v>
      </c>
      <c r="G2" s="5">
        <f>SUM(G4:G58)</f>
        <v>16962.787</v>
      </c>
      <c r="H2" s="7">
        <f>C2-G2</f>
        <v>-4531.2870000000003</v>
      </c>
      <c r="I2" s="6">
        <f>IFERROR(H2/G2, 0)</f>
        <v>-0.26713104397290377</v>
      </c>
      <c r="J2" s="20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28.9">
      <c r="A4" s="23" t="str" cm="1">
        <f t="array" ref="A4">Sites[Site]</f>
        <v>CT: East Haddam - New England Propeller</v>
      </c>
      <c r="B4" s="22" t="str" cm="1">
        <f t="array" ref="B4">Sites[State]</f>
        <v>CT</v>
      </c>
      <c r="C4" s="18">
        <v>12431.5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13">
        <v>16962.787</v>
      </c>
      <c r="H4" s="13">
        <f>IF(AND(ISNUMBER(C4),ISNUMBER(G4)), C4-G4, "")</f>
        <v>-4531.2870000000003</v>
      </c>
      <c r="I4" s="14">
        <f>IFERROR(H4/G4, "")</f>
        <v>-0.26713104397290377</v>
      </c>
      <c r="J4" s="32" t="s">
        <v>35</v>
      </c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C300" s="15"/>
      <c r="D300" s="15"/>
      <c r="E300" s="15"/>
      <c r="F300" s="16"/>
      <c r="G300" s="15"/>
      <c r="H300" s="15"/>
      <c r="I300" s="16"/>
      <c r="J300" s="15"/>
      <c r="K300" s="15"/>
    </row>
  </sheetData>
  <mergeCells count="4">
    <mergeCell ref="G1:I1"/>
    <mergeCell ref="A1:C1"/>
    <mergeCell ref="D1:F1"/>
    <mergeCell ref="A2:B2"/>
  </mergeCells>
  <conditionalFormatting sqref="F2 I2 F4:F58 I4:I58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00"/>
  <sheetViews>
    <sheetView workbookViewId="0">
      <pane xSplit="2" ySplit="3" topLeftCell="C4" activePane="bottomRight" state="frozen"/>
      <selection pane="bottomRight" activeCell="J4" sqref="J4"/>
      <selection pane="bottomLeft" activeCell="H18" sqref="H18"/>
      <selection pane="topRight" activeCell="H18" sqref="H18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New England Propeller</v>
      </c>
      <c r="B1" s="44"/>
      <c r="C1" s="44"/>
      <c r="D1" s="45" t="s">
        <v>36</v>
      </c>
      <c r="E1" s="45"/>
      <c r="F1" s="45"/>
      <c r="G1" s="43" t="s">
        <v>37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SUM(C4:C58)</f>
        <v>13577.75</v>
      </c>
      <c r="D2" s="5">
        <f>SUM(D4:D58)</f>
        <v>0</v>
      </c>
      <c r="E2" s="5">
        <f>C2-D2</f>
        <v>13577.75</v>
      </c>
      <c r="F2" s="6">
        <f>IFERROR(E2/D2, 0)</f>
        <v>0</v>
      </c>
      <c r="G2" s="5">
        <f>SUM(G4:G58)</f>
        <v>17022.883999999998</v>
      </c>
      <c r="H2" s="7">
        <f>C2-G2</f>
        <v>-3445.1339999999982</v>
      </c>
      <c r="I2" s="6">
        <f>IFERROR(H2/G2, 0)</f>
        <v>-0.20238251050762013</v>
      </c>
      <c r="J2" s="20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East Haddam - New England Propeller</v>
      </c>
      <c r="B4" s="22" t="str" cm="1">
        <f t="array" ref="B4">Sites[State]</f>
        <v>CT</v>
      </c>
      <c r="C4" s="18">
        <v>13577.75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13">
        <v>17022.883999999998</v>
      </c>
      <c r="H4" s="13">
        <f>IF(AND(ISNUMBER(C4),ISNUMBER(G4)), C4-G4, "")</f>
        <v>-3445.1339999999982</v>
      </c>
      <c r="I4" s="14">
        <f>IFERROR(H4/G4, "")</f>
        <v>-0.20238251050762013</v>
      </c>
      <c r="J4" s="32" t="s">
        <v>38</v>
      </c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C300" s="15"/>
      <c r="D300" s="15"/>
      <c r="E300" s="15"/>
      <c r="F300" s="16"/>
      <c r="G300" s="15"/>
      <c r="H300" s="15"/>
      <c r="I300" s="16"/>
      <c r="J300" s="15"/>
      <c r="K300" s="15"/>
    </row>
  </sheetData>
  <mergeCells count="4">
    <mergeCell ref="G1:I1"/>
    <mergeCell ref="A1:C1"/>
    <mergeCell ref="D1:F1"/>
    <mergeCell ref="A2:B2"/>
  </mergeCells>
  <conditionalFormatting sqref="F2 I2 F4:F58 I4:I58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00"/>
  <sheetViews>
    <sheetView tabSelected="1" workbookViewId="0">
      <pane xSplit="2" ySplit="3" topLeftCell="C4" activePane="bottomRight" state="frozen"/>
      <selection pane="bottomRight" activeCell="J4" sqref="J4"/>
      <selection pane="bottomLeft" activeCell="H18" sqref="H18"/>
      <selection pane="topRight" activeCell="H18" sqref="H18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New England Propeller</v>
      </c>
      <c r="B1" s="44"/>
      <c r="C1" s="44"/>
      <c r="D1" s="45" t="s">
        <v>39</v>
      </c>
      <c r="E1" s="45"/>
      <c r="F1" s="45"/>
      <c r="G1" s="43" t="s">
        <v>40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SUM(C4:C58)</f>
        <v>14744.75</v>
      </c>
      <c r="D2" s="5">
        <f>SUM(D4:D58)</f>
        <v>0</v>
      </c>
      <c r="E2" s="5">
        <f>C2-D2</f>
        <v>14744.75</v>
      </c>
      <c r="F2" s="6">
        <f>IFERROR(E2/D2, 0)</f>
        <v>0</v>
      </c>
      <c r="G2" s="5">
        <f>SUM(G4:G58)</f>
        <v>16779</v>
      </c>
      <c r="H2" s="7">
        <f>C2-G2</f>
        <v>-2034.25</v>
      </c>
      <c r="I2" s="6">
        <f>IFERROR(H2/G2, 0)</f>
        <v>-0.1212378568448656</v>
      </c>
      <c r="J2" s="20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75">
      <c r="A4" s="23" t="str" cm="1">
        <f t="array" ref="A4">Sites[Site]</f>
        <v>CT: East Haddam - New England Propeller</v>
      </c>
      <c r="B4" s="22" t="str" cm="1">
        <f t="array" ref="B4">Sites[State]</f>
        <v>CT</v>
      </c>
      <c r="C4" s="18">
        <v>14744.75</v>
      </c>
      <c r="D4" s="11">
        <v>0</v>
      </c>
      <c r="E4" s="11">
        <f>IF(AND(ISNUMBER(C4),ISNUMBER(D4)), C4-D4, "")</f>
        <v>14744.75</v>
      </c>
      <c r="F4" s="12" t="str">
        <f>IFERROR(E4/D4, "")</f>
        <v/>
      </c>
      <c r="G4" s="13">
        <v>16779</v>
      </c>
      <c r="H4" s="13">
        <f>IF(AND(ISNUMBER(C4),ISNUMBER(G4)), C4-G4, "")</f>
        <v>-2034.25</v>
      </c>
      <c r="I4" s="14">
        <f>IFERROR(H4/G4, "")</f>
        <v>-0.1212378568448656</v>
      </c>
      <c r="J4" s="32" t="s">
        <v>41</v>
      </c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C300" s="15"/>
      <c r="D300" s="15"/>
      <c r="E300" s="15"/>
      <c r="F300" s="16"/>
      <c r="G300" s="15"/>
      <c r="H300" s="15"/>
      <c r="I300" s="16"/>
      <c r="J300" s="15"/>
      <c r="K300" s="15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58 I4:I58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00"/>
  <sheetViews>
    <sheetView workbookViewId="0">
      <pane xSplit="2" ySplit="3" topLeftCell="C4" activePane="bottomRight" state="frozen"/>
      <selection pane="bottomRight" activeCell="G11" sqref="G11"/>
      <selection pane="bottomLeft" activeCell="H18" sqref="H18"/>
      <selection pane="topRight" activeCell="H18" sqref="H18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New England Propeller</v>
      </c>
      <c r="B1" s="44"/>
      <c r="C1" s="44"/>
      <c r="D1" s="45" t="s">
        <v>42</v>
      </c>
      <c r="E1" s="45"/>
      <c r="F1" s="45"/>
      <c r="G1" s="43" t="s">
        <v>43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SUM(C4:C58)</f>
        <v>15013</v>
      </c>
      <c r="D2" s="5">
        <f>SUM(D4:D58)</f>
        <v>0</v>
      </c>
      <c r="E2" s="5">
        <f>C2-D2</f>
        <v>15013</v>
      </c>
      <c r="F2" s="6">
        <f>IFERROR(E2/D2, 0)</f>
        <v>0</v>
      </c>
      <c r="G2" s="5">
        <f>SUM(G4:G58)</f>
        <v>15591.593000000001</v>
      </c>
      <c r="H2" s="7">
        <f>C2-G2</f>
        <v>-578.59300000000076</v>
      </c>
      <c r="I2" s="6">
        <f>IFERROR(H2/G2, 0)</f>
        <v>-3.7109293450643607E-2</v>
      </c>
      <c r="J2" s="20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East Haddam - New England Propeller</v>
      </c>
      <c r="B4" s="22" t="str" cm="1">
        <f t="array" ref="B4">Sites[State]</f>
        <v>CT</v>
      </c>
      <c r="C4" s="18">
        <v>15013</v>
      </c>
      <c r="D4" s="11">
        <v>0</v>
      </c>
      <c r="E4" s="11">
        <f>IF(AND(ISNUMBER(C4),ISNUMBER(D4)), C4-D4, "")</f>
        <v>15013</v>
      </c>
      <c r="F4" s="12" t="str">
        <f>IFERROR(E4/D4, "")</f>
        <v/>
      </c>
      <c r="G4" s="13">
        <v>15591.593000000001</v>
      </c>
      <c r="H4" s="13">
        <f>IF(AND(ISNUMBER(C4),ISNUMBER(G4)), C4-G4, "")</f>
        <v>-578.59300000000076</v>
      </c>
      <c r="I4" s="14">
        <f>IFERROR(H4/G4, "")</f>
        <v>-3.7109293450643607E-2</v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C300" s="15"/>
      <c r="D300" s="15"/>
      <c r="E300" s="15"/>
      <c r="F300" s="16"/>
      <c r="G300" s="15"/>
      <c r="H300" s="15"/>
      <c r="I300" s="16"/>
      <c r="J300" s="15"/>
      <c r="K300" s="15"/>
    </row>
  </sheetData>
  <mergeCells count="4">
    <mergeCell ref="G1:I1"/>
    <mergeCell ref="A1:C1"/>
    <mergeCell ref="D1:F1"/>
    <mergeCell ref="A2:B2"/>
  </mergeCells>
  <conditionalFormatting sqref="F2 I2 F4:F58 I4:I58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00"/>
  <sheetViews>
    <sheetView workbookViewId="0">
      <pane xSplit="2" ySplit="3" topLeftCell="C4" activePane="bottomRight" state="frozen"/>
      <selection pane="bottomRight" activeCell="I11" sqref="I11"/>
      <selection pane="bottomLeft" activeCell="H18" sqref="H18"/>
      <selection pane="topRight" activeCell="H18" sqref="H18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New England Propeller</v>
      </c>
      <c r="B1" s="44"/>
      <c r="C1" s="44"/>
      <c r="D1" s="45" t="s">
        <v>44</v>
      </c>
      <c r="E1" s="45"/>
      <c r="F1" s="45"/>
      <c r="G1" s="43" t="s">
        <v>45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SUM(C4:C58)</f>
        <v>11571.5</v>
      </c>
      <c r="D2" s="5">
        <f>SUM(D4:D58)</f>
        <v>0</v>
      </c>
      <c r="E2" s="5">
        <f>C2-D2</f>
        <v>11571.5</v>
      </c>
      <c r="F2" s="6">
        <f>IFERROR(E2/D2, 0)</f>
        <v>0</v>
      </c>
      <c r="G2" s="5">
        <f>SUM(G4:G58)</f>
        <v>12690.724</v>
      </c>
      <c r="H2" s="7">
        <f>C2-G2</f>
        <v>-1119.2240000000002</v>
      </c>
      <c r="I2" s="6">
        <f>IFERROR(H2/G2, 0)</f>
        <v>-8.8192289108170674E-2</v>
      </c>
      <c r="J2" s="20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East Haddam - New England Propeller</v>
      </c>
      <c r="B4" s="22" t="str" cm="1">
        <f t="array" ref="B4">Sites[State]</f>
        <v>CT</v>
      </c>
      <c r="C4" s="18">
        <v>11571.5</v>
      </c>
      <c r="D4" s="11">
        <v>0</v>
      </c>
      <c r="E4" s="11">
        <f>IF(AND(ISNUMBER(C4),ISNUMBER(D4)), C4-D4, "")</f>
        <v>11571.5</v>
      </c>
      <c r="F4" s="12" t="str">
        <f>IFERROR(E4/D4, "")</f>
        <v/>
      </c>
      <c r="G4" s="13">
        <v>12690.724</v>
      </c>
      <c r="H4" s="13">
        <f>IF(AND(ISNUMBER(C4),ISNUMBER(G4)), C4-G4, "")</f>
        <v>-1119.2240000000002</v>
      </c>
      <c r="I4" s="14">
        <f>IFERROR(H4/G4, "")</f>
        <v>-8.8192289108170674E-2</v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C300" s="15"/>
      <c r="D300" s="15"/>
      <c r="E300" s="15"/>
      <c r="F300" s="16"/>
      <c r="G300" s="15"/>
      <c r="H300" s="15"/>
      <c r="I300" s="16"/>
      <c r="J300" s="15"/>
      <c r="K300" s="15"/>
    </row>
  </sheetData>
  <mergeCells count="4">
    <mergeCell ref="G1:I1"/>
    <mergeCell ref="A1:C1"/>
    <mergeCell ref="D1:F1"/>
    <mergeCell ref="A2:B2"/>
  </mergeCells>
  <conditionalFormatting sqref="F2 I2 F4:F58 I4:I58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00"/>
  <sheetViews>
    <sheetView workbookViewId="0">
      <pane xSplit="2" ySplit="3" topLeftCell="C4" activePane="bottomRight" state="frozen"/>
      <selection pane="bottomRight" activeCell="H18" sqref="H18"/>
      <selection pane="bottomLeft" activeCell="H18" sqref="H18"/>
      <selection pane="topRight" activeCell="H18" sqref="H18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New England Propeller</v>
      </c>
      <c r="B1" s="44"/>
      <c r="C1" s="44"/>
      <c r="D1" s="45" t="s">
        <v>46</v>
      </c>
      <c r="E1" s="45"/>
      <c r="F1" s="45"/>
      <c r="G1" s="43" t="s">
        <v>47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SUM(C4:C58)</f>
        <v>0</v>
      </c>
      <c r="D2" s="5">
        <f>SUM(D4:D58)</f>
        <v>0</v>
      </c>
      <c r="E2" s="5">
        <f>C2-D2</f>
        <v>0</v>
      </c>
      <c r="F2" s="6">
        <f>IFERROR(E2/D2, 0)</f>
        <v>0</v>
      </c>
      <c r="G2" s="5">
        <f>SUM(G4:G58)</f>
        <v>0</v>
      </c>
      <c r="H2" s="7">
        <f>C2-G2</f>
        <v>0</v>
      </c>
      <c r="I2" s="6">
        <f>IFERROR(H2/G2, 0)</f>
        <v>0</v>
      </c>
      <c r="J2" s="20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East Haddam - New England Propeller</v>
      </c>
      <c r="B4" s="22" t="str" cm="1">
        <f t="array" ref="B4">Sites[State]</f>
        <v>CT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C300" s="15"/>
      <c r="D300" s="15"/>
      <c r="E300" s="15"/>
      <c r="F300" s="16"/>
      <c r="G300" s="15"/>
      <c r="H300" s="15"/>
      <c r="I300" s="16"/>
      <c r="J300" s="15"/>
      <c r="K300" s="15"/>
    </row>
  </sheetData>
  <mergeCells count="4">
    <mergeCell ref="G1:I1"/>
    <mergeCell ref="A1:C1"/>
    <mergeCell ref="D1:F1"/>
    <mergeCell ref="A2:B2"/>
  </mergeCells>
  <conditionalFormatting sqref="F2 I2 F4:F58 I4:I58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00"/>
  <sheetViews>
    <sheetView workbookViewId="0">
      <pane xSplit="2" ySplit="3" topLeftCell="C4" activePane="bottomRight" state="frozen"/>
      <selection pane="bottomRight" activeCell="H18" sqref="H18"/>
      <selection pane="bottomLeft" activeCell="H18" sqref="H18"/>
      <selection pane="topRight" activeCell="H18" sqref="H18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New England Propeller</v>
      </c>
      <c r="B1" s="44"/>
      <c r="C1" s="44"/>
      <c r="D1" s="45" t="s">
        <v>48</v>
      </c>
      <c r="E1" s="45"/>
      <c r="F1" s="45"/>
      <c r="G1" s="43" t="s">
        <v>49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SUM(C4:C58)</f>
        <v>0</v>
      </c>
      <c r="D2" s="5">
        <f>SUM(D4:D58)</f>
        <v>0</v>
      </c>
      <c r="E2" s="5">
        <f>C2-D2</f>
        <v>0</v>
      </c>
      <c r="F2" s="6">
        <f>IFERROR(E2/D2, 0)</f>
        <v>0</v>
      </c>
      <c r="G2" s="5">
        <f>SUM(G4:G58)</f>
        <v>0</v>
      </c>
      <c r="H2" s="7">
        <f>C2-G2</f>
        <v>0</v>
      </c>
      <c r="I2" s="6">
        <f>IFERROR(H2/G2, 0)</f>
        <v>0</v>
      </c>
      <c r="J2" s="20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East Haddam - New England Propeller</v>
      </c>
      <c r="B4" s="22" t="str" cm="1">
        <f t="array" ref="B4">Sites[State]</f>
        <v>CT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C300" s="15"/>
      <c r="D300" s="15"/>
      <c r="E300" s="15"/>
      <c r="F300" s="16"/>
      <c r="G300" s="15"/>
      <c r="H300" s="15"/>
      <c r="I300" s="16"/>
      <c r="J300" s="15"/>
      <c r="K300" s="15"/>
    </row>
  </sheetData>
  <mergeCells count="4">
    <mergeCell ref="G1:I1"/>
    <mergeCell ref="A1:C1"/>
    <mergeCell ref="D1:F1"/>
    <mergeCell ref="A2:B2"/>
  </mergeCells>
  <conditionalFormatting sqref="F2 I2 F4:F58 I4:I58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00"/>
  <sheetViews>
    <sheetView workbookViewId="0">
      <pane xSplit="2" ySplit="3" topLeftCell="C4" activePane="bottomRight" state="frozen"/>
      <selection pane="bottomRight" activeCell="H18" sqref="H18"/>
      <selection pane="bottomLeft" activeCell="H18" sqref="H18"/>
      <selection pane="topRight" activeCell="H18" sqref="H18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New England Propeller</v>
      </c>
      <c r="B1" s="44"/>
      <c r="C1" s="44"/>
      <c r="D1" s="45" t="s">
        <v>50</v>
      </c>
      <c r="E1" s="45"/>
      <c r="F1" s="45"/>
      <c r="G1" s="43" t="s">
        <v>51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SUM(C4:C58)</f>
        <v>0</v>
      </c>
      <c r="D2" s="5">
        <f>SUM(D4:D58)</f>
        <v>0</v>
      </c>
      <c r="E2" s="5">
        <f>C2-D2</f>
        <v>0</v>
      </c>
      <c r="F2" s="6">
        <f>IFERROR(E2/D2, 0)</f>
        <v>0</v>
      </c>
      <c r="G2" s="5">
        <f>SUM(G4:G58)</f>
        <v>0</v>
      </c>
      <c r="H2" s="7">
        <f>C2-G2</f>
        <v>0</v>
      </c>
      <c r="I2" s="6">
        <f>IFERROR(H2/G2, 0)</f>
        <v>0</v>
      </c>
      <c r="J2" s="20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East Haddam - New England Propeller</v>
      </c>
      <c r="B4" s="22" t="str" cm="1">
        <f t="array" ref="B4">Sites[State]</f>
        <v>CT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C300" s="15"/>
      <c r="D300" s="15"/>
      <c r="E300" s="15"/>
      <c r="F300" s="16"/>
      <c r="G300" s="15"/>
      <c r="H300" s="15"/>
      <c r="I300" s="16"/>
      <c r="J300" s="15"/>
      <c r="K300" s="15"/>
    </row>
  </sheetData>
  <mergeCells count="4">
    <mergeCell ref="G1:I1"/>
    <mergeCell ref="A1:C1"/>
    <mergeCell ref="D1:F1"/>
    <mergeCell ref="A2:B2"/>
  </mergeCells>
  <conditionalFormatting sqref="F2 I2 F4:F58 I4:I58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E11" sqref="E11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52</v>
      </c>
      <c r="B1" t="s">
        <v>53</v>
      </c>
    </row>
    <row r="3" spans="1:12" ht="13.15">
      <c r="A3" t="s">
        <v>54</v>
      </c>
      <c r="B3" t="s">
        <v>3</v>
      </c>
      <c r="C3" t="s">
        <v>4</v>
      </c>
      <c r="D3" t="s">
        <v>55</v>
      </c>
      <c r="E3" s="2" t="s">
        <v>56</v>
      </c>
    </row>
    <row r="4" spans="1:12" ht="14.45">
      <c r="A4" s="38" t="s">
        <v>57</v>
      </c>
      <c r="B4" t="s">
        <v>58</v>
      </c>
      <c r="C4" s="36" t="s">
        <v>59</v>
      </c>
      <c r="D4" s="35" t="s">
        <v>60</v>
      </c>
      <c r="E4" t="s">
        <v>61</v>
      </c>
      <c r="G4" s="3"/>
    </row>
    <row r="5" spans="1:12" ht="14.45">
      <c r="A5" s="38"/>
      <c r="C5" s="36"/>
      <c r="D5" s="35"/>
      <c r="G5" s="3"/>
    </row>
    <row r="6" spans="1:12" ht="14.45">
      <c r="A6" s="38"/>
      <c r="C6" s="36"/>
      <c r="D6" s="35"/>
      <c r="G6" s="3"/>
    </row>
    <row r="7" spans="1:12" ht="12.75" customHeight="1">
      <c r="A7" s="38"/>
      <c r="C7" s="36"/>
      <c r="D7" s="35"/>
    </row>
    <row r="8" spans="1:12" ht="12.75" customHeight="1">
      <c r="A8" s="38"/>
      <c r="C8" s="36"/>
      <c r="D8" s="35"/>
    </row>
    <row r="9" spans="1:12" ht="12.75" customHeight="1">
      <c r="A9" s="38"/>
      <c r="C9" s="36"/>
      <c r="D9" s="35"/>
    </row>
    <row r="10" spans="1:12" ht="12.75" customHeight="1">
      <c r="A10" s="38"/>
      <c r="C10" s="36"/>
      <c r="D10" s="35"/>
      <c r="K10" s="33"/>
      <c r="L10" s="33"/>
    </row>
    <row r="11" spans="1:12" ht="12.75" customHeight="1">
      <c r="A11" s="38"/>
      <c r="C11" s="36"/>
      <c r="D11" s="35"/>
      <c r="K11" s="33"/>
      <c r="L11" s="33"/>
    </row>
    <row r="12" spans="1:12" ht="12.75" customHeight="1">
      <c r="A12" s="38"/>
      <c r="C12" s="36"/>
      <c r="D12" s="35"/>
      <c r="K12" s="33"/>
      <c r="L12" s="33"/>
    </row>
    <row r="13" spans="1:12" ht="12.75" customHeight="1">
      <c r="A13" s="38"/>
      <c r="C13" s="36"/>
      <c r="D13" s="35"/>
      <c r="K13" s="33"/>
      <c r="L13" s="33"/>
    </row>
    <row r="14" spans="1:12" ht="12.75" customHeight="1">
      <c r="A14" s="38"/>
      <c r="C14" s="36"/>
      <c r="D14" s="35"/>
      <c r="K14" s="33"/>
      <c r="L14" s="33"/>
    </row>
    <row r="15" spans="1:12" ht="12.75" customHeight="1">
      <c r="A15" s="38"/>
      <c r="C15" s="36"/>
      <c r="D15" s="35"/>
      <c r="K15" s="33"/>
      <c r="L15" s="33"/>
    </row>
    <row r="16" spans="1:12" ht="12.75" customHeight="1">
      <c r="A16" s="38"/>
      <c r="C16" s="36"/>
      <c r="D16" s="35"/>
      <c r="K16" s="33"/>
      <c r="L16" s="33"/>
    </row>
    <row r="17" spans="1:12" ht="12.75" customHeight="1">
      <c r="A17" s="38"/>
      <c r="C17" s="36"/>
      <c r="D17" s="35"/>
      <c r="K17" s="33"/>
      <c r="L17" s="33"/>
    </row>
    <row r="18" spans="1:12" ht="12.75" customHeight="1">
      <c r="A18" s="38"/>
      <c r="C18" s="36"/>
      <c r="D18" s="35"/>
      <c r="K18" s="33"/>
      <c r="L18" s="33"/>
    </row>
    <row r="19" spans="1:12" ht="12.75" customHeight="1">
      <c r="A19" s="38"/>
      <c r="C19" s="36"/>
      <c r="D19" s="35"/>
      <c r="K19" s="33"/>
      <c r="L19" s="33"/>
    </row>
    <row r="20" spans="1:12" ht="12.75" customHeight="1">
      <c r="A20" s="38"/>
      <c r="C20" s="36"/>
      <c r="D20" s="35"/>
      <c r="K20" s="33"/>
      <c r="L20" s="33"/>
    </row>
    <row r="21" spans="1:12" ht="12.75" customHeight="1">
      <c r="A21" s="38"/>
      <c r="C21" s="36"/>
      <c r="D21" s="35"/>
      <c r="K21" s="33"/>
      <c r="L21" s="33"/>
    </row>
    <row r="22" spans="1:12" ht="12.75" customHeight="1">
      <c r="A22" s="38"/>
      <c r="C22" s="36"/>
      <c r="D22" s="35"/>
      <c r="K22" s="33"/>
      <c r="L22" s="33"/>
    </row>
    <row r="23" spans="1:12" ht="12.75" customHeight="1">
      <c r="A23" s="38"/>
      <c r="C23" s="36"/>
      <c r="D23" s="35"/>
      <c r="K23" s="33"/>
      <c r="L23" s="33"/>
    </row>
    <row r="24" spans="1:12" ht="12.75" customHeight="1">
      <c r="A24" s="38"/>
      <c r="C24" s="36"/>
      <c r="D24" s="35"/>
      <c r="K24" s="33"/>
      <c r="L24" s="33"/>
    </row>
    <row r="25" spans="1:12" ht="12.75" customHeight="1">
      <c r="A25" s="38"/>
      <c r="C25" s="36"/>
      <c r="D25" s="35"/>
      <c r="K25" s="33"/>
      <c r="L25" s="33"/>
    </row>
    <row r="26" spans="1:12" ht="12.75" customHeight="1">
      <c r="K26" s="33"/>
      <c r="L26" s="33"/>
    </row>
    <row r="27" spans="1:12" ht="12.75" customHeight="1">
      <c r="K27" s="33"/>
      <c r="L27" s="33"/>
    </row>
    <row r="28" spans="1:12" ht="12.75" customHeight="1">
      <c r="K28" s="33"/>
      <c r="L28" s="33"/>
    </row>
    <row r="29" spans="1:12" ht="12.75" customHeight="1">
      <c r="K29" s="33"/>
      <c r="L29" s="33"/>
    </row>
    <row r="30" spans="1:12" ht="12.75" customHeight="1">
      <c r="K30" s="33"/>
      <c r="L30" s="33"/>
    </row>
    <row r="31" spans="1:12" ht="12.75" customHeight="1">
      <c r="K31" s="33"/>
      <c r="L31" s="3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2.xml>��
</file>

<file path=customXml/item13.xml>��
</file>

<file path=customXml/item14.xml>��
</file>

<file path=customXml/item1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CB52044A-5C0B-44A2-99D0-C1C315EC302D}"/>
</file>

<file path=customXml/itemProps2.xml><?xml version="1.0" encoding="utf-8"?>
<ds:datastoreItem xmlns:ds="http://schemas.openxmlformats.org/officeDocument/2006/customXml" ds:itemID="{3AEAA9D8-2182-46BA-A58E-96C72DDA1C54}"/>
</file>

<file path=customXml/itemProps3.xml><?xml version="1.0" encoding="utf-8"?>
<ds:datastoreItem xmlns:ds="http://schemas.openxmlformats.org/officeDocument/2006/customXml" ds:itemID="{66B09F59-6532-46F8-924A-9A02417E070D}"/>
</file>

<file path=customXml/itemProps4.xml><?xml version="1.0" encoding="utf-8"?>
<ds:datastoreItem xmlns:ds="http://schemas.openxmlformats.org/officeDocument/2006/customXml" ds:itemID="{F7D51BC7-220D-4F57-A2CF-68C2F8C7B8CE}"/>
</file>

<file path=customXml/itemProps5.xml><?xml version="1.0" encoding="utf-8"?>
<ds:datastoreItem xmlns:ds="http://schemas.openxmlformats.org/officeDocument/2006/customXml" ds:itemID="{E20E8303-6A67-485C-B6F4-303542CC295C}"/>
</file>

<file path=customXml/itemProps6.xml><?xml version="1.0" encoding="utf-8"?>
<ds:datastoreItem xmlns:ds="http://schemas.openxmlformats.org/officeDocument/2006/customXml" ds:itemID="{14966E4F-347B-477B-B74C-9DAC05405806}"/>
</file>

<file path=customXml/itemProps7.xml><?xml version="1.0" encoding="utf-8"?>
<ds:datastoreItem xmlns:ds="http://schemas.openxmlformats.org/officeDocument/2006/customXml" ds:itemID="{F12EFA50-0068-4A8C-85A0-F1B26389EBC3}"/>
</file>

<file path=customXml/itemProps8.xml><?xml version="1.0" encoding="utf-8"?>
<ds:datastoreItem xmlns:ds="http://schemas.openxmlformats.org/officeDocument/2006/customXml" ds:itemID="{D3A7101F-9A85-4235-8B03-415370C100B2}"/>
</file>

<file path=customXml/itemProps9.xml><?xml version="1.0" encoding="utf-8"?>
<ds:datastoreItem xmlns:ds="http://schemas.openxmlformats.org/officeDocument/2006/customXml" ds:itemID="{2BC74AAC-D69B-4AF1-9649-B21EF3C1C463}"/>
</file>

<file path=customXml/itemProps10.xml><?xml version="1.0" encoding="utf-8"?>
<ds:datastoreItem xmlns:ds="http://schemas.openxmlformats.org/officeDocument/2006/customXml" ds:itemID="{0389C43E-394D-44C0-87DC-4780FCFCFB40}"/>
</file>

<file path=customXml/itemProps11.xml><?xml version="1.0" encoding="utf-8"?>
<ds:datastoreItem xmlns:ds="http://schemas.openxmlformats.org/officeDocument/2006/customXml" ds:itemID="{7946C510-7D04-49D8-9B25-EEC04582A1CA}"/>
</file>

<file path=customXml/itemProps12.xml><?xml version="1.0" encoding="utf-8"?>
<ds:datastoreItem xmlns:ds="http://schemas.openxmlformats.org/officeDocument/2006/customXml" ds:itemID="{89CF5C07-45EB-4100-9AFB-2C6AF77FA787}"/>
</file>

<file path=customXml/itemProps13.xml><?xml version="1.0" encoding="utf-8"?>
<ds:datastoreItem xmlns:ds="http://schemas.openxmlformats.org/officeDocument/2006/customXml" ds:itemID="{98A113BB-8B7A-453C-8BD4-8EFC67FC2D3F}"/>
</file>

<file path=customXml/itemProps14.xml><?xml version="1.0" encoding="utf-8"?>
<ds:datastoreItem xmlns:ds="http://schemas.openxmlformats.org/officeDocument/2006/customXml" ds:itemID="{BE26B669-A686-459C-A5E9-FEC3409C4C81}"/>
</file>

<file path=customXml/itemProps15.xml><?xml version="1.0" encoding="utf-8"?>
<ds:datastoreItem xmlns:ds="http://schemas.openxmlformats.org/officeDocument/2006/customXml" ds:itemID="{8D732231-4216-4543-A665-18A2886B0EB7}"/>
</file>

<file path=customXml/itemProps16.xml><?xml version="1.0" encoding="utf-8"?>
<ds:datastoreItem xmlns:ds="http://schemas.openxmlformats.org/officeDocument/2006/customXml" ds:itemID="{F6B2B1A1-1C4B-4AC9-9A7D-7A102DD1C942}"/>
</file>

<file path=customXml/itemProps17.xml><?xml version="1.0" encoding="utf-8"?>
<ds:datastoreItem xmlns:ds="http://schemas.openxmlformats.org/officeDocument/2006/customXml" ds:itemID="{BF5C6359-7763-4C37-8EAF-2BC4698CB285}"/>
</file>

<file path=customXml/itemProps18.xml><?xml version="1.0" encoding="utf-8"?>
<ds:datastoreItem xmlns:ds="http://schemas.openxmlformats.org/officeDocument/2006/customXml" ds:itemID="{078388C9-06F9-42F4-B857-EF76B5CAF1FD}"/>
</file>

<file path=customXml/itemProps19.xml><?xml version="1.0" encoding="utf-8"?>
<ds:datastoreItem xmlns:ds="http://schemas.openxmlformats.org/officeDocument/2006/customXml" ds:itemID="{E3716282-BFD2-4ED2-BA47-BFA1123827F0}"/>
</file>

<file path=customXml/itemProps20.xml><?xml version="1.0" encoding="utf-8"?>
<ds:datastoreItem xmlns:ds="http://schemas.openxmlformats.org/officeDocument/2006/customXml" ds:itemID="{1954BBA4-0359-438C-B0EC-A756015F7C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Deepak Mogilipalem[AGS]</cp:lastModifiedBy>
  <cp:revision/>
  <dcterms:created xsi:type="dcterms:W3CDTF">2021-01-01T16:39:53Z</dcterms:created>
  <dcterms:modified xsi:type="dcterms:W3CDTF">2025-10-09T06:40:59Z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