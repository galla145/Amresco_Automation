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B987FC44-EC21-49B1-84D1-1BDFB71006A6}" xr6:coauthVersionLast="47" xr6:coauthVersionMax="47" xr10:uidLastSave="{00000000-0000-0000-0000-000000000000}"/>
  <bookViews>
    <workbookView xWindow="-108" yWindow="-108" windowWidth="23256" windowHeight="12456" tabRatio="866" firstSheet="9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8" l="1"/>
  <c r="E4" i="21"/>
  <c r="F4" i="21" s="1"/>
  <c r="G4" i="30"/>
  <c r="G4" i="29"/>
  <c r="G2" i="29" s="1"/>
  <c r="G4" i="18"/>
  <c r="G2" i="18" s="1"/>
  <c r="H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F4" i="28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G2" i="21"/>
  <c r="D2" i="21"/>
  <c r="C2" i="21"/>
  <c r="A1" i="21" a="1"/>
  <c r="A1" i="21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2" i="30" l="1"/>
  <c r="G4" i="34"/>
  <c r="E4" i="30"/>
  <c r="F4" i="30" s="1"/>
  <c r="E4" i="18"/>
  <c r="F4" i="18" s="1"/>
  <c r="D4" i="34"/>
  <c r="D2" i="34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<sst xmlns="http://schemas.openxmlformats.org/spreadsheetml/2006/main" count="251" uniqueCount="64">
  <si>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</si>
  <si>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</si>
  <si>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</si>
  <si>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</si>
  <si>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</si>
  <si>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</si>
  <si>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</si>
  <si>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</si>
  <si>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</si>
  <si>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</si>
  <si>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</si>
  <si>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</si>
  <si>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</si>
  <si>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</si>
  <si>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</si>
  <si>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</si>
  <si>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</si>
  <si>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</si>
  <si>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</si>
  <si>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</si>
  <si>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</si>
  <si>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</si>
  <si>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1.The site went offline at 14:30 on 01/18 due to a utility outage and was restored at 09:15 on 01/19 after utility power was restored.
2.Site production low due to snow /weather</t>
  </si>
  <si>
    <t>1.SR095700</t>
  </si>
  <si>
    <t>February Actual v. Expected</t>
  </si>
  <si>
    <t>February Actual v. Forecasted</t>
  </si>
  <si>
    <t>1.The site went offline at 01:15 on 02/24 due to a utility outage and was restored at 12:30 on 02/26; it went offline again at 11:15 on 02/27 as Eversource took the solar offline due to a distribution line issue and was brought back online at 12:15 on 02/28 after the technician closed all three medium voltage line cutouts.</t>
  </si>
  <si>
    <t>1.SR097691, SR097895</t>
  </si>
  <si>
    <t>SR097895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</si>
  <si>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</si>
  <si>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</si>
  <si>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</si>
  <si>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</si>
  <si>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</si>
  <si>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</si>
  <si>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</si>
  <si>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</si>
  <si>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 xml:space="preserve">1.Site tripped offline and meter voltages dropped to 0 at 18:45 on 06/30 </t>
  </si>
  <si>
    <t>1.SR103801</t>
  </si>
  <si>
    <t>July Actual v. Expected</t>
  </si>
  <si>
    <t>July Actual v. Forecasted</t>
  </si>
  <si>
    <t>1.Site tripped offline and meter voltages dropped to 0 at 18:45 on 06/30 and was back online at 08:45 on 07/01.</t>
  </si>
  <si>
    <t>1.SR107183</t>
  </si>
  <si>
    <t>August Actual v. Expected</t>
  </si>
  <si>
    <t>August Actual v. Forecasted</t>
  </si>
  <si>
    <t>1. The plant is performing as expected. The forecasted (theoretical) values may appear lower and they are based on long-term average weather data (typically over 10–15 years). In contrast, the actual vs. expected generation reflects real-time weather conditions during the period, offering a more accurate representation of current performance.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</si>
  <si>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</si>
  <si>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</si>
  <si>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</si>
  <si>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</si>
  <si>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</si>
  <si>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</si>
  <si>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</si>
  <si>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</si>
  <si>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</si>
  <si>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Mira corp</t>
  </si>
  <si>
    <t>Site DAS Name</t>
  </si>
  <si>
    <t>Update</t>
  </si>
  <si>
    <t>DAS</t>
  </si>
  <si>
    <t>Hartford Landfill</t>
  </si>
  <si>
    <t>CT: Hartford Landfill - MIRA</t>
  </si>
  <si>
    <t>CT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</si>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</sst>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4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5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34" fillId="40" borderId="0" xfId="0" applyFont="1" applyFill="1" applyAlignment="1">
      <alignment horizontal="center" vertical="center"/>
    </xf>
    <xf numFmtId="49" fontId="35" fillId="38" borderId="0" xfId="45" applyNumberFormat="1" applyFill="1" applyBorder="1" applyAlignment="1">
      <alignment vertical="top" wrapText="1"/>
    </xf>
    <xf numFmtId="0" fontId="35" fillId="0" borderId="0" xfId="45" applyAlignment="1">
      <alignment horizontal="left" vertical="top"/>
    </xf>
    <xf numFmtId="3" fontId="30" fillId="3" borderId="0" xfId="0" applyNumberFormat="1" applyFont="1" applyFill="1" applyAlignment="1">
      <alignment horizontal="right" vertical="center" wrapText="1"/>
    </xf>
    <xf numFmtId="49" fontId="30" fillId="38" borderId="0" xfId="2" applyNumberFormat="1" applyFont="1" applyFill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8" dataCellStyle="Normal 2"/>
    <tableColumn id="1" xr3:uid="{9A753695-C18C-437C-AD9C-C2CE5C1A806E}" name="Site" dataDxfId="37" dataCellStyle="Normal 2"/>
    <tableColumn id="2" xr3:uid="{250F229D-34D2-4043-BE8F-6D9C210E223F}" name="State" dataDxfId="36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7895" TargetMode="External"/><Relationship Id="rId1" Type="http://schemas.openxmlformats.org/officeDocument/2006/relationships/hyperlink" Target="https://us3.assetplanner.com/service_request?ID=097691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3801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7183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3"/>
  <sheetViews>
    <sheetView workbookViewId="0">
      <pane xSplit="2" ySplit="3" topLeftCell="C4" activePane="bottomRight" state="frozen"/>
      <selection pane="topRight" activeCell="A11" sqref="A11"/>
      <selection pane="bottomLeft" activeCell="A11" sqref="A11"/>
      <selection pane="bottomRight" activeCell="E11" sqref="E11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5" t="str" cm="1">
        <f t="array" ref="A1">portfolio</f>
        <v>Mira corp</v>
      </c>
      <c r="B1" s="45"/>
      <c r="C1" s="45"/>
      <c r="D1" s="46" t="s">
        <v>0</v>
      </c>
      <c r="E1" s="46"/>
      <c r="F1" s="46"/>
      <c r="G1" s="44" t="s">
        <v>1</v>
      </c>
      <c r="H1" s="44"/>
      <c r="I1" s="44"/>
    </row>
    <row r="2" spans="1:9" ht="19.5" customHeight="1" x14ac:dyDescent="0.25">
      <c r="A2" s="47" t="s">
        <v>2</v>
      </c>
      <c r="B2" s="47"/>
      <c r="C2" s="5">
        <f>SUM(C4:C71)</f>
        <v>1146241</v>
      </c>
      <c r="D2" s="5">
        <f>SUM(D4:D71)</f>
        <v>1179663.2310000001</v>
      </c>
      <c r="E2" s="5">
        <f>C2-D2</f>
        <v>-33422.231000000145</v>
      </c>
      <c r="F2" s="6">
        <f>IFERROR(E2/D2, 0)</f>
        <v>-2.8332010460026064E-2</v>
      </c>
      <c r="G2" s="5">
        <f>SUM(G4:G71)</f>
        <v>979405.04899999988</v>
      </c>
      <c r="H2" s="7">
        <f>C2-G2</f>
        <v>166835.95100000012</v>
      </c>
      <c r="I2" s="6">
        <f>IFERROR(H2/G2, 0)</f>
        <v>0.17034418106210941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10" t="str" cm="1">
        <f t="array" ref="A4">Sites[Site]</f>
        <v>CT: Hartford Landfill - MIRA</v>
      </c>
      <c r="B4" s="9" t="str" cm="1">
        <f t="array" ref="B4">Sites[State]</f>
        <v>CT</v>
      </c>
      <c r="C4" s="18">
        <f>SUM('1st Qtr'!C4, '2nd Qtr'!C4, '3rd Qtr'!C4, '4th Qtr'!C4)</f>
        <v>1146241</v>
      </c>
      <c r="D4" s="11">
        <f>SUM('1st Qtr'!D4, '2nd Qtr'!D4, '3rd Qtr'!D4, '4th Qtr'!D4)</f>
        <v>1179663.2310000001</v>
      </c>
      <c r="E4" s="11">
        <f>IF(AND(ISNUMBER(C4),ISNUMBER(D4)), C4-D4, "")</f>
        <v>-33422.231000000145</v>
      </c>
      <c r="F4" s="12">
        <f>IFERROR(E4/D4, "")</f>
        <v>-2.8332010460026064E-2</v>
      </c>
      <c r="G4" s="13">
        <f>SUM('1st Qtr'!G4, '2nd Qtr'!G4, '3rd Qtr'!G4, '4th Qtr'!G4)</f>
        <v>979405.04899999988</v>
      </c>
      <c r="H4" s="13">
        <f>SUM('1st Qtr'!H4, '2nd Qtr'!H4, '3rd Qtr'!H4, '4th Qtr'!H4)</f>
        <v>166835.95100000003</v>
      </c>
      <c r="I4" s="14">
        <f>IFERROR(H4/G4, "")</f>
        <v>0.17034418106210933</v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8" x14ac:dyDescent="0.3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8" x14ac:dyDescent="0.3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8" x14ac:dyDescent="0.3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8" x14ac:dyDescent="0.3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8" x14ac:dyDescent="0.3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8" x14ac:dyDescent="0.3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8" x14ac:dyDescent="0.3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8" x14ac:dyDescent="0.3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8" x14ac:dyDescent="0.3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8" x14ac:dyDescent="0.3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8" x14ac:dyDescent="0.3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8" x14ac:dyDescent="0.3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8" x14ac:dyDescent="0.3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8" x14ac:dyDescent="0.3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8" x14ac:dyDescent="0.3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8" x14ac:dyDescent="0.3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8" x14ac:dyDescent="0.3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8" x14ac:dyDescent="0.3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8" x14ac:dyDescent="0.3">
      <c r="A313" s="15"/>
      <c r="B313" s="15"/>
      <c r="C313" s="15"/>
      <c r="D313" s="15"/>
      <c r="E313" s="15"/>
      <c r="F313" s="16"/>
      <c r="G313" s="15"/>
      <c r="H313" s="15"/>
      <c r="I313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1 I4:I71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3"/>
  <sheetViews>
    <sheetView workbookViewId="0">
      <pane xSplit="2" ySplit="3" topLeftCell="C4" activePane="bottomRight" state="frozen"/>
      <selection pane="topRight" activeCell="A11" sqref="A11"/>
      <selection pane="bottomLeft" activeCell="A11" sqref="A11"/>
      <selection pane="bottomRight" activeCell="G4" sqref="G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5" t="str" cm="1">
        <f t="array" ref="A1">portfolio</f>
        <v>Mira corp</v>
      </c>
      <c r="B1" s="45"/>
      <c r="C1" s="45"/>
      <c r="D1" s="46" t="s">
        <v>10</v>
      </c>
      <c r="E1" s="46"/>
      <c r="F1" s="46"/>
      <c r="G1" s="44" t="s">
        <v>11</v>
      </c>
      <c r="H1" s="44"/>
      <c r="I1" s="44"/>
    </row>
    <row r="2" spans="1:9" ht="19.5" customHeight="1" x14ac:dyDescent="0.25">
      <c r="A2" s="47" t="s">
        <v>2</v>
      </c>
      <c r="B2" s="47"/>
      <c r="C2" s="5">
        <f>SUM(C4:C71)</f>
        <v>292897</v>
      </c>
      <c r="D2" s="5">
        <f>SUM(D4:D71)</f>
        <v>354994.71600000001</v>
      </c>
      <c r="E2" s="5">
        <f>C2-D2</f>
        <v>-62097.716000000015</v>
      </c>
      <c r="F2" s="6">
        <f>IFERROR(E2/D2, 0)</f>
        <v>-0.1749257473454901</v>
      </c>
      <c r="G2" s="5">
        <f>SUM(G4:G71)</f>
        <v>213718.908</v>
      </c>
      <c r="H2" s="7">
        <f>C2-G2</f>
        <v>79178.092000000004</v>
      </c>
      <c r="I2" s="6">
        <f>IFERROR(H2/G2, 0)</f>
        <v>0.37047771178018563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6" t="str" cm="1">
        <f t="array" ref="A4">Sites[Site]</f>
        <v>CT: Hartford Landfill - MIRA</v>
      </c>
      <c r="B4" s="9" t="str" cm="1">
        <f t="array" ref="B4">Sites[State]</f>
        <v>CT</v>
      </c>
      <c r="C4" s="18">
        <f>SUM(Jan!C4, Feb!C4, Mar!C4)</f>
        <v>292897</v>
      </c>
      <c r="D4" s="11">
        <f>SUM(Jan!D4, Feb!D4, Mar!D4)</f>
        <v>354994.71600000001</v>
      </c>
      <c r="E4" s="11">
        <f>IF(AND(ISNUMBER(C4),ISNUMBER(D4)), C4-D4, "")</f>
        <v>-62097.716000000015</v>
      </c>
      <c r="F4" s="12">
        <f>IFERROR(E4/D4, "")</f>
        <v>-0.1749257473454901</v>
      </c>
      <c r="G4" s="13">
        <f>SUM(Jan!G4, Feb!G4, Mar!G4)</f>
        <v>213718.908</v>
      </c>
      <c r="H4" s="13">
        <f>SUM(Jan!H4, Feb!H4, Mar!H4)</f>
        <v>79178.092000000004</v>
      </c>
      <c r="I4" s="14">
        <f>IFERROR(H4/G4, "")</f>
        <v>0.37047771178018563</v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8" x14ac:dyDescent="0.3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8" x14ac:dyDescent="0.3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8" x14ac:dyDescent="0.3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8" x14ac:dyDescent="0.3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8" x14ac:dyDescent="0.3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8" x14ac:dyDescent="0.3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8" x14ac:dyDescent="0.3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8" x14ac:dyDescent="0.3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8" x14ac:dyDescent="0.3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8" x14ac:dyDescent="0.3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8" x14ac:dyDescent="0.3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8" x14ac:dyDescent="0.3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8" x14ac:dyDescent="0.3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8" x14ac:dyDescent="0.3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8" x14ac:dyDescent="0.3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8" x14ac:dyDescent="0.3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8" x14ac:dyDescent="0.3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8" x14ac:dyDescent="0.3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8" x14ac:dyDescent="0.3">
      <c r="A313" s="15"/>
      <c r="B313" s="15"/>
      <c r="C313" s="15"/>
      <c r="D313" s="15"/>
      <c r="E313" s="15"/>
      <c r="F313" s="16"/>
      <c r="G313" s="15"/>
      <c r="H313" s="15"/>
      <c r="I313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1 I4:I71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3"/>
  <sheetViews>
    <sheetView workbookViewId="0">
      <pane xSplit="2" ySplit="3" topLeftCell="G15" activePane="bottomRight" state="frozen"/>
      <selection pane="topRight" activeCell="A11" sqref="A11"/>
      <selection pane="bottomLeft" activeCell="A11" sqref="A11"/>
      <selection pane="bottomRight" activeCell="G15" sqref="G15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5" t="str" cm="1">
        <f t="array" ref="A1">portfolio</f>
        <v>Mira corp</v>
      </c>
      <c r="B1" s="45"/>
      <c r="C1" s="45"/>
      <c r="D1" s="46" t="s">
        <v>12</v>
      </c>
      <c r="E1" s="46"/>
      <c r="F1" s="46"/>
      <c r="G1" s="44" t="s">
        <v>13</v>
      </c>
      <c r="H1" s="44"/>
      <c r="I1" s="44"/>
    </row>
    <row r="2" spans="1:9" ht="19.5" customHeight="1" x14ac:dyDescent="0.25">
      <c r="A2" s="47" t="s">
        <v>2</v>
      </c>
      <c r="B2" s="47"/>
      <c r="C2" s="5">
        <f>SUM(C4:C71)</f>
        <v>403947</v>
      </c>
      <c r="D2" s="5">
        <f>SUM(D4:D71)</f>
        <v>384553.21599999996</v>
      </c>
      <c r="E2" s="5">
        <f>C2-D2</f>
        <v>19393.784000000043</v>
      </c>
      <c r="F2" s="6">
        <f>IFERROR(E2/D2, 0)</f>
        <v>5.0431990146196162E-2</v>
      </c>
      <c r="G2" s="5">
        <f>SUM(G4:G71)</f>
        <v>386340.14099999995</v>
      </c>
      <c r="H2" s="7">
        <f>C2-G2</f>
        <v>17606.859000000055</v>
      </c>
      <c r="I2" s="6">
        <f>IFERROR(H2/G2, 0)</f>
        <v>4.5573465274477025E-2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6" t="str" cm="1">
        <f t="array" ref="A4">Sites[Site]</f>
        <v>CT: Hartford Landfill - MIRA</v>
      </c>
      <c r="B4" s="9" t="str" cm="1">
        <f t="array" ref="B4">Sites[State]</f>
        <v>CT</v>
      </c>
      <c r="C4" s="18">
        <f>SUM(Apr!C4, May!C4, Jun!C4)</f>
        <v>403947</v>
      </c>
      <c r="D4" s="11">
        <f>SUM(Apr!D4, May!D4, Jun!D4)</f>
        <v>384553.21599999996</v>
      </c>
      <c r="E4" s="11">
        <f>IF(AND(ISNUMBER(C4),ISNUMBER(D4)), C4-D4, "")</f>
        <v>19393.784000000043</v>
      </c>
      <c r="F4" s="12">
        <f>IFERROR(E4/D4, "")</f>
        <v>5.0431990146196162E-2</v>
      </c>
      <c r="G4" s="13">
        <f>SUM(Apr!G4,May!G4,Jun!G4)</f>
        <v>386340.14099999995</v>
      </c>
      <c r="H4" s="13">
        <f>SUM(Apr!H4, May!H4, Jun!H4)</f>
        <v>17606.859000000026</v>
      </c>
      <c r="I4" s="14">
        <f>IFERROR(H4/G4, "")</f>
        <v>4.5573465274476949E-2</v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8" x14ac:dyDescent="0.3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8" x14ac:dyDescent="0.3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8" x14ac:dyDescent="0.3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8" x14ac:dyDescent="0.3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8" x14ac:dyDescent="0.3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8" x14ac:dyDescent="0.3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8" x14ac:dyDescent="0.3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8" x14ac:dyDescent="0.3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8" x14ac:dyDescent="0.3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8" x14ac:dyDescent="0.3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8" x14ac:dyDescent="0.3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8" x14ac:dyDescent="0.3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8" x14ac:dyDescent="0.3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8" x14ac:dyDescent="0.3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8" x14ac:dyDescent="0.3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8" x14ac:dyDescent="0.3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8" x14ac:dyDescent="0.3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8" x14ac:dyDescent="0.3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8" x14ac:dyDescent="0.3">
      <c r="A313" s="15"/>
      <c r="B313" s="15"/>
      <c r="C313" s="15"/>
      <c r="D313" s="15"/>
      <c r="E313" s="15"/>
      <c r="F313" s="16"/>
      <c r="G313" s="15"/>
      <c r="H313" s="15"/>
      <c r="I313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1 I4:I71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3"/>
  <sheetViews>
    <sheetView workbookViewId="0">
      <pane xSplit="2" ySplit="3" topLeftCell="C4" activePane="bottomRight" state="frozen"/>
      <selection pane="topRight" activeCell="A11" sqref="A11"/>
      <selection pane="bottomLeft" activeCell="A11" sqref="A11"/>
      <selection pane="bottomRight" activeCell="G10" sqref="G10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5" t="str" cm="1">
        <f t="array" ref="A1">portfolio</f>
        <v>Mira corp</v>
      </c>
      <c r="B1" s="45"/>
      <c r="C1" s="45"/>
      <c r="D1" s="46" t="s">
        <v>14</v>
      </c>
      <c r="E1" s="46"/>
      <c r="F1" s="46"/>
      <c r="G1" s="44" t="s">
        <v>15</v>
      </c>
      <c r="H1" s="44"/>
      <c r="I1" s="44"/>
    </row>
    <row r="2" spans="1:9" ht="19.5" customHeight="1" x14ac:dyDescent="0.25">
      <c r="A2" s="47" t="s">
        <v>2</v>
      </c>
      <c r="B2" s="47"/>
      <c r="C2" s="5">
        <f>SUM(C4:C71)</f>
        <v>449397</v>
      </c>
      <c r="D2" s="5">
        <f>SUM(D4:D71)</f>
        <v>440115.299</v>
      </c>
      <c r="E2" s="5">
        <f>C2-D2</f>
        <v>9281.7010000000009</v>
      </c>
      <c r="F2" s="6">
        <f>IFERROR(E2/D2, 0)</f>
        <v>2.1089248706166883E-2</v>
      </c>
      <c r="G2" s="5">
        <f>SUM(G4:G71)</f>
        <v>379346</v>
      </c>
      <c r="H2" s="7">
        <f>C2-G2</f>
        <v>70051</v>
      </c>
      <c r="I2" s="6">
        <f>IFERROR(H2/G2, 0)</f>
        <v>0.18466255081113284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6" t="str" cm="1">
        <f t="array" ref="A4">Sites[Site]</f>
        <v>CT: Hartford Landfill - MIRA</v>
      </c>
      <c r="B4" s="9" t="str" cm="1">
        <f t="array" ref="B4">Sites[State]</f>
        <v>CT</v>
      </c>
      <c r="C4" s="18">
        <f>SUM(Jul!C4, Aug!C4, Sep!C4)</f>
        <v>449397</v>
      </c>
      <c r="D4" s="11">
        <f>SUM(Jul!D4, Aug!D4, Sep!D4)</f>
        <v>440115.299</v>
      </c>
      <c r="E4" s="11">
        <f>IF(AND(ISNUMBER(C4),ISNUMBER(D4)), C4-D4, "")</f>
        <v>9281.7010000000009</v>
      </c>
      <c r="F4" s="12">
        <f>IFERROR(E4/D4, "")</f>
        <v>2.1089248706166883E-2</v>
      </c>
      <c r="G4" s="13">
        <f>SUM(Jul!G4,Aug!G4,Sep!G4)</f>
        <v>379346</v>
      </c>
      <c r="H4" s="13">
        <f>SUM(Jul!H4, Aug!H4, Sep!H4)</f>
        <v>70051</v>
      </c>
      <c r="I4" s="14">
        <f>IFERROR(H4/G4, "")</f>
        <v>0.18466255081113284</v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8" x14ac:dyDescent="0.3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8" x14ac:dyDescent="0.3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8" x14ac:dyDescent="0.3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8" x14ac:dyDescent="0.3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8" x14ac:dyDescent="0.3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8" x14ac:dyDescent="0.3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8" x14ac:dyDescent="0.3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8" x14ac:dyDescent="0.3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8" x14ac:dyDescent="0.3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8" x14ac:dyDescent="0.3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8" x14ac:dyDescent="0.3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8" x14ac:dyDescent="0.3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8" x14ac:dyDescent="0.3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8" x14ac:dyDescent="0.3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8" x14ac:dyDescent="0.3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8" x14ac:dyDescent="0.3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8" x14ac:dyDescent="0.3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8" x14ac:dyDescent="0.3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8" x14ac:dyDescent="0.3">
      <c r="A313" s="15"/>
      <c r="B313" s="15"/>
      <c r="C313" s="15"/>
      <c r="D313" s="15"/>
      <c r="E313" s="15"/>
      <c r="F313" s="16"/>
      <c r="G313" s="15"/>
      <c r="H313" s="15"/>
      <c r="I313" s="16"/>
    </row>
  </sheetData>
  <mergeCells count="4">
    <mergeCell ref="G1:I1"/>
    <mergeCell ref="A1:C1"/>
    <mergeCell ref="D1:F1"/>
    <mergeCell ref="A2:B2"/>
  </mergeCells>
  <conditionalFormatting sqref="F2 I2 F4:F71 I4:I71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3"/>
  <sheetViews>
    <sheetView workbookViewId="0">
      <pane xSplit="2" ySplit="3" topLeftCell="C4" activePane="bottomRight" state="frozen"/>
      <selection pane="topRight" activeCell="A11" sqref="A11"/>
      <selection pane="bottomLeft" activeCell="A11" sqref="A11"/>
      <selection pane="bottomRight" activeCell="G10" sqref="F10:G11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5" t="str" cm="1">
        <f t="array" ref="A1">portfolio</f>
        <v>Mira corp</v>
      </c>
      <c r="B1" s="45"/>
      <c r="C1" s="45"/>
      <c r="D1" s="46" t="s">
        <v>16</v>
      </c>
      <c r="E1" s="46"/>
      <c r="F1" s="46"/>
      <c r="G1" s="44" t="s">
        <v>17</v>
      </c>
      <c r="H1" s="44"/>
      <c r="I1" s="44"/>
    </row>
    <row r="2" spans="1:9" ht="19.5" customHeight="1" x14ac:dyDescent="0.25">
      <c r="A2" s="47" t="s">
        <v>2</v>
      </c>
      <c r="B2" s="47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6" t="str" cm="1">
        <f t="array" ref="A4">Sites[Site]</f>
        <v>CT: Hartford Landfill - MIRA</v>
      </c>
      <c r="B4" s="9" t="str" cm="1">
        <f t="array" ref="B4">Sites[State]</f>
        <v>CT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8" x14ac:dyDescent="0.3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8" x14ac:dyDescent="0.3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8" x14ac:dyDescent="0.3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8" x14ac:dyDescent="0.3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8" x14ac:dyDescent="0.3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8" x14ac:dyDescent="0.3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8" x14ac:dyDescent="0.3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8" x14ac:dyDescent="0.3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8" x14ac:dyDescent="0.3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8" x14ac:dyDescent="0.3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8" x14ac:dyDescent="0.3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8" x14ac:dyDescent="0.3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8" x14ac:dyDescent="0.3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8" x14ac:dyDescent="0.3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8" x14ac:dyDescent="0.3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8" x14ac:dyDescent="0.3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8" x14ac:dyDescent="0.3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8" x14ac:dyDescent="0.3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8" x14ac:dyDescent="0.3">
      <c r="A313" s="15"/>
      <c r="B313" s="15"/>
      <c r="C313" s="15"/>
      <c r="D313" s="15"/>
      <c r="E313" s="15"/>
      <c r="F313" s="16"/>
      <c r="G313" s="15"/>
      <c r="H313" s="15"/>
      <c r="I313" s="16"/>
    </row>
  </sheetData>
  <mergeCells count="4">
    <mergeCell ref="G1:I1"/>
    <mergeCell ref="A1:C1"/>
    <mergeCell ref="D1:F1"/>
    <mergeCell ref="A2:B2"/>
  </mergeCells>
  <conditionalFormatting sqref="F2 I2 F4:F71 I4:I71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2"/>
  <sheetViews>
    <sheetView zoomScale="90" zoomScaleNormal="90" workbookViewId="0">
      <pane xSplit="2" ySplit="3" topLeftCell="C4" activePane="bottomRight" state="frozen"/>
      <selection pane="topRight" activeCell="A11" sqref="A11"/>
      <selection pane="bottomLeft" activeCell="A11" sqref="A11"/>
      <selection pane="bottomRight" activeCell="G28" sqref="G28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5" t="str" cm="1">
        <f t="array" ref="A1">portfolio</f>
        <v>Mira corp</v>
      </c>
      <c r="B1" s="45"/>
      <c r="C1" s="45"/>
      <c r="D1" s="46" t="s">
        <v>18</v>
      </c>
      <c r="E1" s="46"/>
      <c r="F1" s="46"/>
      <c r="G1" s="44" t="s">
        <v>19</v>
      </c>
      <c r="H1" s="44"/>
      <c r="I1" s="44"/>
      <c r="J1" s="4"/>
      <c r="K1" s="4"/>
    </row>
    <row r="2" spans="1:11" ht="19.5" customHeight="1" x14ac:dyDescent="0.25">
      <c r="A2" s="47" t="s">
        <v>2</v>
      </c>
      <c r="B2" s="47"/>
      <c r="C2" s="5">
        <f>SUM(C4:C70)</f>
        <v>90505</v>
      </c>
      <c r="D2" s="5">
        <f>SUM(D4:D70)</f>
        <v>117865.95</v>
      </c>
      <c r="E2" s="5">
        <f>C2-D2</f>
        <v>-27360.949999999997</v>
      </c>
      <c r="F2" s="6">
        <f>IFERROR(E2/D2, 0)</f>
        <v>-0.23213616824876054</v>
      </c>
      <c r="G2" s="5">
        <f>SUM(G4:G70)</f>
        <v>52040.245999999999</v>
      </c>
      <c r="H2" s="7">
        <f>C2-G2</f>
        <v>38464.754000000001</v>
      </c>
      <c r="I2" s="6">
        <f>IFERROR(H2/G2, 0)</f>
        <v>0.73913474582729688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43.2" x14ac:dyDescent="0.3">
      <c r="A4" s="38" t="str" cm="1">
        <f t="array" ref="A4">Sites[Site]</f>
        <v>CT: Hartford Landfill - MIRA</v>
      </c>
      <c r="B4" s="22" t="str" cm="1">
        <f t="array" ref="B4">Sites[State]</f>
        <v>CT</v>
      </c>
      <c r="C4" s="18">
        <v>90505</v>
      </c>
      <c r="D4" s="11">
        <v>117865.95</v>
      </c>
      <c r="E4" s="11">
        <f>IF(AND(ISNUMBER(C4),ISNUMBER(D4)), C4-D4, "")</f>
        <v>-27360.949999999997</v>
      </c>
      <c r="F4" s="12">
        <f>IFERROR(E4/D4, "")</f>
        <v>-0.23213616824876054</v>
      </c>
      <c r="G4" s="13">
        <v>52040.245999999999</v>
      </c>
      <c r="H4" s="13">
        <f>IF(AND(ISNUMBER(C4),ISNUMBER(G4)), C4-G4, "")</f>
        <v>38464.754000000001</v>
      </c>
      <c r="I4" s="14">
        <f>IFERROR(H4/G4, "")</f>
        <v>0.73913474582729688</v>
      </c>
      <c r="J4" s="32" t="s">
        <v>22</v>
      </c>
      <c r="K4" s="32" t="s">
        <v>23</v>
      </c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" x14ac:dyDescent="0.3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" x14ac:dyDescent="0.3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" x14ac:dyDescent="0.3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" x14ac:dyDescent="0.3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" x14ac:dyDescent="0.3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</sheetData>
  <mergeCells count="4">
    <mergeCell ref="D1:F1"/>
    <mergeCell ref="A1:C1"/>
    <mergeCell ref="G1:I1"/>
    <mergeCell ref="A2:B2"/>
  </mergeCells>
  <conditionalFormatting sqref="F2 I2">
    <cfRule type="cellIs" dxfId="25" priority="6" stopIfTrue="1" operator="lessThanOrEqual">
      <formula>-0.1</formula>
    </cfRule>
    <cfRule type="expression" dxfId="24" priority="7">
      <formula>AND(ISNUMBER(F2), F2&gt;=0.1)</formula>
    </cfRule>
  </conditionalFormatting>
  <conditionalFormatting sqref="F4:F70 I4:I70">
    <cfRule type="cellIs" dxfId="23" priority="1" stopIfTrue="1" operator="lessThanOrEqual">
      <formula>-0.1</formula>
    </cfRule>
    <cfRule type="expression" dxfId="22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13"/>
  <sheetViews>
    <sheetView workbookViewId="0">
      <pane xSplit="2" ySplit="3" topLeftCell="E4" activePane="bottomRight" state="frozen"/>
      <selection pane="topRight" activeCell="A11" sqref="A11"/>
      <selection pane="bottomLeft" activeCell="A11" sqref="A11"/>
      <selection pane="bottomRight" activeCell="I11" sqref="I11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2" ht="19.5" customHeight="1" x14ac:dyDescent="0.25">
      <c r="A1" s="45" t="str" cm="1">
        <f t="array" ref="A1">portfolio</f>
        <v>Mira corp</v>
      </c>
      <c r="B1" s="45"/>
      <c r="C1" s="45"/>
      <c r="D1" s="46" t="s">
        <v>24</v>
      </c>
      <c r="E1" s="46"/>
      <c r="F1" s="46"/>
      <c r="G1" s="44" t="s">
        <v>25</v>
      </c>
      <c r="H1" s="44"/>
      <c r="I1" s="44"/>
      <c r="J1" s="4"/>
      <c r="K1" s="4"/>
    </row>
    <row r="2" spans="1:12" ht="19.5" customHeight="1" x14ac:dyDescent="0.25">
      <c r="A2" s="47" t="s">
        <v>2</v>
      </c>
      <c r="B2" s="47"/>
      <c r="C2" s="5">
        <f>SUM(C4:C71)</f>
        <v>62302</v>
      </c>
      <c r="D2" s="5">
        <f>SUM(D4:D71)</f>
        <v>98706.619000000006</v>
      </c>
      <c r="E2" s="5">
        <f>C2-D2</f>
        <v>-36404.619000000006</v>
      </c>
      <c r="F2" s="6">
        <f>IFERROR(E2/D2, 0)</f>
        <v>-0.36881639112773179</v>
      </c>
      <c r="G2" s="5">
        <f>SUM(G4:G71)</f>
        <v>65916</v>
      </c>
      <c r="H2" s="7">
        <f>C2-G2</f>
        <v>-3614</v>
      </c>
      <c r="I2" s="6">
        <f>IFERROR(H2/G2, 0)</f>
        <v>-5.4827356028885249E-2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2" ht="57.6" x14ac:dyDescent="0.3">
      <c r="A4" s="38" t="str" cm="1">
        <f t="array" ref="A4">Sites[Site]</f>
        <v>CT: Hartford Landfill - MIRA</v>
      </c>
      <c r="B4" s="22" t="str" cm="1">
        <f t="array" ref="B4">Sites[State]</f>
        <v>CT</v>
      </c>
      <c r="C4" s="18">
        <v>62302</v>
      </c>
      <c r="D4" s="11">
        <v>98706.619000000006</v>
      </c>
      <c r="E4" s="11">
        <f>IF(AND(ISNUMBER(C4),ISNUMBER(D4)), C4-D4, "")</f>
        <v>-36404.619000000006</v>
      </c>
      <c r="F4" s="12">
        <f>IFERROR(E4/D4, "")</f>
        <v>-0.36881639112773179</v>
      </c>
      <c r="G4" s="13">
        <v>65916</v>
      </c>
      <c r="H4" s="13">
        <f>IF(AND(ISNUMBER(C4),ISNUMBER(G4)), C4-G4, "")</f>
        <v>-3614</v>
      </c>
      <c r="I4" s="14">
        <f>IFERROR(H4/G4, "")</f>
        <v>-5.4827356028885249E-2</v>
      </c>
      <c r="J4" s="32" t="s">
        <v>26</v>
      </c>
      <c r="K4" s="40" t="s">
        <v>27</v>
      </c>
      <c r="L4" s="41" t="s">
        <v>28</v>
      </c>
    </row>
    <row r="5" spans="1:12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2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2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2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2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2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2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2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2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2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2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2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" x14ac:dyDescent="0.3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" x14ac:dyDescent="0.3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" x14ac:dyDescent="0.3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" x14ac:dyDescent="0.3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" x14ac:dyDescent="0.3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" x14ac:dyDescent="0.3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hyperlinks>
    <hyperlink ref="K4" r:id="rId1" display="https://us3.assetplanner.com/service_request?ID=097691" xr:uid="{E4FE320D-3F01-48FC-B093-E0FEA12544E6}"/>
    <hyperlink ref="L4" r:id="rId2" display="https://us3.assetplanner.com/service_request?ID=097895" xr:uid="{7F71739F-32B0-46FA-9B78-5AB186B25657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3"/>
  <sheetViews>
    <sheetView zoomScale="80" zoomScaleNormal="80" workbookViewId="0">
      <pane xSplit="2" ySplit="3" topLeftCell="F4" activePane="bottomRight" state="frozen"/>
      <selection pane="topRight" activeCell="A11" sqref="A11"/>
      <selection pane="bottomLeft" activeCell="A11" sqref="A11"/>
      <selection pane="bottomRight" activeCell="F19" sqref="F19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5" t="str" cm="1">
        <f t="array" ref="A1">portfolio</f>
        <v>Mira corp</v>
      </c>
      <c r="B1" s="45"/>
      <c r="C1" s="45"/>
      <c r="D1" s="46" t="s">
        <v>29</v>
      </c>
      <c r="E1" s="46"/>
      <c r="F1" s="46"/>
      <c r="G1" s="44" t="s">
        <v>30</v>
      </c>
      <c r="H1" s="44"/>
      <c r="I1" s="44"/>
      <c r="J1" s="4"/>
      <c r="K1" s="4"/>
    </row>
    <row r="2" spans="1:11" ht="19.5" customHeight="1" x14ac:dyDescent="0.25">
      <c r="A2" s="47" t="s">
        <v>2</v>
      </c>
      <c r="B2" s="47"/>
      <c r="C2" s="5">
        <f>SUM(C4:C71)</f>
        <v>140090</v>
      </c>
      <c r="D2" s="5">
        <f>SUM(D4:D71)</f>
        <v>138422.147</v>
      </c>
      <c r="E2" s="5">
        <f>C2-D2</f>
        <v>1667.8530000000028</v>
      </c>
      <c r="F2" s="6">
        <f>IFERROR(E2/D2, 0)</f>
        <v>1.2049032876220327E-2</v>
      </c>
      <c r="G2" s="5">
        <f>SUM(G4:G71)</f>
        <v>95762.661999999997</v>
      </c>
      <c r="H2" s="7">
        <f>C2-G2</f>
        <v>44327.338000000003</v>
      </c>
      <c r="I2" s="6">
        <f>IFERROR(H2/G2, 0)</f>
        <v>0.46288748740088287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140090</v>
      </c>
      <c r="D4" s="11">
        <v>138422.147</v>
      </c>
      <c r="E4" s="11">
        <f>IF(AND(ISNUMBER(C4),ISNUMBER(D4)), C4-D4, "")</f>
        <v>1667.8530000000028</v>
      </c>
      <c r="F4" s="12">
        <f>IFERROR(E4/D4, "")</f>
        <v>1.2049032876220327E-2</v>
      </c>
      <c r="G4" s="13">
        <v>95762.661999999997</v>
      </c>
      <c r="H4" s="13">
        <f>IF(AND(ISNUMBER(C4),ISNUMBER(G4)), C4-G4, "")</f>
        <v>44327.338000000003</v>
      </c>
      <c r="I4" s="14">
        <f>IFERROR(H4/G4, "")</f>
        <v>0.46288748740088287</v>
      </c>
      <c r="J4" s="32"/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" x14ac:dyDescent="0.3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" x14ac:dyDescent="0.3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" x14ac:dyDescent="0.3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" x14ac:dyDescent="0.3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" x14ac:dyDescent="0.3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" x14ac:dyDescent="0.3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3"/>
  <sheetViews>
    <sheetView zoomScale="70" zoomScaleNormal="70" workbookViewId="0">
      <pane xSplit="2" ySplit="3" topLeftCell="F4" activePane="bottomRight" state="frozen"/>
      <selection pane="topRight" activeCell="A11" sqref="A11"/>
      <selection pane="bottomLeft" activeCell="A11" sqref="A11"/>
      <selection pane="bottomRight" activeCell="F17" sqref="F17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5" t="str" cm="1">
        <f t="array" ref="A1">portfolio</f>
        <v>Mira corp</v>
      </c>
      <c r="B1" s="45"/>
      <c r="C1" s="45"/>
      <c r="D1" s="46" t="s">
        <v>31</v>
      </c>
      <c r="E1" s="46"/>
      <c r="F1" s="46"/>
      <c r="G1" s="44" t="s">
        <v>32</v>
      </c>
      <c r="H1" s="44"/>
      <c r="I1" s="44"/>
      <c r="J1" s="4"/>
      <c r="K1" s="4"/>
    </row>
    <row r="2" spans="1:11" ht="19.5" customHeight="1" x14ac:dyDescent="0.25">
      <c r="A2" s="47" t="s">
        <v>2</v>
      </c>
      <c r="B2" s="47"/>
      <c r="C2" s="5">
        <f>SUM(C4:C71)</f>
        <v>143095</v>
      </c>
      <c r="D2" s="5">
        <f>SUM(D4:D71)</f>
        <v>136602.29999999999</v>
      </c>
      <c r="E2" s="5">
        <f>C2-D2</f>
        <v>6492.7000000000116</v>
      </c>
      <c r="F2" s="6">
        <f>IFERROR(E2/D2, 0)</f>
        <v>4.7529946421107201E-2</v>
      </c>
      <c r="G2" s="5">
        <f>SUM(G4:G71)</f>
        <v>115609.215</v>
      </c>
      <c r="H2" s="7">
        <f>C2-G2</f>
        <v>27485.785000000003</v>
      </c>
      <c r="I2" s="6">
        <f>IFERROR(H2/G2, 0)</f>
        <v>0.23774735430908345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143095</v>
      </c>
      <c r="D4" s="11">
        <v>136602.29999999999</v>
      </c>
      <c r="E4" s="11">
        <f>IF(AND(ISNUMBER(C4),ISNUMBER(D4)), C4-D4, "")</f>
        <v>6492.7000000000116</v>
      </c>
      <c r="F4" s="12">
        <f>IFERROR(E4/D4, "")</f>
        <v>4.7529946421107201E-2</v>
      </c>
      <c r="G4" s="13">
        <v>115609.215</v>
      </c>
      <c r="H4" s="13">
        <f>IF(AND(ISNUMBER(C4),ISNUMBER(G4)), C4-G4, "")</f>
        <v>27485.785000000003</v>
      </c>
      <c r="I4" s="14">
        <f>IFERROR(H4/G4, "")</f>
        <v>0.23774735430908345</v>
      </c>
      <c r="J4" s="32"/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" x14ac:dyDescent="0.3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" x14ac:dyDescent="0.3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" x14ac:dyDescent="0.3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" x14ac:dyDescent="0.3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" x14ac:dyDescent="0.3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" x14ac:dyDescent="0.3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3"/>
  <sheetViews>
    <sheetView tabSelected="1" zoomScale="80" zoomScaleNormal="80" workbookViewId="0">
      <pane xSplit="2" ySplit="3" topLeftCell="C4" activePane="bottomRight" state="frozen"/>
      <selection pane="topRight" activeCell="A11" sqref="A11"/>
      <selection pane="bottomLeft" activeCell="A11" sqref="A11"/>
      <selection pane="bottomRight" activeCell="J12" sqref="J12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5" t="str" cm="1">
        <f t="array" ref="A1">portfolio</f>
        <v>Mira corp</v>
      </c>
      <c r="B1" s="45"/>
      <c r="C1" s="45"/>
      <c r="D1" s="46" t="s">
        <v>33</v>
      </c>
      <c r="E1" s="46"/>
      <c r="F1" s="46"/>
      <c r="G1" s="44" t="s">
        <v>34</v>
      </c>
      <c r="H1" s="44"/>
      <c r="I1" s="44"/>
      <c r="J1" s="4"/>
      <c r="K1" s="4"/>
    </row>
    <row r="2" spans="1:11" ht="19.5" customHeight="1" x14ac:dyDescent="0.25">
      <c r="A2" s="47" t="s">
        <v>2</v>
      </c>
      <c r="B2" s="47"/>
      <c r="C2" s="5">
        <f>SUM(C4:C71)</f>
        <v>127566</v>
      </c>
      <c r="D2" s="5">
        <f>SUM(D4:D71)</f>
        <v>118575.49099999999</v>
      </c>
      <c r="E2" s="5">
        <f>C2-D2</f>
        <v>8990.5090000000055</v>
      </c>
      <c r="F2" s="6">
        <f>IFERROR(E2/D2, 0)</f>
        <v>7.5820972143391813E-2</v>
      </c>
      <c r="G2" s="5">
        <f>SUM(G4:G71)</f>
        <v>132385.79699999999</v>
      </c>
      <c r="H2" s="7">
        <f>C2-G2</f>
        <v>-4819.7969999999914</v>
      </c>
      <c r="I2" s="6">
        <f>IFERROR(H2/G2, 0)</f>
        <v>-3.6407206129521523E-2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127566</v>
      </c>
      <c r="D4" s="11">
        <v>118575.49099999999</v>
      </c>
      <c r="E4" s="11">
        <f>IF(AND(ISNUMBER(C4),ISNUMBER(D4)), C4-D4, "")</f>
        <v>8990.5090000000055</v>
      </c>
      <c r="F4" s="12">
        <f>IFERROR(E4/D4, "")</f>
        <v>7.5820972143391813E-2</v>
      </c>
      <c r="G4" s="13">
        <v>132385.79699999999</v>
      </c>
      <c r="H4" s="13">
        <f>IF(AND(ISNUMBER(C4),ISNUMBER(G4)), C4-G4, "")</f>
        <v>-4819.7969999999914</v>
      </c>
      <c r="I4" s="14">
        <f>IFERROR(H4/G4, "")</f>
        <v>-3.6407206129521523E-2</v>
      </c>
      <c r="J4" s="32"/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" x14ac:dyDescent="0.3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" x14ac:dyDescent="0.3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" x14ac:dyDescent="0.3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" x14ac:dyDescent="0.3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" x14ac:dyDescent="0.3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" x14ac:dyDescent="0.3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3"/>
  <sheetViews>
    <sheetView zoomScale="80" zoomScaleNormal="80" workbookViewId="0">
      <pane xSplit="2" ySplit="3" topLeftCell="J4" activePane="bottomRight" state="frozen"/>
      <selection pane="topRight" activeCell="A11" sqref="A11"/>
      <selection pane="bottomLeft" activeCell="A11" sqref="A11"/>
      <selection pane="bottomRight" activeCell="K4" sqref="K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5" t="str" cm="1">
        <f t="array" ref="A1">portfolio</f>
        <v>Mira corp</v>
      </c>
      <c r="B1" s="45"/>
      <c r="C1" s="45"/>
      <c r="D1" s="46" t="s">
        <v>35</v>
      </c>
      <c r="E1" s="46"/>
      <c r="F1" s="46"/>
      <c r="G1" s="44" t="s">
        <v>36</v>
      </c>
      <c r="H1" s="44"/>
      <c r="I1" s="44"/>
      <c r="J1" s="4"/>
      <c r="K1" s="4"/>
    </row>
    <row r="2" spans="1:11" ht="19.5" customHeight="1" x14ac:dyDescent="0.25">
      <c r="A2" s="47" t="s">
        <v>2</v>
      </c>
      <c r="B2" s="47"/>
      <c r="C2" s="5">
        <f>SUM(C4:C71)</f>
        <v>133286</v>
      </c>
      <c r="D2" s="5">
        <f>SUM(D4:D71)</f>
        <v>129375.425</v>
      </c>
      <c r="E2" s="5">
        <f>C2-D2</f>
        <v>3910.5749999999971</v>
      </c>
      <c r="F2" s="6">
        <f>IFERROR(E2/D2, 0)</f>
        <v>3.0226567371662717E-2</v>
      </c>
      <c r="G2" s="5">
        <f>SUM(G4:G71)</f>
        <v>138345.12899999999</v>
      </c>
      <c r="H2" s="7">
        <f>C2-G2</f>
        <v>-5059.1289999999863</v>
      </c>
      <c r="I2" s="6">
        <f>IFERROR(H2/G2, 0)</f>
        <v>-3.6568898641888482E-2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133286</v>
      </c>
      <c r="D4" s="11">
        <v>129375.425</v>
      </c>
      <c r="E4" s="11">
        <f>IF(AND(ISNUMBER(C4),ISNUMBER(D4)), C4-D4, "")</f>
        <v>3910.5749999999971</v>
      </c>
      <c r="F4" s="12">
        <f>IFERROR(E4/D4, "")</f>
        <v>3.0226567371662717E-2</v>
      </c>
      <c r="G4" s="13">
        <v>138345.12899999999</v>
      </c>
      <c r="H4" s="13">
        <f>IF(AND(ISNUMBER(C4),ISNUMBER(G4)), C4-G4, "")</f>
        <v>-5059.1289999999863</v>
      </c>
      <c r="I4" s="14">
        <f>IFERROR(H4/G4, "")</f>
        <v>-3.6568898641888482E-2</v>
      </c>
      <c r="J4" s="32" t="s">
        <v>37</v>
      </c>
      <c r="K4" s="40" t="s">
        <v>38</v>
      </c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" x14ac:dyDescent="0.3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" x14ac:dyDescent="0.3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" x14ac:dyDescent="0.3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" x14ac:dyDescent="0.3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" x14ac:dyDescent="0.3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" x14ac:dyDescent="0.3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hyperlinks>
    <hyperlink ref="K4" r:id="rId1" display="https://us3.assetplanner.com/service_request?ID=103801" xr:uid="{30FCDCF9-471C-483F-B970-FEA96E53D7B8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3"/>
  <sheetViews>
    <sheetView workbookViewId="0">
      <pane xSplit="2" ySplit="3" topLeftCell="H4" activePane="bottomRight" state="frozen"/>
      <selection pane="topRight" activeCell="A11" sqref="A11"/>
      <selection pane="bottomLeft" activeCell="A11" sqref="A11"/>
      <selection pane="bottomRight" activeCell="K4" sqref="K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5" t="str" cm="1">
        <f t="array" ref="A1">portfolio</f>
        <v>Mira corp</v>
      </c>
      <c r="B1" s="45"/>
      <c r="C1" s="45"/>
      <c r="D1" s="46" t="s">
        <v>39</v>
      </c>
      <c r="E1" s="46"/>
      <c r="F1" s="46"/>
      <c r="G1" s="44" t="s">
        <v>40</v>
      </c>
      <c r="H1" s="44"/>
      <c r="I1" s="44"/>
      <c r="J1" s="4"/>
      <c r="K1" s="4"/>
    </row>
    <row r="2" spans="1:11" ht="19.5" customHeight="1" x14ac:dyDescent="0.25">
      <c r="A2" s="47" t="s">
        <v>2</v>
      </c>
      <c r="B2" s="47"/>
      <c r="C2" s="5">
        <f>SUM(C4:C71)</f>
        <v>147281</v>
      </c>
      <c r="D2" s="5">
        <f>SUM(D4:D71)</f>
        <v>144422.81200000001</v>
      </c>
      <c r="E2" s="5">
        <f>C2-D2</f>
        <v>2858.1879999999946</v>
      </c>
      <c r="F2" s="6">
        <f>IFERROR(E2/D2, 0)</f>
        <v>1.9790419258697126E-2</v>
      </c>
      <c r="G2" s="5">
        <f>SUM(G4:G71)</f>
        <v>146052</v>
      </c>
      <c r="H2" s="7">
        <f>C2-G2</f>
        <v>1229</v>
      </c>
      <c r="I2" s="6">
        <f>IFERROR(H2/G2, 0)</f>
        <v>8.4148111631473718E-3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8" x14ac:dyDescent="0.3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147281</v>
      </c>
      <c r="D4" s="11">
        <v>144422.81200000001</v>
      </c>
      <c r="E4" s="11">
        <f>IF(AND(ISNUMBER(C4),ISNUMBER(D4)), C4-D4, "")</f>
        <v>2858.1879999999946</v>
      </c>
      <c r="F4" s="12">
        <f>IFERROR(E4/D4, "")</f>
        <v>1.9790419258697126E-2</v>
      </c>
      <c r="G4" s="13">
        <v>146052</v>
      </c>
      <c r="H4" s="13">
        <f>IF(AND(ISNUMBER(C4),ISNUMBER(G4)), C4-G4, "")</f>
        <v>1229</v>
      </c>
      <c r="I4" s="14">
        <f>IFERROR(H4/G4, "")</f>
        <v>8.4148111631473718E-3</v>
      </c>
      <c r="J4" s="32" t="s">
        <v>41</v>
      </c>
      <c r="K4" s="40" t="s">
        <v>42</v>
      </c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" x14ac:dyDescent="0.3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" x14ac:dyDescent="0.3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" x14ac:dyDescent="0.3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" x14ac:dyDescent="0.3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" x14ac:dyDescent="0.3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" x14ac:dyDescent="0.3">
      <c r="C313" s="15"/>
      <c r="D313" s="15"/>
      <c r="E313" s="15"/>
      <c r="F313" s="16"/>
      <c r="G313" s="15"/>
      <c r="H313" s="15"/>
      <c r="I313" s="16"/>
      <c r="J313" s="15"/>
      <c r="K313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1 I4:I71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hyperlinks>
    <hyperlink ref="K4" r:id="rId1" display="https://us3.assetplanner.com/service_request?ID=107183" xr:uid="{82535BEF-7AFF-4464-BEB7-3304C0BC2CE4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3"/>
  <sheetViews>
    <sheetView workbookViewId="0">
      <pane xSplit="2" ySplit="3" topLeftCell="F4" activePane="bottomRight" state="frozen"/>
      <selection pane="topRight" activeCell="A11" sqref="A11"/>
      <selection pane="bottomLeft" activeCell="A11" sqref="A11"/>
      <selection pane="bottomRight" activeCell="J11" sqref="J11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5" t="str" cm="1">
        <f t="array" ref="A1">portfolio</f>
        <v>Mira corp</v>
      </c>
      <c r="B1" s="45"/>
      <c r="C1" s="45"/>
      <c r="D1" s="46" t="s">
        <v>43</v>
      </c>
      <c r="E1" s="46"/>
      <c r="F1" s="46"/>
      <c r="G1" s="44" t="s">
        <v>44</v>
      </c>
      <c r="H1" s="44"/>
      <c r="I1" s="44"/>
      <c r="J1" s="4"/>
      <c r="K1" s="4"/>
    </row>
    <row r="2" spans="1:11" ht="19.5" customHeight="1" x14ac:dyDescent="0.25">
      <c r="A2" s="47" t="s">
        <v>2</v>
      </c>
      <c r="B2" s="47"/>
      <c r="C2" s="5">
        <f>SUM(C4:C71)</f>
        <v>161031</v>
      </c>
      <c r="D2" s="5">
        <f>SUM(D4:D71)</f>
        <v>157240.81200000001</v>
      </c>
      <c r="E2" s="5">
        <f>C2-D2</f>
        <v>3790.1879999999946</v>
      </c>
      <c r="F2" s="6">
        <f>IFERROR(E2/D2, 0)</f>
        <v>2.4104352755441091E-2</v>
      </c>
      <c r="G2" s="5">
        <f>SUM(G4:G71)</f>
        <v>131022</v>
      </c>
      <c r="H2" s="7">
        <f>C2-G2</f>
        <v>30009</v>
      </c>
      <c r="I2" s="6">
        <f>IFERROR(H2/G2, 0)</f>
        <v>0.22903787150249577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80.25" customHeight="1" x14ac:dyDescent="0.3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161031</v>
      </c>
      <c r="D4" s="11">
        <v>157240.81200000001</v>
      </c>
      <c r="E4" s="11">
        <f>IF(AND(ISNUMBER(C4),ISNUMBER(D4)), C4-D4, "")</f>
        <v>3790.1879999999946</v>
      </c>
      <c r="F4" s="12">
        <f>IFERROR(E4/D4, "")</f>
        <v>2.4104352755441091E-2</v>
      </c>
      <c r="G4" s="13">
        <v>131022</v>
      </c>
      <c r="H4" s="13">
        <f>IF(AND(ISNUMBER(C4),ISNUMBER(G4)), C4-G4, "")</f>
        <v>30009</v>
      </c>
      <c r="I4" s="14">
        <f>IFERROR(H4/G4, "")</f>
        <v>0.22903787150249577</v>
      </c>
      <c r="J4" s="43" t="s">
        <v>45</v>
      </c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" x14ac:dyDescent="0.3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" x14ac:dyDescent="0.3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" x14ac:dyDescent="0.3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" x14ac:dyDescent="0.3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" x14ac:dyDescent="0.3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" x14ac:dyDescent="0.3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3"/>
  <sheetViews>
    <sheetView workbookViewId="0">
      <pane xSplit="2" ySplit="3" topLeftCell="E4" activePane="bottomRight" state="frozen"/>
      <selection pane="topRight" activeCell="A11" sqref="A11"/>
      <selection pane="bottomLeft" activeCell="A11" sqref="A11"/>
      <selection pane="bottomRight" activeCell="H4" sqref="H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5" t="str" cm="1">
        <f t="array" ref="A1">portfolio</f>
        <v>Mira corp</v>
      </c>
      <c r="B1" s="45"/>
      <c r="C1" s="45"/>
      <c r="D1" s="46" t="s">
        <v>46</v>
      </c>
      <c r="E1" s="46"/>
      <c r="F1" s="46"/>
      <c r="G1" s="44" t="s">
        <v>47</v>
      </c>
      <c r="H1" s="44"/>
      <c r="I1" s="44"/>
      <c r="J1" s="4"/>
      <c r="K1" s="4"/>
    </row>
    <row r="2" spans="1:11" ht="19.5" customHeight="1" x14ac:dyDescent="0.25">
      <c r="A2" s="47" t="s">
        <v>2</v>
      </c>
      <c r="B2" s="47"/>
      <c r="C2" s="5">
        <f>SUM(C4:C71)</f>
        <v>141085</v>
      </c>
      <c r="D2" s="5">
        <f>SUM(D4:D71)</f>
        <v>138451.67499999999</v>
      </c>
      <c r="E2" s="5">
        <f>C2-D2</f>
        <v>2633.3250000000116</v>
      </c>
      <c r="F2" s="6">
        <f>IFERROR(E2/D2, 0)</f>
        <v>1.9019813230862045E-2</v>
      </c>
      <c r="G2" s="5">
        <f>SUM(G4:G71)</f>
        <v>102272</v>
      </c>
      <c r="H2" s="7">
        <f>C2-G2</f>
        <v>38813</v>
      </c>
      <c r="I2" s="6">
        <f>IFERROR(H2/G2, 0)</f>
        <v>0.37950758760951186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81" customHeight="1" x14ac:dyDescent="0.25">
      <c r="A4" s="39" t="str" cm="1">
        <f t="array" ref="A4">Sites[Site]</f>
        <v>CT: Hartford Landfill - MIRA</v>
      </c>
      <c r="B4" s="22" t="str" cm="1">
        <f t="array" ref="B4">Sites[State]</f>
        <v>CT</v>
      </c>
      <c r="C4" s="18">
        <v>141085</v>
      </c>
      <c r="D4" s="42">
        <v>138451.67499999999</v>
      </c>
      <c r="E4" s="11">
        <f>IF(AND(ISNUMBER(C4),ISNUMBER(D4)), C4-D4, "")</f>
        <v>2633.3250000000116</v>
      </c>
      <c r="F4" s="12">
        <f>IFERROR(E4/D4, "")</f>
        <v>1.9019813230862045E-2</v>
      </c>
      <c r="G4" s="13">
        <v>102272</v>
      </c>
      <c r="H4" s="13">
        <f>IF(AND(ISNUMBER(C4),ISNUMBER(G4)), C4-G4, "")</f>
        <v>38813</v>
      </c>
      <c r="I4" s="14">
        <f>IFERROR(H4/G4, "")</f>
        <v>0.37950758760951186</v>
      </c>
      <c r="J4" s="32" t="s">
        <v>45</v>
      </c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" x14ac:dyDescent="0.3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" x14ac:dyDescent="0.3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" x14ac:dyDescent="0.3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" x14ac:dyDescent="0.3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" x14ac:dyDescent="0.3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" x14ac:dyDescent="0.3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3"/>
  <sheetViews>
    <sheetView workbookViewId="0">
      <pane xSplit="2" ySplit="3" topLeftCell="C4" activePane="bottomRight" state="frozen"/>
      <selection pane="topRight" activeCell="A11" sqref="A11"/>
      <selection pane="bottomLeft" activeCell="A11" sqref="A11"/>
      <selection pane="bottomRight" activeCell="G10" sqref="G10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5" t="str" cm="1">
        <f t="array" ref="A1">portfolio</f>
        <v>Mira corp</v>
      </c>
      <c r="B1" s="45"/>
      <c r="C1" s="45"/>
      <c r="D1" s="46" t="s">
        <v>48</v>
      </c>
      <c r="E1" s="46"/>
      <c r="F1" s="46"/>
      <c r="G1" s="44" t="s">
        <v>49</v>
      </c>
      <c r="H1" s="44"/>
      <c r="I1" s="44"/>
      <c r="J1" s="4"/>
      <c r="K1" s="4"/>
    </row>
    <row r="2" spans="1:11" ht="19.5" customHeight="1" x14ac:dyDescent="0.25">
      <c r="A2" s="47" t="s">
        <v>2</v>
      </c>
      <c r="B2" s="47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" x14ac:dyDescent="0.3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" x14ac:dyDescent="0.3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" x14ac:dyDescent="0.3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" x14ac:dyDescent="0.3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" x14ac:dyDescent="0.3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" x14ac:dyDescent="0.3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3"/>
  <sheetViews>
    <sheetView workbookViewId="0">
      <pane xSplit="2" ySplit="3" topLeftCell="C4" activePane="bottomRight" state="frozen"/>
      <selection pane="topRight" activeCell="A11" sqref="A11"/>
      <selection pane="bottomLeft" activeCell="A11" sqref="A11"/>
      <selection pane="bottomRight" activeCell="G7" sqref="G7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5" t="str" cm="1">
        <f t="array" ref="A1">portfolio</f>
        <v>Mira corp</v>
      </c>
      <c r="B1" s="45"/>
      <c r="C1" s="45"/>
      <c r="D1" s="46" t="s">
        <v>50</v>
      </c>
      <c r="E1" s="46"/>
      <c r="F1" s="46"/>
      <c r="G1" s="44" t="s">
        <v>51</v>
      </c>
      <c r="H1" s="44"/>
      <c r="I1" s="44"/>
      <c r="J1" s="4"/>
      <c r="K1" s="4"/>
    </row>
    <row r="2" spans="1:11" ht="19.5" customHeight="1" x14ac:dyDescent="0.25">
      <c r="A2" s="47" t="s">
        <v>2</v>
      </c>
      <c r="B2" s="47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" x14ac:dyDescent="0.3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" x14ac:dyDescent="0.3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" x14ac:dyDescent="0.3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" x14ac:dyDescent="0.3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" x14ac:dyDescent="0.3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" x14ac:dyDescent="0.3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3"/>
  <sheetViews>
    <sheetView workbookViewId="0">
      <pane xSplit="2" ySplit="3" topLeftCell="C4" activePane="bottomRight" state="frozen"/>
      <selection pane="topRight" activeCell="A11" sqref="A11"/>
      <selection pane="bottomLeft" activeCell="A11" sqref="A11"/>
      <selection pane="bottomRight" activeCell="J11" sqref="J11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5" t="str" cm="1">
        <f t="array" ref="A1">portfolio</f>
        <v>Mira corp</v>
      </c>
      <c r="B1" s="45"/>
      <c r="C1" s="45"/>
      <c r="D1" s="46" t="s">
        <v>52</v>
      </c>
      <c r="E1" s="46"/>
      <c r="F1" s="46"/>
      <c r="G1" s="44" t="s">
        <v>53</v>
      </c>
      <c r="H1" s="44"/>
      <c r="I1" s="44"/>
      <c r="J1" s="4"/>
      <c r="K1" s="4"/>
    </row>
    <row r="2" spans="1:11" ht="19.5" customHeight="1" x14ac:dyDescent="0.25">
      <c r="A2" s="47" t="s">
        <v>2</v>
      </c>
      <c r="B2" s="47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" x14ac:dyDescent="0.3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" x14ac:dyDescent="0.3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" x14ac:dyDescent="0.3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" x14ac:dyDescent="0.3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" x14ac:dyDescent="0.3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" x14ac:dyDescent="0.3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" sqref="B1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24.109375" customWidth="1"/>
    <col min="6" max="10" width="9.109375" customWidth="1"/>
    <col min="11" max="12" width="22" bestFit="1" customWidth="1"/>
    <col min="13" max="14" width="9.109375" customWidth="1"/>
  </cols>
  <sheetData>
    <row r="1" spans="1:12" ht="12.75" customHeight="1" x14ac:dyDescent="0.25">
      <c r="A1" t="s">
        <v>54</v>
      </c>
      <c r="B1" t="s">
        <v>55</v>
      </c>
    </row>
    <row r="3" spans="1:12" ht="13.2" x14ac:dyDescent="0.25">
      <c r="A3" t="s">
        <v>56</v>
      </c>
      <c r="B3" t="s">
        <v>3</v>
      </c>
      <c r="C3" t="s">
        <v>4</v>
      </c>
      <c r="D3" t="s">
        <v>57</v>
      </c>
      <c r="E3" s="2" t="s">
        <v>58</v>
      </c>
    </row>
    <row r="4" spans="1:12" ht="14.4" x14ac:dyDescent="0.3">
      <c r="A4" s="37" t="s">
        <v>59</v>
      </c>
      <c r="B4" t="s">
        <v>60</v>
      </c>
      <c r="C4" s="35" t="s">
        <v>61</v>
      </c>
      <c r="D4" s="34" t="s">
        <v>62</v>
      </c>
      <c r="E4" t="s">
        <v>63</v>
      </c>
      <c r="G4" s="3"/>
    </row>
    <row r="5" spans="1:12" ht="14.4" x14ac:dyDescent="0.3">
      <c r="A5" s="37"/>
      <c r="C5" s="35"/>
      <c r="D5" s="34"/>
      <c r="G5" s="3"/>
    </row>
    <row r="6" spans="1:12" ht="14.4" x14ac:dyDescent="0.3">
      <c r="A6" s="37"/>
      <c r="C6" s="35"/>
      <c r="D6" s="34"/>
      <c r="G6" s="3"/>
    </row>
    <row r="7" spans="1:12" ht="12.75" customHeight="1" x14ac:dyDescent="0.25">
      <c r="A7" s="37"/>
      <c r="C7" s="35"/>
      <c r="D7" s="34"/>
    </row>
    <row r="8" spans="1:12" ht="12.75" customHeight="1" x14ac:dyDescent="0.25">
      <c r="A8" s="37"/>
      <c r="C8" s="35"/>
      <c r="D8" s="34"/>
    </row>
    <row r="9" spans="1:12" ht="12.75" customHeight="1" x14ac:dyDescent="0.25">
      <c r="A9" s="37"/>
      <c r="C9" s="35"/>
      <c r="D9" s="34"/>
    </row>
    <row r="10" spans="1:12" ht="12.75" customHeight="1" x14ac:dyDescent="0.25">
      <c r="A10" s="37"/>
      <c r="C10" s="35"/>
      <c r="D10" s="34"/>
      <c r="K10" s="33"/>
      <c r="L10" s="33"/>
    </row>
    <row r="11" spans="1:12" ht="12.75" customHeight="1" x14ac:dyDescent="0.25">
      <c r="A11" s="37"/>
      <c r="C11" s="35"/>
      <c r="D11" s="34"/>
      <c r="K11" s="33"/>
      <c r="L11" s="33"/>
    </row>
    <row r="12" spans="1:12" ht="12.75" customHeight="1" x14ac:dyDescent="0.25">
      <c r="A12" s="37"/>
      <c r="C12" s="35"/>
      <c r="D12" s="34"/>
      <c r="K12" s="33"/>
      <c r="L12" s="33"/>
    </row>
    <row r="13" spans="1:12" ht="12.75" customHeight="1" x14ac:dyDescent="0.25">
      <c r="A13" s="37"/>
      <c r="C13" s="35"/>
      <c r="D13" s="34"/>
      <c r="K13" s="33"/>
      <c r="L13" s="33"/>
    </row>
    <row r="14" spans="1:12" ht="12.75" customHeight="1" x14ac:dyDescent="0.25">
      <c r="A14" s="37"/>
      <c r="C14" s="35"/>
      <c r="D14" s="34"/>
      <c r="K14" s="33"/>
      <c r="L14" s="33"/>
    </row>
    <row r="15" spans="1:12" ht="12.75" customHeight="1" x14ac:dyDescent="0.25">
      <c r="A15" s="37"/>
      <c r="C15" s="35"/>
      <c r="D15" s="34"/>
      <c r="K15" s="33"/>
      <c r="L15" s="33"/>
    </row>
    <row r="16" spans="1:12" ht="12.75" customHeight="1" x14ac:dyDescent="0.25">
      <c r="A16" s="37"/>
      <c r="C16" s="35"/>
      <c r="D16" s="34"/>
      <c r="K16" s="33"/>
      <c r="L16" s="33"/>
    </row>
    <row r="17" spans="1:12" ht="12.75" customHeight="1" x14ac:dyDescent="0.25">
      <c r="A17" s="37"/>
      <c r="C17" s="35"/>
      <c r="D17" s="34"/>
      <c r="K17" s="33"/>
      <c r="L17" s="33"/>
    </row>
    <row r="18" spans="1:12" ht="12.75" customHeight="1" x14ac:dyDescent="0.25">
      <c r="A18" s="37"/>
      <c r="C18" s="35"/>
      <c r="D18" s="34"/>
      <c r="K18" s="33"/>
      <c r="L18" s="33"/>
    </row>
    <row r="19" spans="1:12" ht="12.75" customHeight="1" x14ac:dyDescent="0.25">
      <c r="A19" s="37"/>
      <c r="C19" s="35"/>
      <c r="D19" s="34"/>
      <c r="K19" s="33"/>
      <c r="L19" s="33"/>
    </row>
    <row r="20" spans="1:12" ht="12.75" customHeight="1" x14ac:dyDescent="0.25">
      <c r="A20" s="37"/>
      <c r="C20" s="35"/>
      <c r="D20" s="34"/>
      <c r="K20" s="33"/>
      <c r="L20" s="33"/>
    </row>
    <row r="21" spans="1:12" ht="12.75" customHeight="1" x14ac:dyDescent="0.25">
      <c r="A21" s="37"/>
      <c r="C21" s="35"/>
      <c r="D21" s="34"/>
      <c r="K21" s="33"/>
      <c r="L21" s="33"/>
    </row>
    <row r="22" spans="1:12" ht="12.75" customHeight="1" x14ac:dyDescent="0.25">
      <c r="A22" s="37"/>
      <c r="C22" s="35"/>
      <c r="D22" s="34"/>
      <c r="K22" s="33"/>
      <c r="L22" s="33"/>
    </row>
    <row r="23" spans="1:12" ht="12.75" customHeight="1" x14ac:dyDescent="0.25">
      <c r="A23" s="37"/>
      <c r="C23" s="35"/>
      <c r="D23" s="34"/>
      <c r="K23" s="33"/>
      <c r="L23" s="33"/>
    </row>
    <row r="24" spans="1:12" ht="12.75" customHeight="1" x14ac:dyDescent="0.25">
      <c r="A24" s="37"/>
      <c r="C24" s="35"/>
      <c r="D24" s="34"/>
      <c r="K24" s="33"/>
      <c r="L24" s="33"/>
    </row>
    <row r="25" spans="1:12" ht="12.75" customHeight="1" x14ac:dyDescent="0.25">
      <c r="A25" s="37"/>
      <c r="C25" s="35"/>
      <c r="D25" s="34"/>
      <c r="K25" s="33"/>
      <c r="L25" s="33"/>
    </row>
    <row r="26" spans="1:12" ht="12.75" customHeight="1" x14ac:dyDescent="0.25">
      <c r="K26" s="33"/>
      <c r="L26" s="33"/>
    </row>
    <row r="27" spans="1:12" ht="12.75" customHeight="1" x14ac:dyDescent="0.25">
      <c r="K27" s="33"/>
      <c r="L27" s="33"/>
    </row>
    <row r="28" spans="1:12" ht="12.75" customHeight="1" x14ac:dyDescent="0.25">
      <c r="K28" s="33"/>
      <c r="L28" s="33"/>
    </row>
    <row r="29" spans="1:12" ht="12.75" customHeight="1" x14ac:dyDescent="0.25">
      <c r="K29" s="33"/>
      <c r="L29" s="33"/>
    </row>
    <row r="30" spans="1:12" ht="12.75" customHeight="1" x14ac:dyDescent="0.25">
      <c r="K30" s="33"/>
      <c r="L30" s="33"/>
    </row>
    <row r="31" spans="1:12" ht="12.75" customHeight="1" x14ac:dyDescent="0.25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2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3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4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5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6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7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8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9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0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11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2.xml><?xml version="1.0" encoding="utf-8"?>
<ds:datastoreItem xmlns:ds="http://schemas.openxmlformats.org/officeDocument/2006/customXml" ds:itemID="{DB5EEE9F-6D32-4151-8304-6544657DC9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3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4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15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16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8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9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20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Solar Team 2</cp:lastModifiedBy>
  <cp:revision/>
  <dcterms:created xsi:type="dcterms:W3CDTF">2021-01-01T16:39:53Z</dcterms:created>
  <dcterms:modified xsi:type="dcterms:W3CDTF">2025-10-10T11:37:04Z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