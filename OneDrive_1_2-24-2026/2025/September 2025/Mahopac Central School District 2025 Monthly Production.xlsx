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C800A809-83F6-45DE-B34D-D3FCE068CB12}" xr6:coauthVersionLast="47" xr6:coauthVersionMax="47" xr10:uidLastSave="{00000000-0000-0000-0000-000000000000}"/>
  <bookViews>
    <workbookView xWindow="-108" yWindow="-108" windowWidth="23256" windowHeight="12456" tabRatio="866" firstSheet="11" activeTab="13" xr2:uid="{00000000-000D-0000-FFFF-FFFF00000000}"/>
  </bookViews>
  <sheets>
    <sheet name="1st Qtr" sheetId="1" r:id="rId1"/>
    <sheet name="Year to Date" sheetId="34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0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1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1" l="1"/>
  <c r="I5" i="20"/>
  <c r="I5" i="19"/>
  <c r="I6" i="21"/>
  <c r="I6" i="19"/>
  <c r="I4" i="21"/>
  <c r="I4" i="19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B4" i="34" a="1"/>
  <c r="B4" i="34" s="1"/>
  <c r="A4" i="34" a="1"/>
  <c r="A4" i="34" s="1"/>
  <c r="A1" i="34" a="1"/>
  <c r="A1" i="34" s="1"/>
  <c r="C5" i="30"/>
  <c r="E5" i="30" s="1"/>
  <c r="F5" i="30" s="1"/>
  <c r="C4" i="30"/>
  <c r="C5" i="29"/>
  <c r="C4" i="29"/>
  <c r="C5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J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6" i="19"/>
  <c r="E6" i="19"/>
  <c r="F6" i="19" s="1"/>
  <c r="H5" i="19"/>
  <c r="E5" i="19"/>
  <c r="F5" i="19" s="1"/>
  <c r="H4" i="19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E6" i="21"/>
  <c r="F6" i="21" s="1"/>
  <c r="H5" i="21"/>
  <c r="E5" i="21"/>
  <c r="F5" i="21" s="1"/>
  <c r="H4" i="2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4" i="72"/>
  <c r="I4" i="72" s="1"/>
  <c r="D2" i="72"/>
  <c r="C2" i="72"/>
  <c r="J2" i="72" s="1"/>
  <c r="E4" i="72"/>
  <c r="F4" i="72" s="1"/>
  <c r="A1" i="72" a="1"/>
  <c r="A1" i="72" s="1"/>
  <c r="H5" i="72" l="1"/>
  <c r="I5" i="72" s="1"/>
  <c r="G2" i="72"/>
  <c r="H2" i="72" s="1"/>
  <c r="I2" i="72" s="1"/>
  <c r="D2" i="30"/>
  <c r="H2" i="31"/>
  <c r="I2" i="31" s="1"/>
  <c r="E4" i="30"/>
  <c r="F4" i="30" s="1"/>
  <c r="E5" i="29"/>
  <c r="F5" i="29" s="1"/>
  <c r="E2" i="28"/>
  <c r="F2" i="28" s="1"/>
  <c r="H2" i="20"/>
  <c r="I2" i="20" s="1"/>
  <c r="E5" i="18"/>
  <c r="F5" i="18" s="1"/>
  <c r="D2" i="18"/>
  <c r="E4" i="18"/>
  <c r="F4" i="18" s="1"/>
  <c r="J2" i="20"/>
  <c r="J2" i="21"/>
  <c r="H2" i="4"/>
  <c r="I2" i="4" s="1"/>
  <c r="G2" i="34"/>
  <c r="H2" i="19"/>
  <c r="I2" i="19" s="1"/>
  <c r="J2" i="19"/>
  <c r="H2" i="28"/>
  <c r="I2" i="28" s="1"/>
  <c r="H2" i="32"/>
  <c r="I2" i="32" s="1"/>
  <c r="H2" i="26"/>
  <c r="I2" i="26" s="1"/>
  <c r="D2" i="34"/>
  <c r="J2" i="28"/>
  <c r="H2" i="33"/>
  <c r="I2" i="33" s="1"/>
  <c r="J2" i="31"/>
  <c r="E2" i="20"/>
  <c r="F2" i="20" s="1"/>
  <c r="H2" i="27"/>
  <c r="I2" i="27" s="1"/>
  <c r="D2" i="29"/>
  <c r="J2" i="4"/>
  <c r="J2" i="32"/>
  <c r="H2" i="3"/>
  <c r="I2" i="3" s="1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H5" i="18"/>
  <c r="I5" i="18" s="1"/>
  <c r="C2" i="29"/>
  <c r="C2" i="30"/>
  <c r="E4" i="29"/>
  <c r="F4" i="29" s="1"/>
  <c r="C2" i="18"/>
  <c r="H4" i="1"/>
  <c r="I4" i="1" s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5" i="34" l="1"/>
  <c r="I5" i="34" s="1"/>
  <c r="E2" i="29"/>
  <c r="F2" i="29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<sst xmlns="http://schemas.openxmlformats.org/spreadsheetml/2006/main" count="264" uniqueCount="67">
  <si>
    <t>1st Quarter Actual v. Expected</t>
  </si>
  <si>
    <t>1st Quarter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</si>
  <si>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</si>
  <si>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</si>
  <si>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</si>
  <si>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</si>
  <si>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</si>
  <si>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</si>
  <si>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</si>
  <si>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</si>
  <si>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Year to Date Actual v. Expected</t>
  </si>
  <si>
    <t>Year to Date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</si>
  <si>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</si>
  <si>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</si>
  <si>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</si>
  <si>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</si>
  <si>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</si>
  <si>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</si>
  <si>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</si>
  <si>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</si>
  <si>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</si>
  <si>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</si>
  <si>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</si>
  <si>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</si>
  <si>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</si>
  <si>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</si>
  <si>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</si>
  <si>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</si>
  <si>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</si>
  <si>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</si>
  <si>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1.Inverter 2 (inverter 3 on Solaredge, SN: 7E89F60D) unit derating midday.</t>
  </si>
  <si>
    <t>1.SR102245</t>
  </si>
  <si>
    <t>June Actual v. Expected</t>
  </si>
  <si>
    <t>June Actual v. Forecasted</t>
  </si>
  <si>
    <t>July Actual v. Expected</t>
  </si>
  <si>
    <t>July Actual v. Forecasted</t>
  </si>
  <si>
    <t>N/A</t>
  </si>
  <si>
    <t>1.Site was offline  at 13:00 since 06/24</t>
  </si>
  <si>
    <t>1.SR103414</t>
  </si>
  <si>
    <t>August Actual v. Expected</t>
  </si>
  <si>
    <t>August Actual v. Forecasted</t>
  </si>
  <si>
    <t>1.	SR103414</t>
  </si>
  <si>
    <t>September Actual v. Expected</t>
  </si>
  <si>
    <t>September Actual v. Forecasted</t>
  </si>
  <si>
    <t>1.Inverter 2 was operating normally on 09/22
2.Inverter 2 right is underperforming by 15kW. On 09/22 technician confirmed Lower performance due to fewer optimizers.  Firmware update completed.  Confirmed with SE.</t>
  </si>
  <si>
    <t>1.SR102245
2.SR107701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</si>
  <si>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</si>
  <si>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</si>
  <si>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</si>
  <si>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</si>
  <si>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</si>
  <si>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</si>
  <si>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</si>
  <si>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Mahopac Central School District</t>
  </si>
  <si>
    <t>Site DAS Name</t>
  </si>
  <si>
    <t>Update</t>
  </si>
  <si>
    <t>DAS</t>
  </si>
  <si>
    <t>NY:  Mahopac - Austin Road  ES</t>
  </si>
  <si>
    <t>Mahopac - Austin Road  ES</t>
  </si>
  <si>
    <t>NY</t>
  </si>
  <si>
    <t>PF Unity</t>
  </si>
  <si>
    <t>NY:  Mahopcac -  Lakeview ES</t>
  </si>
  <si>
    <t>Mahopcac -  Lakeview ES</t>
  </si>
  <si>
    <t>SR107701</t>
  </si>
  <si>
    <t>1.Inverter 2 (inverter 3 on Solaredge, SN: 7E89F60D) was unit derating midday for whole month.</t>
  </si>
  <si>
    <t xml:space="preserve">1.Inverter 2 (inverter 3 on Solaredge, SN: 7E89F60D) unit derating midday for whole month. </t>
  </si>
  <si>
    <t>1.Site was offline  from 13:00 on 06/24 to end of the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</si>
</sst>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5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5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right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49" fontId="35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35" fillId="0" borderId="0" xfId="0" applyNumberFormat="1" applyFont="1" applyAlignment="1">
      <alignment horizontal="left" vertical="top"/>
    </xf>
    <xf numFmtId="49" fontId="35" fillId="0" borderId="0" xfId="0" applyNumberFormat="1" applyFont="1" applyAlignment="1">
      <alignment horizontal="left" vertical="top" wrapText="1"/>
    </xf>
    <xf numFmtId="0" fontId="32" fillId="0" borderId="0" xfId="0" applyFont="1" applyAlignment="1">
      <alignment horizontal="right"/>
    </xf>
    <xf numFmtId="0" fontId="32" fillId="0" borderId="0" xfId="0" applyFont="1" applyAlignment="1">
      <alignment horizontal="center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6" fillId="0" borderId="0" xfId="45" applyNumberFormat="1" applyAlignment="1">
      <alignment horizontal="left" vertical="top"/>
    </xf>
    <xf numFmtId="0" fontId="36" fillId="0" borderId="0" xfId="45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49" fontId="36" fillId="38" borderId="0" xfId="45" applyNumberFormat="1" applyFill="1" applyBorder="1" applyAlignment="1">
      <alignment horizontal="left" vertical="top" wrapText="1"/>
    </xf>
    <xf numFmtId="49" fontId="36" fillId="0" borderId="0" xfId="45" applyNumberFormat="1" applyAlignment="1">
      <alignment horizontal="left" vertical="center"/>
    </xf>
    <xf numFmtId="0" fontId="36" fillId="0" borderId="0" xfId="45"/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3414" TargetMode="External"/><Relationship Id="rId1" Type="http://schemas.openxmlformats.org/officeDocument/2006/relationships/hyperlink" Target="https://us3.assetplanner.com/service_request?ID=102245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3414" TargetMode="External"/><Relationship Id="rId1" Type="http://schemas.openxmlformats.org/officeDocument/2006/relationships/hyperlink" Target="https://us3.assetplanner.com/service_request?ID=102245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3414" TargetMode="External"/><Relationship Id="rId2" Type="http://schemas.openxmlformats.org/officeDocument/2006/relationships/hyperlink" Target="https://us3.assetplanner.com/service_request?ID=107701" TargetMode="External"/><Relationship Id="rId1" Type="http://schemas.openxmlformats.org/officeDocument/2006/relationships/hyperlink" Target="https://us3.assetplanner.com/service_request?ID=102245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6"/>
  <sheetViews>
    <sheetView workbookViewId="0">
      <pane ySplit="2" topLeftCell="A3" activePane="bottomLeft" state="frozen"/>
      <selection activeCell="A33" sqref="A33"/>
      <selection pane="bottomLeft" activeCell="H12" sqref="H12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0" t="str" cm="1">
        <f t="array" ref="A1">portfolio</f>
        <v>Mahopac Central School District</v>
      </c>
      <c r="B1" s="60"/>
      <c r="C1" s="60"/>
      <c r="D1" s="61" t="s">
        <v>0</v>
      </c>
      <c r="E1" s="61"/>
      <c r="F1" s="61"/>
      <c r="G1" s="59" t="s">
        <v>1</v>
      </c>
      <c r="H1" s="59"/>
      <c r="I1" s="59"/>
    </row>
    <row r="2" spans="1:9" ht="19.5" customHeight="1" x14ac:dyDescent="0.25">
      <c r="A2" s="62" t="s">
        <v>2</v>
      </c>
      <c r="B2" s="62"/>
      <c r="C2" s="6">
        <f>SUM(C4:C84)</f>
        <v>0</v>
      </c>
      <c r="D2" s="6">
        <f>SUM(D4:D84)</f>
        <v>0</v>
      </c>
      <c r="E2" s="6">
        <f>C2-D2</f>
        <v>0</v>
      </c>
      <c r="F2" s="7">
        <f>IFERROR(E2/D2, 0)</f>
        <v>0</v>
      </c>
      <c r="G2" s="6">
        <f>SUM(G4:G84)</f>
        <v>0</v>
      </c>
      <c r="H2" s="8">
        <f>C2-G2</f>
        <v>0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 x14ac:dyDescent="0.25">
      <c r="A4" s="13" t="str" cm="1">
        <f t="array" ref="A4:A5">Sites[Site]</f>
        <v>Mahopac - Austin Road  ES</v>
      </c>
      <c r="B4" s="10" t="str" cm="1">
        <f t="array" ref="B4:B5">Sites[State]</f>
        <v>NY</v>
      </c>
      <c r="C4" s="26"/>
      <c r="D4" s="14">
        <f>SUM(Jan!D4, Feb!D4, Mar!D4)</f>
        <v>0</v>
      </c>
      <c r="E4" s="14" t="str">
        <f>IF(AND(ISNUMBER(C4),ISNUMBER(D4)), C4-D4, "")</f>
        <v/>
      </c>
      <c r="F4" s="15" t="str">
        <f>IFERROR(E4/D4,"")</f>
        <v/>
      </c>
      <c r="G4" s="16"/>
      <c r="H4" s="16">
        <f>SUM(Jan!H4, Feb!H4, Mar!H4)</f>
        <v>0</v>
      </c>
      <c r="I4" s="17">
        <f>IFERROR(H4/G4, 0)</f>
        <v>0</v>
      </c>
    </row>
    <row r="5" spans="1:9" ht="15.6" x14ac:dyDescent="0.25">
      <c r="A5" s="19" t="str">
        <v>Mahopcac -  Lakeview ES</v>
      </c>
      <c r="B5" s="11" t="str">
        <v>NY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>
        <f>SUM(Jan!H5, Feb!H5, Mar!H5)</f>
        <v>0</v>
      </c>
      <c r="I5" s="21">
        <f>IFERROR(H5/G5, 0)</f>
        <v>0</v>
      </c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3.8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8" x14ac:dyDescent="0.3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8" x14ac:dyDescent="0.3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8" x14ac:dyDescent="0.3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8" x14ac:dyDescent="0.3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4 I4:I84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6"/>
  <sheetViews>
    <sheetView workbookViewId="0">
      <pane ySplit="2" topLeftCell="A3" activePane="bottomLeft" state="frozen"/>
      <selection pane="bottomLeft" activeCell="G11" sqref="G11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0" t="str" cm="1">
        <f t="array" ref="A1">portfolio</f>
        <v>Mahopac Central School District</v>
      </c>
      <c r="B1" s="60"/>
      <c r="C1" s="60"/>
      <c r="D1" s="61" t="s">
        <v>10</v>
      </c>
      <c r="E1" s="61"/>
      <c r="F1" s="61"/>
      <c r="G1" s="59" t="s">
        <v>11</v>
      </c>
      <c r="H1" s="59"/>
      <c r="I1" s="59"/>
    </row>
    <row r="2" spans="1:9" ht="19.5" customHeight="1" x14ac:dyDescent="0.25">
      <c r="A2" s="62" t="s">
        <v>2</v>
      </c>
      <c r="B2" s="62"/>
      <c r="C2" s="6">
        <f>SUM(C4:C84)</f>
        <v>0</v>
      </c>
      <c r="D2" s="6">
        <f>SUM(D4:D84)</f>
        <v>0</v>
      </c>
      <c r="E2" s="6">
        <f>C2-D2</f>
        <v>0</v>
      </c>
      <c r="F2" s="7">
        <f>IFERROR(E2/D2, 0)</f>
        <v>0</v>
      </c>
      <c r="G2" s="6">
        <f>SUM(G4:G84)</f>
        <v>0</v>
      </c>
      <c r="H2" s="8">
        <f>C2-G2</f>
        <v>0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 x14ac:dyDescent="0.25">
      <c r="A4" s="13" t="str" cm="1">
        <f t="array" ref="A4:A5">Sites[Site]</f>
        <v>Mahopac - Austin Road  ES</v>
      </c>
      <c r="B4" s="10" t="str" cm="1">
        <f t="array" ref="B4:B5">Sites[State]</f>
        <v>NY</v>
      </c>
      <c r="C4" s="26"/>
      <c r="D4" s="14"/>
      <c r="E4" s="14" t="str">
        <f>IF(AND(ISNUMBER(C4),ISNUMBER(D4)), C4-D4, "")</f>
        <v/>
      </c>
      <c r="F4" s="15">
        <f>IFERROR(E4/D4, 0)</f>
        <v>0</v>
      </c>
      <c r="G4" s="16"/>
      <c r="H4" s="16">
        <f>SUM('1st Qtr'!H4, '2nd Qtr'!H4, '3rd Qtr'!H4, '4th Qtr'!H4)</f>
        <v>0</v>
      </c>
      <c r="I4" s="17">
        <f>IFERROR(H4/G4, 0)</f>
        <v>0</v>
      </c>
    </row>
    <row r="5" spans="1:9" ht="15.6" x14ac:dyDescent="0.25">
      <c r="A5" s="19" t="str">
        <v>Mahopcac -  Lakeview ES</v>
      </c>
      <c r="B5" s="11" t="str">
        <v>NY</v>
      </c>
      <c r="C5" s="12"/>
      <c r="D5" s="20"/>
      <c r="E5" s="20" t="str">
        <f t="shared" ref="E5" si="0">IF(AND(ISNUMBER(C5),ISNUMBER(D5)), C5-D5, "")</f>
        <v/>
      </c>
      <c r="F5" s="21">
        <f>IFERROR(E5/D5, 0)</f>
        <v>0</v>
      </c>
      <c r="G5" s="22"/>
      <c r="H5" s="22">
        <f>SUM(Jan!H5, Feb!H5, Mar!H5)</f>
        <v>0</v>
      </c>
      <c r="I5" s="21">
        <f>IFERROR(H5/G5, 0)</f>
        <v>0</v>
      </c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3.8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8" x14ac:dyDescent="0.3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8" x14ac:dyDescent="0.3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8" x14ac:dyDescent="0.3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8" x14ac:dyDescent="0.3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4 I4:I84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6"/>
  <sheetViews>
    <sheetView workbookViewId="0">
      <pane ySplit="2" topLeftCell="A3" activePane="bottomLeft" state="frozen"/>
      <selection activeCell="A33" sqref="A33"/>
      <selection pane="bottomLeft" activeCell="C19" sqref="C19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0" t="str" cm="1">
        <f t="array" ref="A1">portfolio</f>
        <v>Mahopac Central School District</v>
      </c>
      <c r="B1" s="60"/>
      <c r="C1" s="60"/>
      <c r="D1" s="61" t="s">
        <v>12</v>
      </c>
      <c r="E1" s="61"/>
      <c r="F1" s="61"/>
      <c r="G1" s="59" t="s">
        <v>13</v>
      </c>
      <c r="H1" s="59"/>
      <c r="I1" s="59"/>
    </row>
    <row r="2" spans="1:9" ht="19.5" customHeight="1" x14ac:dyDescent="0.25">
      <c r="A2" s="62" t="s">
        <v>2</v>
      </c>
      <c r="B2" s="62"/>
      <c r="C2" s="6">
        <f>SUM(C4:C84)</f>
        <v>45497.5</v>
      </c>
      <c r="D2" s="6">
        <f>SUM(D4:D84)</f>
        <v>0</v>
      </c>
      <c r="E2" s="6">
        <f>C2-D2</f>
        <v>45497.5</v>
      </c>
      <c r="F2" s="7">
        <f>IFERROR(E2/D2, 0)</f>
        <v>0</v>
      </c>
      <c r="G2" s="6">
        <f>SUM(G4:G84)</f>
        <v>0</v>
      </c>
      <c r="H2" s="8">
        <f>C2-G2</f>
        <v>45497.5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 x14ac:dyDescent="0.25">
      <c r="A4" s="13" t="str" cm="1">
        <f t="array" ref="A4:A5">Sites[Site]</f>
        <v>Mahopac - Austin Road  ES</v>
      </c>
      <c r="B4" s="10" t="str" cm="1">
        <f t="array" ref="B4:B5">Sites[State]</f>
        <v>NY</v>
      </c>
      <c r="C4" s="26">
        <f>SUM(Apr!C4, May!C4, Jun!C4)</f>
        <v>45497.5</v>
      </c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6" x14ac:dyDescent="0.25">
      <c r="A5" s="19" t="str">
        <v>Mahopcac -  Lakeview ES</v>
      </c>
      <c r="B5" s="11" t="str">
        <v>NY</v>
      </c>
      <c r="C5" s="12">
        <f>SUM(Apr!C5, May!C5, Jun!C5)</f>
        <v>0</v>
      </c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>
        <f>SUM(Apr!H5, May!H5, Jun!H5)</f>
        <v>0</v>
      </c>
      <c r="I5" s="21" t="str">
        <f>IFERROR(H5/G5, "")</f>
        <v/>
      </c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3.8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8" x14ac:dyDescent="0.3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8" x14ac:dyDescent="0.3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8" x14ac:dyDescent="0.3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8" x14ac:dyDescent="0.3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4 I4:I84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6"/>
  <sheetViews>
    <sheetView workbookViewId="0">
      <pane ySplit="2" topLeftCell="A3" activePane="bottomLeft" state="frozen"/>
      <selection activeCell="A33" sqref="A33"/>
      <selection pane="bottomLeft" activeCell="A6" sqref="A6:XFD6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0" t="str" cm="1">
        <f t="array" ref="A1">portfolio</f>
        <v>Mahopac Central School District</v>
      </c>
      <c r="B1" s="60"/>
      <c r="C1" s="60"/>
      <c r="D1" s="61" t="s">
        <v>14</v>
      </c>
      <c r="E1" s="61"/>
      <c r="F1" s="61"/>
      <c r="G1" s="59" t="s">
        <v>15</v>
      </c>
      <c r="H1" s="59"/>
      <c r="I1" s="59"/>
    </row>
    <row r="2" spans="1:9" ht="19.5" customHeight="1" x14ac:dyDescent="0.25">
      <c r="A2" s="62" t="s">
        <v>2</v>
      </c>
      <c r="B2" s="62"/>
      <c r="C2" s="6">
        <f>SUM(C4:C84)</f>
        <v>156517.83800000002</v>
      </c>
      <c r="D2" s="6">
        <f>SUM(D4:D84)</f>
        <v>0</v>
      </c>
      <c r="E2" s="6">
        <f>C2-D2</f>
        <v>156517.83800000002</v>
      </c>
      <c r="F2" s="7">
        <f>IFERROR(E2/D2, 0)</f>
        <v>0</v>
      </c>
      <c r="G2" s="6">
        <f>SUM(G4:G84)</f>
        <v>0</v>
      </c>
      <c r="H2" s="8">
        <f>C2-G2</f>
        <v>156517.83800000002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 x14ac:dyDescent="0.25">
      <c r="A4" s="13" t="str" cm="1">
        <f t="array" ref="A4:A5">Sites[Site]</f>
        <v>Mahopac - Austin Road  ES</v>
      </c>
      <c r="B4" s="10" t="str" cm="1">
        <f t="array" ref="B4:B5">Sites[State]</f>
        <v>NY</v>
      </c>
      <c r="C4" s="26">
        <f>SUM(Jul!C4, Aug!C4, Sep!C4)</f>
        <v>156517.83800000002</v>
      </c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6" x14ac:dyDescent="0.25">
      <c r="A5" s="19" t="str">
        <v>Mahopcac -  Lakeview ES</v>
      </c>
      <c r="B5" s="11" t="str">
        <v>NY</v>
      </c>
      <c r="C5" s="12">
        <f>SUM(Jul!C5, Aug!C5, Sep!C5)</f>
        <v>0</v>
      </c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3.8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8" x14ac:dyDescent="0.3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8" x14ac:dyDescent="0.3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8" x14ac:dyDescent="0.3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8" x14ac:dyDescent="0.3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</sheetData>
  <mergeCells count="4">
    <mergeCell ref="G1:I1"/>
    <mergeCell ref="A1:C1"/>
    <mergeCell ref="D1:F1"/>
    <mergeCell ref="A2:B2"/>
  </mergeCells>
  <conditionalFormatting sqref="F2 I2 F4:F84 I4:I84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6"/>
  <sheetViews>
    <sheetView workbookViewId="0">
      <pane ySplit="2" topLeftCell="A3" activePane="bottomLeft" state="frozen"/>
      <selection activeCell="A33" sqref="A33"/>
      <selection pane="bottomLeft" activeCell="F16" sqref="F16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60" t="str" cm="1">
        <f t="array" ref="A1">portfolio</f>
        <v>Mahopac Central School District</v>
      </c>
      <c r="B1" s="60"/>
      <c r="C1" s="60"/>
      <c r="D1" s="61" t="s">
        <v>16</v>
      </c>
      <c r="E1" s="61"/>
      <c r="F1" s="61"/>
      <c r="G1" s="59" t="s">
        <v>17</v>
      </c>
      <c r="H1" s="59"/>
      <c r="I1" s="59"/>
    </row>
    <row r="2" spans="1:9" ht="19.5" customHeight="1" x14ac:dyDescent="0.25">
      <c r="A2" s="62" t="s">
        <v>2</v>
      </c>
      <c r="B2" s="62"/>
      <c r="C2" s="6">
        <f>SUM(C4:C84)</f>
        <v>0</v>
      </c>
      <c r="D2" s="6">
        <f>SUM(D4:D84)</f>
        <v>0</v>
      </c>
      <c r="E2" s="6">
        <f>C2-D2</f>
        <v>0</v>
      </c>
      <c r="F2" s="7">
        <f>IFERROR(E2/D2, 0)</f>
        <v>0</v>
      </c>
      <c r="G2" s="6">
        <f>SUM(G4:G84)</f>
        <v>0</v>
      </c>
      <c r="H2" s="8">
        <f>C2-G2</f>
        <v>0</v>
      </c>
      <c r="I2" s="7">
        <f>IFERROR(H2/G2, 0)</f>
        <v>0</v>
      </c>
    </row>
    <row r="3" spans="1:9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 x14ac:dyDescent="0.25">
      <c r="A4" s="13" t="str" cm="1">
        <f t="array" ref="A4:A5">Sites[Site]</f>
        <v>Mahopac - Austin Road  ES</v>
      </c>
      <c r="B4" s="10" t="str" cm="1">
        <f t="array" ref="B4:B5">Sites[State]</f>
        <v>NY</v>
      </c>
      <c r="C4" s="26">
        <f>SUM(Oct!C4, Nov!C4, Dec!C4)</f>
        <v>0</v>
      </c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 x14ac:dyDescent="0.25">
      <c r="A5" s="19" t="str">
        <v>Mahopcac -  Lakeview ES</v>
      </c>
      <c r="B5" s="11" t="str">
        <v>NY</v>
      </c>
      <c r="C5" s="12">
        <f>SUM(Oct!C5, Nov!C5, Dec!C5)</f>
        <v>0</v>
      </c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3.8" x14ac:dyDescent="0.3">
      <c r="A6" s="23"/>
      <c r="B6" s="23"/>
      <c r="C6" s="23"/>
      <c r="D6" s="23"/>
      <c r="E6" s="23"/>
      <c r="F6" s="23"/>
      <c r="G6" s="23"/>
      <c r="H6" s="23"/>
      <c r="I6" s="23"/>
    </row>
    <row r="7" spans="1:9" ht="13.8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9" ht="13.8" x14ac:dyDescent="0.3">
      <c r="A8" s="23"/>
      <c r="B8" s="23"/>
      <c r="C8" s="23"/>
      <c r="D8" s="23"/>
      <c r="E8" s="23"/>
      <c r="F8" s="23"/>
      <c r="G8" s="23"/>
      <c r="H8" s="23"/>
      <c r="I8" s="23"/>
    </row>
    <row r="9" spans="1:9" ht="13.8" x14ac:dyDescent="0.3">
      <c r="A9" s="23"/>
      <c r="B9" s="23"/>
      <c r="C9" s="23"/>
      <c r="D9" s="23"/>
      <c r="E9" s="23"/>
      <c r="F9" s="23"/>
      <c r="G9" s="23"/>
      <c r="H9" s="23"/>
      <c r="I9" s="23"/>
    </row>
    <row r="10" spans="1:9" ht="13.8" x14ac:dyDescent="0.3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8" x14ac:dyDescent="0.3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8" x14ac:dyDescent="0.3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8" x14ac:dyDescent="0.3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8" x14ac:dyDescent="0.3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8" x14ac:dyDescent="0.3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8" x14ac:dyDescent="0.3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8" x14ac:dyDescent="0.3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8" x14ac:dyDescent="0.3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8" x14ac:dyDescent="0.3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8" x14ac:dyDescent="0.3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8" x14ac:dyDescent="0.3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8" x14ac:dyDescent="0.3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8" x14ac:dyDescent="0.3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8" x14ac:dyDescent="0.3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8" x14ac:dyDescent="0.3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8" x14ac:dyDescent="0.3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8" x14ac:dyDescent="0.3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8" x14ac:dyDescent="0.3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8" x14ac:dyDescent="0.3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8" x14ac:dyDescent="0.3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8" x14ac:dyDescent="0.3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8" x14ac:dyDescent="0.3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8" x14ac:dyDescent="0.3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8" x14ac:dyDescent="0.3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8" x14ac:dyDescent="0.3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8" x14ac:dyDescent="0.3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8" x14ac:dyDescent="0.3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8" x14ac:dyDescent="0.3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8" x14ac:dyDescent="0.3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8" x14ac:dyDescent="0.3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8" x14ac:dyDescent="0.3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8" x14ac:dyDescent="0.3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8" x14ac:dyDescent="0.3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8" x14ac:dyDescent="0.3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8" x14ac:dyDescent="0.3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8" x14ac:dyDescent="0.3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8" x14ac:dyDescent="0.3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8" x14ac:dyDescent="0.3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8" x14ac:dyDescent="0.3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8" x14ac:dyDescent="0.3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8" x14ac:dyDescent="0.3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8" x14ac:dyDescent="0.3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8" x14ac:dyDescent="0.3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8" x14ac:dyDescent="0.3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8" x14ac:dyDescent="0.3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8" x14ac:dyDescent="0.3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8" x14ac:dyDescent="0.3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8" x14ac:dyDescent="0.3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8" x14ac:dyDescent="0.3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8" x14ac:dyDescent="0.3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8" x14ac:dyDescent="0.3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8" x14ac:dyDescent="0.3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8" x14ac:dyDescent="0.3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8" x14ac:dyDescent="0.3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8" x14ac:dyDescent="0.3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8" x14ac:dyDescent="0.3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8" x14ac:dyDescent="0.3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8" x14ac:dyDescent="0.3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8" x14ac:dyDescent="0.3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8" x14ac:dyDescent="0.3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8" x14ac:dyDescent="0.3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8" x14ac:dyDescent="0.3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8" x14ac:dyDescent="0.3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8" x14ac:dyDescent="0.3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8" x14ac:dyDescent="0.3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8" x14ac:dyDescent="0.3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8" x14ac:dyDescent="0.3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8" x14ac:dyDescent="0.3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8" x14ac:dyDescent="0.3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8" x14ac:dyDescent="0.3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8" x14ac:dyDescent="0.3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8" x14ac:dyDescent="0.3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8" x14ac:dyDescent="0.3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8" x14ac:dyDescent="0.3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8" x14ac:dyDescent="0.3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8" x14ac:dyDescent="0.3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8" x14ac:dyDescent="0.3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8" x14ac:dyDescent="0.3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8" x14ac:dyDescent="0.3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8" x14ac:dyDescent="0.3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8" x14ac:dyDescent="0.3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8" x14ac:dyDescent="0.3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8" x14ac:dyDescent="0.3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8" x14ac:dyDescent="0.3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8" x14ac:dyDescent="0.3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8" x14ac:dyDescent="0.3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8" x14ac:dyDescent="0.3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8" x14ac:dyDescent="0.3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8" x14ac:dyDescent="0.3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8" x14ac:dyDescent="0.3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8" x14ac:dyDescent="0.3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8" x14ac:dyDescent="0.3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8" x14ac:dyDescent="0.3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8" x14ac:dyDescent="0.3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8" x14ac:dyDescent="0.3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8" x14ac:dyDescent="0.3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8" x14ac:dyDescent="0.3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8" x14ac:dyDescent="0.3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8" x14ac:dyDescent="0.3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8" x14ac:dyDescent="0.3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8" x14ac:dyDescent="0.3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8" x14ac:dyDescent="0.3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8" x14ac:dyDescent="0.3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8" x14ac:dyDescent="0.3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8" x14ac:dyDescent="0.3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8" x14ac:dyDescent="0.3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8" x14ac:dyDescent="0.3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8" x14ac:dyDescent="0.3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8" x14ac:dyDescent="0.3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8" x14ac:dyDescent="0.3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8" x14ac:dyDescent="0.3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8" x14ac:dyDescent="0.3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8" x14ac:dyDescent="0.3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8" x14ac:dyDescent="0.3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8" x14ac:dyDescent="0.3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8" x14ac:dyDescent="0.3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8" x14ac:dyDescent="0.3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8" x14ac:dyDescent="0.3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8" x14ac:dyDescent="0.3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8" x14ac:dyDescent="0.3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8" x14ac:dyDescent="0.3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8" x14ac:dyDescent="0.3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8" x14ac:dyDescent="0.3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8" x14ac:dyDescent="0.3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8" x14ac:dyDescent="0.3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8" x14ac:dyDescent="0.3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8" x14ac:dyDescent="0.3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8" x14ac:dyDescent="0.3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8" x14ac:dyDescent="0.3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8" x14ac:dyDescent="0.3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8" x14ac:dyDescent="0.3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8" x14ac:dyDescent="0.3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8" x14ac:dyDescent="0.3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8" x14ac:dyDescent="0.3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8" x14ac:dyDescent="0.3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8" x14ac:dyDescent="0.3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8" x14ac:dyDescent="0.3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8" x14ac:dyDescent="0.3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8" x14ac:dyDescent="0.3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8" x14ac:dyDescent="0.3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8" x14ac:dyDescent="0.3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8" x14ac:dyDescent="0.3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8" x14ac:dyDescent="0.3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8" x14ac:dyDescent="0.3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8" x14ac:dyDescent="0.3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8" x14ac:dyDescent="0.3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8" x14ac:dyDescent="0.3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8" x14ac:dyDescent="0.3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8" x14ac:dyDescent="0.3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8" x14ac:dyDescent="0.3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8" x14ac:dyDescent="0.3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8" x14ac:dyDescent="0.3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8" x14ac:dyDescent="0.3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8" x14ac:dyDescent="0.3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8" x14ac:dyDescent="0.3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8" x14ac:dyDescent="0.3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8" x14ac:dyDescent="0.3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8" x14ac:dyDescent="0.3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8" x14ac:dyDescent="0.3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8" x14ac:dyDescent="0.3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8" x14ac:dyDescent="0.3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8" x14ac:dyDescent="0.3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8" x14ac:dyDescent="0.3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8" x14ac:dyDescent="0.3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8" x14ac:dyDescent="0.3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8" x14ac:dyDescent="0.3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8" x14ac:dyDescent="0.3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8" x14ac:dyDescent="0.3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8" x14ac:dyDescent="0.3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8" x14ac:dyDescent="0.3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8" x14ac:dyDescent="0.3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8" x14ac:dyDescent="0.3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8" x14ac:dyDescent="0.3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8" x14ac:dyDescent="0.3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8" x14ac:dyDescent="0.3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8" x14ac:dyDescent="0.3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8" x14ac:dyDescent="0.3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8" x14ac:dyDescent="0.3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8" x14ac:dyDescent="0.3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8" x14ac:dyDescent="0.3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8" x14ac:dyDescent="0.3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8" x14ac:dyDescent="0.3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8" x14ac:dyDescent="0.3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8" x14ac:dyDescent="0.3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8" x14ac:dyDescent="0.3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8" x14ac:dyDescent="0.3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8" x14ac:dyDescent="0.3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8" x14ac:dyDescent="0.3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8" x14ac:dyDescent="0.3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8" x14ac:dyDescent="0.3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8" x14ac:dyDescent="0.3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8" x14ac:dyDescent="0.3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8" x14ac:dyDescent="0.3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8" x14ac:dyDescent="0.3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8" x14ac:dyDescent="0.3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8" x14ac:dyDescent="0.3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8" x14ac:dyDescent="0.3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8" x14ac:dyDescent="0.3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8" x14ac:dyDescent="0.3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8" x14ac:dyDescent="0.3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8" x14ac:dyDescent="0.3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8" x14ac:dyDescent="0.3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8" x14ac:dyDescent="0.3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8" x14ac:dyDescent="0.3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8" x14ac:dyDescent="0.3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8" x14ac:dyDescent="0.3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8" x14ac:dyDescent="0.3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8" x14ac:dyDescent="0.3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8" x14ac:dyDescent="0.3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8" x14ac:dyDescent="0.3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8" x14ac:dyDescent="0.3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8" x14ac:dyDescent="0.3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8" x14ac:dyDescent="0.3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8" x14ac:dyDescent="0.3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8" x14ac:dyDescent="0.3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8" x14ac:dyDescent="0.3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8" x14ac:dyDescent="0.3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8" x14ac:dyDescent="0.3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8" x14ac:dyDescent="0.3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8" x14ac:dyDescent="0.3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8" x14ac:dyDescent="0.3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8" x14ac:dyDescent="0.3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8" x14ac:dyDescent="0.3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8" x14ac:dyDescent="0.3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8" x14ac:dyDescent="0.3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8" x14ac:dyDescent="0.3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8" x14ac:dyDescent="0.3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8" x14ac:dyDescent="0.3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8" x14ac:dyDescent="0.3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8" x14ac:dyDescent="0.3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8" x14ac:dyDescent="0.3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8" x14ac:dyDescent="0.3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8" x14ac:dyDescent="0.3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8" x14ac:dyDescent="0.3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8" x14ac:dyDescent="0.3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8" x14ac:dyDescent="0.3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8" x14ac:dyDescent="0.3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8" x14ac:dyDescent="0.3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8" x14ac:dyDescent="0.3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8" x14ac:dyDescent="0.3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8" x14ac:dyDescent="0.3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8" x14ac:dyDescent="0.3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8" x14ac:dyDescent="0.3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8" x14ac:dyDescent="0.3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8" x14ac:dyDescent="0.3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8" x14ac:dyDescent="0.3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8" x14ac:dyDescent="0.3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8" x14ac:dyDescent="0.3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8" x14ac:dyDescent="0.3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8" x14ac:dyDescent="0.3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8" x14ac:dyDescent="0.3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8" x14ac:dyDescent="0.3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8" x14ac:dyDescent="0.3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8" x14ac:dyDescent="0.3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8" x14ac:dyDescent="0.3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8" x14ac:dyDescent="0.3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8" x14ac:dyDescent="0.3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8" x14ac:dyDescent="0.3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8" x14ac:dyDescent="0.3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8" x14ac:dyDescent="0.3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8" x14ac:dyDescent="0.3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8" x14ac:dyDescent="0.3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8" x14ac:dyDescent="0.3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8" x14ac:dyDescent="0.3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8" x14ac:dyDescent="0.3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8" x14ac:dyDescent="0.3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8" x14ac:dyDescent="0.3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8" x14ac:dyDescent="0.3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8" x14ac:dyDescent="0.3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8" x14ac:dyDescent="0.3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8" x14ac:dyDescent="0.3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8" x14ac:dyDescent="0.3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8" x14ac:dyDescent="0.3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8" x14ac:dyDescent="0.3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8" x14ac:dyDescent="0.3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8" x14ac:dyDescent="0.3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8" x14ac:dyDescent="0.3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8" x14ac:dyDescent="0.3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8" x14ac:dyDescent="0.3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8" x14ac:dyDescent="0.3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8" x14ac:dyDescent="0.3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8" x14ac:dyDescent="0.3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8" x14ac:dyDescent="0.3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8" x14ac:dyDescent="0.3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8" x14ac:dyDescent="0.3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8" x14ac:dyDescent="0.3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8" x14ac:dyDescent="0.3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8" x14ac:dyDescent="0.3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8" x14ac:dyDescent="0.3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8" x14ac:dyDescent="0.3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8" x14ac:dyDescent="0.3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8" x14ac:dyDescent="0.3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8" x14ac:dyDescent="0.3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8" x14ac:dyDescent="0.3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8" x14ac:dyDescent="0.3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8" x14ac:dyDescent="0.3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8" x14ac:dyDescent="0.3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8" x14ac:dyDescent="0.3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8" x14ac:dyDescent="0.3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8" x14ac:dyDescent="0.3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8" x14ac:dyDescent="0.3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8" x14ac:dyDescent="0.3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8" x14ac:dyDescent="0.3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8" x14ac:dyDescent="0.3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8" x14ac:dyDescent="0.3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8" x14ac:dyDescent="0.3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8" x14ac:dyDescent="0.3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8" x14ac:dyDescent="0.3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8" x14ac:dyDescent="0.3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8" x14ac:dyDescent="0.3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8" x14ac:dyDescent="0.3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8" x14ac:dyDescent="0.3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8" x14ac:dyDescent="0.3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8" x14ac:dyDescent="0.3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8" x14ac:dyDescent="0.3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8" x14ac:dyDescent="0.3">
      <c r="A326" s="23"/>
      <c r="B326" s="23"/>
      <c r="C326" s="23"/>
      <c r="D326" s="23"/>
      <c r="E326" s="23"/>
      <c r="F326" s="24"/>
      <c r="G326" s="23"/>
      <c r="H326" s="23"/>
      <c r="I326" s="24"/>
    </row>
  </sheetData>
  <mergeCells count="4">
    <mergeCell ref="G1:I1"/>
    <mergeCell ref="A1:C1"/>
    <mergeCell ref="D1:F1"/>
    <mergeCell ref="A2:B2"/>
  </mergeCells>
  <conditionalFormatting sqref="F2 I2 F4:F84 I4:I84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5"/>
  <sheetViews>
    <sheetView zoomScale="80" zoomScaleNormal="80" zoomScaleSheetLayoutView="50" workbookViewId="0">
      <pane ySplit="3" topLeftCell="A4" activePane="bottomLeft" state="frozen"/>
      <selection activeCell="I6" sqref="I6"/>
      <selection pane="bottomLeft" activeCell="J20" sqref="J20"/>
    </sheetView>
  </sheetViews>
  <sheetFormatPr defaultRowHeight="13.8" x14ac:dyDescent="0.25"/>
  <cols>
    <col min="1" max="1" width="35.88671875" bestFit="1" customWidth="1"/>
    <col min="2" max="2" width="8.44140625" style="3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0" t="str" cm="1">
        <f t="array" ref="A1">portfolio</f>
        <v>Mahopac Central School District</v>
      </c>
      <c r="B1" s="60"/>
      <c r="C1" s="60"/>
      <c r="D1" s="61" t="s">
        <v>18</v>
      </c>
      <c r="E1" s="61"/>
      <c r="F1" s="61"/>
      <c r="G1" s="59" t="s">
        <v>19</v>
      </c>
      <c r="H1" s="59"/>
      <c r="I1" s="59"/>
      <c r="J1" s="5"/>
      <c r="K1" s="5"/>
    </row>
    <row r="2" spans="1:11" ht="19.5" customHeight="1" x14ac:dyDescent="0.25">
      <c r="A2" s="62" t="s">
        <v>2</v>
      </c>
      <c r="B2" s="62"/>
      <c r="C2" s="6">
        <f>SUM(C4:C83)</f>
        <v>0</v>
      </c>
      <c r="D2" s="6">
        <f>SUM(D4:D83)</f>
        <v>0</v>
      </c>
      <c r="E2" s="6">
        <f>C2-D2</f>
        <v>0</v>
      </c>
      <c r="F2" s="7">
        <f>IFERROR(E2/D2, 0)</f>
        <v>0</v>
      </c>
      <c r="G2" s="6">
        <f>SUM(G4:G83)</f>
        <v>0</v>
      </c>
      <c r="H2" s="8">
        <f>C2-G2</f>
        <v>0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2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3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 x14ac:dyDescent="0.3">
      <c r="A4" s="34" t="str" cm="1">
        <f t="array" ref="A4:A5">Sites[Site]</f>
        <v>Mahopac - Austin Road  ES</v>
      </c>
      <c r="B4" s="31" t="str" cm="1">
        <f t="array" ref="B4:B5">Sites[State]</f>
        <v>NY</v>
      </c>
      <c r="C4" s="26"/>
      <c r="D4" s="14"/>
      <c r="E4" s="14" t="str">
        <f>IF(AND(ISNUMBER(C4),ISNUMBER(D4)), C4-D4, "")</f>
        <v/>
      </c>
      <c r="F4" s="15">
        <f>IFERROR(E4/D4, 0)</f>
        <v>0</v>
      </c>
      <c r="G4" s="53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 x14ac:dyDescent="0.25">
      <c r="A5" s="32" t="str">
        <v>Mahopcac -  Lakeview ES</v>
      </c>
      <c r="B5" s="33" t="str">
        <v>NY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54"/>
      <c r="H5" s="22" t="str">
        <f t="shared" ref="H5" si="1">IF(AND(ISNUMBER(C5),ISNUMBER(G5)), C5-G5, "")</f>
        <v/>
      </c>
      <c r="I5" s="21" t="str">
        <f>IFERROR(H5/G5,"")</f>
        <v/>
      </c>
      <c r="J5" s="48"/>
      <c r="K5" s="50"/>
    </row>
    <row r="6" spans="1:11" ht="14.4" x14ac:dyDescent="0.3">
      <c r="A6" s="23"/>
      <c r="B6" s="35"/>
      <c r="C6" s="23"/>
      <c r="D6" s="23"/>
      <c r="E6" s="23"/>
      <c r="F6" s="23"/>
      <c r="G6" s="51"/>
      <c r="H6" s="23"/>
      <c r="I6" s="23"/>
      <c r="J6" s="23"/>
      <c r="K6" s="23"/>
    </row>
    <row r="7" spans="1:11" ht="14.4" x14ac:dyDescent="0.3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5"/>
      <c r="C12" s="23"/>
      <c r="D12" s="23"/>
      <c r="E12" s="23"/>
      <c r="F12" s="23"/>
      <c r="G12" s="23"/>
      <c r="H12" s="52"/>
      <c r="I12" s="23"/>
      <c r="J12" s="23"/>
      <c r="K12" s="23"/>
    </row>
    <row r="13" spans="1:11" ht="14.4" x14ac:dyDescent="0.3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5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" x14ac:dyDescent="0.3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" x14ac:dyDescent="0.3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</sheetData>
  <mergeCells count="4">
    <mergeCell ref="D1:F1"/>
    <mergeCell ref="A1:C1"/>
    <mergeCell ref="G1:I1"/>
    <mergeCell ref="A2:B2"/>
  </mergeCells>
  <conditionalFormatting sqref="F2 I2 F4:F83 I4:I83">
    <cfRule type="cellIs" dxfId="23" priority="2" stopIfTrue="1" operator="lessThanOrEqual">
      <formula>-0.1</formula>
    </cfRule>
    <cfRule type="expression" dxfId="22" priority="3">
      <formula>AND(ISNUMBER(F2), F2&gt;=0.1)</formula>
    </cfRule>
  </conditionalFormatting>
  <pageMargins left="0.4" right="0.7" top="0.25" bottom="0.25" header="0.3" footer="0.3"/>
  <pageSetup scale="48"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26"/>
  <sheetViews>
    <sheetView zoomScale="60" zoomScaleNormal="60" workbookViewId="0">
      <pane ySplit="2" topLeftCell="A3" activePane="bottomLeft" state="frozen"/>
      <selection activeCell="J16" sqref="J16"/>
      <selection pane="bottomLeft" activeCell="K33" sqref="K33"/>
    </sheetView>
  </sheetViews>
  <sheetFormatPr defaultRowHeight="13.8" x14ac:dyDescent="0.25"/>
  <cols>
    <col min="1" max="1" width="35.88671875" bestFit="1" customWidth="1"/>
    <col min="2" max="2" width="8.44140625" style="3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2" ht="19.5" customHeight="1" x14ac:dyDescent="0.25">
      <c r="A1" s="60" t="str" cm="1">
        <f t="array" ref="A1">portfolio</f>
        <v>Mahopac Central School District</v>
      </c>
      <c r="B1" s="60"/>
      <c r="C1" s="60"/>
      <c r="D1" s="61" t="s">
        <v>22</v>
      </c>
      <c r="E1" s="61"/>
      <c r="F1" s="61"/>
      <c r="G1" s="59" t="s">
        <v>23</v>
      </c>
      <c r="H1" s="59"/>
      <c r="I1" s="59"/>
      <c r="J1" s="5"/>
      <c r="K1" s="5"/>
    </row>
    <row r="2" spans="1:12" ht="19.5" customHeight="1" x14ac:dyDescent="0.25">
      <c r="A2" s="62" t="s">
        <v>2</v>
      </c>
      <c r="B2" s="62"/>
      <c r="C2" s="6">
        <f>SUM(C4:C84)</f>
        <v>0</v>
      </c>
      <c r="D2" s="6">
        <f>SUM(D4:D84)</f>
        <v>0</v>
      </c>
      <c r="E2" s="6">
        <f>C2-D2</f>
        <v>0</v>
      </c>
      <c r="F2" s="7">
        <f>IFERROR(E2/D2, 0)</f>
        <v>0</v>
      </c>
      <c r="G2" s="6">
        <f>SUM(G4:G84)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2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2" ht="15.6" x14ac:dyDescent="0.3">
      <c r="A4" s="34" t="str" cm="1">
        <f t="array" ref="A4:A5">Sites[Site]</f>
        <v>Mahopac - Austin Road  ES</v>
      </c>
      <c r="B4" s="31" t="str" cm="1">
        <f t="array" ref="B4:B5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55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2" ht="15.6" x14ac:dyDescent="0.25">
      <c r="A5" s="32" t="str">
        <v>Mahopcac -  Lakeview ES</v>
      </c>
      <c r="B5" s="33" t="str">
        <v>NY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54"/>
      <c r="H5" s="22" t="str">
        <f t="shared" ref="H5" si="1">IF(AND(ISNUMBER(C5),ISNUMBER(G5)), C5-G5, "")</f>
        <v/>
      </c>
      <c r="I5" s="21" t="str">
        <f>IFERROR(H5/G5,"")</f>
        <v/>
      </c>
      <c r="J5" s="48"/>
      <c r="K5" s="56"/>
      <c r="L5" s="57"/>
    </row>
    <row r="6" spans="1:12" ht="14.4" x14ac:dyDescent="0.3">
      <c r="A6" s="23"/>
      <c r="B6" s="35"/>
      <c r="C6" s="23"/>
      <c r="D6" s="23"/>
      <c r="E6" s="23"/>
      <c r="F6" s="23"/>
      <c r="G6" s="23"/>
      <c r="H6" s="23"/>
      <c r="I6" s="23"/>
      <c r="J6" s="23"/>
      <c r="K6" s="23"/>
    </row>
    <row r="7" spans="1:12" ht="14.4" x14ac:dyDescent="0.3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2" ht="14.4" x14ac:dyDescent="0.3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2" ht="14.4" x14ac:dyDescent="0.3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" x14ac:dyDescent="0.3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" x14ac:dyDescent="0.3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" x14ac:dyDescent="0.3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" x14ac:dyDescent="0.3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" x14ac:dyDescent="0.3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" x14ac:dyDescent="0.3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" x14ac:dyDescent="0.3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" x14ac:dyDescent="0.3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C326" s="23"/>
      <c r="D326" s="23"/>
      <c r="E326" s="23"/>
      <c r="F326" s="24"/>
      <c r="G326" s="23"/>
      <c r="H326" s="23"/>
      <c r="I326" s="24"/>
      <c r="J326" s="23"/>
      <c r="K326" s="23"/>
    </row>
  </sheetData>
  <mergeCells count="4">
    <mergeCell ref="G1:I1"/>
    <mergeCell ref="A1:C1"/>
    <mergeCell ref="D1:F1"/>
    <mergeCell ref="A2:B2"/>
  </mergeCells>
  <conditionalFormatting sqref="F2 I2 F4:F84 I4:I84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26"/>
  <sheetViews>
    <sheetView zoomScale="60" zoomScaleNormal="60" workbookViewId="0">
      <pane ySplit="2" topLeftCell="A3" activePane="bottomLeft" state="frozen"/>
      <selection activeCell="J16" sqref="J16"/>
      <selection pane="bottomLeft" activeCell="J28" sqref="J28"/>
    </sheetView>
  </sheetViews>
  <sheetFormatPr defaultRowHeight="13.8" x14ac:dyDescent="0.25"/>
  <cols>
    <col min="1" max="1" width="35.88671875" bestFit="1" customWidth="1"/>
    <col min="2" max="2" width="8.44140625" style="3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2" ht="19.5" customHeight="1" x14ac:dyDescent="0.25">
      <c r="A1" s="60" t="str" cm="1">
        <f t="array" ref="A1">portfolio</f>
        <v>Mahopac Central School District</v>
      </c>
      <c r="B1" s="60"/>
      <c r="C1" s="60"/>
      <c r="D1" s="61" t="s">
        <v>24</v>
      </c>
      <c r="E1" s="61"/>
      <c r="F1" s="61"/>
      <c r="G1" s="59" t="s">
        <v>25</v>
      </c>
      <c r="H1" s="59"/>
      <c r="I1" s="59"/>
      <c r="J1" s="5"/>
      <c r="K1" s="5"/>
    </row>
    <row r="2" spans="1:12" ht="19.5" customHeight="1" x14ac:dyDescent="0.25">
      <c r="A2" s="62" t="s">
        <v>2</v>
      </c>
      <c r="B2" s="62"/>
      <c r="C2" s="6">
        <f>SUM(C4:C84)</f>
        <v>0</v>
      </c>
      <c r="D2" s="6">
        <f>SUM(D4:D84)</f>
        <v>0</v>
      </c>
      <c r="E2" s="6">
        <f>C2-D2</f>
        <v>0</v>
      </c>
      <c r="F2" s="7">
        <f>IFERROR(E2/D2, 0)</f>
        <v>0</v>
      </c>
      <c r="G2" s="6">
        <f>SUM(G4:G84)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2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2" ht="15.6" x14ac:dyDescent="0.3">
      <c r="A4" s="34" t="str" cm="1">
        <f t="array" ref="A4:A5">Sites[Site]</f>
        <v>Mahopac - Austin Road  ES</v>
      </c>
      <c r="B4" s="31" t="str" cm="1">
        <f t="array" ref="B4:B5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55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2" ht="15.6" x14ac:dyDescent="0.25">
      <c r="A5" s="32" t="str">
        <v>Mahopcac -  Lakeview ES</v>
      </c>
      <c r="B5" s="33" t="str">
        <v>NY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54"/>
      <c r="H5" s="22" t="str">
        <f t="shared" ref="H5" si="1">IF(AND(ISNUMBER(C5),ISNUMBER(G5)), C5-G5, "")</f>
        <v/>
      </c>
      <c r="I5" s="21" t="str">
        <f>IFERROR(H5/G5,"")</f>
        <v/>
      </c>
      <c r="J5" s="48"/>
      <c r="K5" s="56"/>
      <c r="L5" s="57"/>
    </row>
    <row r="6" spans="1:12" ht="14.4" x14ac:dyDescent="0.3">
      <c r="A6" s="23"/>
      <c r="B6" s="35"/>
      <c r="C6" s="23"/>
      <c r="D6" s="23"/>
      <c r="E6" s="23"/>
      <c r="F6" s="23"/>
      <c r="G6" s="23"/>
      <c r="H6" s="23"/>
      <c r="I6" s="23"/>
      <c r="J6" s="23"/>
      <c r="K6" s="23"/>
    </row>
    <row r="7" spans="1:12" ht="14.4" x14ac:dyDescent="0.3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2" ht="14.4" x14ac:dyDescent="0.3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2" ht="14.4" x14ac:dyDescent="0.3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" x14ac:dyDescent="0.3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" x14ac:dyDescent="0.3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" x14ac:dyDescent="0.3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" x14ac:dyDescent="0.3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" x14ac:dyDescent="0.3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" x14ac:dyDescent="0.3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" x14ac:dyDescent="0.3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" x14ac:dyDescent="0.3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C326" s="23"/>
      <c r="D326" s="23"/>
      <c r="E326" s="23"/>
      <c r="F326" s="24"/>
      <c r="G326" s="23"/>
      <c r="H326" s="23"/>
      <c r="I326" s="24"/>
      <c r="J326" s="23"/>
      <c r="K326" s="23"/>
    </row>
  </sheetData>
  <mergeCells count="4">
    <mergeCell ref="G1:I1"/>
    <mergeCell ref="A1:C1"/>
    <mergeCell ref="D1:F1"/>
    <mergeCell ref="A2:B2"/>
  </mergeCells>
  <conditionalFormatting sqref="F2 I2 F4:F84 I4:I84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7"/>
  <sheetViews>
    <sheetView workbookViewId="0">
      <pane ySplit="2" topLeftCell="A3" activePane="bottomLeft" state="frozen"/>
      <selection activeCell="J16" sqref="J16"/>
      <selection pane="bottomLeft" activeCell="D19" sqref="D19"/>
    </sheetView>
  </sheetViews>
  <sheetFormatPr defaultRowHeight="13.8" x14ac:dyDescent="0.25"/>
  <cols>
    <col min="1" max="1" width="35.88671875" bestFit="1" customWidth="1"/>
    <col min="2" max="2" width="8.44140625" style="3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0" t="str" cm="1">
        <f t="array" ref="A1">portfolio</f>
        <v>Mahopac Central School District</v>
      </c>
      <c r="B1" s="60"/>
      <c r="C1" s="60"/>
      <c r="D1" s="61" t="s">
        <v>26</v>
      </c>
      <c r="E1" s="61"/>
      <c r="F1" s="61"/>
      <c r="G1" s="59" t="s">
        <v>27</v>
      </c>
      <c r="H1" s="59"/>
      <c r="I1" s="59"/>
      <c r="J1" s="5"/>
      <c r="K1" s="5"/>
    </row>
    <row r="2" spans="1:11" ht="19.5" customHeight="1" x14ac:dyDescent="0.25">
      <c r="A2" s="62" t="s">
        <v>2</v>
      </c>
      <c r="B2" s="62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 x14ac:dyDescent="0.3">
      <c r="A4" s="34" t="str" cm="1">
        <f t="array" ref="A4:A5">Sites[Site]</f>
        <v>Mahopac - Austin Road  ES</v>
      </c>
      <c r="B4" s="31" t="str" cm="1">
        <f t="array" ref="B4:B5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 x14ac:dyDescent="0.25">
      <c r="A5" s="32" t="str">
        <v>Mahopcac -  Lakeview ES</v>
      </c>
      <c r="B5" s="33" t="str">
        <v>NY</v>
      </c>
      <c r="C5" s="44"/>
      <c r="D5" s="44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11"/>
      <c r="K5" s="19"/>
    </row>
    <row r="6" spans="1:11" ht="15.6" x14ac:dyDescent="0.25">
      <c r="A6" s="30"/>
      <c r="B6" s="31"/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/>
      <c r="K6" s="18"/>
    </row>
    <row r="7" spans="1:11" ht="14.4" x14ac:dyDescent="0.3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7"/>
  <sheetViews>
    <sheetView zoomScale="80" zoomScaleNormal="80" workbookViewId="0">
      <pane ySplit="2" topLeftCell="A3" activePane="bottomLeft" state="frozen"/>
      <selection activeCell="J16" sqref="J16"/>
      <selection pane="bottomLeft" activeCell="I16" sqref="I16"/>
    </sheetView>
  </sheetViews>
  <sheetFormatPr defaultRowHeight="13.8" x14ac:dyDescent="0.25"/>
  <cols>
    <col min="1" max="1" width="35.88671875" bestFit="1" customWidth="1"/>
    <col min="2" max="2" width="8.44140625" style="3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0" t="str" cm="1">
        <f t="array" ref="A1">portfolio</f>
        <v>Mahopac Central School District</v>
      </c>
      <c r="B1" s="60"/>
      <c r="C1" s="60"/>
      <c r="D1" s="61" t="s">
        <v>28</v>
      </c>
      <c r="E1" s="61"/>
      <c r="F1" s="61"/>
      <c r="G1" s="59" t="s">
        <v>29</v>
      </c>
      <c r="H1" s="59"/>
      <c r="I1" s="59"/>
      <c r="J1" s="5"/>
      <c r="K1" s="5"/>
    </row>
    <row r="2" spans="1:11" ht="19.5" customHeight="1" x14ac:dyDescent="0.25">
      <c r="A2" s="62" t="s">
        <v>2</v>
      </c>
      <c r="B2" s="62"/>
      <c r="C2" s="6">
        <f>SUM(C4:C85)</f>
        <v>45497.5</v>
      </c>
      <c r="D2" s="6">
        <f>SUM(D4:D85)</f>
        <v>54376.7</v>
      </c>
      <c r="E2" s="6">
        <f>C2-D2</f>
        <v>-8879.1999999999971</v>
      </c>
      <c r="F2" s="7">
        <f>IFERROR(E2/D2, 0)</f>
        <v>-0.16329052700881072</v>
      </c>
      <c r="G2" s="6">
        <f>SUM(G4:G85)</f>
        <v>0</v>
      </c>
      <c r="H2" s="8">
        <f>C2-G2</f>
        <v>45497.5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 x14ac:dyDescent="0.3">
      <c r="A4" s="34" t="str" cm="1">
        <f t="array" ref="A4:A5">Sites[Site]</f>
        <v>Mahopac - Austin Road  ES</v>
      </c>
      <c r="B4" s="31" t="str" cm="1">
        <f t="array" ref="B4:B5">Sites[State]</f>
        <v>NY</v>
      </c>
      <c r="C4" s="26">
        <v>45497.5</v>
      </c>
      <c r="D4" s="14">
        <v>54376.7</v>
      </c>
      <c r="E4" s="14">
        <f>IF(AND(ISNUMBER(C4),ISNUMBER(D4)), C4-D4, "")</f>
        <v>-8879.1999999999971</v>
      </c>
      <c r="F4" s="15">
        <f>IFERROR(E4/D4, "")</f>
        <v>-0.16329052700881072</v>
      </c>
      <c r="G4" s="16"/>
      <c r="H4" s="16" t="str">
        <f>IF(AND(ISNUMBER(C4),ISNUMBER(G4)), C4-G4, "")</f>
        <v/>
      </c>
      <c r="I4" s="17" t="str">
        <f>IFERROR(H4/G4,"")</f>
        <v/>
      </c>
      <c r="J4" s="18" t="s">
        <v>30</v>
      </c>
      <c r="K4" s="18" t="s">
        <v>31</v>
      </c>
    </row>
    <row r="5" spans="1:11" ht="15.6" x14ac:dyDescent="0.25">
      <c r="A5" s="32" t="str">
        <v>Mahopcac -  Lakeview ES</v>
      </c>
      <c r="B5" s="33" t="str">
        <v>NY</v>
      </c>
      <c r="C5" s="44"/>
      <c r="D5" s="44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11"/>
      <c r="K5" s="19"/>
    </row>
    <row r="6" spans="1:11" ht="14.4" x14ac:dyDescent="0.3">
      <c r="A6" s="23"/>
      <c r="B6" s="35"/>
      <c r="C6" s="23"/>
      <c r="D6" s="23"/>
      <c r="E6" s="23" t="str">
        <f t="shared" si="0"/>
        <v/>
      </c>
      <c r="F6" s="23" t="str">
        <f t="shared" ref="F6" si="2">IFERROR(E6/D6, "")</f>
        <v/>
      </c>
      <c r="G6" s="23"/>
      <c r="H6" s="23" t="str">
        <f t="shared" si="1"/>
        <v/>
      </c>
      <c r="I6" s="23" t="str">
        <f>IFERROR(H6/G6,"")</f>
        <v/>
      </c>
      <c r="J6" s="23"/>
      <c r="K6" s="23"/>
    </row>
    <row r="7" spans="1:11" ht="14.4" x14ac:dyDescent="0.3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7"/>
  <sheetViews>
    <sheetView workbookViewId="0">
      <pane ySplit="2" topLeftCell="A3" activePane="bottomLeft" state="frozen"/>
      <selection activeCell="J16" sqref="J16"/>
      <selection pane="bottomLeft" activeCell="J16" sqref="J16"/>
    </sheetView>
  </sheetViews>
  <sheetFormatPr defaultRowHeight="13.8" x14ac:dyDescent="0.25"/>
  <cols>
    <col min="1" max="1" width="35.88671875" bestFit="1" customWidth="1"/>
    <col min="2" max="2" width="8.44140625" style="3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0" t="str" cm="1">
        <f t="array" ref="A1">portfolio</f>
        <v>Mahopac Central School District</v>
      </c>
      <c r="B1" s="60"/>
      <c r="C1" s="60"/>
      <c r="D1" s="61" t="s">
        <v>32</v>
      </c>
      <c r="E1" s="61"/>
      <c r="F1" s="61"/>
      <c r="G1" s="59" t="s">
        <v>33</v>
      </c>
      <c r="H1" s="59"/>
      <c r="I1" s="59"/>
      <c r="J1" s="5"/>
      <c r="K1" s="5"/>
    </row>
    <row r="2" spans="1:11" ht="19.5" customHeight="1" x14ac:dyDescent="0.25">
      <c r="A2" s="62" t="s">
        <v>2</v>
      </c>
      <c r="B2" s="62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 x14ac:dyDescent="0.3">
      <c r="A4" s="34" t="str" cm="1">
        <f t="array" ref="A4:A5">Sites[Site]</f>
        <v>Mahopac - Austin Road  ES</v>
      </c>
      <c r="B4" s="31" t="str" cm="1">
        <f t="array" ref="B4:B5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 x14ac:dyDescent="0.25">
      <c r="A5" s="32" t="str">
        <v>Mahopcac -  Lakeview ES</v>
      </c>
      <c r="B5" s="33" t="str">
        <v>NY</v>
      </c>
      <c r="C5" s="44"/>
      <c r="D5" s="44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>IFERROR(H5/G5,"")</f>
        <v/>
      </c>
      <c r="J5" s="11"/>
      <c r="K5" s="19"/>
    </row>
    <row r="6" spans="1:11" ht="15.6" x14ac:dyDescent="0.25">
      <c r="A6" s="30"/>
      <c r="B6" s="31"/>
      <c r="C6" s="26"/>
      <c r="D6" s="14"/>
      <c r="E6" s="14" t="str">
        <f t="shared" si="0"/>
        <v/>
      </c>
      <c r="F6" s="15" t="str">
        <f t="shared" ref="F6" si="2">IFERROR(E6/D6, "")</f>
        <v/>
      </c>
      <c r="G6" s="16"/>
      <c r="H6" s="16" t="str">
        <f t="shared" si="1"/>
        <v/>
      </c>
      <c r="I6" s="17" t="str">
        <f>IFERROR(H6/G6,"")</f>
        <v/>
      </c>
      <c r="J6" s="18"/>
      <c r="K6" s="18"/>
    </row>
    <row r="7" spans="1:11" ht="14.4" x14ac:dyDescent="0.3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" x14ac:dyDescent="0.3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" x14ac:dyDescent="0.3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6"/>
  <sheetViews>
    <sheetView zoomScale="70" zoomScaleNormal="70" workbookViewId="0">
      <pane ySplit="2" topLeftCell="A3" activePane="bottomLeft" state="frozen"/>
      <selection activeCell="J16" sqref="J16"/>
      <selection pane="bottomLeft" activeCell="J4" sqref="J4"/>
    </sheetView>
  </sheetViews>
  <sheetFormatPr defaultRowHeight="13.8" x14ac:dyDescent="0.25"/>
  <cols>
    <col min="1" max="1" width="35.88671875" bestFit="1" customWidth="1"/>
    <col min="2" max="2" width="8.44140625" style="3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89.6640625" customWidth="1"/>
    <col min="11" max="11" width="20.5546875" bestFit="1" customWidth="1"/>
  </cols>
  <sheetData>
    <row r="1" spans="1:11" ht="19.5" customHeight="1" x14ac:dyDescent="0.25">
      <c r="A1" s="60" t="str" cm="1">
        <f t="array" ref="A1">portfolio</f>
        <v>Mahopac Central School District</v>
      </c>
      <c r="B1" s="60"/>
      <c r="C1" s="60"/>
      <c r="D1" s="61" t="s">
        <v>34</v>
      </c>
      <c r="E1" s="61"/>
      <c r="F1" s="61"/>
      <c r="G1" s="59" t="s">
        <v>35</v>
      </c>
      <c r="H1" s="59"/>
      <c r="I1" s="59"/>
      <c r="J1" s="5"/>
      <c r="K1" s="5"/>
    </row>
    <row r="2" spans="1:11" ht="19.5" customHeight="1" x14ac:dyDescent="0.25">
      <c r="A2" s="62" t="s">
        <v>2</v>
      </c>
      <c r="B2" s="62"/>
      <c r="C2" s="6">
        <f>SUM(C4:C84)</f>
        <v>56666.12</v>
      </c>
      <c r="D2" s="6">
        <f>SUM(D4:D84)</f>
        <v>66456.328999999998</v>
      </c>
      <c r="E2" s="6">
        <f>C2-D2</f>
        <v>-9790.2089999999953</v>
      </c>
      <c r="F2" s="7">
        <f>IFERROR(E2/D2, 0)</f>
        <v>-0.14731793265318635</v>
      </c>
      <c r="G2" s="6">
        <f>SUM(G4:G84)</f>
        <v>0</v>
      </c>
      <c r="H2" s="8">
        <f>C2-G2</f>
        <v>56666.12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 x14ac:dyDescent="0.3">
      <c r="A4" s="34" t="str" cm="1">
        <f t="array" ref="A4:A5">Sites[Site]</f>
        <v>Mahopac - Austin Road  ES</v>
      </c>
      <c r="B4" s="31" t="str" cm="1">
        <f t="array" ref="B4:B5">Sites[State]</f>
        <v>NY</v>
      </c>
      <c r="C4" s="26">
        <v>56666.12</v>
      </c>
      <c r="D4" s="14">
        <v>66456.328999999998</v>
      </c>
      <c r="E4" s="14">
        <f>IF(AND(ISNUMBER(C4),ISNUMBER(D4)), C4-D4, "")</f>
        <v>-9790.2089999999953</v>
      </c>
      <c r="F4" s="15">
        <f>IFERROR(E4/D4, "")</f>
        <v>-0.14731793265318635</v>
      </c>
      <c r="G4" s="55" t="s">
        <v>36</v>
      </c>
      <c r="H4" s="16" t="str">
        <f>IF(AND(ISNUMBER(C4),ISNUMBER(G4)), C4-G4, "")</f>
        <v/>
      </c>
      <c r="I4" s="17" t="str">
        <f>IFERROR(H4/G4,"")</f>
        <v/>
      </c>
      <c r="J4" s="18" t="s">
        <v>64</v>
      </c>
      <c r="K4" s="64" t="s">
        <v>31</v>
      </c>
    </row>
    <row r="5" spans="1:11" ht="15.6" x14ac:dyDescent="0.25">
      <c r="A5" s="32" t="str">
        <v>Mahopcac -  Lakeview ES</v>
      </c>
      <c r="B5" s="33" t="str">
        <v>NY</v>
      </c>
      <c r="C5" s="12">
        <v>0</v>
      </c>
      <c r="D5" s="20">
        <v>0</v>
      </c>
      <c r="E5" s="20">
        <f t="shared" ref="E5" si="0">IF(AND(ISNUMBER(C5),ISNUMBER(D5)), C5-D5, "")</f>
        <v>0</v>
      </c>
      <c r="F5" s="21" t="str">
        <f>IFERROR(E5/D5, "")</f>
        <v/>
      </c>
      <c r="G5" s="54" t="s">
        <v>36</v>
      </c>
      <c r="H5" s="22" t="str">
        <f t="shared" ref="H5" si="1">IF(AND(ISNUMBER(C5),ISNUMBER(G5)), C5-G5, "")</f>
        <v/>
      </c>
      <c r="I5" s="21" t="str">
        <f>IFERROR(H5/G5,"")</f>
        <v/>
      </c>
      <c r="J5" s="45" t="s">
        <v>37</v>
      </c>
      <c r="K5" s="56" t="s">
        <v>38</v>
      </c>
    </row>
    <row r="6" spans="1:11" ht="14.4" x14ac:dyDescent="0.3">
      <c r="A6" s="23"/>
      <c r="B6" s="35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" x14ac:dyDescent="0.3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C326" s="23"/>
      <c r="D326" s="23"/>
      <c r="E326" s="23"/>
      <c r="F326" s="24"/>
      <c r="G326" s="23"/>
      <c r="H326" s="23"/>
      <c r="I326" s="24"/>
      <c r="J326" s="23"/>
      <c r="K326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84 I4:I84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hyperlinks>
    <hyperlink ref="K4" r:id="rId1" display="https://us3.assetplanner.com/service_request?ID=102245" xr:uid="{705F4408-A111-4372-B242-25B8715DE217}"/>
    <hyperlink ref="K5" r:id="rId2" display="https://us3.assetplanner.com/service_request?ID=103414" xr:uid="{C1D23961-2B73-48DD-9097-5B0B89A71845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6"/>
  <sheetViews>
    <sheetView zoomScale="80" zoomScaleNormal="80" workbookViewId="0">
      <pane ySplit="2" topLeftCell="A3" activePane="bottomLeft" state="frozen"/>
      <selection activeCell="J16" sqref="J16"/>
      <selection pane="bottomLeft" activeCell="J5" sqref="J5"/>
    </sheetView>
  </sheetViews>
  <sheetFormatPr defaultRowHeight="13.8" x14ac:dyDescent="0.25"/>
  <cols>
    <col min="1" max="1" width="35.88671875" bestFit="1" customWidth="1"/>
    <col min="2" max="2" width="8.44140625" style="3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0" t="str" cm="1">
        <f t="array" ref="A1">portfolio</f>
        <v>Mahopac Central School District</v>
      </c>
      <c r="B1" s="60"/>
      <c r="C1" s="60"/>
      <c r="D1" s="61" t="s">
        <v>39</v>
      </c>
      <c r="E1" s="61"/>
      <c r="F1" s="61"/>
      <c r="G1" s="59" t="s">
        <v>40</v>
      </c>
      <c r="H1" s="59"/>
      <c r="I1" s="59"/>
      <c r="J1" s="5"/>
      <c r="K1" s="5"/>
    </row>
    <row r="2" spans="1:11" ht="19.5" customHeight="1" x14ac:dyDescent="0.25">
      <c r="A2" s="62" t="s">
        <v>2</v>
      </c>
      <c r="B2" s="62"/>
      <c r="C2" s="6">
        <f>SUM(C4:C84)</f>
        <v>56891.83</v>
      </c>
      <c r="D2" s="6">
        <f>SUM(D4:D84)</f>
        <v>67267.448999999993</v>
      </c>
      <c r="E2" s="6">
        <f>C2-D2</f>
        <v>-10375.618999999992</v>
      </c>
      <c r="F2" s="7">
        <f>IFERROR(E2/D2, 0)</f>
        <v>-0.15424427645531782</v>
      </c>
      <c r="G2" s="6">
        <f>SUM(G4:G84)</f>
        <v>0</v>
      </c>
      <c r="H2" s="8">
        <f>C2-G2</f>
        <v>56891.83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28.8" x14ac:dyDescent="0.3">
      <c r="A4" s="34" t="str" cm="1">
        <f t="array" ref="A4:A5">Sites[Site]</f>
        <v>Mahopac - Austin Road  ES</v>
      </c>
      <c r="B4" s="31" t="str" cm="1">
        <f t="array" ref="B4:B5">Sites[State]</f>
        <v>NY</v>
      </c>
      <c r="C4" s="26">
        <v>56891.83</v>
      </c>
      <c r="D4" s="14">
        <v>67267.448999999993</v>
      </c>
      <c r="E4" s="14">
        <f>IF(AND(ISNUMBER(C4),ISNUMBER(D4)), C4-D4, "")</f>
        <v>-10375.618999999992</v>
      </c>
      <c r="F4" s="15">
        <f>IFERROR(E4/D4, "")</f>
        <v>-0.15424427645531782</v>
      </c>
      <c r="G4" s="55" t="s">
        <v>36</v>
      </c>
      <c r="H4" s="16" t="str">
        <f>IF(AND(ISNUMBER(C4),ISNUMBER(G4)), C4-G4, "")</f>
        <v/>
      </c>
      <c r="I4" s="17" t="str">
        <f>IFERROR(H4/G4,"")</f>
        <v/>
      </c>
      <c r="J4" s="18" t="s">
        <v>65</v>
      </c>
      <c r="K4" s="64" t="s">
        <v>31</v>
      </c>
    </row>
    <row r="5" spans="1:11" ht="15.6" x14ac:dyDescent="0.25">
      <c r="A5" s="32" t="str">
        <v>Mahopcac -  Lakeview ES</v>
      </c>
      <c r="B5" s="33" t="str">
        <v>NY</v>
      </c>
      <c r="C5" s="12">
        <v>0</v>
      </c>
      <c r="D5" s="20">
        <v>0</v>
      </c>
      <c r="E5" s="20">
        <f t="shared" ref="E5" si="0">IF(AND(ISNUMBER(C5),ISNUMBER(D5)), C5-D5, "")</f>
        <v>0</v>
      </c>
      <c r="F5" s="21" t="str">
        <f>IFERROR(E5/D5, "")</f>
        <v/>
      </c>
      <c r="G5" s="54" t="s">
        <v>36</v>
      </c>
      <c r="H5" s="22" t="str">
        <f t="shared" ref="H5" si="1">IF(AND(ISNUMBER(C5),ISNUMBER(G5)), C5-G5, "")</f>
        <v/>
      </c>
      <c r="I5" s="21" t="str">
        <f>IFERROR(H5/G5,"")</f>
        <v/>
      </c>
      <c r="J5" s="58" t="s">
        <v>66</v>
      </c>
      <c r="K5" s="66" t="s">
        <v>41</v>
      </c>
    </row>
    <row r="6" spans="1:11" ht="14.4" x14ac:dyDescent="0.3">
      <c r="A6" s="23"/>
      <c r="B6" s="35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" x14ac:dyDescent="0.3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C326" s="23"/>
      <c r="D326" s="23"/>
      <c r="E326" s="23"/>
      <c r="F326" s="24"/>
      <c r="G326" s="23"/>
      <c r="H326" s="23"/>
      <c r="I326" s="24"/>
      <c r="J326" s="23"/>
      <c r="K326" s="23"/>
    </row>
  </sheetData>
  <mergeCells count="4">
    <mergeCell ref="G1:I1"/>
    <mergeCell ref="A1:C1"/>
    <mergeCell ref="D1:F1"/>
    <mergeCell ref="A2:B2"/>
  </mergeCells>
  <conditionalFormatting sqref="F2 I2 F4:F84 I4:I84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hyperlinks>
    <hyperlink ref="K4" r:id="rId1" display="https://us3.assetplanner.com/service_request?ID=102245" xr:uid="{579FD661-4EEC-4253-A7D0-2F531FA84FCB}"/>
    <hyperlink ref="K5" r:id="rId2" display="https://us3.assetplanner.com/service_request?ID=103414" xr:uid="{656A7F4E-B14C-486C-B749-F1B591232C46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26"/>
  <sheetViews>
    <sheetView tabSelected="1" zoomScale="80" zoomScaleNormal="80" workbookViewId="0">
      <pane ySplit="2" topLeftCell="A3" activePane="bottomLeft" state="frozen"/>
      <selection activeCell="J16" sqref="J16"/>
      <selection pane="bottomLeft" activeCell="J11" sqref="J11"/>
    </sheetView>
  </sheetViews>
  <sheetFormatPr defaultRowHeight="13.8" x14ac:dyDescent="0.25"/>
  <cols>
    <col min="1" max="1" width="35.88671875" bestFit="1" customWidth="1"/>
    <col min="2" max="2" width="8.44140625" style="3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  <col min="12" max="12" width="8.88671875" style="63"/>
  </cols>
  <sheetData>
    <row r="1" spans="1:12" ht="19.5" customHeight="1" x14ac:dyDescent="0.25">
      <c r="A1" s="60" t="str" cm="1">
        <f t="array" ref="A1">portfolio</f>
        <v>Mahopac Central School District</v>
      </c>
      <c r="B1" s="60"/>
      <c r="C1" s="60"/>
      <c r="D1" s="61" t="s">
        <v>42</v>
      </c>
      <c r="E1" s="61"/>
      <c r="F1" s="61"/>
      <c r="G1" s="59" t="s">
        <v>43</v>
      </c>
      <c r="H1" s="59"/>
      <c r="I1" s="59"/>
      <c r="J1" s="5"/>
      <c r="K1" s="5"/>
    </row>
    <row r="2" spans="1:12" ht="19.5" customHeight="1" x14ac:dyDescent="0.25">
      <c r="A2" s="62" t="s">
        <v>2</v>
      </c>
      <c r="B2" s="62"/>
      <c r="C2" s="6">
        <f>SUM(C4:C84)</f>
        <v>42959.887999999999</v>
      </c>
      <c r="D2" s="6">
        <f>SUM(D4:D84)</f>
        <v>51069.2</v>
      </c>
      <c r="E2" s="6">
        <f>C2-D2</f>
        <v>-8109.3119999999981</v>
      </c>
      <c r="F2" s="7">
        <f>IFERROR(E2/D2, 0)</f>
        <v>-0.15879066051553575</v>
      </c>
      <c r="G2" s="6">
        <f>SUM(G4:G84)</f>
        <v>0</v>
      </c>
      <c r="H2" s="8">
        <f>C2-G2</f>
        <v>42959.887999999999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2" ht="57.6" x14ac:dyDescent="0.3">
      <c r="A4" s="34" t="str" cm="1">
        <f t="array" ref="A4:A5">Sites[Site]</f>
        <v>Mahopac - Austin Road  ES</v>
      </c>
      <c r="B4" s="31" t="str" cm="1">
        <f t="array" ref="B4:B5">Sites[State]</f>
        <v>NY</v>
      </c>
      <c r="C4" s="26">
        <v>42959.887999999999</v>
      </c>
      <c r="D4" s="14">
        <v>51069.2</v>
      </c>
      <c r="E4" s="14">
        <f>IF(AND(ISNUMBER(C4),ISNUMBER(D4)), C4-D4, "")</f>
        <v>-8109.3119999999981</v>
      </c>
      <c r="F4" s="15">
        <f>IFERROR(E4/D4, "")</f>
        <v>-0.15879066051553575</v>
      </c>
      <c r="G4" s="55" t="s">
        <v>36</v>
      </c>
      <c r="H4" s="16" t="str">
        <f>IF(AND(ISNUMBER(C4),ISNUMBER(G4)), C4-G4, "")</f>
        <v/>
      </c>
      <c r="I4" s="17" t="str">
        <f>IFERROR(H4/G4,"")</f>
        <v/>
      </c>
      <c r="J4" s="18" t="s">
        <v>44</v>
      </c>
      <c r="K4" s="64" t="s">
        <v>45</v>
      </c>
      <c r="L4" s="57" t="s">
        <v>63</v>
      </c>
    </row>
    <row r="5" spans="1:12" ht="15.6" x14ac:dyDescent="0.25">
      <c r="A5" s="32" t="str">
        <v>Mahopcac -  Lakeview ES</v>
      </c>
      <c r="B5" s="33" t="str">
        <v>NY</v>
      </c>
      <c r="C5" s="12">
        <v>0</v>
      </c>
      <c r="D5" s="20">
        <v>0</v>
      </c>
      <c r="E5" s="20">
        <f t="shared" ref="E5" si="0">IF(AND(ISNUMBER(C5),ISNUMBER(D5)), C5-D5, "")</f>
        <v>0</v>
      </c>
      <c r="F5" s="21" t="str">
        <f>IFERROR(E5/D5, "")</f>
        <v/>
      </c>
      <c r="G5" s="54" t="s">
        <v>36</v>
      </c>
      <c r="H5" s="22" t="str">
        <f t="shared" ref="H5" si="1">IF(AND(ISNUMBER(C5),ISNUMBER(G5)), C5-G5, "")</f>
        <v/>
      </c>
      <c r="I5" s="21" t="str">
        <f>IFERROR(H5/G5,"")</f>
        <v/>
      </c>
      <c r="J5" s="58" t="s">
        <v>66</v>
      </c>
      <c r="K5" s="65" t="s">
        <v>41</v>
      </c>
    </row>
    <row r="6" spans="1:12" ht="14.4" x14ac:dyDescent="0.3">
      <c r="A6" s="23"/>
      <c r="B6" s="35"/>
      <c r="C6" s="23"/>
      <c r="D6" s="23"/>
      <c r="E6" s="23"/>
      <c r="F6" s="23"/>
      <c r="G6" s="23"/>
      <c r="H6" s="23"/>
      <c r="I6" s="23"/>
      <c r="J6" s="23"/>
      <c r="K6" s="23"/>
    </row>
    <row r="7" spans="1:12" ht="14.4" x14ac:dyDescent="0.3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2" ht="14.4" x14ac:dyDescent="0.3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2" ht="14.4" x14ac:dyDescent="0.3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" x14ac:dyDescent="0.3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" x14ac:dyDescent="0.3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" x14ac:dyDescent="0.3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" x14ac:dyDescent="0.3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" x14ac:dyDescent="0.3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" x14ac:dyDescent="0.3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" x14ac:dyDescent="0.3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" x14ac:dyDescent="0.3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C326" s="23"/>
      <c r="D326" s="23"/>
      <c r="E326" s="23"/>
      <c r="F326" s="24"/>
      <c r="G326" s="23"/>
      <c r="H326" s="23"/>
      <c r="I326" s="24"/>
      <c r="J326" s="23"/>
      <c r="K326" s="23"/>
    </row>
  </sheetData>
  <mergeCells count="4">
    <mergeCell ref="G1:I1"/>
    <mergeCell ref="A1:C1"/>
    <mergeCell ref="D1:F1"/>
    <mergeCell ref="A2:B2"/>
  </mergeCells>
  <conditionalFormatting sqref="F2 I2 F4:F84 I4:I84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hyperlinks>
    <hyperlink ref="K4" r:id="rId1" display="https://us3.assetplanner.com/service_request?ID=102245" xr:uid="{077CD7B7-35F5-47EA-BBF0-49A0785D9971}"/>
    <hyperlink ref="L4" r:id="rId2" display="https://us3.assetplanner.com/service_request?ID=107701" xr:uid="{F859A93E-657D-43B7-8DFB-F9BA1B433AD5}"/>
    <hyperlink ref="K5" r:id="rId3" display="https://us3.assetplanner.com/service_request?ID=103414" xr:uid="{6861943A-7D76-4F3B-9D7B-52D35AF9079C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6"/>
  <sheetViews>
    <sheetView zoomScale="90" zoomScaleNormal="90" workbookViewId="0">
      <pane ySplit="2" topLeftCell="A3" activePane="bottomLeft" state="frozen"/>
      <selection activeCell="J16" sqref="J16"/>
      <selection pane="bottomLeft" activeCell="A6" sqref="A6:XFD6"/>
    </sheetView>
  </sheetViews>
  <sheetFormatPr defaultRowHeight="13.8" x14ac:dyDescent="0.25"/>
  <cols>
    <col min="1" max="1" width="35.88671875" bestFit="1" customWidth="1"/>
    <col min="2" max="2" width="8.44140625" style="3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0" t="str" cm="1">
        <f t="array" ref="A1">portfolio</f>
        <v>Mahopac Central School District</v>
      </c>
      <c r="B1" s="60"/>
      <c r="C1" s="60"/>
      <c r="D1" s="61" t="s">
        <v>46</v>
      </c>
      <c r="E1" s="61"/>
      <c r="F1" s="61"/>
      <c r="G1" s="59" t="s">
        <v>47</v>
      </c>
      <c r="H1" s="59"/>
      <c r="I1" s="59"/>
      <c r="J1" s="5"/>
      <c r="K1" s="5"/>
    </row>
    <row r="2" spans="1:11" ht="19.5" customHeight="1" x14ac:dyDescent="0.25">
      <c r="A2" s="62" t="s">
        <v>2</v>
      </c>
      <c r="B2" s="62"/>
      <c r="C2" s="6">
        <f>SUM(C4:C84)</f>
        <v>0</v>
      </c>
      <c r="D2" s="6">
        <f>SUM(D4:D84)</f>
        <v>0</v>
      </c>
      <c r="E2" s="6">
        <f>C2-D2</f>
        <v>0</v>
      </c>
      <c r="F2" s="7">
        <f>IFERROR(E2/D2, 0)</f>
        <v>0</v>
      </c>
      <c r="G2" s="6">
        <f>SUM(G4:G84)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 x14ac:dyDescent="0.3">
      <c r="A4" s="34" t="str" cm="1">
        <f t="array" ref="A4:A5">Sites[Site]</f>
        <v>Mahopac - Austin Road  ES</v>
      </c>
      <c r="B4" s="31" t="str" cm="1">
        <f t="array" ref="B4:B5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 x14ac:dyDescent="0.25">
      <c r="A5" s="32" t="str">
        <v>Mahopcac -  Lakeview ES</v>
      </c>
      <c r="B5" s="33" t="str">
        <v>NY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>IFERROR(H5/G5,"")</f>
        <v/>
      </c>
      <c r="J5" s="11"/>
      <c r="K5" s="19"/>
    </row>
    <row r="6" spans="1:11" ht="14.4" x14ac:dyDescent="0.3">
      <c r="A6" s="23"/>
      <c r="B6" s="35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" x14ac:dyDescent="0.3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C326" s="23"/>
      <c r="D326" s="23"/>
      <c r="E326" s="23"/>
      <c r="F326" s="24"/>
      <c r="G326" s="23"/>
      <c r="H326" s="23"/>
      <c r="I326" s="24"/>
      <c r="J326" s="23"/>
      <c r="K326" s="23"/>
    </row>
  </sheetData>
  <mergeCells count="4">
    <mergeCell ref="G1:I1"/>
    <mergeCell ref="A1:C1"/>
    <mergeCell ref="D1:F1"/>
    <mergeCell ref="A2:B2"/>
  </mergeCells>
  <conditionalFormatting sqref="F2 I2 F4:F84 I4:I84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6"/>
  <sheetViews>
    <sheetView workbookViewId="0">
      <pane ySplit="2" topLeftCell="A3" activePane="bottomLeft" state="frozen"/>
      <selection activeCell="J16" sqref="J16"/>
      <selection pane="bottomLeft" activeCell="A6" sqref="A6:XFD6"/>
    </sheetView>
  </sheetViews>
  <sheetFormatPr defaultRowHeight="13.8" x14ac:dyDescent="0.25"/>
  <cols>
    <col min="1" max="1" width="35.88671875" bestFit="1" customWidth="1"/>
    <col min="2" max="2" width="8.44140625" style="3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0" t="str" cm="1">
        <f t="array" ref="A1">portfolio</f>
        <v>Mahopac Central School District</v>
      </c>
      <c r="B1" s="60"/>
      <c r="C1" s="60"/>
      <c r="D1" s="61" t="s">
        <v>48</v>
      </c>
      <c r="E1" s="61"/>
      <c r="F1" s="61"/>
      <c r="G1" s="59" t="s">
        <v>49</v>
      </c>
      <c r="H1" s="59"/>
      <c r="I1" s="59"/>
      <c r="J1" s="5"/>
      <c r="K1" s="5"/>
    </row>
    <row r="2" spans="1:11" ht="19.5" customHeight="1" x14ac:dyDescent="0.25">
      <c r="A2" s="62" t="s">
        <v>2</v>
      </c>
      <c r="B2" s="62"/>
      <c r="C2" s="6">
        <f>SUM(C4:C84)</f>
        <v>0</v>
      </c>
      <c r="D2" s="6">
        <f>SUM(D4:D84)</f>
        <v>0</v>
      </c>
      <c r="E2" s="6">
        <f>C2-D2</f>
        <v>0</v>
      </c>
      <c r="F2" s="7">
        <f>IFERROR(E2/D2, 0)</f>
        <v>0</v>
      </c>
      <c r="G2" s="6">
        <f>SUM(G4:G84)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 x14ac:dyDescent="0.3">
      <c r="A4" s="34" t="str" cm="1">
        <f t="array" ref="A4:A5">Sites[Site]</f>
        <v>Mahopac - Austin Road  ES</v>
      </c>
      <c r="B4" s="31" t="str" cm="1">
        <f t="array" ref="B4:B5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 x14ac:dyDescent="0.25">
      <c r="A5" s="32" t="str">
        <v>Mahopcac -  Lakeview ES</v>
      </c>
      <c r="B5" s="33" t="str">
        <v>NY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>IFERROR(H5/G5,"")</f>
        <v/>
      </c>
      <c r="J5" s="46"/>
      <c r="K5" s="49"/>
    </row>
    <row r="6" spans="1:11" ht="14.4" x14ac:dyDescent="0.3">
      <c r="A6" s="23"/>
      <c r="B6" s="35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" x14ac:dyDescent="0.3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C326" s="23"/>
      <c r="D326" s="23"/>
      <c r="E326" s="23"/>
      <c r="F326" s="24"/>
      <c r="G326" s="23"/>
      <c r="H326" s="23"/>
      <c r="I326" s="24"/>
      <c r="J326" s="23"/>
      <c r="K326" s="23"/>
    </row>
  </sheetData>
  <mergeCells count="4">
    <mergeCell ref="G1:I1"/>
    <mergeCell ref="A1:C1"/>
    <mergeCell ref="D1:F1"/>
    <mergeCell ref="A2:B2"/>
  </mergeCells>
  <conditionalFormatting sqref="F2 I2 F4:F84 I4:I84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6"/>
  <sheetViews>
    <sheetView zoomScale="90" zoomScaleNormal="90" workbookViewId="0">
      <pane ySplit="2" topLeftCell="A3" activePane="bottomLeft" state="frozen"/>
      <selection activeCell="J16" sqref="J16"/>
      <selection pane="bottomLeft" activeCell="H12" sqref="H12"/>
    </sheetView>
  </sheetViews>
  <sheetFormatPr defaultRowHeight="13.8" x14ac:dyDescent="0.25"/>
  <cols>
    <col min="1" max="1" width="35.88671875" bestFit="1" customWidth="1"/>
    <col min="2" max="2" width="8.44140625" style="36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60" t="str" cm="1">
        <f t="array" ref="A1">portfolio</f>
        <v>Mahopac Central School District</v>
      </c>
      <c r="B1" s="60"/>
      <c r="C1" s="60"/>
      <c r="D1" s="61" t="s">
        <v>50</v>
      </c>
      <c r="E1" s="61"/>
      <c r="F1" s="61"/>
      <c r="G1" s="59" t="s">
        <v>51</v>
      </c>
      <c r="H1" s="59"/>
      <c r="I1" s="59"/>
      <c r="J1" s="5"/>
      <c r="K1" s="5"/>
    </row>
    <row r="2" spans="1:11" ht="19.5" customHeight="1" x14ac:dyDescent="0.25">
      <c r="A2" s="62" t="s">
        <v>2</v>
      </c>
      <c r="B2" s="62"/>
      <c r="C2" s="6">
        <f>SUM(C4:C84)</f>
        <v>0</v>
      </c>
      <c r="D2" s="6">
        <f>SUM(D4:D84)</f>
        <v>0</v>
      </c>
      <c r="E2" s="6">
        <f>C2-D2</f>
        <v>0</v>
      </c>
      <c r="F2" s="7">
        <f>IFERROR(E2/D2, 0)</f>
        <v>0</v>
      </c>
      <c r="G2" s="6">
        <f>SUM(G4:G84)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5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 x14ac:dyDescent="0.3">
      <c r="A4" s="34" t="str" cm="1">
        <f t="array" ref="A4:A5">Sites[Site]</f>
        <v>Mahopac - Austin Road  ES</v>
      </c>
      <c r="B4" s="31" t="str" cm="1">
        <f t="array" ref="B4:B5">Sites[State]</f>
        <v>NY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IFERROR(H4/G4,"")</f>
        <v/>
      </c>
      <c r="J4" s="18"/>
      <c r="K4" s="18"/>
    </row>
    <row r="5" spans="1:11" ht="15.6" x14ac:dyDescent="0.25">
      <c r="A5" s="32" t="str">
        <v>Mahopcac -  Lakeview ES</v>
      </c>
      <c r="B5" s="33" t="str">
        <v>NY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>IFERROR(H5/G5,"")</f>
        <v/>
      </c>
      <c r="J5" s="48"/>
      <c r="K5" s="47"/>
    </row>
    <row r="6" spans="1:11" ht="14.4" x14ac:dyDescent="0.3">
      <c r="A6" s="23"/>
      <c r="B6" s="35"/>
      <c r="C6" s="23"/>
      <c r="D6" s="23"/>
      <c r="E6" s="23"/>
      <c r="F6" s="23"/>
      <c r="G6" s="23"/>
      <c r="H6" s="23"/>
      <c r="I6" s="23"/>
      <c r="J6" s="23"/>
      <c r="K6" s="23"/>
    </row>
    <row r="7" spans="1:11" ht="14.4" x14ac:dyDescent="0.3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" x14ac:dyDescent="0.3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" x14ac:dyDescent="0.3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" x14ac:dyDescent="0.3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" x14ac:dyDescent="0.3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" x14ac:dyDescent="0.3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" x14ac:dyDescent="0.3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" x14ac:dyDescent="0.3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" x14ac:dyDescent="0.3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" x14ac:dyDescent="0.3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" x14ac:dyDescent="0.3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" x14ac:dyDescent="0.3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" x14ac:dyDescent="0.3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" x14ac:dyDescent="0.3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" x14ac:dyDescent="0.3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" x14ac:dyDescent="0.3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" x14ac:dyDescent="0.3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" x14ac:dyDescent="0.3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" x14ac:dyDescent="0.3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" x14ac:dyDescent="0.3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" x14ac:dyDescent="0.3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" x14ac:dyDescent="0.3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" x14ac:dyDescent="0.3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" x14ac:dyDescent="0.3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" x14ac:dyDescent="0.3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" x14ac:dyDescent="0.3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" x14ac:dyDescent="0.3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" x14ac:dyDescent="0.3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" x14ac:dyDescent="0.3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" x14ac:dyDescent="0.3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" x14ac:dyDescent="0.3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" x14ac:dyDescent="0.3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" x14ac:dyDescent="0.3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" x14ac:dyDescent="0.3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" x14ac:dyDescent="0.3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" x14ac:dyDescent="0.3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" x14ac:dyDescent="0.3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" x14ac:dyDescent="0.3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" x14ac:dyDescent="0.3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" x14ac:dyDescent="0.3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" x14ac:dyDescent="0.3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" x14ac:dyDescent="0.3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" x14ac:dyDescent="0.3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" x14ac:dyDescent="0.3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" x14ac:dyDescent="0.3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" x14ac:dyDescent="0.3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" x14ac:dyDescent="0.3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" x14ac:dyDescent="0.3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" x14ac:dyDescent="0.3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" x14ac:dyDescent="0.3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" x14ac:dyDescent="0.3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" x14ac:dyDescent="0.3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" x14ac:dyDescent="0.3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" x14ac:dyDescent="0.3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" x14ac:dyDescent="0.3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" x14ac:dyDescent="0.3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" x14ac:dyDescent="0.3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" x14ac:dyDescent="0.3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" x14ac:dyDescent="0.3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" x14ac:dyDescent="0.3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" x14ac:dyDescent="0.3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" x14ac:dyDescent="0.3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" x14ac:dyDescent="0.3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" x14ac:dyDescent="0.3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" x14ac:dyDescent="0.3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" x14ac:dyDescent="0.3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" x14ac:dyDescent="0.3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" x14ac:dyDescent="0.3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" x14ac:dyDescent="0.3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" x14ac:dyDescent="0.3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" x14ac:dyDescent="0.3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" x14ac:dyDescent="0.3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" x14ac:dyDescent="0.3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" x14ac:dyDescent="0.3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" x14ac:dyDescent="0.3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" x14ac:dyDescent="0.3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" x14ac:dyDescent="0.3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" x14ac:dyDescent="0.3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" x14ac:dyDescent="0.3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" x14ac:dyDescent="0.3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" x14ac:dyDescent="0.3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" x14ac:dyDescent="0.3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" x14ac:dyDescent="0.3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" x14ac:dyDescent="0.3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" x14ac:dyDescent="0.3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" x14ac:dyDescent="0.3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" x14ac:dyDescent="0.3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" x14ac:dyDescent="0.3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" x14ac:dyDescent="0.3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" x14ac:dyDescent="0.3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" x14ac:dyDescent="0.3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" x14ac:dyDescent="0.3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" x14ac:dyDescent="0.3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" x14ac:dyDescent="0.3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" x14ac:dyDescent="0.3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" x14ac:dyDescent="0.3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" x14ac:dyDescent="0.3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" x14ac:dyDescent="0.3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" x14ac:dyDescent="0.3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" x14ac:dyDescent="0.3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" x14ac:dyDescent="0.3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" x14ac:dyDescent="0.3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" x14ac:dyDescent="0.3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" x14ac:dyDescent="0.3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" x14ac:dyDescent="0.3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" x14ac:dyDescent="0.3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" x14ac:dyDescent="0.3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" x14ac:dyDescent="0.3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" x14ac:dyDescent="0.3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" x14ac:dyDescent="0.3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" x14ac:dyDescent="0.3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" x14ac:dyDescent="0.3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" x14ac:dyDescent="0.3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" x14ac:dyDescent="0.3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" x14ac:dyDescent="0.3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" x14ac:dyDescent="0.3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" x14ac:dyDescent="0.3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" x14ac:dyDescent="0.3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" x14ac:dyDescent="0.3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" x14ac:dyDescent="0.3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" x14ac:dyDescent="0.3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" x14ac:dyDescent="0.3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" x14ac:dyDescent="0.3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" x14ac:dyDescent="0.3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" x14ac:dyDescent="0.3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" x14ac:dyDescent="0.3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" x14ac:dyDescent="0.3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" x14ac:dyDescent="0.3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" x14ac:dyDescent="0.3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" x14ac:dyDescent="0.3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" x14ac:dyDescent="0.3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" x14ac:dyDescent="0.3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" x14ac:dyDescent="0.3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" x14ac:dyDescent="0.3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" x14ac:dyDescent="0.3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" x14ac:dyDescent="0.3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" x14ac:dyDescent="0.3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" x14ac:dyDescent="0.3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" x14ac:dyDescent="0.3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" x14ac:dyDescent="0.3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" x14ac:dyDescent="0.3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" x14ac:dyDescent="0.3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" x14ac:dyDescent="0.3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" x14ac:dyDescent="0.3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" x14ac:dyDescent="0.3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" x14ac:dyDescent="0.3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" x14ac:dyDescent="0.3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" x14ac:dyDescent="0.3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" x14ac:dyDescent="0.3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" x14ac:dyDescent="0.3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" x14ac:dyDescent="0.3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" x14ac:dyDescent="0.3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" x14ac:dyDescent="0.3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" x14ac:dyDescent="0.3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" x14ac:dyDescent="0.3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" x14ac:dyDescent="0.3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" x14ac:dyDescent="0.3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" x14ac:dyDescent="0.3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" x14ac:dyDescent="0.3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" x14ac:dyDescent="0.3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" x14ac:dyDescent="0.3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" x14ac:dyDescent="0.3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" x14ac:dyDescent="0.3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" x14ac:dyDescent="0.3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" x14ac:dyDescent="0.3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" x14ac:dyDescent="0.3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" x14ac:dyDescent="0.3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" x14ac:dyDescent="0.3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" x14ac:dyDescent="0.3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" x14ac:dyDescent="0.3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" x14ac:dyDescent="0.3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" x14ac:dyDescent="0.3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" x14ac:dyDescent="0.3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" x14ac:dyDescent="0.3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" x14ac:dyDescent="0.3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" x14ac:dyDescent="0.3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" x14ac:dyDescent="0.3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" x14ac:dyDescent="0.3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" x14ac:dyDescent="0.3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" x14ac:dyDescent="0.3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" x14ac:dyDescent="0.3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" x14ac:dyDescent="0.3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" x14ac:dyDescent="0.3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" x14ac:dyDescent="0.3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" x14ac:dyDescent="0.3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" x14ac:dyDescent="0.3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" x14ac:dyDescent="0.3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" x14ac:dyDescent="0.3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" x14ac:dyDescent="0.3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" x14ac:dyDescent="0.3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" x14ac:dyDescent="0.3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" x14ac:dyDescent="0.3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" x14ac:dyDescent="0.3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" x14ac:dyDescent="0.3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" x14ac:dyDescent="0.3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" x14ac:dyDescent="0.3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" x14ac:dyDescent="0.3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" x14ac:dyDescent="0.3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" x14ac:dyDescent="0.3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" x14ac:dyDescent="0.3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" x14ac:dyDescent="0.3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" x14ac:dyDescent="0.3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" x14ac:dyDescent="0.3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" x14ac:dyDescent="0.3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" x14ac:dyDescent="0.3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" x14ac:dyDescent="0.3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" x14ac:dyDescent="0.3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" x14ac:dyDescent="0.3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" x14ac:dyDescent="0.3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" x14ac:dyDescent="0.3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" x14ac:dyDescent="0.3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" x14ac:dyDescent="0.3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" x14ac:dyDescent="0.3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" x14ac:dyDescent="0.3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" x14ac:dyDescent="0.3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" x14ac:dyDescent="0.3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" x14ac:dyDescent="0.3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" x14ac:dyDescent="0.3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" x14ac:dyDescent="0.3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" x14ac:dyDescent="0.3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" x14ac:dyDescent="0.3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" x14ac:dyDescent="0.3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" x14ac:dyDescent="0.3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" x14ac:dyDescent="0.3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" x14ac:dyDescent="0.3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" x14ac:dyDescent="0.3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" x14ac:dyDescent="0.3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" x14ac:dyDescent="0.3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" x14ac:dyDescent="0.3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" x14ac:dyDescent="0.3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" x14ac:dyDescent="0.3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" x14ac:dyDescent="0.3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" x14ac:dyDescent="0.3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" x14ac:dyDescent="0.3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" x14ac:dyDescent="0.3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" x14ac:dyDescent="0.3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" x14ac:dyDescent="0.3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" x14ac:dyDescent="0.3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" x14ac:dyDescent="0.3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" x14ac:dyDescent="0.3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" x14ac:dyDescent="0.3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" x14ac:dyDescent="0.3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" x14ac:dyDescent="0.3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" x14ac:dyDescent="0.3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" x14ac:dyDescent="0.3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" x14ac:dyDescent="0.3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" x14ac:dyDescent="0.3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" x14ac:dyDescent="0.3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" x14ac:dyDescent="0.3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" x14ac:dyDescent="0.3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" x14ac:dyDescent="0.3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" x14ac:dyDescent="0.3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" x14ac:dyDescent="0.3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" x14ac:dyDescent="0.3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" x14ac:dyDescent="0.3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" x14ac:dyDescent="0.3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" x14ac:dyDescent="0.3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" x14ac:dyDescent="0.3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" x14ac:dyDescent="0.3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" x14ac:dyDescent="0.3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" x14ac:dyDescent="0.3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" x14ac:dyDescent="0.3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" x14ac:dyDescent="0.3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" x14ac:dyDescent="0.3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" x14ac:dyDescent="0.3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" x14ac:dyDescent="0.3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" x14ac:dyDescent="0.3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" x14ac:dyDescent="0.3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" x14ac:dyDescent="0.3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" x14ac:dyDescent="0.3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" x14ac:dyDescent="0.3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" x14ac:dyDescent="0.3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" x14ac:dyDescent="0.3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" x14ac:dyDescent="0.3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" x14ac:dyDescent="0.3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" x14ac:dyDescent="0.3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" x14ac:dyDescent="0.3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" x14ac:dyDescent="0.3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" x14ac:dyDescent="0.3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" x14ac:dyDescent="0.3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" x14ac:dyDescent="0.3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" x14ac:dyDescent="0.3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" x14ac:dyDescent="0.3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" x14ac:dyDescent="0.3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" x14ac:dyDescent="0.3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" x14ac:dyDescent="0.3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" x14ac:dyDescent="0.3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" x14ac:dyDescent="0.3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" x14ac:dyDescent="0.3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" x14ac:dyDescent="0.3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" x14ac:dyDescent="0.3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" x14ac:dyDescent="0.3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" x14ac:dyDescent="0.3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" x14ac:dyDescent="0.3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" x14ac:dyDescent="0.3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" x14ac:dyDescent="0.3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" x14ac:dyDescent="0.3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" x14ac:dyDescent="0.3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" x14ac:dyDescent="0.3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" x14ac:dyDescent="0.3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" x14ac:dyDescent="0.3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" x14ac:dyDescent="0.3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" x14ac:dyDescent="0.3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" x14ac:dyDescent="0.3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" x14ac:dyDescent="0.3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" x14ac:dyDescent="0.3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" x14ac:dyDescent="0.3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" x14ac:dyDescent="0.3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" x14ac:dyDescent="0.3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" x14ac:dyDescent="0.3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" x14ac:dyDescent="0.3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" x14ac:dyDescent="0.3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" x14ac:dyDescent="0.3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" x14ac:dyDescent="0.3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" x14ac:dyDescent="0.3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" x14ac:dyDescent="0.3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" x14ac:dyDescent="0.3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" x14ac:dyDescent="0.3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" x14ac:dyDescent="0.3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" x14ac:dyDescent="0.3">
      <c r="C326" s="23"/>
      <c r="D326" s="23"/>
      <c r="E326" s="23"/>
      <c r="F326" s="24"/>
      <c r="G326" s="23"/>
      <c r="H326" s="23"/>
      <c r="I326" s="24"/>
      <c r="J326" s="23"/>
      <c r="K326" s="23"/>
    </row>
  </sheetData>
  <mergeCells count="4">
    <mergeCell ref="G1:I1"/>
    <mergeCell ref="A1:C1"/>
    <mergeCell ref="D1:F1"/>
    <mergeCell ref="A2:B2"/>
  </mergeCells>
  <conditionalFormatting sqref="F2 I2 F4:F84 I4:I84">
    <cfRule type="cellIs" dxfId="1" priority="1" stopIfTrue="1" operator="lessThanOrEqual">
      <formula>-0.1</formula>
    </cfRule>
    <cfRule type="expression" dxfId="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activeCell="A33" sqref="A33"/>
      <selection pane="bottomLeft" activeCell="B17" sqref="B17"/>
    </sheetView>
  </sheetViews>
  <sheetFormatPr defaultRowHeight="12.75" customHeight="1" x14ac:dyDescent="0.25"/>
  <cols>
    <col min="1" max="2" width="41.88671875" customWidth="1"/>
    <col min="4" max="4" width="9.109375" customWidth="1"/>
    <col min="5" max="5" width="18.33203125" customWidth="1"/>
    <col min="6" max="14" width="9.109375" customWidth="1"/>
  </cols>
  <sheetData>
    <row r="1" spans="1:7" ht="12.75" customHeight="1" x14ac:dyDescent="0.25">
      <c r="A1" t="s">
        <v>52</v>
      </c>
      <c r="B1" s="37" t="s">
        <v>53</v>
      </c>
    </row>
    <row r="3" spans="1:7" ht="13.2" x14ac:dyDescent="0.25">
      <c r="A3" t="s">
        <v>54</v>
      </c>
      <c r="B3" t="s">
        <v>3</v>
      </c>
      <c r="C3" t="s">
        <v>4</v>
      </c>
      <c r="D3" t="s">
        <v>55</v>
      </c>
      <c r="E3" s="2" t="s">
        <v>56</v>
      </c>
    </row>
    <row r="4" spans="1:7" ht="14.4" x14ac:dyDescent="0.3">
      <c r="A4" s="37" t="s">
        <v>57</v>
      </c>
      <c r="B4" s="37" t="s">
        <v>58</v>
      </c>
      <c r="C4" s="4" t="s">
        <v>59</v>
      </c>
      <c r="E4" t="s">
        <v>60</v>
      </c>
      <c r="G4" s="3"/>
    </row>
    <row r="5" spans="1:7" ht="14.4" x14ac:dyDescent="0.3">
      <c r="A5" s="37" t="s">
        <v>61</v>
      </c>
      <c r="B5" s="37" t="s">
        <v>62</v>
      </c>
      <c r="C5" s="4" t="s">
        <v>59</v>
      </c>
      <c r="E5" t="s">
        <v>60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2.xml><?xml version="1.0" encoding="utf-8"?>
<ds:datastoreItem xmlns:ds="http://schemas.openxmlformats.org/officeDocument/2006/customXml" ds:itemID="{4402F0CB-0A7A-4413-AE77-3CAA13364A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4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5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6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7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8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9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0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1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12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3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4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5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6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17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9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20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1st Qtr</vt:lpstr>
      <vt:lpstr>Year to Date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Solar Team 2</cp:lastModifiedBy>
  <cp:revision/>
  <dcterms:created xsi:type="dcterms:W3CDTF">2021-01-01T16:39:53Z</dcterms:created>
  <dcterms:modified xsi:type="dcterms:W3CDTF">2025-10-15T13:31:54Z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