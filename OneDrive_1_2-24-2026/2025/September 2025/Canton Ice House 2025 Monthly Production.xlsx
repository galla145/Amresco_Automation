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1793C1D-13C9-459A-B810-1983CD359851}" xr6:coauthVersionLast="47" xr6:coauthVersionMax="47" xr10:uidLastSave="{00000000-0000-0000-0000-000000000000}"/>
  <bookViews>
    <workbookView xWindow="43080" yWindow="-120" windowWidth="29040" windowHeight="15720" tabRatio="866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4" i="29"/>
  <c r="G2" i="29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<sst xmlns="http://schemas.openxmlformats.org/spreadsheetml/2006/main" count="293" uniqueCount="82">
  <si>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</si>
  <si>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</si>
  <si>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</si>
  <si>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</si>
  <si>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</si>
  <si>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</si>
  <si>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</si>
  <si>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</si>
  <si>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</si>
  <si>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</si>
  <si>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</si>
  <si>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</si>
  <si>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</si>
  <si>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</si>
  <si>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</si>
  <si>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</si>
  <si>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</si>
  <si>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</si>
  <si>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</si>
  <si>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</si>
  <si>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</si>
  <si>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</si>
  <si>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</si>
  <si>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</si>
  <si>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</si>
  <si>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</si>
  <si>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</si>
  <si>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</si>
  <si>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</si>
  <si>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</si>
  <si>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</si>
  <si>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</si>
  <si>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</si>
  <si>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</si>
  <si>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</si>
  <si>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</si>
  <si>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</si>
  <si>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</si>
  <si>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</si>
  <si>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</si>
  <si>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</si>
  <si>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</si>
  <si>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</si>
  <si>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</si>
  <si>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</si>
  <si>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</si>
  <si>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</si>
  <si>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</si>
  <si>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</si>
  <si>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</si>
  <si>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</si>
  <si>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</si>
  <si>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</si>
  <si>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</si>
  <si>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</si>
  <si>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</si>
  <si>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</si>
  <si>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</si>
  <si>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</si>
  <si>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</si>
  <si>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1. Inverter 8 was offline for whole month.
2. Inverter 13 was underproduced by 10kW compared to peers for whole month.
3. Inverter 1 was derated by 15 kW compared to peers for whole month. 
3. Site was offline from 19:00 on 08/14 to 07:00 on 08/15.</t>
  </si>
  <si>
    <t>1. SR093239, SR098499
2. SR101650
3. SR089210
4. SR106324</t>
  </si>
  <si>
    <t>September Actual v. Expected</t>
  </si>
  <si>
    <t>September Actual v. Forecasted</t>
  </si>
  <si>
    <t xml:space="preserve">1. Inverter 8 was offline for whole month.
2. Inverter 13 was underproduced by 10kW compared to peers for whole month.
3. Inverter 1 was derated by 15 kW compared to peers for whole month. </t>
  </si>
  <si>
    <t>1. SR093239, SR098499
2. SR101650
3. SR089210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</si>
  <si>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</si>
  <si>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</si>
  <si>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</si>
  <si>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</si>
  <si>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</si>
  <si>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</si>
  <si>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</si>
  <si>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</si>
  <si>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</si>
  <si>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</si>
  <si>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</si>
  <si>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</si>
  <si>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</si>
  <si>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</si>
  <si>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</si>
  <si>
    <t>SR106324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</si>
</sst>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106324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7" t="str" cm="1">
        <f t="array" ref="A1">portfolio</f>
        <v>Canton Ice House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 x14ac:dyDescent="0.35">
      <c r="A2" s="59" t="s">
        <v>2</v>
      </c>
      <c r="B2" s="59"/>
      <c r="C2" s="5">
        <f>SUM(C4:C52)</f>
        <v>430374.64898683073</v>
      </c>
      <c r="D2" s="5">
        <f>SUM(D4:D52)</f>
        <v>0</v>
      </c>
      <c r="E2" s="5">
        <f>C2-D2</f>
        <v>430374.64898683073</v>
      </c>
      <c r="F2" s="6">
        <f>IFERROR(E2/D2, 0)</f>
        <v>0</v>
      </c>
      <c r="G2" s="5">
        <f>SUM(G4:G52)</f>
        <v>0</v>
      </c>
      <c r="H2" s="7">
        <f>C2-G2</f>
        <v>430374.64898683073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430374.64898683073</v>
      </c>
      <c r="D4" s="11">
        <f>SUM('1st Qtr'!D4, '2nd Qtr'!D4, '3rd Qtr'!D4, '4th Qtr'!D4)</f>
        <v>0</v>
      </c>
      <c r="E4" s="11">
        <f>IF(AND(ISNUMBER(C4),ISNUMBER(D4)), C4-D4, "")</f>
        <v>430374.64898683073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30" sqref="G30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7" t="str" cm="1">
        <f t="array" ref="A1">portfolio</f>
        <v>Canton Ice House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 x14ac:dyDescent="0.35">
      <c r="A2" s="59" t="s">
        <v>2</v>
      </c>
      <c r="B2" s="59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G4" sqref="G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7" t="str" cm="1">
        <f t="array" ref="A1">portfolio</f>
        <v>Canton Ice House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 x14ac:dyDescent="0.35">
      <c r="A2" s="59" t="s">
        <v>2</v>
      </c>
      <c r="B2" s="59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>
        <f>SUM(Apr!G4,May!G4,Jun!G4)</f>
        <v>0</v>
      </c>
      <c r="H4" s="13">
        <f>SUM(Apr!H4, May!H4, Jun!H4)</f>
        <v>159909.80900000001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7" t="str" cm="1">
        <f t="array" ref="A1">portfolio</f>
        <v>Canton Ice House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 x14ac:dyDescent="0.35">
      <c r="A2" s="59" t="s">
        <v>2</v>
      </c>
      <c r="B2" s="59"/>
      <c r="C2" s="5">
        <f>SUM(C4:C52)</f>
        <v>187621.37900000002</v>
      </c>
      <c r="D2" s="5">
        <f>SUM(D4:D52)</f>
        <v>0</v>
      </c>
      <c r="E2" s="5">
        <f>C2-D2</f>
        <v>187621.37900000002</v>
      </c>
      <c r="F2" s="6">
        <f>IFERROR(E2/D2, 0)</f>
        <v>0</v>
      </c>
      <c r="G2" s="5">
        <f>SUM(G4:G52)</f>
        <v>0</v>
      </c>
      <c r="H2" s="7">
        <f>C2-G2</f>
        <v>187621.37900000002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187621.37900000002</v>
      </c>
      <c r="D4" s="11">
        <f>SUM(Jul!D4, Aug!D4, Sep!D4)</f>
        <v>0</v>
      </c>
      <c r="E4" s="11">
        <f>IF(AND(ISNUMBER(C4),ISNUMBER(D4)), C4-D4, "")</f>
        <v>187621.37900000002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topRight" activeCell="B20" sqref="B20"/>
      <selection pane="bottomLeft" activeCell="B20" sqref="B20"/>
      <selection pane="bottomRight" activeCell="I4" sqref="I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7" t="str" cm="1">
        <f t="array" ref="A1">portfolio</f>
        <v>Canton Ice House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 x14ac:dyDescent="0.3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 x14ac:dyDescent="0.35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 x14ac:dyDescent="0.4">
      <c r="A5" s="15"/>
      <c r="B5" s="15"/>
      <c r="C5" s="15"/>
      <c r="D5" s="15"/>
      <c r="E5" s="15"/>
      <c r="F5" s="16"/>
      <c r="G5" s="15"/>
      <c r="H5" s="15"/>
      <c r="I5" s="16"/>
    </row>
    <row r="6" spans="1:9" ht="13.15" x14ac:dyDescent="0.4">
      <c r="A6" s="15"/>
      <c r="B6" s="15"/>
      <c r="C6" s="15"/>
      <c r="D6" s="15"/>
      <c r="E6" s="15"/>
      <c r="F6" s="16"/>
      <c r="G6" s="15"/>
      <c r="H6" s="15"/>
      <c r="I6" s="16"/>
    </row>
    <row r="7" spans="1:9" ht="13.15" x14ac:dyDescent="0.4">
      <c r="A7" s="15"/>
      <c r="B7" s="15"/>
      <c r="C7" s="15"/>
      <c r="D7" s="15"/>
      <c r="E7" s="15"/>
      <c r="F7" s="16"/>
      <c r="G7" s="15"/>
      <c r="H7" s="15"/>
      <c r="I7" s="16"/>
    </row>
    <row r="8" spans="1:9" ht="13.15" x14ac:dyDescent="0.4">
      <c r="A8" s="15"/>
      <c r="B8" s="15"/>
      <c r="C8" s="15"/>
      <c r="D8" s="15"/>
      <c r="E8" s="15"/>
      <c r="F8" s="16"/>
      <c r="G8" s="15"/>
      <c r="H8" s="15"/>
      <c r="I8" s="16"/>
    </row>
    <row r="9" spans="1:9" ht="13.15" x14ac:dyDescent="0.4">
      <c r="A9" s="15"/>
      <c r="B9" s="15"/>
      <c r="C9" s="15"/>
      <c r="D9" s="15"/>
      <c r="E9" s="15"/>
      <c r="F9" s="16"/>
      <c r="G9" s="15"/>
      <c r="H9" s="15"/>
      <c r="I9" s="16"/>
    </row>
    <row r="10" spans="1:9" ht="13.15" x14ac:dyDescent="0.4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 x14ac:dyDescent="0.4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 x14ac:dyDescent="0.4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 x14ac:dyDescent="0.4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 x14ac:dyDescent="0.4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 x14ac:dyDescent="0.4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 x14ac:dyDescent="0.4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 x14ac:dyDescent="0.4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 x14ac:dyDescent="0.4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 x14ac:dyDescent="0.4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 x14ac:dyDescent="0.4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 x14ac:dyDescent="0.4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 x14ac:dyDescent="0.4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 x14ac:dyDescent="0.4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 x14ac:dyDescent="0.4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 x14ac:dyDescent="0.4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 x14ac:dyDescent="0.4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 x14ac:dyDescent="0.4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 x14ac:dyDescent="0.4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 x14ac:dyDescent="0.4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 x14ac:dyDescent="0.4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 x14ac:dyDescent="0.4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 x14ac:dyDescent="0.4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 x14ac:dyDescent="0.4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 x14ac:dyDescent="0.4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 x14ac:dyDescent="0.4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 x14ac:dyDescent="0.4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 x14ac:dyDescent="0.4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 x14ac:dyDescent="0.4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 x14ac:dyDescent="0.4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 x14ac:dyDescent="0.4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 x14ac:dyDescent="0.4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 x14ac:dyDescent="0.4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 x14ac:dyDescent="0.4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 x14ac:dyDescent="0.4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 x14ac:dyDescent="0.4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 x14ac:dyDescent="0.4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 x14ac:dyDescent="0.4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 x14ac:dyDescent="0.4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 x14ac:dyDescent="0.4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 x14ac:dyDescent="0.4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 x14ac:dyDescent="0.4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 x14ac:dyDescent="0.4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 x14ac:dyDescent="0.4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 x14ac:dyDescent="0.4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 x14ac:dyDescent="0.4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 x14ac:dyDescent="0.4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 x14ac:dyDescent="0.4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 x14ac:dyDescent="0.4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 x14ac:dyDescent="0.4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 x14ac:dyDescent="0.4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 x14ac:dyDescent="0.4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 x14ac:dyDescent="0.4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 x14ac:dyDescent="0.4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 x14ac:dyDescent="0.4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 x14ac:dyDescent="0.4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 x14ac:dyDescent="0.4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 x14ac:dyDescent="0.4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 x14ac:dyDescent="0.4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 x14ac:dyDescent="0.4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 x14ac:dyDescent="0.4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 x14ac:dyDescent="0.4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 x14ac:dyDescent="0.4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 x14ac:dyDescent="0.4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 x14ac:dyDescent="0.4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 x14ac:dyDescent="0.4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 x14ac:dyDescent="0.4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 x14ac:dyDescent="0.4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 x14ac:dyDescent="0.4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 x14ac:dyDescent="0.4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 x14ac:dyDescent="0.4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 x14ac:dyDescent="0.4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 x14ac:dyDescent="0.4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 x14ac:dyDescent="0.4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 x14ac:dyDescent="0.4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 x14ac:dyDescent="0.4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 x14ac:dyDescent="0.4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 x14ac:dyDescent="0.4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 x14ac:dyDescent="0.4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 x14ac:dyDescent="0.4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 x14ac:dyDescent="0.4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 x14ac:dyDescent="0.4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 x14ac:dyDescent="0.4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 x14ac:dyDescent="0.4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 x14ac:dyDescent="0.4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 x14ac:dyDescent="0.4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 x14ac:dyDescent="0.4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 x14ac:dyDescent="0.4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 x14ac:dyDescent="0.4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 x14ac:dyDescent="0.4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 x14ac:dyDescent="0.4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 x14ac:dyDescent="0.4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 x14ac:dyDescent="0.4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 x14ac:dyDescent="0.4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 x14ac:dyDescent="0.4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 x14ac:dyDescent="0.4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 x14ac:dyDescent="0.4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 x14ac:dyDescent="0.4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 x14ac:dyDescent="0.4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 x14ac:dyDescent="0.4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 x14ac:dyDescent="0.4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 x14ac:dyDescent="0.4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 x14ac:dyDescent="0.4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 x14ac:dyDescent="0.4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 x14ac:dyDescent="0.4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 x14ac:dyDescent="0.4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 x14ac:dyDescent="0.4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 x14ac:dyDescent="0.4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 x14ac:dyDescent="0.4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 x14ac:dyDescent="0.4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 x14ac:dyDescent="0.4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 x14ac:dyDescent="0.4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 x14ac:dyDescent="0.4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 x14ac:dyDescent="0.4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 x14ac:dyDescent="0.4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 x14ac:dyDescent="0.4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 x14ac:dyDescent="0.4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 x14ac:dyDescent="0.4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 x14ac:dyDescent="0.4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 x14ac:dyDescent="0.4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 x14ac:dyDescent="0.4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 x14ac:dyDescent="0.4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 x14ac:dyDescent="0.4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 x14ac:dyDescent="0.4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 x14ac:dyDescent="0.4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 x14ac:dyDescent="0.4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 x14ac:dyDescent="0.4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 x14ac:dyDescent="0.4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 x14ac:dyDescent="0.4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 x14ac:dyDescent="0.4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 x14ac:dyDescent="0.4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 x14ac:dyDescent="0.4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 x14ac:dyDescent="0.4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 x14ac:dyDescent="0.4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 x14ac:dyDescent="0.4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 x14ac:dyDescent="0.4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 x14ac:dyDescent="0.4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 x14ac:dyDescent="0.4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 x14ac:dyDescent="0.4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 x14ac:dyDescent="0.4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 x14ac:dyDescent="0.4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 x14ac:dyDescent="0.4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 x14ac:dyDescent="0.4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 x14ac:dyDescent="0.4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 x14ac:dyDescent="0.4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 x14ac:dyDescent="0.4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 x14ac:dyDescent="0.4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 x14ac:dyDescent="0.4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 x14ac:dyDescent="0.4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 x14ac:dyDescent="0.4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 x14ac:dyDescent="0.4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 x14ac:dyDescent="0.4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 x14ac:dyDescent="0.4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 x14ac:dyDescent="0.4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 x14ac:dyDescent="0.4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 x14ac:dyDescent="0.4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 x14ac:dyDescent="0.4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 x14ac:dyDescent="0.4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 x14ac:dyDescent="0.4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 x14ac:dyDescent="0.4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 x14ac:dyDescent="0.4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 x14ac:dyDescent="0.4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 x14ac:dyDescent="0.4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 x14ac:dyDescent="0.4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 x14ac:dyDescent="0.4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 x14ac:dyDescent="0.4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 x14ac:dyDescent="0.4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 x14ac:dyDescent="0.4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 x14ac:dyDescent="0.4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 x14ac:dyDescent="0.4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 x14ac:dyDescent="0.4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 x14ac:dyDescent="0.4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 x14ac:dyDescent="0.4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 x14ac:dyDescent="0.4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 x14ac:dyDescent="0.4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 x14ac:dyDescent="0.4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 x14ac:dyDescent="0.4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 x14ac:dyDescent="0.4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 x14ac:dyDescent="0.4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 x14ac:dyDescent="0.4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 x14ac:dyDescent="0.4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 x14ac:dyDescent="0.4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 x14ac:dyDescent="0.4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 x14ac:dyDescent="0.4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 x14ac:dyDescent="0.4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 x14ac:dyDescent="0.4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 x14ac:dyDescent="0.4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 x14ac:dyDescent="0.4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 x14ac:dyDescent="0.4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 x14ac:dyDescent="0.4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 x14ac:dyDescent="0.4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 x14ac:dyDescent="0.4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 x14ac:dyDescent="0.4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 x14ac:dyDescent="0.4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 x14ac:dyDescent="0.4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 x14ac:dyDescent="0.4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 x14ac:dyDescent="0.4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 x14ac:dyDescent="0.4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 x14ac:dyDescent="0.4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 x14ac:dyDescent="0.4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 x14ac:dyDescent="0.4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 x14ac:dyDescent="0.4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 x14ac:dyDescent="0.4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 x14ac:dyDescent="0.4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 x14ac:dyDescent="0.4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 x14ac:dyDescent="0.4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 x14ac:dyDescent="0.4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 x14ac:dyDescent="0.4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 x14ac:dyDescent="0.4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 x14ac:dyDescent="0.4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 x14ac:dyDescent="0.4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 x14ac:dyDescent="0.4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 x14ac:dyDescent="0.4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 x14ac:dyDescent="0.4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 x14ac:dyDescent="0.4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 x14ac:dyDescent="0.4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 x14ac:dyDescent="0.4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 x14ac:dyDescent="0.4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 x14ac:dyDescent="0.4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 x14ac:dyDescent="0.4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 x14ac:dyDescent="0.4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 x14ac:dyDescent="0.4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 x14ac:dyDescent="0.4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 x14ac:dyDescent="0.4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 x14ac:dyDescent="0.4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 x14ac:dyDescent="0.4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 x14ac:dyDescent="0.4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 x14ac:dyDescent="0.4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 x14ac:dyDescent="0.4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 x14ac:dyDescent="0.4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 x14ac:dyDescent="0.4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 x14ac:dyDescent="0.4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 x14ac:dyDescent="0.4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 x14ac:dyDescent="0.4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 x14ac:dyDescent="0.4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 x14ac:dyDescent="0.4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 x14ac:dyDescent="0.4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 x14ac:dyDescent="0.4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 x14ac:dyDescent="0.4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 x14ac:dyDescent="0.4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 x14ac:dyDescent="0.4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 x14ac:dyDescent="0.4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 x14ac:dyDescent="0.4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 x14ac:dyDescent="0.4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 x14ac:dyDescent="0.4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 x14ac:dyDescent="0.4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 x14ac:dyDescent="0.4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 x14ac:dyDescent="0.4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 x14ac:dyDescent="0.4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 x14ac:dyDescent="0.4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 x14ac:dyDescent="0.4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 x14ac:dyDescent="0.4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 x14ac:dyDescent="0.4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 x14ac:dyDescent="0.4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 x14ac:dyDescent="0.4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 x14ac:dyDescent="0.4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 x14ac:dyDescent="0.4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 x14ac:dyDescent="0.4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 x14ac:dyDescent="0.4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 x14ac:dyDescent="0.4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 x14ac:dyDescent="0.4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 x14ac:dyDescent="0.4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 x14ac:dyDescent="0.4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 x14ac:dyDescent="0.4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 x14ac:dyDescent="0.4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 x14ac:dyDescent="0.4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 x14ac:dyDescent="0.4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 x14ac:dyDescent="0.4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 x14ac:dyDescent="0.4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 x14ac:dyDescent="0.4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 x14ac:dyDescent="0.4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 x14ac:dyDescent="0.4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 x14ac:dyDescent="0.4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 x14ac:dyDescent="0.4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 x14ac:dyDescent="0.4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 x14ac:dyDescent="0.4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 x14ac:dyDescent="0.4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 x14ac:dyDescent="0.4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 x14ac:dyDescent="0.4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 x14ac:dyDescent="0.4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 x14ac:dyDescent="0.4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 x14ac:dyDescent="0.4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 x14ac:dyDescent="0.4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 x14ac:dyDescent="0.4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 x14ac:dyDescent="0.4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topRight" activeCell="J20" sqref="J20"/>
      <selection pane="bottomLeft" activeCell="J20" sqref="J20"/>
      <selection pane="bottomRight" activeCell="J8" sqref="J8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7" t="str" cm="1">
        <f t="array" ref="A1">portfolio</f>
        <v>Canton Ice House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 x14ac:dyDescent="0.35">
      <c r="A2" s="59" t="s">
        <v>2</v>
      </c>
      <c r="B2" s="59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A4" sqref="A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57" t="str" cm="1">
        <f t="array" ref="A1">portfolio</f>
        <v>Canton Ice House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2" ht="19.5" customHeight="1" x14ac:dyDescent="0.35">
      <c r="A2" s="59" t="s">
        <v>2</v>
      </c>
      <c r="B2" s="59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 x14ac:dyDescent="0.35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J18" sqref="J18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4" ht="19.5" customHeight="1" x14ac:dyDescent="0.35">
      <c r="A1" s="57" t="str" cm="1">
        <f t="array" ref="A1">portfolio</f>
        <v>Canton Ice House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4" ht="19.5" customHeight="1" x14ac:dyDescent="0.35">
      <c r="A2" s="59" t="s">
        <v>2</v>
      </c>
      <c r="B2" s="59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 x14ac:dyDescent="0.35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L1" sqref="L1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4" width="8.86328125" style="52"/>
  </cols>
  <sheetData>
    <row r="1" spans="1:13" ht="19.5" customHeight="1" x14ac:dyDescent="0.35">
      <c r="A1" s="57" t="str" cm="1">
        <f t="array" ref="A1">portfolio</f>
        <v>Canton Ice House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3" ht="19.5" customHeight="1" x14ac:dyDescent="0.35">
      <c r="A2" s="59" t="s">
        <v>2</v>
      </c>
      <c r="B2" s="59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 x14ac:dyDescent="0.3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J4" sqref="J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6" width="8.86328125" style="52"/>
  </cols>
  <sheetData>
    <row r="1" spans="1:16" ht="19.5" customHeight="1" x14ac:dyDescent="0.35">
      <c r="A1" s="57" t="str" cm="1">
        <f t="array" ref="A1">portfolio</f>
        <v>Canton Ice House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6" ht="19.5" customHeight="1" x14ac:dyDescent="0.35">
      <c r="A2" s="59" t="s">
        <v>2</v>
      </c>
      <c r="B2" s="59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 x14ac:dyDescent="0.3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G4" sqref="G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8" width="8.86328125" style="52"/>
  </cols>
  <sheetData>
    <row r="1" spans="1:15" ht="19.5" customHeight="1" x14ac:dyDescent="0.35">
      <c r="A1" s="57" t="str" cm="1">
        <f t="array" ref="A1">portfolio</f>
        <v>Canton Ice House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5" ht="19.5" customHeight="1" x14ac:dyDescent="0.35">
      <c r="A2" s="59" t="s">
        <v>2</v>
      </c>
      <c r="B2" s="59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K17" sqref="K17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5" ht="19.5" customHeight="1" x14ac:dyDescent="0.35">
      <c r="A1" s="57" t="str" cm="1">
        <f t="array" ref="A1">portfolio</f>
        <v>Canton Ice House</v>
      </c>
      <c r="B1" s="57"/>
      <c r="C1" s="57"/>
      <c r="D1" s="58" t="s">
        <v>53</v>
      </c>
      <c r="E1" s="58"/>
      <c r="F1" s="58"/>
      <c r="G1" s="56" t="s">
        <v>54</v>
      </c>
      <c r="H1" s="56"/>
      <c r="I1" s="56"/>
      <c r="J1" s="4"/>
      <c r="K1" s="4"/>
    </row>
    <row r="2" spans="1:15" ht="19.5" customHeight="1" x14ac:dyDescent="0.35">
      <c r="A2" s="59" t="s">
        <v>2</v>
      </c>
      <c r="B2" s="59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294"/>
  <sheetViews>
    <sheetView zoomScale="70" zoomScaleNormal="70" workbookViewId="0">
      <pane xSplit="2" ySplit="3" topLeftCell="C4" activePane="bottomRight" state="frozen"/>
      <selection activeCell="J17" sqref="J17"/>
      <selection pane="topRight" activeCell="J17" sqref="J17"/>
      <selection pane="bottomLeft" activeCell="J17" sqref="J17"/>
      <selection pane="bottomRight" activeCell="J17" sqref="J17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5" width="9.06640625" style="55"/>
  </cols>
  <sheetData>
    <row r="1" spans="1:15" ht="19.5" customHeight="1" x14ac:dyDescent="0.35">
      <c r="A1" s="57" t="str" cm="1">
        <f t="array" ref="A1">portfolio</f>
        <v>Canton Ice House</v>
      </c>
      <c r="B1" s="57"/>
      <c r="C1" s="57"/>
      <c r="D1" s="58" t="s">
        <v>58</v>
      </c>
      <c r="E1" s="58"/>
      <c r="F1" s="58"/>
      <c r="G1" s="56" t="s">
        <v>59</v>
      </c>
      <c r="H1" s="56"/>
      <c r="I1" s="56"/>
      <c r="J1" s="4"/>
      <c r="K1" s="4"/>
    </row>
    <row r="2" spans="1:15" ht="19.5" customHeight="1" x14ac:dyDescent="0.35">
      <c r="A2" s="59" t="s">
        <v>2</v>
      </c>
      <c r="B2" s="59"/>
      <c r="C2" s="5">
        <f>SUM(C4:C52)</f>
        <v>71365.73</v>
      </c>
      <c r="D2" s="5">
        <f>SUM(D4:D52)</f>
        <v>0</v>
      </c>
      <c r="E2" s="5">
        <f>C2-D2</f>
        <v>71365.73</v>
      </c>
      <c r="F2" s="6">
        <f>IFERROR(E2/D2, 0)</f>
        <v>0</v>
      </c>
      <c r="G2" s="5">
        <f>SUM(G4:G52)</f>
        <v>0</v>
      </c>
      <c r="H2" s="7">
        <f>C2-G2</f>
        <v>71365.73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63.75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71365.73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60</v>
      </c>
      <c r="K4" s="50" t="s">
        <v>61</v>
      </c>
      <c r="L4" s="51" t="s">
        <v>34</v>
      </c>
      <c r="M4" s="51" t="s">
        <v>47</v>
      </c>
      <c r="N4" s="51" t="s">
        <v>35</v>
      </c>
      <c r="O4" s="51" t="s">
        <v>81</v>
      </c>
    </row>
    <row r="5" spans="1:15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3239" xr:uid="{F7631197-BED2-4B74-9DD1-942573005490}"/>
    <hyperlink ref="L4" r:id="rId2" display="https://us3.assetplanner.com/service_request?ID=098499" xr:uid="{9865E8D4-8AAC-4497-B176-940CE20FB3FF}"/>
    <hyperlink ref="M4" r:id="rId3" display="https://us3.assetplanner.com/service_request?ID=101650" xr:uid="{247D495C-07A0-4C24-AACB-6F2A8C6D1B49}"/>
    <hyperlink ref="N4" r:id="rId4" display="https://us3.assetplanner.com/service_request?ID=089210" xr:uid="{A7F9E8BC-5E9A-439D-B3C0-9D45B9697633}"/>
    <hyperlink ref="O4" r:id="rId5" display="https://us3.assetplanner.com/service_request?ID=106324" xr:uid="{60424FE8-41DA-4006-AEDC-0B362718A001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294"/>
  <sheetViews>
    <sheetView tabSelected="1" zoomScale="80" zoomScaleNormal="80" workbookViewId="0">
      <pane xSplit="2" ySplit="3" topLeftCell="C4" activePane="bottomRight" state="frozen"/>
      <selection activeCell="H26" sqref="H26"/>
      <selection pane="topRight" activeCell="H26" sqref="H26"/>
      <selection pane="bottomLeft" activeCell="H26" sqref="H26"/>
      <selection pane="bottomRight" activeCell="J20" sqref="J20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5" width="9.06640625" style="55"/>
  </cols>
  <sheetData>
    <row r="1" spans="1:15" ht="19.5" customHeight="1" x14ac:dyDescent="0.35">
      <c r="A1" s="57" t="str" cm="1">
        <f t="array" ref="A1">portfolio</f>
        <v>Canton Ice House</v>
      </c>
      <c r="B1" s="57"/>
      <c r="C1" s="57"/>
      <c r="D1" s="58" t="s">
        <v>62</v>
      </c>
      <c r="E1" s="58"/>
      <c r="F1" s="58"/>
      <c r="G1" s="56" t="s">
        <v>63</v>
      </c>
      <c r="H1" s="56"/>
      <c r="I1" s="56"/>
      <c r="J1" s="4"/>
      <c r="K1" s="4"/>
    </row>
    <row r="2" spans="1:15" ht="19.5" customHeight="1" x14ac:dyDescent="0.35">
      <c r="A2" s="59" t="s">
        <v>2</v>
      </c>
      <c r="B2" s="59"/>
      <c r="C2" s="5">
        <f>SUM(C4:C52)</f>
        <v>52331.86</v>
      </c>
      <c r="D2" s="5">
        <f>SUM(D4:D52)</f>
        <v>0</v>
      </c>
      <c r="E2" s="5">
        <f>C2-D2</f>
        <v>52331.86</v>
      </c>
      <c r="F2" s="6">
        <f>IFERROR(E2/D2, 0)</f>
        <v>0</v>
      </c>
      <c r="G2" s="5">
        <f>SUM(G4:G52)</f>
        <v>0</v>
      </c>
      <c r="H2" s="7">
        <f>C2-G2</f>
        <v>52331.86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70.5" customHeight="1" x14ac:dyDescent="0.35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52331.86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64</v>
      </c>
      <c r="K4" s="50" t="s">
        <v>65</v>
      </c>
      <c r="L4" s="51"/>
      <c r="M4" s="51"/>
      <c r="N4" s="51"/>
      <c r="O4" s="51"/>
    </row>
    <row r="5" spans="1:15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7" t="str" cm="1">
        <f t="array" ref="A1">portfolio</f>
        <v>Canton Ice House</v>
      </c>
      <c r="B1" s="57"/>
      <c r="C1" s="57"/>
      <c r="D1" s="58" t="s">
        <v>66</v>
      </c>
      <c r="E1" s="58"/>
      <c r="F1" s="58"/>
      <c r="G1" s="56" t="s">
        <v>67</v>
      </c>
      <c r="H1" s="56"/>
      <c r="I1" s="56"/>
      <c r="J1" s="4"/>
      <c r="K1" s="4"/>
    </row>
    <row r="2" spans="1:11" ht="19.5" customHeight="1" x14ac:dyDescent="0.3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7" t="str" cm="1">
        <f t="array" ref="A1">portfolio</f>
        <v>Canton Ice House</v>
      </c>
      <c r="B1" s="57"/>
      <c r="C1" s="57"/>
      <c r="D1" s="58" t="s">
        <v>68</v>
      </c>
      <c r="E1" s="58"/>
      <c r="F1" s="58"/>
      <c r="G1" s="56" t="s">
        <v>69</v>
      </c>
      <c r="H1" s="56"/>
      <c r="I1" s="56"/>
      <c r="J1" s="4"/>
      <c r="K1" s="4"/>
    </row>
    <row r="2" spans="1:11" ht="19.5" customHeight="1" x14ac:dyDescent="0.3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defaultRowHeight="13.5" x14ac:dyDescent="0.35"/>
  <cols>
    <col min="1" max="1" width="35.86328125" bestFit="1" customWidth="1"/>
    <col min="2" max="2" width="8.3984375" style="2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7" t="str" cm="1">
        <f t="array" ref="A1">portfolio</f>
        <v>Canton Ice House</v>
      </c>
      <c r="B1" s="57"/>
      <c r="C1" s="57"/>
      <c r="D1" s="58" t="s">
        <v>70</v>
      </c>
      <c r="E1" s="58"/>
      <c r="F1" s="58"/>
      <c r="G1" s="56" t="s">
        <v>71</v>
      </c>
      <c r="H1" s="56"/>
      <c r="I1" s="56"/>
      <c r="J1" s="4"/>
      <c r="K1" s="4"/>
    </row>
    <row r="2" spans="1:11" ht="19.5" customHeight="1" x14ac:dyDescent="0.35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 x14ac:dyDescent="0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 x14ac:dyDescent="0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 x14ac:dyDescent="0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 x14ac:dyDescent="0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 x14ac:dyDescent="0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 x14ac:dyDescent="0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 x14ac:dyDescent="0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 x14ac:dyDescent="0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 x14ac:dyDescent="0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 x14ac:dyDescent="0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 x14ac:dyDescent="0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 x14ac:dyDescent="0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 x14ac:dyDescent="0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 x14ac:dyDescent="0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 x14ac:dyDescent="0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 x14ac:dyDescent="0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 x14ac:dyDescent="0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 x14ac:dyDescent="0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 x14ac:dyDescent="0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 x14ac:dyDescent="0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 x14ac:dyDescent="0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 x14ac:dyDescent="0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 x14ac:dyDescent="0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 x14ac:dyDescent="0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 x14ac:dyDescent="0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 x14ac:dyDescent="0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 x14ac:dyDescent="0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 x14ac:dyDescent="0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 x14ac:dyDescent="0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 x14ac:dyDescent="0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 x14ac:dyDescent="0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 x14ac:dyDescent="0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 x14ac:dyDescent="0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 x14ac:dyDescent="0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 x14ac:dyDescent="0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 x14ac:dyDescent="0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 x14ac:dyDescent="0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 x14ac:dyDescent="0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 x14ac:dyDescent="0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 x14ac:dyDescent="0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 x14ac:dyDescent="0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 x14ac:dyDescent="0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 x14ac:dyDescent="0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 x14ac:dyDescent="0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 x14ac:dyDescent="0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 x14ac:dyDescent="0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 x14ac:dyDescent="0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 x14ac:dyDescent="0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 x14ac:dyDescent="0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 x14ac:dyDescent="0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 x14ac:dyDescent="0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 x14ac:dyDescent="0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 x14ac:dyDescent="0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 x14ac:dyDescent="0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 x14ac:dyDescent="0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 x14ac:dyDescent="0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 x14ac:dyDescent="0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 x14ac:dyDescent="0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 x14ac:dyDescent="0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 x14ac:dyDescent="0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 x14ac:dyDescent="0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 x14ac:dyDescent="0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 x14ac:dyDescent="0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 x14ac:dyDescent="0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 x14ac:dyDescent="0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 x14ac:dyDescent="0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 x14ac:dyDescent="0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 x14ac:dyDescent="0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 x14ac:dyDescent="0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 x14ac:dyDescent="0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 x14ac:dyDescent="0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 x14ac:dyDescent="0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 x14ac:dyDescent="0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 x14ac:dyDescent="0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 x14ac:dyDescent="0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 x14ac:dyDescent="0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 x14ac:dyDescent="0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 x14ac:dyDescent="0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 x14ac:dyDescent="0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 x14ac:dyDescent="0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 x14ac:dyDescent="0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 x14ac:dyDescent="0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 x14ac:dyDescent="0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 x14ac:dyDescent="0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 x14ac:dyDescent="0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 x14ac:dyDescent="0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 x14ac:dyDescent="0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 x14ac:dyDescent="0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 x14ac:dyDescent="0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 x14ac:dyDescent="0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 x14ac:dyDescent="0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 x14ac:dyDescent="0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 x14ac:dyDescent="0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 x14ac:dyDescent="0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 x14ac:dyDescent="0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 x14ac:dyDescent="0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 x14ac:dyDescent="0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 x14ac:dyDescent="0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 x14ac:dyDescent="0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 x14ac:dyDescent="0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 x14ac:dyDescent="0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 x14ac:dyDescent="0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 x14ac:dyDescent="0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 x14ac:dyDescent="0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 x14ac:dyDescent="0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 x14ac:dyDescent="0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 x14ac:dyDescent="0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 x14ac:dyDescent="0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 x14ac:dyDescent="0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 x14ac:dyDescent="0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 x14ac:dyDescent="0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 x14ac:dyDescent="0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 x14ac:dyDescent="0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 x14ac:dyDescent="0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 x14ac:dyDescent="0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 x14ac:dyDescent="0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 x14ac:dyDescent="0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 x14ac:dyDescent="0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 x14ac:dyDescent="0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 x14ac:dyDescent="0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 x14ac:dyDescent="0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 x14ac:dyDescent="0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 x14ac:dyDescent="0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 x14ac:dyDescent="0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 x14ac:dyDescent="0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 x14ac:dyDescent="0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 x14ac:dyDescent="0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 x14ac:dyDescent="0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 x14ac:dyDescent="0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 x14ac:dyDescent="0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 x14ac:dyDescent="0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 x14ac:dyDescent="0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 x14ac:dyDescent="0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 x14ac:dyDescent="0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 x14ac:dyDescent="0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 x14ac:dyDescent="0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 x14ac:dyDescent="0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 x14ac:dyDescent="0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 x14ac:dyDescent="0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 x14ac:dyDescent="0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 x14ac:dyDescent="0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 x14ac:dyDescent="0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 x14ac:dyDescent="0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 x14ac:dyDescent="0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 x14ac:dyDescent="0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 x14ac:dyDescent="0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 x14ac:dyDescent="0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 x14ac:dyDescent="0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 x14ac:dyDescent="0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 x14ac:dyDescent="0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 x14ac:dyDescent="0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 x14ac:dyDescent="0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 x14ac:dyDescent="0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 x14ac:dyDescent="0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 x14ac:dyDescent="0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 x14ac:dyDescent="0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 x14ac:dyDescent="0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 x14ac:dyDescent="0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 x14ac:dyDescent="0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 x14ac:dyDescent="0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 x14ac:dyDescent="0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 x14ac:dyDescent="0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 x14ac:dyDescent="0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 x14ac:dyDescent="0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 x14ac:dyDescent="0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 x14ac:dyDescent="0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 x14ac:dyDescent="0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 x14ac:dyDescent="0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 x14ac:dyDescent="0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 x14ac:dyDescent="0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 x14ac:dyDescent="0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 x14ac:dyDescent="0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 x14ac:dyDescent="0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 x14ac:dyDescent="0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 x14ac:dyDescent="0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 x14ac:dyDescent="0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 x14ac:dyDescent="0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 x14ac:dyDescent="0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 x14ac:dyDescent="0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 x14ac:dyDescent="0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 x14ac:dyDescent="0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 x14ac:dyDescent="0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 x14ac:dyDescent="0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 x14ac:dyDescent="0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 x14ac:dyDescent="0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 x14ac:dyDescent="0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 x14ac:dyDescent="0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 x14ac:dyDescent="0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 x14ac:dyDescent="0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 x14ac:dyDescent="0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 x14ac:dyDescent="0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 x14ac:dyDescent="0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 x14ac:dyDescent="0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 x14ac:dyDescent="0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 x14ac:dyDescent="0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 x14ac:dyDescent="0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 x14ac:dyDescent="0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 x14ac:dyDescent="0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 x14ac:dyDescent="0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 x14ac:dyDescent="0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 x14ac:dyDescent="0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 x14ac:dyDescent="0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 x14ac:dyDescent="0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 x14ac:dyDescent="0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 x14ac:dyDescent="0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 x14ac:dyDescent="0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 x14ac:dyDescent="0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 x14ac:dyDescent="0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 x14ac:dyDescent="0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 x14ac:dyDescent="0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 x14ac:dyDescent="0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 x14ac:dyDescent="0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 x14ac:dyDescent="0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 x14ac:dyDescent="0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 x14ac:dyDescent="0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 x14ac:dyDescent="0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 x14ac:dyDescent="0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 x14ac:dyDescent="0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 x14ac:dyDescent="0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 x14ac:dyDescent="0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 x14ac:dyDescent="0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 x14ac:dyDescent="0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 x14ac:dyDescent="0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 x14ac:dyDescent="0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 x14ac:dyDescent="0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 x14ac:dyDescent="0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 x14ac:dyDescent="0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 x14ac:dyDescent="0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 x14ac:dyDescent="0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 x14ac:dyDescent="0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 x14ac:dyDescent="0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 x14ac:dyDescent="0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 x14ac:dyDescent="0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 x14ac:dyDescent="0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 x14ac:dyDescent="0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 x14ac:dyDescent="0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 x14ac:dyDescent="0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 x14ac:dyDescent="0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 x14ac:dyDescent="0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 x14ac:dyDescent="0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 x14ac:dyDescent="0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 x14ac:dyDescent="0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 x14ac:dyDescent="0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 x14ac:dyDescent="0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 x14ac:dyDescent="0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 x14ac:dyDescent="0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 x14ac:dyDescent="0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 x14ac:dyDescent="0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 x14ac:dyDescent="0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 x14ac:dyDescent="0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 x14ac:dyDescent="0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 x14ac:dyDescent="0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 x14ac:dyDescent="0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 x14ac:dyDescent="0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 x14ac:dyDescent="0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 x14ac:dyDescent="0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 x14ac:dyDescent="0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 x14ac:dyDescent="0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 x14ac:dyDescent="0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 x14ac:dyDescent="0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 x14ac:dyDescent="0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 x14ac:dyDescent="0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 x14ac:dyDescent="0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 x14ac:dyDescent="0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 x14ac:dyDescent="0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 x14ac:dyDescent="0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 x14ac:dyDescent="0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 x14ac:dyDescent="0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 x14ac:dyDescent="0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 x14ac:dyDescent="0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 x14ac:dyDescent="0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 x14ac:dyDescent="0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 x14ac:dyDescent="0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 x14ac:dyDescent="0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 x14ac:dyDescent="0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 x14ac:dyDescent="0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 x14ac:dyDescent="0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 x14ac:dyDescent="0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 x14ac:dyDescent="0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 x14ac:dyDescent="0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 x14ac:dyDescent="0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 x14ac:dyDescent="0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 x14ac:dyDescent="0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 x14ac:dyDescent="0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 x14ac:dyDescent="0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 x14ac:dyDescent="0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 x14ac:dyDescent="0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 x14ac:dyDescent="0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 x14ac:dyDescent="0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 x14ac:dyDescent="0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3.9" x14ac:dyDescent="0.4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72</v>
      </c>
      <c r="B1" t="s">
        <v>73</v>
      </c>
    </row>
    <row r="3" spans="1:12" x14ac:dyDescent="0.35">
      <c r="A3" t="s">
        <v>74</v>
      </c>
      <c r="B3" t="s">
        <v>3</v>
      </c>
      <c r="C3" t="s">
        <v>4</v>
      </c>
      <c r="D3" t="s">
        <v>75</v>
      </c>
      <c r="E3" s="2" t="s">
        <v>76</v>
      </c>
    </row>
    <row r="4" spans="1:12" ht="14.25" x14ac:dyDescent="0.45">
      <c r="A4" s="38" t="s">
        <v>73</v>
      </c>
      <c r="B4" t="s">
        <v>77</v>
      </c>
      <c r="C4" s="36" t="s">
        <v>78</v>
      </c>
      <c r="D4" s="35" t="s">
        <v>79</v>
      </c>
      <c r="E4" t="s">
        <v>80</v>
      </c>
      <c r="G4" s="3"/>
    </row>
    <row r="5" spans="1:12" ht="14.25" x14ac:dyDescent="0.45">
      <c r="A5" s="38"/>
      <c r="C5" s="36"/>
      <c r="D5" s="35"/>
      <c r="G5" s="3"/>
    </row>
    <row r="6" spans="1:12" ht="14.25" x14ac:dyDescent="0.45">
      <c r="A6" s="38"/>
      <c r="C6" s="36"/>
      <c r="D6" s="35"/>
      <c r="G6" s="3"/>
    </row>
    <row r="7" spans="1:12" ht="12.75" customHeight="1" x14ac:dyDescent="0.35">
      <c r="A7" s="38"/>
      <c r="C7" s="36"/>
      <c r="D7" s="35"/>
    </row>
    <row r="8" spans="1:12" ht="12.75" customHeight="1" x14ac:dyDescent="0.35">
      <c r="A8" s="38"/>
      <c r="C8" s="36"/>
      <c r="D8" s="35"/>
    </row>
    <row r="9" spans="1:12" ht="12.75" customHeight="1" x14ac:dyDescent="0.35">
      <c r="A9" s="38"/>
      <c r="C9" s="36"/>
      <c r="D9" s="35"/>
    </row>
    <row r="10" spans="1:12" ht="12.75" customHeight="1" x14ac:dyDescent="0.35">
      <c r="A10" s="38"/>
      <c r="C10" s="36"/>
      <c r="D10" s="35"/>
      <c r="K10" s="33"/>
      <c r="L10" s="33"/>
    </row>
    <row r="11" spans="1:12" ht="12.75" customHeight="1" x14ac:dyDescent="0.35">
      <c r="A11" s="38"/>
      <c r="C11" s="36"/>
      <c r="D11" s="35"/>
      <c r="K11" s="33"/>
      <c r="L11" s="33"/>
    </row>
    <row r="12" spans="1:12" ht="12.75" customHeight="1" x14ac:dyDescent="0.35">
      <c r="A12" s="38"/>
      <c r="C12" s="36"/>
      <c r="D12" s="35"/>
      <c r="K12" s="33"/>
      <c r="L12" s="33"/>
    </row>
    <row r="13" spans="1:12" ht="12.75" customHeight="1" x14ac:dyDescent="0.35">
      <c r="A13" s="38"/>
      <c r="C13" s="36"/>
      <c r="D13" s="35"/>
      <c r="K13" s="33"/>
      <c r="L13" s="33"/>
    </row>
    <row r="14" spans="1:12" ht="12.75" customHeight="1" x14ac:dyDescent="0.35">
      <c r="A14" s="38"/>
      <c r="C14" s="36"/>
      <c r="D14" s="35"/>
      <c r="K14" s="33"/>
      <c r="L14" s="33"/>
    </row>
    <row r="15" spans="1:12" ht="12.75" customHeight="1" x14ac:dyDescent="0.35">
      <c r="A15" s="38"/>
      <c r="C15" s="36"/>
      <c r="D15" s="35"/>
      <c r="K15" s="33"/>
      <c r="L15" s="33"/>
    </row>
    <row r="16" spans="1:12" ht="12.75" customHeight="1" x14ac:dyDescent="0.35">
      <c r="A16" s="38"/>
      <c r="C16" s="36"/>
      <c r="D16" s="35"/>
      <c r="K16" s="33"/>
      <c r="L16" s="33"/>
    </row>
    <row r="17" spans="1:12" ht="12.75" customHeight="1" x14ac:dyDescent="0.35">
      <c r="A17" s="38"/>
      <c r="C17" s="36"/>
      <c r="D17" s="35"/>
      <c r="K17" s="33"/>
      <c r="L17" s="33"/>
    </row>
    <row r="18" spans="1:12" ht="12.75" customHeight="1" x14ac:dyDescent="0.35">
      <c r="A18" s="38"/>
      <c r="C18" s="36"/>
      <c r="D18" s="35"/>
      <c r="K18" s="33"/>
      <c r="L18" s="33"/>
    </row>
    <row r="19" spans="1:12" ht="12.75" customHeight="1" x14ac:dyDescent="0.35">
      <c r="A19" s="38"/>
      <c r="C19" s="36"/>
      <c r="D19" s="35"/>
      <c r="K19" s="33"/>
      <c r="L19" s="33"/>
    </row>
    <row r="20" spans="1:12" ht="12.75" customHeight="1" x14ac:dyDescent="0.35">
      <c r="A20" s="38"/>
      <c r="C20" s="36"/>
      <c r="D20" s="35"/>
      <c r="K20" s="33"/>
      <c r="L20" s="33"/>
    </row>
    <row r="21" spans="1:12" ht="12.75" customHeight="1" x14ac:dyDescent="0.35">
      <c r="A21" s="38"/>
      <c r="C21" s="36"/>
      <c r="D21" s="35"/>
      <c r="K21" s="33"/>
      <c r="L21" s="33"/>
    </row>
    <row r="22" spans="1:12" ht="12.75" customHeight="1" x14ac:dyDescent="0.35">
      <c r="A22" s="38"/>
      <c r="C22" s="36"/>
      <c r="D22" s="35"/>
      <c r="K22" s="33"/>
      <c r="L22" s="33"/>
    </row>
    <row r="23" spans="1:12" ht="12.75" customHeight="1" x14ac:dyDescent="0.35">
      <c r="A23" s="38"/>
      <c r="C23" s="36"/>
      <c r="D23" s="35"/>
      <c r="K23" s="33"/>
      <c r="L23" s="33"/>
    </row>
    <row r="24" spans="1:12" ht="12.75" customHeight="1" x14ac:dyDescent="0.35">
      <c r="A24" s="38"/>
      <c r="C24" s="36"/>
      <c r="D24" s="35"/>
      <c r="K24" s="33"/>
      <c r="L24" s="33"/>
    </row>
    <row r="25" spans="1:12" ht="12.75" customHeight="1" x14ac:dyDescent="0.35">
      <c r="A25" s="38"/>
      <c r="C25" s="36"/>
      <c r="D25" s="35"/>
      <c r="K25" s="33"/>
      <c r="L25" s="33"/>
    </row>
    <row r="26" spans="1:12" ht="12.75" customHeight="1" x14ac:dyDescent="0.35">
      <c r="K26" s="33"/>
      <c r="L26" s="33"/>
    </row>
    <row r="27" spans="1:12" ht="12.75" customHeight="1" x14ac:dyDescent="0.35">
      <c r="K27" s="33"/>
      <c r="L27" s="33"/>
    </row>
    <row r="28" spans="1:12" ht="12.75" customHeight="1" x14ac:dyDescent="0.35">
      <c r="K28" s="33"/>
      <c r="L28" s="33"/>
    </row>
    <row r="29" spans="1:12" ht="12.75" customHeight="1" x14ac:dyDescent="0.35">
      <c r="K29" s="33"/>
      <c r="L29" s="33"/>
    </row>
    <row r="30" spans="1:12" ht="12.75" customHeight="1" x14ac:dyDescent="0.35">
      <c r="K30" s="33"/>
      <c r="L30" s="33"/>
    </row>
    <row r="31" spans="1:12" ht="12.75" customHeight="1" x14ac:dyDescent="0.3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D0A63025-B1C2-4D63-BF86-07975571A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2025-10-15T05:31:11Z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