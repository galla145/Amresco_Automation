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1" documentId="13_ncr:1_{FA276256-CFC9-4B6A-A3B9-D0B632C80662}" xr6:coauthVersionLast="47" xr6:coauthVersionMax="47" xr10:uidLastSave="{72A74928-4F18-4D6E-94FC-37ABF5E26BF7}"/>
  <bookViews>
    <workbookView xWindow="43080" yWindow="-120" windowWidth="29040" windowHeight="15720" tabRatio="866" firstSheet="4" activeTab="3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9" l="1"/>
  <c r="I4" i="19" s="1"/>
  <c r="A4" i="72" a="1"/>
  <c r="A4" i="72"/>
  <c r="G4" i="30"/>
  <c r="G2" i="30" s="1"/>
  <c r="G4" i="29"/>
  <c r="G4" i="18"/>
  <c r="G2" i="18" s="1"/>
  <c r="H4" i="4"/>
  <c r="I4" i="4" s="1"/>
  <c r="E4" i="72"/>
  <c r="F4" i="72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30" a="1"/>
  <c r="A4" i="30" s="1"/>
  <c r="B4" i="72" a="1"/>
  <c r="B4" i="72" s="1"/>
  <c r="E4" i="3"/>
  <c r="F4" i="3" s="1"/>
  <c r="H4" i="3"/>
  <c r="I4" i="3" s="1"/>
  <c r="G4" i="1"/>
  <c r="B4" i="34" a="1"/>
  <c r="B4" i="34" s="1"/>
  <c r="A4" i="34" a="1"/>
  <c r="A4" i="34" s="1"/>
  <c r="A1" i="34" a="1"/>
  <c r="A1" i="34" s="1"/>
  <c r="D4" i="30"/>
  <c r="C4" i="30"/>
  <c r="D4" i="29"/>
  <c r="D2" i="29" s="1"/>
  <c r="C4" i="29"/>
  <c r="D4" i="18"/>
  <c r="D2" i="18" s="1"/>
  <c r="C4" i="18"/>
  <c r="B4" i="30" a="1"/>
  <c r="B4" i="30" s="1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4" i="33"/>
  <c r="I4" i="33" s="1"/>
  <c r="E4" i="33"/>
  <c r="F4" i="33" s="1"/>
  <c r="G2" i="33"/>
  <c r="D2" i="33"/>
  <c r="C2" i="33"/>
  <c r="A1" i="33" a="1"/>
  <c r="A1" i="33" s="1"/>
  <c r="H4" i="32"/>
  <c r="I4" i="32" s="1"/>
  <c r="E4" i="32"/>
  <c r="F4" i="32" s="1"/>
  <c r="G2" i="32"/>
  <c r="D2" i="32"/>
  <c r="C2" i="32"/>
  <c r="A1" i="32" a="1"/>
  <c r="A1" i="32" s="1"/>
  <c r="H4" i="31"/>
  <c r="I4" i="31" s="1"/>
  <c r="E4" i="31"/>
  <c r="F4" i="31" s="1"/>
  <c r="G2" i="31"/>
  <c r="D2" i="31"/>
  <c r="C2" i="31"/>
  <c r="A1" i="31" a="1"/>
  <c r="A1" i="31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4" i="26"/>
  <c r="I4" i="26" s="1"/>
  <c r="E4" i="26"/>
  <c r="F4" i="26" s="1"/>
  <c r="G2" i="26"/>
  <c r="D2" i="26"/>
  <c r="C2" i="26"/>
  <c r="A1" i="26" a="1"/>
  <c r="A1" i="26" s="1"/>
  <c r="E4" i="19"/>
  <c r="F4" i="19" s="1"/>
  <c r="G2" i="19"/>
  <c r="D2" i="19"/>
  <c r="C2" i="19"/>
  <c r="A1" i="19" a="1"/>
  <c r="A1" i="19" s="1"/>
  <c r="H4" i="20"/>
  <c r="I4" i="20" s="1"/>
  <c r="E4" i="20"/>
  <c r="F4" i="20" s="1"/>
  <c r="G2" i="20"/>
  <c r="D2" i="20"/>
  <c r="C2" i="20"/>
  <c r="A1" i="20" a="1"/>
  <c r="A1" i="20" s="1"/>
  <c r="H4" i="21"/>
  <c r="I4" i="21" s="1"/>
  <c r="E4" i="21"/>
  <c r="F4" i="21" s="1"/>
  <c r="G2" i="21"/>
  <c r="D2" i="21"/>
  <c r="C2" i="21"/>
  <c r="A1" i="21" a="1"/>
  <c r="A1" i="21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H4" i="72"/>
  <c r="I4" i="72" s="1"/>
  <c r="G2" i="72"/>
  <c r="D2" i="72"/>
  <c r="C2" i="72"/>
  <c r="J2" i="72" s="1"/>
  <c r="A1" i="72" a="1"/>
  <c r="A1" i="72" s="1"/>
  <c r="D4" i="34" l="1"/>
  <c r="D2" i="34" s="1"/>
  <c r="G4" i="34"/>
  <c r="E4" i="18"/>
  <c r="F4" i="18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H2" i="3"/>
  <c r="I2" i="3" s="1"/>
  <c r="G2" i="1"/>
  <c r="H4" i="30"/>
  <c r="I4" i="30" s="1"/>
  <c r="H4" i="29"/>
  <c r="I4" i="29" s="1"/>
  <c r="H4" i="18"/>
  <c r="I4" i="18" s="1"/>
  <c r="C4" i="34"/>
  <c r="C2" i="29"/>
  <c r="E2" i="29" s="1"/>
  <c r="F2" i="29" s="1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<sst xmlns="http://schemas.openxmlformats.org/spreadsheetml/2006/main" count="274" uniqueCount="75">
  <si>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</si>
  <si>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</si>
  <si>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</si>
  <si>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</si>
  <si>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</si>
  <si>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</si>
  <si>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</si>
  <si>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</si>
  <si>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</si>
  <si>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</si>
  <si>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</si>
  <si>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</si>
  <si>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</si>
  <si>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</si>
  <si>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</si>
  <si>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</si>
  <si>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</si>
  <si>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</si>
  <si>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</si>
  <si>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</si>
  <si>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</si>
  <si>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</si>
  <si>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</si>
  <si>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Inverter 6 has been tripping on and off throughout the month due to a "DC injection fault" in SolarEdge portal.
2. Inverter 1 requires a new relay board and fan
3. Low generation due to weather/snow.</t>
  </si>
  <si>
    <t>1. SR098945
2. SR094603</t>
  </si>
  <si>
    <t>SR094603</t>
  </si>
  <si>
    <t>February Actual v. Expected</t>
  </si>
  <si>
    <t>February Actual v. Forecasted</t>
  </si>
  <si>
    <t>1. Inverter 1 requires a new relay board and fan.
2. Inverter 6 has been tripping on and off throughout the month due to a "DC injection fault" in SolarEdge portal.
3. Low generation due to weather/snow.</t>
  </si>
  <si>
    <t>1. SR094603
2. SR098945</t>
  </si>
  <si>
    <t>SR098945</t>
  </si>
  <si>
    <t>March Actual v. Expected</t>
  </si>
  <si>
    <t>March Actual v. Forecasted</t>
  </si>
  <si>
    <t>1. The inverter 3 tripped offline at 06:45 AM on 03/06, reporting a "VinP Max" error. After inspection, the technician observed that a large amount of rain and snowmelt was causing insulation faults in the inverter. After troubleshooting, the inverter was  back online at 12:00 PM on 03/06.
2. Inverter 6 has been tripping on and off throughout the month due to a "DC injection fault" in SolarEdge portal and Also Energy portal.
3.  Inverter 1 requires a new relay board and fan.</t>
  </si>
  <si>
    <t>1. SR098206
2. SR098945
3. SR094603</t>
  </si>
  <si>
    <t>April Actual v. Expected</t>
  </si>
  <si>
    <t>April Actual v. Forecasted</t>
  </si>
  <si>
    <t>1. Inverter 6 has been tripping on and off throughout the month due to a "DC injection fault" in SolarEdge portal and Also Energy portal.</t>
  </si>
  <si>
    <t>1. SR098945</t>
  </si>
  <si>
    <t>May Actual v. Expected</t>
  </si>
  <si>
    <t>May Actual v. Forecasted</t>
  </si>
  <si>
    <t>June Actual v. Expected</t>
  </si>
  <si>
    <t>June Actual v. Forecasted</t>
  </si>
  <si>
    <t>1. Inverter 6 has been tripping on and off throughout the month due to a "DC injection fault" in SolarEdge portal and Also Energy portal.
2. Inverter 7 has multiple tripping's since 06/11.on 06/16 technician was updated the firmware, set country code and paired optimizers . then inverter is running as expected.</t>
  </si>
  <si>
    <t>1. SR098945, SR103041
2. SR102915</t>
  </si>
  <si>
    <t>SR103041</t>
  </si>
  <si>
    <t>SR102915</t>
  </si>
  <si>
    <t>July Actual v. Expected</t>
  </si>
  <si>
    <t>July Actual v. Forecasted</t>
  </si>
  <si>
    <t>1.Inverter 6 had multiple trippings  from 07/01 to 07/09.
2.Inverter 7 was experiencing multiple trippings throughout the month.</t>
  </si>
  <si>
    <t>1.SR103041
2.SR105311</t>
  </si>
  <si>
    <t>SR105311</t>
  </si>
  <si>
    <t>August Actual v. Expected</t>
  </si>
  <si>
    <t>August Actual v. Forecasted</t>
  </si>
  <si>
    <t>1.Inverter 6 was tripping on and off multiple times and remained offline since 08/26.
2.Inverter 7 tripped offline multiple times throughout the month.</t>
  </si>
  <si>
    <t>1.SR106805,SR103041
2.SR106583</t>
  </si>
  <si>
    <t>September Actual v. Expected</t>
  </si>
  <si>
    <t>September Actual v. Forecasted</t>
  </si>
  <si>
    <t>1. Inverter 6 was offline from 14:00 on 08/25 and came back online at 10:15 on 09/16.
2. Inverter 7 experienced trip events on 09/02 and 09/03.</t>
  </si>
  <si>
    <t>1. SR106805
2. SR106583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</si>
  <si>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</si>
  <si>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</si>
  <si>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</si>
  <si>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</si>
  <si>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</si>
  <si>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</si>
  <si>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</si>
  <si>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MA: Leominster - 1776 Lock Dr - Rapco Horizon</t>
  </si>
  <si>
    <t>Site DAS Name</t>
  </si>
  <si>
    <t>Update</t>
  </si>
  <si>
    <t>DAS</t>
  </si>
  <si>
    <t>Rapco Horizon - 1776 Lock Dr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</si>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</sst>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7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0"/>
      <color theme="10"/>
      <name val="Arial"/>
      <family val="2"/>
    </font>
  </fonts>
  <fills count="48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9E1F2"/>
        <bgColor rgb="FF000000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 tint="0.39997558519241921"/>
      </top>
      <bottom style="thin">
        <color auto="1"/>
      </bottom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6" fillId="0" borderId="0" applyNumberFormat="0" applyFill="0" applyBorder="0" applyAlignment="0" applyProtection="0"/>
  </cellStyleXfs>
  <cellXfs count="68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49" fontId="30" fillId="0" borderId="0" xfId="2" applyNumberFormat="1" applyFont="1" applyFill="1" applyBorder="1" applyAlignment="1">
      <alignment vertical="top" wrapText="1"/>
    </xf>
    <xf numFmtId="9" fontId="30" fillId="3" borderId="0" xfId="2" applyFont="1" applyFill="1" applyAlignment="1">
      <alignment horizontal="right" vertical="center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9" fillId="43" borderId="11" xfId="0" applyFont="1" applyFill="1" applyBorder="1" applyAlignment="1">
      <alignment horizontal="center" vertical="center" wrapText="1"/>
    </xf>
    <xf numFmtId="0" fontId="24" fillId="41" borderId="11" xfId="0" applyFont="1" applyFill="1" applyBorder="1" applyAlignment="1">
      <alignment horizontal="center" vertical="center" wrapText="1"/>
    </xf>
    <xf numFmtId="3" fontId="35" fillId="46" borderId="0" xfId="0" applyNumberFormat="1" applyFont="1" applyFill="1" applyAlignment="1">
      <alignment vertical="center"/>
    </xf>
    <xf numFmtId="0" fontId="24" fillId="42" borderId="11" xfId="0" applyFont="1" applyFill="1" applyBorder="1" applyAlignment="1">
      <alignment horizontal="center" vertical="center"/>
    </xf>
    <xf numFmtId="3" fontId="35" fillId="47" borderId="0" xfId="0" applyNumberFormat="1" applyFont="1" applyFill="1" applyAlignment="1">
      <alignment vertical="center"/>
    </xf>
    <xf numFmtId="49" fontId="30" fillId="38" borderId="0" xfId="2" applyNumberFormat="1" applyFont="1" applyFill="1" applyBorder="1" applyAlignment="1">
      <alignment horizontal="left" vertical="top" wrapText="1"/>
    </xf>
    <xf numFmtId="9" fontId="30" fillId="38" borderId="12" xfId="2" applyFont="1" applyFill="1" applyBorder="1" applyAlignment="1">
      <alignment horizontal="left" vertical="top" wrapText="1"/>
    </xf>
    <xf numFmtId="0" fontId="32" fillId="0" borderId="0" xfId="0" applyFont="1" applyAlignment="1">
      <alignment horizontal="left" vertical="top"/>
    </xf>
    <xf numFmtId="0" fontId="34" fillId="40" borderId="0" xfId="0" applyFont="1" applyFill="1" applyAlignment="1">
      <alignment horizontal="left" vertical="center"/>
    </xf>
    <xf numFmtId="0" fontId="35" fillId="46" borderId="0" xfId="0" applyFont="1" applyFill="1" applyAlignment="1">
      <alignment horizontal="right" vertical="center"/>
    </xf>
    <xf numFmtId="9" fontId="36" fillId="38" borderId="12" xfId="45" applyNumberFormat="1" applyFill="1" applyBorder="1" applyAlignment="1">
      <alignment horizontal="left" vertical="top" wrapText="1"/>
    </xf>
    <xf numFmtId="0" fontId="36" fillId="0" borderId="0" xfId="45"/>
    <xf numFmtId="49" fontId="36" fillId="38" borderId="0" xfId="45" applyNumberFormat="1" applyFill="1" applyBorder="1" applyAlignment="1">
      <alignment vertical="top" wrapText="1"/>
    </xf>
    <xf numFmtId="0" fontId="0" fillId="0" borderId="0" xfId="0" applyAlignment="1">
      <alignment vertical="top"/>
    </xf>
    <xf numFmtId="0" fontId="36" fillId="0" borderId="0" xfId="45" applyAlignment="1">
      <alignment vertical="top"/>
    </xf>
    <xf numFmtId="0" fontId="0" fillId="0" borderId="0" xfId="0" applyAlignment="1">
      <alignment horizontal="left" vertical="top"/>
    </xf>
    <xf numFmtId="0" fontId="36" fillId="0" borderId="0" xfId="45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us3.assetplanner.com/service_request?ID=094603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4603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4603" TargetMode="External"/><Relationship Id="rId2" Type="http://schemas.openxmlformats.org/officeDocument/2006/relationships/hyperlink" Target="https://us3.assetplanner.com/service_request?ID=098945" TargetMode="External"/><Relationship Id="rId1" Type="http://schemas.openxmlformats.org/officeDocument/2006/relationships/hyperlink" Target="https://us3.assetplanner.com/service_request?ID=098206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us3.assetplanner.com/service_request?ID=098945" TargetMode="Externa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102915" TargetMode="External"/><Relationship Id="rId2" Type="http://schemas.openxmlformats.org/officeDocument/2006/relationships/hyperlink" Target="https://us3.assetplanner.com/service_request?ID=103041" TargetMode="External"/><Relationship Id="rId1" Type="http://schemas.openxmlformats.org/officeDocument/2006/relationships/hyperlink" Target="https://us3.assetplanner.com/service_request?ID=098945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hyperlink" Target="https://us3.assetplanner.com/service_request?ID=105311" TargetMode="External"/><Relationship Id="rId1" Type="http://schemas.openxmlformats.org/officeDocument/2006/relationships/hyperlink" Target="https://us3.assetplanner.com/service_request?ID=103041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4" sqref="F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0</v>
      </c>
      <c r="E1" s="66"/>
      <c r="F1" s="66"/>
      <c r="G1" s="64" t="s">
        <v>1</v>
      </c>
      <c r="H1" s="64"/>
      <c r="I1" s="64"/>
    </row>
    <row r="2" spans="1:9" ht="19.5" customHeight="1">
      <c r="A2" s="67" t="s">
        <v>2</v>
      </c>
      <c r="B2" s="67"/>
      <c r="C2" s="5">
        <f>SUM(C4:C79)</f>
        <v>374969.44987185299</v>
      </c>
      <c r="D2" s="5">
        <f>SUM(D4:D79)</f>
        <v>0</v>
      </c>
      <c r="E2" s="5">
        <f>C2-D2</f>
        <v>374969.44987185299</v>
      </c>
      <c r="F2" s="6">
        <f>IFERROR(E2/D2, 0)</f>
        <v>0</v>
      </c>
      <c r="G2" s="5">
        <f>SUM(G4:G79)</f>
        <v>429465.81199999998</v>
      </c>
      <c r="H2" s="7">
        <f>C2-G2</f>
        <v>-54496.362128146982</v>
      </c>
      <c r="I2" s="6">
        <f>IFERROR(H2/G2, 0)</f>
        <v>-0.12689336521191349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11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SUM('1st Qtr'!C4, '2nd Qtr'!C4, '3rd Qtr'!C4, '4th Qtr'!C4)</f>
        <v>374969.44987185299</v>
      </c>
      <c r="D4" s="12">
        <f>SUM('1st Qtr'!D4, '2nd Qtr'!D4, '3rd Qtr'!D4, '4th Qtr'!D4)</f>
        <v>0</v>
      </c>
      <c r="E4" s="12">
        <f>IF(AND(ISNUMBER(C4),ISNUMBER(D4)), C4-D4, "")</f>
        <v>374969.44987185299</v>
      </c>
      <c r="F4" s="13" t="str">
        <f>IFERROR(E4/D4, "")</f>
        <v/>
      </c>
      <c r="G4" s="14">
        <f>SUM('1st Qtr'!G4, '2nd Qtr'!G4, '3rd Qtr'!G4, '4th Qtr'!G4)</f>
        <v>429465.81199999998</v>
      </c>
      <c r="H4" s="14">
        <f>SUM('1st Qtr'!H4, '2nd Qtr'!H4, '3rd Qtr'!H4, '4th Qtr'!H4)</f>
        <v>-54496.362128147004</v>
      </c>
      <c r="I4" s="15">
        <f>IFERROR(H4/G4, "")</f>
        <v>-0.12689336521191355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C4" activePane="bottomRight" state="frozen"/>
      <selection pane="bottomRight" activeCell="G4" sqref="G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10</v>
      </c>
      <c r="E1" s="66"/>
      <c r="F1" s="66"/>
      <c r="G1" s="64" t="s">
        <v>11</v>
      </c>
      <c r="H1" s="64"/>
      <c r="I1" s="64"/>
    </row>
    <row r="2" spans="1:9" ht="19.5" customHeight="1">
      <c r="A2" s="67" t="s">
        <v>2</v>
      </c>
      <c r="B2" s="67"/>
      <c r="C2" s="5">
        <f>SUM(C4:C79)</f>
        <v>62685.559961852996</v>
      </c>
      <c r="D2" s="5">
        <f>SUM(D4:D79)</f>
        <v>0</v>
      </c>
      <c r="E2" s="5">
        <f>C2-D2</f>
        <v>62685.559961852996</v>
      </c>
      <c r="F2" s="6">
        <f>IFERROR(E2/D2, 0)</f>
        <v>0</v>
      </c>
      <c r="G2" s="5">
        <f>SUM(G4:G79)</f>
        <v>95137.670000000013</v>
      </c>
      <c r="H2" s="7">
        <f>C2-G2</f>
        <v>-32452.110038147017</v>
      </c>
      <c r="I2" s="6">
        <f>IFERROR(H2/G2, 0)</f>
        <v>-0.34110684062524355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SUM(Jan!C4, Feb!C4, Mar!C4)</f>
        <v>62685.559961852996</v>
      </c>
      <c r="D4" s="12">
        <f>SUM(Jan!D4, Feb!D4, Mar!D4)</f>
        <v>0</v>
      </c>
      <c r="E4" s="12">
        <f>IF(AND(ISNUMBER(C4),ISNUMBER(D4)), C4-D4, "")</f>
        <v>62685.559961852996</v>
      </c>
      <c r="F4" s="13" t="str">
        <f>IFERROR(E4/D4, "")</f>
        <v/>
      </c>
      <c r="G4" s="14">
        <f>SUM(Jan!G4, Feb!G4, Mar!G4)</f>
        <v>95137.670000000013</v>
      </c>
      <c r="H4" s="14">
        <f>SUM(Jan!H4, Feb!H4, Mar!H4)</f>
        <v>-32452.110038147006</v>
      </c>
      <c r="I4" s="15">
        <f>IFERROR(H4/G4, "")</f>
        <v>-0.34110684062524343</v>
      </c>
    </row>
    <row r="5" spans="1:9" ht="14.25">
      <c r="A5" s="20"/>
      <c r="B5" s="1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C4" activePane="bottomRight" state="frozen"/>
      <selection pane="bottomRight" activeCell="D4" sqref="D4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12</v>
      </c>
      <c r="E1" s="66"/>
      <c r="F1" s="66"/>
      <c r="G1" s="64" t="s">
        <v>13</v>
      </c>
      <c r="H1" s="64"/>
      <c r="I1" s="64"/>
    </row>
    <row r="2" spans="1:9" ht="19.5" customHeight="1">
      <c r="A2" s="67" t="s">
        <v>2</v>
      </c>
      <c r="B2" s="67"/>
      <c r="C2" s="5">
        <f>SUM(C4:C79)</f>
        <v>148747.44</v>
      </c>
      <c r="D2" s="5">
        <f>SUM(D4:D79)</f>
        <v>0</v>
      </c>
      <c r="E2" s="5">
        <f>C2-D2</f>
        <v>148747.44</v>
      </c>
      <c r="F2" s="6">
        <f>IFERROR(E2/D2, 0)</f>
        <v>0</v>
      </c>
      <c r="G2" s="5">
        <f>SUM(G4:G79)</f>
        <v>171441.359</v>
      </c>
      <c r="H2" s="7">
        <f>C2-G2</f>
        <v>-22693.918999999994</v>
      </c>
      <c r="I2" s="6">
        <f>IFERROR(H2/G2, 0)</f>
        <v>-0.1323713200383578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SUM(Apr!C4, May!C4, Jun!C4)</f>
        <v>148747.44</v>
      </c>
      <c r="D4" s="12">
        <f>SUM(Apr!D4, May!D4, Jun!D4)</f>
        <v>0</v>
      </c>
      <c r="E4" s="12">
        <f>IF(AND(ISNUMBER(C4),ISNUMBER(D4)), C4-D4, "")</f>
        <v>148747.44</v>
      </c>
      <c r="F4" s="13" t="str">
        <f>IFERROR(E4/D4, "")</f>
        <v/>
      </c>
      <c r="G4" s="14">
        <f>SUM(Apr!G4,May!G4,Jun!G4)</f>
        <v>171441.359</v>
      </c>
      <c r="H4" s="14">
        <f>SUM(Apr!H4, May!H4, Jun!H4)</f>
        <v>-22693.919000000002</v>
      </c>
      <c r="I4" s="15">
        <f>IFERROR(H4/G4, "")</f>
        <v>-0.13237132003835786</v>
      </c>
    </row>
    <row r="5" spans="1:9" ht="13.15">
      <c r="A5" s="20"/>
      <c r="B5" s="20"/>
      <c r="C5" s="20"/>
      <c r="D5" s="20"/>
      <c r="E5" s="20"/>
      <c r="F5" s="20"/>
      <c r="G5" s="20"/>
      <c r="H5" s="20"/>
      <c r="I5" s="20"/>
    </row>
    <row r="6" spans="1:9" ht="13.15">
      <c r="A6" s="20"/>
      <c r="B6" s="20"/>
      <c r="C6" s="20"/>
      <c r="D6" s="20"/>
      <c r="E6" s="20"/>
      <c r="F6" s="20"/>
      <c r="G6" s="20"/>
      <c r="H6" s="20"/>
      <c r="I6" s="20"/>
    </row>
    <row r="7" spans="1:9" ht="13.15">
      <c r="A7" s="20"/>
      <c r="B7" s="20"/>
      <c r="C7" s="20"/>
      <c r="D7" s="20"/>
      <c r="E7" s="20"/>
      <c r="F7" s="20"/>
      <c r="G7" s="20"/>
      <c r="H7" s="20"/>
      <c r="I7" s="20"/>
    </row>
    <row r="8" spans="1:9" ht="13.15">
      <c r="A8" s="20"/>
      <c r="B8" s="20"/>
      <c r="C8" s="20"/>
      <c r="D8" s="20"/>
      <c r="E8" s="20"/>
      <c r="F8" s="20"/>
      <c r="G8" s="20"/>
      <c r="H8" s="20"/>
      <c r="I8" s="20"/>
    </row>
    <row r="9" spans="1:9" ht="13.15">
      <c r="A9" s="20"/>
      <c r="B9" s="20"/>
      <c r="C9" s="20"/>
      <c r="D9" s="20"/>
      <c r="E9" s="20"/>
      <c r="F9" s="20"/>
      <c r="G9" s="20"/>
      <c r="H9" s="20"/>
      <c r="I9" s="20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tabSelected="1" workbookViewId="0">
      <pane xSplit="2" ySplit="3" topLeftCell="C4" activePane="bottomRight" state="frozen"/>
      <selection pane="bottomRight" activeCell="E17" sqref="E17"/>
      <selection pane="bottomLeft" activeCell="C14" sqref="C14"/>
      <selection pane="topRight" activeCell="C14" sqref="C14"/>
    </sheetView>
  </sheetViews>
  <sheetFormatPr defaultRowHeight="12.7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14</v>
      </c>
      <c r="E1" s="66"/>
      <c r="F1" s="66"/>
      <c r="G1" s="64" t="s">
        <v>15</v>
      </c>
      <c r="H1" s="64"/>
      <c r="I1" s="64"/>
    </row>
    <row r="2" spans="1:9" ht="19.5" customHeight="1">
      <c r="A2" s="67" t="s">
        <v>2</v>
      </c>
      <c r="B2" s="67"/>
      <c r="C2" s="5">
        <f>SUM(C4:C79)</f>
        <v>163536.44991</v>
      </c>
      <c r="D2" s="5">
        <f>SUM(D4:D79)</f>
        <v>0</v>
      </c>
      <c r="E2" s="5">
        <f>C2-D2</f>
        <v>163536.44991</v>
      </c>
      <c r="F2" s="6">
        <f>IFERROR(E2/D2, 0)</f>
        <v>0</v>
      </c>
      <c r="G2" s="5">
        <f>SUM(G4:G79)</f>
        <v>162886.783</v>
      </c>
      <c r="H2" s="7">
        <f>C2-G2</f>
        <v>649.66690999999992</v>
      </c>
      <c r="I2" s="6">
        <f>IFERROR(H2/G2, 0)</f>
        <v>3.9884568780513023E-3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SUM(Jul!C4, Aug!C4, Sep!C4)</f>
        <v>163536.44991</v>
      </c>
      <c r="D4" s="12">
        <f>SUM(Jul!D4, Aug!D4, Sep!D4)</f>
        <v>0</v>
      </c>
      <c r="E4" s="12">
        <f>IF(AND(ISNUMBER(C4),ISNUMBER(D4)), C4-D4, "")</f>
        <v>163536.44991</v>
      </c>
      <c r="F4" s="13" t="str">
        <f>IFERROR(E4/D4, "")</f>
        <v/>
      </c>
      <c r="G4" s="14">
        <f>SUM(Jul!G4,Aug!G4,Sep!G4)</f>
        <v>162886.783</v>
      </c>
      <c r="H4" s="14">
        <f>SUM(Jul!H4, Aug!H4, Sep!H4)</f>
        <v>649.66691000000719</v>
      </c>
      <c r="I4" s="15">
        <f>IFERROR(H4/G4, "")</f>
        <v>3.9884568780513465E-3</v>
      </c>
    </row>
    <row r="5" spans="1:9" ht="15.75">
      <c r="A5" s="16"/>
      <c r="B5" s="20"/>
      <c r="C5" s="20"/>
      <c r="D5" s="20"/>
      <c r="E5" s="20"/>
      <c r="F5" s="20"/>
      <c r="G5" s="20"/>
      <c r="H5" s="20"/>
      <c r="I5" s="20"/>
    </row>
    <row r="6" spans="1:9" ht="15.75">
      <c r="A6" s="16"/>
      <c r="B6" s="20"/>
      <c r="C6" s="20"/>
      <c r="D6" s="20"/>
      <c r="E6" s="20"/>
      <c r="F6" s="20"/>
      <c r="G6" s="20"/>
      <c r="H6" s="20"/>
      <c r="I6" s="20"/>
    </row>
    <row r="7" spans="1:9" ht="15.75">
      <c r="A7" s="16"/>
      <c r="B7" s="20"/>
      <c r="C7" s="20"/>
      <c r="D7" s="20"/>
      <c r="E7" s="20"/>
      <c r="F7" s="20"/>
      <c r="G7" s="20"/>
      <c r="H7" s="20"/>
      <c r="I7" s="20"/>
    </row>
    <row r="8" spans="1:9" ht="15.75">
      <c r="A8" s="16"/>
      <c r="B8" s="20"/>
      <c r="C8" s="20"/>
      <c r="D8" s="20"/>
      <c r="E8" s="20"/>
      <c r="F8" s="20"/>
      <c r="G8" s="20"/>
      <c r="H8" s="20"/>
      <c r="I8" s="20"/>
    </row>
    <row r="9" spans="1:9" ht="15.75">
      <c r="A9" s="16"/>
      <c r="B9" s="20"/>
      <c r="C9" s="20"/>
      <c r="D9" s="20"/>
      <c r="E9" s="20"/>
      <c r="F9" s="20"/>
      <c r="G9" s="20"/>
      <c r="H9" s="20"/>
      <c r="I9" s="20"/>
    </row>
    <row r="10" spans="1:9" ht="15.75">
      <c r="A10" s="16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4" activePane="bottomRight" state="frozen"/>
      <selection pane="bottomRight" activeCell="H21" sqref="H21"/>
      <selection pane="bottomLeft" activeCell="C14" sqref="C14"/>
      <selection pane="topRight" activeCell="C14" sqref="C14"/>
    </sheetView>
  </sheetViews>
  <sheetFormatPr defaultRowHeight="12.75"/>
  <cols>
    <col min="1" max="1" width="48.5703125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65" t="str" cm="1">
        <f t="array" ref="A1">portfolio</f>
        <v>MA: Leominster - 1776 Lock Dr - Rapco Horizon</v>
      </c>
      <c r="B1" s="65"/>
      <c r="C1" s="65"/>
      <c r="D1" s="66" t="s">
        <v>16</v>
      </c>
      <c r="E1" s="66"/>
      <c r="F1" s="66"/>
      <c r="G1" s="64" t="s">
        <v>17</v>
      </c>
      <c r="H1" s="64"/>
      <c r="I1" s="64"/>
    </row>
    <row r="2" spans="1:9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</row>
    <row r="4" spans="1:9" ht="15.75">
      <c r="A4" s="44" t="str" cm="1">
        <f t="array" ref="A4">Sites[Site]</f>
        <v>MA: Leominster - 1776 Lock Dr - Rapco Horizon</v>
      </c>
      <c r="B4" s="9" t="str" cm="1">
        <f t="array" ref="B4">Sites[State]</f>
        <v>MA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75">
      <c r="A5" s="16"/>
      <c r="B5" s="10"/>
      <c r="C5" s="41"/>
      <c r="D5" s="17"/>
      <c r="E5" s="17"/>
      <c r="F5" s="18"/>
      <c r="G5" s="19"/>
      <c r="H5" s="19"/>
      <c r="I5" s="18"/>
    </row>
    <row r="6" spans="1:9" ht="14.25">
      <c r="A6" s="20"/>
      <c r="B6" s="10"/>
      <c r="C6" s="41"/>
      <c r="D6" s="17"/>
      <c r="E6" s="17"/>
      <c r="F6" s="18"/>
      <c r="G6" s="19"/>
      <c r="H6" s="19"/>
      <c r="I6" s="18"/>
    </row>
    <row r="7" spans="1:9" ht="14.25">
      <c r="A7" s="20"/>
      <c r="B7" s="10"/>
      <c r="C7" s="41"/>
      <c r="D7" s="17"/>
      <c r="E7" s="17"/>
      <c r="F7" s="18"/>
      <c r="G7" s="19"/>
      <c r="H7" s="19"/>
      <c r="I7" s="18"/>
    </row>
    <row r="8" spans="1:9" ht="14.25">
      <c r="A8" s="20"/>
      <c r="B8" s="10"/>
      <c r="C8" s="41"/>
      <c r="D8" s="17"/>
      <c r="E8" s="17"/>
      <c r="F8" s="18"/>
      <c r="G8" s="19"/>
      <c r="H8" s="19"/>
      <c r="I8" s="18"/>
    </row>
    <row r="9" spans="1:9" ht="14.25">
      <c r="A9" s="20"/>
      <c r="B9" s="10"/>
      <c r="C9" s="41"/>
      <c r="D9" s="17"/>
      <c r="E9" s="17"/>
      <c r="F9" s="18"/>
      <c r="G9" s="19"/>
      <c r="H9" s="19"/>
      <c r="I9" s="18"/>
    </row>
    <row r="10" spans="1:9" ht="13.15">
      <c r="A10" s="20"/>
      <c r="B10" s="20"/>
      <c r="C10" s="20"/>
      <c r="D10" s="20"/>
      <c r="E10" s="20"/>
      <c r="F10" s="20"/>
      <c r="G10" s="20"/>
      <c r="H10" s="20"/>
      <c r="I10" s="20"/>
    </row>
    <row r="11" spans="1:9" ht="13.15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15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15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15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15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15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15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15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15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15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15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15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15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15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15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15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15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15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15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15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15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15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15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15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15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15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15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15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15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15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15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15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15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15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15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15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15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15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15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15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15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15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15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15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15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15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15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15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15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15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15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15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15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15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15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15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15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15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15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15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15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15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15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15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15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15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15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15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15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15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15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15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15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15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15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15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15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15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15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15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15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15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15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15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15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15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15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15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15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15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15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15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15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15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15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15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15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15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15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15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15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15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15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15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15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15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15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15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15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15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15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15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15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15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15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15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15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15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15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15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15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15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15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15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15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15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15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15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15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15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15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15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15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15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15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15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15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15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15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15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15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15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15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15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15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15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15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15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15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15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15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15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15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15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15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15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15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15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15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15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15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15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15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15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15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15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15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15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15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15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15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15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15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15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15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15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15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15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15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15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15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15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15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15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15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15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15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15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15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15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15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15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15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15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15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15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15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15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15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15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15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15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15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15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15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15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15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15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15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15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15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15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15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15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15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15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15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15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15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15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15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15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15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15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15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15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15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15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15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15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15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15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15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15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15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15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15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15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15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15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15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15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15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15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15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15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15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15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15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15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15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15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15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15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15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15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15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15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15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15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15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15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15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15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15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15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15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15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15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15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15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15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15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15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15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15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15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15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15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15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15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15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15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15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15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15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15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15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15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15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15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15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15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15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15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15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15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15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15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15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15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15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15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15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15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15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15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15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15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15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15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L320"/>
  <sheetViews>
    <sheetView workbookViewId="0">
      <pane xSplit="2" ySplit="3" topLeftCell="C4" activePane="bottomRight" state="frozen"/>
      <selection pane="bottomRight" activeCell="H21" sqref="H21"/>
      <selection pane="bottomLeft" activeCell="J4" sqref="J4:K4"/>
      <selection pane="topRight" activeCell="J4" sqref="J4:K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18</v>
      </c>
      <c r="E1" s="66"/>
      <c r="F1" s="66"/>
      <c r="G1" s="64" t="s">
        <v>19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SUM(C4:C78)</f>
        <v>14501.81999</v>
      </c>
      <c r="D2" s="5">
        <f>SUM(D4:D78)</f>
        <v>0</v>
      </c>
      <c r="E2" s="5">
        <f>C2-D2</f>
        <v>14501.81999</v>
      </c>
      <c r="F2" s="6">
        <f>IFERROR(E2/D2, 0)</f>
        <v>0</v>
      </c>
      <c r="G2" s="5">
        <f>SUM(G4:G78)</f>
        <v>21275.77</v>
      </c>
      <c r="H2" s="7">
        <f>C2-G2</f>
        <v>-6773.9500100000005</v>
      </c>
      <c r="I2" s="6">
        <f>IFERROR(H2/G2, 0)</f>
        <v>-0.31838800710855591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26" t="s">
        <v>3</v>
      </c>
      <c r="B3" s="8" t="s">
        <v>4</v>
      </c>
      <c r="C3" s="47" t="s">
        <v>5</v>
      </c>
      <c r="D3" s="48" t="s">
        <v>6</v>
      </c>
      <c r="E3" s="31" t="s">
        <v>7</v>
      </c>
      <c r="F3" s="32" t="s">
        <v>8</v>
      </c>
      <c r="G3" s="50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49">
        <v>14501.81999</v>
      </c>
      <c r="D4" s="56" t="s">
        <v>22</v>
      </c>
      <c r="E4" s="12" t="str">
        <f>IF(AND(ISNUMBER(C4),ISNUMBER(D4)), C4-D4, "")</f>
        <v/>
      </c>
      <c r="F4" s="40" t="str">
        <f>IFERROR(E4/D4, "")</f>
        <v/>
      </c>
      <c r="G4" s="51">
        <v>21275.77</v>
      </c>
      <c r="H4" s="14">
        <f>IF(AND(ISNUMBER(C4),ISNUMBER(G4)), C4-G4, "")</f>
        <v>-6773.9500100000005</v>
      </c>
      <c r="I4" s="15">
        <f>IFERROR(H4/G4, "")</f>
        <v>-0.31838800710855591</v>
      </c>
      <c r="J4" s="53" t="s">
        <v>23</v>
      </c>
      <c r="K4" s="57" t="s">
        <v>24</v>
      </c>
      <c r="L4" s="58" t="s">
        <v>25</v>
      </c>
    </row>
    <row r="5" spans="1:12" ht="14.25">
      <c r="A5" s="20"/>
      <c r="B5" s="29"/>
      <c r="C5" s="38"/>
      <c r="D5" s="20"/>
      <c r="E5" s="20"/>
      <c r="F5" s="20"/>
      <c r="G5" s="20"/>
      <c r="H5" s="20"/>
      <c r="I5" s="20"/>
      <c r="J5" s="39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37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54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1"/>
      <c r="G11" s="20"/>
      <c r="H11" s="20"/>
      <c r="I11" s="21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I4:I78">
    <cfRule type="cellIs" dxfId="28" priority="4" stopIfTrue="1" operator="lessThanOrEqual">
      <formula>-0.1</formula>
    </cfRule>
    <cfRule type="expression" dxfId="27" priority="5">
      <formula>AND(ISNUMBER(F2), F2&gt;=0.1)</formula>
    </cfRule>
  </conditionalFormatting>
  <conditionalFormatting sqref="F5:F78">
    <cfRule type="cellIs" dxfId="26" priority="1" stopIfTrue="1" operator="lessThanOrEqual">
      <formula>-0.1</formula>
    </cfRule>
    <cfRule type="expression" dxfId="25" priority="2">
      <formula>AND(ISNUMBER(F5), F5&gt;=0.1)</formula>
    </cfRule>
  </conditionalFormatting>
  <hyperlinks>
    <hyperlink ref="K4" r:id="rId1" display="https://us3.assetplanner.com/service_request?ID=098945" xr:uid="{F3CFE38E-6739-4AD4-86B5-3B5442742B91}"/>
    <hyperlink ref="L4" r:id="rId2" display="https://us3.assetplanner.com/service_request?ID=094603" xr:uid="{41F04F61-9A5E-437E-8F53-C8313A27C5D6}"/>
  </hyperlinks>
  <pageMargins left="0.4" right="0.7" top="0.25" bottom="0.25" header="0.3" footer="0.3"/>
  <pageSetup fitToHeight="99" orientation="landscape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L321"/>
  <sheetViews>
    <sheetView zoomScale="90" zoomScaleNormal="90" workbookViewId="0">
      <pane xSplit="2" ySplit="3" topLeftCell="C4" activePane="bottomRight" state="frozen"/>
      <selection pane="bottomRight" activeCell="K1" sqref="K1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26</v>
      </c>
      <c r="E1" s="66"/>
      <c r="F1" s="66"/>
      <c r="G1" s="64" t="s">
        <v>27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5822.469983</v>
      </c>
      <c r="D2" s="5">
        <f>SUM(D4:D79)</f>
        <v>0</v>
      </c>
      <c r="E2" s="5">
        <f>C2-D2</f>
        <v>5822.469983</v>
      </c>
      <c r="F2" s="6">
        <f>IFERROR(E2/D2, 0)</f>
        <v>0</v>
      </c>
      <c r="G2" s="5">
        <f>SUM(G4:G79)</f>
        <v>30103.22</v>
      </c>
      <c r="H2" s="7">
        <f>C2-G2</f>
        <v>-24280.750017000002</v>
      </c>
      <c r="I2" s="6">
        <f>IFERROR(H2/G2, 0)</f>
        <v>-0.80658315014141346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57">
      <c r="A4" s="46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5822.469983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30103.22</v>
      </c>
      <c r="H4" s="14">
        <f>IF(AND(ISNUMBER(C4),ISNUMBER(G4)), C4-G4, "")</f>
        <v>-24280.750017000002</v>
      </c>
      <c r="I4" s="15">
        <f>IFERROR(H4/G4, "")</f>
        <v>-0.80658315014141346</v>
      </c>
      <c r="J4" s="36" t="s">
        <v>28</v>
      </c>
      <c r="K4" s="59" t="s">
        <v>29</v>
      </c>
      <c r="L4" s="58" t="s">
        <v>30</v>
      </c>
    </row>
    <row r="5" spans="1:12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hyperlinks>
    <hyperlink ref="K4" r:id="rId1" display="https://us3.assetplanner.com/service_request?ID=094603" xr:uid="{3288FD7B-AD19-4AE4-BD05-046290414B08}"/>
    <hyperlink ref="L4" r:id="rId2" display="https://us3.assetplanner.com/service_request?ID=098945" xr:uid="{BCD21A9A-90AA-43CD-A72B-CAC69977790E}"/>
  </hyperlinks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zoomScaleNormal="60" workbookViewId="0">
      <pane xSplit="2" ySplit="3" topLeftCell="C4" activePane="bottomRight" state="frozen"/>
      <selection pane="bottomRight" activeCell="J4" sqref="J4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9" style="60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31</v>
      </c>
      <c r="E1" s="66"/>
      <c r="F1" s="66"/>
      <c r="G1" s="64" t="s">
        <v>32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42361.269988852997</v>
      </c>
      <c r="D2" s="5">
        <f>SUM(D4:D79)</f>
        <v>0</v>
      </c>
      <c r="E2" s="5">
        <f>C2-D2</f>
        <v>42361.269988852997</v>
      </c>
      <c r="F2" s="6">
        <f>IFERROR(E2/D2, 0)</f>
        <v>0</v>
      </c>
      <c r="G2" s="5">
        <f>SUM(G4:G79)</f>
        <v>43758.68</v>
      </c>
      <c r="H2" s="7">
        <f>C2-G2</f>
        <v>-1397.4100111470034</v>
      </c>
      <c r="I2" s="6">
        <f>IFERROR(H2/G2, 0)</f>
        <v>-3.1934464457040374E-2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126.75" customHeight="1">
      <c r="A4" s="55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42361.269988852997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43758.68</v>
      </c>
      <c r="H4" s="14">
        <f>IF(AND(ISNUMBER(C4),ISNUMBER(G4)), C4-G4, "")</f>
        <v>-1397.4100111470034</v>
      </c>
      <c r="I4" s="15">
        <f>IFERROR(H4/G4, "")</f>
        <v>-3.1934464457040374E-2</v>
      </c>
      <c r="J4" s="36" t="s">
        <v>33</v>
      </c>
      <c r="K4" s="59" t="s">
        <v>34</v>
      </c>
      <c r="L4" s="61" t="s">
        <v>30</v>
      </c>
      <c r="M4" s="61" t="s">
        <v>25</v>
      </c>
    </row>
    <row r="5" spans="1:13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06" xr:uid="{EBD78EA1-30DF-45C8-BD1F-5F36095D139D}"/>
    <hyperlink ref="L4" r:id="rId2" display="https://us3.assetplanner.com/service_request?ID=098945" xr:uid="{81D8C996-0D53-4A82-81C8-3E2201B8208F}"/>
    <hyperlink ref="M4" r:id="rId3" display="https://us3.assetplanner.com/service_request?ID=094603" xr:uid="{AAC54588-20D2-41D1-A553-A40BC36562F4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5"/>
  <cols>
    <col min="1" max="1" width="40.7109375" customWidth="1"/>
    <col min="2" max="2" width="9.85546875" style="30" customWidth="1"/>
    <col min="3" max="3" width="14.28515625" customWidth="1"/>
    <col min="4" max="5" width="13.28515625" customWidth="1"/>
    <col min="6" max="6" width="13.28515625" style="1" customWidth="1"/>
    <col min="7" max="8" width="13.28515625" customWidth="1"/>
    <col min="9" max="9" width="16.140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35</v>
      </c>
      <c r="E1" s="66"/>
      <c r="F1" s="66"/>
      <c r="G1" s="64" t="s">
        <v>36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48045.84</v>
      </c>
      <c r="D2" s="5">
        <f>SUM(D4:D79)</f>
        <v>0</v>
      </c>
      <c r="E2" s="5">
        <f>C2-D2</f>
        <v>48045.84</v>
      </c>
      <c r="F2" s="6">
        <f>IFERROR(E2/D2, 0)</f>
        <v>0</v>
      </c>
      <c r="G2" s="5">
        <f>SUM(G4:G79)</f>
        <v>50356.404000000002</v>
      </c>
      <c r="H2" s="7">
        <f>C2-G2</f>
        <v>-2310.5640000000058</v>
      </c>
      <c r="I2" s="6">
        <f>IFERROR(H2/G2, 0)</f>
        <v>-4.588421365433492E-2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48045.84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50356.404000000002</v>
      </c>
      <c r="H4" s="14">
        <f>IF(AND(ISNUMBER(C4),ISNUMBER(G4)), C4-G4, "")</f>
        <v>-2310.5640000000058</v>
      </c>
      <c r="I4" s="15">
        <f>IFERROR(H4/G4, "")</f>
        <v>-4.588421365433492E-2</v>
      </c>
      <c r="J4" s="36" t="s">
        <v>37</v>
      </c>
      <c r="K4" s="59" t="s">
        <v>38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0"/>
      <c r="G14" s="20"/>
      <c r="H14" s="20"/>
      <c r="I14" s="20"/>
      <c r="J14" s="20"/>
      <c r="K14" s="20"/>
    </row>
    <row r="15" spans="1:11" ht="14.25">
      <c r="A15" s="20"/>
      <c r="B15" s="29"/>
      <c r="C15" s="20"/>
      <c r="D15" s="20"/>
      <c r="E15" s="20"/>
      <c r="F15" s="20"/>
      <c r="G15" s="20"/>
      <c r="H15" s="20"/>
      <c r="I15" s="20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hyperlinks>
    <hyperlink ref="K4" r:id="rId1" display="https://us3.assetplanner.com/service_request?ID=098945" xr:uid="{5E064400-279F-4ECB-9F61-A6A4AB63C2F1}"/>
  </hyperlinks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C4" activePane="bottomRight" state="frozen"/>
      <selection pane="bottomRight" activeCell="K4" sqref="K4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39</v>
      </c>
      <c r="E1" s="66"/>
      <c r="F1" s="66"/>
      <c r="G1" s="64" t="s">
        <v>40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44905.75</v>
      </c>
      <c r="D2" s="5">
        <f>SUM(D4:D79)</f>
        <v>0</v>
      </c>
      <c r="E2" s="5">
        <f>C2-D2</f>
        <v>44905.75</v>
      </c>
      <c r="F2" s="6">
        <f>IFERROR(E2/D2, 0)</f>
        <v>0</v>
      </c>
      <c r="G2" s="5">
        <f>SUM(G4:G79)</f>
        <v>59923.824999999997</v>
      </c>
      <c r="H2" s="7">
        <f>C2-G2</f>
        <v>-15018.074999999997</v>
      </c>
      <c r="I2" s="6">
        <f>IFERROR(H2/G2, 0)</f>
        <v>-0.25061943225419936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28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44905.75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59923.824999999997</v>
      </c>
      <c r="H4" s="14">
        <f>IF(AND(ISNUMBER(C4),ISNUMBER(G4)), C4-G4, "")</f>
        <v>-15018.074999999997</v>
      </c>
      <c r="I4" s="15">
        <f>IFERROR(H4/G4, "")</f>
        <v>-0.25061943225419936</v>
      </c>
      <c r="J4" s="36" t="s">
        <v>37</v>
      </c>
      <c r="K4" s="59" t="s">
        <v>38</v>
      </c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hyperlinks>
    <hyperlink ref="K4" r:id="rId1" display="https://us3.assetplanner.com/service_request?ID=098945" xr:uid="{15F079C8-4069-4CCF-AC18-AECE3E18F468}"/>
  </hyperlinks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M321"/>
  <sheetViews>
    <sheetView zoomScale="80" zoomScaleNormal="80" workbookViewId="0">
      <pane xSplit="2" ySplit="3" topLeftCell="C4" activePane="bottomRight" state="frozen"/>
      <selection pane="bottomRight" activeCell="J26" sqref="J26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3" width="8.85546875" style="62"/>
  </cols>
  <sheetData>
    <row r="1" spans="1:13" ht="19.5" customHeight="1">
      <c r="A1" s="65" t="str" cm="1">
        <f t="array" ref="A1">portfolio</f>
        <v>MA: Leominster - 1776 Lock Dr - Rapco Horizon</v>
      </c>
      <c r="B1" s="65"/>
      <c r="C1" s="65"/>
      <c r="D1" s="66" t="s">
        <v>41</v>
      </c>
      <c r="E1" s="66"/>
      <c r="F1" s="66"/>
      <c r="G1" s="64" t="s">
        <v>42</v>
      </c>
      <c r="H1" s="64"/>
      <c r="I1" s="64"/>
      <c r="J1" s="4"/>
      <c r="K1" s="4"/>
    </row>
    <row r="2" spans="1:13" ht="19.5" customHeight="1">
      <c r="A2" s="67" t="s">
        <v>2</v>
      </c>
      <c r="B2" s="67"/>
      <c r="C2" s="5">
        <f>SUM(C4:C79)</f>
        <v>55795.85</v>
      </c>
      <c r="D2" s="5">
        <f>SUM(D4:D79)</f>
        <v>0</v>
      </c>
      <c r="E2" s="5">
        <f>C2-D2</f>
        <v>55795.85</v>
      </c>
      <c r="F2" s="6">
        <f>IFERROR(E2/D2, 0)</f>
        <v>0</v>
      </c>
      <c r="G2" s="5">
        <f>SUM(G4:G79)</f>
        <v>61161.13</v>
      </c>
      <c r="H2" s="7">
        <f>C2-G2</f>
        <v>-5365.2799999999988</v>
      </c>
      <c r="I2" s="6">
        <f>IFERROR(H2/G2, 0)</f>
        <v>-8.7723689866423316E-2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3" ht="71.2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55795.85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61161.13</v>
      </c>
      <c r="H4" s="14">
        <f>IF(AND(ISNUMBER(C4),ISNUMBER(G4)), C4-G4, "")</f>
        <v>-5365.2799999999988</v>
      </c>
      <c r="I4" s="15">
        <f>IFERROR(H4/G4, "")</f>
        <v>-8.7723689866423316E-2</v>
      </c>
      <c r="J4" s="36" t="s">
        <v>43</v>
      </c>
      <c r="K4" s="59" t="s">
        <v>44</v>
      </c>
      <c r="L4" s="63" t="s">
        <v>45</v>
      </c>
      <c r="M4" s="63" t="s">
        <v>46</v>
      </c>
    </row>
    <row r="5" spans="1:13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3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3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3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3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3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3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hyperlinks>
    <hyperlink ref="K4" r:id="rId1" display="https://us3.assetplanner.com/service_request?ID=098945" xr:uid="{9F0E93C6-38EF-494F-8956-2F50B3D002C3}"/>
    <hyperlink ref="L4" r:id="rId2" display="https://us3.assetplanner.com/service_request?ID=103041" xr:uid="{FFE7FB1A-AAED-4B2A-8F77-9751E66D3F06}"/>
    <hyperlink ref="M4" r:id="rId3" display="https://us3.assetplanner.com/service_request?ID=102915" xr:uid="{6DC580C4-6A57-4F5B-A6EA-C0E71F088D62}"/>
  </hyperlinks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L321"/>
  <sheetViews>
    <sheetView workbookViewId="0">
      <pane xSplit="2" ySplit="3" topLeftCell="C4" activePane="bottomRight" state="frozen"/>
      <selection pane="bottomRight" activeCell="F34" sqref="F34"/>
      <selection pane="bottomLeft" activeCell="F34" sqref="F34"/>
      <selection pane="topRight" activeCell="F34" sqref="F3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47</v>
      </c>
      <c r="E1" s="66"/>
      <c r="F1" s="66"/>
      <c r="G1" s="64" t="s">
        <v>48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59243.580170000001</v>
      </c>
      <c r="D2" s="5">
        <f>SUM(D4:D79)</f>
        <v>0</v>
      </c>
      <c r="E2" s="5">
        <f>C2-D2</f>
        <v>59243.580170000001</v>
      </c>
      <c r="F2" s="6">
        <f>IFERROR(E2/D2, 0)</f>
        <v>0</v>
      </c>
      <c r="G2" s="5">
        <f>SUM(G4:G79)</f>
        <v>64381.63</v>
      </c>
      <c r="H2" s="7">
        <f>C2-G2</f>
        <v>-5138.0498299999963</v>
      </c>
      <c r="I2" s="6">
        <f>IFERROR(H2/G2, 0)</f>
        <v>-7.9806147032934649E-2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59243.580170000001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64381.63</v>
      </c>
      <c r="H4" s="14">
        <f>IF(AND(ISNUMBER(C4),ISNUMBER(G4)), C4-G4, "")</f>
        <v>-5138.0498299999963</v>
      </c>
      <c r="I4" s="15">
        <f>IFERROR(H4/G4, "")</f>
        <v>-7.9806147032934649E-2</v>
      </c>
      <c r="J4" s="36" t="s">
        <v>49</v>
      </c>
      <c r="K4" s="59" t="s">
        <v>50</v>
      </c>
      <c r="L4" s="61" t="s">
        <v>51</v>
      </c>
    </row>
    <row r="5" spans="1:12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hyperlinks>
    <hyperlink ref="K4" r:id="rId1" display="https://us3.assetplanner.com/service_request?ID=103041" xr:uid="{04B270F9-032F-42FD-A705-0C4FF1B7E1E6}"/>
    <hyperlink ref="L4" r:id="rId2" display="https://us3.assetplanner.com/service_request?ID=105311" xr:uid="{56540192-C5AA-491F-BBAD-493F243D6FCF}"/>
  </hyperlinks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L321"/>
  <sheetViews>
    <sheetView workbookViewId="0">
      <pane xSplit="2" ySplit="3" topLeftCell="C4" activePane="bottomRight" state="frozen"/>
      <selection pane="bottomRight" activeCell="F34" sqref="F34"/>
      <selection pane="bottomLeft" activeCell="F34" sqref="F34"/>
      <selection pane="topRight" activeCell="F34" sqref="F34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52</v>
      </c>
      <c r="E1" s="66"/>
      <c r="F1" s="66"/>
      <c r="G1" s="64" t="s">
        <v>53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58840.799740000002</v>
      </c>
      <c r="D2" s="5">
        <f>SUM(D4:D79)</f>
        <v>0</v>
      </c>
      <c r="E2" s="5">
        <f>C2-D2</f>
        <v>58840.799740000002</v>
      </c>
      <c r="F2" s="6">
        <f>IFERROR(E2/D2, 0)</f>
        <v>0</v>
      </c>
      <c r="G2" s="5">
        <f>SUM(G4:G79)</f>
        <v>55661.27</v>
      </c>
      <c r="H2" s="7">
        <f>C2-G2</f>
        <v>3179.5297400000054</v>
      </c>
      <c r="I2" s="6">
        <f>IFERROR(H2/G2, 0)</f>
        <v>5.7122838555426519E-2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58840.799740000002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55661.27</v>
      </c>
      <c r="H4" s="14">
        <f>IF(AND(ISNUMBER(C4),ISNUMBER(G4)), C4-G4, "")</f>
        <v>3179.5297400000054</v>
      </c>
      <c r="I4" s="15">
        <f>IFERROR(H4/G4, "")</f>
        <v>5.7122838555426519E-2</v>
      </c>
      <c r="J4" s="36" t="s">
        <v>54</v>
      </c>
      <c r="K4" s="59" t="s">
        <v>55</v>
      </c>
      <c r="L4" s="61"/>
    </row>
    <row r="5" spans="1:12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L321"/>
  <sheetViews>
    <sheetView workbookViewId="0">
      <pane xSplit="2" ySplit="3" topLeftCell="C4" activePane="bottomRight" state="frozen"/>
      <selection pane="bottomRight" activeCell="E18" sqref="E18:E19"/>
      <selection pane="bottomLeft" activeCell="G21" sqref="G21"/>
      <selection pane="topRight" activeCell="G21" sqref="G21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  <col min="12" max="12" width="9" style="60"/>
  </cols>
  <sheetData>
    <row r="1" spans="1:12" ht="19.5" customHeight="1">
      <c r="A1" s="65" t="str" cm="1">
        <f t="array" ref="A1">portfolio</f>
        <v>MA: Leominster - 1776 Lock Dr - Rapco Horizon</v>
      </c>
      <c r="B1" s="65"/>
      <c r="C1" s="65"/>
      <c r="D1" s="66" t="s">
        <v>56</v>
      </c>
      <c r="E1" s="66"/>
      <c r="F1" s="66"/>
      <c r="G1" s="64" t="s">
        <v>57</v>
      </c>
      <c r="H1" s="64"/>
      <c r="I1" s="64"/>
      <c r="J1" s="4"/>
      <c r="K1" s="4"/>
    </row>
    <row r="2" spans="1:12" ht="19.5" customHeight="1">
      <c r="A2" s="67" t="s">
        <v>2</v>
      </c>
      <c r="B2" s="67"/>
      <c r="C2" s="5">
        <f>SUM(C4:C79)</f>
        <v>45452.07</v>
      </c>
      <c r="D2" s="5">
        <f>SUM(D4:D79)</f>
        <v>0</v>
      </c>
      <c r="E2" s="5">
        <f>C2-D2</f>
        <v>45452.07</v>
      </c>
      <c r="F2" s="6">
        <f>IFERROR(E2/D2, 0)</f>
        <v>0</v>
      </c>
      <c r="G2" s="5">
        <f>SUM(G4:G79)</f>
        <v>42843.883000000002</v>
      </c>
      <c r="H2" s="7">
        <f>C2-G2</f>
        <v>2608.1869999999981</v>
      </c>
      <c r="I2" s="6">
        <f>IFERROR(H2/G2, 0)</f>
        <v>6.0876531662641266E-2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4"/>
    </row>
    <row r="3" spans="1:12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2" ht="28.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>
        <v>45452.07</v>
      </c>
      <c r="D4" s="12" t="s">
        <v>22</v>
      </c>
      <c r="E4" s="12" t="str">
        <f>IF(AND(ISNUMBER(C4),ISNUMBER(D4)), C4-D4, "")</f>
        <v/>
      </c>
      <c r="F4" s="13" t="str">
        <f>IFERROR(E4/D4, "")</f>
        <v/>
      </c>
      <c r="G4" s="14">
        <v>42843.883000000002</v>
      </c>
      <c r="H4" s="14">
        <f>IF(AND(ISNUMBER(C4),ISNUMBER(G4)), C4-G4, "")</f>
        <v>2608.1869999999981</v>
      </c>
      <c r="I4" s="15">
        <f>IFERROR(H4/G4, "")</f>
        <v>6.0876531662641266E-2</v>
      </c>
      <c r="J4" s="36" t="s">
        <v>58</v>
      </c>
      <c r="K4" s="59" t="s">
        <v>59</v>
      </c>
      <c r="L4" s="61"/>
    </row>
    <row r="5" spans="1:12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2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2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2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2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2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2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2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2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2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2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2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workbookViewId="0">
      <pane xSplit="2" ySplit="3" topLeftCell="C4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60</v>
      </c>
      <c r="E1" s="66"/>
      <c r="F1" s="66"/>
      <c r="G1" s="64" t="s">
        <v>61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workbookViewId="0">
      <pane xSplit="2" ySplit="3" topLeftCell="D20" activePane="bottomRight" state="frozen"/>
      <selection pane="bottomRight" activeCell="D20" sqref="D20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62</v>
      </c>
      <c r="E1" s="66"/>
      <c r="F1" s="66"/>
      <c r="G1" s="64" t="s">
        <v>63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36"/>
      <c r="K4" s="36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C4" activePane="bottomRight" state="frozen"/>
      <selection pane="bottomRight" activeCell="G11" sqref="G11"/>
      <selection pane="bottomLeft" activeCell="D20" sqref="D20"/>
      <selection pane="topRight" activeCell="D20" sqref="D20"/>
    </sheetView>
  </sheetViews>
  <sheetFormatPr defaultRowHeight="13.5"/>
  <cols>
    <col min="1" max="1" width="35.85546875" bestFit="1" customWidth="1"/>
    <col min="2" max="2" width="8.42578125" style="30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65" t="str" cm="1">
        <f t="array" ref="A1">portfolio</f>
        <v>MA: Leominster - 1776 Lock Dr - Rapco Horizon</v>
      </c>
      <c r="B1" s="65"/>
      <c r="C1" s="65"/>
      <c r="D1" s="66" t="s">
        <v>64</v>
      </c>
      <c r="E1" s="66"/>
      <c r="F1" s="66"/>
      <c r="G1" s="64" t="s">
        <v>65</v>
      </c>
      <c r="H1" s="64"/>
      <c r="I1" s="64"/>
      <c r="J1" s="4"/>
      <c r="K1" s="4"/>
    </row>
    <row r="2" spans="1:11" ht="19.5" customHeight="1">
      <c r="A2" s="67" t="s">
        <v>2</v>
      </c>
      <c r="B2" s="67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1" t="s">
        <v>6</v>
      </c>
      <c r="E3" s="31" t="s">
        <v>7</v>
      </c>
      <c r="F3" s="32" t="s">
        <v>8</v>
      </c>
      <c r="G3" s="33" t="s">
        <v>9</v>
      </c>
      <c r="H3" s="34" t="s">
        <v>7</v>
      </c>
      <c r="I3" s="35" t="s">
        <v>8</v>
      </c>
      <c r="J3" s="24" t="s">
        <v>20</v>
      </c>
      <c r="K3" s="24" t="s">
        <v>21</v>
      </c>
    </row>
    <row r="4" spans="1:11" ht="15.75">
      <c r="A4" s="28" t="str" cm="1">
        <f t="array" ref="A4">Sites[Site]</f>
        <v>MA: Leominster - 1776 Lock Dr - Rapco Horizon</v>
      </c>
      <c r="B4" s="27" t="str" cm="1">
        <f t="array" ref="B4">Sites[State]</f>
        <v>MA</v>
      </c>
      <c r="C4" s="23"/>
      <c r="D4" s="12">
        <v>0</v>
      </c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52"/>
      <c r="K4" s="52"/>
    </row>
    <row r="5" spans="1:11" ht="14.25">
      <c r="A5" s="20"/>
      <c r="B5" s="29"/>
      <c r="C5" s="20"/>
      <c r="D5" s="20"/>
      <c r="E5" s="20"/>
      <c r="F5" s="20"/>
      <c r="G5" s="20"/>
      <c r="H5" s="20"/>
      <c r="I5" s="20"/>
      <c r="J5" s="20"/>
      <c r="K5" s="20"/>
    </row>
    <row r="6" spans="1:11" ht="14.25">
      <c r="A6" s="20"/>
      <c r="B6" s="29"/>
      <c r="C6" s="20"/>
      <c r="D6" s="20"/>
      <c r="E6" s="20"/>
      <c r="F6" s="20"/>
      <c r="G6" s="20"/>
      <c r="H6" s="20"/>
      <c r="I6" s="20"/>
      <c r="J6" s="20"/>
      <c r="K6" s="20"/>
    </row>
    <row r="7" spans="1:11" ht="14.25">
      <c r="A7" s="20"/>
      <c r="B7" s="29"/>
      <c r="C7" s="20"/>
      <c r="D7" s="20"/>
      <c r="E7" s="20"/>
      <c r="F7" s="20"/>
      <c r="G7" s="20"/>
      <c r="H7" s="20"/>
      <c r="I7" s="20"/>
      <c r="J7" s="20"/>
      <c r="K7" s="20"/>
    </row>
    <row r="8" spans="1:11" ht="14.25">
      <c r="A8" s="20"/>
      <c r="B8" s="29"/>
      <c r="C8" s="20"/>
      <c r="D8" s="20"/>
      <c r="E8" s="20"/>
      <c r="F8" s="20"/>
      <c r="G8" s="20"/>
      <c r="H8" s="20"/>
      <c r="I8" s="20"/>
      <c r="J8" s="20"/>
      <c r="K8" s="20"/>
    </row>
    <row r="9" spans="1:11" ht="14.25">
      <c r="A9" s="20"/>
      <c r="B9" s="29"/>
      <c r="C9" s="20"/>
      <c r="D9" s="20"/>
      <c r="E9" s="20"/>
      <c r="F9" s="20"/>
      <c r="G9" s="20"/>
      <c r="H9" s="20"/>
      <c r="I9" s="20"/>
      <c r="J9" s="20"/>
      <c r="K9" s="20"/>
    </row>
    <row r="10" spans="1:11" ht="14.25">
      <c r="A10" s="20"/>
      <c r="B10" s="29"/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25">
      <c r="A11" s="20"/>
      <c r="B11" s="29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25">
      <c r="A12" s="20"/>
      <c r="B12" s="29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25">
      <c r="A13" s="20"/>
      <c r="B13" s="29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25">
      <c r="A14" s="20"/>
      <c r="B14" s="29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25">
      <c r="A15" s="20"/>
      <c r="B15" s="29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25">
      <c r="A16" s="20"/>
      <c r="B16" s="29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25">
      <c r="A17" s="20"/>
      <c r="B17" s="29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25">
      <c r="A18" s="20"/>
      <c r="B18" s="29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25">
      <c r="A19" s="20"/>
      <c r="B19" s="29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25">
      <c r="A20" s="20"/>
      <c r="B20" s="29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25">
      <c r="A21" s="20"/>
      <c r="B21" s="29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25">
      <c r="A22" s="20"/>
      <c r="B22" s="29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25">
      <c r="A23" s="20"/>
      <c r="B23" s="29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25">
      <c r="A24" s="20"/>
      <c r="B24" s="29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25">
      <c r="A25" s="20"/>
      <c r="B25" s="29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25">
      <c r="A26" s="20"/>
      <c r="B26" s="29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25">
      <c r="A27" s="20"/>
      <c r="B27" s="29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25">
      <c r="A28" s="20"/>
      <c r="B28" s="29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25">
      <c r="A29" s="20"/>
      <c r="B29" s="29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25">
      <c r="A30" s="20"/>
      <c r="B30" s="29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25">
      <c r="A31" s="20"/>
      <c r="B31" s="29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25">
      <c r="A32" s="20"/>
      <c r="B32" s="29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25">
      <c r="A33" s="20"/>
      <c r="B33" s="29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25">
      <c r="A34" s="20"/>
      <c r="B34" s="29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25">
      <c r="A35" s="20"/>
      <c r="B35" s="29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25">
      <c r="A36" s="20"/>
      <c r="B36" s="29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25">
      <c r="A37" s="20"/>
      <c r="B37" s="29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25">
      <c r="A38" s="20"/>
      <c r="B38" s="29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25">
      <c r="A39" s="20"/>
      <c r="B39" s="29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25">
      <c r="A40" s="20"/>
      <c r="B40" s="29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25">
      <c r="A41" s="20"/>
      <c r="B41" s="29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25">
      <c r="A42" s="20"/>
      <c r="B42" s="29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25">
      <c r="A43" s="20"/>
      <c r="B43" s="29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25">
      <c r="A44" s="20"/>
      <c r="B44" s="29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25">
      <c r="A45" s="20"/>
      <c r="B45" s="29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25">
      <c r="A46" s="20"/>
      <c r="B46" s="29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25">
      <c r="A47" s="20"/>
      <c r="B47" s="29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25">
      <c r="A48" s="20"/>
      <c r="B48" s="29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25">
      <c r="A49" s="20"/>
      <c r="B49" s="29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25">
      <c r="A50" s="20"/>
      <c r="B50" s="29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25">
      <c r="A51" s="20"/>
      <c r="B51" s="29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25">
      <c r="A52" s="20"/>
      <c r="B52" s="29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25">
      <c r="A53" s="20"/>
      <c r="B53" s="29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25">
      <c r="A54" s="20"/>
      <c r="B54" s="29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25">
      <c r="A55" s="20"/>
      <c r="B55" s="29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25">
      <c r="A56" s="20"/>
      <c r="B56" s="29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25">
      <c r="A57" s="20"/>
      <c r="B57" s="29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25">
      <c r="A58" s="20"/>
      <c r="B58" s="29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25">
      <c r="A59" s="20"/>
      <c r="B59" s="29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25">
      <c r="A60" s="20"/>
      <c r="B60" s="29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25">
      <c r="A61" s="20"/>
      <c r="B61" s="29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25">
      <c r="A62" s="20"/>
      <c r="B62" s="29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25">
      <c r="A63" s="20"/>
      <c r="B63" s="29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25">
      <c r="A64" s="20"/>
      <c r="B64" s="29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25">
      <c r="A65" s="20"/>
      <c r="B65" s="29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25">
      <c r="A66" s="20"/>
      <c r="B66" s="29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25">
      <c r="A67" s="20"/>
      <c r="B67" s="29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25">
      <c r="A68" s="20"/>
      <c r="B68" s="29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25">
      <c r="A69" s="20"/>
      <c r="B69" s="29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25">
      <c r="A70" s="20"/>
      <c r="B70" s="29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25">
      <c r="A71" s="20"/>
      <c r="B71" s="29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25">
      <c r="A72" s="20"/>
      <c r="B72" s="29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25">
      <c r="A73" s="20"/>
      <c r="B73" s="29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25">
      <c r="A74" s="20"/>
      <c r="B74" s="29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25">
      <c r="A75" s="20"/>
      <c r="B75" s="29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25">
      <c r="A76" s="20"/>
      <c r="B76" s="29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25">
      <c r="A77" s="20"/>
      <c r="B77" s="29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25">
      <c r="A78" s="20"/>
      <c r="B78" s="29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25">
      <c r="A79" s="20"/>
      <c r="B79" s="29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25">
      <c r="A80" s="20"/>
      <c r="B80" s="29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25">
      <c r="A81" s="20"/>
      <c r="B81" s="29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25">
      <c r="A82" s="20"/>
      <c r="B82" s="29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25">
      <c r="A83" s="20"/>
      <c r="B83" s="29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25">
      <c r="A84" s="20"/>
      <c r="B84" s="29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25">
      <c r="A85" s="20"/>
      <c r="B85" s="29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25">
      <c r="A86" s="20"/>
      <c r="B86" s="29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25">
      <c r="A87" s="20"/>
      <c r="B87" s="29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25">
      <c r="A88" s="20"/>
      <c r="B88" s="29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25">
      <c r="A89" s="20"/>
      <c r="B89" s="29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25">
      <c r="A90" s="20"/>
      <c r="B90" s="29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25">
      <c r="A91" s="20"/>
      <c r="B91" s="29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25">
      <c r="A92" s="20"/>
      <c r="B92" s="29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25">
      <c r="A93" s="20"/>
      <c r="B93" s="29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25">
      <c r="A94" s="20"/>
      <c r="B94" s="29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25">
      <c r="A95" s="20"/>
      <c r="B95" s="29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25">
      <c r="A96" s="20"/>
      <c r="B96" s="29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25">
      <c r="A97" s="20"/>
      <c r="B97" s="29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25">
      <c r="A98" s="20"/>
      <c r="B98" s="29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25">
      <c r="A99" s="20"/>
      <c r="B99" s="29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25">
      <c r="A100" s="20"/>
      <c r="B100" s="29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25">
      <c r="A101" s="20"/>
      <c r="B101" s="29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25">
      <c r="A102" s="20"/>
      <c r="B102" s="29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25">
      <c r="A103" s="20"/>
      <c r="B103" s="29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25">
      <c r="A104" s="20"/>
      <c r="B104" s="29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25">
      <c r="A105" s="20"/>
      <c r="B105" s="29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25">
      <c r="A106" s="20"/>
      <c r="B106" s="29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25">
      <c r="A107" s="20"/>
      <c r="B107" s="29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25">
      <c r="A108" s="20"/>
      <c r="B108" s="29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25">
      <c r="A109" s="20"/>
      <c r="B109" s="29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25">
      <c r="A110" s="20"/>
      <c r="B110" s="29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25">
      <c r="A111" s="20"/>
      <c r="B111" s="29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25">
      <c r="A112" s="20"/>
      <c r="B112" s="29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25">
      <c r="A113" s="20"/>
      <c r="B113" s="29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25">
      <c r="A114" s="20"/>
      <c r="B114" s="29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25">
      <c r="A115" s="20"/>
      <c r="B115" s="29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25">
      <c r="A116" s="20"/>
      <c r="B116" s="29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25">
      <c r="A117" s="20"/>
      <c r="B117" s="29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25">
      <c r="A118" s="20"/>
      <c r="B118" s="29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25">
      <c r="A119" s="20"/>
      <c r="B119" s="29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25">
      <c r="A120" s="20"/>
      <c r="B120" s="29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25">
      <c r="A121" s="20"/>
      <c r="B121" s="29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25">
      <c r="A122" s="20"/>
      <c r="B122" s="29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25">
      <c r="A123" s="20"/>
      <c r="B123" s="29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25">
      <c r="A124" s="20"/>
      <c r="B124" s="29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25">
      <c r="A125" s="20"/>
      <c r="B125" s="29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25">
      <c r="A126" s="20"/>
      <c r="B126" s="29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25">
      <c r="A127" s="20"/>
      <c r="B127" s="29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25">
      <c r="A128" s="20"/>
      <c r="B128" s="29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25">
      <c r="A129" s="20"/>
      <c r="B129" s="29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25">
      <c r="A130" s="20"/>
      <c r="B130" s="29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25">
      <c r="A131" s="20"/>
      <c r="B131" s="29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25">
      <c r="A132" s="20"/>
      <c r="B132" s="29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25">
      <c r="A133" s="20"/>
      <c r="B133" s="29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25">
      <c r="A134" s="20"/>
      <c r="B134" s="29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25">
      <c r="A135" s="20"/>
      <c r="B135" s="29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25">
      <c r="A136" s="20"/>
      <c r="B136" s="29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25">
      <c r="A137" s="20"/>
      <c r="B137" s="29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25">
      <c r="A138" s="20"/>
      <c r="B138" s="29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25">
      <c r="A139" s="20"/>
      <c r="B139" s="29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25">
      <c r="A140" s="20"/>
      <c r="B140" s="29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25">
      <c r="A141" s="20"/>
      <c r="B141" s="29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25">
      <c r="A142" s="20"/>
      <c r="B142" s="29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25">
      <c r="A143" s="20"/>
      <c r="B143" s="29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25">
      <c r="A144" s="20"/>
      <c r="B144" s="29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25">
      <c r="A145" s="20"/>
      <c r="B145" s="29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25">
      <c r="A146" s="20"/>
      <c r="B146" s="29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25">
      <c r="A147" s="20"/>
      <c r="B147" s="29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25">
      <c r="A148" s="20"/>
      <c r="B148" s="29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25">
      <c r="A149" s="20"/>
      <c r="B149" s="29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25">
      <c r="A150" s="20"/>
      <c r="B150" s="29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25">
      <c r="A151" s="20"/>
      <c r="B151" s="29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25">
      <c r="A152" s="20"/>
      <c r="B152" s="29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25">
      <c r="A153" s="20"/>
      <c r="B153" s="29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25">
      <c r="A154" s="20"/>
      <c r="B154" s="29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25">
      <c r="A155" s="20"/>
      <c r="B155" s="29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25">
      <c r="A156" s="20"/>
      <c r="B156" s="29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25">
      <c r="A157" s="20"/>
      <c r="B157" s="29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25">
      <c r="A158" s="20"/>
      <c r="B158" s="29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25">
      <c r="A159" s="20"/>
      <c r="B159" s="29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25">
      <c r="A160" s="20"/>
      <c r="B160" s="29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25">
      <c r="A161" s="20"/>
      <c r="B161" s="29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25">
      <c r="A162" s="20"/>
      <c r="B162" s="29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25">
      <c r="A163" s="20"/>
      <c r="B163" s="29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25">
      <c r="A164" s="20"/>
      <c r="B164" s="29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25">
      <c r="A165" s="20"/>
      <c r="B165" s="29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25">
      <c r="A166" s="20"/>
      <c r="B166" s="29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25">
      <c r="A167" s="20"/>
      <c r="B167" s="29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25">
      <c r="A168" s="20"/>
      <c r="B168" s="29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25">
      <c r="A169" s="20"/>
      <c r="B169" s="29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25">
      <c r="A170" s="20"/>
      <c r="B170" s="29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25">
      <c r="A171" s="20"/>
      <c r="B171" s="29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25">
      <c r="A172" s="20"/>
      <c r="B172" s="29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25">
      <c r="A173" s="20"/>
      <c r="B173" s="29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25">
      <c r="A174" s="20"/>
      <c r="B174" s="29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25">
      <c r="A175" s="20"/>
      <c r="B175" s="29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25">
      <c r="A176" s="20"/>
      <c r="B176" s="29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25">
      <c r="A177" s="20"/>
      <c r="B177" s="29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25">
      <c r="A178" s="20"/>
      <c r="B178" s="29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25">
      <c r="A179" s="20"/>
      <c r="B179" s="29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25">
      <c r="A180" s="20"/>
      <c r="B180" s="29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25">
      <c r="A181" s="20"/>
      <c r="B181" s="29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25">
      <c r="A182" s="20"/>
      <c r="B182" s="29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25">
      <c r="A183" s="20"/>
      <c r="B183" s="29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25">
      <c r="A184" s="20"/>
      <c r="B184" s="29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25">
      <c r="A185" s="20"/>
      <c r="B185" s="29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25">
      <c r="A186" s="20"/>
      <c r="B186" s="29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25">
      <c r="A187" s="20"/>
      <c r="B187" s="29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25">
      <c r="A188" s="20"/>
      <c r="B188" s="29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25">
      <c r="A189" s="20"/>
      <c r="B189" s="29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25">
      <c r="A190" s="20"/>
      <c r="B190" s="29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25">
      <c r="A191" s="20"/>
      <c r="B191" s="29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25">
      <c r="A192" s="20"/>
      <c r="B192" s="29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25">
      <c r="A193" s="20"/>
      <c r="B193" s="29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25">
      <c r="A194" s="20"/>
      <c r="B194" s="29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25">
      <c r="A195" s="20"/>
      <c r="B195" s="29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25">
      <c r="A196" s="20"/>
      <c r="B196" s="29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25">
      <c r="A197" s="20"/>
      <c r="B197" s="29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25">
      <c r="A198" s="20"/>
      <c r="B198" s="29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25">
      <c r="A199" s="20"/>
      <c r="B199" s="29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25">
      <c r="A200" s="20"/>
      <c r="B200" s="29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25">
      <c r="A201" s="20"/>
      <c r="B201" s="29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25">
      <c r="A202" s="20"/>
      <c r="B202" s="29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25">
      <c r="A203" s="20"/>
      <c r="B203" s="29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25">
      <c r="A204" s="20"/>
      <c r="B204" s="29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25">
      <c r="A205" s="20"/>
      <c r="B205" s="29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25">
      <c r="A206" s="20"/>
      <c r="B206" s="29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25">
      <c r="A207" s="20"/>
      <c r="B207" s="29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25">
      <c r="A208" s="20"/>
      <c r="B208" s="29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25">
      <c r="A209" s="20"/>
      <c r="B209" s="29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25">
      <c r="A210" s="20"/>
      <c r="B210" s="29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25">
      <c r="A211" s="20"/>
      <c r="B211" s="29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25">
      <c r="A212" s="20"/>
      <c r="B212" s="29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25">
      <c r="A213" s="20"/>
      <c r="B213" s="29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25">
      <c r="A214" s="20"/>
      <c r="B214" s="29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25">
      <c r="A215" s="20"/>
      <c r="B215" s="29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25">
      <c r="A216" s="20"/>
      <c r="B216" s="29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25">
      <c r="A217" s="20"/>
      <c r="B217" s="29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25">
      <c r="A218" s="20"/>
      <c r="B218" s="29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25">
      <c r="A219" s="20"/>
      <c r="B219" s="29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25">
      <c r="A220" s="20"/>
      <c r="B220" s="29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25">
      <c r="A221" s="20"/>
      <c r="B221" s="29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25">
      <c r="A222" s="20"/>
      <c r="B222" s="29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25">
      <c r="A223" s="20"/>
      <c r="B223" s="29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25">
      <c r="A224" s="20"/>
      <c r="B224" s="29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25">
      <c r="A225" s="20"/>
      <c r="B225" s="29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25">
      <c r="A226" s="20"/>
      <c r="B226" s="29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25">
      <c r="A227" s="20"/>
      <c r="B227" s="29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25">
      <c r="A228" s="20"/>
      <c r="B228" s="29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25">
      <c r="A229" s="20"/>
      <c r="B229" s="29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25">
      <c r="A230" s="20"/>
      <c r="B230" s="29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25">
      <c r="A231" s="20"/>
      <c r="B231" s="29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25">
      <c r="A232" s="20"/>
      <c r="B232" s="29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25">
      <c r="A233" s="20"/>
      <c r="B233" s="29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25">
      <c r="A234" s="20"/>
      <c r="B234" s="29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25">
      <c r="A235" s="20"/>
      <c r="B235" s="29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25">
      <c r="A236" s="20"/>
      <c r="B236" s="29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25">
      <c r="A237" s="20"/>
      <c r="B237" s="29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25">
      <c r="A238" s="20"/>
      <c r="B238" s="29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25">
      <c r="A239" s="20"/>
      <c r="B239" s="29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25">
      <c r="A240" s="20"/>
      <c r="B240" s="29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25">
      <c r="A241" s="20"/>
      <c r="B241" s="29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25">
      <c r="A242" s="20"/>
      <c r="B242" s="29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25">
      <c r="A243" s="20"/>
      <c r="B243" s="29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25">
      <c r="A244" s="20"/>
      <c r="B244" s="29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25">
      <c r="A245" s="20"/>
      <c r="B245" s="29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25">
      <c r="A246" s="20"/>
      <c r="B246" s="29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25">
      <c r="A247" s="20"/>
      <c r="B247" s="29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25">
      <c r="A248" s="20"/>
      <c r="B248" s="29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25">
      <c r="A249" s="20"/>
      <c r="B249" s="29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25">
      <c r="A250" s="20"/>
      <c r="B250" s="29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25">
      <c r="A251" s="20"/>
      <c r="B251" s="29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25">
      <c r="A252" s="20"/>
      <c r="B252" s="29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25">
      <c r="A253" s="20"/>
      <c r="B253" s="29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25">
      <c r="A254" s="20"/>
      <c r="B254" s="29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25">
      <c r="A255" s="20"/>
      <c r="B255" s="29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25">
      <c r="A256" s="20"/>
      <c r="B256" s="29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25">
      <c r="A257" s="20"/>
      <c r="B257" s="29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25">
      <c r="A258" s="20"/>
      <c r="B258" s="29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25">
      <c r="A259" s="20"/>
      <c r="B259" s="29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25">
      <c r="A260" s="20"/>
      <c r="B260" s="29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25">
      <c r="A261" s="20"/>
      <c r="B261" s="29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25">
      <c r="A262" s="20"/>
      <c r="B262" s="29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25">
      <c r="A263" s="20"/>
      <c r="B263" s="29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25">
      <c r="A264" s="20"/>
      <c r="B264" s="29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25">
      <c r="A265" s="20"/>
      <c r="B265" s="29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25">
      <c r="A266" s="20"/>
      <c r="B266" s="29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25">
      <c r="A267" s="20"/>
      <c r="B267" s="29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25">
      <c r="A268" s="20"/>
      <c r="B268" s="29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25">
      <c r="A269" s="20"/>
      <c r="B269" s="29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25">
      <c r="A270" s="20"/>
      <c r="B270" s="29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25">
      <c r="A271" s="20"/>
      <c r="B271" s="29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25">
      <c r="A272" s="20"/>
      <c r="B272" s="29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25">
      <c r="A273" s="20"/>
      <c r="B273" s="29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25">
      <c r="A274" s="20"/>
      <c r="B274" s="29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25">
      <c r="A275" s="20"/>
      <c r="B275" s="29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25">
      <c r="A276" s="20"/>
      <c r="B276" s="29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25">
      <c r="A277" s="20"/>
      <c r="B277" s="29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25">
      <c r="A278" s="20"/>
      <c r="B278" s="29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25">
      <c r="A279" s="20"/>
      <c r="B279" s="29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25">
      <c r="A280" s="20"/>
      <c r="B280" s="29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25">
      <c r="A281" s="20"/>
      <c r="B281" s="29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25">
      <c r="A282" s="20"/>
      <c r="B282" s="29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25">
      <c r="A283" s="20"/>
      <c r="B283" s="29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25">
      <c r="A284" s="20"/>
      <c r="B284" s="29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25">
      <c r="A285" s="20"/>
      <c r="B285" s="29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25">
      <c r="A286" s="20"/>
      <c r="B286" s="29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25">
      <c r="A287" s="20"/>
      <c r="B287" s="29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25">
      <c r="A288" s="20"/>
      <c r="B288" s="29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25">
      <c r="A289" s="20"/>
      <c r="B289" s="29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25">
      <c r="A290" s="20"/>
      <c r="B290" s="29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25">
      <c r="A291" s="20"/>
      <c r="B291" s="29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25">
      <c r="A292" s="20"/>
      <c r="B292" s="29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25">
      <c r="A293" s="20"/>
      <c r="B293" s="29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25">
      <c r="A294" s="20"/>
      <c r="B294" s="29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25">
      <c r="A295" s="20"/>
      <c r="B295" s="29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25">
      <c r="A296" s="20"/>
      <c r="B296" s="29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25">
      <c r="A297" s="20"/>
      <c r="B297" s="29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25">
      <c r="A298" s="20"/>
      <c r="B298" s="29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25">
      <c r="A299" s="20"/>
      <c r="B299" s="29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25">
      <c r="A300" s="20"/>
      <c r="B300" s="29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25">
      <c r="A301" s="20"/>
      <c r="B301" s="29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25">
      <c r="A302" s="20"/>
      <c r="B302" s="29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25">
      <c r="A303" s="20"/>
      <c r="B303" s="29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25">
      <c r="A304" s="20"/>
      <c r="B304" s="29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25">
      <c r="A305" s="20"/>
      <c r="B305" s="29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25">
      <c r="A306" s="20"/>
      <c r="B306" s="29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25">
      <c r="A307" s="20"/>
      <c r="B307" s="29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25">
      <c r="A308" s="20"/>
      <c r="B308" s="29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25">
      <c r="A309" s="20"/>
      <c r="B309" s="29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25">
      <c r="A310" s="20"/>
      <c r="B310" s="29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25">
      <c r="A311" s="20"/>
      <c r="B311" s="29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25">
      <c r="A312" s="20"/>
      <c r="B312" s="29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25">
      <c r="A313" s="20"/>
      <c r="B313" s="29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25">
      <c r="A314" s="20"/>
      <c r="B314" s="29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25">
      <c r="A315" s="20"/>
      <c r="B315" s="29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25">
      <c r="A316" s="20"/>
      <c r="B316" s="29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25">
      <c r="A317" s="20"/>
      <c r="B317" s="29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25">
      <c r="A318" s="20"/>
      <c r="B318" s="29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25">
      <c r="A319" s="20"/>
      <c r="B319" s="29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25">
      <c r="A320" s="20"/>
      <c r="B320" s="29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3.9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31"/>
  <sheetViews>
    <sheetView workbookViewId="0">
      <pane ySplit="3" topLeftCell="A4" activePane="bottomLeft" state="frozen"/>
      <selection pane="bottomLeft" activeCell="B1" sqref="B1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66</v>
      </c>
      <c r="B1" t="s">
        <v>67</v>
      </c>
    </row>
    <row r="3" spans="1:12">
      <c r="A3" t="s">
        <v>68</v>
      </c>
      <c r="B3" t="s">
        <v>3</v>
      </c>
      <c r="C3" t="s">
        <v>4</v>
      </c>
      <c r="D3" t="s">
        <v>69</v>
      </c>
      <c r="E3" s="2" t="s">
        <v>70</v>
      </c>
    </row>
    <row r="4" spans="1:12" ht="14.25">
      <c r="A4" s="45" t="s">
        <v>71</v>
      </c>
      <c r="B4" t="s">
        <v>67</v>
      </c>
      <c r="C4" s="43" t="s">
        <v>72</v>
      </c>
      <c r="D4" s="42" t="s">
        <v>73</v>
      </c>
      <c r="E4" t="s">
        <v>74</v>
      </c>
      <c r="G4" s="3"/>
    </row>
    <row r="5" spans="1:12" ht="14.25">
      <c r="A5" s="45"/>
      <c r="C5" s="43"/>
      <c r="D5" s="42"/>
      <c r="G5" s="3"/>
    </row>
    <row r="6" spans="1:12" ht="14.25">
      <c r="A6" s="45"/>
      <c r="C6" s="43"/>
      <c r="D6" s="42"/>
      <c r="G6" s="3"/>
    </row>
    <row r="7" spans="1:12" ht="12.75" customHeight="1">
      <c r="A7" s="45"/>
      <c r="C7" s="43"/>
      <c r="D7" s="42"/>
    </row>
    <row r="8" spans="1:12" ht="12.75" customHeight="1">
      <c r="A8" s="45"/>
      <c r="C8" s="43"/>
      <c r="D8" s="42"/>
    </row>
    <row r="9" spans="1:12" ht="12.75" customHeight="1">
      <c r="A9" s="45"/>
      <c r="C9" s="43"/>
      <c r="D9" s="42"/>
    </row>
    <row r="10" spans="1:12" ht="12.75" customHeight="1">
      <c r="A10" s="45"/>
      <c r="C10" s="43"/>
      <c r="D10" s="42"/>
      <c r="K10" s="38"/>
      <c r="L10" s="38"/>
    </row>
    <row r="11" spans="1:12" ht="12.75" customHeight="1">
      <c r="A11" s="45"/>
      <c r="C11" s="43"/>
      <c r="D11" s="42"/>
      <c r="K11" s="38"/>
      <c r="L11" s="38"/>
    </row>
    <row r="12" spans="1:12" ht="12.75" customHeight="1">
      <c r="A12" s="45"/>
      <c r="C12" s="43"/>
      <c r="D12" s="42"/>
      <c r="K12" s="38"/>
      <c r="L12" s="38"/>
    </row>
    <row r="13" spans="1:12" ht="12.75" customHeight="1">
      <c r="A13" s="45"/>
      <c r="C13" s="43"/>
      <c r="D13" s="42"/>
      <c r="K13" s="38"/>
      <c r="L13" s="38"/>
    </row>
    <row r="14" spans="1:12" ht="12.75" customHeight="1">
      <c r="A14" s="45"/>
      <c r="C14" s="43"/>
      <c r="D14" s="42"/>
      <c r="K14" s="38"/>
      <c r="L14" s="38"/>
    </row>
    <row r="15" spans="1:12" ht="12.75" customHeight="1">
      <c r="A15" s="45"/>
      <c r="C15" s="43"/>
      <c r="D15" s="42"/>
      <c r="K15" s="38"/>
      <c r="L15" s="38"/>
    </row>
    <row r="16" spans="1:12" ht="12.75" customHeight="1">
      <c r="A16" s="45"/>
      <c r="C16" s="43"/>
      <c r="D16" s="42"/>
      <c r="K16" s="38"/>
      <c r="L16" s="38"/>
    </row>
    <row r="17" spans="1:12" ht="12.75" customHeight="1">
      <c r="A17" s="45"/>
      <c r="C17" s="43"/>
      <c r="D17" s="42"/>
      <c r="K17" s="38"/>
      <c r="L17" s="38"/>
    </row>
    <row r="18" spans="1:12" ht="12.75" customHeight="1">
      <c r="A18" s="45"/>
      <c r="C18" s="43"/>
      <c r="D18" s="42"/>
      <c r="K18" s="38"/>
      <c r="L18" s="38"/>
    </row>
    <row r="19" spans="1:12" ht="12.75" customHeight="1">
      <c r="A19" s="45"/>
      <c r="C19" s="43"/>
      <c r="D19" s="42"/>
      <c r="K19" s="38"/>
      <c r="L19" s="38"/>
    </row>
    <row r="20" spans="1:12" ht="12.75" customHeight="1">
      <c r="A20" s="45"/>
      <c r="C20" s="43"/>
      <c r="D20" s="42"/>
      <c r="K20" s="38"/>
      <c r="L20" s="38"/>
    </row>
    <row r="21" spans="1:12" ht="12.75" customHeight="1">
      <c r="A21" s="45"/>
      <c r="C21" s="43"/>
      <c r="D21" s="42"/>
      <c r="K21" s="38"/>
      <c r="L21" s="38"/>
    </row>
    <row r="22" spans="1:12" ht="12.75" customHeight="1">
      <c r="A22" s="45"/>
      <c r="C22" s="43"/>
      <c r="D22" s="42"/>
      <c r="K22" s="38"/>
      <c r="L22" s="38"/>
    </row>
    <row r="23" spans="1:12" ht="12.75" customHeight="1">
      <c r="A23" s="45"/>
      <c r="C23" s="43"/>
      <c r="D23" s="42"/>
      <c r="K23" s="38"/>
      <c r="L23" s="38"/>
    </row>
    <row r="24" spans="1:12" ht="12.75" customHeight="1">
      <c r="A24" s="45"/>
      <c r="C24" s="43"/>
      <c r="D24" s="42"/>
      <c r="K24" s="38"/>
      <c r="L24" s="38"/>
    </row>
    <row r="25" spans="1:12" ht="12.75" customHeight="1">
      <c r="A25" s="45"/>
      <c r="C25" s="43"/>
      <c r="D25" s="42"/>
      <c r="K25" s="38"/>
      <c r="L25" s="38"/>
    </row>
    <row r="26" spans="1:12" ht="12.75" customHeight="1">
      <c r="K26" s="38"/>
      <c r="L26" s="38"/>
    </row>
    <row r="27" spans="1:12" ht="12.75" customHeight="1">
      <c r="K27" s="38"/>
      <c r="L27" s="38"/>
    </row>
    <row r="28" spans="1:12" ht="12.75" customHeight="1">
      <c r="K28" s="38"/>
      <c r="L28" s="38"/>
    </row>
    <row r="29" spans="1:12" ht="12.75" customHeight="1">
      <c r="K29" s="38"/>
      <c r="L29" s="38"/>
    </row>
    <row r="30" spans="1:12" ht="12.75" customHeight="1">
      <c r="K30" s="38"/>
      <c r="L30" s="38"/>
    </row>
    <row r="31" spans="1:12" ht="12.75" customHeight="1">
      <c r="K31" s="38"/>
      <c r="L31" s="38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��
</file>

<file path=customXml/item8.xml>��
</file>

<file path=customXml/item9.xml>��
</file>

<file path=customXml/item10.xml>��
</file>

<file path=customXml/item1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e617175f0701a798d4889519864defa7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c69796dc4c5a3e52805b6daf116719ef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2.xml>��
</file>

<file path=customXml/item13.xml>��
</file>

<file path=customXml/item1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D3A7101F-9A85-4235-8B03-415370C100B2}"/>
</file>

<file path=customXml/itemProps2.xml><?xml version="1.0" encoding="utf-8"?>
<ds:datastoreItem xmlns:ds="http://schemas.openxmlformats.org/officeDocument/2006/customXml" ds:itemID="{66B09F59-6532-46F8-924A-9A02417E070D}"/>
</file>

<file path=customXml/itemProps3.xml><?xml version="1.0" encoding="utf-8"?>
<ds:datastoreItem xmlns:ds="http://schemas.openxmlformats.org/officeDocument/2006/customXml" ds:itemID="{0389C43E-394D-44C0-87DC-4780FCFCFB40}"/>
</file>

<file path=customXml/itemProps4.xml><?xml version="1.0" encoding="utf-8"?>
<ds:datastoreItem xmlns:ds="http://schemas.openxmlformats.org/officeDocument/2006/customXml" ds:itemID="{F6B2B1A1-1C4B-4AC9-9A7D-7A102DD1C942}"/>
</file>

<file path=customXml/itemProps5.xml><?xml version="1.0" encoding="utf-8"?>
<ds:datastoreItem xmlns:ds="http://schemas.openxmlformats.org/officeDocument/2006/customXml" ds:itemID="{078388C9-06F9-42F4-B857-EF76B5CAF1FD}"/>
</file>

<file path=customXml/itemProps6.xml><?xml version="1.0" encoding="utf-8"?>
<ds:datastoreItem xmlns:ds="http://schemas.openxmlformats.org/officeDocument/2006/customXml" ds:itemID="{7946C510-7D04-49D8-9B25-EEC04582A1CA}"/>
</file>

<file path=customXml/itemProps7.xml><?xml version="1.0" encoding="utf-8"?>
<ds:datastoreItem xmlns:ds="http://schemas.openxmlformats.org/officeDocument/2006/customXml" ds:itemID="{89CF5C07-45EB-4100-9AFB-2C6AF77FA787}"/>
</file>

<file path=customXml/itemProps8.xml><?xml version="1.0" encoding="utf-8"?>
<ds:datastoreItem xmlns:ds="http://schemas.openxmlformats.org/officeDocument/2006/customXml" ds:itemID="{98A113BB-8B7A-453C-8BD4-8EFC67FC2D3F}"/>
</file>

<file path=customXml/itemProps9.xml><?xml version="1.0" encoding="utf-8"?>
<ds:datastoreItem xmlns:ds="http://schemas.openxmlformats.org/officeDocument/2006/customXml" ds:itemID="{2BC74AAC-D69B-4AF1-9649-B21EF3C1C463}"/>
</file>

<file path=customXml/itemProps10.xml><?xml version="1.0" encoding="utf-8"?>
<ds:datastoreItem xmlns:ds="http://schemas.openxmlformats.org/officeDocument/2006/customXml" ds:itemID="{BF5C6359-7763-4C37-8EAF-2BC4698CB285}"/>
</file>

<file path=customXml/itemProps11.xml><?xml version="1.0" encoding="utf-8"?>
<ds:datastoreItem xmlns:ds="http://schemas.openxmlformats.org/officeDocument/2006/customXml" ds:itemID="{D02F8209-9B89-4A13-A071-212B071F726D}"/>
</file>

<file path=customXml/itemProps12.xml><?xml version="1.0" encoding="utf-8"?>
<ds:datastoreItem xmlns:ds="http://schemas.openxmlformats.org/officeDocument/2006/customXml" ds:itemID="{1954BBA4-0359-438C-B0EC-A756015F7C02}"/>
</file>

<file path=customXml/itemProps13.xml><?xml version="1.0" encoding="utf-8"?>
<ds:datastoreItem xmlns:ds="http://schemas.openxmlformats.org/officeDocument/2006/customXml" ds:itemID="{F12EFA50-0068-4A8C-85A0-F1B26389EBC3}"/>
</file>

<file path=customXml/itemProps14.xml><?xml version="1.0" encoding="utf-8"?>
<ds:datastoreItem xmlns:ds="http://schemas.openxmlformats.org/officeDocument/2006/customXml" ds:itemID="{8D732231-4216-4543-A665-18A2886B0EB7}"/>
</file>

<file path=customXml/itemProps15.xml><?xml version="1.0" encoding="utf-8"?>
<ds:datastoreItem xmlns:ds="http://schemas.openxmlformats.org/officeDocument/2006/customXml" ds:itemID="{CB52044A-5C0B-44A2-99D0-C1C315EC302D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E3716282-BFD2-4ED2-BA47-BFA1123827F0}"/>
</file>

<file path=customXml/itemProps18.xml><?xml version="1.0" encoding="utf-8"?>
<ds:datastoreItem xmlns:ds="http://schemas.openxmlformats.org/officeDocument/2006/customXml" ds:itemID="{3AEAA9D8-2182-46BA-A58E-96C72DDA1C54}"/>
</file>

<file path=customXml/itemProps19.xml><?xml version="1.0" encoding="utf-8"?>
<ds:datastoreItem xmlns:ds="http://schemas.openxmlformats.org/officeDocument/2006/customXml" ds:itemID="{14966E4F-347B-477B-B74C-9DAC05405806}"/>
</file>

<file path=customXml/itemProps20.xml><?xml version="1.0" encoding="utf-8"?>
<ds:datastoreItem xmlns:ds="http://schemas.openxmlformats.org/officeDocument/2006/customXml" ds:itemID="{E20E8303-6A67-485C-B6F4-303542CC295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Boughman, Kaylin</cp:lastModifiedBy>
  <cp:revision/>
  <dcterms:created xsi:type="dcterms:W3CDTF">2021-01-01T16:39:53Z</dcterms:created>
  <dcterms:modified xsi:type="dcterms:W3CDTF">2025-10-29T23:04:55Z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  <property fmtid="{D5CDD505-2E9C-101B-9397-08002B2CF9AE}" pid="3" name="MSIP_Label_9d817c99-0b37-4a07-8277-96aa1f96b74b_Enabled">
    <vt:lpwstr>true</vt:lpwstr>
  </property>
  <property fmtid="{D5CDD505-2E9C-101B-9397-08002B2CF9AE}" pid="4" name="MSIP_Label_9d817c99-0b37-4a07-8277-96aa1f96b74b_SetDate">
    <vt:lpwstr>2025-10-29T23:02:29Z</vt:lpwstr>
  </property>
  <property fmtid="{D5CDD505-2E9C-101B-9397-08002B2CF9AE}" pid="5" name="MSIP_Label_9d817c99-0b37-4a07-8277-96aa1f96b74b_Method">
    <vt:lpwstr>Standard</vt:lpwstr>
  </property>
  <property fmtid="{D5CDD505-2E9C-101B-9397-08002B2CF9AE}" pid="6" name="MSIP_Label_9d817c99-0b37-4a07-8277-96aa1f96b74b_Name">
    <vt:lpwstr>9d817c99-0b37-4a07-8277-96aa1f96b74b</vt:lpwstr>
  </property>
  <property fmtid="{D5CDD505-2E9C-101B-9397-08002B2CF9AE}" pid="7" name="MSIP_Label_9d817c99-0b37-4a07-8277-96aa1f96b74b_SiteId">
    <vt:lpwstr>d11dfc6a-833a-4712-84db-fc468665e0e1</vt:lpwstr>
  </property>
  <property fmtid="{D5CDD505-2E9C-101B-9397-08002B2CF9AE}" pid="8" name="MSIP_Label_9d817c99-0b37-4a07-8277-96aa1f96b74b_ActionId">
    <vt:lpwstr>3bde90d0-b747-4f36-8b16-e35529effe72</vt:lpwstr>
  </property>
  <property fmtid="{D5CDD505-2E9C-101B-9397-08002B2CF9AE}" pid="9" name="MSIP_Label_9d817c99-0b37-4a07-8277-96aa1f96b74b_ContentBits">
    <vt:lpwstr>0</vt:lpwstr>
  </property>
  <property fmtid="{D5CDD505-2E9C-101B-9397-08002B2CF9AE}" pid="10" name="MSIP_Label_9d817c99-0b37-4a07-8277-96aa1f96b74b_Tag">
    <vt:lpwstr>10, 3, 0, 2</vt:lpwstr>
  </property>
</Properties>
</file>