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4DB5A8C-3B31-4FEC-BB44-8E5AF0B7B84F}" xr6:coauthVersionLast="47" xr6:coauthVersionMax="47" xr10:uidLastSave="{00000000-0000-0000-0000-000000000000}"/>
  <bookViews>
    <workbookView xWindow="43080" yWindow="-120" windowWidth="29040" windowHeight="15720" tabRatio="866" firstSheet="1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<sst xmlns="http://schemas.openxmlformats.org/spreadsheetml/2006/main" count="263" uniqueCount="67">
  <si>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</si>
  <si>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</si>
  <si>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</si>
  <si>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</si>
  <si>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</si>
  <si>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</si>
  <si>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</si>
  <si>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</si>
  <si>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</si>
  <si>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</si>
  <si>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</si>
  <si>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</si>
  <si>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</si>
  <si>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</si>
  <si>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</si>
  <si>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</si>
  <si>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</si>
  <si>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</si>
  <si>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</si>
  <si>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</si>
  <si>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</si>
  <si>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</si>
  <si>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</si>
  <si>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</si>
  <si>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</si>
  <si>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</si>
  <si>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</si>
  <si>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</si>
  <si>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April Actual v. Expected</t>
  </si>
  <si>
    <t>April Actual v. Forecasted</t>
  </si>
  <si>
    <t>N/A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</si>
  <si>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</si>
  <si>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</si>
  <si>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</si>
  <si>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</si>
  <si>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 xml:space="preserve">1.Inverter 17 is underperforming approximately 4kW,possibly string down from 03/14 at 14:30 when compared to Inv 16 &amp;15 which are of same strings.
2.Site was offline from 12:30 on 05/03 to 12:45 on 05/07 
   Site was offline from 15:15 on 05/16 to 06:30 on 05/19
   Site was offline from 12:45 on 05/27 to 08:15 on 05/28.
The site was back online after customer closed the recloser.Site was offline due to persistent communication failures with the DAS. The issue is currently under troubleshooting  </t>
  </si>
  <si>
    <t>1.SR098784
2.SR100966</t>
  </si>
  <si>
    <t>SR100966</t>
  </si>
  <si>
    <t>June Actual v. Expected</t>
  </si>
  <si>
    <t>June Actual v. Forecasted</t>
  </si>
  <si>
    <t>1.Site was offline almost for whole month due to persistent communication failures with the DAS. The issue is currently under troubleshooting  and Tavrida is being RMA'd.</t>
  </si>
  <si>
    <t xml:space="preserve">1.SR103715
</t>
  </si>
  <si>
    <t>July Actual v. Expected</t>
  </si>
  <si>
    <t>July Actual v. Forecasted</t>
  </si>
  <si>
    <t xml:space="preserve">1. Site was offline almost for whole month and is back online at 14:15 on 07/30 </t>
  </si>
  <si>
    <t>1.SR103715</t>
  </si>
  <si>
    <t>August Actual v. Expected</t>
  </si>
  <si>
    <t>August Actual v. Forecasted</t>
  </si>
  <si>
    <t>1. Site was not communicated from 17:45 on 08/15 to till date</t>
  </si>
  <si>
    <t>1. SR106454</t>
  </si>
  <si>
    <t>September Actual v. Expected</t>
  </si>
  <si>
    <t>September Actual v. Forecasted</t>
  </si>
  <si>
    <t>1. Site was not communicated for whole month.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</si>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</sst>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966" TargetMode="External"/><Relationship Id="rId1" Type="http://schemas.openxmlformats.org/officeDocument/2006/relationships/hyperlink" Target="https://us3.assetplanner.com/service_request?ID=09878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6454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645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G18" sqref="G18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0" t="str" cm="1">
        <f t="array" ref="A1">portfolio</f>
        <v>MS Walker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 x14ac:dyDescent="0.35">
      <c r="A2" s="52" t="s">
        <v>2</v>
      </c>
      <c r="B2" s="52"/>
      <c r="C2" s="6">
        <f>SUM(C4:C60)</f>
        <v>340938.83478999999</v>
      </c>
      <c r="D2" s="6">
        <f>SUM(D4:D60)</f>
        <v>0</v>
      </c>
      <c r="E2" s="6">
        <f>C2-D2</f>
        <v>340938.83478999999</v>
      </c>
      <c r="F2" s="7">
        <f>IFERROR(E2/D2, 0)</f>
        <v>0</v>
      </c>
      <c r="G2" s="6">
        <f>SUM(G4:G60)</f>
        <v>0</v>
      </c>
      <c r="H2" s="8">
        <f>C2-G2</f>
        <v>340938.83478999999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340938.83478999999</v>
      </c>
      <c r="D4" s="14">
        <f>SUM('1st Qtr'!D4, '2nd Qtr'!D4, '3rd Qtr'!D4, '4th Qtr'!D4)</f>
        <v>0</v>
      </c>
      <c r="E4" s="14">
        <f>IF(AND(ISNUMBER(C4),ISNUMBER(D4)), C4-D4, "")</f>
        <v>340938.83478999999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263082.23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4"/>
      <c r="G5" s="23"/>
      <c r="H5" s="23"/>
      <c r="I5" s="24"/>
    </row>
    <row r="6" spans="1:9" ht="13.15" x14ac:dyDescent="0.4">
      <c r="A6" s="23"/>
      <c r="B6" s="23"/>
      <c r="C6" s="23"/>
      <c r="D6" s="23"/>
      <c r="E6" s="23"/>
      <c r="F6" s="24"/>
      <c r="G6" s="23"/>
      <c r="H6" s="23"/>
      <c r="I6" s="24"/>
    </row>
    <row r="7" spans="1:9" ht="13.15" x14ac:dyDescent="0.4">
      <c r="A7" s="23"/>
      <c r="B7" s="23"/>
      <c r="C7" s="23"/>
      <c r="D7" s="23"/>
      <c r="E7" s="23"/>
      <c r="F7" s="24"/>
      <c r="G7" s="23"/>
      <c r="H7" s="23"/>
      <c r="I7" s="24"/>
    </row>
    <row r="8" spans="1:9" ht="13.15" x14ac:dyDescent="0.4">
      <c r="A8" s="23"/>
      <c r="B8" s="23"/>
      <c r="C8" s="23"/>
      <c r="D8" s="23"/>
      <c r="E8" s="23"/>
      <c r="F8" s="24"/>
      <c r="G8" s="23"/>
      <c r="H8" s="23"/>
      <c r="I8" s="24"/>
    </row>
    <row r="9" spans="1:9" ht="13.15" x14ac:dyDescent="0.4">
      <c r="A9" s="23"/>
      <c r="B9" s="23"/>
      <c r="C9" s="23"/>
      <c r="D9" s="23"/>
      <c r="E9" s="23"/>
      <c r="F9" s="24"/>
      <c r="G9" s="23"/>
      <c r="H9" s="23"/>
      <c r="I9" s="24"/>
    </row>
    <row r="10" spans="1:9" ht="13.15" x14ac:dyDescent="0.4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 x14ac:dyDescent="0.4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 x14ac:dyDescent="0.4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 x14ac:dyDescent="0.4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 x14ac:dyDescent="0.4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 x14ac:dyDescent="0.4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 x14ac:dyDescent="0.4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 x14ac:dyDescent="0.4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 x14ac:dyDescent="0.4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 x14ac:dyDescent="0.4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 x14ac:dyDescent="0.4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 x14ac:dyDescent="0.4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0" t="str" cm="1">
        <f t="array" ref="A1">portfolio</f>
        <v>MS Walker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 x14ac:dyDescent="0.35">
      <c r="A2" s="52" t="s">
        <v>2</v>
      </c>
      <c r="B2" s="52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121978.82800000001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4"/>
      <c r="G5" s="23"/>
      <c r="H5" s="23"/>
      <c r="I5" s="24"/>
    </row>
    <row r="6" spans="1:9" ht="13.15" x14ac:dyDescent="0.4">
      <c r="A6" s="23"/>
      <c r="B6" s="23"/>
      <c r="C6" s="23"/>
      <c r="D6" s="23"/>
      <c r="E6" s="23"/>
      <c r="F6" s="24"/>
      <c r="G6" s="23"/>
      <c r="H6" s="23"/>
      <c r="I6" s="24"/>
    </row>
    <row r="7" spans="1:9" ht="13.15" x14ac:dyDescent="0.4">
      <c r="A7" s="23"/>
      <c r="B7" s="23"/>
      <c r="C7" s="23"/>
      <c r="D7" s="23"/>
      <c r="E7" s="23"/>
      <c r="F7" s="24"/>
      <c r="G7" s="23"/>
      <c r="H7" s="23"/>
      <c r="I7" s="24"/>
    </row>
    <row r="8" spans="1:9" ht="13.15" x14ac:dyDescent="0.4">
      <c r="A8" s="23"/>
      <c r="B8" s="23"/>
      <c r="C8" s="23"/>
      <c r="D8" s="23"/>
      <c r="E8" s="23"/>
      <c r="F8" s="24"/>
      <c r="G8" s="23"/>
      <c r="H8" s="23"/>
      <c r="I8" s="24"/>
    </row>
    <row r="9" spans="1:9" ht="13.15" x14ac:dyDescent="0.4">
      <c r="A9" s="23"/>
      <c r="B9" s="23"/>
      <c r="C9" s="23"/>
      <c r="D9" s="23"/>
      <c r="E9" s="23"/>
      <c r="F9" s="24"/>
      <c r="G9" s="23"/>
      <c r="H9" s="23"/>
      <c r="I9" s="24"/>
    </row>
    <row r="10" spans="1:9" ht="13.15" x14ac:dyDescent="0.4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 x14ac:dyDescent="0.4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 x14ac:dyDescent="0.4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 x14ac:dyDescent="0.4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 x14ac:dyDescent="0.4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 x14ac:dyDescent="0.4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 x14ac:dyDescent="0.4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 x14ac:dyDescent="0.4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 x14ac:dyDescent="0.4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 x14ac:dyDescent="0.4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 x14ac:dyDescent="0.4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 x14ac:dyDescent="0.4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9" sqref="G9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0" t="str" cm="1">
        <f t="array" ref="A1">portfolio</f>
        <v>MS Walker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 x14ac:dyDescent="0.35">
      <c r="A2" s="52" t="s">
        <v>2</v>
      </c>
      <c r="B2" s="52"/>
      <c r="C2" s="6">
        <f>SUM(C4:C90)</f>
        <v>174443.772</v>
      </c>
      <c r="D2" s="6">
        <f>SUM(D4:D90)</f>
        <v>0</v>
      </c>
      <c r="E2" s="6">
        <f>C2-D2</f>
        <v>174443.772</v>
      </c>
      <c r="F2" s="7">
        <f>IFERROR(E2/D2, 0)</f>
        <v>0</v>
      </c>
      <c r="G2" s="6">
        <f>SUM(G4:G90)</f>
        <v>0</v>
      </c>
      <c r="H2" s="8">
        <f>C2-G2</f>
        <v>174443.772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174443.772</v>
      </c>
      <c r="D4" s="14">
        <f>SUM(Apr!D4, May!D4, Jun!D4)</f>
        <v>0</v>
      </c>
      <c r="E4" s="14">
        <f>IF(AND(ISNUMBER(C4),ISNUMBER(D4)), C4-D4, "")</f>
        <v>174443.772</v>
      </c>
      <c r="F4" s="15" t="str">
        <f>IFERROR(E4/D4, "")</f>
        <v/>
      </c>
      <c r="G4" s="16">
        <f>SUM(Apr!G4,May!G4,Jun!G4)</f>
        <v>0</v>
      </c>
      <c r="H4" s="16">
        <f>SUM(Apr!H4, May!H4, Jun!H4)</f>
        <v>141103.402</v>
      </c>
      <c r="I4" s="17" t="str">
        <f>IFERROR(H4/G4, "")</f>
        <v/>
      </c>
    </row>
    <row r="5" spans="1:9" ht="15.75" x14ac:dyDescent="0.35">
      <c r="A5" s="19"/>
      <c r="B5" s="11"/>
      <c r="C5" s="12"/>
      <c r="D5" s="20"/>
      <c r="E5" s="20"/>
      <c r="F5" s="21"/>
      <c r="G5" s="22"/>
      <c r="H5" s="22"/>
      <c r="I5" s="21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3.15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 x14ac:dyDescent="0.4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0" t="str" cm="1">
        <f t="array" ref="A1">portfolio</f>
        <v>MS Walker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 x14ac:dyDescent="0.35">
      <c r="A2" s="52" t="s">
        <v>2</v>
      </c>
      <c r="B2" s="52"/>
      <c r="C2" s="6">
        <f>SUM(C4:C89)</f>
        <v>44516.234790000002</v>
      </c>
      <c r="D2" s="6">
        <f>SUM(D4:D89)</f>
        <v>0</v>
      </c>
      <c r="E2" s="6">
        <f>C2-D2</f>
        <v>44516.234790000002</v>
      </c>
      <c r="F2" s="7">
        <f>IFERROR(E2/D2, 0)</f>
        <v>0</v>
      </c>
      <c r="G2" s="6">
        <f>SUM(G4:G89)</f>
        <v>0</v>
      </c>
      <c r="H2" s="8">
        <f>C2-G2</f>
        <v>44516.234790000002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44516.234790000002</v>
      </c>
      <c r="D4" s="14">
        <f>SUM(Jul!D4, Aug!D4, Sep!D4)</f>
        <v>0</v>
      </c>
      <c r="E4" s="14">
        <f>IF(AND(ISNUMBER(C4),ISNUMBER(D4)), C4-D4, "")</f>
        <v>44516.234790000002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3"/>
      <c r="G5" s="23"/>
      <c r="H5" s="23"/>
      <c r="I5" s="23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3.15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9" sqref="E19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0" t="str" cm="1">
        <f t="array" ref="A1">portfolio</f>
        <v>MS Walker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 x14ac:dyDescent="0.35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3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 x14ac:dyDescent="0.4">
      <c r="A5" s="23"/>
      <c r="B5" s="23"/>
      <c r="C5" s="23"/>
      <c r="D5" s="23"/>
      <c r="E5" s="23"/>
      <c r="F5" s="23"/>
      <c r="G5" s="23"/>
      <c r="H5" s="23"/>
      <c r="I5" s="23"/>
    </row>
    <row r="6" spans="1:9" ht="13.15" x14ac:dyDescent="0.4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4">
      <c r="A7" s="23"/>
      <c r="B7" s="23"/>
      <c r="C7" s="23"/>
      <c r="D7" s="23"/>
      <c r="E7" s="23"/>
      <c r="F7" s="23"/>
      <c r="G7" s="23"/>
      <c r="H7" s="23"/>
      <c r="I7" s="23"/>
    </row>
    <row r="8" spans="1:9" ht="13.15" x14ac:dyDescent="0.4">
      <c r="A8" s="23"/>
      <c r="B8" s="23"/>
      <c r="C8" s="23"/>
      <c r="D8" s="23"/>
      <c r="E8" s="23"/>
      <c r="F8" s="23"/>
      <c r="G8" s="23"/>
      <c r="H8" s="23"/>
      <c r="I8" s="23"/>
    </row>
    <row r="9" spans="1:9" ht="13.15" x14ac:dyDescent="0.4">
      <c r="A9" s="23"/>
      <c r="B9" s="23"/>
      <c r="C9" s="23"/>
      <c r="D9" s="23"/>
      <c r="E9" s="23"/>
      <c r="F9" s="23"/>
      <c r="G9" s="23"/>
      <c r="H9" s="23"/>
      <c r="I9" s="23"/>
    </row>
    <row r="10" spans="1:9" ht="13.15" x14ac:dyDescent="0.4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 x14ac:dyDescent="0.4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 x14ac:dyDescent="0.4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 x14ac:dyDescent="0.4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 x14ac:dyDescent="0.4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 x14ac:dyDescent="0.4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 x14ac:dyDescent="0.4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 x14ac:dyDescent="0.4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 x14ac:dyDescent="0.4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 x14ac:dyDescent="0.4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 x14ac:dyDescent="0.4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 x14ac:dyDescent="0.4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 x14ac:dyDescent="0.4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 x14ac:dyDescent="0.4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 x14ac:dyDescent="0.4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 x14ac:dyDescent="0.4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 x14ac:dyDescent="0.4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 x14ac:dyDescent="0.4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 x14ac:dyDescent="0.4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 x14ac:dyDescent="0.4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 x14ac:dyDescent="0.4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 x14ac:dyDescent="0.4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 x14ac:dyDescent="0.4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 x14ac:dyDescent="0.4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 x14ac:dyDescent="0.4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 x14ac:dyDescent="0.4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 x14ac:dyDescent="0.4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 x14ac:dyDescent="0.4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 x14ac:dyDescent="0.4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 x14ac:dyDescent="0.4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 x14ac:dyDescent="0.4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 x14ac:dyDescent="0.4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 x14ac:dyDescent="0.4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 x14ac:dyDescent="0.4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 x14ac:dyDescent="0.4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 x14ac:dyDescent="0.4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 x14ac:dyDescent="0.4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 x14ac:dyDescent="0.4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 x14ac:dyDescent="0.4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 x14ac:dyDescent="0.4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 x14ac:dyDescent="0.4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 x14ac:dyDescent="0.4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 x14ac:dyDescent="0.4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 x14ac:dyDescent="0.4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 x14ac:dyDescent="0.4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 x14ac:dyDescent="0.4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 x14ac:dyDescent="0.4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 x14ac:dyDescent="0.4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 x14ac:dyDescent="0.4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 x14ac:dyDescent="0.4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 x14ac:dyDescent="0.4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 x14ac:dyDescent="0.4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 x14ac:dyDescent="0.4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 x14ac:dyDescent="0.4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 x14ac:dyDescent="0.4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 x14ac:dyDescent="0.4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 x14ac:dyDescent="0.4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 x14ac:dyDescent="0.4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 x14ac:dyDescent="0.4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 x14ac:dyDescent="0.4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 x14ac:dyDescent="0.4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 x14ac:dyDescent="0.4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 x14ac:dyDescent="0.4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 x14ac:dyDescent="0.4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 x14ac:dyDescent="0.4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 x14ac:dyDescent="0.4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 x14ac:dyDescent="0.4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 x14ac:dyDescent="0.4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 x14ac:dyDescent="0.4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 x14ac:dyDescent="0.4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 x14ac:dyDescent="0.4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 x14ac:dyDescent="0.4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 x14ac:dyDescent="0.4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 x14ac:dyDescent="0.4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 x14ac:dyDescent="0.4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 x14ac:dyDescent="0.4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 x14ac:dyDescent="0.4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 x14ac:dyDescent="0.4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 x14ac:dyDescent="0.4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 x14ac:dyDescent="0.4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 x14ac:dyDescent="0.4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 x14ac:dyDescent="0.4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 x14ac:dyDescent="0.4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 x14ac:dyDescent="0.4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 x14ac:dyDescent="0.4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 x14ac:dyDescent="0.4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 x14ac:dyDescent="0.4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 x14ac:dyDescent="0.4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 x14ac:dyDescent="0.4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 x14ac:dyDescent="0.4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 x14ac:dyDescent="0.4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 x14ac:dyDescent="0.4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 x14ac:dyDescent="0.4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 x14ac:dyDescent="0.4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 x14ac:dyDescent="0.4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 x14ac:dyDescent="0.4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 x14ac:dyDescent="0.4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 x14ac:dyDescent="0.4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 x14ac:dyDescent="0.4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 x14ac:dyDescent="0.4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 x14ac:dyDescent="0.4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 x14ac:dyDescent="0.4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 x14ac:dyDescent="0.4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 x14ac:dyDescent="0.4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 x14ac:dyDescent="0.4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 x14ac:dyDescent="0.4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 x14ac:dyDescent="0.4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 x14ac:dyDescent="0.4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 x14ac:dyDescent="0.4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 x14ac:dyDescent="0.4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 x14ac:dyDescent="0.4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 x14ac:dyDescent="0.4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 x14ac:dyDescent="0.4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 x14ac:dyDescent="0.4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 x14ac:dyDescent="0.4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 x14ac:dyDescent="0.4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 x14ac:dyDescent="0.4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 x14ac:dyDescent="0.4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 x14ac:dyDescent="0.4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 x14ac:dyDescent="0.4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 x14ac:dyDescent="0.4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 x14ac:dyDescent="0.4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 x14ac:dyDescent="0.4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 x14ac:dyDescent="0.4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 x14ac:dyDescent="0.4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 x14ac:dyDescent="0.4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 x14ac:dyDescent="0.4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 x14ac:dyDescent="0.4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 x14ac:dyDescent="0.4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 x14ac:dyDescent="0.4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 x14ac:dyDescent="0.4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 x14ac:dyDescent="0.4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 x14ac:dyDescent="0.4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 x14ac:dyDescent="0.4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 x14ac:dyDescent="0.4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 x14ac:dyDescent="0.4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 x14ac:dyDescent="0.4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 x14ac:dyDescent="0.4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 x14ac:dyDescent="0.4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 x14ac:dyDescent="0.4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 x14ac:dyDescent="0.4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 x14ac:dyDescent="0.4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 x14ac:dyDescent="0.4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 x14ac:dyDescent="0.4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 x14ac:dyDescent="0.4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 x14ac:dyDescent="0.4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 x14ac:dyDescent="0.4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 x14ac:dyDescent="0.4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 x14ac:dyDescent="0.4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 x14ac:dyDescent="0.4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 x14ac:dyDescent="0.4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 x14ac:dyDescent="0.4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 x14ac:dyDescent="0.4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 x14ac:dyDescent="0.4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 x14ac:dyDescent="0.4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 x14ac:dyDescent="0.4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 x14ac:dyDescent="0.4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 x14ac:dyDescent="0.4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 x14ac:dyDescent="0.4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 x14ac:dyDescent="0.4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 x14ac:dyDescent="0.4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 x14ac:dyDescent="0.4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 x14ac:dyDescent="0.4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 x14ac:dyDescent="0.4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 x14ac:dyDescent="0.4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 x14ac:dyDescent="0.4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 x14ac:dyDescent="0.4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 x14ac:dyDescent="0.4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 x14ac:dyDescent="0.4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 x14ac:dyDescent="0.4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 x14ac:dyDescent="0.4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 x14ac:dyDescent="0.4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 x14ac:dyDescent="0.4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 x14ac:dyDescent="0.4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 x14ac:dyDescent="0.4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 x14ac:dyDescent="0.4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 x14ac:dyDescent="0.4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 x14ac:dyDescent="0.4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 x14ac:dyDescent="0.4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 x14ac:dyDescent="0.4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 x14ac:dyDescent="0.4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 x14ac:dyDescent="0.4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 x14ac:dyDescent="0.4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 x14ac:dyDescent="0.4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 x14ac:dyDescent="0.4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 x14ac:dyDescent="0.4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 x14ac:dyDescent="0.4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 x14ac:dyDescent="0.4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 x14ac:dyDescent="0.4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 x14ac:dyDescent="0.4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 x14ac:dyDescent="0.4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 x14ac:dyDescent="0.4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 x14ac:dyDescent="0.4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 x14ac:dyDescent="0.4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 x14ac:dyDescent="0.4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 x14ac:dyDescent="0.4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 x14ac:dyDescent="0.4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 x14ac:dyDescent="0.4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 x14ac:dyDescent="0.4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 x14ac:dyDescent="0.4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 x14ac:dyDescent="0.4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 x14ac:dyDescent="0.4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 x14ac:dyDescent="0.4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 x14ac:dyDescent="0.4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 x14ac:dyDescent="0.4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 x14ac:dyDescent="0.4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 x14ac:dyDescent="0.4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 x14ac:dyDescent="0.4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 x14ac:dyDescent="0.4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 x14ac:dyDescent="0.4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 x14ac:dyDescent="0.4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 x14ac:dyDescent="0.4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 x14ac:dyDescent="0.4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 x14ac:dyDescent="0.4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 x14ac:dyDescent="0.4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 x14ac:dyDescent="0.4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 x14ac:dyDescent="0.4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 x14ac:dyDescent="0.4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 x14ac:dyDescent="0.4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 x14ac:dyDescent="0.4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 x14ac:dyDescent="0.4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 x14ac:dyDescent="0.4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 x14ac:dyDescent="0.4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 x14ac:dyDescent="0.4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 x14ac:dyDescent="0.4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 x14ac:dyDescent="0.4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 x14ac:dyDescent="0.4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 x14ac:dyDescent="0.4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 x14ac:dyDescent="0.4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 x14ac:dyDescent="0.4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 x14ac:dyDescent="0.4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 x14ac:dyDescent="0.4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 x14ac:dyDescent="0.4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 x14ac:dyDescent="0.4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 x14ac:dyDescent="0.4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 x14ac:dyDescent="0.4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 x14ac:dyDescent="0.4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 x14ac:dyDescent="0.4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 x14ac:dyDescent="0.4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 x14ac:dyDescent="0.4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 x14ac:dyDescent="0.4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 x14ac:dyDescent="0.4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 x14ac:dyDescent="0.4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 x14ac:dyDescent="0.4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 x14ac:dyDescent="0.4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 x14ac:dyDescent="0.4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 x14ac:dyDescent="0.4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 x14ac:dyDescent="0.4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 x14ac:dyDescent="0.4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 x14ac:dyDescent="0.4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 x14ac:dyDescent="0.4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 x14ac:dyDescent="0.4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 x14ac:dyDescent="0.4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 x14ac:dyDescent="0.4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 x14ac:dyDescent="0.4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 x14ac:dyDescent="0.4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 x14ac:dyDescent="0.4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 x14ac:dyDescent="0.4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 x14ac:dyDescent="0.4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 x14ac:dyDescent="0.4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 x14ac:dyDescent="0.4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 x14ac:dyDescent="0.4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 x14ac:dyDescent="0.4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 x14ac:dyDescent="0.4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 x14ac:dyDescent="0.4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 x14ac:dyDescent="0.4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 x14ac:dyDescent="0.4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 x14ac:dyDescent="0.4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 x14ac:dyDescent="0.4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 x14ac:dyDescent="0.4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 x14ac:dyDescent="0.4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 x14ac:dyDescent="0.4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 x14ac:dyDescent="0.4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 x14ac:dyDescent="0.4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 x14ac:dyDescent="0.4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 x14ac:dyDescent="0.4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 x14ac:dyDescent="0.4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 x14ac:dyDescent="0.4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 x14ac:dyDescent="0.4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 x14ac:dyDescent="0.4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 x14ac:dyDescent="0.4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 x14ac:dyDescent="0.4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 x14ac:dyDescent="0.4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 x14ac:dyDescent="0.4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 x14ac:dyDescent="0.4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 x14ac:dyDescent="0.4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 x14ac:dyDescent="0.4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 x14ac:dyDescent="0.4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 x14ac:dyDescent="0.4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 x14ac:dyDescent="0.4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 x14ac:dyDescent="0.4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 x14ac:dyDescent="0.4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 x14ac:dyDescent="0.4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 x14ac:dyDescent="0.4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 x14ac:dyDescent="0.4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 x14ac:dyDescent="0.4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 x14ac:dyDescent="0.4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 x14ac:dyDescent="0.4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 x14ac:dyDescent="0.4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 x14ac:dyDescent="0.4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 x14ac:dyDescent="0.4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 x14ac:dyDescent="0.4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 x14ac:dyDescent="0.4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 x14ac:dyDescent="0.4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 x14ac:dyDescent="0.4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 x14ac:dyDescent="0.4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 x14ac:dyDescent="0.4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 x14ac:dyDescent="0.4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 x14ac:dyDescent="0.4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 x14ac:dyDescent="0.4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 x14ac:dyDescent="0.4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 x14ac:dyDescent="0.4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 x14ac:dyDescent="0.4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 x14ac:dyDescent="0.4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 x14ac:dyDescent="0.4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 x14ac:dyDescent="0.4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 x14ac:dyDescent="0.4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 x14ac:dyDescent="0.4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 x14ac:dyDescent="0.4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 x14ac:dyDescent="0.4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 x14ac:dyDescent="0.4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 x14ac:dyDescent="0.4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activeCell="F27" sqref="F26:F27"/>
      <selection pane="bottomLeft" activeCell="F14" sqref="F14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42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F27" sqref="F26:F27"/>
      <selection pane="bottomLeft" activeCell="D4" sqref="D4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42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25" x14ac:dyDescent="0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 x14ac:dyDescent="0.4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80" zoomScaleNormal="80" workbookViewId="0">
      <pane ySplit="2" topLeftCell="A3" activePane="bottomLeft" state="frozen"/>
      <selection activeCell="F27" sqref="F26:F27"/>
      <selection pane="bottomLeft" activeCell="F10" sqref="F10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50" t="str" cm="1">
        <f t="array" ref="A1">portfolio</f>
        <v>MS Walker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2" ht="19.5" customHeight="1" x14ac:dyDescent="0.35">
      <c r="A2" s="52" t="s">
        <v>2</v>
      </c>
      <c r="B2" s="52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1.2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>
        <v>0</v>
      </c>
      <c r="E4" s="14">
        <f>IF(AND(ISNUMBER(C4),ISNUMBER(D4)), C4-D4, "")</f>
        <v>65328.3</v>
      </c>
      <c r="F4" s="15" t="str">
        <f>IFERROR(E4/D4, "")</f>
        <v/>
      </c>
      <c r="G4" s="42">
        <v>0</v>
      </c>
      <c r="H4" s="16">
        <f>IF(AND(ISNUMBER(C4),ISNUMBER(G4)), C4-G4, "")</f>
        <v>65328.3</v>
      </c>
      <c r="I4" s="17" t="str">
        <f>IFERROR(H4/G4, "")</f>
        <v/>
      </c>
      <c r="J4" s="18" t="s">
        <v>26</v>
      </c>
      <c r="K4" s="43" t="s">
        <v>27</v>
      </c>
      <c r="L4" s="44"/>
    </row>
    <row r="5" spans="1:12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D1" workbookViewId="0">
      <pane ySplit="2" topLeftCell="A3" activePane="bottomLeft" state="frozen"/>
      <selection activeCell="F27" sqref="F26:F27"/>
      <selection pane="bottomLeft" activeCell="G6" sqref="G6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2">
        <v>0</v>
      </c>
      <c r="H4" s="16">
        <f>IF(AND(ISNUMBER(C4),ISNUMBER(G4)), C4-G4, "")</f>
        <v>79195</v>
      </c>
      <c r="I4" s="17" t="str">
        <f>IFERROR(H4/G4, "")</f>
        <v/>
      </c>
      <c r="J4" s="18" t="s">
        <v>31</v>
      </c>
      <c r="K4" s="43" t="s">
        <v>32</v>
      </c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2"/>
  <sheetViews>
    <sheetView topLeftCell="E1" workbookViewId="0">
      <pane ySplit="2" topLeftCell="A3" activePane="bottomLeft" state="frozen"/>
      <selection activeCell="F27" sqref="F26:F27"/>
      <selection pane="bottomLeft" activeCell="J4" sqref="J4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2" width="8.86328125" style="46"/>
  </cols>
  <sheetData>
    <row r="1" spans="1:12" ht="19.5" customHeight="1" x14ac:dyDescent="0.35">
      <c r="A1" s="50" t="str" cm="1">
        <f t="array" ref="A1">portfolio</f>
        <v>MS Walker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2" ht="19.5" customHeight="1" x14ac:dyDescent="0.35">
      <c r="A2" s="52" t="s">
        <v>2</v>
      </c>
      <c r="B2" s="52"/>
      <c r="C2" s="6">
        <f>SUM(C4:C90)</f>
        <v>61908.402000000002</v>
      </c>
      <c r="D2" s="6">
        <f>SUM(D4:D90)</f>
        <v>0</v>
      </c>
      <c r="E2" s="6">
        <f>C2-D2</f>
        <v>61908.402000000002</v>
      </c>
      <c r="F2" s="7">
        <f>IFERROR(E2/D2, 0)</f>
        <v>0</v>
      </c>
      <c r="G2" s="6">
        <f>SUM(G4:G90)</f>
        <v>0</v>
      </c>
      <c r="H2" s="8">
        <f>C2-G2</f>
        <v>61908.402000000002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14" x14ac:dyDescent="0.35">
      <c r="A4" s="45" t="str" cm="1">
        <f t="array" ref="A4">Sites[Site]</f>
        <v>MA: MS Walker</v>
      </c>
      <c r="B4" s="30" t="str" cm="1">
        <f t="array" ref="B4">Sites[State]</f>
        <v>MA</v>
      </c>
      <c r="C4" s="26">
        <v>61908.402000000002</v>
      </c>
      <c r="D4" s="14">
        <v>0</v>
      </c>
      <c r="E4" s="14">
        <f>IF(AND(ISNUMBER(C4),ISNUMBER(D4)), C4-D4, "")</f>
        <v>61908.402000000002</v>
      </c>
      <c r="F4" s="15" t="str">
        <f>IFERROR(E4/D4, "")</f>
        <v/>
      </c>
      <c r="G4" s="42">
        <v>0</v>
      </c>
      <c r="H4" s="16">
        <f>IF(AND(ISNUMBER(C4),ISNUMBER(G4)), C4-G4, "")</f>
        <v>61908.402000000002</v>
      </c>
      <c r="I4" s="17" t="str">
        <f>IFERROR(H4/G4, "")</f>
        <v/>
      </c>
      <c r="J4" s="18" t="s">
        <v>35</v>
      </c>
      <c r="K4" s="43" t="s">
        <v>36</v>
      </c>
      <c r="L4" s="47" t="s">
        <v>37</v>
      </c>
    </row>
    <row r="5" spans="1:12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8784" xr:uid="{D2AFEDF4-EF03-460A-8142-1A0BBDDA7F5E}"/>
    <hyperlink ref="L4" r:id="rId2" display="https://us3.assetplanner.com/service_request?ID=100966" xr:uid="{F14445B8-B187-4CB9-AEE1-DEE371480FD5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F27" sqref="F26:F27"/>
      <selection pane="bottomLeft" activeCell="J4" sqref="J4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33340.370000000003</v>
      </c>
      <c r="D2" s="6">
        <f>SUM(D4:D90)</f>
        <v>0</v>
      </c>
      <c r="E2" s="6">
        <f>C2-D2</f>
        <v>33340.370000000003</v>
      </c>
      <c r="F2" s="7">
        <f>IFERROR(E2/D2, 0)</f>
        <v>0</v>
      </c>
      <c r="G2" s="6">
        <f>SUM(G4:G90)</f>
        <v>0</v>
      </c>
      <c r="H2" s="8">
        <f>C2-G2</f>
        <v>33340.370000000003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2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33340.370000000003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40</v>
      </c>
      <c r="K4" s="43" t="s">
        <v>41</v>
      </c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3715" xr:uid="{0EC34683-6AF5-4B8E-80D4-8C6974F473C7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J13" sqref="J13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1048.7</v>
      </c>
      <c r="D2" s="6">
        <f>SUM(D4:D90)</f>
        <v>0</v>
      </c>
      <c r="E2" s="6">
        <f>C2-D2</f>
        <v>1048.7</v>
      </c>
      <c r="F2" s="7">
        <f>IFERROR(E2/D2, 0)</f>
        <v>0</v>
      </c>
      <c r="G2" s="6">
        <f>SUM(G4:G90)</f>
        <v>0</v>
      </c>
      <c r="H2" s="8">
        <f>C2-G2</f>
        <v>1048.7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1048.7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44</v>
      </c>
      <c r="K4" s="43" t="s">
        <v>45</v>
      </c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3715" xr:uid="{2ECD0FB9-99F0-4A37-A3BE-859008B4225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90" zoomScaleNormal="90" workbookViewId="0">
      <pane ySplit="2" topLeftCell="A3" activePane="bottomLeft" state="frozen"/>
      <selection activeCell="F27" sqref="F26:F27"/>
      <selection pane="bottomLeft" activeCell="J13" sqref="J13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SUM(C4:C30)</f>
        <v>43467.534790000005</v>
      </c>
      <c r="D2" s="6">
        <f>SUM(D4:D30)</f>
        <v>0</v>
      </c>
      <c r="E2" s="6">
        <f>C2-D2</f>
        <v>43467.534790000005</v>
      </c>
      <c r="F2" s="7">
        <f>IFERROR(E2/D2, 0)</f>
        <v>0</v>
      </c>
      <c r="G2" s="6">
        <f>SUM(G4:G30)</f>
        <v>0</v>
      </c>
      <c r="H2" s="8">
        <f>C2-G2</f>
        <v>43467.534790000005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43467.534790000005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48</v>
      </c>
      <c r="K4" s="43" t="s">
        <v>49</v>
      </c>
    </row>
    <row r="5" spans="1:11" ht="14.25" x14ac:dyDescent="0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 x14ac:dyDescent="0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 x14ac:dyDescent="0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 x14ac:dyDescent="0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 x14ac:dyDescent="0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 x14ac:dyDescent="0.4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6454" xr:uid="{34B7852F-93C5-4F4A-9915-D16F4C5665DA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abSelected="1" workbookViewId="0">
      <pane ySplit="2" topLeftCell="A3" activePane="bottomLeft" state="frozen"/>
      <selection activeCell="F27" sqref="F26:F27"/>
      <selection pane="bottomLeft" activeCell="J18" sqref="J17:J18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0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52</v>
      </c>
      <c r="K4" s="43" t="s">
        <v>49</v>
      </c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6454" xr:uid="{BA9179A7-AFED-4233-BB36-FE312910F931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53</v>
      </c>
      <c r="E1" s="51"/>
      <c r="F1" s="51"/>
      <c r="G1" s="49" t="s">
        <v>54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55</v>
      </c>
      <c r="E1" s="51"/>
      <c r="F1" s="51"/>
      <c r="G1" s="49" t="s">
        <v>56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activeCell="C32" sqref="C32"/>
      <selection pane="bottomLeft" activeCell="F27" sqref="F26:F27"/>
    </sheetView>
  </sheetViews>
  <sheetFormatPr defaultRowHeight="13.5" x14ac:dyDescent="0.35"/>
  <cols>
    <col min="1" max="1" width="35.86328125" bestFit="1" customWidth="1"/>
    <col min="2" max="2" width="8.3984375" style="3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0" t="str" cm="1">
        <f t="array" ref="A1">portfolio</f>
        <v>MS Walker</v>
      </c>
      <c r="B1" s="50"/>
      <c r="C1" s="50"/>
      <c r="D1" s="51" t="s">
        <v>57</v>
      </c>
      <c r="E1" s="51"/>
      <c r="F1" s="51"/>
      <c r="G1" s="49" t="s">
        <v>58</v>
      </c>
      <c r="H1" s="49"/>
      <c r="I1" s="49"/>
      <c r="J1" s="5"/>
      <c r="K1" s="5"/>
    </row>
    <row r="2" spans="1:11" ht="19.5" customHeight="1" x14ac:dyDescent="0.3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3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 x14ac:dyDescent="0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 x14ac:dyDescent="0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 x14ac:dyDescent="0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 x14ac:dyDescent="0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 x14ac:dyDescent="0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 x14ac:dyDescent="0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 x14ac:dyDescent="0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 x14ac:dyDescent="0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 x14ac:dyDescent="0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 x14ac:dyDescent="0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 x14ac:dyDescent="0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 x14ac:dyDescent="0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 x14ac:dyDescent="0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 x14ac:dyDescent="0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 x14ac:dyDescent="0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 x14ac:dyDescent="0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 x14ac:dyDescent="0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 x14ac:dyDescent="0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 x14ac:dyDescent="0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 x14ac:dyDescent="0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 x14ac:dyDescent="0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 x14ac:dyDescent="0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 x14ac:dyDescent="0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 x14ac:dyDescent="0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 x14ac:dyDescent="0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 x14ac:dyDescent="0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 x14ac:dyDescent="0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 x14ac:dyDescent="0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 x14ac:dyDescent="0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 x14ac:dyDescent="0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 x14ac:dyDescent="0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 x14ac:dyDescent="0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 x14ac:dyDescent="0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 x14ac:dyDescent="0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 x14ac:dyDescent="0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 x14ac:dyDescent="0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 x14ac:dyDescent="0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 x14ac:dyDescent="0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 x14ac:dyDescent="0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 x14ac:dyDescent="0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 x14ac:dyDescent="0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 x14ac:dyDescent="0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 x14ac:dyDescent="0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 x14ac:dyDescent="0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 x14ac:dyDescent="0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 x14ac:dyDescent="0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 x14ac:dyDescent="0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 x14ac:dyDescent="0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 x14ac:dyDescent="0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 x14ac:dyDescent="0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 x14ac:dyDescent="0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 x14ac:dyDescent="0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 x14ac:dyDescent="0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 x14ac:dyDescent="0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 x14ac:dyDescent="0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 x14ac:dyDescent="0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 x14ac:dyDescent="0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 x14ac:dyDescent="0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 x14ac:dyDescent="0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 x14ac:dyDescent="0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 x14ac:dyDescent="0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 x14ac:dyDescent="0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 x14ac:dyDescent="0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 x14ac:dyDescent="0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 x14ac:dyDescent="0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 x14ac:dyDescent="0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 x14ac:dyDescent="0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 x14ac:dyDescent="0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 x14ac:dyDescent="0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 x14ac:dyDescent="0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 x14ac:dyDescent="0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 x14ac:dyDescent="0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 x14ac:dyDescent="0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 x14ac:dyDescent="0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 x14ac:dyDescent="0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 x14ac:dyDescent="0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 x14ac:dyDescent="0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 x14ac:dyDescent="0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 x14ac:dyDescent="0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 x14ac:dyDescent="0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 x14ac:dyDescent="0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 x14ac:dyDescent="0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 x14ac:dyDescent="0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 x14ac:dyDescent="0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 x14ac:dyDescent="0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 x14ac:dyDescent="0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 x14ac:dyDescent="0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 x14ac:dyDescent="0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 x14ac:dyDescent="0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 x14ac:dyDescent="0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 x14ac:dyDescent="0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 x14ac:dyDescent="0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 x14ac:dyDescent="0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 x14ac:dyDescent="0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 x14ac:dyDescent="0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 x14ac:dyDescent="0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 x14ac:dyDescent="0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 x14ac:dyDescent="0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 x14ac:dyDescent="0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 x14ac:dyDescent="0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 x14ac:dyDescent="0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 x14ac:dyDescent="0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 x14ac:dyDescent="0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 x14ac:dyDescent="0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 x14ac:dyDescent="0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 x14ac:dyDescent="0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 x14ac:dyDescent="0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 x14ac:dyDescent="0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 x14ac:dyDescent="0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 x14ac:dyDescent="0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 x14ac:dyDescent="0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 x14ac:dyDescent="0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 x14ac:dyDescent="0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 x14ac:dyDescent="0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 x14ac:dyDescent="0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 x14ac:dyDescent="0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 x14ac:dyDescent="0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 x14ac:dyDescent="0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 x14ac:dyDescent="0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 x14ac:dyDescent="0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 x14ac:dyDescent="0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 x14ac:dyDescent="0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 x14ac:dyDescent="0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 x14ac:dyDescent="0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 x14ac:dyDescent="0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 x14ac:dyDescent="0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 x14ac:dyDescent="0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 x14ac:dyDescent="0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 x14ac:dyDescent="0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 x14ac:dyDescent="0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 x14ac:dyDescent="0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 x14ac:dyDescent="0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 x14ac:dyDescent="0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 x14ac:dyDescent="0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 x14ac:dyDescent="0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 x14ac:dyDescent="0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 x14ac:dyDescent="0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 x14ac:dyDescent="0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 x14ac:dyDescent="0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 x14ac:dyDescent="0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 x14ac:dyDescent="0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 x14ac:dyDescent="0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 x14ac:dyDescent="0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 x14ac:dyDescent="0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 x14ac:dyDescent="0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 x14ac:dyDescent="0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 x14ac:dyDescent="0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 x14ac:dyDescent="0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 x14ac:dyDescent="0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 x14ac:dyDescent="0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 x14ac:dyDescent="0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 x14ac:dyDescent="0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 x14ac:dyDescent="0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 x14ac:dyDescent="0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 x14ac:dyDescent="0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 x14ac:dyDescent="0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 x14ac:dyDescent="0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 x14ac:dyDescent="0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 x14ac:dyDescent="0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 x14ac:dyDescent="0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 x14ac:dyDescent="0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 x14ac:dyDescent="0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 x14ac:dyDescent="0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 x14ac:dyDescent="0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 x14ac:dyDescent="0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 x14ac:dyDescent="0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 x14ac:dyDescent="0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 x14ac:dyDescent="0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 x14ac:dyDescent="0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 x14ac:dyDescent="0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 x14ac:dyDescent="0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 x14ac:dyDescent="0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 x14ac:dyDescent="0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 x14ac:dyDescent="0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 x14ac:dyDescent="0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 x14ac:dyDescent="0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 x14ac:dyDescent="0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 x14ac:dyDescent="0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 x14ac:dyDescent="0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 x14ac:dyDescent="0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 x14ac:dyDescent="0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 x14ac:dyDescent="0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 x14ac:dyDescent="0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 x14ac:dyDescent="0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 x14ac:dyDescent="0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 x14ac:dyDescent="0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 x14ac:dyDescent="0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 x14ac:dyDescent="0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 x14ac:dyDescent="0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 x14ac:dyDescent="0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 x14ac:dyDescent="0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 x14ac:dyDescent="0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 x14ac:dyDescent="0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 x14ac:dyDescent="0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 x14ac:dyDescent="0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 x14ac:dyDescent="0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 x14ac:dyDescent="0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 x14ac:dyDescent="0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 x14ac:dyDescent="0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 x14ac:dyDescent="0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 x14ac:dyDescent="0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 x14ac:dyDescent="0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 x14ac:dyDescent="0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 x14ac:dyDescent="0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 x14ac:dyDescent="0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 x14ac:dyDescent="0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 x14ac:dyDescent="0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 x14ac:dyDescent="0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 x14ac:dyDescent="0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 x14ac:dyDescent="0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 x14ac:dyDescent="0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 x14ac:dyDescent="0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 x14ac:dyDescent="0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 x14ac:dyDescent="0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 x14ac:dyDescent="0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 x14ac:dyDescent="0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 x14ac:dyDescent="0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 x14ac:dyDescent="0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 x14ac:dyDescent="0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 x14ac:dyDescent="0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 x14ac:dyDescent="0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 x14ac:dyDescent="0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 x14ac:dyDescent="0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 x14ac:dyDescent="0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 x14ac:dyDescent="0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 x14ac:dyDescent="0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 x14ac:dyDescent="0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 x14ac:dyDescent="0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 x14ac:dyDescent="0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 x14ac:dyDescent="0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 x14ac:dyDescent="0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 x14ac:dyDescent="0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 x14ac:dyDescent="0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 x14ac:dyDescent="0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 x14ac:dyDescent="0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 x14ac:dyDescent="0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 x14ac:dyDescent="0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 x14ac:dyDescent="0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 x14ac:dyDescent="0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 x14ac:dyDescent="0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 x14ac:dyDescent="0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 x14ac:dyDescent="0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 x14ac:dyDescent="0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 x14ac:dyDescent="0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 x14ac:dyDescent="0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 x14ac:dyDescent="0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 x14ac:dyDescent="0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 x14ac:dyDescent="0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 x14ac:dyDescent="0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 x14ac:dyDescent="0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 x14ac:dyDescent="0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 x14ac:dyDescent="0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 x14ac:dyDescent="0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 x14ac:dyDescent="0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 x14ac:dyDescent="0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 x14ac:dyDescent="0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 x14ac:dyDescent="0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 x14ac:dyDescent="0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 x14ac:dyDescent="0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 x14ac:dyDescent="0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 x14ac:dyDescent="0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 x14ac:dyDescent="0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 x14ac:dyDescent="0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 x14ac:dyDescent="0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 x14ac:dyDescent="0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 x14ac:dyDescent="0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 x14ac:dyDescent="0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 x14ac:dyDescent="0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 x14ac:dyDescent="0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 x14ac:dyDescent="0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 x14ac:dyDescent="0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 x14ac:dyDescent="0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 x14ac:dyDescent="0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 x14ac:dyDescent="0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 x14ac:dyDescent="0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 x14ac:dyDescent="0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 x14ac:dyDescent="0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 x14ac:dyDescent="0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 x14ac:dyDescent="0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 x14ac:dyDescent="0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 x14ac:dyDescent="0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 x14ac:dyDescent="0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 x14ac:dyDescent="0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 x14ac:dyDescent="0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 x14ac:dyDescent="0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 x14ac:dyDescent="0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 x14ac:dyDescent="0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 x14ac:dyDescent="0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 x14ac:dyDescent="0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 x14ac:dyDescent="0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 x14ac:dyDescent="0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 x14ac:dyDescent="0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 x14ac:dyDescent="0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 x14ac:dyDescent="0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 x14ac:dyDescent="0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 x14ac:dyDescent="0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 x14ac:dyDescent="0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 x14ac:dyDescent="0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 x14ac:dyDescent="0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 x14ac:dyDescent="0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 x14ac:dyDescent="0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 x14ac:dyDescent="0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 x14ac:dyDescent="0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 x14ac:dyDescent="0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 x14ac:dyDescent="0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 x14ac:dyDescent="0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 x14ac:dyDescent="0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 x14ac:dyDescent="0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 x14ac:dyDescent="0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 x14ac:dyDescent="0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 x14ac:dyDescent="0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 x14ac:dyDescent="0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 x14ac:dyDescent="0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 x14ac:dyDescent="0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 x14ac:dyDescent="0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 x14ac:dyDescent="0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 x14ac:dyDescent="0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 x14ac:dyDescent="0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 x14ac:dyDescent="0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 x14ac:dyDescent="0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 x14ac:dyDescent="0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 x14ac:dyDescent="0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 x14ac:dyDescent="0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 x14ac:dyDescent="0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 x14ac:dyDescent="0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 x14ac:dyDescent="0.4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6" sqref="E16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18.265625" customWidth="1"/>
    <col min="6" max="14" width="9.1328125" customWidth="1"/>
  </cols>
  <sheetData>
    <row r="1" spans="1:7" ht="12.75" customHeight="1" x14ac:dyDescent="0.35">
      <c r="A1" t="s">
        <v>59</v>
      </c>
      <c r="B1" t="s">
        <v>60</v>
      </c>
    </row>
    <row r="3" spans="1:7" x14ac:dyDescent="0.3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25" x14ac:dyDescent="0.45">
      <c r="A4" t="s">
        <v>60</v>
      </c>
      <c r="B4" t="s">
        <v>64</v>
      </c>
      <c r="C4" s="4" t="s">
        <v>65</v>
      </c>
      <c r="E4" t="s">
        <v>66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C10EBC78-4A40-4C57-9336-460DF610D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6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2025-10-15T05:20:26Z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2025-09-24T19:43:21Z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55f487d8-1395-42cd-ae7b-191dca268ac0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