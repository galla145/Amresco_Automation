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C0CA66C1-1B60-49B2-87F7-6B32F4DD3A19}" xr6:coauthVersionLast="47" xr6:coauthVersionMax="47" xr10:uidLastSave="{00000000-0000-0000-0000-000000000000}"/>
  <bookViews>
    <workbookView xWindow="43080" yWindow="-120" windowWidth="29040" windowHeight="15720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E4" i="31"/>
  <c r="G4" i="29"/>
  <c r="G4" i="18"/>
  <c r="G2" i="18" s="1"/>
  <c r="H5" i="33"/>
  <c r="I5" i="33" s="1"/>
  <c r="E5" i="33"/>
  <c r="F5" i="33" s="1"/>
  <c r="H5" i="32"/>
  <c r="I5" i="32" s="1"/>
  <c r="E5" i="32"/>
  <c r="F5" i="32" s="1"/>
  <c r="H5" i="31"/>
  <c r="I5" i="31" s="1"/>
  <c r="E5" i="31"/>
  <c r="F5" i="31" s="1"/>
  <c r="H5" i="27"/>
  <c r="I5" i="27" s="1"/>
  <c r="E5" i="27"/>
  <c r="F5" i="27" s="1"/>
  <c r="H5" i="26"/>
  <c r="I5" i="26" s="1"/>
  <c r="E5" i="26"/>
  <c r="F5" i="26" s="1"/>
  <c r="H5" i="19"/>
  <c r="I5" i="19" s="1"/>
  <c r="E5" i="19"/>
  <c r="F5" i="19" s="1"/>
  <c r="H5" i="20"/>
  <c r="I5" i="20" s="1"/>
  <c r="E5" i="20"/>
  <c r="F5" i="20" s="1"/>
  <c r="H5" i="21"/>
  <c r="I5" i="21" s="1"/>
  <c r="E5" i="21"/>
  <c r="F5" i="21" s="1"/>
  <c r="H5" i="4"/>
  <c r="I5" i="4" s="1"/>
  <c r="E5" i="4"/>
  <c r="F5" i="4" s="1"/>
  <c r="E5" i="3"/>
  <c r="F5" i="3" s="1"/>
  <c r="H5" i="3"/>
  <c r="I5" i="3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G2" i="34"/>
  <c r="A1" i="34" a="1"/>
  <c r="A1" i="34" s="1"/>
  <c r="D4" i="30"/>
  <c r="D2" i="30" s="1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30" l="1"/>
  <c r="F4" i="30" s="1"/>
  <c r="D4" i="34"/>
  <c r="D2" i="34" s="1"/>
  <c r="E4" i="18"/>
  <c r="F4" i="18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<sst xmlns="http://schemas.openxmlformats.org/spreadsheetml/2006/main" count="260" uniqueCount="55">
  <si>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</si>
  <si>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</si>
  <si>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</si>
  <si>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</si>
  <si>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</si>
  <si>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</si>
  <si>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</si>
  <si>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</si>
  <si>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</si>
  <si>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</si>
  <si>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</si>
  <si>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</si>
  <si>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</si>
  <si>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</si>
  <si>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</si>
  <si>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</si>
  <si>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</si>
  <si>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</si>
  <si>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</si>
  <si>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</si>
  <si>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</si>
  <si>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</si>
  <si>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</si>
  <si>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</si>
  <si>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</si>
  <si>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</si>
  <si>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</si>
  <si>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</si>
  <si>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</si>
  <si>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</si>
  <si>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</si>
  <si>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</si>
  <si>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</si>
  <si>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</si>
  <si>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</si>
  <si>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 Inverter 1 Zone 1 tripped offline at 14:15 on 07/29 after technician replaced the breaker Inverter 1 Zone 1 is back online at 15:00 on 08/30.</t>
  </si>
  <si>
    <t>1. SR105290</t>
  </si>
  <si>
    <t>August Actual v. Expected</t>
  </si>
  <si>
    <t>August Actual v. Forecasted</t>
  </si>
  <si>
    <t>353362_x000D__x000D_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</si>
  <si>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</si>
  <si>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</si>
  <si>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</si>
  <si>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</si>
  <si>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</si>
  <si>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</si>
  <si>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</si>
  <si>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</si>
  <si>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</si>
  <si>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Hubbardston Solar</t>
  </si>
  <si>
    <t>Site DAS Name</t>
  </si>
  <si>
    <t>Update</t>
  </si>
  <si>
    <t>DAS</t>
  </si>
  <si>
    <t>MA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</si>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</sst>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/>
    </xf>
    <xf numFmtId="49" fontId="35" fillId="38" borderId="0" xfId="45" applyNumberForma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5290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workbookViewId="0">
      <pane xSplit="2" ySplit="3" topLeftCell="C4" activePane="bottomRight" state="frozen"/>
      <selection pane="bottomRight" activeCell="D19" sqref="D19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Hubbardston Solar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6">
        <f>SUM(C4:C87)</f>
        <v>2009227</v>
      </c>
      <c r="D2" s="6">
        <f>SUM(D4:D87)</f>
        <v>0</v>
      </c>
      <c r="E2" s="6">
        <f>C2-D2</f>
        <v>2009227</v>
      </c>
      <c r="F2" s="7">
        <f>IFERROR(E2/D2, 0)</f>
        <v>0</v>
      </c>
      <c r="G2" s="6">
        <f>SUM(G4:G87)</f>
        <v>0</v>
      </c>
      <c r="H2" s="8">
        <f>C2-G2</f>
        <v>2009227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SUM('1st Qtr'!C4, '2nd Qtr'!C4, '3rd Qtr'!C4, '4th Qtr'!C4)</f>
        <v>2009227</v>
      </c>
      <c r="D4" s="13">
        <f>SUM('1st Qtr'!D4, '2nd Qtr'!D4, '3rd Qtr'!D4, '4th Qtr'!D4)</f>
        <v>0</v>
      </c>
      <c r="E4" s="13">
        <f>IF(AND(ISNUMBER(C4),ISNUMBER(D4)), C4-D4, "")</f>
        <v>2009227</v>
      </c>
      <c r="F4" s="14" t="str">
        <f>IFERROR(E4/D4, "")</f>
        <v/>
      </c>
      <c r="G4" s="15"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15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15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15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15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15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15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15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15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15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15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15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15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15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15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15">
      <c r="A329" s="20"/>
      <c r="B329" s="20"/>
      <c r="C329" s="20"/>
      <c r="D329" s="20"/>
      <c r="E329" s="20"/>
      <c r="F329" s="21"/>
      <c r="G329" s="20"/>
      <c r="H329" s="20"/>
      <c r="I32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E15" sqref="E1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Hubbardston Solar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6">
        <f>SUM(C4:C87)</f>
        <v>456483</v>
      </c>
      <c r="D2" s="6">
        <f>SUM(D4:D87)</f>
        <v>0</v>
      </c>
      <c r="E2" s="6">
        <f>C2-D2</f>
        <v>456483</v>
      </c>
      <c r="F2" s="7">
        <f>IFERROR(E2/D2, 0)</f>
        <v>0</v>
      </c>
      <c r="G2" s="6">
        <f>SUM(G4:G87)</f>
        <v>0</v>
      </c>
      <c r="H2" s="8">
        <f>C2-G2</f>
        <v>456483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SUM(Jan!C4, Feb!C4, Mar!C4)</f>
        <v>456483</v>
      </c>
      <c r="D4" s="13">
        <f>SUM(Jan!D4, Feb!D4, Mar!D4)</f>
        <v>0</v>
      </c>
      <c r="E4" s="13">
        <f>IF(AND(ISNUMBER(C4),ISNUMBER(D4)), C4-D4, "")</f>
        <v>456483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15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15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15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15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15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15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15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15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15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15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15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15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15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15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15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9"/>
  <sheetViews>
    <sheetView workbookViewId="0">
      <pane xSplit="2" ySplit="3" topLeftCell="I4" activePane="bottomRight" state="frozen"/>
      <selection pane="bottomRight" activeCell="I4" sqref="I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Hubbardston Solar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6">
        <f>SUM(C4:C87)</f>
        <v>910501</v>
      </c>
      <c r="D2" s="6">
        <f>SUM(D4:D87)</f>
        <v>0</v>
      </c>
      <c r="E2" s="6">
        <f>C2-D2</f>
        <v>910501</v>
      </c>
      <c r="F2" s="7">
        <f>IFERROR(E2/D2, 0)</f>
        <v>0</v>
      </c>
      <c r="G2" s="6">
        <f>SUM(G4:G87)</f>
        <v>0</v>
      </c>
      <c r="H2" s="8">
        <f>C2-G2</f>
        <v>910501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SUM(Apr!C4, May!C4, Jun!C4)</f>
        <v>910501</v>
      </c>
      <c r="D4" s="13">
        <f>SUM(Apr!D4, May!D4, Jun!D4)</f>
        <v>0</v>
      </c>
      <c r="E4" s="13">
        <f>IF(AND(ISNUMBER(C4),ISNUMBER(D4)), C4-D4, "")</f>
        <v>910501</v>
      </c>
      <c r="F4" s="14" t="str">
        <f>IFERROR(E4/D4, "")</f>
        <v/>
      </c>
      <c r="G4" s="15">
        <f>SUM(Apr!G4,May!G4,Jun!G4)</f>
        <v>0</v>
      </c>
      <c r="H4" s="15">
        <f>SUM(Apr!H4, May!H4, Jun!H4)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15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15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15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15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15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15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15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15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15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15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15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15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15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15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15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G15" sqref="G1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Hubbardston Solar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6">
        <f>SUM(C4:C87)</f>
        <v>642243</v>
      </c>
      <c r="D2" s="6">
        <f>SUM(D4:D87)</f>
        <v>0</v>
      </c>
      <c r="E2" s="6">
        <f>C2-D2</f>
        <v>642243</v>
      </c>
      <c r="F2" s="7">
        <f>IFERROR(E2/D2, 0)</f>
        <v>0</v>
      </c>
      <c r="G2" s="6">
        <f>SUM(G4:G87)</f>
        <v>0</v>
      </c>
      <c r="H2" s="8">
        <f>C2-G2</f>
        <v>642243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SUM(Jul!C4, Aug!C4, Sep!C4)</f>
        <v>642243</v>
      </c>
      <c r="D4" s="13">
        <f>SUM(Jul!D4, Aug!D4, Sep!D4)</f>
        <v>0</v>
      </c>
      <c r="E4" s="13">
        <f>IF(AND(ISNUMBER(C4),ISNUMBER(D4)), C4-D4, "")</f>
        <v>642243</v>
      </c>
      <c r="F4" s="14" t="str">
        <f>IFERROR(E4/D4, "")</f>
        <v/>
      </c>
      <c r="G4" s="15">
        <f>SUM(Jul!G4, Aug!G4, Sep!G4)</f>
        <v>0</v>
      </c>
      <c r="H4" s="15">
        <f>SUM(Jul!H4, Aug!H4, Sep!H4)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15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15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15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15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15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15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15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15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15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15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15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15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15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15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15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9"/>
  <sheetViews>
    <sheetView workbookViewId="0">
      <pane xSplit="2" ySplit="3" topLeftCell="D4" activePane="bottomRight" state="frozen"/>
      <selection pane="bottomRight" activeCell="I4" sqref="I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Hubbardston Solar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15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15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15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15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15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15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15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15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15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15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15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15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15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15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15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2"/>
  <sheetViews>
    <sheetView workbookViewId="0">
      <pane xSplit="2" ySplit="3" topLeftCell="C4" activePane="bottomRight" state="frozen"/>
      <selection pane="bottomRight" activeCell="H16" sqref="H16"/>
      <selection pane="bottomLeft" activeCell="F19" sqref="F19"/>
      <selection pane="topRight" activeCell="F19" sqref="F19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Hubbardston Solar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SUM(C4:C60)</f>
        <v>127070</v>
      </c>
      <c r="D2" s="6">
        <f>SUM(D4:D60)</f>
        <v>0</v>
      </c>
      <c r="E2" s="6">
        <f>C2-D2</f>
        <v>127070</v>
      </c>
      <c r="F2" s="7">
        <f>IFERROR(E2/D2, 0)</f>
        <v>0</v>
      </c>
      <c r="G2" s="6">
        <f>SUM(G4:G60)</f>
        <v>0</v>
      </c>
      <c r="H2" s="8">
        <f>C2-G2</f>
        <v>127070</v>
      </c>
      <c r="I2" s="7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6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127070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2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4.25">
      <c r="A5" s="20"/>
      <c r="B5" s="31"/>
      <c r="C5" s="20"/>
      <c r="D5" s="20"/>
      <c r="E5" s="20"/>
      <c r="F5" s="21"/>
      <c r="G5" s="20"/>
      <c r="H5" s="20"/>
      <c r="I5" s="21"/>
      <c r="J5" s="20"/>
      <c r="K5" s="20"/>
    </row>
    <row r="6" spans="1:11" ht="14.25">
      <c r="A6" s="20"/>
      <c r="B6" s="31"/>
      <c r="C6" s="20"/>
      <c r="D6" s="20"/>
      <c r="E6" s="20"/>
      <c r="F6" s="21"/>
      <c r="G6" s="20"/>
      <c r="H6" s="20"/>
      <c r="I6" s="21"/>
      <c r="J6" s="20"/>
      <c r="K6" s="20"/>
    </row>
    <row r="7" spans="1:11" ht="14.25">
      <c r="A7" s="20"/>
      <c r="B7" s="31"/>
      <c r="C7" s="20"/>
      <c r="D7" s="20"/>
      <c r="E7" s="20"/>
      <c r="F7" s="21"/>
      <c r="G7" s="20"/>
      <c r="H7" s="20"/>
      <c r="I7" s="21"/>
      <c r="J7" s="20"/>
      <c r="K7" s="20"/>
    </row>
    <row r="8" spans="1:11" ht="14.25">
      <c r="A8" s="20"/>
      <c r="B8" s="31"/>
      <c r="C8" s="20"/>
      <c r="D8" s="20"/>
      <c r="E8" s="20"/>
      <c r="F8" s="21"/>
      <c r="G8" s="20"/>
      <c r="H8" s="20"/>
      <c r="I8" s="21"/>
      <c r="J8" s="20"/>
      <c r="K8" s="20"/>
    </row>
    <row r="9" spans="1:11" ht="14.2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2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</sheetData>
  <mergeCells count="4">
    <mergeCell ref="D1:F1"/>
    <mergeCell ref="A1:C1"/>
    <mergeCell ref="G1:I1"/>
    <mergeCell ref="A2:B2"/>
  </mergeCells>
  <conditionalFormatting sqref="F2 I2 F4:F60 I4:I60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0"/>
  <sheetViews>
    <sheetView workbookViewId="0">
      <pane xSplit="2" ySplit="3" topLeftCell="C4" activePane="bottomRight" state="frozen"/>
      <selection pane="bottomRight" activeCell="G4" sqref="G4"/>
      <selection pane="bottomLeft" activeCell="F19" sqref="F19"/>
      <selection pane="topRight" activeCell="F19" sqref="F19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Hubbardston Solar</v>
      </c>
      <c r="B1" s="46"/>
      <c r="C1" s="46"/>
      <c r="D1" s="47" t="s">
        <v>23</v>
      </c>
      <c r="E1" s="47"/>
      <c r="F1" s="47"/>
      <c r="G1" s="45" t="s">
        <v>24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SUM(C4:C88)</f>
        <v>62341</v>
      </c>
      <c r="D2" s="6">
        <f>SUM(D4:D88)</f>
        <v>0</v>
      </c>
      <c r="E2" s="6">
        <f>C2-D2</f>
        <v>62341</v>
      </c>
      <c r="F2" s="7">
        <f>IFERROR(E2/D2, 0)</f>
        <v>0</v>
      </c>
      <c r="G2" s="6">
        <f>SUM(G4:G88)</f>
        <v>0</v>
      </c>
      <c r="H2" s="8">
        <f>C2-G2</f>
        <v>62341</v>
      </c>
      <c r="I2" s="7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62341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2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7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2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2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2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2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2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2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2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2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2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2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2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2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2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2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2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3.9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0"/>
  <sheetViews>
    <sheetView workbookViewId="0">
      <pane xSplit="2" ySplit="3" topLeftCell="C4" activePane="bottomRight" state="frozen"/>
      <selection pane="bottomRight" activeCell="F15" sqref="F15"/>
      <selection pane="bottomLeft" activeCell="F19" sqref="F19"/>
      <selection pane="topRight" activeCell="F19" sqref="F19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Hubbardston Solar</v>
      </c>
      <c r="B1" s="46"/>
      <c r="C1" s="46"/>
      <c r="D1" s="47" t="s">
        <v>25</v>
      </c>
      <c r="E1" s="47"/>
      <c r="F1" s="47"/>
      <c r="G1" s="45" t="s">
        <v>26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SUM(C4:C88)</f>
        <v>267072</v>
      </c>
      <c r="D2" s="6">
        <f>SUM(D4:D88)</f>
        <v>0</v>
      </c>
      <c r="E2" s="6">
        <f>C2-D2</f>
        <v>267072</v>
      </c>
      <c r="F2" s="7">
        <f>IFERROR(E2/D2, 0)</f>
        <v>0</v>
      </c>
      <c r="G2" s="6">
        <f>SUM(G4:G88)</f>
        <v>0</v>
      </c>
      <c r="H2" s="8">
        <f>C2-G2</f>
        <v>267072</v>
      </c>
      <c r="I2" s="7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267072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2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7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2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2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2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2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2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2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2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2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2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2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2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2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2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2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2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3.9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0"/>
  <sheetViews>
    <sheetView workbookViewId="0">
      <pane xSplit="2" ySplit="3" topLeftCell="C4" activePane="bottomRight" state="frozen"/>
      <selection pane="bottomRight" activeCell="G12" sqref="G12"/>
      <selection pane="bottomLeft" activeCell="F19" sqref="F19"/>
      <selection pane="topRight" activeCell="F19" sqref="F19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Hubbardston Solar</v>
      </c>
      <c r="B1" s="46"/>
      <c r="C1" s="46"/>
      <c r="D1" s="47" t="s">
        <v>27</v>
      </c>
      <c r="E1" s="47"/>
      <c r="F1" s="47"/>
      <c r="G1" s="45" t="s">
        <v>28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SUM(C4:C88)</f>
        <v>291503</v>
      </c>
      <c r="D2" s="6">
        <f>SUM(D4:D88)</f>
        <v>0</v>
      </c>
      <c r="E2" s="6">
        <f>C2-D2</f>
        <v>291503</v>
      </c>
      <c r="F2" s="7">
        <f>IFERROR(E2/D2, 0)</f>
        <v>0</v>
      </c>
      <c r="G2" s="6">
        <f>SUM(G4:G88)</f>
        <v>0</v>
      </c>
      <c r="H2" s="8">
        <f>C2-G2</f>
        <v>291503</v>
      </c>
      <c r="I2" s="7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291503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2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7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2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2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2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2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2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2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2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2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2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2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2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2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2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2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2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3.9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0"/>
  <sheetViews>
    <sheetView workbookViewId="0">
      <pane xSplit="2" ySplit="3" topLeftCell="C4" activePane="bottomRight" state="frozen"/>
      <selection pane="bottomRight" activeCell="G4" sqref="G4"/>
      <selection pane="bottomLeft" activeCell="F19" sqref="F19"/>
      <selection pane="topRight" activeCell="F19" sqref="F19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Hubbardston Solar</v>
      </c>
      <c r="B1" s="46"/>
      <c r="C1" s="46"/>
      <c r="D1" s="47" t="s">
        <v>29</v>
      </c>
      <c r="E1" s="47"/>
      <c r="F1" s="47"/>
      <c r="G1" s="45" t="s">
        <v>30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SUM(C4:C88)</f>
        <v>266514</v>
      </c>
      <c r="D2" s="6">
        <f>SUM(D4:D88)</f>
        <v>0</v>
      </c>
      <c r="E2" s="6">
        <f>C2-D2</f>
        <v>266514</v>
      </c>
      <c r="F2" s="7">
        <f>IFERROR(E2/D2, 0)</f>
        <v>0</v>
      </c>
      <c r="G2" s="6">
        <f>SUM(G4:G88)</f>
        <v>0</v>
      </c>
      <c r="H2" s="8">
        <f>C2-G2</f>
        <v>266514</v>
      </c>
      <c r="I2" s="7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266514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7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2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2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2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2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2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2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2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2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2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2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2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2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2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2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2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3.9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workbookViewId="0">
      <pane xSplit="2" ySplit="3" topLeftCell="C4" activePane="bottomRight" state="frozen"/>
      <selection pane="bottomRight" activeCell="G4" sqref="G4"/>
      <selection pane="bottomLeft" activeCell="F19" sqref="F19"/>
      <selection pane="topRight" activeCell="F19" sqref="F19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Hubbardston Solar</v>
      </c>
      <c r="B1" s="46"/>
      <c r="C1" s="46"/>
      <c r="D1" s="47" t="s">
        <v>31</v>
      </c>
      <c r="E1" s="47"/>
      <c r="F1" s="47"/>
      <c r="G1" s="45" t="s">
        <v>32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SUM(C4:C88)</f>
        <v>352484</v>
      </c>
      <c r="D2" s="6">
        <f>SUM(D4:D88)</f>
        <v>0</v>
      </c>
      <c r="E2" s="6">
        <f>C2-D2</f>
        <v>352484</v>
      </c>
      <c r="F2" s="7">
        <f>IFERROR(E2/D2, 0)</f>
        <v>0</v>
      </c>
      <c r="G2" s="6">
        <f>SUM(G4:G88)</f>
        <v>0</v>
      </c>
      <c r="H2" s="8">
        <f>C2-G2</f>
        <v>352484</v>
      </c>
      <c r="I2" s="7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352484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3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7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2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2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2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2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2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2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2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2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2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2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2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2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2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2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2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3.9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0"/>
  <sheetViews>
    <sheetView workbookViewId="0">
      <pane xSplit="2" ySplit="3" topLeftCell="C4" activePane="bottomRight" state="frozen"/>
      <selection pane="bottomRight" activeCell="H21" sqref="H20:H21"/>
      <selection pane="bottomLeft" activeCell="F19" sqref="F19"/>
      <selection pane="topRight" activeCell="F19" sqref="F19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Hubbardston Solar</v>
      </c>
      <c r="B1" s="46"/>
      <c r="C1" s="46"/>
      <c r="D1" s="47" t="s">
        <v>33</v>
      </c>
      <c r="E1" s="47"/>
      <c r="F1" s="47"/>
      <c r="G1" s="45" t="s">
        <v>34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SUM(C4:C88)</f>
        <v>348305</v>
      </c>
      <c r="D2" s="6">
        <f>SUM(D4:D88)</f>
        <v>0</v>
      </c>
      <c r="E2" s="6">
        <f>C2-D2</f>
        <v>348305</v>
      </c>
      <c r="F2" s="7">
        <f>IFERROR(E2/D2, 0)</f>
        <v>0</v>
      </c>
      <c r="G2" s="6">
        <f>SUM(G4:G88)</f>
        <v>0</v>
      </c>
      <c r="H2" s="8">
        <f>C2-G2</f>
        <v>348305</v>
      </c>
      <c r="I2" s="7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28.5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348305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2" t="s">
        <v>22</v>
      </c>
      <c r="H4" s="15" t="str">
        <f>IF(AND(ISNUMBER(C4),ISNUMBER(G4)), C4-G4, "")</f>
        <v/>
      </c>
      <c r="I4" s="16" t="str">
        <f>IFERROR(H4/G4, "")</f>
        <v/>
      </c>
      <c r="J4" s="39" t="s">
        <v>35</v>
      </c>
      <c r="K4" s="44" t="s">
        <v>36</v>
      </c>
    </row>
    <row r="5" spans="1:11" ht="15.7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2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2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2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2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2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2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2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2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2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2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2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2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2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2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2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3.9">
      <c r="C330" s="20"/>
      <c r="D330" s="20"/>
      <c r="E330" s="20"/>
      <c r="F330" s="21"/>
      <c r="G330" s="20"/>
      <c r="H330" s="20"/>
      <c r="I330" s="21"/>
      <c r="J330" s="20"/>
      <c r="K330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105290" xr:uid="{B2026051-083C-4A19-B9C2-0C58FD39D5F8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0"/>
  <sheetViews>
    <sheetView workbookViewId="0">
      <pane xSplit="2" ySplit="3" topLeftCell="C4" activePane="bottomRight" state="frozen"/>
      <selection pane="bottomRight" activeCell="H23" sqref="H23"/>
      <selection pane="bottomLeft" activeCell="F19" sqref="F19"/>
      <selection pane="topRight" activeCell="F19" sqref="F19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Hubbardston Solar</v>
      </c>
      <c r="B1" s="46"/>
      <c r="C1" s="46"/>
      <c r="D1" s="47" t="s">
        <v>37</v>
      </c>
      <c r="E1" s="47"/>
      <c r="F1" s="47"/>
      <c r="G1" s="45" t="s">
        <v>38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">Sites[Site]</f>
        <v>Hubbardston Solar</v>
      </c>
      <c r="B4" s="27" t="str" cm="1">
        <f t="array" ref="B4">Sites[State]</f>
        <v>MA</v>
      </c>
      <c r="C4" s="23" t="s">
        <v>39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2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7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2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2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2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2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2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2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2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2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2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2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2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2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2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2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2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3.9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9"/>
  <sheetViews>
    <sheetView tabSelected="1" workbookViewId="0">
      <pane xSplit="2" ySplit="3" topLeftCell="C4" activePane="bottomRight" state="frozen"/>
      <selection pane="bottomRight" activeCell="J16" sqref="J16"/>
      <selection pane="bottomLeft" activeCell="F19" sqref="F19"/>
      <selection pane="topRight" activeCell="F19" sqref="F19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Hubbardston Solar</v>
      </c>
      <c r="B1" s="46"/>
      <c r="C1" s="46"/>
      <c r="D1" s="47" t="s">
        <v>40</v>
      </c>
      <c r="E1" s="47"/>
      <c r="F1" s="47"/>
      <c r="G1" s="45" t="s">
        <v>41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SUM(C4:C87)</f>
        <v>293938</v>
      </c>
      <c r="D2" s="6">
        <f>SUM(D4:D87)</f>
        <v>0</v>
      </c>
      <c r="E2" s="6">
        <f>C2-D2</f>
        <v>293938</v>
      </c>
      <c r="F2" s="7">
        <f>IFERROR(E2/D2, 0)</f>
        <v>0</v>
      </c>
      <c r="G2" s="6">
        <f>SUM(G4:G87)</f>
        <v>0</v>
      </c>
      <c r="H2" s="8">
        <f>C2-G2</f>
        <v>293938</v>
      </c>
      <c r="I2" s="7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293938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3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2.75" customHeight="1">
      <c r="A5" s="20"/>
      <c r="B5" s="31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2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2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2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2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2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2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2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2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2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2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2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2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2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3.9">
      <c r="C329" s="20"/>
      <c r="D329" s="20"/>
      <c r="E329" s="20"/>
      <c r="F329" s="21"/>
      <c r="G329" s="20"/>
      <c r="H329" s="20"/>
      <c r="I329" s="21"/>
      <c r="J329" s="20"/>
      <c r="K329" s="20"/>
    </row>
  </sheetData>
  <mergeCells count="4">
    <mergeCell ref="G1:I1"/>
    <mergeCell ref="A1:C1"/>
    <mergeCell ref="D1:F1"/>
    <mergeCell ref="A2:B2"/>
  </mergeCells>
  <conditionalFormatting sqref="F2 I2 F4:F87 I4:I8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Hubbardston Solar</v>
      </c>
      <c r="B1" s="46"/>
      <c r="C1" s="46"/>
      <c r="D1" s="47" t="s">
        <v>42</v>
      </c>
      <c r="E1" s="47"/>
      <c r="F1" s="47"/>
      <c r="G1" s="45" t="s">
        <v>43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>
        <v>0</v>
      </c>
      <c r="E4" s="13" t="str">
        <f>IF(AND(ISNUMBER(C4),ISNUMBER(D4)), C4-D4, "")</f>
        <v/>
      </c>
      <c r="F4" s="14"/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7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2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2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2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2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2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2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2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2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2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2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2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2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2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2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2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3.9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Hubbardston Solar</v>
      </c>
      <c r="B1" s="46"/>
      <c r="C1" s="46"/>
      <c r="D1" s="47" t="s">
        <v>44</v>
      </c>
      <c r="E1" s="47"/>
      <c r="F1" s="47"/>
      <c r="G1" s="45" t="s">
        <v>45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7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2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2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2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2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2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2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2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2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2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2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2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2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2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2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2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3.9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Hubbardston Solar</v>
      </c>
      <c r="B1" s="46"/>
      <c r="C1" s="46"/>
      <c r="D1" s="47" t="s">
        <v>46</v>
      </c>
      <c r="E1" s="47"/>
      <c r="F1" s="47"/>
      <c r="G1" s="45" t="s">
        <v>47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75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2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2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2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2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2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2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2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2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2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2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2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2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2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2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2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2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3.9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9" sqref="B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48</v>
      </c>
      <c r="B1" t="s">
        <v>49</v>
      </c>
    </row>
    <row r="3" spans="1:7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7" ht="14.25">
      <c r="A4" s="3" t="s">
        <v>49</v>
      </c>
      <c r="B4" t="s">
        <v>49</v>
      </c>
      <c r="C4" s="4" t="s">
        <v>53</v>
      </c>
      <c r="E4" t="s">
        <v>54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8B11522D-68AC-4423-BD6B-392640F1AA1C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2026-02-20T19:38:11Z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2024-11-13T16:23:06Z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26934559-437f-48b2-b2fa-7eef60175897</vt:lpwstr>
  </property>
  <property fmtid="{D5CDD505-2E9C-101B-9397-08002B2CF9AE}" pid="9" name="MSIP_Label_9d817c99-0b37-4a07-8277-96aa1f96b74b_ContentBits">
    <vt:lpwstr>0</vt:lpwstr>
  </property>
</Properties>
</file>