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4450178B-F4D0-47EA-8644-D070C7E1A7EE}" xr6:coauthVersionLast="47" xr6:coauthVersionMax="47" xr10:uidLastSave="{AC6FD2CE-5338-4FE4-9CF0-546A1DE30117}"/>
  <bookViews>
    <workbookView xWindow="43080" yWindow="-120" windowWidth="29040" windowHeight="15720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1" l="1"/>
  <c r="I4" i="21" s="1"/>
  <c r="G4" i="30"/>
  <c r="G4" i="29"/>
  <c r="G4" i="18"/>
  <c r="G2" i="18" s="1"/>
  <c r="H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E4" i="21"/>
  <c r="F4" i="21" s="1"/>
  <c r="G2" i="21"/>
  <c r="D2" i="21"/>
  <c r="C2" i="21"/>
  <c r="A1" i="21" a="1"/>
  <c r="A1" i="21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<sst xmlns="http://schemas.openxmlformats.org/spreadsheetml/2006/main" count="257" uniqueCount="62">
  <si>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</si>
  <si>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</si>
  <si>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</si>
  <si>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</si>
  <si>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</si>
  <si>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</si>
  <si>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</si>
  <si>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</si>
  <si>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</si>
  <si>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</si>
  <si>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</si>
  <si>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</si>
  <si>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</si>
  <si>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</si>
  <si>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</si>
  <si>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</si>
  <si>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</si>
  <si>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</si>
  <si>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</si>
  <si>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</si>
  <si>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</si>
  <si>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</si>
  <si>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</si>
  <si>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Low generation due to rain/snow.</t>
  </si>
  <si>
    <t>February Actual v. Expected</t>
  </si>
  <si>
    <t>February Actual v. Forecasted</t>
  </si>
  <si>
    <t>1.Low generation due to weather/snow.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</si>
  <si>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</si>
  <si>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</si>
  <si>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</si>
  <si>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</si>
  <si>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</si>
  <si>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</si>
  <si>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</si>
  <si>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</si>
  <si>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1.Inverter 3 tripped offline at 17:18 on 06/23  and reporting "Residual current device" and is being RMA'd</t>
  </si>
  <si>
    <t>1. SR103352</t>
  </si>
  <si>
    <t>July Actual v. Expected</t>
  </si>
  <si>
    <t>July Actual v. Forecasted</t>
  </si>
  <si>
    <t>1. Inverter 3 is back online at 12:15 on 07/21.</t>
  </si>
  <si>
    <t>1.SR103352</t>
  </si>
  <si>
    <t>August Actual v. Expected</t>
  </si>
  <si>
    <t>August Actual v. Forecasted</t>
  </si>
  <si>
    <t>September Actual v. Expected</t>
  </si>
  <si>
    <t>September Actual v. Forecasted</t>
  </si>
  <si>
    <t>1. The meter has been capturing only half of the inverter's production since 15:15 on 09/12. After the technician replaced the blown fuse, meter is capturing as expected from 09:00 on 09/19.</t>
  </si>
  <si>
    <t>1. SR108211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</si>
  <si>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</si>
  <si>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</si>
  <si>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</si>
  <si>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</si>
  <si>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</si>
  <si>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</si>
  <si>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</si>
  <si>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111 Hayes Memorial Drive</t>
  </si>
  <si>
    <t>Site DAS Name</t>
  </si>
  <si>
    <t>Update</t>
  </si>
  <si>
    <t>DAS</t>
  </si>
  <si>
    <t>MA: Marlborough - 111 Hayes Memorial Dr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</si>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</sst>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49" fontId="35" fillId="38" borderId="0" xfId="45" applyNumberForma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3352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3352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8211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F4" sqref="F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111 Hayes Memorial Drive</v>
      </c>
      <c r="B1" s="51"/>
      <c r="C1" s="51"/>
      <c r="D1" s="52" t="s">
        <v>0</v>
      </c>
      <c r="E1" s="52"/>
      <c r="F1" s="52"/>
      <c r="G1" s="50" t="s">
        <v>1</v>
      </c>
      <c r="H1" s="50"/>
      <c r="I1" s="50"/>
    </row>
    <row r="2" spans="1:9" ht="19.5" customHeight="1">
      <c r="A2" s="53" t="s">
        <v>2</v>
      </c>
      <c r="B2" s="53"/>
      <c r="C2" s="5">
        <f>SUM(C4:C79)</f>
        <v>267796.99987499998</v>
      </c>
      <c r="D2" s="5">
        <f>SUM(D4:D79)</f>
        <v>0</v>
      </c>
      <c r="E2" s="5">
        <f>C2-D2</f>
        <v>267796.99987499998</v>
      </c>
      <c r="F2" s="6">
        <f>IFERROR(E2/D2, 0)</f>
        <v>0</v>
      </c>
      <c r="G2" s="5">
        <f>SUM(G4:G79)</f>
        <v>239996.992</v>
      </c>
      <c r="H2" s="7">
        <f>C2-G2</f>
        <v>27800.007874999981</v>
      </c>
      <c r="I2" s="6">
        <f>IFERROR(H2/G2, 0)</f>
        <v>0.11583481794221813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11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SUM('1st Qtr'!C4, '2nd Qtr'!C4, '3rd Qtr'!C4, '4th Qtr'!C4)</f>
        <v>267796.99987499998</v>
      </c>
      <c r="D4" s="12">
        <f>SUM('1st Qtr'!D4, '2nd Qtr'!D4, '3rd Qtr'!D4, '4th Qtr'!D4)</f>
        <v>0</v>
      </c>
      <c r="E4" s="12">
        <f>IF(AND(ISNUMBER(C4),ISNUMBER(D4)), C4-D4, "")</f>
        <v>267796.99987499998</v>
      </c>
      <c r="F4" s="13" t="str">
        <f>IFERROR(E4/D4, "")</f>
        <v/>
      </c>
      <c r="G4" s="14">
        <f>SUM('1st Qtr'!G4, '2nd Qtr'!G4, '3rd Qtr'!G4, '4th Qtr'!G4)</f>
        <v>239996.992</v>
      </c>
      <c r="H4" s="14">
        <f>SUM('1st Qtr'!H4, '2nd Qtr'!H4, '3rd Qtr'!H4, '4th Qtr'!H4)</f>
        <v>29622.359874999995</v>
      </c>
      <c r="I4" s="15">
        <f>IFERROR(H4/G4, "")</f>
        <v>0.12342804644401541</v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111 Hayes Memorial Drive</v>
      </c>
      <c r="B1" s="51"/>
      <c r="C1" s="51"/>
      <c r="D1" s="52" t="s">
        <v>10</v>
      </c>
      <c r="E1" s="52"/>
      <c r="F1" s="52"/>
      <c r="G1" s="50" t="s">
        <v>11</v>
      </c>
      <c r="H1" s="50"/>
      <c r="I1" s="50"/>
    </row>
    <row r="2" spans="1:9" ht="19.5" customHeight="1">
      <c r="A2" s="53" t="s">
        <v>2</v>
      </c>
      <c r="B2" s="53"/>
      <c r="C2" s="5">
        <f>SUM(C4:C79)</f>
        <v>48264.026874999996</v>
      </c>
      <c r="D2" s="5">
        <f>SUM(D4:D79)</f>
        <v>0</v>
      </c>
      <c r="E2" s="5">
        <f>C2-D2</f>
        <v>48264.026874999996</v>
      </c>
      <c r="F2" s="6">
        <f>IFERROR(E2/D2, 0)</f>
        <v>0</v>
      </c>
      <c r="G2" s="5">
        <f>SUM(G4:G79)</f>
        <v>69229.305999999997</v>
      </c>
      <c r="H2" s="7">
        <f>C2-G2</f>
        <v>-20965.279125000001</v>
      </c>
      <c r="I2" s="6">
        <f>IFERROR(H2/G2, 0)</f>
        <v>-0.30283821023715018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SUM(Jan!C4, Feb!C4, Mar!C4)</f>
        <v>48264.026874999996</v>
      </c>
      <c r="D4" s="12">
        <f>SUM(Jan!D4, Feb!D4, Mar!D4)</f>
        <v>0</v>
      </c>
      <c r="E4" s="12">
        <f>IF(AND(ISNUMBER(C4),ISNUMBER(D4)), C4-D4, "")</f>
        <v>48264.026874999996</v>
      </c>
      <c r="F4" s="13" t="str">
        <f>IFERROR(E4/D4, "")</f>
        <v/>
      </c>
      <c r="G4" s="14">
        <f>SUM(Jan!G4, Feb!G4, Mar!G4)</f>
        <v>69229.305999999997</v>
      </c>
      <c r="H4" s="14">
        <f>SUM(Jan!H4, Feb!H4, Mar!H4)</f>
        <v>-20965.279125000001</v>
      </c>
      <c r="I4" s="15">
        <f>IFERROR(H4/G4, "")</f>
        <v>-0.30283821023715018</v>
      </c>
    </row>
    <row r="5" spans="1:9" ht="14.25">
      <c r="A5" s="20"/>
      <c r="B5" s="1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111 Hayes Memorial Drive</v>
      </c>
      <c r="B1" s="51"/>
      <c r="C1" s="51"/>
      <c r="D1" s="52" t="s">
        <v>12</v>
      </c>
      <c r="E1" s="52"/>
      <c r="F1" s="52"/>
      <c r="G1" s="50" t="s">
        <v>13</v>
      </c>
      <c r="H1" s="50"/>
      <c r="I1" s="50"/>
    </row>
    <row r="2" spans="1:9" ht="19.5" customHeight="1">
      <c r="A2" s="53" t="s">
        <v>2</v>
      </c>
      <c r="B2" s="53"/>
      <c r="C2" s="5">
        <f>SUM(C4:C79)</f>
        <v>105641.473</v>
      </c>
      <c r="D2" s="5">
        <f>SUM(D4:D79)</f>
        <v>0</v>
      </c>
      <c r="E2" s="5">
        <f>C2-D2</f>
        <v>105641.473</v>
      </c>
      <c r="F2" s="6">
        <f>IFERROR(E2/D2, 0)</f>
        <v>0</v>
      </c>
      <c r="G2" s="5">
        <f>SUM(G4:G79)</f>
        <v>84267.028000000006</v>
      </c>
      <c r="H2" s="7">
        <f>C2-G2</f>
        <v>21374.444999999992</v>
      </c>
      <c r="I2" s="6">
        <f>IFERROR(H2/G2, 0)</f>
        <v>0.25365134510261822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SUM(Apr!C4, May!C4, Jun!C4)</f>
        <v>105641.473</v>
      </c>
      <c r="D4" s="12">
        <f>SUM(Apr!D4, May!D4, Jun!D4)</f>
        <v>0</v>
      </c>
      <c r="E4" s="12">
        <f>IF(AND(ISNUMBER(C4),ISNUMBER(D4)), C4-D4, "")</f>
        <v>105641.473</v>
      </c>
      <c r="F4" s="13" t="str">
        <f>IFERROR(E4/D4, "")</f>
        <v/>
      </c>
      <c r="G4" s="14">
        <f>SUM(Apr!G4,May!G4,Jun!G4)</f>
        <v>84267.028000000006</v>
      </c>
      <c r="H4" s="14">
        <f>SUM(Apr!H4, May!H4, Jun!H4)</f>
        <v>21374.444999999996</v>
      </c>
      <c r="I4" s="15">
        <f>IFERROR(H4/G4, "")</f>
        <v>0.25365134510261822</v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E23" sqref="E23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111 Hayes Memorial Drive</v>
      </c>
      <c r="B1" s="51"/>
      <c r="C1" s="51"/>
      <c r="D1" s="52" t="s">
        <v>14</v>
      </c>
      <c r="E1" s="52"/>
      <c r="F1" s="52"/>
      <c r="G1" s="50" t="s">
        <v>15</v>
      </c>
      <c r="H1" s="50"/>
      <c r="I1" s="50"/>
    </row>
    <row r="2" spans="1:9" ht="19.5" customHeight="1">
      <c r="A2" s="53" t="s">
        <v>2</v>
      </c>
      <c r="B2" s="53"/>
      <c r="C2" s="5">
        <f>SUM(C4:C79)</f>
        <v>113891.5</v>
      </c>
      <c r="D2" s="5">
        <f>SUM(D4:D79)</f>
        <v>0</v>
      </c>
      <c r="E2" s="5">
        <f>C2-D2</f>
        <v>113891.5</v>
      </c>
      <c r="F2" s="6">
        <f>IFERROR(E2/D2, 0)</f>
        <v>0</v>
      </c>
      <c r="G2" s="5">
        <f>SUM(G4:G79)</f>
        <v>86500.657999999996</v>
      </c>
      <c r="H2" s="7">
        <f>C2-G2</f>
        <v>27390.842000000004</v>
      </c>
      <c r="I2" s="6">
        <f>IFERROR(H2/G2, 0)</f>
        <v>0.31665472417562424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SUM(Jul!C4, Aug!C4, Sep!C4)</f>
        <v>113891.5</v>
      </c>
      <c r="D4" s="12">
        <f>SUM(Jul!D4, Aug!D4, Sep!D4)</f>
        <v>0</v>
      </c>
      <c r="E4" s="12">
        <f>IF(AND(ISNUMBER(C4),ISNUMBER(D4)), C4-D4, "")</f>
        <v>113891.5</v>
      </c>
      <c r="F4" s="13" t="str">
        <f>IFERROR(E4/D4, "")</f>
        <v/>
      </c>
      <c r="G4" s="14">
        <f>SUM(Jun!G4,Jul!G4,Aug!G4)</f>
        <v>86500.657999999996</v>
      </c>
      <c r="H4" s="14">
        <f>SUM(Jul!H4, Aug!H4, Sep!H4)</f>
        <v>29213.194</v>
      </c>
      <c r="I4" s="15">
        <f>IFERROR(H4/G4, "")</f>
        <v>0.33772221709573585</v>
      </c>
    </row>
    <row r="5" spans="1:9" ht="15.75">
      <c r="A5" s="16"/>
      <c r="B5" s="20"/>
      <c r="C5" s="20"/>
      <c r="D5" s="20"/>
      <c r="E5" s="20"/>
      <c r="F5" s="20"/>
      <c r="G5" s="20"/>
      <c r="H5" s="20"/>
      <c r="I5" s="20"/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 ht="15.75">
      <c r="A9" s="16"/>
      <c r="B9" s="20"/>
      <c r="C9" s="20"/>
      <c r="D9" s="20"/>
      <c r="E9" s="20"/>
      <c r="F9" s="20"/>
      <c r="G9" s="20"/>
      <c r="H9" s="20"/>
      <c r="I9" s="20"/>
    </row>
    <row r="10" spans="1:9" ht="15.75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D12" activePane="bottomRight" state="frozen"/>
      <selection pane="bottomRight" activeCell="D12" sqref="D12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111 Hayes Memorial Drive</v>
      </c>
      <c r="B1" s="51"/>
      <c r="C1" s="51"/>
      <c r="D1" s="52" t="s">
        <v>16</v>
      </c>
      <c r="E1" s="52"/>
      <c r="F1" s="52"/>
      <c r="G1" s="50" t="s">
        <v>17</v>
      </c>
      <c r="H1" s="50"/>
      <c r="I1" s="50"/>
    </row>
    <row r="2" spans="1:9" ht="19.5" customHeight="1">
      <c r="A2" s="53" t="s">
        <v>2</v>
      </c>
      <c r="B2" s="5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75">
      <c r="A5" s="16"/>
      <c r="B5" s="10"/>
      <c r="C5" s="40"/>
      <c r="D5" s="17"/>
      <c r="E5" s="17"/>
      <c r="F5" s="18"/>
      <c r="G5" s="19"/>
      <c r="H5" s="19"/>
      <c r="I5" s="18"/>
    </row>
    <row r="6" spans="1:9" ht="14.25">
      <c r="A6" s="20"/>
      <c r="B6" s="10"/>
      <c r="C6" s="40"/>
      <c r="D6" s="17"/>
      <c r="E6" s="17"/>
      <c r="F6" s="18"/>
      <c r="G6" s="19"/>
      <c r="H6" s="19"/>
      <c r="I6" s="18"/>
    </row>
    <row r="7" spans="1:9" ht="14.25">
      <c r="A7" s="20"/>
      <c r="B7" s="10"/>
      <c r="C7" s="40"/>
      <c r="D7" s="17"/>
      <c r="E7" s="17"/>
      <c r="F7" s="18"/>
      <c r="G7" s="19"/>
      <c r="H7" s="19"/>
      <c r="I7" s="18"/>
    </row>
    <row r="8" spans="1:9" ht="14.25">
      <c r="A8" s="20"/>
      <c r="B8" s="10"/>
      <c r="C8" s="40"/>
      <c r="D8" s="17"/>
      <c r="E8" s="17"/>
      <c r="F8" s="18"/>
      <c r="G8" s="19"/>
      <c r="H8" s="19"/>
      <c r="I8" s="18"/>
    </row>
    <row r="9" spans="1:9" ht="14.25">
      <c r="A9" s="20"/>
      <c r="B9" s="10"/>
      <c r="C9" s="40"/>
      <c r="D9" s="17"/>
      <c r="E9" s="17"/>
      <c r="F9" s="18"/>
      <c r="G9" s="19"/>
      <c r="H9" s="19"/>
      <c r="I9" s="18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zoomScale="80" zoomScaleNormal="80" workbookViewId="0">
      <pane xSplit="2" ySplit="3" topLeftCell="C4" activePane="bottomRight" state="frozen"/>
      <selection pane="bottomRight" activeCell="E7" sqref="E7"/>
      <selection pane="bottomLeft" activeCell="J20" sqref="J20"/>
      <selection pane="topRight" activeCell="J20" sqref="J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18</v>
      </c>
      <c r="E1" s="52"/>
      <c r="F1" s="52"/>
      <c r="G1" s="50" t="s">
        <v>19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10839.375</v>
      </c>
      <c r="D2" s="5">
        <f>SUM(D4:D78)</f>
        <v>0</v>
      </c>
      <c r="E2" s="5">
        <f>C2-D2</f>
        <v>10839.375</v>
      </c>
      <c r="F2" s="6">
        <f>IFERROR(E2/D2, 0)</f>
        <v>0</v>
      </c>
      <c r="G2" s="5">
        <f>SUM(G4:G78)</f>
        <v>18979.806</v>
      </c>
      <c r="H2" s="7">
        <f>C2-G2</f>
        <v>-8140.4310000000005</v>
      </c>
      <c r="I2" s="6">
        <f>IFERROR(H2/G2, 0)</f>
        <v>-0.42889958938463335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6" t="s">
        <v>5</v>
      </c>
      <c r="D3" s="47" t="s">
        <v>6</v>
      </c>
      <c r="E3" s="31" t="s">
        <v>7</v>
      </c>
      <c r="F3" s="32" t="s">
        <v>8</v>
      </c>
      <c r="G3" s="48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5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10839.375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18979.806</v>
      </c>
      <c r="H4" s="14">
        <f>IF(AND(ISNUMBER(C4),ISNUMBER(G4)), C4-G4, "")</f>
        <v>-8140.4310000000005</v>
      </c>
      <c r="I4" s="15">
        <f>IFERROR(H4/G4, "")</f>
        <v>-0.42889958938463335</v>
      </c>
      <c r="J4" s="36" t="s">
        <v>23</v>
      </c>
      <c r="K4" s="36"/>
    </row>
    <row r="5" spans="1:11" ht="14.2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78 I4:I7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zoomScale="70" zoomScaleNormal="70" workbookViewId="0">
      <pane xSplit="2" ySplit="3" topLeftCell="E4" activePane="bottomRight" state="frozen"/>
      <selection pane="bottomRight" activeCell="E17" sqref="E17"/>
      <selection pane="bottomLeft" activeCell="J20" sqref="J20"/>
      <selection pane="topRight" activeCell="J20" sqref="J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24</v>
      </c>
      <c r="E1" s="52"/>
      <c r="F1" s="52"/>
      <c r="G1" s="50" t="s">
        <v>25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6484.875</v>
      </c>
      <c r="D2" s="5">
        <f>SUM(D4:D79)</f>
        <v>0</v>
      </c>
      <c r="E2" s="5">
        <f>C2-D2</f>
        <v>6484.875</v>
      </c>
      <c r="F2" s="6">
        <f>IFERROR(E2/D2, 0)</f>
        <v>0</v>
      </c>
      <c r="G2" s="5">
        <f>SUM(G4:G79)</f>
        <v>21502.5</v>
      </c>
      <c r="H2" s="7">
        <f>C2-G2</f>
        <v>-15017.625</v>
      </c>
      <c r="I2" s="6">
        <f>IFERROR(H2/G2, 0)</f>
        <v>-0.69841297523543777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5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6484.875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21502.5</v>
      </c>
      <c r="H4" s="14">
        <f>IF(AND(ISNUMBER(C4),ISNUMBER(G4)), C4-G4, "")</f>
        <v>-15017.625</v>
      </c>
      <c r="I4" s="15">
        <f>IFERROR(H4/G4, "")</f>
        <v>-0.69841297523543777</v>
      </c>
      <c r="J4" s="36" t="s">
        <v>26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H16" sqref="H16"/>
      <selection pane="bottomLeft" activeCell="J20" sqref="J20"/>
      <selection pane="topRight" activeCell="J20" sqref="J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27</v>
      </c>
      <c r="E1" s="52"/>
      <c r="F1" s="52"/>
      <c r="G1" s="50" t="s">
        <v>28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30939.776875</v>
      </c>
      <c r="D2" s="5">
        <f>SUM(D4:D79)</f>
        <v>0</v>
      </c>
      <c r="E2" s="5">
        <f>C2-D2</f>
        <v>30939.776875</v>
      </c>
      <c r="F2" s="6">
        <f>IFERROR(E2/D2, 0)</f>
        <v>0</v>
      </c>
      <c r="G2" s="5">
        <f>SUM(G4:G79)</f>
        <v>28747</v>
      </c>
      <c r="H2" s="7">
        <f>C2-G2</f>
        <v>2192.7768749999996</v>
      </c>
      <c r="I2" s="6">
        <f>IFERROR(H2/G2, 0)</f>
        <v>7.6278459491425171E-2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30939.776875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28747</v>
      </c>
      <c r="H4" s="14">
        <f>IF(AND(ISNUMBER(C4),ISNUMBER(G4)), C4-G4, "")</f>
        <v>2192.7768749999996</v>
      </c>
      <c r="I4" s="15">
        <f>IFERROR(H4/G4, "")</f>
        <v>7.6278459491425171E-2</v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J20" sqref="J20"/>
      <selection pane="topRight" activeCell="J20" sqref="J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29</v>
      </c>
      <c r="E1" s="52"/>
      <c r="F1" s="52"/>
      <c r="G1" s="50" t="s">
        <v>30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34577.972999999998</v>
      </c>
      <c r="D2" s="5">
        <f>SUM(D4:D79)</f>
        <v>0</v>
      </c>
      <c r="E2" s="5">
        <f>C2-D2</f>
        <v>34577.972999999998</v>
      </c>
      <c r="F2" s="6">
        <f>IFERROR(E2/D2, 0)</f>
        <v>0</v>
      </c>
      <c r="G2" s="5">
        <f>SUM(G4:G79)</f>
        <v>27642.437000000002</v>
      </c>
      <c r="H2" s="7">
        <f>C2-G2</f>
        <v>6935.5359999999964</v>
      </c>
      <c r="I2" s="6">
        <f>IFERROR(H2/G2, 0)</f>
        <v>0.250901756599825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51.75" customHeight="1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34577.972999999998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27642.437000000002</v>
      </c>
      <c r="H4" s="14">
        <f>IF(AND(ISNUMBER(C4),ISNUMBER(G4)), C4-G4, "")</f>
        <v>6935.5359999999964</v>
      </c>
      <c r="I4" s="15">
        <f>IFERROR(H4/G4, "")</f>
        <v>0.250901756599825</v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E12" sqref="E12"/>
      <selection pane="bottomLeft" activeCell="J20" sqref="J20"/>
      <selection pane="topRight" activeCell="J20" sqref="J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31</v>
      </c>
      <c r="E1" s="52"/>
      <c r="F1" s="52"/>
      <c r="G1" s="50" t="s">
        <v>32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32481.75</v>
      </c>
      <c r="D2" s="5">
        <f>SUM(D4:D79)</f>
        <v>0</v>
      </c>
      <c r="E2" s="5">
        <f>C2-D2</f>
        <v>32481.75</v>
      </c>
      <c r="F2" s="6">
        <f>IFERROR(E2/D2, 0)</f>
        <v>0</v>
      </c>
      <c r="G2" s="5">
        <f>SUM(G4:G79)</f>
        <v>29104.739000000001</v>
      </c>
      <c r="H2" s="7">
        <f>C2-G2</f>
        <v>3377.0109999999986</v>
      </c>
      <c r="I2" s="6">
        <f>IFERROR(H2/G2, 0)</f>
        <v>0.11602959229423079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32481.75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29104.739000000001</v>
      </c>
      <c r="H4" s="14">
        <f>IF(AND(ISNUMBER(C4),ISNUMBER(G4)), C4-G4, "")</f>
        <v>3377.0109999999986</v>
      </c>
      <c r="I4" s="15">
        <f>IFERROR(H4/G4, "")</f>
        <v>0.11602959229423079</v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K4" sqref="K4"/>
      <selection pane="bottomLeft" activeCell="J20" sqref="J20"/>
      <selection pane="topRight" activeCell="J20" sqref="J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33</v>
      </c>
      <c r="E1" s="52"/>
      <c r="F1" s="52"/>
      <c r="G1" s="50" t="s">
        <v>34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38581.75</v>
      </c>
      <c r="D2" s="5">
        <f>SUM(D4:D79)</f>
        <v>0</v>
      </c>
      <c r="E2" s="5">
        <f>C2-D2</f>
        <v>38581.75</v>
      </c>
      <c r="F2" s="6">
        <f>IFERROR(E2/D2, 0)</f>
        <v>0</v>
      </c>
      <c r="G2" s="5">
        <f>SUM(G4:G79)</f>
        <v>27519.851999999999</v>
      </c>
      <c r="H2" s="7">
        <f>C2-G2</f>
        <v>11061.898000000001</v>
      </c>
      <c r="I2" s="6">
        <f>IFERROR(H2/G2, 0)</f>
        <v>0.4019606646140394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38581.75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27519.851999999999</v>
      </c>
      <c r="H4" s="14">
        <f>IF(AND(ISNUMBER(C4),ISNUMBER(G4)), C4-G4, "")</f>
        <v>11061.898000000001</v>
      </c>
      <c r="I4" s="15">
        <f>IFERROR(H4/G4, "")</f>
        <v>0.4019606646140394</v>
      </c>
      <c r="J4" s="36" t="s">
        <v>35</v>
      </c>
      <c r="K4" s="49" t="s">
        <v>36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3352" xr:uid="{FDAC8392-52F9-49A5-BE65-3CCA5917639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K4" sqref="K4"/>
      <selection pane="bottomLeft" activeCell="J20" sqref="J20"/>
      <selection pane="topRight" activeCell="J20" sqref="J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37</v>
      </c>
      <c r="E1" s="52"/>
      <c r="F1" s="52"/>
      <c r="G1" s="50" t="s">
        <v>38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39260.25</v>
      </c>
      <c r="D2" s="5">
        <f>SUM(D4:D79)</f>
        <v>0</v>
      </c>
      <c r="E2" s="5">
        <f>C2-D2</f>
        <v>39260.25</v>
      </c>
      <c r="F2" s="6">
        <f>IFERROR(E2/D2, 0)</f>
        <v>0</v>
      </c>
      <c r="G2" s="5">
        <f>SUM(G4:G79)</f>
        <v>29818.016</v>
      </c>
      <c r="H2" s="7">
        <f>C2-G2</f>
        <v>9442.2340000000004</v>
      </c>
      <c r="I2" s="6">
        <f>IFERROR(H2/G2, 0)</f>
        <v>0.31666204753528876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39260.25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29818.016</v>
      </c>
      <c r="H4" s="14">
        <f>IF(AND(ISNUMBER(C4),ISNUMBER(G4)), C4-G4, "")</f>
        <v>9442.2340000000004</v>
      </c>
      <c r="I4" s="15">
        <f>IFERROR(H4/G4, "")</f>
        <v>0.31666204753528876</v>
      </c>
      <c r="J4" s="36" t="s">
        <v>39</v>
      </c>
      <c r="K4" s="49" t="s">
        <v>40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103352" xr:uid="{B4093B6E-4C43-4164-852E-7AC96B10CC4F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10" sqref="J10"/>
      <selection pane="bottomLeft" activeCell="J20" sqref="J20"/>
      <selection pane="topRight" activeCell="J20" sqref="J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41</v>
      </c>
      <c r="E1" s="52"/>
      <c r="F1" s="52"/>
      <c r="G1" s="50" t="s">
        <v>42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43750</v>
      </c>
      <c r="D2" s="5">
        <f>SUM(D4:D79)</f>
        <v>0</v>
      </c>
      <c r="E2" s="5">
        <f>C2-D2</f>
        <v>43750</v>
      </c>
      <c r="F2" s="6">
        <f>IFERROR(E2/D2, 0)</f>
        <v>0</v>
      </c>
      <c r="G2" s="5">
        <f>SUM(G4:G79)</f>
        <v>29162.79</v>
      </c>
      <c r="H2" s="7">
        <f>C2-G2</f>
        <v>14587.21</v>
      </c>
      <c r="I2" s="6">
        <f>IFERROR(H2/G2, 0)</f>
        <v>0.500199397931405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43750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29162.79</v>
      </c>
      <c r="H4" s="14">
        <f>IF(AND(ISNUMBER(C4),ISNUMBER(G4)), C4-G4, "")</f>
        <v>14587.21</v>
      </c>
      <c r="I4" s="15">
        <f>IFERROR(H4/G4, "")</f>
        <v>0.500199397931405</v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tabSelected="1" zoomScale="80" zoomScaleNormal="80" workbookViewId="0">
      <pane xSplit="2" ySplit="3" topLeftCell="C4" activePane="bottomRight" state="frozen"/>
      <selection pane="bottomRight" activeCell="H30" sqref="H30"/>
      <selection pane="bottomLeft" activeCell="J20" sqref="J20"/>
      <selection pane="topRight" activeCell="J20" sqref="J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43</v>
      </c>
      <c r="E1" s="52"/>
      <c r="F1" s="52"/>
      <c r="G1" s="50" t="s">
        <v>44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30881.25</v>
      </c>
      <c r="D2" s="5">
        <f>SUM(D4:D79)</f>
        <v>0</v>
      </c>
      <c r="E2" s="5">
        <f>C2-D2</f>
        <v>30881.25</v>
      </c>
      <c r="F2" s="6">
        <f>IFERROR(E2/D2, 0)</f>
        <v>0</v>
      </c>
      <c r="G2" s="5">
        <f>SUM(G4:G79)</f>
        <v>25697.5</v>
      </c>
      <c r="H2" s="7">
        <f>C2-G2</f>
        <v>5183.75</v>
      </c>
      <c r="I2" s="6">
        <f>IFERROR(H2/G2, 0)</f>
        <v>0.20172195738885104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2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30881.25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25697.5</v>
      </c>
      <c r="H4" s="14">
        <f>IF(AND(ISNUMBER(C4),ISNUMBER(G4)), C4-G4, "")</f>
        <v>5183.75</v>
      </c>
      <c r="I4" s="15">
        <f>IFERROR(H4/G4, "")</f>
        <v>0.20172195738885104</v>
      </c>
      <c r="J4" s="36" t="s">
        <v>45</v>
      </c>
      <c r="K4" s="49" t="s">
        <v>46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hyperlinks>
    <hyperlink ref="K4" r:id="rId1" display="https://us3.assetplanner.com/service_request?ID=108211" xr:uid="{A57DC5A3-605E-4594-953A-35CC3A4C1AE2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20" sqref="J20"/>
      <selection pane="bottomLeft" activeCell="J20" sqref="J20"/>
      <selection pane="topRight" activeCell="J20" sqref="J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47</v>
      </c>
      <c r="E1" s="52"/>
      <c r="F1" s="52"/>
      <c r="G1" s="50" t="s">
        <v>48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20" sqref="J20"/>
      <selection pane="bottomLeft" activeCell="J20" sqref="J20"/>
      <selection pane="topRight" activeCell="J20" sqref="J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49</v>
      </c>
      <c r="E1" s="52"/>
      <c r="F1" s="52"/>
      <c r="G1" s="50" t="s">
        <v>50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20" sqref="J20"/>
      <selection pane="bottomLeft" activeCell="J10" sqref="J10"/>
      <selection pane="topRight" activeCell="J10" sqref="J1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51</v>
      </c>
      <c r="E1" s="52"/>
      <c r="F1" s="52"/>
      <c r="G1" s="50" t="s">
        <v>52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53</v>
      </c>
      <c r="B1" t="s">
        <v>54</v>
      </c>
    </row>
    <row r="3" spans="1:12">
      <c r="A3" t="s">
        <v>55</v>
      </c>
      <c r="B3" t="s">
        <v>3</v>
      </c>
      <c r="C3" t="s">
        <v>4</v>
      </c>
      <c r="D3" t="s">
        <v>56</v>
      </c>
      <c r="E3" s="2" t="s">
        <v>57</v>
      </c>
    </row>
    <row r="4" spans="1:12" ht="14.25">
      <c r="A4" s="44" t="s">
        <v>54</v>
      </c>
      <c r="B4" t="s">
        <v>58</v>
      </c>
      <c r="C4" s="42" t="s">
        <v>59</v>
      </c>
      <c r="D4" s="41" t="s">
        <v>60</v>
      </c>
      <c r="E4" t="s">
        <v>61</v>
      </c>
      <c r="G4" s="3"/>
    </row>
    <row r="5" spans="1:12" ht="14.25">
      <c r="A5" s="44"/>
      <c r="C5" s="42"/>
      <c r="D5" s="41"/>
      <c r="G5" s="3"/>
    </row>
    <row r="6" spans="1:12" ht="14.2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1475A161-3005-4F2D-96BA-46B6DB14ABE5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Boughman, Kaylin</cp:lastModifiedBy>
  <cp:revision/>
  <dcterms:created xsi:type="dcterms:W3CDTF">2021-01-01T16:39:53Z</dcterms:created>
  <dcterms:modified xsi:type="dcterms:W3CDTF">2025-10-29T23:04:57Z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2025-10-29T22:56:41Z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19b36d7f-4bc3-43da-8660-d8a7b8fdb82a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