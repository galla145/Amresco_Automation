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3BEB242-3A62-463A-9910-7B8189CE583E}" xr6:coauthVersionLast="47" xr6:coauthVersionMax="47" xr10:uidLastSave="{00000000-0000-0000-0000-000000000000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H2" i="28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<sst xmlns="http://schemas.openxmlformats.org/spreadsheetml/2006/main" count="257" uniqueCount="61">
  <si>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</si>
  <si>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</si>
  <si>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</si>
  <si>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</si>
  <si>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</si>
  <si>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</si>
  <si>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</si>
  <si>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</si>
  <si>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</si>
  <si>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</si>
  <si>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</si>
  <si>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</si>
  <si>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</si>
  <si>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</si>
  <si>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</si>
  <si>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</si>
  <si>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</si>
  <si>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</si>
  <si>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</si>
  <si>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</si>
  <si>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</si>
  <si>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</si>
  <si>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</si>
  <si>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</si>
  <si>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</si>
  <si>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</si>
  <si>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</si>
  <si>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</si>
  <si>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</si>
  <si>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</si>
  <si>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</si>
  <si>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</si>
  <si>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</si>
  <si>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1.Expected energy data reporting intermittently throughout the month due to site communication issue</t>
  </si>
  <si>
    <t>1.SR092283</t>
  </si>
  <si>
    <t>May Actual v. Expected</t>
  </si>
  <si>
    <t>May Actual v. Forecasted</t>
  </si>
  <si>
    <t>1. SR092283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</si>
  <si>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</si>
  <si>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</si>
  <si>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</si>
  <si>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</si>
  <si>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</si>
  <si>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</si>
  <si>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</si>
  <si>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</si>
  <si>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N/A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</si>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</sst>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09228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2283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D4" sqref="D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SUM(C4:C60)</f>
        <v>227337.46499999997</v>
      </c>
      <c r="D2" s="6">
        <f>SUM(D4:D60)</f>
        <v>156508.852139</v>
      </c>
      <c r="E2" s="6">
        <f>C2-D2</f>
        <v>70828.612860999972</v>
      </c>
      <c r="F2" s="7">
        <f>IFERROR(E2/D2, 0)</f>
        <v>0.45255339805377304</v>
      </c>
      <c r="G2" s="6">
        <f>SUM(G4:G60)</f>
        <v>0</v>
      </c>
      <c r="H2" s="8">
        <f>C2-G2</f>
        <v>227337.46499999997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227337.46499999997</v>
      </c>
      <c r="D4" s="14">
        <f>SUM('1st Qtr'!D4, '2nd Qtr'!D4, '3rd Qtr'!D4, '4th Qtr'!D4)</f>
        <v>156508.852139</v>
      </c>
      <c r="E4" s="14">
        <f>IF(AND(ISNUMBER(C4),ISNUMBER(D4)), C4-D4, "")</f>
        <v>70828.612860999972</v>
      </c>
      <c r="F4" s="15">
        <f>IFERROR(E4/D4, "")</f>
        <v>0.45255339805377304</v>
      </c>
      <c r="G4" s="16">
        <f>SUM('1st Qtr'!G4,'2nd Qtr'!G4,'3rd Qtr'!G4,'4th Qtr'!G4)</f>
        <v>0</v>
      </c>
      <c r="H4" s="16">
        <f>SUM('1st Qtr'!H4, '2nd Qtr'!H4, '3rd Qtr'!H4, '4th Qtr'!H4)</f>
        <v>201272.39499999999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C4" sqref="C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L16" sqref="L16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SUM(C4:C90)</f>
        <v>88768.422999999995</v>
      </c>
      <c r="D2" s="6">
        <f>SUM(D4:D90)</f>
        <v>37069.85</v>
      </c>
      <c r="E2" s="6">
        <f>C2-D2</f>
        <v>51698.572999999997</v>
      </c>
      <c r="F2" s="7">
        <f>IFERROR(E2/D2, 0)</f>
        <v>1.3946259021819618</v>
      </c>
      <c r="G2" s="6">
        <f>SUM(G4:G90)</f>
        <v>0</v>
      </c>
      <c r="H2" s="8">
        <f>C2-G2</f>
        <v>88768.422999999995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88768.422999999995</v>
      </c>
      <c r="D4" s="14">
        <f>SUM(Apr!D4, May!D4, Jun!D4)</f>
        <v>37069.85</v>
      </c>
      <c r="E4" s="14">
        <f>IF(AND(ISNUMBER(C4),ISNUMBER(D4)), C4-D4, "")</f>
        <v>51698.572999999997</v>
      </c>
      <c r="F4" s="15">
        <f>IFERROR(E4/D4, "")</f>
        <v>1.3946259021819618</v>
      </c>
      <c r="G4" s="16">
        <f>SUM(Apr!G4+May!G4+Jun!G4)</f>
        <v>0</v>
      </c>
      <c r="H4" s="16">
        <f>SUM(Apr!H4, May!H4, Jun!H4)</f>
        <v>88768.422999999995</v>
      </c>
      <c r="I4" s="17" t="str">
        <f>IFERROR(H4/G4, "")</f>
        <v/>
      </c>
    </row>
    <row r="5" spans="1:9" ht="15.6" x14ac:dyDescent="0.25">
      <c r="A5" s="19"/>
      <c r="B5" s="11"/>
      <c r="C5" s="12"/>
      <c r="D5" s="20"/>
      <c r="E5" s="20"/>
      <c r="F5" s="21"/>
      <c r="G5" s="22"/>
      <c r="H5" s="22"/>
      <c r="I5" s="21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G5" sqref="G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97315.948999999993</v>
      </c>
      <c r="D2" s="6">
        <f>SUM(D4:D89)</f>
        <v>79082.988138999994</v>
      </c>
      <c r="E2" s="6">
        <f>C2-D2</f>
        <v>18232.960861</v>
      </c>
      <c r="F2" s="7">
        <f>IFERROR(E2/D2, 0)</f>
        <v>0.23055477910056821</v>
      </c>
      <c r="G2" s="6">
        <f>SUM(G4:G89)</f>
        <v>0</v>
      </c>
      <c r="H2" s="8">
        <f>C2-G2</f>
        <v>97315.948999999993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97315.948999999993</v>
      </c>
      <c r="D4" s="14">
        <f>SUM(Jul!D4, Aug!D4, Sep!D4)</f>
        <v>79082.988138999994</v>
      </c>
      <c r="E4" s="14">
        <f>IF(AND(ISNUMBER(C4),ISNUMBER(D4)), C4-D4, "")</f>
        <v>18232.960861</v>
      </c>
      <c r="F4" s="15">
        <f>IFERROR(E4/D4, "")</f>
        <v>0.23055477910056821</v>
      </c>
      <c r="G4" s="16">
        <f>SUM(Jul!G4, Aug!G4, Sep!G4)</f>
        <v>0</v>
      </c>
      <c r="H4" s="16">
        <f>SUM(Jul!H4, Aug!H4, Sep!H4)</f>
        <v>71250.879000000001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9" sqref="E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J20" sqref="J20"/>
      <selection pane="bottomLeft" activeCell="H12" sqref="H12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activeCell="E23" sqref="E23"/>
      <selection pane="bottomLeft" activeCell="J14" sqref="J1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" x14ac:dyDescent="0.3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activeCell="H22" sqref="H22"/>
      <selection pane="bottomLeft" activeCell="J17" sqref="J1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47" t="str" cm="1">
        <f t="array" ref="A1">portfolio</f>
        <v>RMR Group</v>
      </c>
      <c r="B1" s="47"/>
      <c r="C1" s="47"/>
      <c r="D1" s="48" t="s">
        <v>26</v>
      </c>
      <c r="E1" s="48"/>
      <c r="F1" s="48"/>
      <c r="G1" s="46" t="s">
        <v>27</v>
      </c>
      <c r="H1" s="46"/>
      <c r="I1" s="46"/>
      <c r="J1" s="5"/>
      <c r="K1" s="5"/>
    </row>
    <row r="2" spans="1:12" ht="19.5" customHeight="1" x14ac:dyDescent="0.25">
      <c r="A2" s="49" t="s">
        <v>2</v>
      </c>
      <c r="B2" s="49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C1" zoomScaleNormal="100" workbookViewId="0">
      <pane ySplit="2" topLeftCell="A3" activePane="bottomLeft" state="frozen"/>
      <selection activeCell="E23" sqref="E23"/>
      <selection pane="bottomLeft" activeCell="H16" sqref="H16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28950.2</v>
      </c>
      <c r="D4" s="14"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44">
        <v>0</v>
      </c>
      <c r="H4" s="16">
        <f>IF(AND(ISNUMBER(C4),ISNUMBER(G4)), C4-G4, "")</f>
        <v>28950.2</v>
      </c>
      <c r="I4" s="17" t="str">
        <f>IFERROR(H4/G4, "")</f>
        <v/>
      </c>
      <c r="J4" s="18" t="s">
        <v>33</v>
      </c>
      <c r="K4" s="42" t="s">
        <v>34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092283" xr:uid="{76A249B6-AEF1-4C9C-94D6-23E7DB8E970A}"/>
  </hyperlinks>
  <pageMargins left="0.4" right="0.7" top="0.25" bottom="0.25" header="0.3" footer="0.3"/>
  <pageSetup scale="56" fitToHeight="9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activeCell="E23" sqref="E23"/>
      <selection pane="bottomLeft" activeCell="J17" sqref="J1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35</v>
      </c>
      <c r="E1" s="48"/>
      <c r="F1" s="48"/>
      <c r="G1" s="46" t="s">
        <v>36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27649.523000000001</v>
      </c>
      <c r="D2" s="6">
        <f>SUM(D4:D90)</f>
        <v>8317.7000000000007</v>
      </c>
      <c r="E2" s="6">
        <f>C2-D2</f>
        <v>19331.823</v>
      </c>
      <c r="F2" s="7">
        <f>IFERROR(E2/D2, 0)</f>
        <v>2.3241789196532694</v>
      </c>
      <c r="G2" s="6">
        <f>SUM(G4:G90)</f>
        <v>0</v>
      </c>
      <c r="H2" s="8">
        <f>C2-G2</f>
        <v>27649.523000000001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27649.523000000001</v>
      </c>
      <c r="D4" s="14">
        <v>8317.7000000000007</v>
      </c>
      <c r="E4" s="14">
        <f>IF(AND(ISNUMBER(C4),ISNUMBER(D4)), C4-D4, "")</f>
        <v>19331.823</v>
      </c>
      <c r="F4" s="15">
        <f>IFERROR(E4/D4, "")</f>
        <v>2.3241789196532694</v>
      </c>
      <c r="G4" s="44">
        <v>0</v>
      </c>
      <c r="H4" s="16">
        <f>IF(AND(ISNUMBER(C4),ISNUMBER(G4)), C4-G4, "")</f>
        <v>27649.523000000001</v>
      </c>
      <c r="I4" s="17" t="str">
        <f>IFERROR(H4/G4, "")</f>
        <v/>
      </c>
      <c r="J4" s="18" t="s">
        <v>33</v>
      </c>
      <c r="K4" s="42" t="s">
        <v>37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092283" xr:uid="{AAFFE0AE-8CBF-4EE1-917C-43E3AA82AAF9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activeCell="E23" sqref="E23"/>
      <selection pane="bottomLeft" activeCell="H20" sqref="H19:H20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32168.7</v>
      </c>
      <c r="D2" s="6">
        <f>SUM(D4:D90)</f>
        <v>23446.959999999999</v>
      </c>
      <c r="E2" s="6">
        <f>C2-D2</f>
        <v>8721.7400000000016</v>
      </c>
      <c r="F2" s="7">
        <f>IFERROR(E2/D2, 0)</f>
        <v>0.37197743332184652</v>
      </c>
      <c r="G2" s="6">
        <f>SUM(G4:G90)</f>
        <v>0</v>
      </c>
      <c r="H2" s="8">
        <f>C2-G2</f>
        <v>32168.7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32168.7</v>
      </c>
      <c r="D4" s="14">
        <v>23446.959999999999</v>
      </c>
      <c r="E4" s="14">
        <f>IF(AND(ISNUMBER(C4),ISNUMBER(D4)), C4-D4, "")</f>
        <v>8721.7400000000016</v>
      </c>
      <c r="F4" s="15">
        <f>IFERROR(E4/D4, "")</f>
        <v>0.37197743332184652</v>
      </c>
      <c r="G4" s="45">
        <v>0</v>
      </c>
      <c r="H4" s="16">
        <f>IF(AND(ISNUMBER(C4),ISNUMBER(G4)), C4-G4, "")</f>
        <v>32168.7</v>
      </c>
      <c r="I4" s="17" t="str">
        <f>IFERROR(H4/G4, "")</f>
        <v/>
      </c>
      <c r="J4" s="18" t="s">
        <v>33</v>
      </c>
      <c r="K4" s="42" t="s">
        <v>37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092283" xr:uid="{C9E70AA1-707C-44BB-B59A-EFD8644008EF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zoomScale="80" zoomScaleNormal="80" workbookViewId="0">
      <pane ySplit="2" topLeftCell="A3" activePane="bottomLeft" state="frozen"/>
      <selection activeCell="E23" sqref="E23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35625.478999999999</v>
      </c>
      <c r="D2" s="6">
        <f>SUM(D4:D90)</f>
        <v>28464.798138999999</v>
      </c>
      <c r="E2" s="6">
        <f>C2-D2</f>
        <v>7160.6808610000007</v>
      </c>
      <c r="F2" s="7">
        <f>IFERROR(E2/D2, 0)</f>
        <v>0.25156267843645996</v>
      </c>
      <c r="G2" s="6">
        <f>SUM(G4:G90)</f>
        <v>0</v>
      </c>
      <c r="H2" s="8">
        <f>C2-G2</f>
        <v>35625.478999999999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35625.478999999999</v>
      </c>
      <c r="D4" s="14">
        <v>28464.798138999999</v>
      </c>
      <c r="E4" s="14">
        <f>IF(AND(ISNUMBER(C4),ISNUMBER(D4)), C4-D4, "")</f>
        <v>7160.6808610000007</v>
      </c>
      <c r="F4" s="15">
        <f>IFERROR(E4/D4, "")</f>
        <v>0.25156267843645996</v>
      </c>
      <c r="G4" s="44">
        <v>0</v>
      </c>
      <c r="H4" s="16">
        <f>IF(AND(ISNUMBER(C4),ISNUMBER(G4)), C4-G4, "")</f>
        <v>35625.478999999999</v>
      </c>
      <c r="I4" s="17" t="str">
        <f>IFERROR(H4/G4, "")</f>
        <v/>
      </c>
      <c r="J4" s="18" t="s">
        <v>33</v>
      </c>
      <c r="K4" s="42" t="s">
        <v>34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hyperlinks>
    <hyperlink ref="K4" r:id="rId1" display="https://us3.assetplanner.com/service_request?ID=092283" xr:uid="{EC859F7E-81E1-4C2C-AD68-09B99E73DBF4}"/>
  </hyperlinks>
  <pageMargins left="0.4" right="0.7" top="0.25" bottom="0.25" header="0.3" footer="0.3"/>
  <pageSetup scale="56" fitToHeight="99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80" zoomScaleNormal="80" workbookViewId="0">
      <pane ySplit="2" topLeftCell="A3" activePane="bottomLeft" state="frozen"/>
      <selection activeCell="E23" sqref="E23"/>
      <selection pane="bottomLeft" activeCell="K4" sqref="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SUM(C4:C30)</f>
        <v>35625.4</v>
      </c>
      <c r="D2" s="6">
        <f>SUM(D4:D30)</f>
        <v>26946.49</v>
      </c>
      <c r="E2" s="6">
        <f>C2-D2</f>
        <v>8678.91</v>
      </c>
      <c r="F2" s="7">
        <f>IFERROR(E2/D2, 0)</f>
        <v>0.32207942481562529</v>
      </c>
      <c r="G2" s="6">
        <f>SUM(G4:G30)</f>
        <v>0</v>
      </c>
      <c r="H2" s="8">
        <f>C2-G2</f>
        <v>35625.4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</v>
      </c>
      <c r="D4" s="14">
        <v>26946.49</v>
      </c>
      <c r="E4" s="14">
        <f>IF(AND(ISNUMBER(C4),ISNUMBER(D4)), C4-D4, "")</f>
        <v>8678.91</v>
      </c>
      <c r="F4" s="15">
        <f>IFERROR(E4/D4, "")</f>
        <v>0.32207942481562529</v>
      </c>
      <c r="G4" s="16">
        <v>0</v>
      </c>
      <c r="H4" s="16">
        <f>IF(AND(ISNUMBER(C4),ISNUMBER(G4)), C4-G4, "")</f>
        <v>35625.4</v>
      </c>
      <c r="I4" s="17" t="str">
        <f>IFERROR(H4/G4, "")</f>
        <v/>
      </c>
      <c r="J4" s="18" t="s">
        <v>33</v>
      </c>
      <c r="K4" s="42" t="s">
        <v>34</v>
      </c>
    </row>
    <row r="5" spans="1:11" ht="14.4" x14ac:dyDescent="0.3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" x14ac:dyDescent="0.3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" x14ac:dyDescent="0.3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" x14ac:dyDescent="0.3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" x14ac:dyDescent="0.3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" x14ac:dyDescent="0.3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4" r:id="rId1" display="https://us3.assetplanner.com/service_request?ID=092283" xr:uid="{99ED31F3-346C-4DC0-9E82-761E8D57B3DB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topLeftCell="C1" workbookViewId="0">
      <pane ySplit="2" topLeftCell="A3" activePane="bottomLeft" state="frozen"/>
      <selection activeCell="E23" sqref="E23"/>
      <selection pane="bottomLeft" activeCell="K4" sqref="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26065.07</v>
      </c>
      <c r="D2" s="6">
        <f>SUM(D4:D90)</f>
        <v>23671.7</v>
      </c>
      <c r="E2" s="6">
        <f>C2-D2</f>
        <v>2393.369999999999</v>
      </c>
      <c r="F2" s="7">
        <f>IFERROR(E2/D2, 0)</f>
        <v>0.1011068068622025</v>
      </c>
      <c r="G2" s="6">
        <f>SUM(G4:G90)</f>
        <v>0</v>
      </c>
      <c r="H2" s="8">
        <f>C2-G2</f>
        <v>26065.07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26065.07</v>
      </c>
      <c r="D4" s="14">
        <v>23671.7</v>
      </c>
      <c r="E4" s="14">
        <f>IF(AND(ISNUMBER(C4),ISNUMBER(D4)), C4-D4, "")</f>
        <v>2393.369999999999</v>
      </c>
      <c r="F4" s="15">
        <f>IFERROR(E4/D4, "")</f>
        <v>0.1011068068622025</v>
      </c>
      <c r="G4" s="44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hyperlinks>
    <hyperlink ref="K4" r:id="rId1" display="https://us3.assetplanner.com/service_request?ID=092283" xr:uid="{1A624327-351A-4AEE-BF2E-E1C9724686F6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23" activePane="bottomLeft" state="frozen"/>
      <selection activeCell="E23" sqref="E23"/>
      <selection pane="bottomLeft" activeCell="E23" sqref="E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E23" sqref="E23"/>
      <selection pane="bottomLeft" activeCell="E23" sqref="E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49</v>
      </c>
      <c r="E1" s="48"/>
      <c r="F1" s="48"/>
      <c r="G1" s="46" t="s">
        <v>50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activeCell="E23" sqref="E23"/>
      <selection pane="bottomLeft" activeCell="E23" sqref="E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51</v>
      </c>
      <c r="E1" s="48"/>
      <c r="F1" s="48"/>
      <c r="G1" s="46" t="s">
        <v>52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E14" sqref="E14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53</v>
      </c>
      <c r="B1" t="s">
        <v>54</v>
      </c>
    </row>
    <row r="3" spans="1:7" ht="13.2" x14ac:dyDescent="0.2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7" ht="14.4" x14ac:dyDescent="0.3">
      <c r="A4" t="s">
        <v>58</v>
      </c>
      <c r="B4" t="s">
        <v>58</v>
      </c>
      <c r="C4" s="4" t="s">
        <v>59</v>
      </c>
      <c r="E4" t="s">
        <v>60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6.xml><?xml version="1.0" encoding="utf-8"?>
<ds:datastoreItem xmlns:ds="http://schemas.openxmlformats.org/officeDocument/2006/customXml" ds:itemID="{13B813D1-56DD-47C3-862A-5F226DB40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0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3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6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8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20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2025-10-10T11:36:09Z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