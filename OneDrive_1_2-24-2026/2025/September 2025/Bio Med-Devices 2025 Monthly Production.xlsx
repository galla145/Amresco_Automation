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" documentId="13_ncr:1_{04E14B0D-7C18-4D6C-AC91-677E19FC1F5A}" xr6:coauthVersionLast="47" xr6:coauthVersionMax="47" xr10:uidLastSave="{218E7D34-8065-4485-BB26-02F72AC7E398}"/>
  <bookViews>
    <workbookView xWindow="43080" yWindow="-120" windowWidth="29040" windowHeight="15720" tabRatio="866" firstSheet="3" activeTab="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H4" i="33"/>
  <c r="H4" i="32"/>
  <c r="G4" i="29"/>
  <c r="G4" i="18"/>
  <c r="G2" i="18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I4" i="33"/>
  <c r="E4" i="33"/>
  <c r="F4" i="33" s="1"/>
  <c r="G2" i="33"/>
  <c r="D2" i="33"/>
  <c r="C2" i="33"/>
  <c r="A1" i="33" a="1"/>
  <c r="A1" i="33" s="1"/>
  <c r="I4" i="32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<sst xmlns="http://schemas.openxmlformats.org/spreadsheetml/2006/main" count="262" uniqueCount="58">
  <si>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</si>
  <si>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</si>
  <si>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</si>
  <si>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</si>
  <si>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</si>
  <si>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</si>
  <si>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</si>
  <si>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</si>
  <si>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</si>
  <si>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</si>
  <si>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</si>
  <si>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</si>
  <si>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</si>
  <si>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</si>
  <si>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</si>
  <si>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</si>
  <si>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</si>
  <si>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</si>
  <si>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</si>
  <si>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</si>
  <si>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</si>
  <si>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</si>
  <si>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</si>
  <si>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</si>
  <si>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</si>
  <si>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</si>
  <si>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</si>
  <si>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</si>
  <si>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</si>
  <si>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</si>
  <si>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</si>
  <si>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1.Inverter 3 was offline from 07:00 on 05/20 to 13:00 on 05/23.Inverter 3 back online after technician cleared the arc fault</t>
  </si>
  <si>
    <t>1.SR101722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</si>
  <si>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</si>
  <si>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</si>
  <si>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</si>
  <si>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</si>
  <si>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</si>
  <si>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</si>
  <si>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1.Inverter 3 has tripped offline at 07:45 on 08/08 and back online at 09:45 on 08/11</t>
  </si>
  <si>
    <t>1.SR105898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</si>
  <si>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</si>
  <si>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</si>
  <si>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</si>
  <si>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</si>
  <si>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</si>
  <si>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</si>
  <si>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</si>
  <si>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</si>
  <si>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</si>
  <si>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Bio-Med Devices</t>
  </si>
  <si>
    <t>Site DAS Name</t>
  </si>
  <si>
    <t>Update</t>
  </si>
  <si>
    <t>DAS</t>
  </si>
  <si>
    <t>CT: Guildford - Bio-Med Devices</t>
  </si>
  <si>
    <t>CT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</si>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</sst>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3" fontId="30" fillId="4" borderId="0" xfId="1" applyNumberFormat="1" applyFont="1" applyFill="1" applyBorder="1" applyAlignment="1">
      <alignment horizontal="right" vertical="center"/>
    </xf>
    <xf numFmtId="3" fontId="30" fillId="4" borderId="0" xfId="1" applyNumberFormat="1" applyFont="1" applyFill="1" applyBorder="1" applyAlignment="1">
      <alignment horizontal="right"/>
    </xf>
    <xf numFmtId="49" fontId="35" fillId="38" borderId="0" xfId="45" applyNumberForma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1722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5898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6"/>
  <sheetViews>
    <sheetView workbookViewId="0">
      <pane xSplit="2" ySplit="3" topLeftCell="C4" activePane="bottomRight" state="frozen"/>
      <selection pane="bottomRight" activeCell="E27" sqref="E27"/>
      <selection pane="bottomLeft" activeCell="A5" sqref="A5:XFD30"/>
      <selection pane="topRight" activeCell="A5" sqref="A5:XFD3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Bio-Med Devices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5">
        <f>SUM(C4:C74)</f>
        <v>128014.01999999999</v>
      </c>
      <c r="D2" s="5">
        <f>SUM(D4:D74)</f>
        <v>0</v>
      </c>
      <c r="E2" s="5">
        <f>C2-D2</f>
        <v>128014.01999999999</v>
      </c>
      <c r="F2" s="6">
        <f>IFERROR(E2/D2, 0)</f>
        <v>0</v>
      </c>
      <c r="G2" s="5">
        <f>SUM(G4:G74)</f>
        <v>0</v>
      </c>
      <c r="H2" s="7">
        <f>C2-G2</f>
        <v>128014.01999999999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75">
      <c r="A4" s="10" t="str" cm="1">
        <f t="array" ref="A4">Sites[Site]</f>
        <v>CT: Guildford - Bio-Med Devices</v>
      </c>
      <c r="B4" s="9" t="str" cm="1">
        <f t="array" ref="B4">Sites[State]</f>
        <v>CT</v>
      </c>
      <c r="C4" s="19">
        <f>SUM('1st Qtr'!C4, '2nd Qtr'!C4, '3rd Qtr'!C4, '4th Qtr'!C4)</f>
        <v>128014.01999999999</v>
      </c>
      <c r="D4" s="11">
        <f>SUM('1st Qtr'!D4, '2nd Qtr'!D4, '3rd Qtr'!D4, '4th Qtr'!D4)</f>
        <v>0</v>
      </c>
      <c r="E4" s="11">
        <f>IF(AND(ISNUMBER(C4),ISNUMBER(D4)), C4-D4, "")</f>
        <v>128014.01999999999</v>
      </c>
      <c r="F4" s="12" t="str">
        <f>IFERROR(E4/D4, "")</f>
        <v/>
      </c>
      <c r="G4" s="13">
        <f>SUM('1st Qtr'!G4, '2nd Qtr'!G4, '3rd Qtr'!G4, '4th Qtr'!G4)</f>
        <v>0</v>
      </c>
      <c r="H4" s="13">
        <f>SUM('1st Qtr'!H4, '2nd Qtr'!H4, '3rd Qtr'!H4, '4th Qtr'!H4)</f>
        <v>0</v>
      </c>
      <c r="I4" s="14" t="str">
        <f>IFERROR(H4/G4, "")</f>
        <v/>
      </c>
    </row>
    <row r="5" spans="1:9" ht="13.15">
      <c r="A5" s="16"/>
      <c r="B5" s="16"/>
      <c r="C5" s="16"/>
      <c r="D5" s="16"/>
      <c r="E5" s="16"/>
      <c r="F5" s="16"/>
      <c r="G5" s="16"/>
      <c r="H5" s="16"/>
      <c r="I5" s="16"/>
    </row>
    <row r="6" spans="1:9" ht="13.15">
      <c r="A6" s="16"/>
      <c r="B6" s="16"/>
      <c r="C6" s="16"/>
      <c r="D6" s="16"/>
      <c r="E6" s="16"/>
      <c r="F6" s="16"/>
      <c r="G6" s="16"/>
      <c r="H6" s="16"/>
      <c r="I6" s="16"/>
    </row>
    <row r="7" spans="1:9" ht="13.15">
      <c r="A7" s="16"/>
      <c r="B7" s="16"/>
      <c r="C7" s="16"/>
      <c r="D7" s="16"/>
      <c r="E7" s="16"/>
      <c r="F7" s="17"/>
      <c r="G7" s="16"/>
      <c r="H7" s="16"/>
      <c r="I7" s="17"/>
    </row>
    <row r="8" spans="1:9" ht="13.15">
      <c r="A8" s="16"/>
      <c r="B8" s="16"/>
      <c r="C8" s="16"/>
      <c r="D8" s="16"/>
      <c r="E8" s="16"/>
      <c r="F8" s="17"/>
      <c r="G8" s="16"/>
      <c r="H8" s="16"/>
      <c r="I8" s="17"/>
    </row>
    <row r="9" spans="1:9" ht="13.15">
      <c r="A9" s="16"/>
      <c r="B9" s="16"/>
      <c r="C9" s="16"/>
      <c r="D9" s="16"/>
      <c r="E9" s="16"/>
      <c r="F9" s="17"/>
      <c r="G9" s="16"/>
      <c r="H9" s="16"/>
      <c r="I9" s="17"/>
    </row>
    <row r="10" spans="1:9" ht="13.15">
      <c r="A10" s="16"/>
      <c r="B10" s="16"/>
      <c r="C10" s="16"/>
      <c r="D10" s="16"/>
      <c r="E10" s="16"/>
      <c r="F10" s="17"/>
      <c r="G10" s="16"/>
      <c r="H10" s="16"/>
      <c r="I10" s="17"/>
    </row>
    <row r="11" spans="1:9" ht="13.15">
      <c r="A11" s="16"/>
      <c r="B11" s="16"/>
      <c r="C11" s="16"/>
      <c r="D11" s="16"/>
      <c r="E11" s="16"/>
      <c r="F11" s="17"/>
      <c r="G11" s="16"/>
      <c r="H11" s="16"/>
      <c r="I11" s="17"/>
    </row>
    <row r="12" spans="1:9" ht="13.15">
      <c r="A12" s="16"/>
      <c r="B12" s="16"/>
      <c r="C12" s="16"/>
      <c r="D12" s="16"/>
      <c r="E12" s="16"/>
      <c r="F12" s="17"/>
      <c r="G12" s="16"/>
      <c r="H12" s="16"/>
      <c r="I12" s="17"/>
    </row>
    <row r="13" spans="1:9" ht="13.15">
      <c r="A13" s="16"/>
      <c r="B13" s="16"/>
      <c r="C13" s="16"/>
      <c r="D13" s="16"/>
      <c r="E13" s="16"/>
      <c r="F13" s="17"/>
      <c r="G13" s="16"/>
      <c r="H13" s="16"/>
      <c r="I13" s="17"/>
    </row>
    <row r="14" spans="1:9" ht="13.15">
      <c r="A14" s="16"/>
      <c r="B14" s="16"/>
      <c r="C14" s="16"/>
      <c r="D14" s="16"/>
      <c r="E14" s="16"/>
      <c r="F14" s="17"/>
      <c r="G14" s="16"/>
      <c r="H14" s="16"/>
      <c r="I14" s="17"/>
    </row>
    <row r="15" spans="1:9" ht="13.15">
      <c r="A15" s="16"/>
      <c r="B15" s="16"/>
      <c r="C15" s="16"/>
      <c r="D15" s="16"/>
      <c r="E15" s="16"/>
      <c r="F15" s="17"/>
      <c r="G15" s="16"/>
      <c r="H15" s="16"/>
      <c r="I15" s="17"/>
    </row>
    <row r="16" spans="1:9" ht="13.15">
      <c r="A16" s="16"/>
      <c r="B16" s="16"/>
      <c r="C16" s="16"/>
      <c r="D16" s="16"/>
      <c r="E16" s="16"/>
      <c r="F16" s="17"/>
      <c r="G16" s="16"/>
      <c r="H16" s="16"/>
      <c r="I16" s="17"/>
    </row>
    <row r="17" spans="1:9" ht="13.15">
      <c r="A17" s="16"/>
      <c r="B17" s="16"/>
      <c r="C17" s="16"/>
      <c r="D17" s="16"/>
      <c r="E17" s="16"/>
      <c r="F17" s="17"/>
      <c r="G17" s="16"/>
      <c r="H17" s="16"/>
      <c r="I17" s="17"/>
    </row>
    <row r="18" spans="1:9" ht="13.15">
      <c r="A18" s="16"/>
      <c r="B18" s="16"/>
      <c r="C18" s="16"/>
      <c r="D18" s="16"/>
      <c r="E18" s="16"/>
      <c r="F18" s="17"/>
      <c r="G18" s="16"/>
      <c r="H18" s="16"/>
      <c r="I18" s="17"/>
    </row>
    <row r="19" spans="1:9" ht="13.15">
      <c r="A19" s="16"/>
      <c r="B19" s="16"/>
      <c r="C19" s="16"/>
      <c r="D19" s="16"/>
      <c r="E19" s="16"/>
      <c r="F19" s="17"/>
      <c r="G19" s="16"/>
      <c r="H19" s="16"/>
      <c r="I19" s="17"/>
    </row>
    <row r="20" spans="1:9" ht="13.15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15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15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15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15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15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15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15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15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15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15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15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15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15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15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15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15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15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15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15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15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15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15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15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15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15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15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15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15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15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15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15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15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15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15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15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15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15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15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15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15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15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15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15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15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15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15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15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15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15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15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15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15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15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15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15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15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15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15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15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15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15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15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15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15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15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15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15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15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15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15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15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15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15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15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15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15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15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15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15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15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15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15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15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15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15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15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15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15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15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15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15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15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15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15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15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15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15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15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15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15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15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15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15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15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15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15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15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15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15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15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15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15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15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15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15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15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15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15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15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15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15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15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15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15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15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15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15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15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15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15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15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15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15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15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15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15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15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15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15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15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15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15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15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15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15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15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15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15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15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15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15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15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15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15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15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15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15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15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15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15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15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15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15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15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15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15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15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15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15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15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15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15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15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15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15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15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15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15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15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15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15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15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15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15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15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15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15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15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15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15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15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15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15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15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15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15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15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15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15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15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15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15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15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15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15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15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15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15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15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15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15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15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15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15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15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15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15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15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15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15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15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15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15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15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15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15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15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15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15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15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15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15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15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15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15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15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15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15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15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15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15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15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15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15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15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15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15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15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15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15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15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15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15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15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15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15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15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15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15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15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15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15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15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15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15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15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15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15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15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15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15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15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15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15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15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15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15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15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15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15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15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15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15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15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15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15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15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15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15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15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15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15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15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15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15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15">
      <c r="A316" s="16"/>
      <c r="B316" s="16"/>
      <c r="C316" s="16"/>
      <c r="D316" s="16"/>
      <c r="E316" s="16"/>
      <c r="F316" s="17"/>
      <c r="G316" s="16"/>
      <c r="H316" s="16"/>
      <c r="I316" s="17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4 I4:I74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6"/>
  <sheetViews>
    <sheetView workbookViewId="0">
      <pane xSplit="2" ySplit="3" topLeftCell="C4" activePane="bottomRight" state="frozen"/>
      <selection pane="bottomRight" activeCell="G4" sqref="G4"/>
      <selection pane="bottomLeft" activeCell="A5" sqref="A5:XFD30"/>
      <selection pane="topRight" activeCell="A5" sqref="A5:XFD3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Bio-Med Devices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5">
        <f>SUM(C4:C74)</f>
        <v>27589.35</v>
      </c>
      <c r="D2" s="5">
        <f>SUM(D4:D74)</f>
        <v>0</v>
      </c>
      <c r="E2" s="5">
        <f>C2-D2</f>
        <v>27589.35</v>
      </c>
      <c r="F2" s="6">
        <f>IFERROR(E2/D2, 0)</f>
        <v>0</v>
      </c>
      <c r="G2" s="5">
        <f>SUM(G4:G74)</f>
        <v>0</v>
      </c>
      <c r="H2" s="7">
        <f>C2-G2</f>
        <v>27589.35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75">
      <c r="A4" s="37" t="str" cm="1">
        <f t="array" ref="A4">Sites[Site]</f>
        <v>CT: Guildford - Bio-Med Devices</v>
      </c>
      <c r="B4" s="9" t="str" cm="1">
        <f t="array" ref="B4">Sites[State]</f>
        <v>CT</v>
      </c>
      <c r="C4" s="19">
        <f>SUM(Jan!C4, Feb!C4, Mar!C4)</f>
        <v>27589.35</v>
      </c>
      <c r="D4" s="11">
        <f>SUM(Jan!D4, Feb!D4, Mar!D4)</f>
        <v>0</v>
      </c>
      <c r="E4" s="11">
        <f>IF(AND(ISNUMBER(C4),ISNUMBER(D4)), C4-D4, "")</f>
        <v>27589.35</v>
      </c>
      <c r="F4" s="12" t="str">
        <f>IFERROR(E4/D4, "")</f>
        <v/>
      </c>
      <c r="G4" s="13">
        <f>SUM(Jan!G4, Feb!G4, Mar!G4)</f>
        <v>0</v>
      </c>
      <c r="H4" s="13">
        <f>SUM(Jan!H4, Feb!H4, Mar!H4)</f>
        <v>0</v>
      </c>
      <c r="I4" s="14" t="str">
        <f>IFERROR(H4/G4, "")</f>
        <v/>
      </c>
    </row>
    <row r="5" spans="1:9" ht="13.15">
      <c r="A5" s="16"/>
      <c r="B5" s="16"/>
      <c r="C5" s="16"/>
      <c r="D5" s="16"/>
      <c r="E5" s="16"/>
      <c r="F5" s="16"/>
      <c r="G5" s="16"/>
      <c r="H5" s="16"/>
      <c r="I5" s="16"/>
    </row>
    <row r="6" spans="1:9" ht="13.15">
      <c r="A6" s="16"/>
      <c r="B6" s="16"/>
      <c r="C6" s="16"/>
      <c r="D6" s="16"/>
      <c r="E6" s="16"/>
      <c r="F6" s="16"/>
      <c r="G6" s="16"/>
      <c r="H6" s="16"/>
      <c r="I6" s="16"/>
    </row>
    <row r="7" spans="1:9" ht="13.15">
      <c r="A7" s="16"/>
      <c r="B7" s="16"/>
      <c r="C7" s="16"/>
      <c r="D7" s="16"/>
      <c r="E7" s="16"/>
      <c r="F7" s="17"/>
      <c r="G7" s="16"/>
      <c r="H7" s="16"/>
      <c r="I7" s="17"/>
    </row>
    <row r="8" spans="1:9" ht="13.15">
      <c r="A8" s="16"/>
      <c r="B8" s="16"/>
      <c r="C8" s="16"/>
      <c r="D8" s="16"/>
      <c r="E8" s="16"/>
      <c r="F8" s="17"/>
      <c r="G8" s="16"/>
      <c r="H8" s="16"/>
      <c r="I8" s="17"/>
    </row>
    <row r="9" spans="1:9" ht="13.15">
      <c r="A9" s="16"/>
      <c r="B9" s="16"/>
      <c r="C9" s="16"/>
      <c r="D9" s="16"/>
      <c r="E9" s="16"/>
      <c r="F9" s="17"/>
      <c r="G9" s="16"/>
      <c r="H9" s="16"/>
      <c r="I9" s="17"/>
    </row>
    <row r="10" spans="1:9" ht="13.15">
      <c r="A10" s="16"/>
      <c r="B10" s="16"/>
      <c r="C10" s="16"/>
      <c r="D10" s="16"/>
      <c r="E10" s="16"/>
      <c r="F10" s="17"/>
      <c r="G10" s="16"/>
      <c r="H10" s="16"/>
      <c r="I10" s="17"/>
    </row>
    <row r="11" spans="1:9" ht="13.15">
      <c r="A11" s="16"/>
      <c r="B11" s="16"/>
      <c r="C11" s="16"/>
      <c r="D11" s="16"/>
      <c r="E11" s="16"/>
      <c r="F11" s="17"/>
      <c r="G11" s="16"/>
      <c r="H11" s="16"/>
      <c r="I11" s="17"/>
    </row>
    <row r="12" spans="1:9" ht="13.15">
      <c r="A12" s="16"/>
      <c r="B12" s="16"/>
      <c r="C12" s="16"/>
      <c r="D12" s="16"/>
      <c r="E12" s="16"/>
      <c r="F12" s="17"/>
      <c r="G12" s="16"/>
      <c r="H12" s="16"/>
      <c r="I12" s="17"/>
    </row>
    <row r="13" spans="1:9" ht="13.15">
      <c r="A13" s="16"/>
      <c r="B13" s="16"/>
      <c r="C13" s="16"/>
      <c r="D13" s="16"/>
      <c r="E13" s="16"/>
      <c r="F13" s="17"/>
      <c r="G13" s="16"/>
      <c r="H13" s="16"/>
      <c r="I13" s="17"/>
    </row>
    <row r="14" spans="1:9" ht="13.15">
      <c r="A14" s="16"/>
      <c r="B14" s="16"/>
      <c r="C14" s="16"/>
      <c r="D14" s="16"/>
      <c r="E14" s="16"/>
      <c r="F14" s="17"/>
      <c r="G14" s="16"/>
      <c r="H14" s="16"/>
      <c r="I14" s="17"/>
    </row>
    <row r="15" spans="1:9" ht="13.15">
      <c r="A15" s="16"/>
      <c r="B15" s="16"/>
      <c r="C15" s="16"/>
      <c r="D15" s="16"/>
      <c r="E15" s="16"/>
      <c r="F15" s="17"/>
      <c r="G15" s="16"/>
      <c r="H15" s="16"/>
      <c r="I15" s="17"/>
    </row>
    <row r="16" spans="1:9" ht="13.15">
      <c r="A16" s="16"/>
      <c r="B16" s="16"/>
      <c r="C16" s="16"/>
      <c r="D16" s="16"/>
      <c r="E16" s="16"/>
      <c r="F16" s="17"/>
      <c r="G16" s="16"/>
      <c r="H16" s="16"/>
      <c r="I16" s="17"/>
    </row>
    <row r="17" spans="1:9" ht="13.15">
      <c r="A17" s="16"/>
      <c r="B17" s="16"/>
      <c r="C17" s="16"/>
      <c r="D17" s="16"/>
      <c r="E17" s="16"/>
      <c r="F17" s="17"/>
      <c r="G17" s="16"/>
      <c r="H17" s="16"/>
      <c r="I17" s="17"/>
    </row>
    <row r="18" spans="1:9" ht="13.15">
      <c r="A18" s="16"/>
      <c r="B18" s="16"/>
      <c r="C18" s="16"/>
      <c r="D18" s="16"/>
      <c r="E18" s="16"/>
      <c r="F18" s="17"/>
      <c r="G18" s="16"/>
      <c r="H18" s="16"/>
      <c r="I18" s="17"/>
    </row>
    <row r="19" spans="1:9" ht="13.15">
      <c r="A19" s="16"/>
      <c r="B19" s="16"/>
      <c r="C19" s="16"/>
      <c r="D19" s="16"/>
      <c r="E19" s="16"/>
      <c r="F19" s="17"/>
      <c r="G19" s="16"/>
      <c r="H19" s="16"/>
      <c r="I19" s="17"/>
    </row>
    <row r="20" spans="1:9" ht="13.15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15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15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15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15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15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15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15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15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15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15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15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15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15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15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15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15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15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15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15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15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15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15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15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15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15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15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15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15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15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15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15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15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15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15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15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15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15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15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15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15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15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15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15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15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15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15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15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15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15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15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15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15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15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15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15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15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15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15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15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15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15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15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15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15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15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15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15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15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15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15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15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15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15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15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15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15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15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15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15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15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15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15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15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15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15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15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15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15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15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15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15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15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15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15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15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15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15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15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15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15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15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15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15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15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15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15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15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15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15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15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15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15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15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15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15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15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15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15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15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15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15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15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15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15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15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15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15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15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15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15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15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15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15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15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15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15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15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15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15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15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15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15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15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15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15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15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15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15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15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15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15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15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15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15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15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15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15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15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15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15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15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15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15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15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15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15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15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15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15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15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15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15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15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15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15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15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15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15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15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15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15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15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15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15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15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15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15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15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15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15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15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15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15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15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15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15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15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15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15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15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15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15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15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15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15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15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15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15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15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15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15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15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15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15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15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15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15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15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15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15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15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15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15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15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15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15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15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15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15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15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15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15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15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15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15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15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15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15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15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15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15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15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15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15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15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15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15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15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15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15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15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15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15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15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15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15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15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15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15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15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15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15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15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15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15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15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15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15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15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15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15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15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15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15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15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15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15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15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15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15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15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15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15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15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15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15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15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15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15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15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15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15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15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15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15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15">
      <c r="A316" s="16"/>
      <c r="B316" s="16"/>
      <c r="C316" s="16"/>
      <c r="D316" s="16"/>
      <c r="E316" s="16"/>
      <c r="F316" s="17"/>
      <c r="G316" s="16"/>
      <c r="H316" s="16"/>
      <c r="I316" s="17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4 I4:I74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6"/>
  <sheetViews>
    <sheetView workbookViewId="0">
      <pane xSplit="2" ySplit="3" topLeftCell="C4" activePane="bottomRight" state="frozen"/>
      <selection pane="bottomRight" activeCell="D32" sqref="D32"/>
      <selection pane="bottomLeft" activeCell="A5" sqref="A5:XFD30"/>
      <selection pane="topRight" activeCell="A5" sqref="A5:XFD3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Bio-Med Devices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5">
        <f>SUM(C4:C74)</f>
        <v>48880.210000000006</v>
      </c>
      <c r="D2" s="5">
        <f>SUM(D4:D74)</f>
        <v>0</v>
      </c>
      <c r="E2" s="5">
        <f>C2-D2</f>
        <v>48880.210000000006</v>
      </c>
      <c r="F2" s="6">
        <f>IFERROR(E2/D2, 0)</f>
        <v>0</v>
      </c>
      <c r="G2" s="5">
        <f>SUM(G4:G74)</f>
        <v>0</v>
      </c>
      <c r="H2" s="7">
        <f>C2-G2</f>
        <v>48880.210000000006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75">
      <c r="A4" s="37" t="str" cm="1">
        <f t="array" ref="A4">Sites[Site]</f>
        <v>CT: Guildford - Bio-Med Devices</v>
      </c>
      <c r="B4" s="9" t="str" cm="1">
        <f t="array" ref="B4">Sites[State]</f>
        <v>CT</v>
      </c>
      <c r="C4" s="19">
        <f>SUM(Apr!C4, May!C4, Jun!C4)</f>
        <v>48880.210000000006</v>
      </c>
      <c r="D4" s="11">
        <f>SUM(Apr!D4, May!D4, Jun!D4)</f>
        <v>0</v>
      </c>
      <c r="E4" s="11">
        <f>IF(AND(ISNUMBER(C4),ISNUMBER(D4)), C4-D4, "")</f>
        <v>48880.210000000006</v>
      </c>
      <c r="F4" s="12" t="str">
        <f>IFERROR(E4/D4, "")</f>
        <v/>
      </c>
      <c r="G4" s="13">
        <f>SUM(Apr!G4,May!G4,Jun!G4)</f>
        <v>0</v>
      </c>
      <c r="H4" s="13">
        <f>SUM(Apr!H4, May!H4, Jun!H4)</f>
        <v>0</v>
      </c>
      <c r="I4" s="14" t="str">
        <f>IFERROR(H4/G4, "")</f>
        <v/>
      </c>
    </row>
    <row r="5" spans="1:9" ht="13.15">
      <c r="A5" s="16"/>
      <c r="B5" s="16"/>
      <c r="C5" s="16"/>
      <c r="D5" s="16"/>
      <c r="E5" s="16"/>
      <c r="F5" s="16"/>
      <c r="G5" s="16"/>
      <c r="H5" s="16"/>
      <c r="I5" s="16"/>
    </row>
    <row r="6" spans="1:9" ht="13.15">
      <c r="A6" s="16"/>
      <c r="B6" s="16"/>
      <c r="C6" s="16"/>
      <c r="D6" s="16"/>
      <c r="E6" s="16"/>
      <c r="F6" s="16"/>
      <c r="G6" s="16"/>
      <c r="H6" s="16"/>
      <c r="I6" s="16"/>
    </row>
    <row r="7" spans="1:9" ht="13.15">
      <c r="A7" s="16"/>
      <c r="B7" s="16"/>
      <c r="C7" s="16"/>
      <c r="D7" s="16"/>
      <c r="E7" s="16"/>
      <c r="F7" s="17"/>
      <c r="G7" s="16"/>
      <c r="H7" s="16"/>
      <c r="I7" s="17"/>
    </row>
    <row r="8" spans="1:9" ht="13.15">
      <c r="A8" s="16"/>
      <c r="B8" s="16"/>
      <c r="C8" s="16"/>
      <c r="D8" s="16"/>
      <c r="E8" s="16"/>
      <c r="F8" s="17"/>
      <c r="G8" s="16"/>
      <c r="H8" s="16"/>
      <c r="I8" s="17"/>
    </row>
    <row r="9" spans="1:9" ht="13.15">
      <c r="A9" s="16"/>
      <c r="B9" s="16"/>
      <c r="C9" s="16"/>
      <c r="D9" s="16"/>
      <c r="E9" s="16"/>
      <c r="F9" s="17"/>
      <c r="G9" s="16"/>
      <c r="H9" s="16"/>
      <c r="I9" s="17"/>
    </row>
    <row r="10" spans="1:9" ht="13.15">
      <c r="A10" s="16"/>
      <c r="B10" s="16"/>
      <c r="C10" s="16"/>
      <c r="D10" s="16"/>
      <c r="E10" s="16"/>
      <c r="F10" s="17"/>
      <c r="G10" s="16"/>
      <c r="H10" s="16"/>
      <c r="I10" s="17"/>
    </row>
    <row r="11" spans="1:9" ht="13.15">
      <c r="A11" s="16"/>
      <c r="B11" s="16"/>
      <c r="C11" s="16"/>
      <c r="D11" s="16"/>
      <c r="E11" s="16"/>
      <c r="F11" s="17"/>
      <c r="G11" s="16"/>
      <c r="H11" s="16"/>
      <c r="I11" s="17"/>
    </row>
    <row r="12" spans="1:9" ht="13.15">
      <c r="A12" s="16"/>
      <c r="B12" s="16"/>
      <c r="C12" s="16"/>
      <c r="D12" s="16"/>
      <c r="E12" s="16"/>
      <c r="F12" s="17"/>
      <c r="G12" s="16"/>
      <c r="H12" s="16"/>
      <c r="I12" s="17"/>
    </row>
    <row r="13" spans="1:9" ht="13.15">
      <c r="A13" s="16"/>
      <c r="B13" s="16"/>
      <c r="C13" s="16"/>
      <c r="D13" s="16"/>
      <c r="E13" s="16"/>
      <c r="F13" s="17"/>
      <c r="G13" s="16"/>
      <c r="H13" s="16"/>
      <c r="I13" s="17"/>
    </row>
    <row r="14" spans="1:9" ht="13.15">
      <c r="A14" s="16"/>
      <c r="B14" s="16"/>
      <c r="C14" s="16"/>
      <c r="D14" s="16"/>
      <c r="E14" s="16"/>
      <c r="F14" s="17"/>
      <c r="G14" s="16"/>
      <c r="H14" s="16"/>
      <c r="I14" s="17"/>
    </row>
    <row r="15" spans="1:9" ht="13.15">
      <c r="A15" s="16"/>
      <c r="B15" s="16"/>
      <c r="C15" s="16"/>
      <c r="D15" s="16"/>
      <c r="E15" s="16"/>
      <c r="F15" s="17"/>
      <c r="G15" s="16"/>
      <c r="H15" s="16"/>
      <c r="I15" s="17"/>
    </row>
    <row r="16" spans="1:9" ht="13.15">
      <c r="A16" s="16"/>
      <c r="B16" s="16"/>
      <c r="C16" s="16"/>
      <c r="D16" s="16"/>
      <c r="E16" s="16"/>
      <c r="F16" s="17"/>
      <c r="G16" s="16"/>
      <c r="H16" s="16"/>
      <c r="I16" s="17"/>
    </row>
    <row r="17" spans="1:9" ht="13.15">
      <c r="A17" s="16"/>
      <c r="B17" s="16"/>
      <c r="C17" s="16"/>
      <c r="D17" s="16"/>
      <c r="E17" s="16"/>
      <c r="F17" s="17"/>
      <c r="G17" s="16"/>
      <c r="H17" s="16"/>
      <c r="I17" s="17"/>
    </row>
    <row r="18" spans="1:9" ht="13.15">
      <c r="A18" s="16"/>
      <c r="B18" s="16"/>
      <c r="C18" s="16"/>
      <c r="D18" s="16"/>
      <c r="E18" s="16"/>
      <c r="F18" s="17"/>
      <c r="G18" s="16"/>
      <c r="H18" s="16"/>
      <c r="I18" s="17"/>
    </row>
    <row r="19" spans="1:9" ht="13.15">
      <c r="A19" s="16"/>
      <c r="B19" s="16"/>
      <c r="C19" s="16"/>
      <c r="D19" s="16"/>
      <c r="E19" s="16"/>
      <c r="F19" s="17"/>
      <c r="G19" s="16"/>
      <c r="H19" s="16"/>
      <c r="I19" s="17"/>
    </row>
    <row r="20" spans="1:9" ht="13.15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15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15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15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15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15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15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15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15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15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15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15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15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15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15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15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15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15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15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15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15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15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15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15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15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15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15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15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15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15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15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15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15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15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15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15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15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15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15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15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15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15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15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15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15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15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15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15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15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15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15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15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15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15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15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15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15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15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15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15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15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15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15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15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15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15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15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15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15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15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15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15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15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15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15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15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15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15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15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15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15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15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15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15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15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15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15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15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15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15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15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15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15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15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15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15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15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15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15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15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15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15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15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15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15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15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15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15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15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15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15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15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15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15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15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15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15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15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15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15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15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15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15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15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15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15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15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15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15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15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15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15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15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15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15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15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15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15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15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15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15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15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15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15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15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15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15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15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15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15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15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15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15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15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15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15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15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15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15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15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15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15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15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15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15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15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15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15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15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15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15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15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15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15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15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15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15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15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15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15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15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15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15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15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15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15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15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15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15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15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15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15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15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15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15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15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15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15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15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15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15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15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15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15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15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15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15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15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15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15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15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15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15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15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15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15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15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15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15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15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15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15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15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15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15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15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15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15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15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15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15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15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15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15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15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15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15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15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15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15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15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15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15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15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15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15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15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15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15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15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15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15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15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15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15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15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15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15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15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15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15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15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15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15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15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15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15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15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15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15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15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15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15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15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15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15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15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15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15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15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15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15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15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15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15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15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15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15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15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15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15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15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15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15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15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15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15">
      <c r="A316" s="16"/>
      <c r="B316" s="16"/>
      <c r="C316" s="16"/>
      <c r="D316" s="16"/>
      <c r="E316" s="16"/>
      <c r="F316" s="17"/>
      <c r="G316" s="16"/>
      <c r="H316" s="16"/>
      <c r="I316" s="17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4 I4:I74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6"/>
  <sheetViews>
    <sheetView tabSelected="1" workbookViewId="0">
      <pane xSplit="2" ySplit="3" topLeftCell="C4" activePane="bottomRight" state="frozen"/>
      <selection pane="bottomRight" activeCell="G19" sqref="G19"/>
      <selection pane="bottomLeft" activeCell="A5" sqref="A5:XFD30"/>
      <selection pane="topRight" activeCell="A5" sqref="A5:XFD3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Bio-Med Devices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5">
        <f>SUM(C4:C74)</f>
        <v>51544.459999999992</v>
      </c>
      <c r="D2" s="5">
        <f>SUM(D4:D74)</f>
        <v>0</v>
      </c>
      <c r="E2" s="5">
        <f>C2-D2</f>
        <v>51544.459999999992</v>
      </c>
      <c r="F2" s="6">
        <f>IFERROR(E2/D2, 0)</f>
        <v>0</v>
      </c>
      <c r="G2" s="5">
        <f>SUM(G4:G74)</f>
        <v>0</v>
      </c>
      <c r="H2" s="7">
        <f>C2-G2</f>
        <v>51544.459999999992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75">
      <c r="A4" s="37" t="str" cm="1">
        <f t="array" ref="A4">Sites[Site]</f>
        <v>CT: Guildford - Bio-Med Devices</v>
      </c>
      <c r="B4" s="9" t="str" cm="1">
        <f t="array" ref="B4">Sites[State]</f>
        <v>CT</v>
      </c>
      <c r="C4" s="19">
        <f>SUM(Jul!C4, Aug!C4, Sep!C4)</f>
        <v>51544.459999999992</v>
      </c>
      <c r="D4" s="11">
        <f>SUM(Jul!D4, Aug!D4, Sep!D4)</f>
        <v>0</v>
      </c>
      <c r="E4" s="11">
        <f>IF(AND(ISNUMBER(C4),ISNUMBER(D4)), C4-D4, "")</f>
        <v>51544.459999999992</v>
      </c>
      <c r="F4" s="12" t="str">
        <f>IFERROR(E4/D4, "")</f>
        <v/>
      </c>
      <c r="G4" s="13">
        <f>SUM(Jul!G4,Aug!G4,Sep!G4)</f>
        <v>0</v>
      </c>
      <c r="H4" s="13">
        <f>SUM(Jul!H4, Aug!H4, Sep!H4)</f>
        <v>0</v>
      </c>
      <c r="I4" s="14" t="str">
        <f>IFERROR(H4/G4, "")</f>
        <v/>
      </c>
    </row>
    <row r="5" spans="1:9" ht="15.75">
      <c r="A5" s="15"/>
      <c r="B5" s="16"/>
      <c r="C5" s="16"/>
      <c r="D5" s="16"/>
      <c r="E5" s="16"/>
      <c r="F5" s="16"/>
      <c r="G5" s="16"/>
      <c r="H5" s="16"/>
      <c r="I5" s="16"/>
    </row>
    <row r="6" spans="1:9" ht="13.15">
      <c r="A6" s="16"/>
      <c r="B6" s="16"/>
      <c r="C6" s="16"/>
      <c r="D6" s="16"/>
      <c r="E6" s="16"/>
      <c r="F6" s="16"/>
      <c r="G6" s="16"/>
      <c r="H6" s="16"/>
      <c r="I6" s="16"/>
    </row>
    <row r="7" spans="1:9" ht="13.15">
      <c r="A7" s="16"/>
      <c r="B7" s="16"/>
      <c r="C7" s="16"/>
      <c r="D7" s="16"/>
      <c r="E7" s="16"/>
      <c r="F7" s="17"/>
      <c r="G7" s="16"/>
      <c r="H7" s="16"/>
      <c r="I7" s="17"/>
    </row>
    <row r="8" spans="1:9" ht="13.15">
      <c r="A8" s="16"/>
      <c r="B8" s="16"/>
      <c r="C8" s="16"/>
      <c r="D8" s="16"/>
      <c r="E8" s="16"/>
      <c r="F8" s="17"/>
      <c r="G8" s="16"/>
      <c r="H8" s="16"/>
      <c r="I8" s="17"/>
    </row>
    <row r="9" spans="1:9" ht="13.15">
      <c r="A9" s="16"/>
      <c r="B9" s="16"/>
      <c r="C9" s="16"/>
      <c r="D9" s="16"/>
      <c r="E9" s="16"/>
      <c r="F9" s="17"/>
      <c r="G9" s="16"/>
      <c r="H9" s="16"/>
      <c r="I9" s="17"/>
    </row>
    <row r="10" spans="1:9" ht="13.15">
      <c r="A10" s="16"/>
      <c r="B10" s="16"/>
      <c r="C10" s="16"/>
      <c r="D10" s="16"/>
      <c r="E10" s="16"/>
      <c r="F10" s="17"/>
      <c r="G10" s="16"/>
      <c r="H10" s="16"/>
      <c r="I10" s="17"/>
    </row>
    <row r="11" spans="1:9" ht="13.15">
      <c r="A11" s="16"/>
      <c r="B11" s="16"/>
      <c r="C11" s="16"/>
      <c r="D11" s="16"/>
      <c r="E11" s="16"/>
      <c r="F11" s="17"/>
      <c r="G11" s="16"/>
      <c r="H11" s="16"/>
      <c r="I11" s="17"/>
    </row>
    <row r="12" spans="1:9" ht="13.15">
      <c r="A12" s="16"/>
      <c r="B12" s="16"/>
      <c r="C12" s="16"/>
      <c r="D12" s="16"/>
      <c r="E12" s="16"/>
      <c r="F12" s="17"/>
      <c r="G12" s="16"/>
      <c r="H12" s="16"/>
      <c r="I12" s="17"/>
    </row>
    <row r="13" spans="1:9" ht="13.15">
      <c r="A13" s="16"/>
      <c r="B13" s="16"/>
      <c r="C13" s="16"/>
      <c r="D13" s="16"/>
      <c r="E13" s="16"/>
      <c r="F13" s="17"/>
      <c r="G13" s="16"/>
      <c r="H13" s="16"/>
      <c r="I13" s="17"/>
    </row>
    <row r="14" spans="1:9" ht="13.15">
      <c r="A14" s="16"/>
      <c r="B14" s="16"/>
      <c r="C14" s="16"/>
      <c r="D14" s="16"/>
      <c r="E14" s="16"/>
      <c r="F14" s="17"/>
      <c r="G14" s="16"/>
      <c r="H14" s="16"/>
      <c r="I14" s="17"/>
    </row>
    <row r="15" spans="1:9" ht="13.15">
      <c r="A15" s="16"/>
      <c r="B15" s="16"/>
      <c r="C15" s="16"/>
      <c r="D15" s="16"/>
      <c r="E15" s="16"/>
      <c r="F15" s="17"/>
      <c r="G15" s="16"/>
      <c r="H15" s="16"/>
      <c r="I15" s="17"/>
    </row>
    <row r="16" spans="1:9" ht="13.15">
      <c r="A16" s="16"/>
      <c r="B16" s="16"/>
      <c r="C16" s="16"/>
      <c r="D16" s="16"/>
      <c r="E16" s="16"/>
      <c r="F16" s="17"/>
      <c r="G16" s="16"/>
      <c r="H16" s="16"/>
      <c r="I16" s="17"/>
    </row>
    <row r="17" spans="1:9" ht="13.15">
      <c r="A17" s="16"/>
      <c r="B17" s="16"/>
      <c r="C17" s="16"/>
      <c r="D17" s="16"/>
      <c r="E17" s="16"/>
      <c r="F17" s="17"/>
      <c r="G17" s="16"/>
      <c r="H17" s="16"/>
      <c r="I17" s="17"/>
    </row>
    <row r="18" spans="1:9" ht="13.15">
      <c r="A18" s="16"/>
      <c r="B18" s="16"/>
      <c r="C18" s="16"/>
      <c r="D18" s="16"/>
      <c r="E18" s="16"/>
      <c r="F18" s="17"/>
      <c r="G18" s="16"/>
      <c r="H18" s="16"/>
      <c r="I18" s="17"/>
    </row>
    <row r="19" spans="1:9" ht="13.15">
      <c r="A19" s="16"/>
      <c r="B19" s="16"/>
      <c r="C19" s="16"/>
      <c r="D19" s="16"/>
      <c r="E19" s="16"/>
      <c r="F19" s="17"/>
      <c r="G19" s="16"/>
      <c r="H19" s="16"/>
      <c r="I19" s="17"/>
    </row>
    <row r="20" spans="1:9" ht="13.15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15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15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15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15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15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15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15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15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15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15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15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15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15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15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15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15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15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15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15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15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15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15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15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15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15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15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15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15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15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15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15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15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15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15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15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15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15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15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15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15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15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15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15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15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15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15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15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15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15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15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15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15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15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15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15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15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15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15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15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15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15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15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15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15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15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15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15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15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15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15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15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15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15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15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15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15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15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15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15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15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15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15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15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15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15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15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15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15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15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15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15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15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15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15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15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15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15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15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15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15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15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15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15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15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15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15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15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15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15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15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15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15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15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15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15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15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15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15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15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15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15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15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15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15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15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15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15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15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15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15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15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15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15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15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15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15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15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15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15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15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15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15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15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15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15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15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15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15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15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15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15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15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15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15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15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15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15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15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15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15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15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15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15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15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15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15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15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15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15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15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15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15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15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15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15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15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15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15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15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15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15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15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15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15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15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15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15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15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15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15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15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15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15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15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15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15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15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15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15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15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15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15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15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15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15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15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15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15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15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15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15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15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15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15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15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15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15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15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15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15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15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15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15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15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15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15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15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15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15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15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15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15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15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15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15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15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15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15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15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15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15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15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15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15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15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15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15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15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15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15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15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15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15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15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15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15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15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15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15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15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15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15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15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15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15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15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15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15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15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15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15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15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15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15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15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15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15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15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15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15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15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15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15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15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15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15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15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15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15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15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15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15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15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15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15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15">
      <c r="A316" s="16"/>
      <c r="B316" s="16"/>
      <c r="C316" s="16"/>
      <c r="D316" s="16"/>
      <c r="E316" s="16"/>
      <c r="F316" s="17"/>
      <c r="G316" s="16"/>
      <c r="H316" s="16"/>
      <c r="I316" s="17"/>
    </row>
  </sheetData>
  <mergeCells count="4">
    <mergeCell ref="G1:I1"/>
    <mergeCell ref="A1:C1"/>
    <mergeCell ref="D1:F1"/>
    <mergeCell ref="A2:B2"/>
  </mergeCells>
  <conditionalFormatting sqref="F2 I2 F4:F74 I4:I74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6"/>
  <sheetViews>
    <sheetView workbookViewId="0">
      <pane xSplit="2" ySplit="3" topLeftCell="C4" activePane="bottomRight" state="frozen"/>
      <selection pane="bottomRight" activeCell="H12" sqref="H12"/>
      <selection pane="bottomLeft" activeCell="A5" sqref="A5:XFD30"/>
      <selection pane="topRight" activeCell="A5" sqref="A5:XFD3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Bio-Med Devices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5">
        <f>SUM(C4:C74)</f>
        <v>0</v>
      </c>
      <c r="D2" s="5">
        <f>SUM(D4:D74)</f>
        <v>0</v>
      </c>
      <c r="E2" s="5">
        <f>C2-D2</f>
        <v>0</v>
      </c>
      <c r="F2" s="6">
        <f>IFERROR(E2/D2, 0)</f>
        <v>0</v>
      </c>
      <c r="G2" s="5">
        <f>SUM(G4:G74)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75">
      <c r="A4" s="37" t="str" cm="1">
        <f t="array" ref="A4">Sites[Site]</f>
        <v>CT: Guildford - Bio-Med Devices</v>
      </c>
      <c r="B4" s="9" t="str" cm="1">
        <f t="array" ref="B4">Sites[State]</f>
        <v>CT</v>
      </c>
      <c r="C4" s="19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>
        <f>SUM(Oct!G4,Nov!G4,Dec!G4)</f>
        <v>0</v>
      </c>
      <c r="H4" s="13">
        <f>SUM(Oct!H4, Nov!H4, Dec!H4)</f>
        <v>0</v>
      </c>
      <c r="I4" s="14" t="str">
        <f>IFERROR(H4/G4, "")</f>
        <v/>
      </c>
    </row>
    <row r="5" spans="1:9" ht="13.15">
      <c r="A5" s="16"/>
      <c r="B5" s="16"/>
      <c r="C5" s="16"/>
      <c r="D5" s="16"/>
      <c r="E5" s="16"/>
      <c r="F5" s="16"/>
      <c r="G5" s="16"/>
      <c r="H5" s="16"/>
      <c r="I5" s="16"/>
    </row>
    <row r="6" spans="1:9" ht="13.15">
      <c r="A6" s="16"/>
      <c r="B6" s="16"/>
      <c r="C6" s="16"/>
      <c r="D6" s="16"/>
      <c r="E6" s="16"/>
      <c r="F6" s="16"/>
      <c r="G6" s="16"/>
      <c r="H6" s="16"/>
      <c r="I6" s="16"/>
    </row>
    <row r="7" spans="1:9" ht="13.15">
      <c r="A7" s="16"/>
      <c r="B7" s="16"/>
      <c r="C7" s="16"/>
      <c r="D7" s="16"/>
      <c r="E7" s="16"/>
      <c r="F7" s="17"/>
      <c r="G7" s="16"/>
      <c r="H7" s="16"/>
      <c r="I7" s="17"/>
    </row>
    <row r="8" spans="1:9" ht="13.15">
      <c r="A8" s="16"/>
      <c r="B8" s="16"/>
      <c r="C8" s="16"/>
      <c r="D8" s="16"/>
      <c r="E8" s="16"/>
      <c r="F8" s="17"/>
      <c r="G8" s="16"/>
      <c r="H8" s="16"/>
      <c r="I8" s="17"/>
    </row>
    <row r="9" spans="1:9" ht="13.15">
      <c r="A9" s="16"/>
      <c r="B9" s="16"/>
      <c r="C9" s="16"/>
      <c r="D9" s="16"/>
      <c r="E9" s="16"/>
      <c r="F9" s="17"/>
      <c r="G9" s="16"/>
      <c r="H9" s="16"/>
      <c r="I9" s="17"/>
    </row>
    <row r="10" spans="1:9" ht="13.15">
      <c r="A10" s="16"/>
      <c r="B10" s="16"/>
      <c r="C10" s="16"/>
      <c r="D10" s="16"/>
      <c r="E10" s="16"/>
      <c r="F10" s="17"/>
      <c r="G10" s="16"/>
      <c r="H10" s="16"/>
      <c r="I10" s="17"/>
    </row>
    <row r="11" spans="1:9" ht="13.15">
      <c r="A11" s="16"/>
      <c r="B11" s="16"/>
      <c r="C11" s="16"/>
      <c r="D11" s="16"/>
      <c r="E11" s="16"/>
      <c r="F11" s="17"/>
      <c r="G11" s="16"/>
      <c r="H11" s="16"/>
      <c r="I11" s="17"/>
    </row>
    <row r="12" spans="1:9" ht="13.15">
      <c r="A12" s="16"/>
      <c r="B12" s="16"/>
      <c r="C12" s="16"/>
      <c r="D12" s="16"/>
      <c r="E12" s="16"/>
      <c r="F12" s="17"/>
      <c r="G12" s="16"/>
      <c r="H12" s="16"/>
      <c r="I12" s="17"/>
    </row>
    <row r="13" spans="1:9" ht="13.15">
      <c r="A13" s="16"/>
      <c r="B13" s="16"/>
      <c r="C13" s="16"/>
      <c r="D13" s="16"/>
      <c r="E13" s="16"/>
      <c r="F13" s="17"/>
      <c r="G13" s="16"/>
      <c r="H13" s="16"/>
      <c r="I13" s="17"/>
    </row>
    <row r="14" spans="1:9" ht="13.15">
      <c r="A14" s="16"/>
      <c r="B14" s="16"/>
      <c r="C14" s="16"/>
      <c r="D14" s="16"/>
      <c r="E14" s="16"/>
      <c r="F14" s="17"/>
      <c r="G14" s="16"/>
      <c r="H14" s="16"/>
      <c r="I14" s="17"/>
    </row>
    <row r="15" spans="1:9" ht="13.15">
      <c r="A15" s="16"/>
      <c r="B15" s="16"/>
      <c r="C15" s="16"/>
      <c r="D15" s="16"/>
      <c r="E15" s="16"/>
      <c r="F15" s="17"/>
      <c r="G15" s="16"/>
      <c r="H15" s="16"/>
      <c r="I15" s="17"/>
    </row>
    <row r="16" spans="1:9" ht="13.15">
      <c r="A16" s="16"/>
      <c r="B16" s="16"/>
      <c r="C16" s="16"/>
      <c r="D16" s="16"/>
      <c r="E16" s="16"/>
      <c r="F16" s="17"/>
      <c r="G16" s="16"/>
      <c r="H16" s="16"/>
      <c r="I16" s="17"/>
    </row>
    <row r="17" spans="1:9" ht="13.15">
      <c r="A17" s="16"/>
      <c r="B17" s="16"/>
      <c r="C17" s="16"/>
      <c r="D17" s="16"/>
      <c r="E17" s="16"/>
      <c r="F17" s="17"/>
      <c r="G17" s="16"/>
      <c r="H17" s="16"/>
      <c r="I17" s="17"/>
    </row>
    <row r="18" spans="1:9" ht="13.15">
      <c r="A18" s="16"/>
      <c r="B18" s="16"/>
      <c r="C18" s="16"/>
      <c r="D18" s="16"/>
      <c r="E18" s="16"/>
      <c r="F18" s="17"/>
      <c r="G18" s="16"/>
      <c r="H18" s="16"/>
      <c r="I18" s="17"/>
    </row>
    <row r="19" spans="1:9" ht="13.15">
      <c r="A19" s="16"/>
      <c r="B19" s="16"/>
      <c r="C19" s="16"/>
      <c r="D19" s="16"/>
      <c r="E19" s="16"/>
      <c r="F19" s="17"/>
      <c r="G19" s="16"/>
      <c r="H19" s="16"/>
      <c r="I19" s="17"/>
    </row>
    <row r="20" spans="1:9" ht="13.15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15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15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15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15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15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15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15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15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15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15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15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15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15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15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15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15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15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15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15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15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15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15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15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15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15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15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15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15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15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15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15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15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15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15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15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15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15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15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15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15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15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15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15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15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15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15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15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15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15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15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15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15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15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15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15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15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15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15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15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15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15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15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15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15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15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15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15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15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15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15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15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15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15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15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15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15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15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15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15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15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15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15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15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15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15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15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15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15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15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15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15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15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15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15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15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15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15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15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15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15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15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15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15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15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15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15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15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15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15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15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15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15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15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15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15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15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15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15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15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15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15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15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15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15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15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15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15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15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15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15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15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15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15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15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15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15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15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15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15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15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15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15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15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15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15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15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15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15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15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15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15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15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15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15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15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15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15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15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15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15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15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15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15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15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15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15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15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15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15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15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15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15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15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15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15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15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15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15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15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15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15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15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15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15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15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15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15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15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15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15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15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15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15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15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15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15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15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15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15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15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15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15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15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15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15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15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15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15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15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15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15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15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15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15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15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15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15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15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15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15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15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15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15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15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15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15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15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15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15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15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15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15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15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15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15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15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15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15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15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15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15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15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15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15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15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15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15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15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15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15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15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15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15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15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15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15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15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15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15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15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15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15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15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15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15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15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15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15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15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15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15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15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15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15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15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15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15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15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15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15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15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15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15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15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15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15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15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15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15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15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15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15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15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15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15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15">
      <c r="A316" s="16"/>
      <c r="B316" s="16"/>
      <c r="C316" s="16"/>
      <c r="D316" s="16"/>
      <c r="E316" s="16"/>
      <c r="F316" s="17"/>
      <c r="G316" s="16"/>
      <c r="H316" s="16"/>
      <c r="I316" s="17"/>
    </row>
  </sheetData>
  <mergeCells count="4">
    <mergeCell ref="G1:I1"/>
    <mergeCell ref="A1:C1"/>
    <mergeCell ref="D1:F1"/>
    <mergeCell ref="A2:B2"/>
  </mergeCells>
  <conditionalFormatting sqref="F2 I2 F4:F74 I4:I74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5"/>
  <sheetViews>
    <sheetView zoomScale="80" zoomScaleNormal="80" workbookViewId="0">
      <pane xSplit="2" ySplit="3" topLeftCell="C4" activePane="bottomRight" state="frozen"/>
      <selection pane="bottomRight" activeCell="G4" sqref="G4"/>
      <selection pane="bottomLeft" activeCell="H13" sqref="H13"/>
      <selection pane="topRight" activeCell="H13" sqref="H13"/>
    </sheetView>
  </sheetViews>
  <sheetFormatPr defaultRowHeight="13.5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Bio-Med Devices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SUM(C4:C73)</f>
        <v>6047.8</v>
      </c>
      <c r="D2" s="5">
        <f>SUM(D4:D73)</f>
        <v>0</v>
      </c>
      <c r="E2" s="5">
        <f>C2-D2</f>
        <v>6047.8</v>
      </c>
      <c r="F2" s="6">
        <f>IFERROR(E2/D2, 0)</f>
        <v>0</v>
      </c>
      <c r="G2" s="5">
        <f>SUM(G4:G73)</f>
        <v>0</v>
      </c>
      <c r="H2" s="7">
        <f>C2-G2</f>
        <v>6047.8</v>
      </c>
      <c r="I2" s="6">
        <f>IFERROR(H2/G2, 0)</f>
        <v>0</v>
      </c>
      <c r="J2" s="21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2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32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39" t="str" cm="1">
        <f t="array" ref="A4">Sites[Site]</f>
        <v>CT: Guildford - Bio-Med Devices</v>
      </c>
      <c r="B4" s="23" t="str" cm="1">
        <f t="array" ref="B4">Sites[State]</f>
        <v>CT</v>
      </c>
      <c r="C4" s="19">
        <v>6047.8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40" t="s">
        <v>22</v>
      </c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2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25">
      <c r="A6" s="16"/>
      <c r="B6" s="25"/>
      <c r="C6" s="16"/>
      <c r="D6" s="16"/>
      <c r="E6" s="16"/>
      <c r="F6" s="17"/>
      <c r="G6" s="16"/>
      <c r="H6" s="16"/>
      <c r="I6" s="17"/>
      <c r="J6" s="16"/>
      <c r="K6" s="16"/>
    </row>
    <row r="7" spans="1:11" ht="14.2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2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2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2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2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2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2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2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2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2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2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2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2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2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2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2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2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2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2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2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2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2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2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2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2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2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2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2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2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2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2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2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2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2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2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2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2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2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2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2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2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2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2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2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2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2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2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2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2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2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2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2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2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2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2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2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2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2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2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2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2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2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2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2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2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2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2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2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2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2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2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2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2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2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2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2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2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2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2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2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2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2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2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2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2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2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2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2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2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2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2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2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2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2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2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2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2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2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2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2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2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2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2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2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2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2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2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2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2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2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2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2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2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2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2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2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2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2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2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2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2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2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2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2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2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2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2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2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2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2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2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2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2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2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2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2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2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2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2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2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2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2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2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2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2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2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2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2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2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2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2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2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2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2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2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2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2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2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2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2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2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2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2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2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2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2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2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2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2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2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2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2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2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2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2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2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2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2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2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2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2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2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2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2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2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2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2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2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2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2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2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2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2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2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2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2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2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2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2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2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2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2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2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2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2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2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2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2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2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2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2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2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2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2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2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2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2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2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2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2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2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2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2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2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2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2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2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2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2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2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2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2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2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2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2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2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2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2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2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2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2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2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2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2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2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2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2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2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2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2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2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2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2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2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2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2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2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2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2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2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2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2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2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2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2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2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2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2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2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2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2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2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2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2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2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2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2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2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2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2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2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2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2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2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2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2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2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2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2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2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2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2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2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2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2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2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2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2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2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2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2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2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2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2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2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2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2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2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2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</sheetData>
  <mergeCells count="4">
    <mergeCell ref="D1:F1"/>
    <mergeCell ref="A1:C1"/>
    <mergeCell ref="G1:I1"/>
    <mergeCell ref="A2:B2"/>
  </mergeCells>
  <conditionalFormatting sqref="F2 I2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73 I4:I73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6"/>
  <sheetViews>
    <sheetView zoomScale="80" zoomScaleNormal="80" workbookViewId="0">
      <pane xSplit="2" ySplit="3" topLeftCell="C4" activePane="bottomRight" state="frozen"/>
      <selection pane="bottomRight" activeCell="G4" sqref="G4"/>
      <selection pane="bottomLeft" activeCell="H13" sqref="H13"/>
      <selection pane="topRight" activeCell="H13" sqref="H13"/>
    </sheetView>
  </sheetViews>
  <sheetFormatPr defaultRowHeight="13.5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Bio-Med Devices</v>
      </c>
      <c r="B1" s="44"/>
      <c r="C1" s="44"/>
      <c r="D1" s="45" t="s">
        <v>23</v>
      </c>
      <c r="E1" s="45"/>
      <c r="F1" s="45"/>
      <c r="G1" s="43" t="s">
        <v>24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SUM(C4:C74)</f>
        <v>7803.56</v>
      </c>
      <c r="D2" s="5">
        <f>SUM(D4:D74)</f>
        <v>0</v>
      </c>
      <c r="E2" s="5">
        <f>C2-D2</f>
        <v>7803.56</v>
      </c>
      <c r="F2" s="6">
        <f>IFERROR(E2/D2, 0)</f>
        <v>0</v>
      </c>
      <c r="G2" s="5">
        <f>SUM(G4:G74)</f>
        <v>0</v>
      </c>
      <c r="H2" s="7">
        <f>C2-G2</f>
        <v>7803.56</v>
      </c>
      <c r="I2" s="6">
        <f>IFERROR(H2/G2, 0)</f>
        <v>0</v>
      </c>
      <c r="J2" s="21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39" t="str" cm="1">
        <f t="array" ref="A4">Sites[Site]</f>
        <v>CT: Guildford - Bio-Med Devices</v>
      </c>
      <c r="B4" s="23" t="str" cm="1">
        <f t="array" ref="B4">Sites[State]</f>
        <v>CT</v>
      </c>
      <c r="C4" s="19">
        <v>7803.56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40" t="s">
        <v>22</v>
      </c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2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2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2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2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2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2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2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2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2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2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2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2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2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2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2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2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2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2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2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2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2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2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2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2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2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2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2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2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2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2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2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2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2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2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2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2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2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2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2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2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2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2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2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2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2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2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2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2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2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2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2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2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2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2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2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2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2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2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2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2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2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2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2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2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2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2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2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2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2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2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2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2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2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2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2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2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2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2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2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2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2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2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2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2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2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2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2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2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2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2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2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2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2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2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2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2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2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2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2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2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2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2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2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2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2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2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2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2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2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2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2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2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2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2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2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2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2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2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2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2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2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2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2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2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2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2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2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2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2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2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2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2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2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2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2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2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2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2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2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2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2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2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2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2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2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2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2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2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2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2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2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2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2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2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2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2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2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2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2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2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2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2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2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2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2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2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2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2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2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2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2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2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2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2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2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2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2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2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2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2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2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2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2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2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2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2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2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2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2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2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2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2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2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2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2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2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2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2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2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2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2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2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2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2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2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2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2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2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2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2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2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2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2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2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2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2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2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2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2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2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2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2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2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2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2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2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2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2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2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2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2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2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2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2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2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2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2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2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2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2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2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2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2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2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2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2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2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2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2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2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2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2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2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2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2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2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2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2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2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2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2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2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2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2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2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2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2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2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2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2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2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2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2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2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2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2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2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2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2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2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2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2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2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2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2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2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2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2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2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2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2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2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2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2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2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2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2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2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2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2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2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2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2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2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2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2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2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2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2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2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2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3.9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6"/>
  <sheetViews>
    <sheetView zoomScale="80" zoomScaleNormal="80" workbookViewId="0">
      <pane xSplit="2" ySplit="3" topLeftCell="G4" activePane="bottomRight" state="frozen"/>
      <selection pane="bottomRight" activeCell="G22" sqref="G22"/>
      <selection pane="bottomLeft" activeCell="H13" sqref="H13"/>
      <selection pane="topRight" activeCell="H13" sqref="H13"/>
    </sheetView>
  </sheetViews>
  <sheetFormatPr defaultRowHeight="13.5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5.42578125" customWidth="1"/>
  </cols>
  <sheetData>
    <row r="1" spans="1:11" ht="19.5" customHeight="1">
      <c r="A1" s="44" t="str" cm="1">
        <f t="array" ref="A1">portfolio</f>
        <v>Bio-Med Devices</v>
      </c>
      <c r="B1" s="44"/>
      <c r="C1" s="44"/>
      <c r="D1" s="45" t="s">
        <v>25</v>
      </c>
      <c r="E1" s="45"/>
      <c r="F1" s="45"/>
      <c r="G1" s="43" t="s">
        <v>26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SUM(C4:C74)</f>
        <v>13737.99</v>
      </c>
      <c r="D2" s="5">
        <f>SUM(D4:D74)</f>
        <v>0</v>
      </c>
      <c r="E2" s="5">
        <f>C2-D2</f>
        <v>13737.99</v>
      </c>
      <c r="F2" s="6">
        <f>IFERROR(E2/D2, 0)</f>
        <v>0</v>
      </c>
      <c r="G2" s="5">
        <f>SUM(G4:G74)</f>
        <v>0</v>
      </c>
      <c r="H2" s="7">
        <f>C2-G2</f>
        <v>13737.99</v>
      </c>
      <c r="I2" s="6">
        <f>IFERROR(H2/G2, 0)</f>
        <v>0</v>
      </c>
      <c r="J2" s="21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>
        <v>13737.99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40" t="s">
        <v>22</v>
      </c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2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2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2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2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2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2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2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2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2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2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2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2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2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2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2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2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2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2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2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2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2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2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2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2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2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2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2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2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2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2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2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2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2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2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2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2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2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2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2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2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2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2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2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2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2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2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2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2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2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2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2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2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2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2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2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2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2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2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2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2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2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2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2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2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2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2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2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2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2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2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2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2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2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2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2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2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2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2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2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2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2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2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2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2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2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2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2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2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2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2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2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2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2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2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2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2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2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2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2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2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2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2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2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2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2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2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2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2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2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2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2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2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2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2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2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2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2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2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2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2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2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2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2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2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2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2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2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2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2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2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2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2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2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2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2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2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2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2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2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2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2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2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2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2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2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2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2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2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2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2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2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2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2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2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2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2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2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2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2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2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2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2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2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2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2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2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2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2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2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2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2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2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2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2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2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2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2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2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2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2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2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2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2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2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2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2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2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2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2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2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2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2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2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2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2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2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2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2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2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2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2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2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2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2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2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2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2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2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2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2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2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2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2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2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2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2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2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2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2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2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2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2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2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2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2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2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2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2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2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2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2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2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2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2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2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2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2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2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2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2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2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2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2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2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2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2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2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2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2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2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2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2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2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2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2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2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2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2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2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2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2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2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2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2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2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2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2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2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2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2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2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2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2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2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2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2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2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2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2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2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2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2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2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2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2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2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2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2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2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2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2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2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2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2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2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2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2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2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2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2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2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2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2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2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2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2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2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2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2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2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2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3.9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6"/>
  <sheetViews>
    <sheetView zoomScale="80" zoomScaleNormal="80" workbookViewId="0">
      <pane xSplit="2" ySplit="3" topLeftCell="C4" activePane="bottomRight" state="frozen"/>
      <selection pane="bottomRight" activeCell="J16" sqref="J16"/>
      <selection pane="bottomLeft" activeCell="H13" sqref="H13"/>
      <selection pane="topRight" activeCell="H13" sqref="H13"/>
    </sheetView>
  </sheetViews>
  <sheetFormatPr defaultRowHeight="13.5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Bio-Med Devices</v>
      </c>
      <c r="B1" s="44"/>
      <c r="C1" s="44"/>
      <c r="D1" s="45" t="s">
        <v>27</v>
      </c>
      <c r="E1" s="45"/>
      <c r="F1" s="45"/>
      <c r="G1" s="43" t="s">
        <v>28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SUM(C4:C74)</f>
        <v>15959.65</v>
      </c>
      <c r="D2" s="5">
        <f>SUM(D4:D74)</f>
        <v>0</v>
      </c>
      <c r="E2" s="5">
        <f>C2-D2</f>
        <v>15959.65</v>
      </c>
      <c r="F2" s="6">
        <f>IFERROR(E2/D2, 0)</f>
        <v>0</v>
      </c>
      <c r="G2" s="5">
        <f>SUM(G4:G74)</f>
        <v>0</v>
      </c>
      <c r="H2" s="7">
        <f>C2-G2</f>
        <v>15959.65</v>
      </c>
      <c r="I2" s="6">
        <f>IFERROR(H2/G2, 0)</f>
        <v>0</v>
      </c>
      <c r="J2" s="21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>
        <v>15959.65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40" t="s">
        <v>22</v>
      </c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2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2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2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2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2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2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2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2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2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2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2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2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2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2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2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2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2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2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2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2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2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2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2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2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2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2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2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2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2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2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2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2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2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2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2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2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2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2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2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2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2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2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2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2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2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2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2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2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2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2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2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2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2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2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2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2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2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2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2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2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2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2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2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2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2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2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2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2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2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2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2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2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2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2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2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2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2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2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2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2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2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2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2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2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2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2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2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2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2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2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2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2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2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2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2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2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2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2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2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2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2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2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2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2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2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2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2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2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2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2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2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2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2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2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2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2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2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2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2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2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2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2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2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2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2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2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2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2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2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2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2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2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2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2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2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2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2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2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2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2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2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2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2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2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2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2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2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2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2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2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2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2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2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2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2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2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2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2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2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2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2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2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2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2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2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2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2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2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2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2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2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2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2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2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2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2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2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2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2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2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2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2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2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2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2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2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2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2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2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2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2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2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2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2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2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2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2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2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2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2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2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2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2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2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2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2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2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2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2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2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2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2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2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2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2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2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2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2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2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2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2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2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2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2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2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2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2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2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2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2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2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2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2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2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2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2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2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2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2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2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2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2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2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2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2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2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2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2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2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2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2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2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2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2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2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2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2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2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2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2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2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2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2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2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2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2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2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2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2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2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2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2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2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2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2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2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2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2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2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2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2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2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2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2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2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2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2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2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2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2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2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2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2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2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2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2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2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2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2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2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2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2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2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2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2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2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2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2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2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2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2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3.9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6"/>
  <sheetViews>
    <sheetView zoomScale="80" zoomScaleNormal="80" workbookViewId="0">
      <pane xSplit="2" ySplit="3" topLeftCell="D4" activePane="bottomRight" state="frozen"/>
      <selection pane="bottomRight" activeCell="K4" sqref="K4"/>
      <selection pane="bottomLeft" activeCell="H13" sqref="H13"/>
      <selection pane="topRight" activeCell="H13" sqref="H13"/>
    </sheetView>
  </sheetViews>
  <sheetFormatPr defaultRowHeight="13.5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Bio-Med Devices</v>
      </c>
      <c r="B1" s="44"/>
      <c r="C1" s="44"/>
      <c r="D1" s="45" t="s">
        <v>29</v>
      </c>
      <c r="E1" s="45"/>
      <c r="F1" s="45"/>
      <c r="G1" s="43" t="s">
        <v>30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SUM(C4:C74)</f>
        <v>15617.61</v>
      </c>
      <c r="D2" s="5">
        <f>SUM(D4:D74)</f>
        <v>0</v>
      </c>
      <c r="E2" s="5">
        <f>C2-D2</f>
        <v>15617.61</v>
      </c>
      <c r="F2" s="6">
        <f>IFERROR(E2/D2, 0)</f>
        <v>0</v>
      </c>
      <c r="G2" s="5">
        <f>SUM(G4:G74)</f>
        <v>0</v>
      </c>
      <c r="H2" s="7">
        <f>C2-G2</f>
        <v>15617.61</v>
      </c>
      <c r="I2" s="6">
        <f>IFERROR(H2/G2, 0)</f>
        <v>0</v>
      </c>
      <c r="J2" s="21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28.5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>
        <v>15617.61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40" t="s">
        <v>22</v>
      </c>
      <c r="H4" s="13" t="str">
        <f>IF(AND(ISNUMBER(C4),ISNUMBER(G4)), C4-G4, "")</f>
        <v/>
      </c>
      <c r="I4" s="14" t="str">
        <f>IFERROR(H4/G4, "")</f>
        <v/>
      </c>
      <c r="J4" s="33" t="s">
        <v>31</v>
      </c>
      <c r="K4" s="42" t="s">
        <v>32</v>
      </c>
    </row>
    <row r="5" spans="1:11" ht="14.2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2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2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2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2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2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2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2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2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2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2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2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2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2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2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2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2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2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2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2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2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2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2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2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2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2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2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2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2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2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2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2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2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2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2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2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2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2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2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2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2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2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2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2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2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2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2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2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2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2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2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2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2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2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2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2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2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2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2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2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2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2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2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2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2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2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2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2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2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2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2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2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2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2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2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2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2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2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2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2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2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2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2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2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2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2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2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2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2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2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2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2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2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2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2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2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2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2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2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2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2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2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2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2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2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2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2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2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2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2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2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2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2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2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2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2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2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2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2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2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2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2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2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2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2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2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2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2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2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2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2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2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2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2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2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2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2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2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2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2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2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2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2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2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2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2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2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2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2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2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2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2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2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2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2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2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2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2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2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2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2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2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2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2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2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2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2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2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2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2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2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2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2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2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2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2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2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2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2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2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2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2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2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2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2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2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2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2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2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2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2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2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2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2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2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2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2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2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2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2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2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2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2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2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2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2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2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2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2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2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2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2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2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2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2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2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2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2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2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2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2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2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2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2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2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2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2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2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2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2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2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2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2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2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2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2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2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2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2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2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2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2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2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2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2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2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2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2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2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2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2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2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2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2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2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2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2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2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2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2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2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2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2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2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2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2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2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2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2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2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2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2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2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2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2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2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2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2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2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2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2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2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2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2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2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2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2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2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2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2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2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2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2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2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2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2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2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2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2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2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2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2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2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2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2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2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2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2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2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2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2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3.9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hyperlinks>
    <hyperlink ref="K4" r:id="rId1" display="https://us3.assetplanner.com/service_request?ID=101722" xr:uid="{1F639BD2-5358-4C86-B9AF-B9FBD62D136B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6"/>
  <sheetViews>
    <sheetView zoomScale="80" zoomScaleNormal="80" workbookViewId="0">
      <pane xSplit="2" ySplit="3" topLeftCell="C4" activePane="bottomRight" state="frozen"/>
      <selection pane="bottomRight" activeCell="E10" sqref="E10"/>
      <selection pane="bottomLeft" activeCell="H13" sqref="H13"/>
      <selection pane="topRight" activeCell="H13" sqref="H13"/>
    </sheetView>
  </sheetViews>
  <sheetFormatPr defaultRowHeight="13.5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Bio-Med Devices</v>
      </c>
      <c r="B1" s="44"/>
      <c r="C1" s="44"/>
      <c r="D1" s="45" t="s">
        <v>33</v>
      </c>
      <c r="E1" s="45"/>
      <c r="F1" s="45"/>
      <c r="G1" s="43" t="s">
        <v>34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SUM(C4:C74)</f>
        <v>17302.95</v>
      </c>
      <c r="D2" s="5">
        <f>SUM(D4:D74)</f>
        <v>0</v>
      </c>
      <c r="E2" s="5">
        <f>C2-D2</f>
        <v>17302.95</v>
      </c>
      <c r="F2" s="6">
        <f>IFERROR(E2/D2, 0)</f>
        <v>0</v>
      </c>
      <c r="G2" s="5">
        <f>SUM(G4:G74)</f>
        <v>0</v>
      </c>
      <c r="H2" s="7">
        <f>C2-G2</f>
        <v>17302.95</v>
      </c>
      <c r="I2" s="6">
        <f>IFERROR(H2/G2, 0)</f>
        <v>0</v>
      </c>
      <c r="J2" s="21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>
        <v>17302.95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41" t="s">
        <v>22</v>
      </c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2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2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2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2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2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2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2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2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2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2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2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2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2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2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2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2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2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2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2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2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2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2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2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2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2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2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2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2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2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2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2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2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2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2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2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2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2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2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2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2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2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2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2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2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2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2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2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2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2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2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2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2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2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2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2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2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2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2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2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2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2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2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2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2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2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2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2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2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2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2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2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2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2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2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2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2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2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2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2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2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2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2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2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2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2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2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2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2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2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2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2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2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2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2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2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2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2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2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2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2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2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2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2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2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2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2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2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2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2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2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2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2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2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2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2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2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2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2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2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2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2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2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2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2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2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2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2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2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2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2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2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2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2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2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2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2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2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2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2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2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2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2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2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2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2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2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2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2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2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2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2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2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2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2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2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2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2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2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2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2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2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2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2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2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2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2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2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2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2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2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2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2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2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2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2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2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2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2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2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2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2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2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2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2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2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2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2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2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2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2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2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2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2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2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2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2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2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2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2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2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2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2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2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2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2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2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2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2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2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2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2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2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2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2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2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2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2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2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2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2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2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2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2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2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2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2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2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2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2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2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2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2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2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2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2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2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2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2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2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2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2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2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2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2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2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2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2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2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2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2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2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2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2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2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2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2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2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2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2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2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2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2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2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2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2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2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2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2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2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2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2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2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2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2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2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2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2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2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2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2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2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2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2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2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2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2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2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2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2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2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2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2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2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2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2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2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2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2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2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2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2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2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2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2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2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2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2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2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2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2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2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3.9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6"/>
  <sheetViews>
    <sheetView zoomScale="80" zoomScaleNormal="80" workbookViewId="0">
      <pane xSplit="2" ySplit="3" topLeftCell="C4" activePane="bottomRight" state="frozen"/>
      <selection pane="bottomRight" activeCell="E12" sqref="E12"/>
      <selection pane="bottomLeft" activeCell="H13" sqref="H13"/>
      <selection pane="topRight" activeCell="H13" sqref="H13"/>
    </sheetView>
  </sheetViews>
  <sheetFormatPr defaultRowHeight="13.5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Bio-Med Devices</v>
      </c>
      <c r="B1" s="44"/>
      <c r="C1" s="44"/>
      <c r="D1" s="45" t="s">
        <v>35</v>
      </c>
      <c r="E1" s="45"/>
      <c r="F1" s="45"/>
      <c r="G1" s="43" t="s">
        <v>36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SUM(C4:C74)</f>
        <v>19037.09</v>
      </c>
      <c r="D2" s="5">
        <f>SUM(D4:D74)</f>
        <v>0</v>
      </c>
      <c r="E2" s="5">
        <f>C2-D2</f>
        <v>19037.09</v>
      </c>
      <c r="F2" s="6">
        <f>IFERROR(E2/D2, 0)</f>
        <v>0</v>
      </c>
      <c r="G2" s="5">
        <f>SUM(G4:G74)</f>
        <v>0</v>
      </c>
      <c r="H2" s="7">
        <f>C2-G2</f>
        <v>19037.09</v>
      </c>
      <c r="I2" s="6">
        <f>IFERROR(H2/G2, 0)</f>
        <v>0</v>
      </c>
      <c r="J2" s="21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>
        <v>19037.09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41" t="s">
        <v>22</v>
      </c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2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2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2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2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2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2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2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2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2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2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2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2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2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2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2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2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2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2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2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2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2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2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2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2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2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2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2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2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2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2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2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2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2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2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2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2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2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2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2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2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2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2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2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2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2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2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2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2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2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2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2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2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2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2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2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2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2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2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2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2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2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2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2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2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2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2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2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2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2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2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2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2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2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2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2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2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2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2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2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2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2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2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2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2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2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2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2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2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2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2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2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2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2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2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2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2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2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2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2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2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2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2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2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2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2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2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2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2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2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2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2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2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2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2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2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2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2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2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2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2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2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2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2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2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2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2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2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2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2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2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2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2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2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2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2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2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2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2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2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2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2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2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2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2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2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2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2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2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2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2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2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2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2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2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2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2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2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2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2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2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2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2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2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2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2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2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2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2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2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2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2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2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2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2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2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2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2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2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2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2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2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2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2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2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2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2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2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2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2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2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2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2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2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2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2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2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2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2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2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2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2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2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2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2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2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2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2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2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2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2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2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2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2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2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2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2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2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2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2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2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2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2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2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2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2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2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2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2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2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2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2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2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2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2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2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2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2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2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2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2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2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2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2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2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2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2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2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2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2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2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2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2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2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2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2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2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2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2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2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2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2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2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2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2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2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2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2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2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2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2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2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2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2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2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2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2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2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2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2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2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2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2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2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2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2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2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2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2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2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2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2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2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2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2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2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2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2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2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2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2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2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2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2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2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2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2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2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2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2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2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2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3.9">
      <c r="C316" s="16"/>
      <c r="D316" s="16"/>
      <c r="E316" s="16"/>
      <c r="F316" s="17"/>
      <c r="G316" s="16"/>
      <c r="H316" s="16"/>
      <c r="I316" s="17"/>
      <c r="J316" s="16"/>
      <c r="K316" s="16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4 I4:I74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6"/>
  <sheetViews>
    <sheetView zoomScale="80" zoomScaleNormal="80" workbookViewId="0">
      <pane xSplit="2" ySplit="3" topLeftCell="C4" activePane="bottomRight" state="frozen"/>
      <selection pane="bottomRight" activeCell="J20" sqref="J19:J20"/>
      <selection pane="bottomLeft" activeCell="H13" sqref="H13"/>
      <selection pane="topRight" activeCell="H13" sqref="H13"/>
    </sheetView>
  </sheetViews>
  <sheetFormatPr defaultRowHeight="13.5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Bio-Med Devices</v>
      </c>
      <c r="B1" s="44"/>
      <c r="C1" s="44"/>
      <c r="D1" s="45" t="s">
        <v>37</v>
      </c>
      <c r="E1" s="45"/>
      <c r="F1" s="45"/>
      <c r="G1" s="43" t="s">
        <v>38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SUM(C4:C74)</f>
        <v>18340.03</v>
      </c>
      <c r="D2" s="5">
        <f>SUM(D4:D74)</f>
        <v>0</v>
      </c>
      <c r="E2" s="5">
        <f>C2-D2</f>
        <v>18340.03</v>
      </c>
      <c r="F2" s="6">
        <f>IFERROR(E2/D2, 0)</f>
        <v>0</v>
      </c>
      <c r="G2" s="5">
        <f>SUM(G4:G74)</f>
        <v>0</v>
      </c>
      <c r="H2" s="7">
        <f>C2-G2</f>
        <v>18340.03</v>
      </c>
      <c r="I2" s="6">
        <f>IFERROR(H2/G2, 0)</f>
        <v>0</v>
      </c>
      <c r="J2" s="21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>
        <v>18340.03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40" t="s">
        <v>22</v>
      </c>
      <c r="H4" s="13" t="str">
        <f>IF(AND(ISNUMBER(C4),ISNUMBER(G4)), C4-G4, "")</f>
        <v/>
      </c>
      <c r="I4" s="14" t="str">
        <f>IFERROR(H4/G4, "")</f>
        <v/>
      </c>
      <c r="J4" s="33" t="s">
        <v>39</v>
      </c>
      <c r="K4" s="42" t="s">
        <v>40</v>
      </c>
    </row>
    <row r="5" spans="1:11" ht="14.2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2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2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2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2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2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2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2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2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2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2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2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2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2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2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2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2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2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2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2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2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2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2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2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2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2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2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2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2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2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2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2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2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2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2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2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2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2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2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2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2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2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2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2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2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2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2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2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2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2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2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2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2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2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2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2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2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2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2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2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2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2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2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2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2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2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2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2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2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2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2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2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2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2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2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2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2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2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2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2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2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2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2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2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2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2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2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2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2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2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2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2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2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2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2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2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2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2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2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2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2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2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2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2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2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2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2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2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2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2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2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2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2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2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2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2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2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2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2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2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2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2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2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2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2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2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2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2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2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2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2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2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2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2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2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2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2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2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2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2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2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2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2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2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2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2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2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2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2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2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2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2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2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2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2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2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2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2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2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2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2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2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2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2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2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2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2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2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2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2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2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2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2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2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2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2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2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2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2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2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2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2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2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2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2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2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2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2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2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2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2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2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2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2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2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2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2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2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2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2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2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2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2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2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2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2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2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2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2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2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2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2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2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2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2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2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2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2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2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2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2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2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2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2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2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2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2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2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2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2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2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2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2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2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2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2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2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2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2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2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2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2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2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2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2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2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2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2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2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2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2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2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2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2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2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2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2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2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2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2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2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2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2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2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2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2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2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2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2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2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2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2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2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2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2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2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2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2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2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2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2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2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2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2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2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2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2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2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2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2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2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2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2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2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2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2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2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2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2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2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2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2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2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2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2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2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2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2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2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2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2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3.9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hyperlinks>
    <hyperlink ref="K4" r:id="rId1" display="https://us3.assetplanner.com/service_request?ID=105898" xr:uid="{6804AD27-56E8-40D7-BB72-FC367D270999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6"/>
  <sheetViews>
    <sheetView zoomScale="80" zoomScaleNormal="80" workbookViewId="0">
      <pane xSplit="2" ySplit="3" topLeftCell="C4" activePane="bottomRight" state="frozen"/>
      <selection pane="bottomRight" activeCell="D30" sqref="D30"/>
      <selection pane="bottomLeft" activeCell="H13" sqref="H13"/>
      <selection pane="topRight" activeCell="H13" sqref="H13"/>
    </sheetView>
  </sheetViews>
  <sheetFormatPr defaultRowHeight="13.5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Bio-Med Devices</v>
      </c>
      <c r="B1" s="44"/>
      <c r="C1" s="44"/>
      <c r="D1" s="45" t="s">
        <v>41</v>
      </c>
      <c r="E1" s="45"/>
      <c r="F1" s="45"/>
      <c r="G1" s="43" t="s">
        <v>42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SUM(C4:C74)</f>
        <v>14167.34</v>
      </c>
      <c r="D2" s="5">
        <f>SUM(D4:D74)</f>
        <v>0</v>
      </c>
      <c r="E2" s="5">
        <f>C2-D2</f>
        <v>14167.34</v>
      </c>
      <c r="F2" s="6">
        <f>IFERROR(E2/D2, 0)</f>
        <v>0</v>
      </c>
      <c r="G2" s="5">
        <f>SUM(G4:G74)</f>
        <v>0</v>
      </c>
      <c r="H2" s="7">
        <f>C2-G2</f>
        <v>14167.34</v>
      </c>
      <c r="I2" s="6">
        <f>IFERROR(H2/G2, 0)</f>
        <v>0</v>
      </c>
      <c r="J2" s="21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>
        <v>14167.34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40" t="s">
        <v>22</v>
      </c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2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2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2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2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2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2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2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2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2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2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2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2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2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2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2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2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2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2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2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2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2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2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2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2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2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2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2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2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2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2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2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2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2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2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2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2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2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2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2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2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2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2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2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2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2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2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2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2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2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2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2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2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2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2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2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2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2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2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2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2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2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2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2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2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2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2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2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2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2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2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2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2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2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2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2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2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2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2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2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2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2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2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2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2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2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2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2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2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2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2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2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2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2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2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2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2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2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2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2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2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2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2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2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2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2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2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2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2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2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2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2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2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2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2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2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2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2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2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2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2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2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2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2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2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2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2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2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2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2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2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2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2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2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2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2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2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2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2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2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2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2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2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2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2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2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2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2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2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2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2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2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2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2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2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2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2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2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2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2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2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2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2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2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2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2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2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2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2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2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2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2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2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2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2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2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2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2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2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2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2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2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2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2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2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2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2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2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2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2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2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2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2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2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2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2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2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2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2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2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2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2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2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2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2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2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2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2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2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2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2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2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2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2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2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2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2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2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2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2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2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2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2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2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2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2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2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2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2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2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2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2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2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2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2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2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2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2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2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2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2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2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2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2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2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2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2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2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2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2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2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2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2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2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2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2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2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2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2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2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2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2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2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2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2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2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2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2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2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2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2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2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2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2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2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2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2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2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2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2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2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2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2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2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2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2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2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2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2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2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2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2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2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2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2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2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2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2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2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2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2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2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2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2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2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2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2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2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2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2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2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2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3.9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6"/>
  <sheetViews>
    <sheetView zoomScale="80" zoomScaleNormal="80" workbookViewId="0">
      <pane xSplit="2" ySplit="3" topLeftCell="C4" activePane="bottomRight" state="frozen"/>
      <selection pane="bottomRight" activeCell="H13" sqref="H13"/>
      <selection pane="bottomLeft" activeCell="H13" sqref="H13"/>
      <selection pane="topRight" activeCell="H13" sqref="H13"/>
    </sheetView>
  </sheetViews>
  <sheetFormatPr defaultRowHeight="13.5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Bio-Med Devices</v>
      </c>
      <c r="B1" s="44"/>
      <c r="C1" s="44"/>
      <c r="D1" s="45" t="s">
        <v>43</v>
      </c>
      <c r="E1" s="45"/>
      <c r="F1" s="45"/>
      <c r="G1" s="43" t="s">
        <v>44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SUM(C4:C74)</f>
        <v>0</v>
      </c>
      <c r="D2" s="5">
        <f>SUM(D4:D74)</f>
        <v>0</v>
      </c>
      <c r="E2" s="5">
        <f>C2-D2</f>
        <v>0</v>
      </c>
      <c r="F2" s="6">
        <f>IFERROR(E2/D2, 0)</f>
        <v>0</v>
      </c>
      <c r="G2" s="5">
        <f>SUM(G4:G74)</f>
        <v>0</v>
      </c>
      <c r="H2" s="7">
        <f>C2-G2</f>
        <v>0</v>
      </c>
      <c r="I2" s="6">
        <f>IFERROR(H2/G2, 0)</f>
        <v>0</v>
      </c>
      <c r="J2" s="21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2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2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2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2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2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2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2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2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2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2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2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2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2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2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2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2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2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2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2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2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2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2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2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2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2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2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2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2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2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2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2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2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2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2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2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2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2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2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2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2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2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2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2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2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2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2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2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2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2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2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2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2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2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2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2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2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2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2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2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2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2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2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2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2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2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2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2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2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2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2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2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2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2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2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2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2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2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2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2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2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2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2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2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2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2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2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2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2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2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2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2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2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2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2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2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2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2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2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2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2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2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2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2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2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2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2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2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2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2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2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2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2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2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2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2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2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2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2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2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2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2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2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2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2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2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2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2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2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2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2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2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2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2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2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2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2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2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2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2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2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2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2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2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2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2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2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2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2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2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2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2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2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2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2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2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2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2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2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2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2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2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2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2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2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2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2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2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2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2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2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2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2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2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2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2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2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2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2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2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2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2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2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2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2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2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2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2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2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2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2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2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2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2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2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2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2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2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2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2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2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2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2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2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2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2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2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2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2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2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2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2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2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2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2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2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2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2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2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2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2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2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2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2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2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2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2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2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2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2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2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2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2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2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2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2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2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2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2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2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2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2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2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2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2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2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2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2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2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2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2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2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2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2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2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2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2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2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2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2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2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2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2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2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2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2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2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2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2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2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2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2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2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2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2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2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2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2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2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2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2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2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2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2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2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2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2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2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2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2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2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2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2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2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2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2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2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2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2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2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2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2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2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2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2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2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2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2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2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2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2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2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3.9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6"/>
  <sheetViews>
    <sheetView zoomScale="80" zoomScaleNormal="80" workbookViewId="0">
      <pane xSplit="2" ySplit="3" topLeftCell="C4" activePane="bottomRight" state="frozen"/>
      <selection pane="bottomRight" activeCell="H13" sqref="H13"/>
      <selection pane="bottomLeft" activeCell="H13" sqref="H13"/>
      <selection pane="topRight" activeCell="H13" sqref="H13"/>
    </sheetView>
  </sheetViews>
  <sheetFormatPr defaultRowHeight="13.5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Bio-Med Devices</v>
      </c>
      <c r="B1" s="44"/>
      <c r="C1" s="44"/>
      <c r="D1" s="45" t="s">
        <v>45</v>
      </c>
      <c r="E1" s="45"/>
      <c r="F1" s="45"/>
      <c r="G1" s="43" t="s">
        <v>46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SUM(C4:C74)</f>
        <v>0</v>
      </c>
      <c r="D2" s="5">
        <f>SUM(D4:D74)</f>
        <v>0</v>
      </c>
      <c r="E2" s="5">
        <f>C2-D2</f>
        <v>0</v>
      </c>
      <c r="F2" s="6">
        <f>IFERROR(E2/D2, 0)</f>
        <v>0</v>
      </c>
      <c r="G2" s="5">
        <f>SUM(G4:G74)</f>
        <v>0</v>
      </c>
      <c r="H2" s="7">
        <f>C2-G2</f>
        <v>0</v>
      </c>
      <c r="I2" s="6">
        <f>IFERROR(H2/G2, 0)</f>
        <v>0</v>
      </c>
      <c r="J2" s="21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2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2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2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2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2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2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2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2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2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2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2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2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2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2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2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2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2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2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2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2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2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2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2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2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2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2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2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2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2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2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2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2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2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2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2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2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2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2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2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2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2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2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2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2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2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2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2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2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2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2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2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2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2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2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2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2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2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2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2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2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2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2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2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2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2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2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2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2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2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2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2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2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2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2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2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2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2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2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2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2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2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2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2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2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2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2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2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2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2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2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2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2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2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2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2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2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2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2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2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2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2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2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2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2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2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2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2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2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2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2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2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2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2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2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2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2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2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2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2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2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2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2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2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2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2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2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2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2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2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2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2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2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2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2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2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2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2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2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2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2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2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2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2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2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2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2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2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2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2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2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2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2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2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2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2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2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2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2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2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2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2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2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2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2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2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2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2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2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2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2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2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2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2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2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2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2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2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2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2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2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2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2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2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2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2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2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2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2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2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2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2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2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2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2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2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2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2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2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2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2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2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2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2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2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2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2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2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2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2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2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2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2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2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2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2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2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2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2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2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2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2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2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2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2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2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2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2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2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2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2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2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2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2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2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2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2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2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2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2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2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2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2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2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2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2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2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2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2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2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2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2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2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2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2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2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2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2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2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2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2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2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2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2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2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2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2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2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2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2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2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2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2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2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2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2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2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2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2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2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2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2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2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2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2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2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2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2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2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2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2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2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2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2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2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2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2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2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2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2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2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2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2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2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2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2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2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2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2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2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2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2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3.9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6"/>
  <sheetViews>
    <sheetView zoomScale="80" zoomScaleNormal="80" workbookViewId="0">
      <pane xSplit="2" ySplit="3" topLeftCell="C4" activePane="bottomRight" state="frozen"/>
      <selection pane="bottomRight" activeCell="H13" sqref="H13"/>
      <selection pane="bottomLeft" activeCell="J16" sqref="J16"/>
      <selection pane="topRight" activeCell="J16" sqref="J16"/>
    </sheetView>
  </sheetViews>
  <sheetFormatPr defaultRowHeight="13.5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Bio-Med Devices</v>
      </c>
      <c r="B1" s="44"/>
      <c r="C1" s="44"/>
      <c r="D1" s="45" t="s">
        <v>47</v>
      </c>
      <c r="E1" s="45"/>
      <c r="F1" s="45"/>
      <c r="G1" s="43" t="s">
        <v>48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SUM(C4:C74)</f>
        <v>0</v>
      </c>
      <c r="D2" s="5">
        <f>SUM(D4:D74)</f>
        <v>0</v>
      </c>
      <c r="E2" s="5">
        <f>C2-D2</f>
        <v>0</v>
      </c>
      <c r="F2" s="6">
        <f>IFERROR(E2/D2, 0)</f>
        <v>0</v>
      </c>
      <c r="G2" s="5">
        <f>SUM(G4:G74)</f>
        <v>0</v>
      </c>
      <c r="H2" s="7">
        <f>C2-G2</f>
        <v>0</v>
      </c>
      <c r="I2" s="6">
        <f>IFERROR(H2/G2, 0)</f>
        <v>0</v>
      </c>
      <c r="J2" s="21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2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2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2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2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2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2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2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2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2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2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2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2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2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2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2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2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2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2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2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2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2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2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2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2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2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2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2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2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2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2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2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2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2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2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2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2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2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2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2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2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2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2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2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2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2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2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2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2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2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2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2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2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2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2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2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2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2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2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2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2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2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2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2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2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2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2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2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2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2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2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2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2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2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2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2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2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2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2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2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2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2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2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2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2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2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2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2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2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2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2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2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2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2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2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2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2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2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2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2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2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2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2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2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2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2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2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2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2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2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2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2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2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2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2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2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2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2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2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2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2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2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2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2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2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2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2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2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2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2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2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2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2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2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2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2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2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2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2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2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2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2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2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2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2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2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2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2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2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2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2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2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2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2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2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2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2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2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2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2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2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2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2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2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2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2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2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2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2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2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2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2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2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2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2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2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2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2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2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2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2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2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2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2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2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2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2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2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2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2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2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2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2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2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2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2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2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2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2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2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2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2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2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2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2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2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2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2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2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2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2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2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2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2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2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2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2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2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2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2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2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2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2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2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2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2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2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2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2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2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2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2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2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2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2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2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2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2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2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2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2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2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2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2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2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2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2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2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2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2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2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2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2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2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2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2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2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2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2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2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2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2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2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2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2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2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2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2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2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2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2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2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2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2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2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2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2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2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2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2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2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2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2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2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2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2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2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2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2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2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2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2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2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2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2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2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2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2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2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2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2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2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2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2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2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2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2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2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2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2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2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2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3.9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A4" sqref="A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49</v>
      </c>
      <c r="B1" t="s">
        <v>50</v>
      </c>
    </row>
    <row r="3" spans="1:12">
      <c r="A3" t="s">
        <v>51</v>
      </c>
      <c r="B3" t="s">
        <v>3</v>
      </c>
      <c r="C3" t="s">
        <v>4</v>
      </c>
      <c r="D3" t="s">
        <v>52</v>
      </c>
      <c r="E3" s="2" t="s">
        <v>53</v>
      </c>
    </row>
    <row r="4" spans="1:12" ht="14.25">
      <c r="A4" s="38" t="s">
        <v>50</v>
      </c>
      <c r="B4" t="s">
        <v>54</v>
      </c>
      <c r="C4" s="36" t="s">
        <v>55</v>
      </c>
      <c r="D4" s="35" t="s">
        <v>56</v>
      </c>
      <c r="E4" t="s">
        <v>57</v>
      </c>
      <c r="G4" s="3"/>
    </row>
    <row r="5" spans="1:12" ht="14.25">
      <c r="A5" s="38"/>
      <c r="C5" s="36"/>
      <c r="D5" s="35"/>
      <c r="G5" s="3"/>
    </row>
    <row r="6" spans="1:12" ht="14.25">
      <c r="A6" s="38"/>
      <c r="C6" s="36"/>
      <c r="D6" s="35"/>
      <c r="G6" s="3"/>
    </row>
    <row r="7" spans="1:12" ht="12.75" customHeight="1">
      <c r="A7" s="38"/>
      <c r="C7" s="36"/>
      <c r="D7" s="35"/>
    </row>
    <row r="8" spans="1:12" ht="12.75" customHeight="1">
      <c r="A8" s="38"/>
      <c r="C8" s="36"/>
      <c r="D8" s="35"/>
    </row>
    <row r="9" spans="1:12" ht="12.75" customHeight="1">
      <c r="A9" s="38"/>
      <c r="C9" s="36"/>
      <c r="D9" s="35"/>
    </row>
    <row r="10" spans="1:12" ht="12.75" customHeight="1">
      <c r="A10" s="38"/>
      <c r="C10" s="36"/>
      <c r="D10" s="35"/>
      <c r="K10" s="34"/>
      <c r="L10" s="34"/>
    </row>
    <row r="11" spans="1:12" ht="12.75" customHeight="1">
      <c r="A11" s="38"/>
      <c r="C11" s="36"/>
      <c r="D11" s="35"/>
      <c r="K11" s="34"/>
      <c r="L11" s="34"/>
    </row>
    <row r="12" spans="1:12" ht="12.75" customHeight="1">
      <c r="A12" s="38"/>
      <c r="C12" s="36"/>
      <c r="D12" s="35"/>
      <c r="K12" s="34"/>
      <c r="L12" s="34"/>
    </row>
    <row r="13" spans="1:12" ht="12.75" customHeight="1">
      <c r="A13" s="38"/>
      <c r="C13" s="36"/>
      <c r="D13" s="35"/>
      <c r="K13" s="34"/>
      <c r="L13" s="34"/>
    </row>
    <row r="14" spans="1:12" ht="12.75" customHeight="1">
      <c r="A14" s="38"/>
      <c r="C14" s="36"/>
      <c r="D14" s="35"/>
      <c r="K14" s="34"/>
      <c r="L14" s="34"/>
    </row>
    <row r="15" spans="1:12" ht="12.75" customHeight="1">
      <c r="A15" s="38"/>
      <c r="C15" s="36"/>
      <c r="D15" s="35"/>
      <c r="K15" s="34"/>
      <c r="L15" s="34"/>
    </row>
    <row r="16" spans="1:12" ht="12.75" customHeight="1">
      <c r="A16" s="38"/>
      <c r="C16" s="36"/>
      <c r="D16" s="35"/>
      <c r="K16" s="34"/>
      <c r="L16" s="34"/>
    </row>
    <row r="17" spans="1:12" ht="12.75" customHeight="1">
      <c r="A17" s="38"/>
      <c r="C17" s="36"/>
      <c r="D17" s="35"/>
      <c r="K17" s="34"/>
      <c r="L17" s="34"/>
    </row>
    <row r="18" spans="1:12" ht="12.75" customHeight="1">
      <c r="A18" s="38"/>
      <c r="C18" s="36"/>
      <c r="D18" s="35"/>
      <c r="K18" s="34"/>
      <c r="L18" s="34"/>
    </row>
    <row r="19" spans="1:12" ht="12.75" customHeight="1">
      <c r="A19" s="38"/>
      <c r="C19" s="36"/>
      <c r="D19" s="35"/>
      <c r="K19" s="34"/>
      <c r="L19" s="34"/>
    </row>
    <row r="20" spans="1:12" ht="12.75" customHeight="1">
      <c r="A20" s="38"/>
      <c r="C20" s="36"/>
      <c r="D20" s="35"/>
      <c r="K20" s="34"/>
      <c r="L20" s="34"/>
    </row>
    <row r="21" spans="1:12" ht="12.75" customHeight="1">
      <c r="A21" s="38"/>
      <c r="C21" s="36"/>
      <c r="D21" s="35"/>
      <c r="K21" s="34"/>
      <c r="L21" s="34"/>
    </row>
    <row r="22" spans="1:12" ht="12.75" customHeight="1">
      <c r="A22" s="38"/>
      <c r="C22" s="36"/>
      <c r="D22" s="35"/>
      <c r="K22" s="34"/>
      <c r="L22" s="34"/>
    </row>
    <row r="23" spans="1:12" ht="12.75" customHeight="1">
      <c r="A23" s="38"/>
      <c r="C23" s="36"/>
      <c r="D23" s="35"/>
      <c r="K23" s="34"/>
      <c r="L23" s="34"/>
    </row>
    <row r="24" spans="1:12" ht="12.75" customHeight="1">
      <c r="A24" s="38"/>
      <c r="C24" s="36"/>
      <c r="D24" s="35"/>
      <c r="K24" s="34"/>
      <c r="L24" s="34"/>
    </row>
    <row r="25" spans="1:12" ht="12.75" customHeight="1">
      <c r="A25" s="38"/>
      <c r="C25" s="36"/>
      <c r="D25" s="35"/>
      <c r="K25" s="34"/>
      <c r="L25" s="34"/>
    </row>
    <row r="26" spans="1:12" ht="12.75" customHeight="1">
      <c r="K26" s="34"/>
      <c r="L26" s="34"/>
    </row>
    <row r="27" spans="1:12" ht="12.75" customHeight="1">
      <c r="K27" s="34"/>
      <c r="L27" s="34"/>
    </row>
    <row r="28" spans="1:12" ht="12.75" customHeight="1">
      <c r="K28" s="34"/>
      <c r="L28" s="34"/>
    </row>
    <row r="29" spans="1:12" ht="12.75" customHeight="1">
      <c r="K29" s="34"/>
      <c r="L29" s="34"/>
    </row>
    <row r="30" spans="1:12" ht="12.75" customHeight="1">
      <c r="K30" s="34"/>
      <c r="L30" s="34"/>
    </row>
    <row r="31" spans="1:12" ht="12.75" customHeight="1">
      <c r="K31" s="34"/>
      <c r="L31" s="34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1.xml>��
</file>

<file path=customXml/item12.xml>��
</file>

<file path=customXml/item13.xml>��
</file>

<file path=customXml/item1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e617175f0701a798d4889519864defa7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c69796dc4c5a3e52805b6daf116719ef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9CF5C07-45EB-4100-9AFB-2C6AF77FA787}"/>
</file>

<file path=customXml/itemProps2.xml><?xml version="1.0" encoding="utf-8"?>
<ds:datastoreItem xmlns:ds="http://schemas.openxmlformats.org/officeDocument/2006/customXml" ds:itemID="{7946C510-7D04-49D8-9B25-EEC04582A1CA}"/>
</file>

<file path=customXml/itemProps3.xml><?xml version="1.0" encoding="utf-8"?>
<ds:datastoreItem xmlns:ds="http://schemas.openxmlformats.org/officeDocument/2006/customXml" ds:itemID="{0389C43E-394D-44C0-87DC-4780FCFCFB40}"/>
</file>

<file path=customXml/itemProps4.xml><?xml version="1.0" encoding="utf-8"?>
<ds:datastoreItem xmlns:ds="http://schemas.openxmlformats.org/officeDocument/2006/customXml" ds:itemID="{E20E8303-6A67-485C-B6F4-303542CC295C}"/>
</file>

<file path=customXml/itemProps5.xml><?xml version="1.0" encoding="utf-8"?>
<ds:datastoreItem xmlns:ds="http://schemas.openxmlformats.org/officeDocument/2006/customXml" ds:itemID="{F12EFA50-0068-4A8C-85A0-F1B26389EBC3}"/>
</file>

<file path=customXml/itemProps6.xml><?xml version="1.0" encoding="utf-8"?>
<ds:datastoreItem xmlns:ds="http://schemas.openxmlformats.org/officeDocument/2006/customXml" ds:itemID="{14966E4F-347B-477B-B74C-9DAC05405806}"/>
</file>

<file path=customXml/itemProps7.xml><?xml version="1.0" encoding="utf-8"?>
<ds:datastoreItem xmlns:ds="http://schemas.openxmlformats.org/officeDocument/2006/customXml" ds:itemID="{2BC74AAC-D69B-4AF1-9649-B21EF3C1C463}"/>
</file>

<file path=customXml/itemProps8.xml><?xml version="1.0" encoding="utf-8"?>
<ds:datastoreItem xmlns:ds="http://schemas.openxmlformats.org/officeDocument/2006/customXml" ds:itemID="{E3716282-BFD2-4ED2-BA47-BFA1123827F0}"/>
</file>

<file path=customXml/itemProps9.xml><?xml version="1.0" encoding="utf-8"?>
<ds:datastoreItem xmlns:ds="http://schemas.openxmlformats.org/officeDocument/2006/customXml" ds:itemID="{F6B2B1A1-1C4B-4AC9-9A7D-7A102DD1C942}"/>
</file>

<file path=customXml/itemProps10.xml><?xml version="1.0" encoding="utf-8"?>
<ds:datastoreItem xmlns:ds="http://schemas.openxmlformats.org/officeDocument/2006/customXml" ds:itemID="{8D732231-4216-4543-A665-18A2886B0EB7}"/>
</file>

<file path=customXml/itemProps11.xml><?xml version="1.0" encoding="utf-8"?>
<ds:datastoreItem xmlns:ds="http://schemas.openxmlformats.org/officeDocument/2006/customXml" ds:itemID="{CB52044A-5C0B-44A2-99D0-C1C315EC302D}"/>
</file>

<file path=customXml/itemProps12.xml><?xml version="1.0" encoding="utf-8"?>
<ds:datastoreItem xmlns:ds="http://schemas.openxmlformats.org/officeDocument/2006/customXml" ds:itemID="{1954BBA4-0359-438C-B0EC-A756015F7C02}"/>
</file>

<file path=customXml/itemProps13.xml><?xml version="1.0" encoding="utf-8"?>
<ds:datastoreItem xmlns:ds="http://schemas.openxmlformats.org/officeDocument/2006/customXml" ds:itemID="{98A113BB-8B7A-453C-8BD4-8EFC67FC2D3F}"/>
</file>

<file path=customXml/itemProps14.xml><?xml version="1.0" encoding="utf-8"?>
<ds:datastoreItem xmlns:ds="http://schemas.openxmlformats.org/officeDocument/2006/customXml" ds:itemID="{939D6444-616F-4292-AC8B-E4CE016BD0F4}"/>
</file>

<file path=customXml/itemProps15.xml><?xml version="1.0" encoding="utf-8"?>
<ds:datastoreItem xmlns:ds="http://schemas.openxmlformats.org/officeDocument/2006/customXml" ds:itemID="{66B09F59-6532-46F8-924A-9A02417E070D}"/>
</file>

<file path=customXml/itemProps16.xml><?xml version="1.0" encoding="utf-8"?>
<ds:datastoreItem xmlns:ds="http://schemas.openxmlformats.org/officeDocument/2006/customXml" ds:itemID="{D3A7101F-9A85-4235-8B03-415370C100B2}"/>
</file>

<file path=customXml/itemProps17.xml><?xml version="1.0" encoding="utf-8"?>
<ds:datastoreItem xmlns:ds="http://schemas.openxmlformats.org/officeDocument/2006/customXml" ds:itemID="{078388C9-06F9-42F4-B857-EF76B5CAF1FD}"/>
</file>

<file path=customXml/itemProps18.xml><?xml version="1.0" encoding="utf-8"?>
<ds:datastoreItem xmlns:ds="http://schemas.openxmlformats.org/officeDocument/2006/customXml" ds:itemID="{BE26B669-A686-459C-A5E9-FEC3409C4C81}"/>
</file>

<file path=customXml/itemProps19.xml><?xml version="1.0" encoding="utf-8"?>
<ds:datastoreItem xmlns:ds="http://schemas.openxmlformats.org/officeDocument/2006/customXml" ds:itemID="{BF5C6359-7763-4C37-8EAF-2BC4698CB285}"/>
</file>

<file path=customXml/itemProps20.xml><?xml version="1.0" encoding="utf-8"?>
<ds:datastoreItem xmlns:ds="http://schemas.openxmlformats.org/officeDocument/2006/customXml" ds:itemID="{3AEAA9D8-2182-46BA-A58E-96C72DDA1C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Boughman, Kaylin</cp:lastModifiedBy>
  <cp:revision/>
  <dcterms:created xsi:type="dcterms:W3CDTF">2021-01-01T16:39:53Z</dcterms:created>
  <dcterms:modified xsi:type="dcterms:W3CDTF">2025-10-29T23:08:57Z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2025-10-15T20:25:44Z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06e0b47d-0004-4859-aca5-4645015e57c5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