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8" documentId="13_ncr:1_{7E2AFE0A-006C-4E8A-ACDD-1040B1C1C20B}" xr6:coauthVersionLast="47" xr6:coauthVersionMax="47" xr10:uidLastSave="{BA668EA8-C0F8-4BBE-BCE5-7D2F84D8E96D}"/>
  <bookViews>
    <workbookView xWindow="-108" yWindow="-108" windowWidth="23256" windowHeight="12456" tabRatio="866" firstSheet="6" activeTab="1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30" l="1"/>
  <c r="G4" i="30"/>
  <c r="G4" i="29"/>
  <c r="G5" i="29"/>
  <c r="G5" i="18"/>
  <c r="G4" i="18"/>
  <c r="G4" i="1"/>
  <c r="E4" i="4"/>
  <c r="E4" i="72"/>
  <c r="F4" i="72" s="1"/>
  <c r="E5" i="72"/>
  <c r="F5" i="72" s="1"/>
  <c r="C2" i="3" l="1"/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G5" i="1"/>
  <c r="G5" i="34" s="1"/>
  <c r="G4" i="34"/>
  <c r="D5" i="34"/>
  <c r="B4" i="34" a="1"/>
  <c r="B4" i="34" s="1"/>
  <c r="A4" i="34" a="1"/>
  <c r="A4" i="34" s="1"/>
  <c r="A1" i="34" a="1"/>
  <c r="A1" i="34" s="1"/>
  <c r="D5" i="30"/>
  <c r="C5" i="30"/>
  <c r="D4" i="30"/>
  <c r="C4" i="30"/>
  <c r="D5" i="29"/>
  <c r="C5" i="29"/>
  <c r="D4" i="29"/>
  <c r="C4" i="29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5" i="1"/>
  <c r="C4" i="1"/>
  <c r="D5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I5" i="32"/>
  <c r="F5" i="32"/>
  <c r="I4" i="32"/>
  <c r="F4" i="32"/>
  <c r="G2" i="32"/>
  <c r="D2" i="32"/>
  <c r="C2" i="32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F4" i="4"/>
  <c r="G2" i="4"/>
  <c r="D2" i="4"/>
  <c r="C2" i="4"/>
  <c r="A1" i="4" a="1"/>
  <c r="A1" i="4" s="1"/>
  <c r="G2" i="3"/>
  <c r="H2" i="3" s="1"/>
  <c r="D2" i="3"/>
  <c r="J2" i="3"/>
  <c r="A1" i="3" a="1"/>
  <c r="A1" i="3" s="1"/>
  <c r="H5" i="72"/>
  <c r="I5" i="72" s="1"/>
  <c r="H4" i="72"/>
  <c r="I4" i="72" s="1"/>
  <c r="G2" i="72"/>
  <c r="D2" i="72"/>
  <c r="C2" i="72"/>
  <c r="J2" i="72" s="1"/>
  <c r="A1" i="72" a="1"/>
  <c r="A1" i="72" s="1"/>
  <c r="C5" i="34" l="1"/>
  <c r="E5" i="18"/>
  <c r="F5" i="18" s="1"/>
  <c r="D2" i="18"/>
  <c r="E5" i="30"/>
  <c r="F5" i="30" s="1"/>
  <c r="E4" i="18"/>
  <c r="F4" i="18" s="1"/>
  <c r="D4" i="34"/>
  <c r="D2" i="34" s="1"/>
  <c r="D2" i="29"/>
  <c r="E5" i="29"/>
  <c r="F5" i="29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I2" i="3"/>
  <c r="E5" i="34"/>
  <c r="F5" i="34" s="1"/>
  <c r="G2" i="1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C4" i="34"/>
  <c r="H5" i="18"/>
  <c r="I5" i="18" s="1"/>
  <c r="C2" i="29"/>
  <c r="C2" i="30"/>
  <c r="E4" i="29"/>
  <c r="F4" i="29" s="1"/>
  <c r="C2" i="18"/>
  <c r="H4" i="1"/>
  <c r="H5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5" i="1" l="1"/>
  <c r="H5" i="34"/>
  <c r="I5" i="34" s="1"/>
  <c r="E4" i="34"/>
  <c r="F4" i="34" s="1"/>
  <c r="E2" i="29"/>
  <c r="F2" i="29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<sst xmlns="http://schemas.openxmlformats.org/spreadsheetml/2006/main" count="316" uniqueCount="79">
  <si>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</si>
  <si>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</si>
  <si>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</si>
  <si>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</si>
  <si>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</si>
  <si>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</si>
  <si>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</si>
  <si>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</si>
  <si>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</si>
  <si>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</si>
  <si>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</si>
  <si>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</si>
  <si>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</si>
  <si>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</si>
  <si>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</si>
  <si>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</si>
  <si>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</si>
  <si>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</si>
  <si>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</si>
  <si>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</si>
  <si>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</si>
  <si>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</si>
  <si>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</si>
  <si>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 Inverter 1 is derating at 50KW approximetly 175KW down due to an fan issue since 07/22/24.</t>
  </si>
  <si>
    <t>1. SR087933</t>
  </si>
  <si>
    <t>February Actual v. Expected</t>
  </si>
  <si>
    <t>February Actual v. Forecasted</t>
  </si>
  <si>
    <t>1.Inverters 2,3 were offline from 02/09 and back online on 02/13.</t>
  </si>
  <si>
    <t>1.SR096625</t>
  </si>
  <si>
    <t>1. Inverter 1 is derating at 50KW approximetly 175KW down due to an fan issue since 07/22/24</t>
  </si>
  <si>
    <t>March Actual v. Expected</t>
  </si>
  <si>
    <t>March Actual v. Forecasted</t>
  </si>
  <si>
    <t>1.Inverter 2 tripped offline at 13:10 on 03/07 and back online on 03/08.</t>
  </si>
  <si>
    <t>1.SR098289</t>
  </si>
  <si>
    <t>April Actual v. Expected</t>
  </si>
  <si>
    <t>April Actual v. Forecasted</t>
  </si>
  <si>
    <t>1 Inverter 1 is derating at 50KW approximetly 175KW down due to an fan issue since 07/22/24</t>
  </si>
  <si>
    <t>1.SR087933</t>
  </si>
  <si>
    <t>May Actual v. Expected</t>
  </si>
  <si>
    <t>May Actual v. Forecasted</t>
  </si>
  <si>
    <t>1.Inverter 2 tripped offline at 15:45 on 05/16 and back online on 05/17
2.Inverter 1 was offline from 05/23 and remained offline for rest of the month</t>
  </si>
  <si>
    <t>1.SR101608
2.SR101880</t>
  </si>
  <si>
    <t>SR101880</t>
  </si>
  <si>
    <t>1.Inverter 1 is derating at 50KW approximetly 175KW down due to an fan issue since 07/22/24</t>
  </si>
  <si>
    <t>June Actual v. Expected</t>
  </si>
  <si>
    <t>June Actual v. Forecasted</t>
  </si>
  <si>
    <t>1. Inverter 1 was offline from 05/23 and came back online at 11:45 on 06/18.</t>
  </si>
  <si>
    <t>1. SR101880</t>
  </si>
  <si>
    <t>1.Inverter 1 is derating at 50KW approximetly 175KW down due to an fan issue since 06/22/24
2. Inverter 1 tripped offline at 14:30 on 06/07 and came back online at 19:05 on the same day.
3. The site was offline from 05:00 to 12:00 on 06/25.</t>
  </si>
  <si>
    <t>1. SR087933
2. SR102652
3. SR103516</t>
  </si>
  <si>
    <t>SR102652</t>
  </si>
  <si>
    <t>SR103516</t>
  </si>
  <si>
    <t>July Actual v. Expected</t>
  </si>
  <si>
    <t>July Actual v. Forecasted</t>
  </si>
  <si>
    <t>1.Inverter 1 was deraing at 335kw since 06/18 and remained through out the month.</t>
  </si>
  <si>
    <t>1.SR106453</t>
  </si>
  <si>
    <t>August Actual v. Expected</t>
  </si>
  <si>
    <t>August Actual v. Forecasted</t>
  </si>
  <si>
    <t>September Actual v. Expected</t>
  </si>
  <si>
    <t>September Actual v. Forecasted</t>
  </si>
  <si>
    <t>1. Inverter 1 had been derating at 335 kW since 06/18. It tripped offline at 09:50 on 09/05 and was placed under LOTO. The inverter was under RMA and after the technician replaced the DMGI, it came back online at 12:10 on 09/23.</t>
  </si>
  <si>
    <t>1. SR106453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</si>
  <si>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</si>
  <si>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</si>
  <si>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</si>
  <si>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</si>
  <si>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</si>
  <si>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</si>
  <si>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</si>
  <si>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Walden Liberty</t>
  </si>
  <si>
    <t>Site DAS Name</t>
  </si>
  <si>
    <t>Update</t>
  </si>
  <si>
    <t>DAS</t>
  </si>
  <si>
    <t>Cape Cod Community College</t>
  </si>
  <si>
    <t>CCC College</t>
  </si>
  <si>
    <t>MA</t>
  </si>
  <si>
    <t>A</t>
  </si>
  <si>
    <t>SolrenView</t>
  </si>
  <si>
    <t>Walden Liberty Solar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</si>
</sst>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u/>
      <sz val="10"/>
      <color theme="10"/>
      <name val="Arial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73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4" fillId="36" borderId="1" xfId="0" applyNumberFormat="1" applyFont="1" applyFill="1" applyBorder="1" applyAlignment="1">
      <alignment horizontal="center" vertical="center"/>
    </xf>
    <xf numFmtId="9" fontId="24" fillId="36" borderId="1" xfId="0" applyNumberFormat="1" applyFont="1" applyFill="1" applyBorder="1" applyAlignment="1">
      <alignment horizontal="center" vertical="center"/>
    </xf>
    <xf numFmtId="3" fontId="24" fillId="36" borderId="1" xfId="1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49" fontId="27" fillId="40" borderId="0" xfId="0" applyNumberFormat="1" applyFont="1" applyFill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164" fontId="27" fillId="0" borderId="0" xfId="1" applyNumberFormat="1" applyFont="1" applyBorder="1" applyAlignment="1">
      <alignment horizontal="center" vertical="center"/>
    </xf>
    <xf numFmtId="3" fontId="29" fillId="3" borderId="0" xfId="0" applyNumberFormat="1" applyFont="1" applyFill="1" applyAlignment="1">
      <alignment horizontal="right" vertical="center"/>
    </xf>
    <xf numFmtId="9" fontId="29" fillId="3" borderId="0" xfId="2" applyFont="1" applyFill="1" applyBorder="1" applyAlignment="1">
      <alignment horizontal="center" vertical="center"/>
    </xf>
    <xf numFmtId="3" fontId="29" fillId="4" borderId="0" xfId="1" applyNumberFormat="1" applyFont="1" applyFill="1" applyBorder="1" applyAlignment="1">
      <alignment vertical="center"/>
    </xf>
    <xf numFmtId="9" fontId="29" fillId="37" borderId="0" xfId="2" applyFont="1" applyFill="1" applyBorder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right" vertical="center"/>
    </xf>
    <xf numFmtId="9" fontId="29" fillId="0" borderId="0" xfId="2" applyFont="1" applyFill="1" applyBorder="1" applyAlignment="1">
      <alignment horizontal="center" vertical="center"/>
    </xf>
    <xf numFmtId="3" fontId="29" fillId="0" borderId="0" xfId="1" applyNumberFormat="1" applyFont="1" applyFill="1" applyBorder="1" applyAlignment="1">
      <alignment vertical="center"/>
    </xf>
    <xf numFmtId="0" fontId="31" fillId="0" borderId="0" xfId="0" applyFont="1"/>
    <xf numFmtId="9" fontId="30" fillId="0" borderId="0" xfId="2" applyFont="1" applyAlignment="1">
      <alignment horizontal="center"/>
    </xf>
    <xf numFmtId="0" fontId="28" fillId="43" borderId="1" xfId="0" applyFont="1" applyFill="1" applyBorder="1" applyAlignment="1">
      <alignment horizontal="center" vertical="center" wrapText="1"/>
    </xf>
    <xf numFmtId="164" fontId="27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28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3" fillId="40" borderId="0" xfId="0" applyFont="1" applyFill="1" applyAlignment="1">
      <alignment horizontal="center"/>
    </xf>
    <xf numFmtId="0" fontId="29" fillId="0" borderId="0" xfId="0" applyFont="1"/>
    <xf numFmtId="0" fontId="24" fillId="0" borderId="0" xfId="0" applyFont="1"/>
    <xf numFmtId="0" fontId="23" fillId="41" borderId="1" xfId="0" applyFont="1" applyFill="1" applyBorder="1" applyAlignment="1">
      <alignment horizontal="center" vertical="center" wrapText="1"/>
    </xf>
    <xf numFmtId="9" fontId="23" fillId="41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/>
    </xf>
    <xf numFmtId="0" fontId="23" fillId="42" borderId="1" xfId="0" applyFont="1" applyFill="1" applyBorder="1" applyAlignment="1">
      <alignment horizontal="center" vertical="center" wrapText="1"/>
    </xf>
    <xf numFmtId="9" fontId="23" fillId="42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 vertical="center"/>
    </xf>
    <xf numFmtId="49" fontId="29" fillId="38" borderId="0" xfId="2" applyNumberFormat="1" applyFont="1" applyFill="1" applyBorder="1" applyAlignment="1">
      <alignment vertical="top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164" fontId="27" fillId="0" borderId="0" xfId="1" applyNumberFormat="1" applyFont="1" applyFill="1" applyBorder="1" applyAlignment="1">
      <alignment horizontal="center" vertical="center"/>
    </xf>
    <xf numFmtId="49" fontId="26" fillId="40" borderId="0" xfId="0" applyNumberFormat="1" applyFont="1" applyFill="1" applyAlignment="1">
      <alignment horizontal="left" vertical="center"/>
    </xf>
    <xf numFmtId="49" fontId="26" fillId="0" borderId="0" xfId="0" applyNumberFormat="1" applyFont="1" applyAlignment="1">
      <alignment horizontal="left" vertical="center"/>
    </xf>
    <xf numFmtId="0" fontId="33" fillId="40" borderId="0" xfId="0" applyFont="1" applyFill="1" applyAlignment="1">
      <alignment horizontal="left"/>
    </xf>
    <xf numFmtId="0" fontId="26" fillId="0" borderId="0" xfId="0" applyFont="1" applyAlignment="1">
      <alignment horizontal="left" vertical="center"/>
    </xf>
    <xf numFmtId="0" fontId="34" fillId="46" borderId="0" xfId="0" applyFont="1" applyFill="1"/>
    <xf numFmtId="0" fontId="34" fillId="0" borderId="0" xfId="0" applyFont="1"/>
    <xf numFmtId="0" fontId="34" fillId="46" borderId="0" xfId="0" applyFont="1" applyFill="1" applyAlignment="1">
      <alignment horizontal="center"/>
    </xf>
    <xf numFmtId="0" fontId="34" fillId="0" borderId="0" xfId="0" applyFont="1" applyAlignment="1">
      <alignment horizontal="center"/>
    </xf>
    <xf numFmtId="49" fontId="27" fillId="0" borderId="0" xfId="0" applyNumberFormat="1" applyFont="1" applyAlignment="1">
      <alignment vertical="top" wrapText="1"/>
    </xf>
    <xf numFmtId="49" fontId="29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left" vertical="top" wrapText="1"/>
    </xf>
    <xf numFmtId="3" fontId="29" fillId="4" borderId="0" xfId="1" applyNumberFormat="1" applyFont="1" applyFill="1" applyBorder="1" applyAlignment="1">
      <alignment horizontal="right" vertical="center"/>
    </xf>
    <xf numFmtId="3" fontId="29" fillId="0" borderId="0" xfId="1" applyNumberFormat="1" applyFont="1" applyFill="1" applyBorder="1" applyAlignment="1">
      <alignment horizontal="right" vertical="center"/>
    </xf>
    <xf numFmtId="49" fontId="35" fillId="38" borderId="0" xfId="45" applyNumberFormat="1" applyFill="1" applyBorder="1" applyAlignment="1">
      <alignment vertical="top" wrapText="1"/>
    </xf>
    <xf numFmtId="49" fontId="35" fillId="0" borderId="0" xfId="45" applyNumberFormat="1" applyAlignment="1">
      <alignment vertical="center" wrapText="1"/>
    </xf>
    <xf numFmtId="0" fontId="0" fillId="0" borderId="0" xfId="0" applyAlignment="1">
      <alignment horizontal="left" vertical="top"/>
    </xf>
    <xf numFmtId="0" fontId="35" fillId="0" borderId="0" xfId="45" applyAlignment="1">
      <alignment horizontal="left" vertical="top"/>
    </xf>
    <xf numFmtId="49" fontId="35" fillId="0" borderId="0" xfId="45" applyNumberFormat="1" applyAlignment="1">
      <alignment vertical="top" wrapText="1"/>
    </xf>
    <xf numFmtId="49" fontId="35" fillId="38" borderId="0" xfId="45" applyNumberFormat="1" applyFill="1" applyBorder="1" applyAlignment="1">
      <alignment horizontal="left" vertical="top" wrapText="1"/>
    </xf>
    <xf numFmtId="49" fontId="35" fillId="0" borderId="0" xfId="45" applyNumberFormat="1" applyAlignment="1">
      <alignment horizontal="left" vertical="center" wrapText="1"/>
    </xf>
    <xf numFmtId="49" fontId="35" fillId="0" borderId="0" xfId="45" applyNumberFormat="1" applyAlignment="1">
      <alignment horizontal="left" vertical="top" wrapText="1"/>
    </xf>
    <xf numFmtId="0" fontId="31" fillId="0" borderId="0" xfId="0" applyFont="1" applyAlignment="1">
      <alignment vertical="top"/>
    </xf>
    <xf numFmtId="0" fontId="5" fillId="0" borderId="0" xfId="0" applyFont="1" applyAlignment="1">
      <alignment horizontal="left" vertical="top"/>
    </xf>
    <xf numFmtId="0" fontId="32" fillId="0" borderId="0" xfId="0" applyFont="1" applyAlignment="1">
      <alignment horizontal="left" vertical="top"/>
    </xf>
    <xf numFmtId="0" fontId="5" fillId="45" borderId="1" xfId="0" applyFont="1" applyFill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" fillId="4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3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0"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3" dataCellStyle="Normal 2"/>
    <tableColumn id="1" xr3:uid="{9A753695-C18C-437C-AD9C-C2CE5C1A806E}" name="Site" dataDxfId="2" dataCellStyle="Normal 2"/>
    <tableColumn id="2" xr3:uid="{250F229D-34D2-4043-BE8F-6D9C210E223F}" name="State" dataDxfId="1" dataCellStyle="Normal 2"/>
    <tableColumn id="5" xr3:uid="{61DF2E38-E0FD-4D7E-AE61-BDFE8D5E1312}" name="Update" dataDxfId="0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us3.assetplanner.com/service_request?ID=087933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87933" TargetMode="External"/><Relationship Id="rId1" Type="http://schemas.openxmlformats.org/officeDocument/2006/relationships/hyperlink" Target="https://us3.assetplanner.com/service_request?ID=096625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87933" TargetMode="External"/><Relationship Id="rId1" Type="http://schemas.openxmlformats.org/officeDocument/2006/relationships/hyperlink" Target="https://us3.assetplanner.com/service_request?ID=098289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87933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87933" TargetMode="External"/><Relationship Id="rId2" Type="http://schemas.openxmlformats.org/officeDocument/2006/relationships/hyperlink" Target="https://us3.assetplanner.com/service_request?ID=101880" TargetMode="External"/><Relationship Id="rId1" Type="http://schemas.openxmlformats.org/officeDocument/2006/relationships/hyperlink" Target="https://us3.assetplanner.com/service_request?ID=101608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2652" TargetMode="External"/><Relationship Id="rId2" Type="http://schemas.openxmlformats.org/officeDocument/2006/relationships/hyperlink" Target="https://us3.assetplanner.com/service_request?ID=087933" TargetMode="External"/><Relationship Id="rId1" Type="http://schemas.openxmlformats.org/officeDocument/2006/relationships/hyperlink" Target="https://us3.assetplanner.com/service_request?ID=101880" TargetMode="External"/><Relationship Id="rId4" Type="http://schemas.openxmlformats.org/officeDocument/2006/relationships/hyperlink" Target="https://us3.assetplanner.com/service_request?ID=103516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87933" TargetMode="External"/><Relationship Id="rId1" Type="http://schemas.openxmlformats.org/officeDocument/2006/relationships/hyperlink" Target="https://us3.assetplanner.com/service_request?ID=106453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87933" TargetMode="External"/><Relationship Id="rId1" Type="http://schemas.openxmlformats.org/officeDocument/2006/relationships/hyperlink" Target="https://us3.assetplanner.com/service_request?ID=106453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87933" TargetMode="External"/><Relationship Id="rId1" Type="http://schemas.openxmlformats.org/officeDocument/2006/relationships/hyperlink" Target="https://us3.assetplanner.com/service_request?ID=106453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9"/>
  <sheetViews>
    <sheetView workbookViewId="0">
      <pane xSplit="2" ySplit="3" topLeftCell="C4" activePane="bottomRight" state="frozen"/>
      <selection pane="bottomRight" activeCell="D12" sqref="D12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0" t="str" cm="1">
        <f t="array" ref="A1">portfolio</f>
        <v>Walden Liberty</v>
      </c>
      <c r="B1" s="70"/>
      <c r="C1" s="70"/>
      <c r="D1" s="71" t="s">
        <v>0</v>
      </c>
      <c r="E1" s="71"/>
      <c r="F1" s="71"/>
      <c r="G1" s="69" t="s">
        <v>1</v>
      </c>
      <c r="H1" s="69"/>
      <c r="I1" s="69"/>
    </row>
    <row r="2" spans="1:9" ht="19.5" customHeight="1">
      <c r="A2" s="72" t="s">
        <v>2</v>
      </c>
      <c r="B2" s="72"/>
      <c r="C2" s="5">
        <f>SUM(C4:C77)</f>
        <v>716239</v>
      </c>
      <c r="D2" s="5">
        <f>SUM(D4:D77)</f>
        <v>0</v>
      </c>
      <c r="E2" s="5">
        <f>C2-D2</f>
        <v>716239</v>
      </c>
      <c r="F2" s="6">
        <f>IFERROR(E2/D2, 0)</f>
        <v>0</v>
      </c>
      <c r="G2" s="5">
        <f>SUM(G4:G77)</f>
        <v>0</v>
      </c>
      <c r="H2" s="7">
        <f>C2-G2</f>
        <v>716239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5" t="str" cm="1">
        <f t="array" ref="A4:A5">Sites[Site]</f>
        <v>CCC College</v>
      </c>
      <c r="B4" s="30" t="str" cm="1">
        <f t="array" ref="B4:B5">Sites[State]</f>
        <v>MA</v>
      </c>
      <c r="C4" s="23">
        <f>SUM('1st Qtr'!C4, '2nd Qtr'!C4, '3rd Qtr'!C4, '4th Qtr'!C4)</f>
        <v>576146</v>
      </c>
      <c r="D4" s="12">
        <f>SUM('1st Qtr'!D4, '2nd Qtr'!D4, '3rd Qtr'!D4, '4th Qtr'!D4)</f>
        <v>0</v>
      </c>
      <c r="E4" s="12">
        <f>IF(AND(ISNUMBER(C4),ISNUMBER(D4)), C4-D4, "")</f>
        <v>576146</v>
      </c>
      <c r="F4" s="13" t="str">
        <f>IFERROR(E4/D4, "")</f>
        <v/>
      </c>
      <c r="G4" s="14">
        <f>SUM('1st Qtr'!G4, '2nd Qtr'!G4, '3rd Qtr'!G4, '4th Qtr'!G4)</f>
        <v>0</v>
      </c>
      <c r="H4" s="14">
        <f>SUM('1st Qtr'!H4, '2nd Qtr'!H4, '3rd Qtr'!H4, '4th Qtr'!H4)</f>
        <v>0</v>
      </c>
      <c r="I4" s="15" t="str">
        <f>IFERROR(H4/G4, "")</f>
        <v/>
      </c>
    </row>
    <row r="5" spans="1:9" ht="15.6">
      <c r="A5" s="46" t="str">
        <v>Walden Liberty</v>
      </c>
      <c r="B5" s="28" t="str">
        <v>MA</v>
      </c>
      <c r="C5" s="19">
        <f>SUM('1st Qtr'!C5, '2nd Qtr'!C5, '3rd Qtr'!C5, '4th Qtr'!C5)</f>
        <v>140093</v>
      </c>
      <c r="D5" s="17">
        <f>SUM(Jan!D5, Feb!D5, Mar!D5)</f>
        <v>0</v>
      </c>
      <c r="E5" s="17">
        <f t="shared" ref="E5" si="0">IF(AND(ISNUMBER(C5),ISNUMBER(D5)), C5-D5, "")</f>
        <v>140093</v>
      </c>
      <c r="F5" s="18" t="str">
        <f>IFERROR(E5/D5, "")</f>
        <v/>
      </c>
      <c r="G5" s="19">
        <f>SUM('1st Qtr'!G5, '2nd Qtr'!G5, '3rd Qtr'!G5, '4th Qtr'!G5)</f>
        <v>0</v>
      </c>
      <c r="H5" s="19">
        <f>SUM('1st Qtr'!H5, '2nd Qtr'!H5, '3rd Qtr'!H5, '4th Qtr'!H5)</f>
        <v>0</v>
      </c>
      <c r="I5" s="18" t="str">
        <f>IFERROR(H5/G5, "")</f>
        <v/>
      </c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7 I4:I77">
    <cfRule type="cellIs" dxfId="39" priority="1" stopIfTrue="1" operator="lessThanOrEqual">
      <formula>-0.1</formula>
    </cfRule>
    <cfRule type="expression" dxfId="38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9"/>
  <sheetViews>
    <sheetView workbookViewId="0">
      <pane xSplit="2" ySplit="3" topLeftCell="C4" activePane="bottomRight" state="frozen"/>
      <selection pane="bottomRight" activeCell="G5" sqref="G5"/>
      <selection pane="bottomLeft" activeCell="B17" sqref="B17"/>
      <selection pane="topRight" activeCell="B17" sqref="B1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0" t="str" cm="1">
        <f t="array" ref="A1">portfolio</f>
        <v>Walden Liberty</v>
      </c>
      <c r="B1" s="70"/>
      <c r="C1" s="70"/>
      <c r="D1" s="71" t="s">
        <v>10</v>
      </c>
      <c r="E1" s="71"/>
      <c r="F1" s="71"/>
      <c r="G1" s="69" t="s">
        <v>11</v>
      </c>
      <c r="H1" s="69"/>
      <c r="I1" s="69"/>
    </row>
    <row r="2" spans="1:9" ht="19.5" customHeight="1">
      <c r="A2" s="72" t="s">
        <v>2</v>
      </c>
      <c r="B2" s="72"/>
      <c r="C2" s="5">
        <f>SUM(C4:C77)</f>
        <v>211356</v>
      </c>
      <c r="D2" s="5">
        <f>SUM(D4:D77)</f>
        <v>0</v>
      </c>
      <c r="E2" s="5">
        <f>C2-D2</f>
        <v>211356</v>
      </c>
      <c r="F2" s="6">
        <f>IFERROR(E2/D2, 0)</f>
        <v>0</v>
      </c>
      <c r="G2" s="5">
        <f>SUM(G4:G77)</f>
        <v>0</v>
      </c>
      <c r="H2" s="7">
        <f>C2-G2</f>
        <v>211356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3" t="str" cm="1">
        <f t="array" ref="A4:A5">Sites[Site]</f>
        <v>CCC College</v>
      </c>
      <c r="B4" s="9" t="str" cm="1">
        <f t="array" ref="B4:B5">Sites[State]</f>
        <v>MA</v>
      </c>
      <c r="C4" s="23">
        <f>SUM(Jan!C4, Feb!C4, Mar!C4)</f>
        <v>185921</v>
      </c>
      <c r="D4" s="12">
        <f>SUM(Jan!D4, Feb!D4, Mar!D4)</f>
        <v>0</v>
      </c>
      <c r="E4" s="12">
        <f>IF(AND(ISNUMBER(C4),ISNUMBER(D4)), C4-D4, "")</f>
        <v>185921</v>
      </c>
      <c r="F4" s="13" t="str">
        <f>IFERROR(E4/D4, "")</f>
        <v/>
      </c>
      <c r="G4" s="14">
        <f>SUM(Jan!G4, Feb!G4, Mar!G4)</f>
        <v>0</v>
      </c>
      <c r="H4" s="14">
        <f>SUM(Jan!H4, Feb!H4, Mar!H4)</f>
        <v>0</v>
      </c>
      <c r="I4" s="15" t="str">
        <f>IFERROR(H4/G4, "")</f>
        <v/>
      </c>
    </row>
    <row r="5" spans="1:9" ht="15.6">
      <c r="A5" s="44" t="str">
        <v>Walden Liberty</v>
      </c>
      <c r="B5" s="10" t="str">
        <v>MA</v>
      </c>
      <c r="C5" s="11">
        <f>SUM(Jan!C5, Feb!C5, Mar!C5)</f>
        <v>25435</v>
      </c>
      <c r="D5" s="17">
        <f>SUM(Jan!D5, Feb!D5, Mar!D5)</f>
        <v>0</v>
      </c>
      <c r="E5" s="17">
        <f t="shared" ref="E5" si="0">IF(AND(ISNUMBER(C5),ISNUMBER(D5)), C5-D5, "")</f>
        <v>25435</v>
      </c>
      <c r="F5" s="18" t="str">
        <f>IFERROR(E5/D5, "")</f>
        <v/>
      </c>
      <c r="G5" s="19">
        <f>SUM(Jan!G5, Feb!G5, Mar!G5)</f>
        <v>0</v>
      </c>
      <c r="H5" s="19">
        <f>SUM(Jan!H5, Feb!H5, Mar!H5)</f>
        <v>0</v>
      </c>
      <c r="I5" s="18" t="str">
        <f>IFERROR(H5/G5, "")</f>
        <v/>
      </c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7 I4:I77">
    <cfRule type="cellIs" dxfId="37" priority="1" stopIfTrue="1" operator="lessThanOrEqual">
      <formula>-0.1</formula>
    </cfRule>
    <cfRule type="expression" dxfId="36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9"/>
  <sheetViews>
    <sheetView workbookViewId="0">
      <pane xSplit="2" ySplit="3" topLeftCell="C4" activePane="bottomRight" state="frozen"/>
      <selection pane="bottomRight" activeCell="I5" sqref="I5"/>
      <selection pane="bottomLeft" activeCell="B17" sqref="B17"/>
      <selection pane="topRight" activeCell="B17" sqref="B1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0" t="str" cm="1">
        <f t="array" ref="A1">portfolio</f>
        <v>Walden Liberty</v>
      </c>
      <c r="B1" s="70"/>
      <c r="C1" s="70"/>
      <c r="D1" s="71" t="s">
        <v>12</v>
      </c>
      <c r="E1" s="71"/>
      <c r="F1" s="71"/>
      <c r="G1" s="69" t="s">
        <v>13</v>
      </c>
      <c r="H1" s="69"/>
      <c r="I1" s="69"/>
    </row>
    <row r="2" spans="1:9" ht="19.5" customHeight="1">
      <c r="A2" s="72" t="s">
        <v>2</v>
      </c>
      <c r="B2" s="72"/>
      <c r="C2" s="5">
        <f>SUM(C4:C77)</f>
        <v>239307</v>
      </c>
      <c r="D2" s="5">
        <f>SUM(D4:D77)</f>
        <v>0</v>
      </c>
      <c r="E2" s="5">
        <f>C2-D2</f>
        <v>239307</v>
      </c>
      <c r="F2" s="6">
        <f>IFERROR(E2/D2, 0)</f>
        <v>0</v>
      </c>
      <c r="G2" s="5">
        <f>SUM(G4:G77)</f>
        <v>0</v>
      </c>
      <c r="H2" s="7">
        <f>C2-G2</f>
        <v>239307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3" t="str" cm="1">
        <f t="array" ref="A4:A5">Sites[Site]</f>
        <v>CCC College</v>
      </c>
      <c r="B4" s="9" t="str" cm="1">
        <f t="array" ref="B4:B5">Sites[State]</f>
        <v>MA</v>
      </c>
      <c r="C4" s="23">
        <f>SUM(Apr!C4, May!C4, Jun!C4)</f>
        <v>189288</v>
      </c>
      <c r="D4" s="12">
        <f>SUM(Apr!D4, May!D4, Jun!D4)</f>
        <v>0</v>
      </c>
      <c r="E4" s="12">
        <f>IF(AND(ISNUMBER(C4),ISNUMBER(D4)), C4-D4, "")</f>
        <v>189288</v>
      </c>
      <c r="F4" s="13" t="str">
        <f>IFERROR(E4/D4, "")</f>
        <v/>
      </c>
      <c r="G4" s="14">
        <f>SUM(Apr!G4, May!G4, Jun!G4)</f>
        <v>0</v>
      </c>
      <c r="H4" s="14">
        <f>SUM(Apr!H4, May!H4, Jun!H4)</f>
        <v>0</v>
      </c>
      <c r="I4" s="15" t="str">
        <f>IFERROR(H4/G4, "")</f>
        <v/>
      </c>
    </row>
    <row r="5" spans="1:9" ht="15.6">
      <c r="A5" s="44" t="str">
        <v>Walden Liberty</v>
      </c>
      <c r="B5" s="10" t="str">
        <v>MA</v>
      </c>
      <c r="C5" s="11">
        <f>SUM(Apr!C5, May!C5, Jun!C5)</f>
        <v>50019</v>
      </c>
      <c r="D5" s="17">
        <f>SUM(Apr!D5, May!D5, Jun!D5)</f>
        <v>0</v>
      </c>
      <c r="E5" s="17">
        <f t="shared" ref="E5" si="0">IF(AND(ISNUMBER(C5),ISNUMBER(D5)), C5-D5, "")</f>
        <v>50019</v>
      </c>
      <c r="F5" s="18" t="str">
        <f>IFERROR(E5/D5, "")</f>
        <v/>
      </c>
      <c r="G5" s="19">
        <f>SUM(Apr!G5, May!G5, Jun!G5)</f>
        <v>0</v>
      </c>
      <c r="H5" s="19">
        <f>SUM(Apr!H5, May!H5, Jun!H5)</f>
        <v>0</v>
      </c>
      <c r="I5" s="18" t="str">
        <f>IFERROR(H5/G5, "")</f>
        <v/>
      </c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7 I4:I77">
    <cfRule type="cellIs" dxfId="35" priority="1" stopIfTrue="1" operator="lessThanOrEqual">
      <formula>-0.1</formula>
    </cfRule>
    <cfRule type="expression" dxfId="3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9"/>
  <sheetViews>
    <sheetView workbookViewId="0">
      <pane xSplit="2" ySplit="3" topLeftCell="C4" activePane="bottomRight" state="frozen"/>
      <selection pane="bottomRight" activeCell="G4" sqref="G4"/>
      <selection pane="bottomLeft" activeCell="B17" sqref="B17"/>
      <selection pane="topRight" activeCell="B17" sqref="B1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0" t="str" cm="1">
        <f t="array" ref="A1">portfolio</f>
        <v>Walden Liberty</v>
      </c>
      <c r="B1" s="70"/>
      <c r="C1" s="70"/>
      <c r="D1" s="71" t="s">
        <v>14</v>
      </c>
      <c r="E1" s="71"/>
      <c r="F1" s="71"/>
      <c r="G1" s="69" t="s">
        <v>15</v>
      </c>
      <c r="H1" s="69"/>
      <c r="I1" s="69"/>
    </row>
    <row r="2" spans="1:9" ht="19.5" customHeight="1">
      <c r="A2" s="72" t="s">
        <v>2</v>
      </c>
      <c r="B2" s="72"/>
      <c r="C2" s="5">
        <f>SUM(C4:C77)</f>
        <v>265576</v>
      </c>
      <c r="D2" s="5">
        <f>SUM(D4:D77)</f>
        <v>0</v>
      </c>
      <c r="E2" s="5">
        <f>C2-D2</f>
        <v>265576</v>
      </c>
      <c r="F2" s="6">
        <f>IFERROR(E2/D2, 0)</f>
        <v>0</v>
      </c>
      <c r="G2" s="5">
        <f>SUM(G4:G77)</f>
        <v>0</v>
      </c>
      <c r="H2" s="7">
        <f>C2-G2</f>
        <v>265576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3" t="str" cm="1">
        <f t="array" ref="A4:A5">Sites[Site]</f>
        <v>CCC College</v>
      </c>
      <c r="B4" s="9" t="str" cm="1">
        <f t="array" ref="B4:B5">Sites[State]</f>
        <v>MA</v>
      </c>
      <c r="C4" s="23">
        <f>SUM(Jul!C4, Aug!C4, Sep!C4)</f>
        <v>200937</v>
      </c>
      <c r="D4" s="12">
        <f>SUM(Jul!D4, Aug!D4, Sep!D4)</f>
        <v>0</v>
      </c>
      <c r="E4" s="12">
        <f>IF(AND(ISNUMBER(C4),ISNUMBER(D4)), C4-D4, "")</f>
        <v>200937</v>
      </c>
      <c r="F4" s="13" t="str">
        <f>IFERROR(E4/D4, "")</f>
        <v/>
      </c>
      <c r="G4" s="14">
        <f>SUM(Jul!G4,Aug!G4,Sep!G4)</f>
        <v>0</v>
      </c>
      <c r="H4" s="14">
        <f>SUM(Jul!H4, Aug!H4, Sep!H4)</f>
        <v>0</v>
      </c>
      <c r="I4" s="15" t="str">
        <f>IFERROR(H4/G4, "")</f>
        <v/>
      </c>
    </row>
    <row r="5" spans="1:9" ht="15.6">
      <c r="A5" s="44" t="str">
        <v>Walden Liberty</v>
      </c>
      <c r="B5" s="10" t="str">
        <v>MA</v>
      </c>
      <c r="C5" s="11">
        <f>SUM(Jul!C5, Aug!C5, Sep!C5)</f>
        <v>64639</v>
      </c>
      <c r="D5" s="17">
        <f>SUM(Jul!D5, Aug!D5, Sep!D5)</f>
        <v>0</v>
      </c>
      <c r="E5" s="17">
        <f t="shared" ref="E5" si="0">IF(AND(ISNUMBER(C5),ISNUMBER(D5)), C5-D5, "")</f>
        <v>64639</v>
      </c>
      <c r="F5" s="18" t="str">
        <f>IFERROR(E5/D5, "")</f>
        <v/>
      </c>
      <c r="G5" s="17">
        <f>SUM(Jul!G5,Aug!G5,Sep!G5)</f>
        <v>0</v>
      </c>
      <c r="H5" s="19">
        <f>SUM(Jul!H5, Aug!H5, Sep!H5)</f>
        <v>0</v>
      </c>
      <c r="I5" s="18" t="str">
        <f>IFERROR(H5/G5, "")</f>
        <v/>
      </c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9"/>
  <sheetViews>
    <sheetView workbookViewId="0">
      <pane xSplit="2" ySplit="3" topLeftCell="C4" activePane="bottomRight" state="frozen"/>
      <selection pane="bottomRight" activeCell="G10" sqref="G10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0" t="str" cm="1">
        <f t="array" ref="A1">portfolio</f>
        <v>Walden Liberty</v>
      </c>
      <c r="B1" s="70"/>
      <c r="C1" s="70"/>
      <c r="D1" s="71" t="s">
        <v>16</v>
      </c>
      <c r="E1" s="71"/>
      <c r="F1" s="71"/>
      <c r="G1" s="69" t="s">
        <v>17</v>
      </c>
      <c r="H1" s="69"/>
      <c r="I1" s="69"/>
    </row>
    <row r="2" spans="1:9" ht="19.5" customHeight="1">
      <c r="A2" s="72" t="s">
        <v>2</v>
      </c>
      <c r="B2" s="72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3" t="str" cm="1">
        <f t="array" ref="A4:A5">Sites[Site]</f>
        <v>CCC College</v>
      </c>
      <c r="B4" s="9" t="str" cm="1">
        <f t="array" ref="B4:B5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>
        <f>SUM(Oct!G4,Nov!G4,Dec!G4)</f>
        <v>0</v>
      </c>
      <c r="H4" s="14">
        <f>SUM(Oct!H4, Nov!H4, Dec!H4)</f>
        <v>0</v>
      </c>
      <c r="I4" s="15" t="str">
        <f>IFERROR(H4/G4, "")</f>
        <v/>
      </c>
    </row>
    <row r="5" spans="1:9" ht="15.6">
      <c r="A5" s="44" t="str">
        <v>Walden Liberty</v>
      </c>
      <c r="B5" s="10" t="str">
        <v>MA</v>
      </c>
      <c r="C5" s="11">
        <f>SUM(Oct!C5, Nov!C5, Dec!C5)</f>
        <v>0</v>
      </c>
      <c r="D5" s="17">
        <f>SUM(Oct!D5, Nov!D5, Dec!D5)</f>
        <v>0</v>
      </c>
      <c r="E5" s="17">
        <f t="shared" ref="E5" si="0">IF(AND(ISNUMBER(C5),ISNUMBER(D5)), C5-D5, "")</f>
        <v>0</v>
      </c>
      <c r="F5" s="18" t="str">
        <f>IFERROR(E5/D5, "")</f>
        <v/>
      </c>
      <c r="G5" s="19">
        <f>SUM(Oct!G5,Nov!G5,Dec!G5)</f>
        <v>0</v>
      </c>
      <c r="H5" s="19">
        <f>SUM(Oct!H5, Nov!H5, Dec!H5)</f>
        <v>0</v>
      </c>
      <c r="I5" s="18" t="str">
        <f>IFERROR(H5/G5, "")</f>
        <v/>
      </c>
    </row>
    <row r="6" spans="1:9" ht="14.45">
      <c r="A6" s="20"/>
      <c r="B6" s="10"/>
      <c r="C6" s="42"/>
      <c r="D6" s="17"/>
      <c r="E6" s="17"/>
      <c r="F6" s="18"/>
      <c r="G6" s="19"/>
      <c r="H6" s="19"/>
      <c r="I6" s="18"/>
    </row>
    <row r="7" spans="1:9" ht="14.45">
      <c r="A7" s="20"/>
      <c r="B7" s="10"/>
      <c r="C7" s="42"/>
      <c r="D7" s="17"/>
      <c r="E7" s="17"/>
      <c r="F7" s="18"/>
      <c r="G7" s="19"/>
      <c r="H7" s="19"/>
      <c r="I7" s="18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8"/>
  <sheetViews>
    <sheetView zoomScale="80" zoomScaleNormal="80" workbookViewId="0">
      <pane xSplit="2" ySplit="3" topLeftCell="J4" activePane="bottomRight" state="frozen"/>
      <selection pane="bottomRight" activeCell="J17" sqref="J17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0" t="str" cm="1">
        <f t="array" ref="A1">portfolio</f>
        <v>Walden Liberty</v>
      </c>
      <c r="B1" s="70"/>
      <c r="C1" s="70"/>
      <c r="D1" s="71" t="s">
        <v>18</v>
      </c>
      <c r="E1" s="71"/>
      <c r="F1" s="71"/>
      <c r="G1" s="69" t="s">
        <v>19</v>
      </c>
      <c r="H1" s="69"/>
      <c r="I1" s="69"/>
      <c r="J1" s="4"/>
      <c r="K1" s="4"/>
    </row>
    <row r="2" spans="1:11" ht="19.5" customHeight="1">
      <c r="A2" s="72" t="s">
        <v>2</v>
      </c>
      <c r="B2" s="72"/>
      <c r="C2" s="5">
        <f>SUM(C4:C76)</f>
        <v>60390</v>
      </c>
      <c r="D2" s="5">
        <f>SUM(D4:D76)</f>
        <v>0</v>
      </c>
      <c r="E2" s="5">
        <f>C2-D2</f>
        <v>60390</v>
      </c>
      <c r="F2" s="6">
        <f>IFERROR(E2/D2, 0)</f>
        <v>0</v>
      </c>
      <c r="G2" s="5">
        <f>SUM(G4:G76)</f>
        <v>0</v>
      </c>
      <c r="H2" s="7">
        <f>C2-G2</f>
        <v>60390</v>
      </c>
      <c r="I2" s="6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8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45" t="str" cm="1">
        <f t="array" ref="A4:A5">Sites[Site]</f>
        <v>CCC College</v>
      </c>
      <c r="B4" s="27" t="str" cm="1">
        <f t="array" ref="B4:B5">Sites[State]</f>
        <v>MA</v>
      </c>
      <c r="C4" s="23">
        <v>53680</v>
      </c>
      <c r="D4" s="12" t="s">
        <v>22</v>
      </c>
      <c r="E4" s="12" t="str">
        <f>IF(AND(ISNUMBER(C4),ISNUMBER(D4)), C4-D4, "")</f>
        <v/>
      </c>
      <c r="F4" s="12" t="str">
        <f>IFERROR(E4/D4, "")</f>
        <v/>
      </c>
      <c r="G4" s="54" t="s">
        <v>22</v>
      </c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28.9">
      <c r="A5" s="46" t="str">
        <v>Walden Liberty</v>
      </c>
      <c r="B5" s="29" t="str">
        <v>MA</v>
      </c>
      <c r="C5" s="11">
        <v>6710</v>
      </c>
      <c r="D5" s="17" t="s">
        <v>22</v>
      </c>
      <c r="E5" s="17" t="str">
        <f t="shared" ref="E5" si="0">IF(AND(ISNUMBER(C5),ISNUMBER(D5)), C5-D5, "")</f>
        <v/>
      </c>
      <c r="F5" s="17" t="str">
        <f t="shared" ref="F5" si="1">IFERROR(E5/D5, "")</f>
        <v/>
      </c>
      <c r="G5" s="55" t="s">
        <v>22</v>
      </c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 t="s">
        <v>23</v>
      </c>
      <c r="K5" s="63" t="s">
        <v>24</v>
      </c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</sheetData>
  <mergeCells count="4">
    <mergeCell ref="D1:F1"/>
    <mergeCell ref="A1:C1"/>
    <mergeCell ref="G1:I1"/>
    <mergeCell ref="A2:B2"/>
  </mergeCells>
  <conditionalFormatting sqref="F2 I2 I4:I76 F6:F76">
    <cfRule type="cellIs" dxfId="29" priority="6" stopIfTrue="1" operator="lessThanOrEqual">
      <formula>-0.1</formula>
    </cfRule>
    <cfRule type="expression" dxfId="28" priority="7">
      <formula>AND(ISNUMBER(F2), F2&gt;=0.1)</formula>
    </cfRule>
  </conditionalFormatting>
  <hyperlinks>
    <hyperlink ref="K5" r:id="rId1" display="https://us3.assetplanner.com/service_request?ID=087933" xr:uid="{E57A27F5-2728-4D91-880E-254F4B7558F8}"/>
  </hyperlinks>
  <pageMargins left="0.4" right="0.7" top="0.25" bottom="0.25" header="0.3" footer="0.3"/>
  <pageSetup fitToHeight="99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9"/>
  <sheetViews>
    <sheetView zoomScale="80" zoomScaleNormal="80" workbookViewId="0">
      <pane xSplit="2" ySplit="3" topLeftCell="C4" activePane="bottomRight" state="frozen"/>
      <selection pane="bottomRight" activeCell="K4" sqref="K4:K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0" t="str" cm="1">
        <f t="array" ref="A1">portfolio</f>
        <v>Walden Liberty</v>
      </c>
      <c r="B1" s="70"/>
      <c r="C1" s="70"/>
      <c r="D1" s="71" t="s">
        <v>25</v>
      </c>
      <c r="E1" s="71"/>
      <c r="F1" s="71"/>
      <c r="G1" s="69" t="s">
        <v>26</v>
      </c>
      <c r="H1" s="69"/>
      <c r="I1" s="69"/>
      <c r="J1" s="4"/>
      <c r="K1" s="4"/>
    </row>
    <row r="2" spans="1:11" ht="19.5" customHeight="1">
      <c r="A2" s="72" t="s">
        <v>2</v>
      </c>
      <c r="B2" s="72"/>
      <c r="C2" s="5">
        <f>SUM(C4:C77)</f>
        <v>63301</v>
      </c>
      <c r="D2" s="5">
        <f>SUM(D4:D77)</f>
        <v>0</v>
      </c>
      <c r="E2" s="5">
        <f>C2-D2</f>
        <v>63301</v>
      </c>
      <c r="F2" s="6">
        <f>IFERROR(E2/D2, 0)</f>
        <v>0</v>
      </c>
      <c r="G2" s="5">
        <f>SUM(G4:G77)</f>
        <v>0</v>
      </c>
      <c r="H2" s="7">
        <f>C2-G2</f>
        <v>63301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45" t="str" cm="1">
        <f t="array" ref="A4:A5">Sites[Site]</f>
        <v>CCC College</v>
      </c>
      <c r="B4" s="27" t="str" cm="1">
        <f t="array" ref="B4:B5">Sites[State]</f>
        <v>MA</v>
      </c>
      <c r="C4" s="23">
        <v>58205</v>
      </c>
      <c r="D4" s="12" t="s">
        <v>22</v>
      </c>
      <c r="E4" s="12" t="str">
        <f>IF(AND(ISNUMBER(C4),ISNUMBER(D4)), C4-D4, "")</f>
        <v/>
      </c>
      <c r="F4" s="12" t="str">
        <f>IFERROR(E4/D4, "")</f>
        <v/>
      </c>
      <c r="G4" s="54" t="s">
        <v>22</v>
      </c>
      <c r="H4" s="14" t="str">
        <f>IF(AND(ISNUMBER(C4),ISNUMBER(G4)), C4-G4, "")</f>
        <v/>
      </c>
      <c r="I4" s="15" t="str">
        <f>IFERROR(H4/G4, "")</f>
        <v/>
      </c>
      <c r="J4" s="39" t="s">
        <v>27</v>
      </c>
      <c r="K4" s="61" t="s">
        <v>28</v>
      </c>
    </row>
    <row r="5" spans="1:11" ht="28.9">
      <c r="A5" s="46" t="str">
        <v>Walden Liberty</v>
      </c>
      <c r="B5" s="29" t="str">
        <v>MA</v>
      </c>
      <c r="C5" s="11">
        <v>5096</v>
      </c>
      <c r="D5" s="17" t="s">
        <v>22</v>
      </c>
      <c r="E5" s="17" t="str">
        <f t="shared" ref="E5" si="0">IF(AND(ISNUMBER(C5),ISNUMBER(D5)), C5-D5, "")</f>
        <v/>
      </c>
      <c r="F5" s="17" t="str">
        <f t="shared" ref="F5" si="1">IFERROR(E5/D5, "")</f>
        <v/>
      </c>
      <c r="G5" s="55" t="s">
        <v>22</v>
      </c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 t="s">
        <v>29</v>
      </c>
      <c r="K5" s="62" t="s">
        <v>24</v>
      </c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I4:I77 F6:F77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hyperlinks>
    <hyperlink ref="K4" r:id="rId1" display="https://us3.assetplanner.com/service_request?ID=096625" xr:uid="{241AADA5-E5F2-4B9F-9B9B-52E62081E5F3}"/>
    <hyperlink ref="K5" r:id="rId2" display="https://us3.assetplanner.com/service_request?ID=087933" xr:uid="{F52FBAF5-8123-46D5-9EA6-72AAAFF852E3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9"/>
  <sheetViews>
    <sheetView zoomScale="90" zoomScaleNormal="90" workbookViewId="0">
      <pane xSplit="2" ySplit="3" topLeftCell="K4" activePane="bottomRight" state="frozen"/>
      <selection pane="bottomRight" activeCell="K4" sqref="K4:K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0" t="str" cm="1">
        <f t="array" ref="A1">portfolio</f>
        <v>Walden Liberty</v>
      </c>
      <c r="B1" s="70"/>
      <c r="C1" s="70"/>
      <c r="D1" s="71" t="s">
        <v>30</v>
      </c>
      <c r="E1" s="71"/>
      <c r="F1" s="71"/>
      <c r="G1" s="69" t="s">
        <v>31</v>
      </c>
      <c r="H1" s="69"/>
      <c r="I1" s="69"/>
      <c r="J1" s="4"/>
      <c r="K1" s="4"/>
    </row>
    <row r="2" spans="1:11" ht="19.5" customHeight="1">
      <c r="A2" s="72" t="s">
        <v>2</v>
      </c>
      <c r="B2" s="72"/>
      <c r="C2" s="5">
        <f>SUM(C4:C77)</f>
        <v>87665</v>
      </c>
      <c r="D2" s="5">
        <f>SUM(D4:D77)</f>
        <v>0</v>
      </c>
      <c r="E2" s="5">
        <f>C2-D2</f>
        <v>87665</v>
      </c>
      <c r="F2" s="6">
        <f>IFERROR(E2/D2, 0)</f>
        <v>0</v>
      </c>
      <c r="G2" s="5">
        <f>SUM(G4:G77)</f>
        <v>0</v>
      </c>
      <c r="H2" s="7">
        <f>C2-G2</f>
        <v>87665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>
        <v>74036</v>
      </c>
      <c r="D4" s="12" t="s">
        <v>22</v>
      </c>
      <c r="E4" s="12" t="str">
        <f t="shared" ref="E4:E5" si="0">IF(AND(ISNUMBER(C4),ISNUMBER(D4)), C4-D4, "")</f>
        <v/>
      </c>
      <c r="F4" s="12" t="str">
        <f>IFERROR(E4/D4, "")</f>
        <v/>
      </c>
      <c r="G4" s="54" t="s">
        <v>22</v>
      </c>
      <c r="H4" s="14" t="str">
        <f>IF(AND(ISNUMBER(C4),ISNUMBER(G4)), C4-G4, "")</f>
        <v/>
      </c>
      <c r="I4" s="15" t="str">
        <f>IFERROR(H4/G4, "")</f>
        <v/>
      </c>
      <c r="J4" s="39" t="s">
        <v>32</v>
      </c>
      <c r="K4" s="61" t="s">
        <v>33</v>
      </c>
    </row>
    <row r="5" spans="1:11" ht="28.9">
      <c r="A5" s="28" t="str">
        <v>Walden Liberty</v>
      </c>
      <c r="B5" s="29" t="str">
        <v>MA</v>
      </c>
      <c r="C5" s="11">
        <v>13629</v>
      </c>
      <c r="D5" s="17" t="s">
        <v>22</v>
      </c>
      <c r="E5" s="17" t="str">
        <f t="shared" si="0"/>
        <v/>
      </c>
      <c r="F5" s="18" t="str">
        <f>IFERROR(E5/D5, "")</f>
        <v/>
      </c>
      <c r="G5" s="55" t="s">
        <v>22</v>
      </c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 t="s">
        <v>29</v>
      </c>
      <c r="K5" s="62" t="s">
        <v>24</v>
      </c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5:F77">
    <cfRule type="cellIs" dxfId="25" priority="5" stopIfTrue="1" operator="lessThanOrEqual">
      <formula>-0.1</formula>
    </cfRule>
    <cfRule type="expression" dxfId="24" priority="6">
      <formula>AND(ISNUMBER(F2), F2&gt;=0.1)</formula>
    </cfRule>
  </conditionalFormatting>
  <conditionalFormatting sqref="I4:I77">
    <cfRule type="cellIs" dxfId="23" priority="1" stopIfTrue="1" operator="lessThanOrEqual">
      <formula>-0.1</formula>
    </cfRule>
    <cfRule type="expression" dxfId="22" priority="2">
      <formula>AND(ISNUMBER(I4), I4&gt;=0.1)</formula>
    </cfRule>
  </conditionalFormatting>
  <hyperlinks>
    <hyperlink ref="K4" r:id="rId1" display="https://us3.assetplanner.com/service_request?ID=098289" xr:uid="{EAD405D5-5031-4B05-B1FD-1ECB1B1B9E47}"/>
    <hyperlink ref="K5" r:id="rId2" display="https://us3.assetplanner.com/service_request?ID=087933" xr:uid="{57579B0F-02E8-4893-B13B-7B76BFD2997A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9"/>
  <sheetViews>
    <sheetView workbookViewId="0">
      <pane xSplit="2" ySplit="3" topLeftCell="G4" activePane="bottomRight" state="frozen"/>
      <selection pane="bottomRight" activeCell="K5" sqref="K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0" t="str" cm="1">
        <f t="array" ref="A1">portfolio</f>
        <v>Walden Liberty</v>
      </c>
      <c r="B1" s="70"/>
      <c r="C1" s="70"/>
      <c r="D1" s="71" t="s">
        <v>34</v>
      </c>
      <c r="E1" s="71"/>
      <c r="F1" s="71"/>
      <c r="G1" s="69" t="s">
        <v>35</v>
      </c>
      <c r="H1" s="69"/>
      <c r="I1" s="69"/>
      <c r="J1" s="4"/>
      <c r="K1" s="4"/>
    </row>
    <row r="2" spans="1:11" ht="19.5" customHeight="1">
      <c r="A2" s="72" t="s">
        <v>2</v>
      </c>
      <c r="B2" s="72"/>
      <c r="C2" s="5">
        <f>SUM(C4:C77)</f>
        <v>97567</v>
      </c>
      <c r="D2" s="5">
        <f>SUM(D4:D77)</f>
        <v>0</v>
      </c>
      <c r="E2" s="5">
        <f>C2-D2</f>
        <v>97567</v>
      </c>
      <c r="F2" s="6">
        <f>IFERROR(E2/D2, 0)</f>
        <v>0</v>
      </c>
      <c r="G2" s="5">
        <f>SUM(G4:G77)</f>
        <v>0</v>
      </c>
      <c r="H2" s="7">
        <f>C2-G2</f>
        <v>97567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>
        <v>82658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54" t="s">
        <v>22</v>
      </c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28.9">
      <c r="A5" s="28" t="str">
        <v>Walden Liberty</v>
      </c>
      <c r="B5" s="29" t="str">
        <v>MA</v>
      </c>
      <c r="C5" s="11">
        <v>14909</v>
      </c>
      <c r="D5" s="17" t="s">
        <v>22</v>
      </c>
      <c r="E5" s="17" t="str">
        <f t="shared" ref="E5" si="0">IF(AND(ISNUMBER(C5),ISNUMBER(D5)), C5-D5, "")</f>
        <v/>
      </c>
      <c r="F5" s="18" t="str">
        <f>IFERROR(E5/D5, "")</f>
        <v/>
      </c>
      <c r="G5" s="55" t="s">
        <v>22</v>
      </c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 t="s">
        <v>36</v>
      </c>
      <c r="K5" s="60" t="s">
        <v>37</v>
      </c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21" priority="3" stopIfTrue="1" operator="lessThanOrEqual">
      <formula>-0.1</formula>
    </cfRule>
    <cfRule type="expression" dxfId="20" priority="4">
      <formula>AND(ISNUMBER(F2), F2&gt;=0.1)</formula>
    </cfRule>
  </conditionalFormatting>
  <hyperlinks>
    <hyperlink ref="K5" r:id="rId1" display="https://us3.assetplanner.com/service_request?ID=087933" xr:uid="{0E9E5C36-9A0A-4959-83D6-9319984EF8A2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P319"/>
  <sheetViews>
    <sheetView zoomScale="80" zoomScaleNormal="80" workbookViewId="0">
      <pane xSplit="2" ySplit="3" topLeftCell="K4" activePane="bottomRight" state="frozen"/>
      <selection pane="bottomRight" activeCell="K4" sqref="K4:K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6" width="8.85546875" style="58"/>
  </cols>
  <sheetData>
    <row r="1" spans="1:12" ht="19.5" customHeight="1">
      <c r="A1" s="70" t="str" cm="1">
        <f t="array" ref="A1">portfolio</f>
        <v>Walden Liberty</v>
      </c>
      <c r="B1" s="70"/>
      <c r="C1" s="70"/>
      <c r="D1" s="71" t="s">
        <v>38</v>
      </c>
      <c r="E1" s="71"/>
      <c r="F1" s="71"/>
      <c r="G1" s="69" t="s">
        <v>39</v>
      </c>
      <c r="H1" s="69"/>
      <c r="I1" s="69"/>
      <c r="J1" s="4"/>
      <c r="K1" s="4"/>
    </row>
    <row r="2" spans="1:12" ht="19.5" customHeight="1">
      <c r="A2" s="72" t="s">
        <v>2</v>
      </c>
      <c r="B2" s="72"/>
      <c r="C2" s="5">
        <f>SUM(C4:C77)</f>
        <v>79890</v>
      </c>
      <c r="D2" s="5">
        <f>SUM(D4:D77)</f>
        <v>0</v>
      </c>
      <c r="E2" s="5">
        <f>C2-D2</f>
        <v>79890</v>
      </c>
      <c r="F2" s="6">
        <f>IFERROR(E2/D2, 0)</f>
        <v>0</v>
      </c>
      <c r="G2" s="5">
        <f>SUM(G4:G77)</f>
        <v>0</v>
      </c>
      <c r="H2" s="7">
        <f>C2-G2</f>
        <v>79890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2" ht="28.9">
      <c r="A4" s="30" t="str" cm="1">
        <f t="array" ref="A4:A5">Sites[Site]</f>
        <v>CCC College</v>
      </c>
      <c r="B4" s="27" t="str" cm="1">
        <f t="array" ref="B4:B5">Sites[State]</f>
        <v>MA</v>
      </c>
      <c r="C4" s="23">
        <v>64576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54" t="s">
        <v>22</v>
      </c>
      <c r="H4" s="14" t="str">
        <f>IF(AND(ISNUMBER(C4),ISNUMBER(G4)), C4-G4, "")</f>
        <v/>
      </c>
      <c r="I4" s="15" t="str">
        <f>IFERROR(H4/G4, "")</f>
        <v/>
      </c>
      <c r="J4" s="39" t="s">
        <v>40</v>
      </c>
      <c r="K4" s="56" t="s">
        <v>41</v>
      </c>
      <c r="L4" s="59" t="s">
        <v>42</v>
      </c>
    </row>
    <row r="5" spans="1:12" ht="28.9">
      <c r="A5" s="28" t="str">
        <v>Walden Liberty</v>
      </c>
      <c r="B5" s="29" t="str">
        <v>MA</v>
      </c>
      <c r="C5" s="11">
        <v>15314</v>
      </c>
      <c r="D5" s="17" t="s">
        <v>22</v>
      </c>
      <c r="E5" s="17" t="str">
        <f t="shared" ref="E5" si="0">IF(AND(ISNUMBER(C5),ISNUMBER(D5)), C5-D5, "")</f>
        <v/>
      </c>
      <c r="F5" s="18" t="str">
        <f>IFERROR(E5/D5, "")</f>
        <v/>
      </c>
      <c r="G5" s="55" t="s">
        <v>22</v>
      </c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 t="s">
        <v>43</v>
      </c>
      <c r="K5" s="57" t="s">
        <v>37</v>
      </c>
    </row>
    <row r="6" spans="1:12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2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2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2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2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2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2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2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2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2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2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9" priority="3" stopIfTrue="1" operator="lessThanOrEqual">
      <formula>-0.1</formula>
    </cfRule>
    <cfRule type="expression" dxfId="18" priority="4">
      <formula>AND(ISNUMBER(F2), F2&gt;=0.1)</formula>
    </cfRule>
  </conditionalFormatting>
  <hyperlinks>
    <hyperlink ref="K4" r:id="rId1" display="https://us3.assetplanner.com/service_request?ID=101608" xr:uid="{62108998-1887-4B8E-8250-C9CA8DBFD958}"/>
    <hyperlink ref="L4" r:id="rId2" display="https://us3.assetplanner.com/service_request?ID=101880" xr:uid="{F2FB57AF-E643-4D13-A2F8-B0DBD8B04639}"/>
    <hyperlink ref="K5" r:id="rId3" display="https://us3.assetplanner.com/service_request?ID=087933" xr:uid="{988E5679-D85E-462A-B77F-D41F6CF6914D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N319"/>
  <sheetViews>
    <sheetView workbookViewId="0">
      <pane xSplit="2" ySplit="3" topLeftCell="J4" activePane="bottomRight" state="frozen"/>
      <selection pane="bottomRight" activeCell="N6" sqref="N6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style="58" customWidth="1"/>
    <col min="11" max="11" width="20.5703125" style="58" bestFit="1" customWidth="1"/>
    <col min="12" max="14" width="8.85546875" style="58"/>
  </cols>
  <sheetData>
    <row r="1" spans="1:13" ht="19.5" customHeight="1">
      <c r="A1" s="70" t="str" cm="1">
        <f t="array" ref="A1">portfolio</f>
        <v>Walden Liberty</v>
      </c>
      <c r="B1" s="70"/>
      <c r="C1" s="70"/>
      <c r="D1" s="71" t="s">
        <v>44</v>
      </c>
      <c r="E1" s="71"/>
      <c r="F1" s="71"/>
      <c r="G1" s="69" t="s">
        <v>45</v>
      </c>
      <c r="H1" s="69"/>
      <c r="I1" s="69"/>
      <c r="J1" s="65"/>
      <c r="K1" s="65"/>
    </row>
    <row r="2" spans="1:13" ht="19.5" customHeight="1">
      <c r="A2" s="72" t="s">
        <v>2</v>
      </c>
      <c r="B2" s="72"/>
      <c r="C2" s="5">
        <f>SUM(C4:C77)</f>
        <v>61850</v>
      </c>
      <c r="D2" s="5">
        <f>SUM(D4:D77)</f>
        <v>0</v>
      </c>
      <c r="E2" s="5">
        <f>C2-D2</f>
        <v>61850</v>
      </c>
      <c r="F2" s="6">
        <f>IFERROR(E2/D2, 0)</f>
        <v>0</v>
      </c>
      <c r="G2" s="5">
        <f>SUM(G4:G77)</f>
        <v>0</v>
      </c>
      <c r="H2" s="7">
        <f>C2-G2</f>
        <v>61850</v>
      </c>
      <c r="I2" s="6">
        <f>IFERROR(H2/G2, 0)</f>
        <v>0</v>
      </c>
      <c r="J2" s="6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65"/>
    </row>
    <row r="3" spans="1:13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67" t="s">
        <v>20</v>
      </c>
      <c r="K3" s="67" t="s">
        <v>21</v>
      </c>
    </row>
    <row r="4" spans="1:13" ht="15.6">
      <c r="A4" s="30" t="str" cm="1">
        <f t="array" ref="A4:A5">Sites[Site]</f>
        <v>CCC College</v>
      </c>
      <c r="B4" s="27" t="str" cm="1">
        <f t="array" ref="B4:B5">Sites[State]</f>
        <v>MA</v>
      </c>
      <c r="C4" s="23">
        <v>42054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54" t="s">
        <v>22</v>
      </c>
      <c r="H4" s="14" t="str">
        <f>IF(AND(ISNUMBER(C4),ISNUMBER(G4)), C4-G4, "")</f>
        <v/>
      </c>
      <c r="I4" s="15" t="str">
        <f>IFERROR(H4/G4, "")</f>
        <v/>
      </c>
      <c r="J4" s="52" t="s">
        <v>46</v>
      </c>
      <c r="K4" s="61" t="s">
        <v>47</v>
      </c>
    </row>
    <row r="5" spans="1:13" ht="72">
      <c r="A5" s="28" t="str">
        <v>Walden Liberty</v>
      </c>
      <c r="B5" s="29" t="str">
        <v>MA</v>
      </c>
      <c r="C5" s="11">
        <v>19796</v>
      </c>
      <c r="D5" s="17" t="s">
        <v>22</v>
      </c>
      <c r="E5" s="17" t="str">
        <f t="shared" ref="E5" si="0">IF(AND(ISNUMBER(C5),ISNUMBER(D5)), C5-D5, "")</f>
        <v/>
      </c>
      <c r="F5" s="18" t="str">
        <f>IFERROR(E5/D5, "")</f>
        <v/>
      </c>
      <c r="G5" s="55" t="s">
        <v>22</v>
      </c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53" t="s">
        <v>48</v>
      </c>
      <c r="K5" s="63" t="s">
        <v>49</v>
      </c>
      <c r="L5" s="59" t="s">
        <v>50</v>
      </c>
      <c r="M5" s="59" t="s">
        <v>51</v>
      </c>
    </row>
    <row r="6" spans="1:13" ht="14.45">
      <c r="A6" s="20"/>
      <c r="B6" s="31"/>
      <c r="C6" s="20"/>
      <c r="D6" s="20"/>
      <c r="E6" s="20"/>
      <c r="F6" s="20"/>
      <c r="G6" s="20"/>
      <c r="H6" s="20"/>
      <c r="I6" s="20"/>
      <c r="J6" s="68"/>
      <c r="K6" s="68"/>
    </row>
    <row r="7" spans="1:13" ht="14.45">
      <c r="A7" s="20"/>
      <c r="B7" s="31"/>
      <c r="C7" s="20"/>
      <c r="D7" s="20"/>
      <c r="E7" s="20"/>
      <c r="F7" s="20"/>
      <c r="G7" s="20"/>
      <c r="H7" s="20"/>
      <c r="I7" s="20"/>
      <c r="J7" s="68"/>
      <c r="K7" s="68"/>
    </row>
    <row r="8" spans="1:13" ht="14.45">
      <c r="A8" s="20"/>
      <c r="B8" s="31"/>
      <c r="C8" s="20"/>
      <c r="D8" s="20"/>
      <c r="E8" s="20"/>
      <c r="F8" s="20"/>
      <c r="G8" s="20"/>
      <c r="H8" s="20"/>
      <c r="I8" s="20"/>
      <c r="J8" s="68"/>
      <c r="K8" s="68"/>
    </row>
    <row r="9" spans="1:13" ht="14.45">
      <c r="A9" s="20"/>
      <c r="B9" s="31"/>
      <c r="C9" s="20"/>
      <c r="D9" s="20"/>
      <c r="E9" s="20"/>
      <c r="F9" s="20"/>
      <c r="G9" s="20"/>
      <c r="H9" s="20"/>
      <c r="I9" s="20"/>
      <c r="J9" s="68"/>
      <c r="K9" s="68"/>
    </row>
    <row r="10" spans="1:13" ht="14.45">
      <c r="A10" s="20"/>
      <c r="B10" s="31"/>
      <c r="C10" s="20"/>
      <c r="D10" s="20"/>
      <c r="E10" s="20"/>
      <c r="F10" s="21"/>
      <c r="G10" s="20"/>
      <c r="H10" s="20"/>
      <c r="I10" s="21"/>
      <c r="J10" s="68"/>
      <c r="K10" s="68"/>
    </row>
    <row r="11" spans="1:13" ht="14.45">
      <c r="A11" s="20"/>
      <c r="B11" s="31"/>
      <c r="C11" s="20"/>
      <c r="D11" s="20"/>
      <c r="E11" s="20"/>
      <c r="F11" s="21"/>
      <c r="G11" s="20"/>
      <c r="H11" s="20"/>
      <c r="I11" s="21"/>
      <c r="J11" s="68"/>
      <c r="K11" s="68"/>
    </row>
    <row r="12" spans="1:13" ht="14.45">
      <c r="A12" s="20"/>
      <c r="B12" s="31"/>
      <c r="C12" s="20"/>
      <c r="D12" s="20"/>
      <c r="E12" s="20"/>
      <c r="F12" s="21"/>
      <c r="G12" s="20"/>
      <c r="H12" s="20"/>
      <c r="I12" s="21"/>
      <c r="J12" s="68"/>
      <c r="K12" s="68"/>
    </row>
    <row r="13" spans="1:13" ht="14.45">
      <c r="A13" s="20"/>
      <c r="B13" s="31"/>
      <c r="C13" s="20"/>
      <c r="D13" s="20"/>
      <c r="E13" s="20"/>
      <c r="F13" s="21"/>
      <c r="G13" s="20"/>
      <c r="H13" s="20"/>
      <c r="I13" s="21"/>
      <c r="J13" s="68"/>
      <c r="K13" s="68"/>
    </row>
    <row r="14" spans="1:13" ht="14.45">
      <c r="A14" s="20"/>
      <c r="B14" s="31"/>
      <c r="C14" s="20"/>
      <c r="D14" s="20"/>
      <c r="E14" s="20"/>
      <c r="F14" s="21"/>
      <c r="G14" s="20"/>
      <c r="H14" s="20"/>
      <c r="I14" s="21"/>
      <c r="J14" s="68"/>
      <c r="K14" s="68"/>
    </row>
    <row r="15" spans="1:13" ht="14.45">
      <c r="A15" s="20"/>
      <c r="B15" s="31"/>
      <c r="C15" s="20"/>
      <c r="D15" s="20"/>
      <c r="E15" s="20"/>
      <c r="F15" s="21"/>
      <c r="G15" s="20"/>
      <c r="H15" s="20"/>
      <c r="I15" s="21"/>
      <c r="J15" s="68"/>
      <c r="K15" s="68"/>
    </row>
    <row r="16" spans="1:13" ht="14.45">
      <c r="A16" s="20"/>
      <c r="B16" s="31"/>
      <c r="C16" s="20"/>
      <c r="D16" s="20"/>
      <c r="E16" s="20"/>
      <c r="F16" s="21"/>
      <c r="G16" s="20"/>
      <c r="H16" s="20"/>
      <c r="I16" s="21"/>
      <c r="J16" s="68"/>
      <c r="K16" s="68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68"/>
      <c r="K17" s="68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68"/>
      <c r="K18" s="68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68"/>
      <c r="K19" s="68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68"/>
      <c r="K20" s="68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68"/>
      <c r="K21" s="68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68"/>
      <c r="K22" s="68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68"/>
      <c r="K23" s="68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68"/>
      <c r="K24" s="68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68"/>
      <c r="K25" s="68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68"/>
      <c r="K26" s="68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68"/>
      <c r="K27" s="68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68"/>
      <c r="K28" s="68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68"/>
      <c r="K29" s="68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68"/>
      <c r="K30" s="68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68"/>
      <c r="K31" s="68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68"/>
      <c r="K32" s="68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68"/>
      <c r="K33" s="68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68"/>
      <c r="K34" s="68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68"/>
      <c r="K35" s="68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68"/>
      <c r="K36" s="68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68"/>
      <c r="K37" s="68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68"/>
      <c r="K38" s="68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68"/>
      <c r="K39" s="68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68"/>
      <c r="K40" s="68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68"/>
      <c r="K41" s="68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68"/>
      <c r="K42" s="68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68"/>
      <c r="K43" s="68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68"/>
      <c r="K44" s="68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68"/>
      <c r="K45" s="68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68"/>
      <c r="K46" s="68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68"/>
      <c r="K47" s="68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68"/>
      <c r="K48" s="68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68"/>
      <c r="K49" s="68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68"/>
      <c r="K50" s="68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68"/>
      <c r="K51" s="68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68"/>
      <c r="K52" s="68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68"/>
      <c r="K53" s="68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68"/>
      <c r="K54" s="68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68"/>
      <c r="K55" s="68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68"/>
      <c r="K56" s="68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68"/>
      <c r="K57" s="68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68"/>
      <c r="K58" s="68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68"/>
      <c r="K59" s="68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68"/>
      <c r="K60" s="68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68"/>
      <c r="K61" s="68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68"/>
      <c r="K62" s="68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68"/>
      <c r="K63" s="68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68"/>
      <c r="K64" s="68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68"/>
      <c r="K65" s="68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68"/>
      <c r="K66" s="68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68"/>
      <c r="K67" s="68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68"/>
      <c r="K68" s="68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68"/>
      <c r="K69" s="68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68"/>
      <c r="K70" s="68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68"/>
      <c r="K71" s="68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68"/>
      <c r="K72" s="68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68"/>
      <c r="K73" s="68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68"/>
      <c r="K74" s="68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68"/>
      <c r="K75" s="68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68"/>
      <c r="K76" s="68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68"/>
      <c r="K77" s="68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68"/>
      <c r="K78" s="68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68"/>
      <c r="K79" s="68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68"/>
      <c r="K80" s="68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68"/>
      <c r="K81" s="68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68"/>
      <c r="K82" s="68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68"/>
      <c r="K83" s="68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68"/>
      <c r="K84" s="68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68"/>
      <c r="K85" s="68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68"/>
      <c r="K86" s="68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68"/>
      <c r="K87" s="68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68"/>
      <c r="K88" s="68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68"/>
      <c r="K89" s="68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68"/>
      <c r="K90" s="68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68"/>
      <c r="K91" s="68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68"/>
      <c r="K92" s="68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68"/>
      <c r="K93" s="68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68"/>
      <c r="K94" s="68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68"/>
      <c r="K95" s="68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68"/>
      <c r="K96" s="68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68"/>
      <c r="K97" s="68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68"/>
      <c r="K98" s="68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68"/>
      <c r="K99" s="68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68"/>
      <c r="K100" s="68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68"/>
      <c r="K101" s="68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68"/>
      <c r="K102" s="68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68"/>
      <c r="K103" s="68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68"/>
      <c r="K104" s="68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68"/>
      <c r="K105" s="68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68"/>
      <c r="K106" s="68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68"/>
      <c r="K107" s="68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68"/>
      <c r="K108" s="68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68"/>
      <c r="K109" s="68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68"/>
      <c r="K110" s="68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68"/>
      <c r="K111" s="68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68"/>
      <c r="K112" s="68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68"/>
      <c r="K113" s="68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68"/>
      <c r="K114" s="68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68"/>
      <c r="K115" s="68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68"/>
      <c r="K116" s="68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68"/>
      <c r="K117" s="68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68"/>
      <c r="K118" s="68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68"/>
      <c r="K119" s="68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68"/>
      <c r="K120" s="68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68"/>
      <c r="K121" s="68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68"/>
      <c r="K122" s="68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68"/>
      <c r="K123" s="68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68"/>
      <c r="K124" s="68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68"/>
      <c r="K125" s="68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68"/>
      <c r="K126" s="68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68"/>
      <c r="K127" s="68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68"/>
      <c r="K128" s="68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68"/>
      <c r="K129" s="68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68"/>
      <c r="K130" s="68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68"/>
      <c r="K131" s="68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68"/>
      <c r="K132" s="68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68"/>
      <c r="K133" s="68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68"/>
      <c r="K134" s="68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68"/>
      <c r="K135" s="68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68"/>
      <c r="K136" s="68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68"/>
      <c r="K137" s="68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68"/>
      <c r="K138" s="68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68"/>
      <c r="K139" s="68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68"/>
      <c r="K140" s="68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68"/>
      <c r="K141" s="68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68"/>
      <c r="K142" s="68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68"/>
      <c r="K143" s="68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68"/>
      <c r="K144" s="68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68"/>
      <c r="K145" s="68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68"/>
      <c r="K146" s="68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68"/>
      <c r="K147" s="68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68"/>
      <c r="K148" s="68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68"/>
      <c r="K149" s="68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68"/>
      <c r="K150" s="68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68"/>
      <c r="K151" s="68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68"/>
      <c r="K152" s="68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68"/>
      <c r="K153" s="68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68"/>
      <c r="K154" s="68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68"/>
      <c r="K155" s="68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68"/>
      <c r="K156" s="68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68"/>
      <c r="K157" s="68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68"/>
      <c r="K158" s="68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68"/>
      <c r="K159" s="68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68"/>
      <c r="K160" s="68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68"/>
      <c r="K161" s="68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68"/>
      <c r="K162" s="68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68"/>
      <c r="K163" s="68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68"/>
      <c r="K164" s="68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68"/>
      <c r="K165" s="68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68"/>
      <c r="K166" s="68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68"/>
      <c r="K167" s="68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68"/>
      <c r="K168" s="68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68"/>
      <c r="K169" s="68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68"/>
      <c r="K170" s="68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68"/>
      <c r="K171" s="68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68"/>
      <c r="K172" s="68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68"/>
      <c r="K173" s="68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68"/>
      <c r="K174" s="68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68"/>
      <c r="K175" s="68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68"/>
      <c r="K176" s="68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68"/>
      <c r="K177" s="68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68"/>
      <c r="K178" s="68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68"/>
      <c r="K179" s="68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68"/>
      <c r="K180" s="68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68"/>
      <c r="K181" s="68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68"/>
      <c r="K182" s="68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68"/>
      <c r="K183" s="68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68"/>
      <c r="K184" s="68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68"/>
      <c r="K185" s="68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68"/>
      <c r="K186" s="68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68"/>
      <c r="K187" s="68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68"/>
      <c r="K188" s="68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68"/>
      <c r="K189" s="68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68"/>
      <c r="K190" s="68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68"/>
      <c r="K191" s="68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68"/>
      <c r="K192" s="68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68"/>
      <c r="K193" s="68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68"/>
      <c r="K194" s="68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68"/>
      <c r="K195" s="68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68"/>
      <c r="K196" s="68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68"/>
      <c r="K197" s="68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68"/>
      <c r="K198" s="68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68"/>
      <c r="K199" s="68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68"/>
      <c r="K200" s="68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68"/>
      <c r="K201" s="68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68"/>
      <c r="K202" s="68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68"/>
      <c r="K203" s="68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68"/>
      <c r="K204" s="68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68"/>
      <c r="K205" s="68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68"/>
      <c r="K206" s="68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68"/>
      <c r="K207" s="68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68"/>
      <c r="K208" s="68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68"/>
      <c r="K209" s="68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68"/>
      <c r="K210" s="68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68"/>
      <c r="K211" s="68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68"/>
      <c r="K212" s="68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68"/>
      <c r="K213" s="68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68"/>
      <c r="K214" s="68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68"/>
      <c r="K215" s="68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68"/>
      <c r="K216" s="68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68"/>
      <c r="K217" s="68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68"/>
      <c r="K218" s="68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68"/>
      <c r="K219" s="68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68"/>
      <c r="K220" s="68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68"/>
      <c r="K221" s="68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68"/>
      <c r="K222" s="68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68"/>
      <c r="K223" s="68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68"/>
      <c r="K224" s="68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68"/>
      <c r="K225" s="68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68"/>
      <c r="K226" s="68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68"/>
      <c r="K227" s="68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68"/>
      <c r="K228" s="68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68"/>
      <c r="K229" s="68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68"/>
      <c r="K230" s="68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68"/>
      <c r="K231" s="68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68"/>
      <c r="K232" s="68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68"/>
      <c r="K233" s="68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68"/>
      <c r="K234" s="68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68"/>
      <c r="K235" s="68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68"/>
      <c r="K236" s="68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68"/>
      <c r="K237" s="68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68"/>
      <c r="K238" s="68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68"/>
      <c r="K239" s="68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68"/>
      <c r="K240" s="68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68"/>
      <c r="K241" s="68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68"/>
      <c r="K242" s="68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68"/>
      <c r="K243" s="68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68"/>
      <c r="K244" s="68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68"/>
      <c r="K245" s="68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68"/>
      <c r="K246" s="68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68"/>
      <c r="K247" s="68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68"/>
      <c r="K248" s="68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68"/>
      <c r="K249" s="68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68"/>
      <c r="K250" s="68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68"/>
      <c r="K251" s="68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68"/>
      <c r="K252" s="68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68"/>
      <c r="K253" s="68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68"/>
      <c r="K254" s="68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68"/>
      <c r="K255" s="68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68"/>
      <c r="K256" s="68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68"/>
      <c r="K257" s="68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68"/>
      <c r="K258" s="68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68"/>
      <c r="K259" s="68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68"/>
      <c r="K260" s="68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68"/>
      <c r="K261" s="68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68"/>
      <c r="K262" s="68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68"/>
      <c r="K263" s="68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68"/>
      <c r="K264" s="68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68"/>
      <c r="K265" s="68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68"/>
      <c r="K266" s="68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68"/>
      <c r="K267" s="68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68"/>
      <c r="K268" s="68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68"/>
      <c r="K269" s="68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68"/>
      <c r="K270" s="68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68"/>
      <c r="K271" s="68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68"/>
      <c r="K272" s="68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68"/>
      <c r="K273" s="68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68"/>
      <c r="K274" s="68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68"/>
      <c r="K275" s="68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68"/>
      <c r="K276" s="68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68"/>
      <c r="K277" s="68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68"/>
      <c r="K278" s="68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68"/>
      <c r="K279" s="68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68"/>
      <c r="K280" s="68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68"/>
      <c r="K281" s="68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68"/>
      <c r="K282" s="68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68"/>
      <c r="K283" s="68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68"/>
      <c r="K284" s="68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68"/>
      <c r="K285" s="68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68"/>
      <c r="K286" s="68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68"/>
      <c r="K287" s="68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68"/>
      <c r="K288" s="68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68"/>
      <c r="K289" s="68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68"/>
      <c r="K290" s="68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68"/>
      <c r="K291" s="68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68"/>
      <c r="K292" s="68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68"/>
      <c r="K293" s="68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68"/>
      <c r="K294" s="68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68"/>
      <c r="K295" s="68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68"/>
      <c r="K296" s="68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68"/>
      <c r="K297" s="68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68"/>
      <c r="K298" s="68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68"/>
      <c r="K299" s="68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68"/>
      <c r="K300" s="68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68"/>
      <c r="K301" s="68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68"/>
      <c r="K302" s="68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68"/>
      <c r="K303" s="68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68"/>
      <c r="K304" s="68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68"/>
      <c r="K305" s="68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68"/>
      <c r="K306" s="68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68"/>
      <c r="K307" s="68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68"/>
      <c r="K308" s="68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68"/>
      <c r="K309" s="68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68"/>
      <c r="K310" s="68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68"/>
      <c r="K311" s="68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68"/>
      <c r="K312" s="68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68"/>
      <c r="K313" s="68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68"/>
      <c r="K314" s="68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68"/>
      <c r="K315" s="68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68"/>
      <c r="K316" s="68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68"/>
      <c r="K317" s="68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68"/>
      <c r="K318" s="68"/>
    </row>
    <row r="319" spans="1:11" ht="14.45">
      <c r="C319" s="20"/>
      <c r="D319" s="20"/>
      <c r="E319" s="20"/>
      <c r="F319" s="21"/>
      <c r="G319" s="20"/>
      <c r="H319" s="20"/>
      <c r="I319" s="21"/>
      <c r="J319" s="68"/>
      <c r="K319" s="68"/>
    </row>
  </sheetData>
  <mergeCells count="4">
    <mergeCell ref="G1:I1"/>
    <mergeCell ref="A1:C1"/>
    <mergeCell ref="D1:F1"/>
    <mergeCell ref="A2:B2"/>
  </mergeCells>
  <conditionalFormatting sqref="F2 I2 F4:F77 I4:I77">
    <cfRule type="cellIs" dxfId="17" priority="3" stopIfTrue="1" operator="lessThanOrEqual">
      <formula>-0.1</formula>
    </cfRule>
    <cfRule type="expression" dxfId="16" priority="4">
      <formula>AND(ISNUMBER(F2), F2&gt;=0.1)</formula>
    </cfRule>
  </conditionalFormatting>
  <hyperlinks>
    <hyperlink ref="K4" r:id="rId1" display="https://us3.assetplanner.com/service_request?ID=101880" xr:uid="{6148C893-B53A-4E7D-9406-9B59C99E0B59}"/>
    <hyperlink ref="K5" r:id="rId2" display="https://us3.assetplanner.com/service_request?ID=087933" xr:uid="{8FEB37FA-D035-4A14-B016-E46853607BB8}"/>
    <hyperlink ref="L5" r:id="rId3" display="https://us3.assetplanner.com/service_request?ID=102652" xr:uid="{0579E669-BC5A-4C9A-A9D0-320B464B446C}"/>
    <hyperlink ref="M5" r:id="rId4" display="https://us3.assetplanner.com/service_request?ID=103516" xr:uid="{DCFBCB1F-2C31-46F6-A537-87544C0439C8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9"/>
  <sheetViews>
    <sheetView workbookViewId="0">
      <pane xSplit="2" ySplit="3" topLeftCell="H4" activePane="bottomRight" state="frozen"/>
      <selection pane="bottomRight" activeCell="I18" sqref="I18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0" t="str" cm="1">
        <f t="array" ref="A1">portfolio</f>
        <v>Walden Liberty</v>
      </c>
      <c r="B1" s="70"/>
      <c r="C1" s="70"/>
      <c r="D1" s="71" t="s">
        <v>52</v>
      </c>
      <c r="E1" s="71"/>
      <c r="F1" s="71"/>
      <c r="G1" s="69" t="s">
        <v>53</v>
      </c>
      <c r="H1" s="69"/>
      <c r="I1" s="69"/>
      <c r="J1" s="4"/>
      <c r="K1" s="4"/>
    </row>
    <row r="2" spans="1:11" ht="19.5" customHeight="1">
      <c r="A2" s="72" t="s">
        <v>2</v>
      </c>
      <c r="B2" s="72"/>
      <c r="C2" s="5">
        <f>SUM(C4:C77)</f>
        <v>103226</v>
      </c>
      <c r="D2" s="5">
        <f>SUM(D4:D77)</f>
        <v>0</v>
      </c>
      <c r="E2" s="5">
        <f>C2-D2</f>
        <v>103226</v>
      </c>
      <c r="F2" s="6">
        <f>IFERROR(E2/D2, 0)</f>
        <v>0</v>
      </c>
      <c r="G2" s="5">
        <f>SUM(G4:G77)</f>
        <v>0</v>
      </c>
      <c r="H2" s="7">
        <f>C2-G2</f>
        <v>103226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>
        <v>80054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54" t="s">
        <v>22</v>
      </c>
      <c r="H4" s="14" t="str">
        <f>IF(AND(ISNUMBER(C4),ISNUMBER(G4)), C4-G4, "")</f>
        <v/>
      </c>
      <c r="I4" s="15" t="str">
        <f>IFERROR(H4/G4, "")</f>
        <v/>
      </c>
      <c r="J4" s="39" t="s">
        <v>54</v>
      </c>
      <c r="K4" s="56" t="s">
        <v>55</v>
      </c>
    </row>
    <row r="5" spans="1:11" ht="28.9">
      <c r="A5" s="28" t="str">
        <v>Walden Liberty</v>
      </c>
      <c r="B5" s="29" t="str">
        <v>MA</v>
      </c>
      <c r="C5" s="11">
        <v>23172</v>
      </c>
      <c r="D5" s="17" t="s">
        <v>22</v>
      </c>
      <c r="E5" s="17" t="str">
        <f t="shared" ref="E5" si="0">IF(AND(ISNUMBER(C5),ISNUMBER(D5)), C5-D5, "")</f>
        <v/>
      </c>
      <c r="F5" s="18" t="str">
        <f>IFERROR(E5/D5, "")</f>
        <v/>
      </c>
      <c r="G5" s="55" t="s">
        <v>22</v>
      </c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 t="s">
        <v>43</v>
      </c>
      <c r="K5" s="60" t="s">
        <v>37</v>
      </c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64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77 I4:I77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hyperlinks>
    <hyperlink ref="K4" r:id="rId1" display="https://us3.assetplanner.com/service_request?ID=106453" xr:uid="{448BB2B4-64DB-43F4-B7D5-BD4D0B4A0BB0}"/>
    <hyperlink ref="K5" r:id="rId2" display="https://us3.assetplanner.com/service_request?ID=087933" xr:uid="{799BE9DC-9A45-4583-B760-030ED33C138F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9"/>
  <sheetViews>
    <sheetView zoomScale="90" zoomScaleNormal="90" workbookViewId="0">
      <pane xSplit="2" ySplit="3" topLeftCell="E4" activePane="bottomRight" state="frozen"/>
      <selection pane="bottomRight" activeCell="K4" sqref="K4:K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0" t="str" cm="1">
        <f t="array" ref="A1">portfolio</f>
        <v>Walden Liberty</v>
      </c>
      <c r="B1" s="70"/>
      <c r="C1" s="70"/>
      <c r="D1" s="71" t="s">
        <v>56</v>
      </c>
      <c r="E1" s="71"/>
      <c r="F1" s="71"/>
      <c r="G1" s="69" t="s">
        <v>57</v>
      </c>
      <c r="H1" s="69"/>
      <c r="I1" s="69"/>
      <c r="J1" s="4"/>
      <c r="K1" s="4"/>
    </row>
    <row r="2" spans="1:11" ht="19.5" customHeight="1">
      <c r="A2" s="72" t="s">
        <v>2</v>
      </c>
      <c r="B2" s="72"/>
      <c r="C2" s="5">
        <f>SUM(C4:C77)</f>
        <v>112582</v>
      </c>
      <c r="D2" s="5">
        <f>SUM(D4:D77)</f>
        <v>0</v>
      </c>
      <c r="E2" s="5">
        <f>C2-D2</f>
        <v>112582</v>
      </c>
      <c r="F2" s="6">
        <f>IFERROR(E2/D2, 0)</f>
        <v>0</v>
      </c>
      <c r="G2" s="5">
        <f>SUM(G4:G77)</f>
        <v>0</v>
      </c>
      <c r="H2" s="7">
        <f>C2-G2</f>
        <v>112582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>
        <v>88930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54" t="s">
        <v>22</v>
      </c>
      <c r="H4" s="14" t="str">
        <f>IF(AND(ISNUMBER(C4),ISNUMBER(G4)), C4-G4, "")</f>
        <v/>
      </c>
      <c r="I4" s="15" t="str">
        <f>IFERROR(H4/G4, "")</f>
        <v/>
      </c>
      <c r="J4" s="39" t="s">
        <v>54</v>
      </c>
      <c r="K4" s="56" t="s">
        <v>55</v>
      </c>
    </row>
    <row r="5" spans="1:11" ht="42.75" customHeight="1">
      <c r="A5" s="28" t="str">
        <v>Walden Liberty</v>
      </c>
      <c r="B5" s="29" t="str">
        <v>MA</v>
      </c>
      <c r="C5" s="11">
        <v>23652</v>
      </c>
      <c r="D5" s="17" t="s">
        <v>22</v>
      </c>
      <c r="E5" s="17" t="str">
        <f t="shared" ref="E5" si="0">IF(AND(ISNUMBER(C5),ISNUMBER(D5)), C5-D5, "")</f>
        <v/>
      </c>
      <c r="F5" s="18" t="str">
        <f>IFERROR(E5/D5, "")</f>
        <v/>
      </c>
      <c r="G5" s="55" t="s">
        <v>22</v>
      </c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51" t="s">
        <v>43</v>
      </c>
      <c r="K5" s="60" t="s">
        <v>37</v>
      </c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3" priority="3" stopIfTrue="1" operator="lessThanOrEqual">
      <formula>-0.1</formula>
    </cfRule>
    <cfRule type="expression" dxfId="12" priority="4">
      <formula>AND(ISNUMBER(F2), F2&gt;=0.1)</formula>
    </cfRule>
  </conditionalFormatting>
  <hyperlinks>
    <hyperlink ref="K4" r:id="rId1" display="https://us3.assetplanner.com/service_request?ID=106453" xr:uid="{735C7DBD-258F-4B5B-81D8-CFC7B2A4E645}"/>
    <hyperlink ref="K5" r:id="rId2" display="https://us3.assetplanner.com/service_request?ID=087933" xr:uid="{0C23EE16-0E39-4F71-8A0F-398D38E55F65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9"/>
  <sheetViews>
    <sheetView tabSelected="1" workbookViewId="0">
      <pane xSplit="2" ySplit="3" topLeftCell="C4" activePane="bottomRight" state="frozen"/>
      <selection pane="bottomRight" activeCell="F19" sqref="F19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0" t="str" cm="1">
        <f t="array" ref="A1">portfolio</f>
        <v>Walden Liberty</v>
      </c>
      <c r="B1" s="70"/>
      <c r="C1" s="70"/>
      <c r="D1" s="71" t="s">
        <v>58</v>
      </c>
      <c r="E1" s="71"/>
      <c r="F1" s="71"/>
      <c r="G1" s="69" t="s">
        <v>59</v>
      </c>
      <c r="H1" s="69"/>
      <c r="I1" s="69"/>
      <c r="J1" s="4"/>
      <c r="K1" s="4"/>
    </row>
    <row r="2" spans="1:11" ht="19.5" customHeight="1">
      <c r="A2" s="72" t="s">
        <v>2</v>
      </c>
      <c r="B2" s="72"/>
      <c r="C2" s="5">
        <f>SUM(C4:C77)</f>
        <v>49768</v>
      </c>
      <c r="D2" s="5">
        <f>SUM(D4:D77)</f>
        <v>0</v>
      </c>
      <c r="E2" s="5">
        <f>C2-D2</f>
        <v>49768</v>
      </c>
      <c r="F2" s="6">
        <f>IFERROR(E2/D2, 0)</f>
        <v>0</v>
      </c>
      <c r="G2" s="5">
        <f>SUM(G4:G77)</f>
        <v>0</v>
      </c>
      <c r="H2" s="7">
        <f>C2-G2</f>
        <v>49768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43.15">
      <c r="A4" s="30" t="str" cm="1">
        <f t="array" ref="A4:A5">Sites[Site]</f>
        <v>CCC College</v>
      </c>
      <c r="B4" s="27" t="str" cm="1">
        <f t="array" ref="B4:B5">Sites[State]</f>
        <v>MA</v>
      </c>
      <c r="C4" s="23">
        <v>31953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54" t="s">
        <v>22</v>
      </c>
      <c r="H4" s="14" t="str">
        <f>IF(AND(ISNUMBER(C4),ISNUMBER(G4)), C4-G4, "")</f>
        <v/>
      </c>
      <c r="I4" s="15" t="str">
        <f>IFERROR(H4/G4, "")</f>
        <v/>
      </c>
      <c r="J4" s="39" t="s">
        <v>60</v>
      </c>
      <c r="K4" s="56" t="s">
        <v>61</v>
      </c>
    </row>
    <row r="5" spans="1:11" ht="37.5" customHeight="1">
      <c r="A5" s="28" t="str">
        <v>Walden Liberty</v>
      </c>
      <c r="B5" s="29" t="str">
        <v>MA</v>
      </c>
      <c r="C5" s="11">
        <v>17815</v>
      </c>
      <c r="D5" s="17" t="s">
        <v>22</v>
      </c>
      <c r="E5" s="17" t="str">
        <f t="shared" ref="E5" si="0">IF(AND(ISNUMBER(C5),ISNUMBER(D5)), C5-D5, "")</f>
        <v/>
      </c>
      <c r="F5" s="18" t="str">
        <f>IFERROR(E5/D5, "")</f>
        <v/>
      </c>
      <c r="G5" s="55" t="s">
        <v>22</v>
      </c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51" t="s">
        <v>29</v>
      </c>
      <c r="K5" s="60" t="s">
        <v>24</v>
      </c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1" priority="3" stopIfTrue="1" operator="lessThanOrEqual">
      <formula>-0.1</formula>
    </cfRule>
    <cfRule type="expression" dxfId="10" priority="4">
      <formula>AND(ISNUMBER(F2), F2&gt;=0.1)</formula>
    </cfRule>
  </conditionalFormatting>
  <hyperlinks>
    <hyperlink ref="K4" r:id="rId1" display="https://us3.assetplanner.com/service_request?ID=106453" xr:uid="{113FF59B-3259-45E0-9B16-76A1A1A8AF75}"/>
    <hyperlink ref="K5" r:id="rId2" display="https://us3.assetplanner.com/service_request?ID=087933" xr:uid="{8FE553B2-743C-42B0-9CBB-75780391EB72}"/>
  </hyperlinks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9"/>
  <sheetViews>
    <sheetView workbookViewId="0">
      <pane xSplit="2" ySplit="3" topLeftCell="C4" activePane="bottomRight" state="frozen"/>
      <selection pane="bottomRight" activeCell="J15" sqref="J1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0" t="str" cm="1">
        <f t="array" ref="A1">portfolio</f>
        <v>Walden Liberty</v>
      </c>
      <c r="B1" s="70"/>
      <c r="C1" s="70"/>
      <c r="D1" s="71" t="s">
        <v>62</v>
      </c>
      <c r="E1" s="71"/>
      <c r="F1" s="71"/>
      <c r="G1" s="69" t="s">
        <v>63</v>
      </c>
      <c r="H1" s="69"/>
      <c r="I1" s="69"/>
      <c r="J1" s="4"/>
      <c r="K1" s="4"/>
    </row>
    <row r="2" spans="1:11" ht="19.5" customHeight="1">
      <c r="A2" s="72" t="s">
        <v>2</v>
      </c>
      <c r="B2" s="72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75">
      <c r="A5" s="28" t="str">
        <v>Walden Liberty</v>
      </c>
      <c r="B5" s="29" t="str">
        <v>MA</v>
      </c>
      <c r="C5" s="11"/>
      <c r="D5" s="17">
        <v>0</v>
      </c>
      <c r="E5" s="17" t="str">
        <f t="shared" ref="E5" si="0">IF(AND(ISNUMBER(C5),ISNUMBER(D5)), C5-D5, "")</f>
        <v/>
      </c>
      <c r="F5" s="18" t="str">
        <f>IFERROR(E5/D5, "")</f>
        <v/>
      </c>
      <c r="G5" s="19">
        <v>0</v>
      </c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9" priority="3" stopIfTrue="1" operator="lessThanOrEqual">
      <formula>-0.1</formula>
    </cfRule>
    <cfRule type="expression" dxfId="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9"/>
  <sheetViews>
    <sheetView workbookViewId="0">
      <pane xSplit="2" ySplit="3" topLeftCell="C4" activePane="bottomRight" state="frozen"/>
      <selection pane="bottomRight" activeCell="K5" sqref="K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0" t="str" cm="1">
        <f t="array" ref="A1">portfolio</f>
        <v>Walden Liberty</v>
      </c>
      <c r="B1" s="70"/>
      <c r="C1" s="70"/>
      <c r="D1" s="71" t="s">
        <v>64</v>
      </c>
      <c r="E1" s="71"/>
      <c r="F1" s="71"/>
      <c r="G1" s="69" t="s">
        <v>65</v>
      </c>
      <c r="H1" s="69"/>
      <c r="I1" s="69"/>
      <c r="J1" s="4"/>
      <c r="K1" s="4"/>
    </row>
    <row r="2" spans="1:11" ht="19.5" customHeight="1">
      <c r="A2" s="72" t="s">
        <v>2</v>
      </c>
      <c r="B2" s="72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/>
      <c r="D4" s="12"/>
      <c r="E4" s="12"/>
      <c r="F4" s="13" t="str">
        <f>IFERROR(E4/D4, "")</f>
        <v/>
      </c>
      <c r="G4" s="14"/>
      <c r="H4" s="14"/>
      <c r="I4" s="15" t="str">
        <f>IFERROR(H4/G4, "")</f>
        <v/>
      </c>
      <c r="J4" s="39"/>
      <c r="K4" s="39"/>
    </row>
    <row r="5" spans="1:11" ht="15.75">
      <c r="A5" s="28" t="str">
        <v>Walden Liberty</v>
      </c>
      <c r="B5" s="29" t="str">
        <v>MA</v>
      </c>
      <c r="C5" s="11"/>
      <c r="D5" s="17"/>
      <c r="E5" s="17"/>
      <c r="F5" s="18" t="str">
        <f>IFERROR(E5/D5, "")</f>
        <v/>
      </c>
      <c r="G5" s="19"/>
      <c r="H5" s="19"/>
      <c r="I5" s="18" t="str">
        <f t="shared" ref="I5" si="0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9"/>
  <sheetViews>
    <sheetView workbookViewId="0">
      <pane xSplit="2" ySplit="3" topLeftCell="C4" activePane="bottomRight" state="frozen"/>
      <selection pane="bottomRight" activeCell="D14" sqref="D14"/>
      <selection pane="bottomLeft" activeCell="H30" sqref="H30"/>
      <selection pane="topRight" activeCell="H30" sqref="H30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0" t="str" cm="1">
        <f t="array" ref="A1">portfolio</f>
        <v>Walden Liberty</v>
      </c>
      <c r="B1" s="70"/>
      <c r="C1" s="70"/>
      <c r="D1" s="71" t="s">
        <v>66</v>
      </c>
      <c r="E1" s="71"/>
      <c r="F1" s="71"/>
      <c r="G1" s="69" t="s">
        <v>67</v>
      </c>
      <c r="H1" s="69"/>
      <c r="I1" s="69"/>
      <c r="J1" s="4"/>
      <c r="K1" s="4"/>
    </row>
    <row r="2" spans="1:11" ht="19.5" customHeight="1">
      <c r="A2" s="72" t="s">
        <v>2</v>
      </c>
      <c r="B2" s="72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:A5">Sites[Site]</f>
        <v>CCC College</v>
      </c>
      <c r="B4" s="27" t="str" cm="1">
        <f t="array" ref="B4:B5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52"/>
      <c r="K4" s="52"/>
    </row>
    <row r="5" spans="1:11" ht="15.75">
      <c r="A5" s="28" t="str">
        <v>Walden Liberty</v>
      </c>
      <c r="B5" s="29" t="str">
        <v>MA</v>
      </c>
      <c r="C5" s="11"/>
      <c r="D5" s="17">
        <v>0</v>
      </c>
      <c r="E5" s="17" t="str">
        <f t="shared" ref="E5" si="0">IF(AND(ISNUMBER(C5),ISNUMBER(D5)), C5-D5, "")</f>
        <v/>
      </c>
      <c r="F5" s="18" t="str">
        <f>IFERROR(E5/D5, "")</f>
        <v/>
      </c>
      <c r="G5" s="19">
        <v>0</v>
      </c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53"/>
      <c r="K5" s="53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5" priority="3" stopIfTrue="1" operator="lessThanOrEqual">
      <formula>-0.1</formula>
    </cfRule>
    <cfRule type="expression" dxfId="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0"/>
  <sheetViews>
    <sheetView workbookViewId="0">
      <pane ySplit="3" topLeftCell="A4" activePane="bottomLeft" state="frozen"/>
      <selection pane="bottomLeft" activeCell="A5" sqref="A5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68</v>
      </c>
      <c r="B1" t="s">
        <v>69</v>
      </c>
    </row>
    <row r="3" spans="1:12" ht="13.15">
      <c r="A3" t="s">
        <v>70</v>
      </c>
      <c r="B3" t="s">
        <v>3</v>
      </c>
      <c r="C3" t="s">
        <v>4</v>
      </c>
      <c r="D3" t="s">
        <v>71</v>
      </c>
      <c r="E3" s="2" t="s">
        <v>72</v>
      </c>
    </row>
    <row r="4" spans="1:12" ht="14.45">
      <c r="A4" s="47" t="s">
        <v>73</v>
      </c>
      <c r="B4" s="47" t="s">
        <v>74</v>
      </c>
      <c r="C4" s="47" t="s">
        <v>75</v>
      </c>
      <c r="D4" s="49" t="s">
        <v>76</v>
      </c>
      <c r="E4" s="47" t="s">
        <v>77</v>
      </c>
      <c r="G4" s="3"/>
    </row>
    <row r="5" spans="1:12" ht="14.45">
      <c r="A5" s="48" t="s">
        <v>78</v>
      </c>
      <c r="B5" s="48" t="s">
        <v>69</v>
      </c>
      <c r="C5" s="48" t="s">
        <v>75</v>
      </c>
      <c r="D5" s="50" t="s">
        <v>76</v>
      </c>
      <c r="E5" s="48" t="s">
        <v>77</v>
      </c>
      <c r="G5" s="3"/>
    </row>
    <row r="6" spans="1:12" ht="12.75" customHeight="1">
      <c r="K6" s="41"/>
      <c r="L6" s="41"/>
    </row>
    <row r="7" spans="1:12" ht="12.75" customHeight="1">
      <c r="K7" s="41"/>
      <c r="L7" s="41"/>
    </row>
    <row r="8" spans="1:12" ht="12.75" customHeight="1">
      <c r="K8" s="41"/>
      <c r="L8" s="41"/>
    </row>
    <row r="9" spans="1:12" ht="12.75" customHeight="1">
      <c r="K9" s="41"/>
      <c r="L9" s="41"/>
    </row>
    <row r="10" spans="1:12" ht="12.75" customHeight="1">
      <c r="K10" s="41"/>
      <c r="L10" s="41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5.xml>��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b1f1756a870b76efc27a8eaee629888b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644d54029bc3338cc5927c7c7a534b5a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F6B2B1A1-1C4B-4AC9-9A7D-7A102DD1C942}"/>
</file>

<file path=customXml/itemProps2.xml><?xml version="1.0" encoding="utf-8"?>
<ds:datastoreItem xmlns:ds="http://schemas.openxmlformats.org/officeDocument/2006/customXml" ds:itemID="{F12EFA50-0068-4A8C-85A0-F1B26389EBC3}"/>
</file>

<file path=customXml/itemProps3.xml><?xml version="1.0" encoding="utf-8"?>
<ds:datastoreItem xmlns:ds="http://schemas.openxmlformats.org/officeDocument/2006/customXml" ds:itemID="{E20E8303-6A67-485C-B6F4-303542CC295C}"/>
</file>

<file path=customXml/itemProps4.xml><?xml version="1.0" encoding="utf-8"?>
<ds:datastoreItem xmlns:ds="http://schemas.openxmlformats.org/officeDocument/2006/customXml" ds:itemID="{8D732231-4216-4543-A665-18A2886B0EB7}"/>
</file>

<file path=customXml/itemProps5.xml><?xml version="1.0" encoding="utf-8"?>
<ds:datastoreItem xmlns:ds="http://schemas.openxmlformats.org/officeDocument/2006/customXml" ds:itemID="{CB52044A-5C0B-44A2-99D0-C1C315EC302D}"/>
</file>

<file path=customXml/itemProps6.xml><?xml version="1.0" encoding="utf-8"?>
<ds:datastoreItem xmlns:ds="http://schemas.openxmlformats.org/officeDocument/2006/customXml" ds:itemID="{7946C510-7D04-49D8-9B25-EEC04582A1CA}"/>
</file>

<file path=customXml/itemProps7.xml><?xml version="1.0" encoding="utf-8"?>
<ds:datastoreItem xmlns:ds="http://schemas.openxmlformats.org/officeDocument/2006/customXml" ds:itemID="{BF5C6359-7763-4C37-8EAF-2BC4698CB285}"/>
</file>

<file path=customXml/itemProps8.xml><?xml version="1.0" encoding="utf-8"?>
<ds:datastoreItem xmlns:ds="http://schemas.openxmlformats.org/officeDocument/2006/customXml" ds:itemID="{66B09F59-6532-46F8-924A-9A02417E070D}"/>
</file>

<file path=customXml/itemProps9.xml><?xml version="1.0" encoding="utf-8"?>
<ds:datastoreItem xmlns:ds="http://schemas.openxmlformats.org/officeDocument/2006/customXml" ds:itemID="{D3A7101F-9A85-4235-8B03-415370C100B2}"/>
</file>

<file path=customXml/itemProps10.xml><?xml version="1.0" encoding="utf-8"?>
<ds:datastoreItem xmlns:ds="http://schemas.openxmlformats.org/officeDocument/2006/customXml" ds:itemID="{0389C43E-394D-44C0-87DC-4780FCFCFB40}"/>
</file>

<file path=customXml/itemProps11.xml><?xml version="1.0" encoding="utf-8"?>
<ds:datastoreItem xmlns:ds="http://schemas.openxmlformats.org/officeDocument/2006/customXml" ds:itemID="{3AEAA9D8-2182-46BA-A58E-96C72DDA1C54}"/>
</file>

<file path=customXml/itemProps12.xml><?xml version="1.0" encoding="utf-8"?>
<ds:datastoreItem xmlns:ds="http://schemas.openxmlformats.org/officeDocument/2006/customXml" ds:itemID="{373CC7B7-49AD-405B-94C7-425E4C83771D}"/>
</file>

<file path=customXml/itemProps13.xml><?xml version="1.0" encoding="utf-8"?>
<ds:datastoreItem xmlns:ds="http://schemas.openxmlformats.org/officeDocument/2006/customXml" ds:itemID="{98A113BB-8B7A-453C-8BD4-8EFC67FC2D3F}"/>
</file>

<file path=customXml/itemProps14.xml><?xml version="1.0" encoding="utf-8"?>
<ds:datastoreItem xmlns:ds="http://schemas.openxmlformats.org/officeDocument/2006/customXml" ds:itemID="{2BC74AAC-D69B-4AF1-9649-B21EF3C1C463}"/>
</file>

<file path=customXml/itemProps15.xml><?xml version="1.0" encoding="utf-8"?>
<ds:datastoreItem xmlns:ds="http://schemas.openxmlformats.org/officeDocument/2006/customXml" ds:itemID="{14966E4F-347B-477B-B74C-9DAC05405806}"/>
</file>

<file path=customXml/itemProps16.xml><?xml version="1.0" encoding="utf-8"?>
<ds:datastoreItem xmlns:ds="http://schemas.openxmlformats.org/officeDocument/2006/customXml" ds:itemID="{BE26B669-A686-459C-A5E9-FEC3409C4C81}"/>
</file>

<file path=customXml/itemProps17.xml><?xml version="1.0" encoding="utf-8"?>
<ds:datastoreItem xmlns:ds="http://schemas.openxmlformats.org/officeDocument/2006/customXml" ds:itemID="{89CF5C07-45EB-4100-9AFB-2C6AF77FA787}"/>
</file>

<file path=customXml/itemProps18.xml><?xml version="1.0" encoding="utf-8"?>
<ds:datastoreItem xmlns:ds="http://schemas.openxmlformats.org/officeDocument/2006/customXml" ds:itemID="{078388C9-06F9-42F4-B857-EF76B5CAF1FD}"/>
</file>

<file path=customXml/itemProps19.xml><?xml version="1.0" encoding="utf-8"?>
<ds:datastoreItem xmlns:ds="http://schemas.openxmlformats.org/officeDocument/2006/customXml" ds:itemID="{1954BBA4-0359-438C-B0EC-A756015F7C02}"/>
</file>

<file path=customXml/itemProps20.xml><?xml version="1.0" encoding="utf-8"?>
<ds:datastoreItem xmlns:ds="http://schemas.openxmlformats.org/officeDocument/2006/customXml" ds:itemID="{E3716282-BFD2-4ED2-BA47-BFA1123827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Kusuma Potlada [AGS]</cp:lastModifiedBy>
  <cp:revision/>
  <dcterms:created xsi:type="dcterms:W3CDTF">2021-01-01T16:39:53Z</dcterms:created>
  <dcterms:modified xsi:type="dcterms:W3CDTF">2025-12-11T10:07:22Z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