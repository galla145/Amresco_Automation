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B5857BF0-0BF8-407A-B82C-16E97A45B5B6}" xr6:coauthVersionLast="47" xr6:coauthVersionMax="47" xr10:uidLastSave="{CA909805-DA1D-489B-BAA4-64F908D30BDA}"/>
  <bookViews>
    <workbookView xWindow="43080" yWindow="-120" windowWidth="29040" windowHeight="15720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E4" i="4"/>
  <c r="H5" i="3"/>
  <c r="E5" i="3"/>
  <c r="F5" i="3" s="1"/>
  <c r="H5" i="72"/>
  <c r="G5" i="30"/>
  <c r="G4" i="30"/>
  <c r="G4" i="29"/>
  <c r="G5" i="29"/>
  <c r="G5" i="18"/>
  <c r="G4" i="18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I5" i="3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F4" i="2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I5" i="72"/>
  <c r="H4" i="72"/>
  <c r="I4" i="72" s="1"/>
  <c r="G2" i="72"/>
  <c r="D2" i="72"/>
  <c r="C2" i="72"/>
  <c r="J2" i="72" s="1"/>
  <c r="A1" i="72" a="1"/>
  <c r="A1" i="72" s="1"/>
  <c r="G2" i="29" l="1"/>
  <c r="D5" i="34"/>
  <c r="C5" i="34"/>
  <c r="G4" i="34"/>
  <c r="G2" i="18"/>
  <c r="C4" i="34"/>
  <c r="G5" i="34"/>
  <c r="D2" i="18"/>
  <c r="E5" i="18"/>
  <c r="F5" i="18" s="1"/>
  <c r="E5" i="30"/>
  <c r="F5" i="30" s="1"/>
  <c r="D2" i="29"/>
  <c r="E5" i="29"/>
  <c r="F5" i="29" s="1"/>
  <c r="D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C2" i="29"/>
  <c r="E2" i="29" s="1"/>
  <c r="F2" i="29" s="1"/>
  <c r="C2" i="30"/>
  <c r="E4" i="29"/>
  <c r="F4" i="29" s="1"/>
  <c r="C2" i="18"/>
  <c r="H4" i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<sst xmlns="http://schemas.openxmlformats.org/spreadsheetml/2006/main" count="286" uniqueCount="64">
  <si>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</si>
  <si>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</si>
  <si>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</si>
  <si>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</si>
  <si>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</si>
  <si>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</si>
  <si>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</si>
  <si>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</si>
  <si>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</si>
  <si>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</si>
  <si>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</si>
  <si>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</si>
  <si>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</si>
  <si>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</si>
  <si>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</si>
  <si>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</si>
  <si>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</si>
  <si>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</si>
  <si>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</si>
  <si>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</si>
  <si>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</si>
  <si>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</si>
  <si>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</si>
  <si>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snow/rain.</t>
  </si>
  <si>
    <t>February Actual v. Expected</t>
  </si>
  <si>
    <t>February Actual v. Forecasted</t>
  </si>
  <si>
    <t>1.Site was offline from 7:00AM to 14:00 on 02/08.</t>
  </si>
  <si>
    <t>1.SR096528</t>
  </si>
  <si>
    <t>March Actual v. Expected</t>
  </si>
  <si>
    <t>March Actual v. Forecasted</t>
  </si>
  <si>
    <t>1.Inverters 1 and 2 are turning on and off repeatedly during high irradiance, likely an imbalance in the array.</t>
  </si>
  <si>
    <t>1.SR098036</t>
  </si>
  <si>
    <t>April Actual v. Expected</t>
  </si>
  <si>
    <t>April Actual v. Forecasted</t>
  </si>
  <si>
    <t>1.Inverters 1 and 2 are turning on and off repeatedly during  periods of high irradiance due to an imbalance in the array throughout the month.</t>
  </si>
  <si>
    <t>May Actual v. Expected</t>
  </si>
  <si>
    <t>May Actual v. Forecasted</t>
  </si>
  <si>
    <t>June Actual v. Expected</t>
  </si>
  <si>
    <t>June Actual v. Forecasted</t>
  </si>
  <si>
    <t>1. SR098036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</si>
  <si>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</si>
  <si>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</si>
  <si>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</si>
  <si>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</si>
  <si>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</si>
  <si>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</si>
  <si>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</si>
  <si>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</si>
  <si>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</si>
  <si>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</si>
  <si>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</si>
  <si>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</si>
  <si>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</si>
  <si>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American Polyfilm, Inc.</t>
  </si>
  <si>
    <t>Site DAS Name</t>
  </si>
  <si>
    <t>Update</t>
  </si>
  <si>
    <t>DAS</t>
  </si>
  <si>
    <t>15 Baldwin</t>
  </si>
  <si>
    <t>15 Baldwin Dr</t>
  </si>
  <si>
    <t>CT</t>
  </si>
  <si>
    <t>A</t>
  </si>
  <si>
    <t>PowerTrack</t>
  </si>
  <si>
    <t>8 Sycamore Way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</si>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</sst>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242424"/>
      <name val="Aptos Narrow"/>
      <charset val="1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2" fillId="0" borderId="0" xfId="43" applyFont="1" applyAlignment="1">
      <alignment horizontal="center" vertical="top"/>
    </xf>
    <xf numFmtId="3" fontId="35" fillId="0" borderId="0" xfId="0" applyNumberFormat="1" applyFont="1"/>
    <xf numFmtId="3" fontId="30" fillId="4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vertical="center" wrapText="1"/>
    </xf>
    <xf numFmtId="49" fontId="36" fillId="38" borderId="0" xfId="45" applyNumberFormat="1" applyFill="1" applyBorder="1" applyAlignment="1">
      <alignment vertical="top" wrapText="1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52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E17" sqref="E17"/>
      <selection pane="bottomLeft" activeCell="A15" sqref="A15"/>
      <selection pane="topRight" activeCell="A15" sqref="A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American Polyfilm, Inc.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SUM(C4:C69)</f>
        <v>191490.7160000001</v>
      </c>
      <c r="D2" s="5">
        <f>SUM(D4:D69)</f>
        <v>0</v>
      </c>
      <c r="E2" s="5">
        <f>C2-D2</f>
        <v>191490.7160000001</v>
      </c>
      <c r="F2" s="6">
        <f>IFERROR(E2/D2, 0)</f>
        <v>0</v>
      </c>
      <c r="G2" s="5">
        <f>SUM(G4:G69)</f>
        <v>111862.742</v>
      </c>
      <c r="H2" s="7">
        <f>C2-G2</f>
        <v>79627.974000000104</v>
      </c>
      <c r="I2" s="6">
        <f>IFERROR(H2/G2, 0)</f>
        <v>0.71183642181773177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5">Sites[Site]</f>
        <v>15 Baldwin Dr</v>
      </c>
      <c r="B4" s="9" t="str" cm="1">
        <f t="array" ref="B4:B5">Sites[State]</f>
        <v>CT</v>
      </c>
      <c r="C4" s="24">
        <f>SUM('1st Qtr'!C4, '2nd Qtr'!C4, '3rd Qtr'!C4, '4th Qtr'!C4)</f>
        <v>60958.016000000003</v>
      </c>
      <c r="D4" s="13">
        <f>SUM('1st Qtr'!D4, '2nd Qtr'!D4, '3rd Qtr'!D4, '4th Qtr'!D4)</f>
        <v>0</v>
      </c>
      <c r="E4" s="13">
        <f>IF(AND(ISNUMBER(C4),ISNUMBER(D4)), C4-D4, "")</f>
        <v>60958.016000000003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75">
      <c r="A5" s="17" t="str">
        <v>8 Sycamore Way</v>
      </c>
      <c r="B5" s="10" t="str">
        <v>CT</v>
      </c>
      <c r="C5" s="11">
        <f>SUM('1st Qtr'!C5, '2nd Qtr'!C5, '3rd Qtr'!C5, '4th Qtr'!C5)</f>
        <v>130532.7000000001</v>
      </c>
      <c r="D5" s="20">
        <f>SUM('1st Qtr'!D5, '2nd Qtr'!D5, '3rd Qtr'!D5, '4th Qtr'!D5)</f>
        <v>0</v>
      </c>
      <c r="E5" s="18">
        <f t="shared" ref="E5" si="0">IF(AND(ISNUMBER(C5),ISNUMBER(D5)), C5-D5, "")</f>
        <v>130532.7000000001</v>
      </c>
      <c r="F5" s="19" t="str">
        <f>IFERROR(E5/D5, "")</f>
        <v/>
      </c>
      <c r="G5" s="20">
        <f>SUM('1st Qtr'!G5, '2nd Qtr'!G5, '3rd Qtr'!G5, '4th Qtr'!G5)</f>
        <v>111862.742</v>
      </c>
      <c r="H5" s="20">
        <f>SUM('1st Qtr'!H5, '2nd Qtr'!H5, '3rd Qtr'!H5, '4th Qtr'!H5)</f>
        <v>18669.958000000101</v>
      </c>
      <c r="I5" s="19">
        <f>IFERROR(H5/G5, "")</f>
        <v>0.1669005932287991</v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G4" sqref="G4"/>
      <selection pane="bottomLeft" activeCell="A15" sqref="A15"/>
      <selection pane="topRight" activeCell="A15" sqref="A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American Polyfilm, Inc.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SUM(C4:C69)</f>
        <v>42694.232000000098</v>
      </c>
      <c r="D2" s="5">
        <f>SUM(D4:D69)</f>
        <v>0</v>
      </c>
      <c r="E2" s="5">
        <f>C2-D2</f>
        <v>42694.232000000098</v>
      </c>
      <c r="F2" s="6">
        <f>IFERROR(E2/D2, 0)</f>
        <v>0</v>
      </c>
      <c r="G2" s="5">
        <f>SUM(G4:G69)</f>
        <v>28703.678</v>
      </c>
      <c r="H2" s="7">
        <f>C2-G2</f>
        <v>13990.554000000098</v>
      </c>
      <c r="I2" s="6">
        <f>IFERROR(H2/G2, 0)</f>
        <v>0.48741328550299717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SUM(Jan!C4, Feb!C4, Mar!C4)</f>
        <v>13764.031999999999</v>
      </c>
      <c r="D4" s="13">
        <f>SUM(Jan!D4, Feb!D4, Mar!D4)</f>
        <v>0</v>
      </c>
      <c r="E4" s="13">
        <f>IF(AND(ISNUMBER(C4),ISNUMBER(D4)), C4-D4, "")</f>
        <v>13764.031999999999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75">
      <c r="A5" s="47" t="str">
        <v>8 Sycamore Way</v>
      </c>
      <c r="B5" s="10" t="str">
        <v>CT</v>
      </c>
      <c r="C5" s="11">
        <f>SUM(Jan!C5, Feb!C5, Mar!C5)</f>
        <v>28930.200000000099</v>
      </c>
      <c r="D5" s="18">
        <f>SUM(Jan!D5, Feb!D5, Mar!D5)</f>
        <v>0</v>
      </c>
      <c r="E5" s="18">
        <f t="shared" ref="E5" si="0">IF(AND(ISNUMBER(C5),ISNUMBER(D5)), C5-D5, "")</f>
        <v>28930.200000000099</v>
      </c>
      <c r="F5" s="19" t="str">
        <f>IFERROR(E5/D5, "")</f>
        <v/>
      </c>
      <c r="G5" s="20">
        <f>SUM(Jan!G5, Feb!G5, Mar!G5)</f>
        <v>28703.678</v>
      </c>
      <c r="H5" s="20">
        <f>SUM(Jan!H5, Feb!H5, Mar!H5)</f>
        <v>226.52200000010089</v>
      </c>
      <c r="I5" s="19">
        <f>IFERROR(H5/G5, "")</f>
        <v>7.8917412604789152E-3</v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H5" sqref="H5"/>
      <selection pane="bottomLeft" activeCell="A15" sqref="A15"/>
      <selection pane="topRight" activeCell="A15" sqref="A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American Polyfilm, Inc.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SUM(C4:C69)</f>
        <v>70695.376000000004</v>
      </c>
      <c r="D2" s="5">
        <f>SUM(D4:D69)</f>
        <v>0</v>
      </c>
      <c r="E2" s="5">
        <f>C2-D2</f>
        <v>70695.376000000004</v>
      </c>
      <c r="F2" s="6">
        <f>IFERROR(E2/D2, 0)</f>
        <v>0</v>
      </c>
      <c r="G2" s="5">
        <f>SUM(G4:G69)</f>
        <v>41905.176999999996</v>
      </c>
      <c r="H2" s="7">
        <f>C2-G2</f>
        <v>28790.199000000008</v>
      </c>
      <c r="I2" s="6">
        <f>IFERROR(H2/G2, 0)</f>
        <v>0.68703203425199733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SUM(Apr!C4, May!C4, Jun!C4)</f>
        <v>21898.976000000002</v>
      </c>
      <c r="D4" s="13">
        <f>SUM(Apr!D4, May!D4, Jun!D4)</f>
        <v>0</v>
      </c>
      <c r="E4" s="13">
        <f>IF(AND(ISNUMBER(C4),ISNUMBER(D4)), C4-D4, "")</f>
        <v>21898.976000000002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75">
      <c r="A5" s="47" t="str">
        <v>8 Sycamore Way</v>
      </c>
      <c r="B5" s="10" t="str">
        <v>CT</v>
      </c>
      <c r="C5" s="11">
        <f>SUM(Apr!C5, May!C5, Jun!C5)</f>
        <v>48796.4</v>
      </c>
      <c r="D5" s="18">
        <f>SUM(Apr!D5, May!D5, Jun!D5)</f>
        <v>0</v>
      </c>
      <c r="E5" s="18">
        <f t="shared" ref="E5" si="0">IF(AND(ISNUMBER(C5),ISNUMBER(D5)), C5-D5, "")</f>
        <v>48796.4</v>
      </c>
      <c r="F5" s="19" t="str">
        <f>IFERROR(E5/D5, "")</f>
        <v/>
      </c>
      <c r="G5" s="18">
        <f>SUM(Apr!G5,May!G5,Jun!G5)</f>
        <v>41905.176999999996</v>
      </c>
      <c r="H5" s="20">
        <f>SUM(Apr!H5, May!H5, Jun!H5)</f>
        <v>6891.2230000000018</v>
      </c>
      <c r="I5" s="19">
        <f>IFERROR(H5/G5, "")</f>
        <v>0.16444801080305668</v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workbookViewId="0">
      <pane xSplit="2" ySplit="3" topLeftCell="C4" activePane="bottomRight" state="frozen"/>
      <selection pane="bottomRight" activeCell="F37" sqref="F37"/>
      <selection pane="bottomLeft" activeCell="A15" sqref="A15"/>
      <selection pane="topRight" activeCell="A15" sqref="A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American Polyfilm, Inc.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SUM(C4:C69)</f>
        <v>78101.107999999993</v>
      </c>
      <c r="D2" s="5">
        <f>SUM(D4:D69)</f>
        <v>0</v>
      </c>
      <c r="E2" s="5">
        <f>C2-D2</f>
        <v>78101.107999999993</v>
      </c>
      <c r="F2" s="6">
        <f>IFERROR(E2/D2, 0)</f>
        <v>0</v>
      </c>
      <c r="G2" s="5">
        <f>SUM(G4:G69)</f>
        <v>41253.887000000002</v>
      </c>
      <c r="H2" s="7">
        <f>C2-G2</f>
        <v>36847.22099999999</v>
      </c>
      <c r="I2" s="6">
        <f>IFERROR(H2/G2, 0)</f>
        <v>0.89318179884479709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SUM(Jul!C4, Aug!C4, Sep!C4)</f>
        <v>25295.007999999998</v>
      </c>
      <c r="D4" s="13">
        <f>SUM(Jul!D4, Aug!D4, Sep!D4)</f>
        <v>0</v>
      </c>
      <c r="E4" s="13">
        <f>IF(AND(ISNUMBER(C4),ISNUMBER(D4)), C4-D4, "")</f>
        <v>25295.007999999998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75">
      <c r="A5" s="47" t="str">
        <v>8 Sycamore Way</v>
      </c>
      <c r="B5" s="10" t="str">
        <v>CT</v>
      </c>
      <c r="C5" s="11">
        <f>SUM(Jul!C5, Aug!C5, Sep!C5)</f>
        <v>52806.1</v>
      </c>
      <c r="D5" s="18">
        <f>SUM(Jul!D5, Aug!D5, Sep!D5)</f>
        <v>0</v>
      </c>
      <c r="E5" s="18">
        <f t="shared" ref="E5" si="0">IF(AND(ISNUMBER(C5),ISNUMBER(D5)), C5-D5, "")</f>
        <v>52806.1</v>
      </c>
      <c r="F5" s="19" t="str">
        <f>IFERROR(E5/D5, "")</f>
        <v/>
      </c>
      <c r="G5" s="18">
        <f>SUM(Jul!G5,Aug!G5,Sep!G5)</f>
        <v>41253.887000000002</v>
      </c>
      <c r="H5" s="20">
        <f>SUM(Jul!H5, Aug!H5, Sep!H5)</f>
        <v>11552.213</v>
      </c>
      <c r="I5" s="19">
        <f>IFERROR(H5/G5, "")</f>
        <v>0.28002726143114703</v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4" activePane="bottomRight" state="frozen"/>
      <selection pane="bottomRight" activeCell="F25" sqref="F25"/>
      <selection pane="bottomLeft" activeCell="A15" sqref="A15"/>
      <selection pane="topRight" activeCell="A15" sqref="A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American Polyfilm, Inc.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75">
      <c r="A5" s="47" t="str">
        <v>8 Sycamore Way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1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SUM(C4:C68)</f>
        <v>10908.308000000001</v>
      </c>
      <c r="D2" s="5">
        <f>SUM(D4:D68)</f>
        <v>0</v>
      </c>
      <c r="E2" s="5">
        <f>C2-D2</f>
        <v>10908.308000000001</v>
      </c>
      <c r="F2" s="6">
        <f>IFERROR(E2/D2, 0)</f>
        <v>0</v>
      </c>
      <c r="G2" s="5">
        <f>SUM(G4:G68)</f>
        <v>7766.6779999999999</v>
      </c>
      <c r="H2" s="7">
        <f>C2-G2</f>
        <v>3141.630000000001</v>
      </c>
      <c r="I2" s="6">
        <f>IFERROR(H2/G2, 0)</f>
        <v>0.40450112647904302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49" t="str" cm="1">
        <f t="array" ref="A4:A5">Sites[Site]</f>
        <v>15 Baldwin Dr</v>
      </c>
      <c r="B4" s="28" t="str" cm="1">
        <f t="array" ref="B4:B5">Sites[State]</f>
        <v>CT</v>
      </c>
      <c r="C4" s="13">
        <v>3975.0079999999998</v>
      </c>
      <c r="D4" s="13" t="s">
        <v>22</v>
      </c>
      <c r="E4" s="13" t="str">
        <f>IF(AND(ISNUMBER(C4),ISNUMBER(D4)), C4-D4, "")</f>
        <v/>
      </c>
      <c r="F4" s="43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50" t="str">
        <v>8 Sycamore Way</v>
      </c>
      <c r="B5" s="30" t="str">
        <v>CT</v>
      </c>
      <c r="C5" s="18">
        <v>6933.3</v>
      </c>
      <c r="D5" s="18" t="s">
        <v>22</v>
      </c>
      <c r="E5" s="18" t="str">
        <f t="shared" ref="E5" si="0">IF(AND(ISNUMBER(C5),ISNUMBER(D5)), C5-D5, "")</f>
        <v/>
      </c>
      <c r="F5" s="22" t="str">
        <f t="shared" ref="F5" si="1">IFERROR(E5/D5, "")</f>
        <v/>
      </c>
      <c r="G5" s="18">
        <v>7766.6779999999999</v>
      </c>
      <c r="H5" s="32">
        <f>IF(AND(ISNUMBER(C5),ISNUMBER(G5)), C5-G5, "")</f>
        <v>-833.3779999999997</v>
      </c>
      <c r="I5" s="19">
        <f t="shared" ref="I5" si="2">IFERROR(H5/G5, "")</f>
        <v>-0.1073017318343827</v>
      </c>
      <c r="J5" s="41" t="s">
        <v>23</v>
      </c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5:F68">
    <cfRule type="cellIs" dxfId="27" priority="4" stopIfTrue="1" operator="lessThanOrEqual">
      <formula>-0.1</formula>
    </cfRule>
    <cfRule type="expression" dxfId="26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J4" activePane="bottomRight" state="frozen"/>
      <selection pane="bottomRight" activeCell="J15" sqref="J15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24</v>
      </c>
      <c r="E1" s="59"/>
      <c r="F1" s="59"/>
      <c r="G1" s="57" t="s">
        <v>25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11876.716</v>
      </c>
      <c r="D2" s="5">
        <f>SUM(D4:D69)</f>
        <v>0</v>
      </c>
      <c r="E2" s="5">
        <f>C2-D2</f>
        <v>11876.716</v>
      </c>
      <c r="F2" s="6">
        <f>IFERROR(E2/D2, 0)</f>
        <v>0</v>
      </c>
      <c r="G2" s="5">
        <f>SUM(G4:G69)</f>
        <v>9148</v>
      </c>
      <c r="H2" s="7">
        <f>C2-G2</f>
        <v>2728.7160000000003</v>
      </c>
      <c r="I2" s="6">
        <f>IFERROR(H2/G2, 0)</f>
        <v>0.29828552689112375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49" t="str" cm="1">
        <f t="array" ref="A4:A5">Sites[Site]</f>
        <v>15 Baldwin Dr</v>
      </c>
      <c r="B4" s="28" t="str" cm="1">
        <f t="array" ref="B4:B5">Sites[State]</f>
        <v>CT</v>
      </c>
      <c r="C4" s="24">
        <v>3838.0160000000001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50" t="str">
        <v>8 Sycamore Way</v>
      </c>
      <c r="B5" s="30" t="str">
        <v>CT</v>
      </c>
      <c r="C5" s="11">
        <v>8038.7</v>
      </c>
      <c r="D5" s="18" t="s">
        <v>22</v>
      </c>
      <c r="E5" s="18" t="str">
        <f>IF(AND(ISNUMBER(C5),ISNUMBER(D5)), C5-D5, "")</f>
        <v/>
      </c>
      <c r="F5" s="19" t="str">
        <f>IFERROR(E5/D5, "")</f>
        <v/>
      </c>
      <c r="G5" s="52">
        <v>9148</v>
      </c>
      <c r="H5" s="20">
        <f>IF(AND(ISNUMBER(C5),ISNUMBER(G5)), C5-G5, "")</f>
        <v>-1109.3000000000002</v>
      </c>
      <c r="I5" s="19">
        <f t="shared" ref="I5" si="0">IFERROR(H5/G5, "")</f>
        <v>-0.12126147791867077</v>
      </c>
      <c r="J5" s="41" t="s">
        <v>26</v>
      </c>
      <c r="K5" s="54" t="s">
        <v>27</v>
      </c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hyperlinks>
    <hyperlink ref="K5" r:id="rId1" display="https://us3.assetplanner.com/service_request?ID=096528" xr:uid="{0CF38391-B0E7-4B8B-9014-3BD39F2D1279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zoomScale="80" zoomScaleNormal="80" workbookViewId="0">
      <pane xSplit="2" ySplit="3" topLeftCell="C4" activePane="bottomRight" state="frozen"/>
      <selection pane="bottomRight" activeCell="D4" sqref="D4:D5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28</v>
      </c>
      <c r="E1" s="59"/>
      <c r="F1" s="59"/>
      <c r="G1" s="57" t="s">
        <v>29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19909.208000000101</v>
      </c>
      <c r="D2" s="5">
        <f>SUM(D4:D69)</f>
        <v>0</v>
      </c>
      <c r="E2" s="5">
        <f>C2-D2</f>
        <v>19909.208000000101</v>
      </c>
      <c r="F2" s="6">
        <f>IFERROR(E2/D2, 0)</f>
        <v>0</v>
      </c>
      <c r="G2" s="5">
        <f>SUM(G4:G69)</f>
        <v>11789</v>
      </c>
      <c r="H2" s="7">
        <f>C2-G2</f>
        <v>8120.2080000001006</v>
      </c>
      <c r="I2" s="6">
        <f>IFERROR(H2/G2, 0)</f>
        <v>0.68879531766902202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5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5951.0079999999998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30</v>
      </c>
      <c r="K4" s="55" t="s">
        <v>31</v>
      </c>
    </row>
    <row r="5" spans="1:11" ht="15.75">
      <c r="A5" s="29" t="str">
        <v>8 Sycamore Way</v>
      </c>
      <c r="B5" s="30" t="str">
        <v>CT</v>
      </c>
      <c r="C5" s="11">
        <v>13958.200000000101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11789</v>
      </c>
      <c r="H5" s="20">
        <f t="shared" ref="H5" si="1">IF(AND(ISNUMBER(C5),ISNUMBER(G5)), C5-G5, "")</f>
        <v>2169.2000000001008</v>
      </c>
      <c r="I5" s="19">
        <f t="shared" ref="I5" si="2">IFERROR(H5/G5, "")</f>
        <v>0.18400203579608965</v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hyperlinks>
    <hyperlink ref="K4" r:id="rId1" display="https://us3.assetplanner.com/service_request?ID=098036" xr:uid="{E68BE015-1BAB-443B-8620-C91DB8ACE79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H4" activePane="bottomRight" state="frozen"/>
      <selection pane="bottomRight" activeCell="K4" sqref="K4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32</v>
      </c>
      <c r="E1" s="59"/>
      <c r="F1" s="59"/>
      <c r="G1" s="57" t="s">
        <v>33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22525.9</v>
      </c>
      <c r="D2" s="5">
        <f>SUM(D4:D69)</f>
        <v>0</v>
      </c>
      <c r="E2" s="5">
        <f>C2-D2</f>
        <v>22525.9</v>
      </c>
      <c r="F2" s="6">
        <f>IFERROR(E2/D2, 0)</f>
        <v>0</v>
      </c>
      <c r="G2" s="5">
        <f>SUM(G4:G69)</f>
        <v>13203</v>
      </c>
      <c r="H2" s="7">
        <f>C2-G2</f>
        <v>9322.9000000000015</v>
      </c>
      <c r="I2" s="6">
        <f>IFERROR(H2/G2, 0)</f>
        <v>0.70611982125274575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5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6532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31</v>
      </c>
    </row>
    <row r="5" spans="1:11" ht="15.75">
      <c r="A5" s="29" t="str">
        <v>8 Sycamore Way</v>
      </c>
      <c r="B5" s="30" t="str">
        <v>CT</v>
      </c>
      <c r="C5" s="11">
        <v>15993.9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13203</v>
      </c>
      <c r="H5" s="20">
        <f t="shared" ref="H5" si="1">IF(AND(ISNUMBER(C5),ISNUMBER(G5)), C5-G5, "")</f>
        <v>2790.8999999999996</v>
      </c>
      <c r="I5" s="19">
        <f t="shared" ref="I5" si="2">IFERROR(H5/G5, "")</f>
        <v>0.21138377641445125</v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hyperlinks>
    <hyperlink ref="K4" r:id="rId1" display="https://us3.assetplanner.com/service_request?ID=098036" xr:uid="{92A12D64-ADF1-427E-BCBE-E5B072C8AC2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F4" activePane="bottomRight" state="frozen"/>
      <selection pane="bottomRight" activeCell="K4" sqref="K4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35</v>
      </c>
      <c r="E1" s="59"/>
      <c r="F1" s="59"/>
      <c r="G1" s="57" t="s">
        <v>36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22810.584000000003</v>
      </c>
      <c r="D2" s="5">
        <f>SUM(D4:D69)</f>
        <v>0</v>
      </c>
      <c r="E2" s="5">
        <f>C2-D2</f>
        <v>22810.584000000003</v>
      </c>
      <c r="F2" s="6">
        <f>IFERROR(E2/D2, 0)</f>
        <v>0</v>
      </c>
      <c r="G2" s="5">
        <f>SUM(G4:G69)</f>
        <v>14197.677</v>
      </c>
      <c r="H2" s="7">
        <f>C2-G2</f>
        <v>8612.9070000000029</v>
      </c>
      <c r="I2" s="6">
        <f>IFERROR(H2/G2, 0)</f>
        <v>0.60664198798155522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5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7225.9840000000004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6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31</v>
      </c>
    </row>
    <row r="5" spans="1:11" ht="15.75">
      <c r="A5" s="29" t="str">
        <v>8 Sycamore Way</v>
      </c>
      <c r="B5" s="30" t="str">
        <v>CT</v>
      </c>
      <c r="C5" s="11">
        <v>15584.6</v>
      </c>
      <c r="D5" s="18">
        <v>0</v>
      </c>
      <c r="E5" s="18">
        <f t="shared" ref="E5" si="0">IF(AND(ISNUMBER(C5),ISNUMBER(D5)), C5-D5, "")</f>
        <v>15584.6</v>
      </c>
      <c r="F5" s="19" t="str">
        <f>IFERROR(E5/D5, "")</f>
        <v/>
      </c>
      <c r="G5" s="20">
        <v>14197.677</v>
      </c>
      <c r="H5" s="20">
        <f t="shared" ref="H5" si="1">IF(AND(ISNUMBER(C5),ISNUMBER(G5)), C5-G5, "")</f>
        <v>1386.9230000000007</v>
      </c>
      <c r="I5" s="19">
        <f t="shared" ref="I5" si="2">IFERROR(H5/G5, "")</f>
        <v>9.7686614507429687E-2</v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8036" xr:uid="{1A63750B-9F2D-4703-8945-26CF19F7925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C4" activePane="bottomRight" state="frozen"/>
      <selection pane="bottomRight" activeCell="J4" sqref="J4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37</v>
      </c>
      <c r="E1" s="59"/>
      <c r="F1" s="59"/>
      <c r="G1" s="57" t="s">
        <v>38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25358.892</v>
      </c>
      <c r="D2" s="5">
        <f>SUM(D4:D69)</f>
        <v>0</v>
      </c>
      <c r="E2" s="5">
        <f>C2-D2</f>
        <v>25358.892</v>
      </c>
      <c r="F2" s="6">
        <f>IFERROR(E2/D2, 0)</f>
        <v>0</v>
      </c>
      <c r="G2" s="5">
        <f>SUM(G4:G69)</f>
        <v>14504.5</v>
      </c>
      <c r="H2" s="7">
        <f>C2-G2</f>
        <v>10854.392</v>
      </c>
      <c r="I2" s="6">
        <f>IFERROR(H2/G2, 0)</f>
        <v>0.74834651315109102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5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8140.9920000000002</v>
      </c>
      <c r="D4" s="13">
        <v>0</v>
      </c>
      <c r="E4" s="13">
        <f>IF(AND(ISNUMBER(C4),ISNUMBER(D4)), C4-D4, "")</f>
        <v>8140.9920000000002</v>
      </c>
      <c r="F4" s="14" t="str">
        <f>IFERROR(E4/D4, "")</f>
        <v/>
      </c>
      <c r="G4" s="56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39</v>
      </c>
    </row>
    <row r="5" spans="1:11" ht="15.75">
      <c r="A5" s="29" t="str">
        <v>8 Sycamore Way</v>
      </c>
      <c r="B5" s="30" t="str">
        <v>CT</v>
      </c>
      <c r="C5" s="11">
        <v>17217.900000000001</v>
      </c>
      <c r="D5" s="18">
        <v>0</v>
      </c>
      <c r="E5" s="18">
        <f t="shared" ref="E5" si="0">IF(AND(ISNUMBER(C5),ISNUMBER(D5)), C5-D5, "")</f>
        <v>17217.900000000001</v>
      </c>
      <c r="F5" s="19" t="str">
        <f>IFERROR(E5/D5, "")</f>
        <v/>
      </c>
      <c r="G5" s="20">
        <v>14504.5</v>
      </c>
      <c r="H5" s="20">
        <f t="shared" ref="H5" si="1">IF(AND(ISNUMBER(C5),ISNUMBER(G5)), C5-G5, "")</f>
        <v>2713.4000000000015</v>
      </c>
      <c r="I5" s="19">
        <f t="shared" ref="I5" si="2">IFERROR(H5/G5, "")</f>
        <v>0.18707297735185643</v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8036" xr:uid="{D1388199-4D95-4DC7-9966-0A9CDE8463F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D4" activePane="bottomRight" state="frozen"/>
      <selection pane="bottomRight" activeCell="H29" sqref="H29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40</v>
      </c>
      <c r="E1" s="59"/>
      <c r="F1" s="59"/>
      <c r="G1" s="57" t="s">
        <v>41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27491.908000000003</v>
      </c>
      <c r="D2" s="5">
        <f>SUM(D4:D69)</f>
        <v>0</v>
      </c>
      <c r="E2" s="5">
        <f>C2-D2</f>
        <v>27491.908000000003</v>
      </c>
      <c r="F2" s="6">
        <f>IFERROR(E2/D2, 0)</f>
        <v>0</v>
      </c>
      <c r="G2" s="5">
        <f>SUM(G4:G69)</f>
        <v>15228.258</v>
      </c>
      <c r="H2" s="7">
        <f>C2-G2</f>
        <v>12263.650000000003</v>
      </c>
      <c r="I2" s="6">
        <f>IFERROR(H2/G2, 0)</f>
        <v>0.80532192191647944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5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8607.0079999999998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31</v>
      </c>
    </row>
    <row r="5" spans="1:11" ht="15.75">
      <c r="A5" s="29" t="str">
        <v>8 Sycamore Way</v>
      </c>
      <c r="B5" s="30" t="str">
        <v>CT</v>
      </c>
      <c r="C5" s="11">
        <v>18884.900000000001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15228.258</v>
      </c>
      <c r="H5" s="20">
        <f t="shared" ref="H5" si="1">IF(AND(ISNUMBER(C5),ISNUMBER(G5)), C5-G5, "")</f>
        <v>3656.6420000000016</v>
      </c>
      <c r="I5" s="19">
        <f t="shared" ref="I5" si="2">IFERROR(H5/G5, "")</f>
        <v>0.24012214660403058</v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098036" xr:uid="{56F628AF-8F27-4F20-AA18-7971504A0D36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C4" activePane="bottomRight" state="frozen"/>
      <selection pane="bottomRight" activeCell="G27" sqref="G27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42</v>
      </c>
      <c r="E1" s="59"/>
      <c r="F1" s="59"/>
      <c r="G1" s="57" t="s">
        <v>43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28187.115999999998</v>
      </c>
      <c r="D2" s="5">
        <f>SUM(D4:D69)</f>
        <v>0</v>
      </c>
      <c r="E2" s="5">
        <f>C2-D2</f>
        <v>28187.115999999998</v>
      </c>
      <c r="F2" s="6">
        <f>IFERROR(E2/D2, 0)</f>
        <v>0</v>
      </c>
      <c r="G2" s="5">
        <f>SUM(G4:G69)</f>
        <v>14024.129000000001</v>
      </c>
      <c r="H2" s="7">
        <f>C2-G2</f>
        <v>14162.986999999997</v>
      </c>
      <c r="I2" s="6">
        <f>IFERROR(H2/G2, 0)</f>
        <v>1.0099013635713132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5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9030.0159999999996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31</v>
      </c>
    </row>
    <row r="5" spans="1:11" ht="15.75">
      <c r="A5" s="29" t="str">
        <v>8 Sycamore Way</v>
      </c>
      <c r="B5" s="30" t="str">
        <v>CT</v>
      </c>
      <c r="C5" s="11">
        <v>19157.099999999999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14024.129000000001</v>
      </c>
      <c r="H5" s="20">
        <f t="shared" ref="H5" si="1">IF(AND(ISNUMBER(C5),ISNUMBER(G5)), C5-G5, "")</f>
        <v>5132.9709999999977</v>
      </c>
      <c r="I5" s="19">
        <f t="shared" ref="I5" si="2">IFERROR(H5/G5, "")</f>
        <v>0.36600996753523857</v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098036" xr:uid="{C8ACB0AB-3132-4A03-AF86-E9ED5A613FE8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tabSelected="1" workbookViewId="0">
      <pane xSplit="2" ySplit="3" topLeftCell="C4" activePane="bottomRight" state="frozen"/>
      <selection pane="bottomRight" activeCell="I16" sqref="I16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22422.084000000003</v>
      </c>
      <c r="D2" s="5">
        <f>SUM(D4:D69)</f>
        <v>0</v>
      </c>
      <c r="E2" s="5">
        <f>C2-D2</f>
        <v>22422.084000000003</v>
      </c>
      <c r="F2" s="6">
        <f>IFERROR(E2/D2, 0)</f>
        <v>0</v>
      </c>
      <c r="G2" s="5">
        <f>SUM(G4:G69)</f>
        <v>12001.5</v>
      </c>
      <c r="H2" s="7">
        <f>C2-G2</f>
        <v>10420.584000000003</v>
      </c>
      <c r="I2" s="6">
        <f>IFERROR(H2/G2, 0)</f>
        <v>0.86827346581677312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5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7657.9840000000004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39</v>
      </c>
    </row>
    <row r="5" spans="1:11" ht="15.75">
      <c r="A5" s="29" t="str">
        <v>8 Sycamore Way</v>
      </c>
      <c r="B5" s="30" t="str">
        <v>CT</v>
      </c>
      <c r="C5" s="11">
        <v>14764.1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12001.5</v>
      </c>
      <c r="H5" s="20">
        <f t="shared" ref="H5" si="1">IF(AND(ISNUMBER(C5),ISNUMBER(G5)), C5-G5, "")</f>
        <v>2762.6000000000004</v>
      </c>
      <c r="I5" s="19">
        <f t="shared" ref="I5" si="2">IFERROR(H5/G5, "")</f>
        <v>0.2301878931800192</v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098036" xr:uid="{42F0FDDB-55C0-4B49-AE79-71D7D107CA9D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J7" sqref="J7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46</v>
      </c>
      <c r="E1" s="59"/>
      <c r="F1" s="59"/>
      <c r="G1" s="57" t="s">
        <v>47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48</v>
      </c>
      <c r="E1" s="59"/>
      <c r="F1" s="59"/>
      <c r="G1" s="57" t="s">
        <v>49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E4" activePane="bottomRight" state="frozen"/>
      <selection pane="bottomRight" activeCell="H11" sqref="H11"/>
      <selection pane="bottomLeft" activeCell="G22" sqref="G22"/>
      <selection pane="topRight" activeCell="G22" sqref="G22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50</v>
      </c>
      <c r="E1" s="59"/>
      <c r="F1" s="59"/>
      <c r="G1" s="57" t="s">
        <v>51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25">
      <c r="A4" s="3" t="s">
        <v>57</v>
      </c>
      <c r="B4" s="3" t="s">
        <v>58</v>
      </c>
      <c r="C4" s="51" t="s">
        <v>59</v>
      </c>
      <c r="D4" s="2" t="s">
        <v>60</v>
      </c>
      <c r="E4" t="s">
        <v>61</v>
      </c>
      <c r="G4" s="3"/>
    </row>
    <row r="5" spans="1:12" ht="14.25">
      <c r="A5" s="3" t="s">
        <v>62</v>
      </c>
      <c r="B5" s="3" t="s">
        <v>62</v>
      </c>
      <c r="C5" s="51" t="s">
        <v>59</v>
      </c>
      <c r="D5" s="2" t="s">
        <v>63</v>
      </c>
      <c r="E5" t="s">
        <v>61</v>
      </c>
      <c r="G5" s="3"/>
    </row>
    <row r="6" spans="1:12" ht="14.2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DAA06981-803E-4A81-9085-4845A0763D04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2025-10-30T16:53:29Z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2025-10-15T20:23:49Z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31f3bc71-090a-40fa-a539-692a5924c4aa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