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B617DABD-C315-4066-8D79-71DFFAA4765D}" xr6:coauthVersionLast="47" xr6:coauthVersionMax="47" xr10:uidLastSave="{00000000-0000-0000-0000-000000000000}"/>
  <bookViews>
    <workbookView xWindow="-108" yWindow="-108" windowWidth="23256" windowHeight="12456" tabRatio="866" firstSheet="13" activeTab="1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28" l="1"/>
  <c r="E7" i="28"/>
  <c r="H7" i="27"/>
  <c r="F7" i="27"/>
  <c r="E7" i="27"/>
  <c r="E7" i="26"/>
  <c r="F4" i="72"/>
  <c r="I5" i="26"/>
  <c r="I5" i="31"/>
  <c r="I5" i="32"/>
  <c r="I5" i="33"/>
  <c r="I6" i="31"/>
  <c r="I6" i="32"/>
  <c r="I6" i="33"/>
  <c r="I4" i="31"/>
  <c r="I4" i="32"/>
  <c r="I4" i="33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G6" i="1"/>
  <c r="G6" i="34" s="1"/>
  <c r="G5" i="1"/>
  <c r="G5" i="34" s="1"/>
  <c r="G4" i="1"/>
  <c r="G4" i="34" s="1"/>
  <c r="D6" i="34"/>
  <c r="D5" i="34"/>
  <c r="C6" i="34"/>
  <c r="C5" i="34"/>
  <c r="B4" i="34" a="1"/>
  <c r="B4" i="34" s="1"/>
  <c r="A4" i="34" a="1"/>
  <c r="A4" i="34" s="1"/>
  <c r="A1" i="34" a="1"/>
  <c r="A1" i="34" s="1"/>
  <c r="D6" i="30"/>
  <c r="C6" i="30"/>
  <c r="D5" i="30"/>
  <c r="C5" i="30"/>
  <c r="E5" i="30" s="1"/>
  <c r="F5" i="30" s="1"/>
  <c r="D4" i="30"/>
  <c r="C4" i="30"/>
  <c r="D6" i="29"/>
  <c r="C6" i="29"/>
  <c r="D5" i="29"/>
  <c r="C5" i="29"/>
  <c r="D4" i="29"/>
  <c r="C4" i="29"/>
  <c r="D6" i="18"/>
  <c r="C6" i="18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6" i="1"/>
  <c r="C5" i="1"/>
  <c r="C4" i="1"/>
  <c r="D6" i="1"/>
  <c r="D5" i="1"/>
  <c r="D4" i="1"/>
  <c r="B4" i="1" a="1"/>
  <c r="B4" i="1" s="1"/>
  <c r="A4" i="1" a="1"/>
  <c r="A4" i="1" s="1"/>
  <c r="A1" i="1" a="1"/>
  <c r="A1" i="1" s="1"/>
  <c r="H6" i="33"/>
  <c r="E6" i="33"/>
  <c r="F6" i="33" s="1"/>
  <c r="H5" i="33"/>
  <c r="E5" i="33"/>
  <c r="F5" i="33" s="1"/>
  <c r="H4" i="33"/>
  <c r="E4" i="33"/>
  <c r="F4" i="33" s="1"/>
  <c r="G2" i="33"/>
  <c r="D2" i="33"/>
  <c r="C2" i="33"/>
  <c r="J2" i="33" s="1"/>
  <c r="A1" i="33" a="1"/>
  <c r="A1" i="33" s="1"/>
  <c r="H6" i="32"/>
  <c r="E6" i="32"/>
  <c r="F6" i="32" s="1"/>
  <c r="H5" i="32"/>
  <c r="E5" i="32"/>
  <c r="F5" i="32" s="1"/>
  <c r="H4" i="32"/>
  <c r="E4" i="32"/>
  <c r="F4" i="32" s="1"/>
  <c r="G2" i="32"/>
  <c r="D2" i="32"/>
  <c r="C2" i="32"/>
  <c r="A1" i="32" a="1"/>
  <c r="A1" i="32" s="1"/>
  <c r="H6" i="31"/>
  <c r="E6" i="31"/>
  <c r="F6" i="31" s="1"/>
  <c r="H5" i="31"/>
  <c r="E5" i="31"/>
  <c r="F5" i="31" s="1"/>
  <c r="H4" i="31"/>
  <c r="E4" i="31"/>
  <c r="F4" i="31" s="1"/>
  <c r="G2" i="31"/>
  <c r="D2" i="31"/>
  <c r="C2" i="31"/>
  <c r="A1" i="31" a="1"/>
  <c r="A1" i="31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J2" i="27" s="1"/>
  <c r="A1" i="27" a="1"/>
  <c r="A1" i="27" s="1"/>
  <c r="H6" i="26"/>
  <c r="I6" i="26" s="1"/>
  <c r="E6" i="26"/>
  <c r="F6" i="26" s="1"/>
  <c r="H5" i="26"/>
  <c r="E5" i="26"/>
  <c r="F5" i="26" s="1"/>
  <c r="H4" i="26"/>
  <c r="I4" i="26" s="1"/>
  <c r="E4" i="26"/>
  <c r="F4" i="26" s="1"/>
  <c r="G2" i="26"/>
  <c r="D2" i="26"/>
  <c r="C2" i="26"/>
  <c r="J2" i="26" s="1"/>
  <c r="A1" i="26" a="1"/>
  <c r="A1" i="26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E6" i="72"/>
  <c r="F6" i="72" s="1"/>
  <c r="H6" i="72"/>
  <c r="I6" i="72" s="1"/>
  <c r="H5" i="72"/>
  <c r="I5" i="72" s="1"/>
  <c r="H4" i="72"/>
  <c r="I4" i="72" s="1"/>
  <c r="G2" i="72"/>
  <c r="D2" i="72"/>
  <c r="C2" i="72"/>
  <c r="J2" i="72" s="1"/>
  <c r="E4" i="72"/>
  <c r="A1" i="72" a="1"/>
  <c r="A1" i="72" s="1"/>
  <c r="E6" i="29" l="1"/>
  <c r="F6" i="29" s="1"/>
  <c r="H2" i="21"/>
  <c r="I2" i="21" s="1"/>
  <c r="E6" i="30"/>
  <c r="F6" i="30" s="1"/>
  <c r="D2" i="30"/>
  <c r="H2" i="31"/>
  <c r="I2" i="31" s="1"/>
  <c r="E4" i="30"/>
  <c r="F4" i="30" s="1"/>
  <c r="E5" i="29"/>
  <c r="F5" i="29" s="1"/>
  <c r="E2" i="28"/>
  <c r="F2" i="28" s="1"/>
  <c r="H2" i="20"/>
  <c r="I2" i="20" s="1"/>
  <c r="E5" i="18"/>
  <c r="F5" i="18" s="1"/>
  <c r="E6" i="18"/>
  <c r="F6" i="18" s="1"/>
  <c r="D2" i="18"/>
  <c r="E4" i="18"/>
  <c r="F4" i="18" s="1"/>
  <c r="J2" i="20"/>
  <c r="J2" i="21"/>
  <c r="H2" i="4"/>
  <c r="I2" i="4" s="1"/>
  <c r="G2" i="34"/>
  <c r="H2" i="19"/>
  <c r="I2" i="19" s="1"/>
  <c r="H6" i="30"/>
  <c r="I6" i="30" s="1"/>
  <c r="J2" i="19"/>
  <c r="H2" i="28"/>
  <c r="I2" i="28" s="1"/>
  <c r="H2" i="32"/>
  <c r="I2" i="32" s="1"/>
  <c r="H2" i="26"/>
  <c r="I2" i="26" s="1"/>
  <c r="H6" i="29"/>
  <c r="I6" i="29" s="1"/>
  <c r="D4" i="34"/>
  <c r="D2" i="34" s="1"/>
  <c r="J2" i="28"/>
  <c r="H2" i="33"/>
  <c r="I2" i="33" s="1"/>
  <c r="J2" i="31"/>
  <c r="E2" i="20"/>
  <c r="F2" i="20" s="1"/>
  <c r="H2" i="27"/>
  <c r="I2" i="27" s="1"/>
  <c r="D2" i="29"/>
  <c r="J2" i="4"/>
  <c r="J2" i="32"/>
  <c r="H2" i="3"/>
  <c r="I2" i="3" s="1"/>
  <c r="E5" i="34"/>
  <c r="F5" i="34" s="1"/>
  <c r="G2" i="1"/>
  <c r="E6" i="34"/>
  <c r="F6" i="34" s="1"/>
  <c r="E5" i="1"/>
  <c r="F5" i="1" s="1"/>
  <c r="E6" i="1"/>
  <c r="F6" i="1" s="1"/>
  <c r="H4" i="30"/>
  <c r="I4" i="30" s="1"/>
  <c r="H5" i="30"/>
  <c r="I5" i="30" s="1"/>
  <c r="H4" i="29"/>
  <c r="I4" i="29" s="1"/>
  <c r="H5" i="29"/>
  <c r="I5" i="29" s="1"/>
  <c r="H6" i="18"/>
  <c r="I6" i="18" s="1"/>
  <c r="H4" i="18"/>
  <c r="I4" i="18" s="1"/>
  <c r="C4" i="34"/>
  <c r="H5" i="18"/>
  <c r="I5" i="18" s="1"/>
  <c r="H6" i="34"/>
  <c r="I6" i="34" s="1"/>
  <c r="H5" i="34"/>
  <c r="I5" i="34" s="1"/>
  <c r="C2" i="29"/>
  <c r="C2" i="30"/>
  <c r="E4" i="29"/>
  <c r="F4" i="29" s="1"/>
  <c r="C2" i="18"/>
  <c r="H4" i="1"/>
  <c r="I4" i="1" s="1"/>
  <c r="H5" i="1"/>
  <c r="I5" i="1" s="1"/>
  <c r="H6" i="1"/>
  <c r="I6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2" i="72" s="1"/>
  <c r="E2" i="29" l="1"/>
  <c r="F2" i="29" s="1"/>
  <c r="E4" i="34"/>
  <c r="F4" i="34" s="1"/>
  <c r="H2" i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<sst xmlns="http://schemas.openxmlformats.org/spreadsheetml/2006/main" count="281" uniqueCount="68">
  <si>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</si>
  <si>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</si>
  <si>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</si>
  <si>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</si>
  <si>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</si>
  <si>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</si>
  <si>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</si>
  <si>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</si>
  <si>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</si>
  <si>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</si>
  <si>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</si>
  <si>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</si>
  <si>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</si>
  <si>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</si>
  <si>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</si>
  <si>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</si>
  <si>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</si>
  <si>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</si>
  <si>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</si>
  <si>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</si>
  <si>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</si>
  <si>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</si>
  <si>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</si>
  <si>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</si>
  <si>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</si>
  <si>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</si>
  <si>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</si>
  <si>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</si>
  <si>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</si>
  <si>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</si>
  <si>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1.Inverter 1 middle unit has tripped multiple times throughout the month,most likely a weather related issue</t>
  </si>
  <si>
    <t>June Actual v. Expected</t>
  </si>
  <si>
    <t>June Actual v. Forecasted</t>
  </si>
  <si>
    <t>July Actual v. Expected</t>
  </si>
  <si>
    <t>July Actual v. Forecasted</t>
  </si>
  <si>
    <t>N/A</t>
  </si>
  <si>
    <t>1.Site has no communication in inaccess since 11:30 on 04/16 , but it does have communication in SolarEdge. SE confirms that all firmware has been updated. The inverters appear to be communicating in IA, but site calculations need to be restarted. A ticket was created in the portal to restart site calculations (Case 131905).</t>
  </si>
  <si>
    <t>1.SR099882</t>
  </si>
  <si>
    <t>1. Site stopped communicating at 14:15on 05/29 in InAccess, production can be confirmed in SolarEdge.</t>
  </si>
  <si>
    <t>1.	SR102144</t>
  </si>
  <si>
    <t>1.Site was not communicated in both inaccess and SE for whole month.</t>
  </si>
  <si>
    <t xml:space="preserve">1. SR103526	</t>
  </si>
  <si>
    <t>August Actual v. Expected</t>
  </si>
  <si>
    <t>August Actual v. Forecasted</t>
  </si>
  <si>
    <t>September Actual v. Expected</t>
  </si>
  <si>
    <t>September Actual v. Forecasted</t>
  </si>
  <si>
    <t>1.Site has no communication in inaccess since 11:30 on 04/16 , but it does have 
communication in SolarEdge. SE confirms that all firmware has been updated. 
The inverters appear to be communicating in IA, but site calculations need to be restarted. 
A ticket was created in the portal to restart site calculations (Case 131905).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</si>
  <si>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</si>
  <si>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</si>
  <si>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</si>
  <si>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</si>
  <si>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</si>
  <si>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</si>
  <si>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</si>
  <si>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Nyack Union Free School District</t>
  </si>
  <si>
    <t>Site DAS Name</t>
  </si>
  <si>
    <t>Update</t>
  </si>
  <si>
    <t>DAS</t>
  </si>
  <si>
    <t>NY:  Nyack - Nyack HS</t>
  </si>
  <si>
    <t>Nyack - Nyack HS</t>
  </si>
  <si>
    <t>NY</t>
  </si>
  <si>
    <t>PF Unity</t>
  </si>
  <si>
    <t>NY:  Nyack - Nyack MS</t>
  </si>
  <si>
    <t>Nyack - Nyack MS</t>
  </si>
  <si>
    <t>NY:  Nyack - Upper Nyack ES</t>
  </si>
  <si>
    <t>Nyack - Upper Nyack ES</t>
  </si>
  <si>
    <t>NY: Nyack Valley Cottage ES</t>
  </si>
  <si>
    <t>Nyack Valley Cottage 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</si>
</sst>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</font>
    <font>
      <u/>
      <sz val="10"/>
      <color theme="10"/>
      <name val="Arial"/>
    </font>
    <font>
      <sz val="11"/>
      <color rgb="FF000000"/>
      <name val="Calibri"/>
      <charset val="1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6" fillId="0" borderId="0" applyNumberFormat="0" applyFill="0" applyBorder="0" applyAlignment="0" applyProtection="0"/>
  </cellStyleXfs>
  <cellXfs count="64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3" fontId="0" fillId="0" borderId="0" xfId="0" applyNumberFormat="1" applyAlignment="1">
      <alignment horizontal="right"/>
    </xf>
    <xf numFmtId="49" fontId="28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center" wrapText="1"/>
    </xf>
    <xf numFmtId="49" fontId="35" fillId="0" borderId="0" xfId="0" applyNumberFormat="1" applyFont="1" applyAlignment="1">
      <alignment horizontal="center" vertical="center"/>
    </xf>
    <xf numFmtId="49" fontId="28" fillId="0" borderId="0" xfId="0" applyNumberFormat="1" applyFont="1" applyAlignment="1">
      <alignment horizontal="left" vertical="top" wrapText="1"/>
    </xf>
    <xf numFmtId="49" fontId="35" fillId="0" borderId="0" xfId="0" applyNumberFormat="1" applyFont="1" applyAlignment="1">
      <alignment horizontal="left" vertical="top"/>
    </xf>
    <xf numFmtId="49" fontId="35" fillId="0" borderId="0" xfId="0" applyNumberFormat="1" applyFont="1" applyAlignment="1">
      <alignment horizontal="left" vertical="top" wrapText="1"/>
    </xf>
    <xf numFmtId="0" fontId="32" fillId="0" borderId="0" xfId="0" applyFont="1" applyAlignment="1">
      <alignment horizontal="right"/>
    </xf>
    <xf numFmtId="0" fontId="32" fillId="0" borderId="0" xfId="0" applyFont="1" applyAlignment="1">
      <alignment horizontal="center"/>
    </xf>
    <xf numFmtId="3" fontId="30" fillId="4" borderId="0" xfId="1" applyNumberFormat="1" applyFont="1" applyFill="1" applyBorder="1" applyAlignment="1">
      <alignment horizontal="right"/>
    </xf>
    <xf numFmtId="3" fontId="30" fillId="0" borderId="0" xfId="1" applyNumberFormat="1" applyFont="1" applyFill="1" applyBorder="1" applyAlignment="1">
      <alignment horizontal="right" vertical="center"/>
    </xf>
    <xf numFmtId="3" fontId="30" fillId="4" borderId="0" xfId="1" applyNumberFormat="1" applyFont="1" applyFill="1" applyBorder="1" applyAlignment="1">
      <alignment horizontal="right" vertical="center"/>
    </xf>
    <xf numFmtId="49" fontId="36" fillId="0" borderId="0" xfId="45" applyNumberFormat="1" applyAlignment="1">
      <alignment horizontal="left" vertical="top"/>
    </xf>
    <xf numFmtId="0" fontId="36" fillId="0" borderId="0" xfId="45" applyAlignment="1">
      <alignment horizontal="left" vertical="top"/>
    </xf>
    <xf numFmtId="49" fontId="36" fillId="38" borderId="0" xfId="45" applyNumberFormat="1" applyFill="1" applyBorder="1" applyAlignment="1">
      <alignment horizontal="left" vertical="top" wrapText="1"/>
    </xf>
    <xf numFmtId="0" fontId="37" fillId="0" borderId="0" xfId="0" applyFont="1"/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7" totalsRowShown="0">
  <autoFilter ref="A3:E7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3526" TargetMode="External"/><Relationship Id="rId2" Type="http://schemas.openxmlformats.org/officeDocument/2006/relationships/hyperlink" Target="https://us3.assetplanner.com/service_request?ID=102144" TargetMode="External"/><Relationship Id="rId1" Type="http://schemas.openxmlformats.org/officeDocument/2006/relationships/hyperlink" Target="https://us3.assetplanner.com/service_request?ID=099882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3526" TargetMode="External"/><Relationship Id="rId2" Type="http://schemas.openxmlformats.org/officeDocument/2006/relationships/hyperlink" Target="https://us3.assetplanner.com/service_request?ID=102144" TargetMode="External"/><Relationship Id="rId1" Type="http://schemas.openxmlformats.org/officeDocument/2006/relationships/hyperlink" Target="https://us3.assetplanner.com/service_request?ID=099882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3526" TargetMode="External"/><Relationship Id="rId2" Type="http://schemas.openxmlformats.org/officeDocument/2006/relationships/hyperlink" Target="https://us3.assetplanner.com/service_request?ID=102144" TargetMode="External"/><Relationship Id="rId1" Type="http://schemas.openxmlformats.org/officeDocument/2006/relationships/hyperlink" Target="https://us3.assetplanner.com/service_request?ID=099882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7"/>
  <sheetViews>
    <sheetView workbookViewId="0">
      <pane ySplit="2" topLeftCell="A3" activePane="bottomLeft" state="frozen"/>
      <selection pane="bottomLeft" activeCell="B22" sqref="B2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Nyack Union Free School District</v>
      </c>
      <c r="B1" s="61"/>
      <c r="C1" s="61"/>
      <c r="D1" s="62" t="s">
        <v>0</v>
      </c>
      <c r="E1" s="62"/>
      <c r="F1" s="62"/>
      <c r="G1" s="60" t="s">
        <v>1</v>
      </c>
      <c r="H1" s="60"/>
      <c r="I1" s="60"/>
    </row>
    <row r="2" spans="1:9" ht="19.5" customHeight="1">
      <c r="A2" s="63" t="s">
        <v>2</v>
      </c>
      <c r="B2" s="63"/>
      <c r="C2" s="6">
        <f>SUM(C4:C85)</f>
        <v>133259.174</v>
      </c>
      <c r="D2" s="6">
        <f>SUM(D4:D85)</f>
        <v>140408.73800000001</v>
      </c>
      <c r="E2" s="6">
        <f>C2-D2</f>
        <v>-7149.564000000013</v>
      </c>
      <c r="F2" s="7">
        <f>IFERROR(E2/D2, 0)</f>
        <v>-5.0919651453601215E-2</v>
      </c>
      <c r="G2" s="6">
        <f>SUM(G4:G85)</f>
        <v>0</v>
      </c>
      <c r="H2" s="8">
        <f>C2-G2</f>
        <v>133259.174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</row>
    <row r="4" spans="1:9" ht="15.6">
      <c r="A4" s="13" t="str" cm="1">
        <f t="array" ref="A4:A7">Sites[Site]</f>
        <v>Nyack - Nyack HS</v>
      </c>
      <c r="B4" s="10" t="str" cm="1">
        <f t="array" ref="B4:B7">Sites[State]</f>
        <v>NY</v>
      </c>
      <c r="C4" s="26">
        <f>SUM('1st Qtr'!C4, '2nd Qtr'!C4, '3rd Qtr'!C4, '4th Qtr'!C4)</f>
        <v>133259.174</v>
      </c>
      <c r="D4" s="14">
        <f>SUM('1st Qtr'!D4, '2nd Qtr'!D4, '3rd Qtr'!D4, '4th Qtr'!D4)</f>
        <v>140408.73800000001</v>
      </c>
      <c r="E4" s="14">
        <f>IF(AND(ISNUMBER(C4),ISNUMBER(D4)), C4-D4, "")</f>
        <v>-7149.564000000013</v>
      </c>
      <c r="F4" s="15">
        <f>IFERROR(E4/D4, 0)</f>
        <v>-5.0919651453601215E-2</v>
      </c>
      <c r="G4" s="16">
        <f>SUM('1st Qtr'!G4,'2nd Qtr'!G4,'3rd Qtr'!G4,'4th Qtr'!G4)</f>
        <v>0</v>
      </c>
      <c r="H4" s="16">
        <f>SUM('1st Qtr'!H4, '2nd Qtr'!H4, '3rd Qtr'!H4, '4th Qtr'!H4)</f>
        <v>0</v>
      </c>
      <c r="I4" s="17">
        <f>IFERROR(H4/G4, 0)</f>
        <v>0</v>
      </c>
    </row>
    <row r="5" spans="1:9" ht="15.6">
      <c r="A5" s="19" t="str">
        <v>Nyack - Nyack MS</v>
      </c>
      <c r="B5" s="11" t="str">
        <v>NY</v>
      </c>
      <c r="C5" s="12">
        <f>SUM(Jan!C5, Feb!C5, Mar!C5)</f>
        <v>0</v>
      </c>
      <c r="D5" s="20">
        <f>SUM(Jan!D5, Feb!D5, Mar!D5)</f>
        <v>0</v>
      </c>
      <c r="E5" s="20">
        <f t="shared" ref="E5:E6" si="0">IF(AND(ISNUMBER(C5),ISNUMBER(D5)), C5-D5, "")</f>
        <v>0</v>
      </c>
      <c r="F5" s="21">
        <f>IFERROR(E5/D5, 0)</f>
        <v>0</v>
      </c>
      <c r="G5" s="22">
        <f>SUM('1st Qtr'!G5,'2nd Qtr'!G5,'3rd Qtr'!G5,'4th Qtr'!G5)</f>
        <v>0</v>
      </c>
      <c r="H5" s="22">
        <f>SUM(Jan!H5, Feb!H5, Mar!H5)</f>
        <v>0</v>
      </c>
      <c r="I5" s="21">
        <f>IFERROR(H5/G5, 0)</f>
        <v>0</v>
      </c>
    </row>
    <row r="6" spans="1:9" ht="15.6">
      <c r="A6" s="13" t="str">
        <v>Nyack - Upper Nyack ES</v>
      </c>
      <c r="B6" s="10" t="str">
        <v>NY</v>
      </c>
      <c r="C6" s="26">
        <f>SUM(Jan!C6, Feb!C6, Mar!C6)</f>
        <v>0</v>
      </c>
      <c r="D6" s="14">
        <f>SUM(Jan!D6, Feb!D6, Mar!D6)</f>
        <v>0</v>
      </c>
      <c r="E6" s="14">
        <f t="shared" si="0"/>
        <v>0</v>
      </c>
      <c r="F6" s="15">
        <f>IFERROR(E6/D6, 0)</f>
        <v>0</v>
      </c>
      <c r="G6" s="16">
        <f>SUM('1st Qtr'!G6,'2nd Qtr'!G6,'3rd Qtr'!G6,'4th Qtr'!G6)</f>
        <v>0</v>
      </c>
      <c r="H6" s="16">
        <f>SUM(Jan!H6, Feb!H6, Mar!H6)</f>
        <v>0</v>
      </c>
      <c r="I6" s="17">
        <f>IFERROR(H6/G6, 0)</f>
        <v>0</v>
      </c>
    </row>
    <row r="7" spans="1:9" ht="13.9">
      <c r="A7" s="23" t="str">
        <v>Nyack Valley Cottage ES</v>
      </c>
      <c r="B7" s="23" t="str">
        <v>NY</v>
      </c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</sheetData>
  <mergeCells count="4">
    <mergeCell ref="G1:I1"/>
    <mergeCell ref="A1:C1"/>
    <mergeCell ref="D1:F1"/>
    <mergeCell ref="A2:B2"/>
  </mergeCells>
  <conditionalFormatting sqref="F2 I2 F4:F85 I4:I85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7"/>
  <sheetViews>
    <sheetView workbookViewId="0">
      <pane ySplit="2" topLeftCell="A3" activePane="bottomLeft" state="frozen"/>
      <selection pane="bottomLeft" activeCell="I6" sqref="I6"/>
      <selection activeCell="A33" sqref="A3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Nyack Union Free School District</v>
      </c>
      <c r="B1" s="61"/>
      <c r="C1" s="61"/>
      <c r="D1" s="62" t="s">
        <v>10</v>
      </c>
      <c r="E1" s="62"/>
      <c r="F1" s="62"/>
      <c r="G1" s="60" t="s">
        <v>11</v>
      </c>
      <c r="H1" s="60"/>
      <c r="I1" s="60"/>
    </row>
    <row r="2" spans="1:9" ht="19.5" customHeight="1">
      <c r="A2" s="63" t="s">
        <v>2</v>
      </c>
      <c r="B2" s="63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</row>
    <row r="4" spans="1:9" ht="15.6">
      <c r="A4" s="13" t="str" cm="1">
        <f t="array" ref="A4:A7">Sites[Site]</f>
        <v>Nyack - Nyack HS</v>
      </c>
      <c r="B4" s="10" t="str" cm="1">
        <f t="array" ref="B4:B7">Sites[State]</f>
        <v>NY</v>
      </c>
      <c r="C4" s="26">
        <f>SUM(Jan!C4, Feb!C4, Mar!C4)</f>
        <v>0</v>
      </c>
      <c r="D4" s="14">
        <f>SUM(Jan!D4, Feb!D4, Mar!D4)</f>
        <v>0</v>
      </c>
      <c r="E4" s="14">
        <f>IF(AND(ISNUMBER(C4),ISNUMBER(D4)), C4-D4, "")</f>
        <v>0</v>
      </c>
      <c r="F4" s="15" t="str">
        <f>IFERROR(E4/D4,"")</f>
        <v/>
      </c>
      <c r="G4" s="16">
        <f>SUM(Jan!G4, Feb!G4, Mar!G4)</f>
        <v>0</v>
      </c>
      <c r="H4" s="16">
        <f>SUM(Jan!H4, Feb!H4, Mar!H4)</f>
        <v>0</v>
      </c>
      <c r="I4" s="17">
        <f>IFERROR(H4/G4, 0)</f>
        <v>0</v>
      </c>
    </row>
    <row r="5" spans="1:9" ht="15.6">
      <c r="A5" s="19" t="str">
        <v>Nyack - Nyack MS</v>
      </c>
      <c r="B5" s="11" t="str">
        <v>NY</v>
      </c>
      <c r="C5" s="12">
        <f>SUM(Jan!C5, Feb!C5, Mar!C5)</f>
        <v>0</v>
      </c>
      <c r="D5" s="20">
        <f>SUM(Jan!D5, Feb!D5, Mar!D5)</f>
        <v>0</v>
      </c>
      <c r="E5" s="20">
        <f t="shared" ref="E5:E6" si="0">IF(AND(ISNUMBER(C5),ISNUMBER(D5)), C5-D5, "")</f>
        <v>0</v>
      </c>
      <c r="F5" s="21" t="str">
        <f>IFERROR(E5/D5, "")</f>
        <v/>
      </c>
      <c r="G5" s="22">
        <f>SUM(Jan!G5, Feb!G5, Mar!G5)</f>
        <v>0</v>
      </c>
      <c r="H5" s="22">
        <f>SUM(Jan!H5, Feb!H5, Mar!H5)</f>
        <v>0</v>
      </c>
      <c r="I5" s="21">
        <f>IFERROR(H5/G5, 0)</f>
        <v>0</v>
      </c>
    </row>
    <row r="6" spans="1:9" ht="15.6">
      <c r="A6" s="13" t="str">
        <v>Nyack - Upper Nyack ES</v>
      </c>
      <c r="B6" s="10" t="str">
        <v>NY</v>
      </c>
      <c r="C6" s="26">
        <f>SUM(Jan!C6, Feb!C6, Mar!C6)</f>
        <v>0</v>
      </c>
      <c r="D6" s="14">
        <f>SUM(Jan!D6, Feb!D6, Mar!D6)</f>
        <v>0</v>
      </c>
      <c r="E6" s="14">
        <f t="shared" si="0"/>
        <v>0</v>
      </c>
      <c r="F6" s="15" t="str">
        <f t="shared" ref="F6" si="1">IFERROR(E6/D6, "")</f>
        <v/>
      </c>
      <c r="G6" s="16">
        <f>SUM(Jan!G6, Feb!G6, Mar!G6)</f>
        <v>0</v>
      </c>
      <c r="H6" s="16">
        <f>SUM(Jan!H6, Feb!H6, Mar!H6)</f>
        <v>0</v>
      </c>
      <c r="I6" s="17">
        <f>IFERROR(H6/G6, 0)</f>
        <v>0</v>
      </c>
    </row>
    <row r="7" spans="1:9" ht="13.9">
      <c r="A7" s="23" t="str">
        <v>Nyack Valley Cottage ES</v>
      </c>
      <c r="B7" s="23" t="str">
        <v>NY</v>
      </c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5 I4:I85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7"/>
  <sheetViews>
    <sheetView workbookViewId="0">
      <pane ySplit="2" topLeftCell="A3" activePane="bottomLeft" state="frozen"/>
      <selection pane="bottomLeft" activeCell="A33" sqref="A33"/>
      <selection activeCell="A33" sqref="A3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Nyack Union Free School District</v>
      </c>
      <c r="B1" s="61"/>
      <c r="C1" s="61"/>
      <c r="D1" s="62" t="s">
        <v>12</v>
      </c>
      <c r="E1" s="62"/>
      <c r="F1" s="62"/>
      <c r="G1" s="60" t="s">
        <v>13</v>
      </c>
      <c r="H1" s="60"/>
      <c r="I1" s="60"/>
    </row>
    <row r="2" spans="1:9" ht="19.5" customHeight="1">
      <c r="A2" s="63" t="s">
        <v>2</v>
      </c>
      <c r="B2" s="63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</row>
    <row r="4" spans="1:9" ht="15.6">
      <c r="A4" s="13" t="str" cm="1">
        <f t="array" ref="A4:A7">Sites[Site]</f>
        <v>Nyack - Nyack HS</v>
      </c>
      <c r="B4" s="10" t="str" cm="1">
        <f t="array" ref="B4:B7">Sites[State]</f>
        <v>NY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SUM(Apr!H4, May!H4, Jun!H4)</f>
        <v>0</v>
      </c>
      <c r="I4" s="17" t="str">
        <f>IFERROR(H4/G4, "")</f>
        <v/>
      </c>
    </row>
    <row r="5" spans="1:9" ht="15.6">
      <c r="A5" s="19" t="str">
        <v>Nyack - Nyack MS</v>
      </c>
      <c r="B5" s="11" t="str">
        <v>NY</v>
      </c>
      <c r="C5" s="12">
        <f>SUM(Apr!C5, May!C5, Jun!C5)</f>
        <v>0</v>
      </c>
      <c r="D5" s="20">
        <f>SUM(Apr!D5, May!D5, Jun!D5)</f>
        <v>0</v>
      </c>
      <c r="E5" s="20">
        <f t="shared" ref="E5:E6" si="0">IF(AND(ISNUMBER(C5),ISNUMBER(D5)), C5-D5, "")</f>
        <v>0</v>
      </c>
      <c r="F5" s="21" t="str">
        <f>IFERROR(E5/D5, "")</f>
        <v/>
      </c>
      <c r="G5" s="22"/>
      <c r="H5" s="22">
        <f>SUM(Apr!H5, May!H5, Jun!H5)</f>
        <v>0</v>
      </c>
      <c r="I5" s="21" t="str">
        <f>IFERROR(H5/G5, "")</f>
        <v/>
      </c>
    </row>
    <row r="6" spans="1:9" ht="15.6">
      <c r="A6" s="13" t="str">
        <v>Nyack - Upper Nyack ES</v>
      </c>
      <c r="B6" s="10" t="str">
        <v>NY</v>
      </c>
      <c r="C6" s="26">
        <f>SUM(Apr!C6, May!C6, Jun!C6)</f>
        <v>0</v>
      </c>
      <c r="D6" s="14">
        <f>SUM(Apr!D6, May!D6, Jun!D6)</f>
        <v>0</v>
      </c>
      <c r="E6" s="14">
        <f t="shared" si="0"/>
        <v>0</v>
      </c>
      <c r="F6" s="15" t="str">
        <f t="shared" ref="F6" si="1">IFERROR(E6/D6, "")</f>
        <v/>
      </c>
      <c r="G6" s="16"/>
      <c r="H6" s="16">
        <f>SUM(Apr!H6, May!H6, Jun!H6)</f>
        <v>0</v>
      </c>
      <c r="I6" s="17" t="str">
        <f t="shared" ref="I6" si="2">IFERROR(H6/G6, "")</f>
        <v/>
      </c>
    </row>
    <row r="7" spans="1:9" ht="13.9">
      <c r="A7" s="23" t="str">
        <v>Nyack Valley Cottage ES</v>
      </c>
      <c r="B7" s="23" t="str">
        <v>NY</v>
      </c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5 I4:I85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7"/>
  <sheetViews>
    <sheetView workbookViewId="0">
      <pane ySplit="2" topLeftCell="A3" activePane="bottomLeft" state="frozen"/>
      <selection pane="bottomLeft" activeCell="A33" sqref="A33"/>
      <selection activeCell="A33" sqref="A3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Nyack Union Free School District</v>
      </c>
      <c r="B1" s="61"/>
      <c r="C1" s="61"/>
      <c r="D1" s="62" t="s">
        <v>14</v>
      </c>
      <c r="E1" s="62"/>
      <c r="F1" s="62"/>
      <c r="G1" s="60" t="s">
        <v>15</v>
      </c>
      <c r="H1" s="60"/>
      <c r="I1" s="60"/>
    </row>
    <row r="2" spans="1:9" ht="19.5" customHeight="1">
      <c r="A2" s="63" t="s">
        <v>2</v>
      </c>
      <c r="B2" s="63"/>
      <c r="C2" s="6">
        <f>SUM(C4:C85)</f>
        <v>133259.174</v>
      </c>
      <c r="D2" s="6">
        <f>SUM(D4:D85)</f>
        <v>223792.21100000001</v>
      </c>
      <c r="E2" s="6">
        <f>C2-D2</f>
        <v>-90533.037000000011</v>
      </c>
      <c r="F2" s="7">
        <f>IFERROR(E2/D2, 0)</f>
        <v>-0.40454060753705146</v>
      </c>
      <c r="G2" s="6">
        <f>SUM(G4:G85)</f>
        <v>0</v>
      </c>
      <c r="H2" s="8">
        <f>C2-G2</f>
        <v>133259.174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</row>
    <row r="4" spans="1:9" ht="15.6">
      <c r="A4" s="13" t="str" cm="1">
        <f t="array" ref="A4:A7">Sites[Site]</f>
        <v>Nyack - Nyack HS</v>
      </c>
      <c r="B4" s="10" t="str" cm="1">
        <f t="array" ref="B4:B7">Sites[State]</f>
        <v>NY</v>
      </c>
      <c r="C4" s="26">
        <f>SUM(Jul!C4, Aug!C4, Sep!C4)</f>
        <v>133259.174</v>
      </c>
      <c r="D4" s="14">
        <f>SUM(Jul!D4, Aug!D4, Sep!D4)</f>
        <v>140408.73800000001</v>
      </c>
      <c r="E4" s="14">
        <f>IF(AND(ISNUMBER(C4),ISNUMBER(D4)), C4-D4, "")</f>
        <v>-7149.564000000013</v>
      </c>
      <c r="F4" s="15">
        <f>IFERROR(E4/D4, "")</f>
        <v>-5.0919651453601215E-2</v>
      </c>
      <c r="G4" s="16"/>
      <c r="H4" s="16">
        <f>SUM(Jul!H4, Aug!H4, Sep!H4)</f>
        <v>0</v>
      </c>
      <c r="I4" s="17" t="str">
        <f>IFERROR(H4/G4, "")</f>
        <v/>
      </c>
    </row>
    <row r="5" spans="1:9" ht="15.6">
      <c r="A5" s="19" t="str">
        <v>Nyack - Nyack MS</v>
      </c>
      <c r="B5" s="11" t="str">
        <v>NY</v>
      </c>
      <c r="C5" s="12">
        <f>SUM(Jul!C5, Aug!C5, Sep!C5)</f>
        <v>0</v>
      </c>
      <c r="D5" s="20">
        <f>SUM(Jul!D5, Aug!D5, Sep!D5)</f>
        <v>83383.472999999998</v>
      </c>
      <c r="E5" s="20">
        <f t="shared" ref="E5:E6" si="0">IF(AND(ISNUMBER(C5),ISNUMBER(D5)), C5-D5, "")</f>
        <v>-83383.472999999998</v>
      </c>
      <c r="F5" s="21">
        <f>IFERROR(E5/D5, "")</f>
        <v>-1</v>
      </c>
      <c r="G5" s="22"/>
      <c r="H5" s="22">
        <f>SUM(Jul!H5, Aug!H5, Sep!H5)</f>
        <v>0</v>
      </c>
      <c r="I5" s="21" t="str">
        <f>IFERROR(H5/G5, "")</f>
        <v/>
      </c>
    </row>
    <row r="6" spans="1:9" ht="15.6">
      <c r="A6" s="13" t="str">
        <v>Nyack - Upper Nyack ES</v>
      </c>
      <c r="B6" s="10" t="str">
        <v>NY</v>
      </c>
      <c r="C6" s="26">
        <f>SUM(Jul!C6, Aug!C6, Sep!C6)</f>
        <v>0</v>
      </c>
      <c r="D6" s="14">
        <f>SUM(Jul!D6, Aug!D6, Sep!D6)</f>
        <v>0</v>
      </c>
      <c r="E6" s="14">
        <f t="shared" si="0"/>
        <v>0</v>
      </c>
      <c r="F6" s="15" t="str">
        <f t="shared" ref="F6" si="1">IFERROR(E6/D6, "")</f>
        <v/>
      </c>
      <c r="G6" s="16"/>
      <c r="H6" s="16">
        <f>SUM(Jul!H6, Aug!H6, Sep!H6)</f>
        <v>0</v>
      </c>
      <c r="I6" s="17" t="str">
        <f t="shared" ref="I6" si="2">IFERROR(H6/G6, "")</f>
        <v/>
      </c>
    </row>
    <row r="7" spans="1:9" ht="13.9">
      <c r="A7" s="23" t="str">
        <v>Nyack Valley Cottage ES</v>
      </c>
      <c r="B7" s="23" t="str">
        <v>NY</v>
      </c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</sheetData>
  <mergeCells count="4">
    <mergeCell ref="G1:I1"/>
    <mergeCell ref="A1:C1"/>
    <mergeCell ref="D1:F1"/>
    <mergeCell ref="A2:B2"/>
  </mergeCells>
  <conditionalFormatting sqref="F2 I2 F4:F85 I4:I85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7"/>
  <sheetViews>
    <sheetView workbookViewId="0">
      <pane ySplit="2" topLeftCell="A3" activePane="bottomLeft" state="frozen"/>
      <selection pane="bottomLeft" activeCell="A33" sqref="A33"/>
      <selection activeCell="A33" sqref="A3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Nyack Union Free School District</v>
      </c>
      <c r="B1" s="61"/>
      <c r="C1" s="61"/>
      <c r="D1" s="62" t="s">
        <v>16</v>
      </c>
      <c r="E1" s="62"/>
      <c r="F1" s="62"/>
      <c r="G1" s="60" t="s">
        <v>17</v>
      </c>
      <c r="H1" s="60"/>
      <c r="I1" s="60"/>
    </row>
    <row r="2" spans="1:9" ht="19.5" customHeight="1">
      <c r="A2" s="63" t="s">
        <v>2</v>
      </c>
      <c r="B2" s="63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</row>
    <row r="4" spans="1:9" ht="15.6">
      <c r="A4" s="13" t="str" cm="1">
        <f t="array" ref="A4:A7">Sites[Site]</f>
        <v>Nyack - Nyack HS</v>
      </c>
      <c r="B4" s="10" t="str" cm="1">
        <f t="array" ref="B4:B7">Sites[State]</f>
        <v>NY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5.6">
      <c r="A5" s="19" t="str">
        <v>Nyack - Nyack MS</v>
      </c>
      <c r="B5" s="11" t="str">
        <v>NY</v>
      </c>
      <c r="C5" s="12">
        <f>SUM(Oct!C5, Nov!C5, Dec!C5)</f>
        <v>0</v>
      </c>
      <c r="D5" s="20">
        <f>SUM(Oct!D5, Nov!D5, Dec!D5)</f>
        <v>0</v>
      </c>
      <c r="E5" s="20">
        <f t="shared" ref="E5:E6" si="0">IF(AND(ISNUMBER(C5),ISNUMBER(D5)), C5-D5, "")</f>
        <v>0</v>
      </c>
      <c r="F5" s="21" t="str">
        <f>IFERROR(E5/D5, "")</f>
        <v/>
      </c>
      <c r="G5" s="22"/>
      <c r="H5" s="22">
        <f>SUM(Oct!H5, Nov!H5, Dec!H5)</f>
        <v>0</v>
      </c>
      <c r="I5" s="21" t="str">
        <f>IFERROR(H5/G5, "")</f>
        <v/>
      </c>
    </row>
    <row r="6" spans="1:9" ht="15.6">
      <c r="A6" s="13" t="str">
        <v>Nyack - Upper Nyack ES</v>
      </c>
      <c r="B6" s="10" t="str">
        <v>NY</v>
      </c>
      <c r="C6" s="26">
        <f>SUM(Oct!C6, Nov!C6, Dec!C6)</f>
        <v>0</v>
      </c>
      <c r="D6" s="14">
        <f>SUM(Oct!D6, Nov!D6, Dec!D6)</f>
        <v>0</v>
      </c>
      <c r="E6" s="14">
        <f t="shared" si="0"/>
        <v>0</v>
      </c>
      <c r="F6" s="15" t="str">
        <f t="shared" ref="F6" si="1">IFERROR(E6/D6, "")</f>
        <v/>
      </c>
      <c r="G6" s="16"/>
      <c r="H6" s="16">
        <f>SUM(Oct!H6, Nov!H6, Dec!H6)</f>
        <v>0</v>
      </c>
      <c r="I6" s="17" t="str">
        <f t="shared" ref="I6" si="2">IFERROR(H6/G6, "")</f>
        <v/>
      </c>
    </row>
    <row r="7" spans="1:9" ht="13.9">
      <c r="A7" s="23" t="str">
        <v>Nyack Valley Cottage ES</v>
      </c>
      <c r="B7" s="23" t="str">
        <v>NY</v>
      </c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</sheetData>
  <mergeCells count="4">
    <mergeCell ref="G1:I1"/>
    <mergeCell ref="A1:C1"/>
    <mergeCell ref="D1:F1"/>
    <mergeCell ref="A2:B2"/>
  </mergeCells>
  <conditionalFormatting sqref="F2 I2 F4:F85 I4:I85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6"/>
  <sheetViews>
    <sheetView zoomScale="60" zoomScaleNormal="60" workbookViewId="0">
      <pane ySplit="3" topLeftCell="A4" activePane="bottomLeft" state="frozen"/>
      <selection pane="bottomLeft" activeCell="H16" sqref="H16"/>
      <selection activeCell="J34" sqref="J34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Nyack Union Free School District</v>
      </c>
      <c r="B1" s="61"/>
      <c r="C1" s="61"/>
      <c r="D1" s="62" t="s">
        <v>18</v>
      </c>
      <c r="E1" s="62"/>
      <c r="F1" s="62"/>
      <c r="G1" s="60" t="s">
        <v>19</v>
      </c>
      <c r="H1" s="60"/>
      <c r="I1" s="60"/>
      <c r="J1" s="5"/>
      <c r="K1" s="5"/>
    </row>
    <row r="2" spans="1:11" ht="19.5" customHeight="1">
      <c r="A2" s="63" t="s">
        <v>2</v>
      </c>
      <c r="B2" s="63"/>
      <c r="C2" s="6">
        <f>SUM(C4:C84)</f>
        <v>0</v>
      </c>
      <c r="D2" s="6">
        <f>SUM(D4:D84)</f>
        <v>0</v>
      </c>
      <c r="E2" s="6">
        <f>C2-D2</f>
        <v>0</v>
      </c>
      <c r="F2" s="7">
        <f>IFERROR(E2/D2, 0)</f>
        <v>0</v>
      </c>
      <c r="G2" s="6">
        <f>SUM(G4:G84)</f>
        <v>0</v>
      </c>
      <c r="H2" s="8">
        <f>C2-G2</f>
        <v>0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3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Nyack - Nyack HS</v>
      </c>
      <c r="B4" s="31" t="str" cm="1">
        <f t="array" ref="B4:B7">Sites[State]</f>
        <v>NY</v>
      </c>
      <c r="C4" s="26"/>
      <c r="D4" s="14"/>
      <c r="E4" s="14" t="str">
        <f>IF(AND(ISNUMBER(C4),ISNUMBER(D4)), C4-D4, "")</f>
        <v/>
      </c>
      <c r="F4" s="15">
        <f>IFERROR(E4/D4, 0)</f>
        <v>0</v>
      </c>
      <c r="G4" s="53"/>
      <c r="H4" s="16" t="str">
        <f>IF(AND(ISNUMBER(C4),ISNUMBER(G4)), C4-G4, "")</f>
        <v/>
      </c>
      <c r="I4" s="17" t="str">
        <f>IFERROR(H4/G4,"")</f>
        <v/>
      </c>
      <c r="J4" s="18"/>
      <c r="K4" s="18"/>
    </row>
    <row r="5" spans="1:11" ht="15.6">
      <c r="A5" s="32" t="str">
        <v>Nyack - Nyack MS</v>
      </c>
      <c r="B5" s="33" t="str">
        <v>NY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54"/>
      <c r="H5" s="22" t="str">
        <f t="shared" ref="H5:H6" si="1">IF(AND(ISNUMBER(C5),ISNUMBER(G5)), C5-G5, "")</f>
        <v/>
      </c>
      <c r="I5" s="21" t="str">
        <f>IFERROR(H5/G5,"")</f>
        <v/>
      </c>
      <c r="J5" s="48"/>
      <c r="K5" s="50"/>
    </row>
    <row r="6" spans="1:11" ht="15.6">
      <c r="A6" s="30" t="str">
        <v>Nyack - Upper Nyack ES</v>
      </c>
      <c r="B6" s="31" t="str">
        <v>NY</v>
      </c>
      <c r="C6" s="26"/>
      <c r="D6" s="14"/>
      <c r="E6" s="14" t="str">
        <f t="shared" si="0"/>
        <v/>
      </c>
      <c r="F6" s="15" t="str">
        <f t="shared" ref="F6" si="2">IFERROR(E6/D6, "")</f>
        <v/>
      </c>
      <c r="G6" s="55"/>
      <c r="H6" s="16" t="str">
        <f t="shared" si="1"/>
        <v/>
      </c>
      <c r="I6" s="17" t="str">
        <f>IFERROR(H6/G6,"")</f>
        <v/>
      </c>
      <c r="J6" s="18"/>
      <c r="K6" s="18"/>
    </row>
    <row r="7" spans="1:11" ht="14.45">
      <c r="A7" s="23" t="str">
        <v>Nyack Valley Cottage ES</v>
      </c>
      <c r="B7" s="35" t="str">
        <v>NY</v>
      </c>
      <c r="C7" s="23"/>
      <c r="D7" s="23"/>
      <c r="E7" s="23"/>
      <c r="F7" s="23"/>
      <c r="G7" s="51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52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</sheetData>
  <mergeCells count="4">
    <mergeCell ref="D1:F1"/>
    <mergeCell ref="A1:C1"/>
    <mergeCell ref="G1:I1"/>
    <mergeCell ref="A2:B2"/>
  </mergeCells>
  <conditionalFormatting sqref="F2 I2 F4:F84 I4:I84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27"/>
  <sheetViews>
    <sheetView zoomScale="60" zoomScaleNormal="60" workbookViewId="0">
      <pane ySplit="2" topLeftCell="A3" activePane="bottomLeft" state="frozen"/>
      <selection pane="bottomLeft" activeCell="J34" sqref="J34"/>
      <selection activeCell="J34" sqref="J34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1" t="str" cm="1">
        <f t="array" ref="A1">portfolio</f>
        <v>Nyack Union Free School District</v>
      </c>
      <c r="B1" s="61"/>
      <c r="C1" s="61"/>
      <c r="D1" s="62" t="s">
        <v>22</v>
      </c>
      <c r="E1" s="62"/>
      <c r="F1" s="62"/>
      <c r="G1" s="60" t="s">
        <v>23</v>
      </c>
      <c r="H1" s="60"/>
      <c r="I1" s="60"/>
      <c r="J1" s="5"/>
      <c r="K1" s="5"/>
    </row>
    <row r="2" spans="1:12" ht="19.5" customHeight="1">
      <c r="A2" s="63" t="s">
        <v>2</v>
      </c>
      <c r="B2" s="63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2" ht="15.6">
      <c r="A4" s="34" t="str" cm="1">
        <f t="array" ref="A4:A7">Sites[Site]</f>
        <v>Nyack - Nyack HS</v>
      </c>
      <c r="B4" s="31" t="str" cm="1">
        <f t="array" ref="B4:B7">Sites[State]</f>
        <v>NY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55"/>
      <c r="H4" s="16" t="str">
        <f>IF(AND(ISNUMBER(C4),ISNUMBER(G4)), C4-G4, "")</f>
        <v/>
      </c>
      <c r="I4" s="17" t="str">
        <f>IFERROR(H4/G4,"")</f>
        <v/>
      </c>
      <c r="J4" s="18"/>
      <c r="K4" s="18"/>
    </row>
    <row r="5" spans="1:12" ht="15.6">
      <c r="A5" s="32" t="str">
        <v>Nyack - Nyack MS</v>
      </c>
      <c r="B5" s="33" t="str">
        <v>NY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54"/>
      <c r="H5" s="22" t="str">
        <f t="shared" ref="H5:H6" si="1">IF(AND(ISNUMBER(C5),ISNUMBER(G5)), C5-G5, "")</f>
        <v/>
      </c>
      <c r="I5" s="21" t="str">
        <f>IFERROR(H5/G5,"")</f>
        <v/>
      </c>
      <c r="J5" s="48"/>
      <c r="K5" s="56"/>
      <c r="L5" s="57"/>
    </row>
    <row r="6" spans="1:12" ht="15.6">
      <c r="A6" s="30" t="str">
        <v>Nyack - Upper Nyack ES</v>
      </c>
      <c r="B6" s="31" t="str">
        <v>NY</v>
      </c>
      <c r="C6" s="26"/>
      <c r="D6" s="14"/>
      <c r="E6" s="14" t="str">
        <f t="shared" si="0"/>
        <v/>
      </c>
      <c r="F6" s="15" t="str">
        <f t="shared" ref="F6" si="2">IFERROR(E6/D6, "")</f>
        <v/>
      </c>
      <c r="G6" s="55"/>
      <c r="H6" s="16" t="str">
        <f t="shared" si="1"/>
        <v/>
      </c>
      <c r="I6" s="17" t="str">
        <f>IFERROR(H6/G6,"")</f>
        <v/>
      </c>
      <c r="J6" s="18"/>
      <c r="K6" s="18"/>
    </row>
    <row r="7" spans="1:12" ht="14.45">
      <c r="A7" s="23" t="str">
        <v>Nyack Valley Cottage ES</v>
      </c>
      <c r="B7" s="35" t="str">
        <v>NY</v>
      </c>
      <c r="C7" s="23"/>
      <c r="D7" s="23"/>
      <c r="E7" s="23"/>
      <c r="F7" s="23"/>
      <c r="G7" s="23"/>
      <c r="H7" s="23"/>
      <c r="I7" s="23"/>
      <c r="J7" s="23"/>
      <c r="K7" s="23"/>
    </row>
    <row r="8" spans="1:12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L327"/>
  <sheetViews>
    <sheetView topLeftCell="B1" zoomScale="60" zoomScaleNormal="60" workbookViewId="0">
      <pane ySplit="2" topLeftCell="A3" activePane="bottomLeft" state="frozen"/>
      <selection pane="bottomLeft" activeCell="J34" sqref="J34"/>
      <selection activeCell="J34" sqref="J34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1" t="str" cm="1">
        <f t="array" ref="A1">portfolio</f>
        <v>Nyack Union Free School District</v>
      </c>
      <c r="B1" s="61"/>
      <c r="C1" s="61"/>
      <c r="D1" s="62" t="s">
        <v>24</v>
      </c>
      <c r="E1" s="62"/>
      <c r="F1" s="62"/>
      <c r="G1" s="60" t="s">
        <v>25</v>
      </c>
      <c r="H1" s="60"/>
      <c r="I1" s="60"/>
      <c r="J1" s="5"/>
      <c r="K1" s="5"/>
    </row>
    <row r="2" spans="1:12" ht="19.5" customHeight="1">
      <c r="A2" s="63" t="s">
        <v>2</v>
      </c>
      <c r="B2" s="63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2" ht="15.6">
      <c r="A4" s="34" t="str" cm="1">
        <f t="array" ref="A4:A7">Sites[Site]</f>
        <v>Nyack - Nyack HS</v>
      </c>
      <c r="B4" s="31" t="str" cm="1">
        <f t="array" ref="B4:B7">Sites[State]</f>
        <v>NY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55"/>
      <c r="H4" s="16" t="str">
        <f>IF(AND(ISNUMBER(C4),ISNUMBER(G4)), C4-G4, "")</f>
        <v/>
      </c>
      <c r="I4" s="17" t="str">
        <f>IFERROR(H4/G4,"")</f>
        <v/>
      </c>
      <c r="J4" s="18"/>
      <c r="K4" s="18"/>
    </row>
    <row r="5" spans="1:12" ht="15.6">
      <c r="A5" s="32" t="str">
        <v>Nyack - Nyack MS</v>
      </c>
      <c r="B5" s="33" t="str">
        <v>NY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54"/>
      <c r="H5" s="22" t="str">
        <f t="shared" ref="H5:H6" si="1">IF(AND(ISNUMBER(C5),ISNUMBER(G5)), C5-G5, "")</f>
        <v/>
      </c>
      <c r="I5" s="21" t="str">
        <f>IFERROR(H5/G5,"")</f>
        <v/>
      </c>
      <c r="J5" s="48"/>
      <c r="K5" s="56"/>
      <c r="L5" s="57"/>
    </row>
    <row r="6" spans="1:12" ht="15.6">
      <c r="A6" s="30" t="str">
        <v>Nyack - Upper Nyack ES</v>
      </c>
      <c r="B6" s="31" t="str">
        <v>NY</v>
      </c>
      <c r="C6" s="26"/>
      <c r="D6" s="14"/>
      <c r="E6" s="14" t="str">
        <f t="shared" si="0"/>
        <v/>
      </c>
      <c r="F6" s="15" t="str">
        <f t="shared" ref="F6" si="2">IFERROR(E6/D6, "")</f>
        <v/>
      </c>
      <c r="G6" s="55"/>
      <c r="H6" s="16" t="str">
        <f t="shared" si="1"/>
        <v/>
      </c>
      <c r="I6" s="17" t="str">
        <f>IFERROR(H6/G6,"")</f>
        <v/>
      </c>
      <c r="J6" s="18"/>
      <c r="K6" s="58"/>
    </row>
    <row r="7" spans="1:12" ht="14.45">
      <c r="A7" s="23" t="str">
        <v>Nyack Valley Cottage ES</v>
      </c>
      <c r="B7" s="35" t="str">
        <v>NY</v>
      </c>
      <c r="C7" s="23"/>
      <c r="D7" s="23"/>
      <c r="E7" s="23"/>
      <c r="F7" s="23"/>
      <c r="G7" s="23"/>
      <c r="H7" s="23"/>
      <c r="I7" s="23"/>
      <c r="J7" s="23"/>
      <c r="K7" s="23"/>
    </row>
    <row r="8" spans="1:12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7"/>
  <sheetViews>
    <sheetView zoomScale="60" zoomScaleNormal="60" workbookViewId="0">
      <pane ySplit="2" topLeftCell="A3" activePane="bottomLeft" state="frozen"/>
      <selection pane="bottomLeft" activeCell="J34" sqref="J34"/>
      <selection activeCell="J34" sqref="J34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Nyack Union Free School District</v>
      </c>
      <c r="B1" s="61"/>
      <c r="C1" s="61"/>
      <c r="D1" s="62" t="s">
        <v>26</v>
      </c>
      <c r="E1" s="62"/>
      <c r="F1" s="62"/>
      <c r="G1" s="60" t="s">
        <v>27</v>
      </c>
      <c r="H1" s="60"/>
      <c r="I1" s="60"/>
      <c r="J1" s="5"/>
      <c r="K1" s="5"/>
    </row>
    <row r="2" spans="1:11" ht="19.5" customHeight="1">
      <c r="A2" s="63" t="s">
        <v>2</v>
      </c>
      <c r="B2" s="63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Nyack - Nyack HS</v>
      </c>
      <c r="B4" s="31" t="str" cm="1">
        <f t="array" ref="B4:B7">Sites[State]</f>
        <v>NY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IFERROR(H4/G4,"")</f>
        <v/>
      </c>
      <c r="J4" s="18"/>
      <c r="K4" s="18"/>
    </row>
    <row r="5" spans="1:11" ht="15.6">
      <c r="A5" s="32" t="str">
        <v>Nyack - Nyack MS</v>
      </c>
      <c r="B5" s="33" t="str">
        <v>NY</v>
      </c>
      <c r="C5" s="44"/>
      <c r="D5" s="44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>IFERROR(H5/G5,"")</f>
        <v/>
      </c>
      <c r="J5" s="11"/>
      <c r="K5" s="19"/>
    </row>
    <row r="6" spans="1:11" ht="15.6">
      <c r="A6" s="30" t="str">
        <v>Nyack - Upper Nyack ES</v>
      </c>
      <c r="B6" s="31" t="str">
        <v>NY</v>
      </c>
      <c r="C6" s="26"/>
      <c r="D6" s="14"/>
      <c r="E6" s="14" t="str">
        <f t="shared" si="0"/>
        <v/>
      </c>
      <c r="F6" s="15" t="str">
        <f t="shared" ref="F6" si="2">IFERROR(E6/D6, "")</f>
        <v/>
      </c>
      <c r="G6" s="16"/>
      <c r="H6" s="16" t="str">
        <f t="shared" si="1"/>
        <v/>
      </c>
      <c r="I6" s="17" t="str">
        <f>IFERROR(H6/G6,"")</f>
        <v/>
      </c>
      <c r="J6" s="18"/>
      <c r="K6" s="18"/>
    </row>
    <row r="7" spans="1:11" ht="14.45">
      <c r="A7" s="23" t="str">
        <v>Nyack Valley Cottage ES</v>
      </c>
      <c r="B7" s="35" t="str">
        <v>NY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7"/>
  <sheetViews>
    <sheetView zoomScale="70" zoomScaleNormal="70" workbookViewId="0">
      <pane ySplit="2" topLeftCell="A3" activePane="bottomLeft" state="frozen"/>
      <selection pane="bottomLeft" activeCell="G14" sqref="G14"/>
      <selection activeCell="J34" sqref="J34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Nyack Union Free School District</v>
      </c>
      <c r="B1" s="61"/>
      <c r="C1" s="61"/>
      <c r="D1" s="62" t="s">
        <v>28</v>
      </c>
      <c r="E1" s="62"/>
      <c r="F1" s="62"/>
      <c r="G1" s="60" t="s">
        <v>29</v>
      </c>
      <c r="H1" s="60"/>
      <c r="I1" s="60"/>
      <c r="J1" s="5"/>
      <c r="K1" s="5"/>
    </row>
    <row r="2" spans="1:11" ht="19.5" customHeight="1">
      <c r="A2" s="63" t="s">
        <v>2</v>
      </c>
      <c r="B2" s="63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Nyack - Nyack HS</v>
      </c>
      <c r="B4" s="31" t="str" cm="1">
        <f t="array" ref="B4:B7">Sites[State]</f>
        <v>NY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IFERROR(H4/G4,"")</f>
        <v/>
      </c>
      <c r="J4" s="18"/>
      <c r="K4" s="18"/>
    </row>
    <row r="5" spans="1:11" ht="28.9">
      <c r="A5" s="32" t="str">
        <v>Nyack - Nyack MS</v>
      </c>
      <c r="B5" s="33" t="str">
        <v>NY</v>
      </c>
      <c r="C5" s="44"/>
      <c r="D5" s="44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>IFERROR(H5/G5,"")</f>
        <v/>
      </c>
      <c r="J5" s="46" t="s">
        <v>30</v>
      </c>
      <c r="K5" s="19"/>
    </row>
    <row r="6" spans="1:11" ht="15.6">
      <c r="A6" s="30" t="str">
        <v>Nyack - Upper Nyack ES</v>
      </c>
      <c r="B6" s="31" t="str">
        <v>NY</v>
      </c>
      <c r="C6" s="26"/>
      <c r="D6" s="14"/>
      <c r="E6" s="14" t="str">
        <f t="shared" si="0"/>
        <v/>
      </c>
      <c r="F6" s="15" t="str">
        <f t="shared" ref="F6" si="2">IFERROR(E6/D6, "")</f>
        <v/>
      </c>
      <c r="G6" s="16"/>
      <c r="H6" s="16" t="str">
        <f t="shared" si="1"/>
        <v/>
      </c>
      <c r="I6" s="17" t="str">
        <f>IFERROR(H6/G6,"")</f>
        <v/>
      </c>
      <c r="J6" s="18"/>
      <c r="K6" s="18"/>
    </row>
    <row r="7" spans="1:11" ht="15.6">
      <c r="A7" s="32" t="str">
        <v>Nyack Valley Cottage ES</v>
      </c>
      <c r="B7" s="33" t="str">
        <v>NY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7"/>
  <sheetViews>
    <sheetView zoomScale="60" zoomScaleNormal="60" workbookViewId="0">
      <pane ySplit="2" topLeftCell="A3" activePane="bottomLeft" state="frozen"/>
      <selection pane="bottomLeft" activeCell="G12" sqref="G12"/>
      <selection activeCell="I44" sqref="I44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Nyack Union Free School District</v>
      </c>
      <c r="B1" s="61"/>
      <c r="C1" s="61"/>
      <c r="D1" s="62" t="s">
        <v>31</v>
      </c>
      <c r="E1" s="62"/>
      <c r="F1" s="62"/>
      <c r="G1" s="60" t="s">
        <v>32</v>
      </c>
      <c r="H1" s="60"/>
      <c r="I1" s="60"/>
      <c r="J1" s="5"/>
      <c r="K1" s="5"/>
    </row>
    <row r="2" spans="1:11" ht="19.5" customHeight="1">
      <c r="A2" s="63" t="s">
        <v>2</v>
      </c>
      <c r="B2" s="63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Nyack - Nyack HS</v>
      </c>
      <c r="B4" s="31" t="str" cm="1">
        <f t="array" ref="B4:B7">Sites[State]</f>
        <v>NY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IFERROR(H4/G4,"")</f>
        <v/>
      </c>
      <c r="J4" s="18"/>
      <c r="K4" s="18"/>
    </row>
    <row r="5" spans="1:11" ht="15.6">
      <c r="A5" s="32" t="str">
        <v>Nyack - Nyack MS</v>
      </c>
      <c r="B5" s="33" t="str">
        <v>NY</v>
      </c>
      <c r="C5" s="44"/>
      <c r="D5" s="44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>IFERROR(H5/G5,"")</f>
        <v/>
      </c>
      <c r="J5" s="11"/>
      <c r="K5" s="19"/>
    </row>
    <row r="6" spans="1:11" ht="15.6">
      <c r="A6" s="30" t="str">
        <v>Nyack - Upper Nyack ES</v>
      </c>
      <c r="B6" s="31" t="str">
        <v>NY</v>
      </c>
      <c r="C6" s="26"/>
      <c r="D6" s="14"/>
      <c r="E6" s="14" t="str">
        <f t="shared" si="0"/>
        <v/>
      </c>
      <c r="F6" s="15" t="str">
        <f t="shared" ref="F6" si="2">IFERROR(E6/D6, "")</f>
        <v/>
      </c>
      <c r="G6" s="16"/>
      <c r="H6" s="16" t="str">
        <f t="shared" si="1"/>
        <v/>
      </c>
      <c r="I6" s="17" t="str">
        <f>IFERROR(H6/G6,"")</f>
        <v/>
      </c>
      <c r="J6" s="18"/>
      <c r="K6" s="18"/>
    </row>
    <row r="7" spans="1:11" ht="14.45">
      <c r="A7" s="23" t="str">
        <v>Nyack Valley Cottage ES</v>
      </c>
      <c r="B7" s="35" t="str">
        <v>NY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7"/>
  <sheetViews>
    <sheetView zoomScale="70" zoomScaleNormal="70" workbookViewId="0">
      <pane ySplit="2" topLeftCell="A3" activePane="bottomLeft" state="frozen"/>
      <selection pane="bottomLeft" activeCell="J7" sqref="J7"/>
      <selection activeCell="J16" sqref="J16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9.7109375" customWidth="1"/>
    <col min="11" max="11" width="20.5703125" bestFit="1" customWidth="1"/>
  </cols>
  <sheetData>
    <row r="1" spans="1:11" ht="19.5" customHeight="1">
      <c r="A1" s="61" t="str" cm="1">
        <f t="array" ref="A1">portfolio</f>
        <v>Nyack Union Free School District</v>
      </c>
      <c r="B1" s="61"/>
      <c r="C1" s="61"/>
      <c r="D1" s="62" t="s">
        <v>33</v>
      </c>
      <c r="E1" s="62"/>
      <c r="F1" s="62"/>
      <c r="G1" s="60" t="s">
        <v>34</v>
      </c>
      <c r="H1" s="60"/>
      <c r="I1" s="60"/>
      <c r="J1" s="5"/>
      <c r="K1" s="5"/>
    </row>
    <row r="2" spans="1:11" ht="19.5" customHeight="1">
      <c r="A2" s="63" t="s">
        <v>2</v>
      </c>
      <c r="B2" s="63"/>
      <c r="C2" s="6">
        <f>SUM(C4:C85)</f>
        <v>48126.563999999998</v>
      </c>
      <c r="D2" s="6">
        <f>SUM(D4:D85)</f>
        <v>83846.652000000002</v>
      </c>
      <c r="E2" s="6">
        <f>C2-D2</f>
        <v>-35720.088000000003</v>
      </c>
      <c r="F2" s="7">
        <f>IFERROR(E2/D2, 0)</f>
        <v>-0.42601686707776959</v>
      </c>
      <c r="G2" s="6">
        <f>SUM(G4:G85)</f>
        <v>0</v>
      </c>
      <c r="H2" s="8">
        <f>C2-G2</f>
        <v>48126.563999999998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Nyack - Nyack HS</v>
      </c>
      <c r="B4" s="31" t="str" cm="1">
        <f t="array" ref="B4:B7">Sites[State]</f>
        <v>NY</v>
      </c>
      <c r="C4" s="26">
        <v>48126.563999999998</v>
      </c>
      <c r="D4" s="14">
        <v>53079.281999999999</v>
      </c>
      <c r="E4" s="14">
        <f>IF(AND(ISNUMBER(C4),ISNUMBER(D4)), C4-D4, "")</f>
        <v>-4952.7180000000008</v>
      </c>
      <c r="F4" s="15">
        <f>IFERROR(E4/D4, "")</f>
        <v>-9.3307931331851862E-2</v>
      </c>
      <c r="G4" s="55" t="s">
        <v>35</v>
      </c>
      <c r="H4" s="16" t="str">
        <f>IF(AND(ISNUMBER(C4),ISNUMBER(G4)), C4-G4, "")</f>
        <v/>
      </c>
      <c r="I4" s="17" t="str">
        <f>IFERROR(H4/G4,"")</f>
        <v/>
      </c>
      <c r="J4" s="18"/>
      <c r="K4" s="18"/>
    </row>
    <row r="5" spans="1:11" ht="57.6">
      <c r="A5" s="32" t="str">
        <v>Nyack - Nyack MS</v>
      </c>
      <c r="B5" s="33" t="str">
        <v>NY</v>
      </c>
      <c r="C5" s="12">
        <v>0</v>
      </c>
      <c r="D5" s="20">
        <v>30767.37</v>
      </c>
      <c r="E5" s="20">
        <f t="shared" ref="E5:E7" si="0">IF(AND(ISNUMBER(C5),ISNUMBER(D5)), C5-D5, "")</f>
        <v>-30767.37</v>
      </c>
      <c r="F5" s="21">
        <f>IFERROR(E5/D5, "")</f>
        <v>-1</v>
      </c>
      <c r="G5" s="22"/>
      <c r="H5" s="22" t="str">
        <f t="shared" ref="H5:H6" si="1">IF(AND(ISNUMBER(C5),ISNUMBER(G5)), C5-G5, "")</f>
        <v/>
      </c>
      <c r="I5" s="21" t="str">
        <f>IFERROR(H5/G5,"")</f>
        <v/>
      </c>
      <c r="J5" s="48" t="s">
        <v>36</v>
      </c>
      <c r="K5" s="56" t="s">
        <v>37</v>
      </c>
    </row>
    <row r="6" spans="1:11" ht="15.6">
      <c r="A6" s="34" t="str">
        <v>Nyack - Upper Nyack ES</v>
      </c>
      <c r="B6" s="31" t="str">
        <v>NY</v>
      </c>
      <c r="C6" s="26">
        <v>0</v>
      </c>
      <c r="D6" s="14">
        <v>0</v>
      </c>
      <c r="E6" s="14">
        <f t="shared" si="0"/>
        <v>0</v>
      </c>
      <c r="F6" s="15" t="str">
        <f t="shared" ref="F6" si="2">IFERROR(E6/D6, "")</f>
        <v/>
      </c>
      <c r="G6" s="55" t="s">
        <v>35</v>
      </c>
      <c r="H6" s="16" t="str">
        <f t="shared" si="1"/>
        <v/>
      </c>
      <c r="I6" s="17" t="str">
        <f>IFERROR(H6/G6,"")</f>
        <v/>
      </c>
      <c r="J6" s="18" t="s">
        <v>38</v>
      </c>
      <c r="K6" s="58" t="s">
        <v>39</v>
      </c>
    </row>
    <row r="7" spans="1:11" ht="15.6">
      <c r="A7" s="32" t="str">
        <v>Nyack Valley Cottage ES</v>
      </c>
      <c r="B7" s="33" t="str">
        <v>NY</v>
      </c>
      <c r="C7" s="12">
        <v>0</v>
      </c>
      <c r="D7" s="20">
        <v>0</v>
      </c>
      <c r="E7" s="20">
        <f t="shared" si="0"/>
        <v>0</v>
      </c>
      <c r="F7" s="21"/>
      <c r="G7" s="54" t="s">
        <v>35</v>
      </c>
      <c r="H7" s="22"/>
      <c r="I7" s="21"/>
      <c r="J7" s="45" t="s">
        <v>40</v>
      </c>
      <c r="K7" s="56" t="s">
        <v>41</v>
      </c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sortState xmlns:xlrd2="http://schemas.microsoft.com/office/spreadsheetml/2017/richdata2" ref="A3:K6">
    <sortCondition ref="A3:A6"/>
  </sortState>
  <mergeCells count="4">
    <mergeCell ref="G1:I1"/>
    <mergeCell ref="A1:C1"/>
    <mergeCell ref="D1:F1"/>
    <mergeCell ref="A2:B2"/>
  </mergeCells>
  <conditionalFormatting sqref="F2 I2 F4:F85 I4:I85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hyperlinks>
    <hyperlink ref="K5" r:id="rId1" display="https://us3.assetplanner.com/service_request?ID=099882" xr:uid="{47838103-5C6A-4061-9335-DAFD1C0AEC6B}"/>
    <hyperlink ref="K6" r:id="rId2" display="https://us3.assetplanner.com/service_request?ID=102144" xr:uid="{5CDFD834-30DA-4F15-991C-25E0ECDF4276}"/>
    <hyperlink ref="K7" r:id="rId3" display="https://us3.assetplanner.com/service_request?ID=103526" xr:uid="{33E8ACA8-9660-4B03-8D70-B4F5BB513D1B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7"/>
  <sheetViews>
    <sheetView zoomScale="80" zoomScaleNormal="80" workbookViewId="0">
      <pane ySplit="2" topLeftCell="A3" activePane="bottomLeft" state="frozen"/>
      <selection pane="bottomLeft" activeCell="K7" sqref="K7"/>
      <selection activeCell="J16" sqref="J16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Nyack Union Free School District</v>
      </c>
      <c r="B1" s="61"/>
      <c r="C1" s="61"/>
      <c r="D1" s="62" t="s">
        <v>42</v>
      </c>
      <c r="E1" s="62"/>
      <c r="F1" s="62"/>
      <c r="G1" s="60" t="s">
        <v>43</v>
      </c>
      <c r="H1" s="60"/>
      <c r="I1" s="60"/>
      <c r="J1" s="5"/>
      <c r="K1" s="5"/>
    </row>
    <row r="2" spans="1:11" ht="19.5" customHeight="1">
      <c r="A2" s="63" t="s">
        <v>2</v>
      </c>
      <c r="B2" s="63"/>
      <c r="C2" s="6">
        <f>SUM(C4:C85)</f>
        <v>46968.245999999999</v>
      </c>
      <c r="D2" s="6">
        <f>SUM(D4:D85)</f>
        <v>80834.358000000007</v>
      </c>
      <c r="E2" s="6">
        <f>C2-D2</f>
        <v>-33866.112000000008</v>
      </c>
      <c r="F2" s="7">
        <f>IFERROR(E2/D2, 0)</f>
        <v>-0.41895689949068443</v>
      </c>
      <c r="G2" s="6">
        <f>SUM(G4:G85)</f>
        <v>0</v>
      </c>
      <c r="H2" s="8">
        <f>C2-G2</f>
        <v>46968.245999999999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Nyack - Nyack HS</v>
      </c>
      <c r="B4" s="31" t="str" cm="1">
        <f t="array" ref="B4:B7">Sites[State]</f>
        <v>NY</v>
      </c>
      <c r="C4" s="26">
        <v>46968.245999999999</v>
      </c>
      <c r="D4" s="14">
        <v>51442.758000000002</v>
      </c>
      <c r="E4" s="14">
        <f>IF(AND(ISNUMBER(C4),ISNUMBER(D4)), C4-D4, "")</f>
        <v>-4474.5120000000024</v>
      </c>
      <c r="F4" s="15">
        <f>IFERROR(E4/D4, "")</f>
        <v>-8.6980406454879464E-2</v>
      </c>
      <c r="G4" s="55" t="s">
        <v>35</v>
      </c>
      <c r="H4" s="16" t="str">
        <f>IF(AND(ISNUMBER(C4),ISNUMBER(G4)), C4-G4, "")</f>
        <v/>
      </c>
      <c r="I4" s="17" t="str">
        <f>IFERROR(H4/G4,"")</f>
        <v/>
      </c>
      <c r="J4" s="18"/>
      <c r="K4" s="18"/>
    </row>
    <row r="5" spans="1:11" ht="72">
      <c r="A5" s="32" t="str">
        <v>Nyack - Nyack MS</v>
      </c>
      <c r="B5" s="33" t="str">
        <v>NY</v>
      </c>
      <c r="C5" s="12">
        <v>0</v>
      </c>
      <c r="D5" s="20">
        <v>29391.599999999999</v>
      </c>
      <c r="E5" s="20">
        <f t="shared" ref="E5:E7" si="0">IF(AND(ISNUMBER(C5),ISNUMBER(D5)), C5-D5, "")</f>
        <v>-29391.599999999999</v>
      </c>
      <c r="F5" s="21">
        <f>IFERROR(E5/D5, "")</f>
        <v>-1</v>
      </c>
      <c r="G5" s="54" t="s">
        <v>35</v>
      </c>
      <c r="H5" s="22" t="str">
        <f t="shared" ref="H5:H7" si="1">IF(AND(ISNUMBER(C5),ISNUMBER(G5)), C5-G5, "")</f>
        <v/>
      </c>
      <c r="I5" s="21" t="str">
        <f>IFERROR(H5/G5,"")</f>
        <v/>
      </c>
      <c r="J5" s="48" t="s">
        <v>36</v>
      </c>
      <c r="K5" s="56" t="s">
        <v>37</v>
      </c>
    </row>
    <row r="6" spans="1:11" ht="28.9">
      <c r="A6" s="34" t="str">
        <v>Nyack - Upper Nyack ES</v>
      </c>
      <c r="B6" s="31" t="str">
        <v>NY</v>
      </c>
      <c r="C6" s="26">
        <v>0</v>
      </c>
      <c r="D6" s="14">
        <v>0</v>
      </c>
      <c r="E6" s="14">
        <f t="shared" si="0"/>
        <v>0</v>
      </c>
      <c r="F6" s="15" t="str">
        <f t="shared" ref="F6" si="2">IFERROR(E6/D6, "")</f>
        <v/>
      </c>
      <c r="G6" s="55" t="s">
        <v>35</v>
      </c>
      <c r="H6" s="16" t="str">
        <f t="shared" si="1"/>
        <v/>
      </c>
      <c r="I6" s="17" t="str">
        <f>IFERROR(H6/G6,"")</f>
        <v/>
      </c>
      <c r="J6" s="18" t="s">
        <v>38</v>
      </c>
      <c r="K6" s="58" t="s">
        <v>39</v>
      </c>
    </row>
    <row r="7" spans="1:11" ht="15.6">
      <c r="A7" s="32" t="str">
        <v>Nyack Valley Cottage ES</v>
      </c>
      <c r="B7" s="33" t="str">
        <v>NY</v>
      </c>
      <c r="C7" s="12">
        <v>0</v>
      </c>
      <c r="D7" s="20">
        <v>0</v>
      </c>
      <c r="E7" s="20">
        <f t="shared" si="0"/>
        <v>0</v>
      </c>
      <c r="F7" s="21" t="str">
        <f>IFERROR(E7/D7, "")</f>
        <v/>
      </c>
      <c r="G7" s="54" t="s">
        <v>35</v>
      </c>
      <c r="H7" s="22" t="str">
        <f t="shared" si="1"/>
        <v/>
      </c>
      <c r="I7" s="21"/>
      <c r="J7" s="59" t="s">
        <v>40</v>
      </c>
      <c r="K7" s="56" t="s">
        <v>41</v>
      </c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hyperlinks>
    <hyperlink ref="K5" r:id="rId1" display="https://us3.assetplanner.com/service_request?ID=099882" xr:uid="{D01173FC-5E35-41E5-9047-0D3EB8810994}"/>
    <hyperlink ref="K6" r:id="rId2" display="https://us3.assetplanner.com/service_request?ID=102144" xr:uid="{2B5C9F48-0C94-40D6-9311-21DE9A4CCA1D}"/>
    <hyperlink ref="K7" r:id="rId3" display="https://us3.assetplanner.com/service_request?ID=103526" xr:uid="{D565B109-1F12-457B-95E6-420A6528E2B1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7"/>
  <sheetViews>
    <sheetView tabSelected="1" zoomScale="80" zoomScaleNormal="80" workbookViewId="0">
      <pane ySplit="2" topLeftCell="A3" activePane="bottomLeft" state="frozen"/>
      <selection pane="bottomLeft" activeCell="K7" sqref="K7"/>
      <selection activeCell="J16" sqref="J16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Nyack Union Free School District</v>
      </c>
      <c r="B1" s="61"/>
      <c r="C1" s="61"/>
      <c r="D1" s="62" t="s">
        <v>44</v>
      </c>
      <c r="E1" s="62"/>
      <c r="F1" s="62"/>
      <c r="G1" s="60" t="s">
        <v>45</v>
      </c>
      <c r="H1" s="60"/>
      <c r="I1" s="60"/>
      <c r="J1" s="5"/>
      <c r="K1" s="5"/>
    </row>
    <row r="2" spans="1:11" ht="19.5" customHeight="1">
      <c r="A2" s="63" t="s">
        <v>2</v>
      </c>
      <c r="B2" s="63"/>
      <c r="C2" s="6">
        <f>SUM(C4:C85)</f>
        <v>38164.364000000001</v>
      </c>
      <c r="D2" s="6">
        <f>SUM(D4:D85)</f>
        <v>59111.201000000001</v>
      </c>
      <c r="E2" s="6">
        <f>C2-D2</f>
        <v>-20946.837</v>
      </c>
      <c r="F2" s="7">
        <f>IFERROR(E2/D2, 0)</f>
        <v>-0.35436324496265942</v>
      </c>
      <c r="G2" s="6">
        <f>SUM(G4:G85)</f>
        <v>0</v>
      </c>
      <c r="H2" s="8">
        <f>C2-G2</f>
        <v>38164.364000000001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Nyack - Nyack HS</v>
      </c>
      <c r="B4" s="31" t="str" cm="1">
        <f t="array" ref="B4:B7">Sites[State]</f>
        <v>NY</v>
      </c>
      <c r="C4" s="26">
        <v>38164.364000000001</v>
      </c>
      <c r="D4" s="14">
        <v>35886.697999999997</v>
      </c>
      <c r="E4" s="14">
        <f>IF(AND(ISNUMBER(C4),ISNUMBER(D4)), C4-D4, "")</f>
        <v>2277.6660000000047</v>
      </c>
      <c r="F4" s="15">
        <f>IFERROR(E4/D4, "")</f>
        <v>6.3468252219805926E-2</v>
      </c>
      <c r="G4" s="55" t="s">
        <v>35</v>
      </c>
      <c r="H4" s="16" t="str">
        <f>IF(AND(ISNUMBER(C4),ISNUMBER(G4)), C4-G4, "")</f>
        <v/>
      </c>
      <c r="I4" s="17" t="str">
        <f>IFERROR(H4/G4,"")</f>
        <v/>
      </c>
      <c r="J4" s="18"/>
      <c r="K4" s="18"/>
    </row>
    <row r="5" spans="1:11" ht="72">
      <c r="A5" s="32" t="str">
        <v>Nyack - Nyack MS</v>
      </c>
      <c r="B5" s="33" t="str">
        <v>NY</v>
      </c>
      <c r="C5" s="12">
        <v>0</v>
      </c>
      <c r="D5" s="20">
        <v>23224.503000000001</v>
      </c>
      <c r="E5" s="20">
        <f t="shared" ref="E5:E7" si="0">IF(AND(ISNUMBER(C5),ISNUMBER(D5)), C5-D5, "")</f>
        <v>-23224.503000000001</v>
      </c>
      <c r="F5" s="21">
        <f>IFERROR(E5/D5, "")</f>
        <v>-1</v>
      </c>
      <c r="G5" s="54" t="s">
        <v>35</v>
      </c>
      <c r="H5" s="22" t="str">
        <f t="shared" ref="H5:H6" si="1">IF(AND(ISNUMBER(C5),ISNUMBER(G5)), C5-G5, "")</f>
        <v/>
      </c>
      <c r="I5" s="21" t="str">
        <f>IFERROR(H5/G5,"")</f>
        <v/>
      </c>
      <c r="J5" s="48" t="s">
        <v>46</v>
      </c>
      <c r="K5" s="56" t="s">
        <v>37</v>
      </c>
    </row>
    <row r="6" spans="1:11" ht="28.9">
      <c r="A6" s="34" t="str">
        <v>Nyack - Upper Nyack ES</v>
      </c>
      <c r="B6" s="31" t="str">
        <v>NY</v>
      </c>
      <c r="C6" s="26">
        <v>0</v>
      </c>
      <c r="D6" s="14">
        <v>0</v>
      </c>
      <c r="E6" s="14">
        <f t="shared" si="0"/>
        <v>0</v>
      </c>
      <c r="F6" s="15" t="str">
        <f t="shared" ref="F6" si="2">IFERROR(E6/D6, "")</f>
        <v/>
      </c>
      <c r="G6" s="55" t="s">
        <v>35</v>
      </c>
      <c r="H6" s="16" t="str">
        <f t="shared" si="1"/>
        <v/>
      </c>
      <c r="I6" s="17" t="str">
        <f>IFERROR(H6/G6,"")</f>
        <v/>
      </c>
      <c r="J6" s="18" t="s">
        <v>38</v>
      </c>
      <c r="K6" s="58" t="s">
        <v>39</v>
      </c>
    </row>
    <row r="7" spans="1:11" ht="15.6">
      <c r="A7" s="32" t="str">
        <v>Nyack Valley Cottage ES</v>
      </c>
      <c r="B7" s="33" t="str">
        <v>NY</v>
      </c>
      <c r="C7" s="12">
        <v>0</v>
      </c>
      <c r="D7" s="20">
        <v>0</v>
      </c>
      <c r="E7" s="20">
        <f t="shared" si="0"/>
        <v>0</v>
      </c>
      <c r="F7" s="21" t="str">
        <f>IFERROR(E7/D7, "")</f>
        <v/>
      </c>
      <c r="G7" s="54" t="s">
        <v>35</v>
      </c>
      <c r="H7" s="22"/>
      <c r="I7" s="21"/>
      <c r="J7" s="59" t="s">
        <v>40</v>
      </c>
      <c r="K7" s="56" t="s">
        <v>41</v>
      </c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hyperlinks>
    <hyperlink ref="K5" r:id="rId1" display="https://us3.assetplanner.com/service_request?ID=099882" xr:uid="{18F9B5FE-4679-4393-BB7C-7FA4D053B83A}"/>
    <hyperlink ref="K6" r:id="rId2" display="https://us3.assetplanner.com/service_request?ID=102144" xr:uid="{F142C9C9-F928-4F10-9AC7-DB6F6A8FE7E0}"/>
    <hyperlink ref="K7" r:id="rId3" display="https://us3.assetplanner.com/service_request?ID=103526" xr:uid="{67C2AE7F-967A-49BE-BBBF-BE339641401B}"/>
  </hyperlinks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7"/>
  <sheetViews>
    <sheetView workbookViewId="0">
      <pane ySplit="2" topLeftCell="A3" activePane="bottomLeft" state="frozen"/>
      <selection pane="bottomLeft" activeCell="J16" sqref="J16"/>
      <selection activeCell="J16" sqref="J16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Nyack Union Free School District</v>
      </c>
      <c r="B1" s="61"/>
      <c r="C1" s="61"/>
      <c r="D1" s="62" t="s">
        <v>47</v>
      </c>
      <c r="E1" s="62"/>
      <c r="F1" s="62"/>
      <c r="G1" s="60" t="s">
        <v>48</v>
      </c>
      <c r="H1" s="60"/>
      <c r="I1" s="60"/>
      <c r="J1" s="5"/>
      <c r="K1" s="5"/>
    </row>
    <row r="2" spans="1:11" ht="19.5" customHeight="1">
      <c r="A2" s="63" t="s">
        <v>2</v>
      </c>
      <c r="B2" s="63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Nyack - Nyack HS</v>
      </c>
      <c r="B4" s="31" t="str" cm="1">
        <f t="array" ref="B4:B7">Sites[State]</f>
        <v>NY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IFERROR(H4/G4,"")</f>
        <v/>
      </c>
      <c r="J4" s="18"/>
      <c r="K4" s="18"/>
    </row>
    <row r="5" spans="1:11" ht="15.6">
      <c r="A5" s="32" t="str">
        <v>Nyack - Nyack MS</v>
      </c>
      <c r="B5" s="33" t="str">
        <v>NY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>IFERROR(H5/G5,"")</f>
        <v/>
      </c>
      <c r="J5" s="11"/>
      <c r="K5" s="19"/>
    </row>
    <row r="6" spans="1:11" ht="15.6">
      <c r="A6" s="30" t="str">
        <v>Nyack - Upper Nyack ES</v>
      </c>
      <c r="B6" s="31" t="str">
        <v>NY</v>
      </c>
      <c r="C6" s="26"/>
      <c r="D6" s="14"/>
      <c r="E6" s="14" t="str">
        <f t="shared" si="0"/>
        <v/>
      </c>
      <c r="F6" s="15" t="str">
        <f t="shared" ref="F6" si="2">IFERROR(E6/D6, "")</f>
        <v/>
      </c>
      <c r="G6" s="16"/>
      <c r="H6" s="16" t="str">
        <f t="shared" si="1"/>
        <v/>
      </c>
      <c r="I6" s="17" t="str">
        <f>IFERROR(H6/G6,"")</f>
        <v/>
      </c>
      <c r="J6" s="18"/>
      <c r="K6" s="18"/>
    </row>
    <row r="7" spans="1:11" ht="14.45">
      <c r="A7" s="23" t="str">
        <v>Nyack Valley Cottage ES</v>
      </c>
      <c r="B7" s="35" t="str">
        <v>NY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7"/>
  <sheetViews>
    <sheetView workbookViewId="0">
      <pane ySplit="2" topLeftCell="A3" activePane="bottomLeft" state="frozen"/>
      <selection pane="bottomLeft" activeCell="J16" sqref="J16"/>
      <selection activeCell="J16" sqref="J16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Nyack Union Free School District</v>
      </c>
      <c r="B1" s="61"/>
      <c r="C1" s="61"/>
      <c r="D1" s="62" t="s">
        <v>49</v>
      </c>
      <c r="E1" s="62"/>
      <c r="F1" s="62"/>
      <c r="G1" s="60" t="s">
        <v>50</v>
      </c>
      <c r="H1" s="60"/>
      <c r="I1" s="60"/>
      <c r="J1" s="5"/>
      <c r="K1" s="5"/>
    </row>
    <row r="2" spans="1:11" ht="19.5" customHeight="1">
      <c r="A2" s="63" t="s">
        <v>2</v>
      </c>
      <c r="B2" s="63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Nyack - Nyack HS</v>
      </c>
      <c r="B4" s="31" t="str" cm="1">
        <f t="array" ref="B4:B7">Sites[State]</f>
        <v>NY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IFERROR(H4/G4,"")</f>
        <v/>
      </c>
      <c r="J4" s="18"/>
      <c r="K4" s="18"/>
    </row>
    <row r="5" spans="1:11" ht="15.6">
      <c r="A5" s="32" t="str">
        <v>Nyack - Nyack MS</v>
      </c>
      <c r="B5" s="33" t="str">
        <v>NY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>IFERROR(H5/G5,"")</f>
        <v/>
      </c>
      <c r="J5" s="46"/>
      <c r="K5" s="49"/>
    </row>
    <row r="6" spans="1:11" ht="15.6">
      <c r="A6" s="30" t="str">
        <v>Nyack - Upper Nyack ES</v>
      </c>
      <c r="B6" s="31" t="str">
        <v>NY</v>
      </c>
      <c r="C6" s="26"/>
      <c r="D6" s="14"/>
      <c r="E6" s="14" t="str">
        <f t="shared" si="0"/>
        <v/>
      </c>
      <c r="F6" s="15" t="str">
        <f t="shared" ref="F6" si="2">IFERROR(E6/D6, "")</f>
        <v/>
      </c>
      <c r="G6" s="16"/>
      <c r="H6" s="16" t="str">
        <f t="shared" si="1"/>
        <v/>
      </c>
      <c r="I6" s="17" t="str">
        <f>IFERROR(H6/G6,"")</f>
        <v/>
      </c>
      <c r="J6" s="18"/>
      <c r="K6" s="18"/>
    </row>
    <row r="7" spans="1:11" ht="14.45">
      <c r="A7" s="23" t="str">
        <v>Nyack Valley Cottage ES</v>
      </c>
      <c r="B7" s="35" t="str">
        <v>NY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7"/>
  <sheetViews>
    <sheetView workbookViewId="0">
      <pane ySplit="2" topLeftCell="A3" activePane="bottomLeft" state="frozen"/>
      <selection pane="bottomLeft" activeCell="D18" sqref="D18"/>
      <selection activeCell="J16" sqref="J16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Nyack Union Free School District</v>
      </c>
      <c r="B1" s="61"/>
      <c r="C1" s="61"/>
      <c r="D1" s="62" t="s">
        <v>51</v>
      </c>
      <c r="E1" s="62"/>
      <c r="F1" s="62"/>
      <c r="G1" s="60" t="s">
        <v>52</v>
      </c>
      <c r="H1" s="60"/>
      <c r="I1" s="60"/>
      <c r="J1" s="5"/>
      <c r="K1" s="5"/>
    </row>
    <row r="2" spans="1:11" ht="19.5" customHeight="1">
      <c r="A2" s="63" t="s">
        <v>2</v>
      </c>
      <c r="B2" s="63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Nyack - Nyack HS</v>
      </c>
      <c r="B4" s="31" t="str" cm="1">
        <f t="array" ref="B4:B7">Sites[State]</f>
        <v>NY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IFERROR(H4/G4,"")</f>
        <v/>
      </c>
      <c r="J4" s="18"/>
      <c r="K4" s="18"/>
    </row>
    <row r="5" spans="1:11" ht="15.6">
      <c r="A5" s="32" t="str">
        <v>Nyack - Nyack MS</v>
      </c>
      <c r="B5" s="33" t="str">
        <v>NY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>IFERROR(H5/G5,"")</f>
        <v/>
      </c>
      <c r="J5" s="48"/>
      <c r="K5" s="47"/>
    </row>
    <row r="6" spans="1:11" ht="15.6">
      <c r="A6" s="30" t="str">
        <v>Nyack - Upper Nyack ES</v>
      </c>
      <c r="B6" s="31" t="str">
        <v>NY</v>
      </c>
      <c r="C6" s="26"/>
      <c r="D6" s="14"/>
      <c r="E6" s="14" t="str">
        <f t="shared" si="0"/>
        <v/>
      </c>
      <c r="F6" s="15" t="str">
        <f t="shared" ref="F6" si="2">IFERROR(E6/D6, "")</f>
        <v/>
      </c>
      <c r="G6" s="16"/>
      <c r="H6" s="16" t="str">
        <f t="shared" si="1"/>
        <v/>
      </c>
      <c r="I6" s="17" t="str">
        <f>IFERROR(H6/G6,"")</f>
        <v/>
      </c>
      <c r="J6" s="18"/>
      <c r="K6" s="18"/>
    </row>
    <row r="7" spans="1:11" ht="14.45">
      <c r="A7" s="23" t="str">
        <v>Nyack Valley Cottage ES</v>
      </c>
      <c r="B7" s="35" t="str">
        <v>NY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7"/>
  <sheetViews>
    <sheetView workbookViewId="0">
      <pane ySplit="3" topLeftCell="A4" activePane="bottomLeft" state="frozen"/>
      <selection pane="bottomLeft" activeCell="B21" sqref="B21"/>
      <selection activeCell="A33" sqref="A33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53</v>
      </c>
      <c r="B1" s="37" t="s">
        <v>54</v>
      </c>
    </row>
    <row r="3" spans="1:7" ht="13.15">
      <c r="A3" t="s">
        <v>55</v>
      </c>
      <c r="B3" t="s">
        <v>3</v>
      </c>
      <c r="C3" t="s">
        <v>4</v>
      </c>
      <c r="D3" t="s">
        <v>56</v>
      </c>
      <c r="E3" s="2" t="s">
        <v>57</v>
      </c>
    </row>
    <row r="4" spans="1:7" ht="14.45">
      <c r="A4" s="37" t="s">
        <v>58</v>
      </c>
      <c r="B4" s="37" t="s">
        <v>59</v>
      </c>
      <c r="C4" s="4" t="s">
        <v>60</v>
      </c>
      <c r="E4" t="s">
        <v>61</v>
      </c>
      <c r="G4" s="3"/>
    </row>
    <row r="5" spans="1:7" ht="14.45">
      <c r="A5" s="37" t="s">
        <v>62</v>
      </c>
      <c r="B5" s="37" t="s">
        <v>63</v>
      </c>
      <c r="C5" s="4" t="s">
        <v>60</v>
      </c>
      <c r="E5" t="s">
        <v>61</v>
      </c>
      <c r="G5" s="3"/>
    </row>
    <row r="6" spans="1:7" ht="14.45">
      <c r="A6" s="37" t="s">
        <v>64</v>
      </c>
      <c r="B6" s="37" t="s">
        <v>65</v>
      </c>
      <c r="C6" s="4" t="s">
        <v>60</v>
      </c>
      <c r="E6" t="s">
        <v>61</v>
      </c>
      <c r="G6" s="3"/>
    </row>
    <row r="7" spans="1:7" ht="12.75" customHeight="1">
      <c r="A7" s="4" t="s">
        <v>66</v>
      </c>
      <c r="B7" s="4" t="s">
        <v>67</v>
      </c>
      <c r="C7" s="4" t="s">
        <v>60</v>
      </c>
      <c r="E7" t="s">
        <v>61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8.xml>��
</file>

<file path=customXml/item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14966E4F-347B-477B-B74C-9DAC05405806}"/>
</file>

<file path=customXml/itemProps2.xml><?xml version="1.0" encoding="utf-8"?>
<ds:datastoreItem xmlns:ds="http://schemas.openxmlformats.org/officeDocument/2006/customXml" ds:itemID="{E3716282-BFD2-4ED2-BA47-BFA1123827F0}"/>
</file>

<file path=customXml/itemProps3.xml><?xml version="1.0" encoding="utf-8"?>
<ds:datastoreItem xmlns:ds="http://schemas.openxmlformats.org/officeDocument/2006/customXml" ds:itemID="{D3A7101F-9A85-4235-8B03-415370C100B2}"/>
</file>

<file path=customXml/itemProps4.xml><?xml version="1.0" encoding="utf-8"?>
<ds:datastoreItem xmlns:ds="http://schemas.openxmlformats.org/officeDocument/2006/customXml" ds:itemID="{1954BBA4-0359-438C-B0EC-A756015F7C02}"/>
</file>

<file path=customXml/itemProps5.xml><?xml version="1.0" encoding="utf-8"?>
<ds:datastoreItem xmlns:ds="http://schemas.openxmlformats.org/officeDocument/2006/customXml" ds:itemID="{F12EFA50-0068-4A8C-85A0-F1B26389EBC3}"/>
</file>

<file path=customXml/itemProps6.xml><?xml version="1.0" encoding="utf-8"?>
<ds:datastoreItem xmlns:ds="http://schemas.openxmlformats.org/officeDocument/2006/customXml" ds:itemID="{F6B2B1A1-1C4B-4AC9-9A7D-7A102DD1C942}"/>
</file>

<file path=customXml/itemProps7.xml><?xml version="1.0" encoding="utf-8"?>
<ds:datastoreItem xmlns:ds="http://schemas.openxmlformats.org/officeDocument/2006/customXml" ds:itemID="{8D732231-4216-4543-A665-18A2886B0EB7}"/>
</file>

<file path=customXml/itemProps8.xml><?xml version="1.0" encoding="utf-8"?>
<ds:datastoreItem xmlns:ds="http://schemas.openxmlformats.org/officeDocument/2006/customXml" ds:itemID="{BF5C6359-7763-4C37-8EAF-2BC4698CB285}"/>
</file>

<file path=customXml/itemProps9.xml><?xml version="1.0" encoding="utf-8"?>
<ds:datastoreItem xmlns:ds="http://schemas.openxmlformats.org/officeDocument/2006/customXml" ds:itemID="{A09744FE-1D7F-4AD5-9C9B-5CCE85F0D90D}"/>
</file>

<file path=customXml/itemProps10.xml><?xml version="1.0" encoding="utf-8"?>
<ds:datastoreItem xmlns:ds="http://schemas.openxmlformats.org/officeDocument/2006/customXml" ds:itemID="{BE26B669-A686-459C-A5E9-FEC3409C4C81}"/>
</file>

<file path=customXml/itemProps11.xml><?xml version="1.0" encoding="utf-8"?>
<ds:datastoreItem xmlns:ds="http://schemas.openxmlformats.org/officeDocument/2006/customXml" ds:itemID="{98A113BB-8B7A-453C-8BD4-8EFC67FC2D3F}"/>
</file>

<file path=customXml/itemProps12.xml><?xml version="1.0" encoding="utf-8"?>
<ds:datastoreItem xmlns:ds="http://schemas.openxmlformats.org/officeDocument/2006/customXml" ds:itemID="{2BC74AAC-D69B-4AF1-9649-B21EF3C1C463}"/>
</file>

<file path=customXml/itemProps13.xml><?xml version="1.0" encoding="utf-8"?>
<ds:datastoreItem xmlns:ds="http://schemas.openxmlformats.org/officeDocument/2006/customXml" ds:itemID="{3AEAA9D8-2182-46BA-A58E-96C72DDA1C54}"/>
</file>

<file path=customXml/itemProps14.xml><?xml version="1.0" encoding="utf-8"?>
<ds:datastoreItem xmlns:ds="http://schemas.openxmlformats.org/officeDocument/2006/customXml" ds:itemID="{CB52044A-5C0B-44A2-99D0-C1C315EC302D}"/>
</file>

<file path=customXml/itemProps15.xml><?xml version="1.0" encoding="utf-8"?>
<ds:datastoreItem xmlns:ds="http://schemas.openxmlformats.org/officeDocument/2006/customXml" ds:itemID="{078388C9-06F9-42F4-B857-EF76B5CAF1FD}"/>
</file>

<file path=customXml/itemProps16.xml><?xml version="1.0" encoding="utf-8"?>
<ds:datastoreItem xmlns:ds="http://schemas.openxmlformats.org/officeDocument/2006/customXml" ds:itemID="{7946C510-7D04-49D8-9B25-EEC04582A1CA}"/>
</file>

<file path=customXml/itemProps17.xml><?xml version="1.0" encoding="utf-8"?>
<ds:datastoreItem xmlns:ds="http://schemas.openxmlformats.org/officeDocument/2006/customXml" ds:itemID="{89CF5C07-45EB-4100-9AFB-2C6AF77FA787}"/>
</file>

<file path=customXml/itemProps18.xml><?xml version="1.0" encoding="utf-8"?>
<ds:datastoreItem xmlns:ds="http://schemas.openxmlformats.org/officeDocument/2006/customXml" ds:itemID="{66B09F59-6532-46F8-924A-9A02417E070D}"/>
</file>

<file path=customXml/itemProps19.xml><?xml version="1.0" encoding="utf-8"?>
<ds:datastoreItem xmlns:ds="http://schemas.openxmlformats.org/officeDocument/2006/customXml" ds:itemID="{0389C43E-394D-44C0-87DC-4780FCFCFB40}"/>
</file>

<file path=customXml/itemProps20.xml><?xml version="1.0" encoding="utf-8"?>
<ds:datastoreItem xmlns:ds="http://schemas.openxmlformats.org/officeDocument/2006/customXml" ds:itemID="{E20E8303-6A67-485C-B6F4-303542CC29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Dinesh Gadde [AGS]</cp:lastModifiedBy>
  <cp:revision/>
  <dcterms:created xsi:type="dcterms:W3CDTF">2021-01-01T16:39:53Z</dcterms:created>
  <dcterms:modified xsi:type="dcterms:W3CDTF">2026-02-20T19:48:56Z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