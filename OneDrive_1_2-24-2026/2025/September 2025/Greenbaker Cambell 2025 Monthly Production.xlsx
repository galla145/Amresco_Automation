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F1B51DE-28AA-48A9-AD7F-ADBA98F696D7}" xr6:coauthVersionLast="47" xr6:coauthVersionMax="47" xr10:uidLastSave="{00000000-0000-0000-0000-000000000000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7" l="1"/>
  <c r="H4" i="27"/>
  <c r="B4" i="26" a="1"/>
  <c r="B4" i="26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 s="1"/>
  <c r="C4" i="29"/>
  <c r="C2" i="29" s="1"/>
  <c r="D4" i="18"/>
  <c r="D2" i="18" s="1"/>
  <c r="C4" i="18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/>
  <c r="H4" i="28"/>
  <c r="I4" i="28" s="1"/>
  <c r="E4" i="28"/>
  <c r="F4" i="28"/>
  <c r="B4" i="28" a="1"/>
  <c r="B4" i="28"/>
  <c r="A4" i="28" a="1"/>
  <c r="A4" i="28"/>
  <c r="G2" i="28"/>
  <c r="D2" i="28"/>
  <c r="C2" i="28"/>
  <c r="E2" i="28" s="1"/>
  <c r="F2" i="28" s="1"/>
  <c r="A1" i="28" a="1"/>
  <c r="A1" i="28"/>
  <c r="G4" i="29"/>
  <c r="E4" i="27"/>
  <c r="F4" i="27"/>
  <c r="G2" i="27"/>
  <c r="D2" i="27"/>
  <c r="C2" i="27"/>
  <c r="J2" i="27" s="1"/>
  <c r="A1" i="27" a="1"/>
  <c r="A1" i="27"/>
  <c r="H4" i="26"/>
  <c r="H4" i="29" s="1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D2" i="30"/>
  <c r="E2" i="31" l="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<sst xmlns="http://schemas.openxmlformats.org/spreadsheetml/2006/main" count="252" uniqueCount="63">
  <si>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</si>
  <si>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</si>
  <si>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</si>
  <si>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</si>
  <si>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</si>
  <si>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</si>
  <si>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</si>
  <si>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</si>
  <si>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</si>
  <si>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</si>
  <si>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</si>
  <si>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</si>
  <si>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</si>
  <si>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</si>
  <si>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</si>
  <si>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</si>
  <si>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</si>
  <si>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</si>
  <si>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</si>
  <si>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</si>
  <si>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</si>
  <si>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</si>
  <si>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</si>
  <si>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</si>
  <si>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</si>
  <si>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</si>
  <si>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</si>
  <si>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</si>
  <si>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</si>
  <si>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</si>
  <si>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</si>
  <si>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</si>
  <si>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</si>
  <si>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</si>
  <si>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Site was offline at 10:10 0n 07/30 due to billing mix up with Verizon and remained offline.</t>
  </si>
  <si>
    <t>1. SR097964
2. SR105456</t>
  </si>
  <si>
    <t>SR105456</t>
  </si>
  <si>
    <t>August Actual v. Expected</t>
  </si>
  <si>
    <t>August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</si>
  <si>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Inverters 4-03 and 6-09 are offline on 8/18 on 08/26 technician checked in and found that 3 inverters without production and restored 2. remaining inverter need further troubleshooting.</t>
  </si>
  <si>
    <t>1. SR097964
2. SR106854, SR105456</t>
  </si>
  <si>
    <t>September Actual v. Expected</t>
  </si>
  <si>
    <t>September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</si>
  <si>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 S/N ending 1195 was offline for whole month.
3. Inverter 1.3 has tripped offline at 13:20 on 09/18 and was back online on 09/24  at 07:00</t>
  </si>
  <si>
    <t>1. SR097964
2. SR106854, SR105456
3. SR108260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</si>
  <si>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</si>
  <si>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</si>
  <si>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</si>
  <si>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</si>
  <si>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</si>
  <si>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</si>
  <si>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</si>
  <si>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</si>
  <si>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</si>
  <si>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</si>
  <si>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</si>
  <si>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</si>
  <si>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</si>
  <si>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</si>
  <si>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</si>
  <si>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</si>
  <si>
    <t>SR106854</t>
  </si>
  <si>
    <t>SR108260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</si>
</sst>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5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2" dataCellStyle="Normal 2"/>
    <tableColumn id="1" xr3:uid="{9A753695-C18C-437C-AD9C-C2CE5C1A806E}" name="Site" dataDxfId="41" dataCellStyle="Normal 2"/>
    <tableColumn id="2" xr3:uid="{250F229D-34D2-4043-BE8F-6D9C210E223F}" name="State" dataDxfId="4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456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826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J4" sqref="J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Greenbaker Capital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986677.52389999991</v>
      </c>
      <c r="D2" s="5">
        <f>SUM(D4:D79)</f>
        <v>1858006.6284</v>
      </c>
      <c r="E2" s="5">
        <f>C2-D2</f>
        <v>-871329.10450000013</v>
      </c>
      <c r="F2" s="6">
        <f>IFERROR(E2/D2, 0)</f>
        <v>-0.46895909367682648</v>
      </c>
      <c r="G2" s="5">
        <f>SUM(G4:G79)</f>
        <v>860568.16389999993</v>
      </c>
      <c r="H2" s="7">
        <f>C2-G2</f>
        <v>126109.35999999999</v>
      </c>
      <c r="I2" s="6">
        <f>IFERROR(H2/G2, 0)</f>
        <v>0.14654197690568321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986677.52389999991</v>
      </c>
      <c r="D4" s="12">
        <f>SUM('1st Qtr'!D4, '2nd Qtr'!D4, '3rd Qtr'!D4, '4th Qtr'!D4)</f>
        <v>1858006.6284</v>
      </c>
      <c r="E4" s="12">
        <f>IF(AND(ISNUMBER(C4),ISNUMBER(D4)), C4-D4, "")</f>
        <v>-871329.10450000013</v>
      </c>
      <c r="F4" s="13">
        <f>IFERROR(E4/D4, "")</f>
        <v>-0.46895909367682648</v>
      </c>
      <c r="G4" s="14">
        <f>SUM('1st Qtr'!G4, '2nd Qtr'!G4, '3rd Qtr'!G4, '4th Qtr'!G4)</f>
        <v>860568.16389999993</v>
      </c>
      <c r="H4" s="14">
        <f>SUM('1st Qtr'!H4, '2nd Qtr'!H4, '3rd Qtr'!H4, '4th Qtr'!H4)</f>
        <v>-691859.17610000004</v>
      </c>
      <c r="I4" s="15">
        <f>IFERROR(H4/G4, "")</f>
        <v>-0.80395627577549533</v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O39" sqref="O3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Greenbaker Capital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" x14ac:dyDescent="0.3">
      <c r="A5" s="20"/>
      <c r="B5" s="1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O11" sqref="O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Greenbaker Capital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I14" sqref="I1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Greenbaker Capital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986677.52389999991</v>
      </c>
      <c r="D2" s="5">
        <f>SUM(D4:D79)</f>
        <v>1858006.6284</v>
      </c>
      <c r="E2" s="5">
        <f>C2-D2</f>
        <v>-871329.10450000013</v>
      </c>
      <c r="F2" s="6">
        <f>IFERROR(E2/D2, 0)</f>
        <v>-0.46895909367682648</v>
      </c>
      <c r="G2" s="5">
        <f>SUM(G4:G79)</f>
        <v>860568.16389999993</v>
      </c>
      <c r="H2" s="7">
        <f>C2-G2</f>
        <v>126109.35999999999</v>
      </c>
      <c r="I2" s="6">
        <f>IFERROR(H2/G2, 0)</f>
        <v>0.14654197690568321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986677.52389999991</v>
      </c>
      <c r="D4" s="12">
        <f>SUM(Jul!D4, Aug!D4, Sep!D4)</f>
        <v>1858006.6284</v>
      </c>
      <c r="E4" s="12">
        <f>IF(AND(ISNUMBER(C4),ISNUMBER(D4)), C4-D4, "")</f>
        <v>-871329.10450000013</v>
      </c>
      <c r="F4" s="13">
        <f>IFERROR(E4/D4, "")</f>
        <v>-0.46895909367682648</v>
      </c>
      <c r="G4" s="14">
        <f>SUM(Jul!G4,Aug!H4,Sep!G4)</f>
        <v>860568.16389999993</v>
      </c>
      <c r="H4" s="14">
        <f>SUM(Jul!H4, Aug!H4, Sep!H4)</f>
        <v>-691859.17610000004</v>
      </c>
      <c r="I4" s="15">
        <f>IFERROR(H4/G4, "")</f>
        <v>-0.80395627577549533</v>
      </c>
    </row>
    <row r="5" spans="1:9" ht="15.6" x14ac:dyDescent="0.3">
      <c r="A5" s="16"/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16"/>
      <c r="B6" s="20"/>
      <c r="C6" s="20"/>
      <c r="D6" s="20"/>
      <c r="E6" s="20"/>
      <c r="F6" s="20"/>
      <c r="G6" s="20"/>
      <c r="H6" s="20"/>
      <c r="I6" s="20"/>
    </row>
    <row r="7" spans="1:9" ht="15.6" x14ac:dyDescent="0.3">
      <c r="A7" s="16"/>
      <c r="B7" s="20"/>
      <c r="C7" s="20"/>
      <c r="D7" s="20"/>
      <c r="E7" s="20"/>
      <c r="F7" s="20"/>
      <c r="G7" s="20"/>
      <c r="H7" s="20"/>
      <c r="I7" s="20"/>
    </row>
    <row r="8" spans="1:9" ht="15.6" x14ac:dyDescent="0.3">
      <c r="A8" s="16"/>
      <c r="B8" s="20"/>
      <c r="C8" s="20"/>
      <c r="D8" s="20"/>
      <c r="E8" s="20"/>
      <c r="F8" s="20"/>
      <c r="G8" s="20"/>
      <c r="H8" s="20"/>
      <c r="I8" s="20"/>
    </row>
    <row r="9" spans="1:9" ht="15.6" x14ac:dyDescent="0.3">
      <c r="A9" s="16"/>
      <c r="B9" s="20"/>
      <c r="C9" s="20"/>
      <c r="D9" s="20"/>
      <c r="E9" s="20"/>
      <c r="F9" s="20"/>
      <c r="G9" s="20"/>
      <c r="H9" s="20"/>
      <c r="I9" s="20"/>
    </row>
    <row r="10" spans="1:9" ht="15.6" x14ac:dyDescent="0.3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Greenbaker Capital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 x14ac:dyDescent="0.25">
      <c r="A5" s="16"/>
      <c r="B5" s="10"/>
      <c r="C5" s="40"/>
      <c r="D5" s="17"/>
      <c r="E5" s="17"/>
      <c r="F5" s="18"/>
      <c r="G5" s="19"/>
      <c r="H5" s="19"/>
      <c r="I5" s="18"/>
    </row>
    <row r="6" spans="1:9" ht="14.4" x14ac:dyDescent="0.3">
      <c r="A6" s="20"/>
      <c r="B6" s="10"/>
      <c r="C6" s="40"/>
      <c r="D6" s="17"/>
      <c r="E6" s="17"/>
      <c r="F6" s="18"/>
      <c r="G6" s="19"/>
      <c r="H6" s="19"/>
      <c r="I6" s="18"/>
    </row>
    <row r="7" spans="1:9" ht="14.4" x14ac:dyDescent="0.3">
      <c r="A7" s="20"/>
      <c r="B7" s="10"/>
      <c r="C7" s="40"/>
      <c r="D7" s="17"/>
      <c r="E7" s="17"/>
      <c r="F7" s="18"/>
      <c r="G7" s="19"/>
      <c r="H7" s="19"/>
      <c r="I7" s="18"/>
    </row>
    <row r="8" spans="1:9" ht="14.4" x14ac:dyDescent="0.3">
      <c r="A8" s="20"/>
      <c r="B8" s="10"/>
      <c r="C8" s="40"/>
      <c r="D8" s="17"/>
      <c r="E8" s="17"/>
      <c r="F8" s="18"/>
      <c r="G8" s="19"/>
      <c r="H8" s="19"/>
      <c r="I8" s="18"/>
    </row>
    <row r="9" spans="1:9" ht="14.4" x14ac:dyDescent="0.3">
      <c r="A9" s="20"/>
      <c r="B9" s="10"/>
      <c r="C9" s="40"/>
      <c r="D9" s="17"/>
      <c r="E9" s="17"/>
      <c r="F9" s="18"/>
      <c r="G9" s="19"/>
      <c r="H9" s="19"/>
      <c r="I9" s="18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Greenbaker Capital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 x14ac:dyDescent="0.25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conditionalFormatting sqref="F4:F78 I4:I78">
    <cfRule type="cellIs" dxfId="27" priority="1" stopIfTrue="1" operator="lessThanOrEqual">
      <formula>-0.1</formula>
    </cfRule>
    <cfRule type="expression" dxfId="26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6" ht="19.5" customHeight="1" x14ac:dyDescent="0.25">
      <c r="A1" s="60" t="str" cm="1">
        <f t="array" ref="A1">portfolio</f>
        <v>Greenbaker Capital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 x14ac:dyDescent="0.25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G8" sqref="G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5" ht="19.5" customHeight="1" x14ac:dyDescent="0.25">
      <c r="A1" s="60" t="str" cm="1">
        <f t="array" ref="A1">portfolio</f>
        <v>Greenbaker Capital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 x14ac:dyDescent="0.25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60" t="str" cm="1">
        <f t="array" ref="A1">portfolio</f>
        <v>Greenbaker Capital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 x14ac:dyDescent="0.25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topRight" activeCell="P4" activeCellId="10" sqref="H17 C4 D4 G4 J4 K4 L4 N4 M4 O4 P4"/>
      <selection pane="bottomLeft" activeCell="P4" activeCellId="10" sqref="H17 C4 D4 G4 J4 K4 L4 N4 M4 O4 P4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60" t="str" cm="1">
        <f t="array" ref="A1">portfolio</f>
        <v>Greenbaker Capital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 x14ac:dyDescent="0.25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topRight" activeCell="F13" sqref="F13"/>
      <selection pane="bottomLeft" activeCell="F13" sqref="F13"/>
      <selection pane="bottomRight" activeCell="A4" sqref="A4:XFD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3.88671875" customWidth="1"/>
    <col min="11" max="11" width="20.5546875" bestFit="1" customWidth="1"/>
    <col min="12" max="16" width="8.88671875" style="56"/>
  </cols>
  <sheetData>
    <row r="1" spans="1:16" ht="19.5" customHeight="1" x14ac:dyDescent="0.25">
      <c r="A1" s="60" t="str" cm="1">
        <f t="array" ref="A1">portfolio</f>
        <v>Greenbaker Capital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 x14ac:dyDescent="0.25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tabSelected="1" zoomScale="80" zoomScaleNormal="80"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0" t="str" cm="1">
        <f t="array" ref="A1">portfolio</f>
        <v>Greenbaker Capital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 x14ac:dyDescent="0.25">
      <c r="A2" s="62" t="s">
        <v>2</v>
      </c>
      <c r="B2" s="62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17" customHeight="1" x14ac:dyDescent="0.25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352821</v>
      </c>
      <c r="D4" s="12"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v>641267.71</v>
      </c>
      <c r="H4" s="14">
        <f>IF(AND(ISNUMBER(C4),ISNUMBER(G4)), C4-G4, "")</f>
        <v>-288446.70999999996</v>
      </c>
      <c r="I4" s="15">
        <f>IFERROR(H4/G4, "")</f>
        <v>-0.44980700805908341</v>
      </c>
      <c r="J4" s="36" t="s">
        <v>34</v>
      </c>
      <c r="K4" s="53" t="s">
        <v>35</v>
      </c>
      <c r="L4" s="54" t="s">
        <v>36</v>
      </c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7964" xr:uid="{2C5DA488-9AE7-4BAA-A29C-B39F0F735DF6}"/>
    <hyperlink ref="L4" r:id="rId2" display="https://us3.assetplanner.com/service_request?ID=105456" xr:uid="{4BDB2109-B2F6-4157-943D-C3C6949D6A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1"/>
  <sheetViews>
    <sheetView zoomScale="90" zoomScaleNormal="90" workbookViewId="0">
      <pane xSplit="2" ySplit="3" topLeftCell="I4" activePane="bottomRight" state="frozen"/>
      <selection pane="topRight" activeCell="F13" sqref="F13"/>
      <selection pane="bottomLeft" activeCell="F13" sqref="F13"/>
      <selection pane="bottomRight" activeCell="J12" sqref="J12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3" width="8.88671875" style="56"/>
  </cols>
  <sheetData>
    <row r="1" spans="1:13" ht="19.5" customHeight="1" x14ac:dyDescent="0.25">
      <c r="A1" s="60" t="str" cm="1">
        <f t="array" ref="A1">portfolio</f>
        <v>Greenbaker Capital</v>
      </c>
      <c r="B1" s="60"/>
      <c r="C1" s="60"/>
      <c r="D1" s="61" t="s">
        <v>37</v>
      </c>
      <c r="E1" s="61"/>
      <c r="F1" s="61"/>
      <c r="G1" s="59" t="s">
        <v>38</v>
      </c>
      <c r="H1" s="59"/>
      <c r="I1" s="59"/>
      <c r="J1" s="4"/>
      <c r="K1" s="4"/>
    </row>
    <row r="2" spans="1:13" ht="19.5" customHeight="1" x14ac:dyDescent="0.25">
      <c r="A2" s="62" t="s">
        <v>2</v>
      </c>
      <c r="B2" s="62"/>
      <c r="C2" s="5">
        <f>SUM(C4:C79)</f>
        <v>350363.52389999997</v>
      </c>
      <c r="D2" s="5">
        <f>SUM(D4:D79)</f>
        <v>633412.45799999998</v>
      </c>
      <c r="E2" s="5">
        <f>C2-D2</f>
        <v>-283048.93410000001</v>
      </c>
      <c r="F2" s="6">
        <f>IFERROR(E2/D2, 0)</f>
        <v>-0.44686354132302214</v>
      </c>
      <c r="G2" s="5">
        <f>SUM(G5:G79)</f>
        <v>0</v>
      </c>
      <c r="H2" s="7">
        <f>C2-G2</f>
        <v>350363.52389999997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15.2" x14ac:dyDescent="0.3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350363.52389999997</v>
      </c>
      <c r="D4" s="12">
        <v>633412.45799999998</v>
      </c>
      <c r="E4" s="12">
        <f>IF(AND(ISNUMBER(C4),ISNUMBER(D4)), C4-D4, "")</f>
        <v>-283048.93410000001</v>
      </c>
      <c r="F4" s="13">
        <f>IFERROR(E4/D4, "")</f>
        <v>-0.44686354132302214</v>
      </c>
      <c r="G4" s="14">
        <v>584166.03</v>
      </c>
      <c r="H4" s="14">
        <f>IF(AND(ISNUMBER(C4),ISNUMBER(G4)), C4-G4, "")</f>
        <v>-233802.50610000006</v>
      </c>
      <c r="I4" s="15">
        <f>IFERROR(H4/G4, "")</f>
        <v>-0.40023297160911608</v>
      </c>
      <c r="J4" s="36" t="s">
        <v>39</v>
      </c>
      <c r="K4" s="53" t="s">
        <v>40</v>
      </c>
      <c r="L4" s="54" t="s">
        <v>61</v>
      </c>
      <c r="M4" s="54" t="s">
        <v>36</v>
      </c>
    </row>
    <row r="5" spans="1:13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5" stopIfTrue="1" operator="lessThanOrEqual">
      <formula>-0.1</formula>
    </cfRule>
    <cfRule type="expression" dxfId="12" priority="6">
      <formula>AND(ISNUMBER(F2), F2&gt;=0.1)</formula>
    </cfRule>
  </conditionalFormatting>
  <conditionalFormatting sqref="G5">
    <cfRule type="cellIs" dxfId="11" priority="1" stopIfTrue="1" operator="lessThanOrEqual">
      <formula>-0.1</formula>
    </cfRule>
    <cfRule type="expression" dxfId="10" priority="2">
      <formula>AND(ISNUMBER(G5), G5&gt;=0.1)</formula>
    </cfRule>
  </conditionalFormatting>
  <hyperlinks>
    <hyperlink ref="K4" r:id="rId1" display="https://us3.assetplanner.com/service_request?ID=097964" xr:uid="{425FD9FB-AC8B-4907-B2B7-1EA2D92D554A}"/>
    <hyperlink ref="L4" r:id="rId2" display="https://us3.assetplanner.com/service_request?ID=106854" xr:uid="{539ABBBD-E2CF-4900-BEAD-75897C879431}"/>
    <hyperlink ref="M4" r:id="rId3" display="https://us3.assetplanner.com/service_request?ID=105456" xr:uid="{D2475A36-2975-4884-A979-DABD0577C20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21"/>
  <sheetViews>
    <sheetView zoomScale="80" zoomScaleNormal="80" workbookViewId="0">
      <pane xSplit="2" ySplit="3" topLeftCell="E4" activePane="bottomRight" state="frozen"/>
      <selection pane="topRight" activeCell="F13" sqref="F13"/>
      <selection pane="bottomLeft" activeCell="F13" sqref="F13"/>
      <selection pane="bottomRight" activeCell="I14" sqref="I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5" width="8.88671875" style="56"/>
  </cols>
  <sheetData>
    <row r="1" spans="1:14" ht="19.5" customHeight="1" x14ac:dyDescent="0.25">
      <c r="A1" s="60" t="str" cm="1">
        <f t="array" ref="A1">portfolio</f>
        <v>Greenbaker Capital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4" ht="19.5" customHeight="1" x14ac:dyDescent="0.25">
      <c r="A2" s="62" t="s">
        <v>2</v>
      </c>
      <c r="B2" s="62"/>
      <c r="C2" s="5">
        <f>SUM(C4:C79)</f>
        <v>283493</v>
      </c>
      <c r="D2" s="5">
        <f>SUM(D4:D79)</f>
        <v>493236.8088</v>
      </c>
      <c r="E2" s="5">
        <f>C2-D2</f>
        <v>-209743.8088</v>
      </c>
      <c r="F2" s="6">
        <f>IFERROR(E2/D2, 0)</f>
        <v>-0.42523957064414453</v>
      </c>
      <c r="G2" s="5">
        <f>SUM(G4:G79)</f>
        <v>453102.96</v>
      </c>
      <c r="H2" s="7">
        <f>C2-G2</f>
        <v>-169609.96000000002</v>
      </c>
      <c r="I2" s="6">
        <f>IFERROR(H2/G2, 0)</f>
        <v>-0.37432984326564545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2" x14ac:dyDescent="0.3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283493</v>
      </c>
      <c r="D4" s="12">
        <v>493236.8088</v>
      </c>
      <c r="E4" s="12">
        <f>IF(AND(ISNUMBER(C4),ISNUMBER(D4)), C4-D4, "")</f>
        <v>-209743.8088</v>
      </c>
      <c r="F4" s="13">
        <f>IFERROR(E4/D4, "")</f>
        <v>-0.42523957064414453</v>
      </c>
      <c r="G4" s="14">
        <v>453102.96</v>
      </c>
      <c r="H4" s="14">
        <f>IF(AND(ISNUMBER(C4),ISNUMBER(G4)), C4-G4, "")</f>
        <v>-169609.96000000002</v>
      </c>
      <c r="I4" s="15">
        <f>IFERROR(H4/G4, "")</f>
        <v>-0.37432984326564545</v>
      </c>
      <c r="J4" s="36" t="s">
        <v>43</v>
      </c>
      <c r="K4" s="53" t="s">
        <v>44</v>
      </c>
      <c r="L4" s="54" t="s">
        <v>61</v>
      </c>
      <c r="M4" s="54" t="s">
        <v>36</v>
      </c>
      <c r="N4" s="54" t="s">
        <v>62</v>
      </c>
    </row>
    <row r="5" spans="1:14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097964" xr:uid="{19CE0BCD-4E87-45B9-9E64-6845159A058C}"/>
    <hyperlink ref="L4" r:id="rId2" display="https://us3.assetplanner.com/service_request?ID=106854" xr:uid="{5E35EEE3-C991-4866-9F77-0F370F3C0B7E}"/>
    <hyperlink ref="M4" r:id="rId3" display="https://us3.assetplanner.com/service_request?ID=105456" xr:uid="{646C5602-3930-42C7-91DE-749B90C0F9BA}"/>
    <hyperlink ref="N4" r:id="rId4" display="https://us3.assetplanner.com/service_request?ID=108260" xr:uid="{145BE4F8-B291-4D99-BDF3-CEA2FE15086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Greenbaker Capital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7" priority="5" stopIfTrue="1" operator="lessThanOrEqual">
      <formula>-0.1</formula>
    </cfRule>
    <cfRule type="expression" dxfId="6" priority="6">
      <formula>AND(ISNUMBER(F2), F2&gt;=0.1)</formula>
    </cfRule>
  </conditionalFormatting>
  <conditionalFormatting sqref="F4:F79 I4:I79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Greenbaker Capital</v>
      </c>
      <c r="B1" s="60"/>
      <c r="C1" s="60"/>
      <c r="D1" s="61" t="s">
        <v>47</v>
      </c>
      <c r="E1" s="61"/>
      <c r="F1" s="61"/>
      <c r="G1" s="59" t="s">
        <v>48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Greenbaker Capital</v>
      </c>
      <c r="B1" s="60"/>
      <c r="C1" s="60"/>
      <c r="D1" s="61" t="s">
        <v>49</v>
      </c>
      <c r="E1" s="61"/>
      <c r="F1" s="61"/>
      <c r="G1" s="59" t="s">
        <v>50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0" sqref="B10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51</v>
      </c>
      <c r="B1" t="s">
        <v>52</v>
      </c>
    </row>
    <row r="3" spans="1:12" ht="13.2" x14ac:dyDescent="0.2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" x14ac:dyDescent="0.3">
      <c r="A4" s="44" t="s">
        <v>56</v>
      </c>
      <c r="B4" t="s">
        <v>57</v>
      </c>
      <c r="C4" s="42" t="s">
        <v>58</v>
      </c>
      <c r="D4" s="41" t="s">
        <v>59</v>
      </c>
      <c r="E4" t="s">
        <v>60</v>
      </c>
      <c r="G4" s="3"/>
    </row>
    <row r="5" spans="1:12" ht="14.4" x14ac:dyDescent="0.3">
      <c r="A5" s="44"/>
      <c r="C5" s="42"/>
      <c r="D5" s="41"/>
      <c r="G5" s="3"/>
    </row>
    <row r="6" spans="1:12" ht="14.4" x14ac:dyDescent="0.3">
      <c r="A6" s="44"/>
      <c r="C6" s="42"/>
      <c r="D6" s="41"/>
      <c r="G6" s="3"/>
    </row>
    <row r="7" spans="1:12" ht="12.75" customHeight="1" x14ac:dyDescent="0.25">
      <c r="A7" s="44"/>
      <c r="C7" s="42"/>
      <c r="D7" s="41"/>
    </row>
    <row r="8" spans="1:12" ht="12.75" customHeight="1" x14ac:dyDescent="0.25">
      <c r="A8" s="44"/>
      <c r="C8" s="42"/>
      <c r="D8" s="41"/>
    </row>
    <row r="9" spans="1:12" ht="12.75" customHeight="1" x14ac:dyDescent="0.25">
      <c r="A9" s="44"/>
      <c r="C9" s="42"/>
      <c r="D9" s="41"/>
    </row>
    <row r="10" spans="1:12" ht="12.75" customHeight="1" x14ac:dyDescent="0.25">
      <c r="A10" s="44"/>
      <c r="C10" s="42"/>
      <c r="D10" s="41"/>
      <c r="K10" s="38"/>
      <c r="L10" s="38"/>
    </row>
    <row r="11" spans="1:12" ht="12.75" customHeight="1" x14ac:dyDescent="0.25">
      <c r="A11" s="44"/>
      <c r="C11" s="42"/>
      <c r="D11" s="41"/>
      <c r="K11" s="38"/>
      <c r="L11" s="38"/>
    </row>
    <row r="12" spans="1:12" ht="12.75" customHeight="1" x14ac:dyDescent="0.25">
      <c r="A12" s="44"/>
      <c r="C12" s="42"/>
      <c r="D12" s="41"/>
      <c r="K12" s="38"/>
      <c r="L12" s="38"/>
    </row>
    <row r="13" spans="1:12" ht="12.75" customHeight="1" x14ac:dyDescent="0.25">
      <c r="A13" s="44"/>
      <c r="C13" s="42"/>
      <c r="D13" s="41"/>
      <c r="K13" s="38"/>
      <c r="L13" s="38"/>
    </row>
    <row r="14" spans="1:12" ht="12.75" customHeight="1" x14ac:dyDescent="0.25">
      <c r="A14" s="44"/>
      <c r="C14" s="42"/>
      <c r="D14" s="41"/>
      <c r="K14" s="38"/>
      <c r="L14" s="38"/>
    </row>
    <row r="15" spans="1:12" ht="12.75" customHeight="1" x14ac:dyDescent="0.25">
      <c r="A15" s="44"/>
      <c r="C15" s="42"/>
      <c r="D15" s="41"/>
      <c r="K15" s="38"/>
      <c r="L15" s="38"/>
    </row>
    <row r="16" spans="1:12" ht="12.75" customHeight="1" x14ac:dyDescent="0.25">
      <c r="A16" s="44"/>
      <c r="C16" s="42"/>
      <c r="D16" s="41"/>
      <c r="K16" s="38"/>
      <c r="L16" s="38"/>
    </row>
    <row r="17" spans="1:12" ht="12.75" customHeight="1" x14ac:dyDescent="0.25">
      <c r="A17" s="44"/>
      <c r="C17" s="42"/>
      <c r="D17" s="41"/>
      <c r="K17" s="38"/>
      <c r="L17" s="38"/>
    </row>
    <row r="18" spans="1:12" ht="12.75" customHeight="1" x14ac:dyDescent="0.25">
      <c r="A18" s="44"/>
      <c r="C18" s="42"/>
      <c r="D18" s="41"/>
      <c r="K18" s="38"/>
      <c r="L18" s="38"/>
    </row>
    <row r="19" spans="1:12" ht="12.75" customHeight="1" x14ac:dyDescent="0.25">
      <c r="A19" s="44"/>
      <c r="C19" s="42"/>
      <c r="D19" s="41"/>
      <c r="K19" s="38"/>
      <c r="L19" s="38"/>
    </row>
    <row r="20" spans="1:12" ht="12.75" customHeight="1" x14ac:dyDescent="0.25">
      <c r="A20" s="44"/>
      <c r="C20" s="42"/>
      <c r="D20" s="41"/>
      <c r="K20" s="38"/>
      <c r="L20" s="38"/>
    </row>
    <row r="21" spans="1:12" ht="12.75" customHeight="1" x14ac:dyDescent="0.25">
      <c r="A21" s="44"/>
      <c r="C21" s="42"/>
      <c r="D21" s="41"/>
      <c r="K21" s="38"/>
      <c r="L21" s="38"/>
    </row>
    <row r="22" spans="1:12" ht="12.75" customHeight="1" x14ac:dyDescent="0.25">
      <c r="A22" s="44"/>
      <c r="C22" s="42"/>
      <c r="D22" s="41"/>
      <c r="K22" s="38"/>
      <c r="L22" s="38"/>
    </row>
    <row r="23" spans="1:12" ht="12.75" customHeight="1" x14ac:dyDescent="0.25">
      <c r="A23" s="44"/>
      <c r="C23" s="42"/>
      <c r="D23" s="41"/>
      <c r="K23" s="38"/>
      <c r="L23" s="38"/>
    </row>
    <row r="24" spans="1:12" ht="12.75" customHeight="1" x14ac:dyDescent="0.25">
      <c r="A24" s="44"/>
      <c r="C24" s="42"/>
      <c r="D24" s="41"/>
      <c r="K24" s="38"/>
      <c r="L24" s="38"/>
    </row>
    <row r="25" spans="1:12" ht="12.75" customHeight="1" x14ac:dyDescent="0.25">
      <c r="A25" s="44"/>
      <c r="C25" s="42"/>
      <c r="D25" s="41"/>
      <c r="K25" s="38"/>
      <c r="L25" s="38"/>
    </row>
    <row r="26" spans="1:12" ht="12.75" customHeight="1" x14ac:dyDescent="0.25">
      <c r="K26" s="38"/>
      <c r="L26" s="38"/>
    </row>
    <row r="27" spans="1:12" ht="12.75" customHeight="1" x14ac:dyDescent="0.25">
      <c r="K27" s="38"/>
      <c r="L27" s="38"/>
    </row>
    <row r="28" spans="1:12" ht="12.75" customHeight="1" x14ac:dyDescent="0.25">
      <c r="K28" s="38"/>
      <c r="L28" s="38"/>
    </row>
    <row r="29" spans="1:12" ht="12.75" customHeight="1" x14ac:dyDescent="0.25">
      <c r="K29" s="38"/>
      <c r="L29" s="38"/>
    </row>
    <row r="30" spans="1:12" ht="12.75" customHeight="1" x14ac:dyDescent="0.25">
      <c r="K30" s="38"/>
      <c r="L30" s="38"/>
    </row>
    <row r="31" spans="1:12" ht="12.75" customHeight="1" x14ac:dyDescent="0.2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1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3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4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8BA0CC8B-6A71-4B6F-8F56-82CC4846B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2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2025-10-03T06:41:22Z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