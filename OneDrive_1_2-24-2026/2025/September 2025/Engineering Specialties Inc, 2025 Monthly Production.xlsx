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4" documentId="13_ncr:1_{F9D564ED-0D47-4339-A2B7-369FFB16B313}" xr6:coauthVersionLast="47" xr6:coauthVersionMax="47" xr10:uidLastSave="{96EFA507-3712-4732-98A1-3CFA2A2A47EE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<sst xmlns="http://schemas.openxmlformats.org/spreadsheetml/2006/main" count="248" uniqueCount="56">
  <si>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</si>
  <si>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</si>
  <si>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</si>
  <si>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</si>
  <si>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</si>
  <si>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</si>
  <si>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</si>
  <si>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</si>
  <si>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</si>
  <si>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</si>
  <si>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</si>
  <si>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</si>
  <si>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</si>
  <si>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</si>
  <si>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</si>
  <si>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</si>
  <si>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</si>
  <si>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</si>
  <si>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</si>
  <si>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</si>
  <si>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</si>
  <si>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</si>
  <si>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</si>
  <si>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</si>
  <si>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</si>
  <si>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</si>
  <si>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</si>
  <si>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</si>
  <si>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</si>
  <si>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N/A</t>
  </si>
  <si>
    <t>May Actual v. Expected</t>
  </si>
  <si>
    <t>May Actual v. Forecasted</t>
  </si>
  <si>
    <t>1. Site production was low on 05/05, 05/09, 05/21.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</si>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</sst>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SUM(C4:C65)</f>
        <v>131372</v>
      </c>
      <c r="D2" s="5">
        <f>SUM(D4:D65)</f>
        <v>0</v>
      </c>
      <c r="E2" s="5">
        <f>C2-D2</f>
        <v>131372</v>
      </c>
      <c r="F2" s="6">
        <f>IFERROR(E2/D2, 0)</f>
        <v>0</v>
      </c>
      <c r="G2" s="5">
        <f>SUM(G4:G65)</f>
        <v>127800.773</v>
      </c>
      <c r="H2" s="7">
        <f>C2-G2</f>
        <v>3571.226999999999</v>
      </c>
      <c r="I2" s="6">
        <f>IFERROR(H2/G2, 0)</f>
        <v>2.7943704221569918E-2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131372</v>
      </c>
      <c r="D4" s="11">
        <f>SUM('1st Qtr'!D4, '2nd Qtr'!D4, '3rd Qtr'!D4, '4th Qtr'!D4)</f>
        <v>0</v>
      </c>
      <c r="E4" s="11">
        <f>IF(AND(ISNUMBER(C4),ISNUMBER(D4)), C4-D4, "")</f>
        <v>131372</v>
      </c>
      <c r="F4" s="12" t="str">
        <f>IFERROR(E4/D4, "")</f>
        <v/>
      </c>
      <c r="G4" s="13">
        <f>SUM('1st Qtr'!G4, '2nd Qtr'!G4, '3rd Qtr'!G4, '4th Qtr'!G4)</f>
        <v>127800.773</v>
      </c>
      <c r="H4" s="13">
        <f>SUM('1st Qtr'!H4, '2nd Qtr'!H4, '3rd Qtr'!H4, '4th Qtr'!H4)</f>
        <v>3571.2270000000017</v>
      </c>
      <c r="I4" s="14">
        <f>IFERROR(H4/G4, "")</f>
        <v>2.7943704221569939E-2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8" sqref="G8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SUM(C4:C65)</f>
        <v>32548</v>
      </c>
      <c r="D2" s="5">
        <f>SUM(D4:D65)</f>
        <v>0</v>
      </c>
      <c r="E2" s="5">
        <f>C2-D2</f>
        <v>32548</v>
      </c>
      <c r="F2" s="6">
        <f>IFERROR(E2/D2, 0)</f>
        <v>0</v>
      </c>
      <c r="G2" s="5">
        <f>SUM(G4:G65)</f>
        <v>29519.472999999998</v>
      </c>
      <c r="H2" s="7">
        <f>C2-G2</f>
        <v>3028.5270000000019</v>
      </c>
      <c r="I2" s="6">
        <f>IFERROR(H2/G2, 0)</f>
        <v>0.10259420959174989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32548</v>
      </c>
      <c r="D4" s="11">
        <f>SUM(Jan!D4, Feb!D4, Mar!D4)</f>
        <v>0</v>
      </c>
      <c r="E4" s="11">
        <f>IF(AND(ISNUMBER(C4),ISNUMBER(D4)), C4-D4, "")</f>
        <v>32548</v>
      </c>
      <c r="F4" s="12" t="str">
        <f>IFERROR(E4/D4, "")</f>
        <v/>
      </c>
      <c r="G4" s="13">
        <f>SUM(Jan!G4, Feb!G4, Mar!G4)</f>
        <v>29519.472999999998</v>
      </c>
      <c r="H4" s="13">
        <f>SUM(Jan!H4, Feb!H4, Mar!H4)</f>
        <v>3028.527000000001</v>
      </c>
      <c r="I4" s="14">
        <f>IFERROR(H4/G4, "")</f>
        <v>0.10259420959174986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SUM(C4:C65)</f>
        <v>46910</v>
      </c>
      <c r="D2" s="5">
        <f>SUM(D4:D65)</f>
        <v>0</v>
      </c>
      <c r="E2" s="5">
        <f>C2-D2</f>
        <v>46910</v>
      </c>
      <c r="F2" s="6">
        <f>IFERROR(E2/D2, 0)</f>
        <v>0</v>
      </c>
      <c r="G2" s="5">
        <f>SUM(G4:G65)</f>
        <v>52783</v>
      </c>
      <c r="H2" s="7">
        <f>C2-G2</f>
        <v>-5873</v>
      </c>
      <c r="I2" s="6">
        <f>IFERROR(H2/G2, 0)</f>
        <v>-0.11126688517136199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46910</v>
      </c>
      <c r="D4" s="11">
        <f>SUM(Apr!D4, May!D4, Jun!D4)</f>
        <v>0</v>
      </c>
      <c r="E4" s="11">
        <f>IF(AND(ISNUMBER(C4),ISNUMBER(D4)), C4-D4, "")</f>
        <v>46910</v>
      </c>
      <c r="F4" s="12" t="str">
        <f>IFERROR(E4/D4, "")</f>
        <v/>
      </c>
      <c r="G4" s="13">
        <f>SUM(Apr!G4,May!G4,Jun!G4)</f>
        <v>52783</v>
      </c>
      <c r="H4" s="13">
        <f>SUM(Apr!H4, May!H4, Jun!H4)</f>
        <v>-5873</v>
      </c>
      <c r="I4" s="14">
        <f>IFERROR(H4/G4, "")</f>
        <v>-0.11126688517136199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tabSelected="1" workbookViewId="0">
      <pane xSplit="2" ySplit="3" topLeftCell="E19" activePane="bottomRight" state="frozen"/>
      <selection pane="bottomRight" activeCell="E19" sqref="E19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SUM(C4:C65)</f>
        <v>51914</v>
      </c>
      <c r="D2" s="5">
        <f>SUM(D4:D65)</f>
        <v>0</v>
      </c>
      <c r="E2" s="5">
        <f>C2-D2</f>
        <v>51914</v>
      </c>
      <c r="F2" s="6">
        <f>IFERROR(E2/D2, 0)</f>
        <v>0</v>
      </c>
      <c r="G2" s="5">
        <f>SUM(G4:G65)</f>
        <v>45498.3</v>
      </c>
      <c r="H2" s="7">
        <f>C2-G2</f>
        <v>6415.6999999999971</v>
      </c>
      <c r="I2" s="6">
        <f>IFERROR(H2/G2, 0)</f>
        <v>0.14100966409733984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51914</v>
      </c>
      <c r="D4" s="11">
        <f>SUM(Jul!D4, Aug!D4, Sep!D4)</f>
        <v>0</v>
      </c>
      <c r="E4" s="11">
        <f>IF(AND(ISNUMBER(C4),ISNUMBER(D4)), C4-D4, "")</f>
        <v>51914</v>
      </c>
      <c r="F4" s="12" t="str">
        <f>IFERROR(E4/D4, "")</f>
        <v/>
      </c>
      <c r="G4" s="13">
        <f>SUM(Jul!G4,Aug!G4,Sep!G4)</f>
        <v>45498.3</v>
      </c>
      <c r="H4" s="13">
        <f>SUM(Jul!H4, Aug!H4, Sep!H4)</f>
        <v>6415.7000000000007</v>
      </c>
      <c r="I4" s="14">
        <f>IFERROR(H4/G4, "")</f>
        <v>0.14100966409733992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E7" sqref="E7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ESI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I19" sqref="I19"/>
      <selection pane="topRight" activeCell="I19" sqref="I19"/>
    </sheetView>
  </sheetViews>
  <sheetFormatPr defaultRowHeight="13.9"/>
  <cols>
    <col min="1" max="1" width="38.140625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SUM(C4:C64)</f>
        <v>8617</v>
      </c>
      <c r="D2" s="5">
        <f>SUM(D4:D64)</f>
        <v>0</v>
      </c>
      <c r="E2" s="5">
        <f>C2-D2</f>
        <v>8617</v>
      </c>
      <c r="F2" s="6">
        <f>IFERROR(E2/D2, 0)</f>
        <v>0</v>
      </c>
      <c r="G2" s="5">
        <f>SUM(G4:G64)</f>
        <v>7703.19</v>
      </c>
      <c r="H2" s="7">
        <f>C2-G2</f>
        <v>913.8100000000004</v>
      </c>
      <c r="I2" s="6">
        <f>IFERROR(H2/G2, 0)</f>
        <v>0.11862747770728756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8" t="s">
        <v>5</v>
      </c>
      <c r="D3" s="39" t="s">
        <v>6</v>
      </c>
      <c r="E3" s="26" t="s">
        <v>7</v>
      </c>
      <c r="F3" s="27" t="s">
        <v>8</v>
      </c>
      <c r="G3" s="40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8617</v>
      </c>
      <c r="D4" s="11">
        <v>0</v>
      </c>
      <c r="E4" s="11">
        <f>IF(AND(ISNUMBER(C4),ISNUMBER(D4)), C4-D4, "")</f>
        <v>8617</v>
      </c>
      <c r="F4" s="12" t="str">
        <f>IFERROR(E4/D4, "")</f>
        <v/>
      </c>
      <c r="G4" s="13">
        <v>7703.19</v>
      </c>
      <c r="H4" s="13">
        <f>IF(AND(ISNUMBER(C4),ISNUMBER(G4)), C4-G4, "")</f>
        <v>913.8100000000004</v>
      </c>
      <c r="I4" s="14">
        <f>IFERROR(H4/G4, "")</f>
        <v>0.11862747770728756</v>
      </c>
      <c r="J4" s="31" t="s">
        <v>22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64 I4:I6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D4" activePane="bottomRight" state="frozen"/>
      <selection pane="bottomRight" activeCell="J4" sqref="J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23</v>
      </c>
      <c r="E1" s="43"/>
      <c r="F1" s="43"/>
      <c r="G1" s="41" t="s">
        <v>24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9479</v>
      </c>
      <c r="D2" s="5">
        <f>SUM(D4:D65)</f>
        <v>0</v>
      </c>
      <c r="E2" s="5">
        <f>C2-D2</f>
        <v>9479</v>
      </c>
      <c r="F2" s="6">
        <f>IFERROR(E2/D2, 0)</f>
        <v>0</v>
      </c>
      <c r="G2" s="5">
        <f>SUM(G4:G65)</f>
        <v>9219.4</v>
      </c>
      <c r="H2" s="7">
        <f>C2-G2</f>
        <v>259.60000000000036</v>
      </c>
      <c r="I2" s="6">
        <f>IFERROR(H2/G2, 0)</f>
        <v>2.8158014621341994E-2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7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9479</v>
      </c>
      <c r="D4" s="11">
        <v>0</v>
      </c>
      <c r="E4" s="11">
        <f>IF(AND(ISNUMBER(C4),ISNUMBER(D4)), C4-D4, "")</f>
        <v>9479</v>
      </c>
      <c r="F4" s="12" t="str">
        <f>IFERROR(E4/D4, "")</f>
        <v/>
      </c>
      <c r="G4" s="13">
        <v>9219.4</v>
      </c>
      <c r="H4" s="13">
        <f>IF(AND(ISNUMBER(C4),ISNUMBER(G4)), C4-G4, "")</f>
        <v>259.60000000000036</v>
      </c>
      <c r="I4" s="14">
        <f>IFERROR(H4/G4, "")</f>
        <v>2.8158014621341994E-2</v>
      </c>
      <c r="J4" s="31" t="s">
        <v>22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G4" sqref="G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25</v>
      </c>
      <c r="E1" s="43"/>
      <c r="F1" s="43"/>
      <c r="G1" s="41" t="s">
        <v>26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14452</v>
      </c>
      <c r="D2" s="5">
        <f>SUM(D4:D65)</f>
        <v>0</v>
      </c>
      <c r="E2" s="5">
        <f>C2-D2</f>
        <v>14452</v>
      </c>
      <c r="F2" s="6">
        <f>IFERROR(E2/D2, 0)</f>
        <v>0</v>
      </c>
      <c r="G2" s="5">
        <f>SUM(G4:G65)</f>
        <v>12596.883</v>
      </c>
      <c r="H2" s="7">
        <f>C2-G2</f>
        <v>1855.1170000000002</v>
      </c>
      <c r="I2" s="6">
        <f>IFERROR(H2/G2, 0)</f>
        <v>0.14726793921956727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14452</v>
      </c>
      <c r="D4" s="11">
        <v>0</v>
      </c>
      <c r="E4" s="11">
        <f>IF(AND(ISNUMBER(C4),ISNUMBER(D4)), C4-D4, "")</f>
        <v>14452</v>
      </c>
      <c r="F4" s="12" t="str">
        <f>IFERROR(E4/D4, "")</f>
        <v/>
      </c>
      <c r="G4" s="13">
        <v>12596.883</v>
      </c>
      <c r="H4" s="13">
        <f>IF(AND(ISNUMBER(C4),ISNUMBER(G4)), C4-G4, "")</f>
        <v>1855.1170000000002</v>
      </c>
      <c r="I4" s="14">
        <f>IFERROR(H4/G4, "")</f>
        <v>0.14726793921956727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I12" sqref="I12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27</v>
      </c>
      <c r="E1" s="43"/>
      <c r="F1" s="43"/>
      <c r="G1" s="41" t="s">
        <v>28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15647</v>
      </c>
      <c r="D2" s="5">
        <f>SUM(D4:D65)</f>
        <v>0</v>
      </c>
      <c r="E2" s="5">
        <f>C2-D2</f>
        <v>15647</v>
      </c>
      <c r="F2" s="6">
        <f>IFERROR(E2/D2, 0)</f>
        <v>0</v>
      </c>
      <c r="G2" s="5">
        <f>SUM(G4:G65)</f>
        <v>16335</v>
      </c>
      <c r="H2" s="7">
        <f>C2-G2</f>
        <v>-688</v>
      </c>
      <c r="I2" s="6">
        <f>IFERROR(H2/G2, 0)</f>
        <v>-4.2118151209060303E-2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15647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16335</v>
      </c>
      <c r="H4" s="13">
        <f>IF(AND(ISNUMBER(C4),ISNUMBER(G4)), C4-G4, "")</f>
        <v>-688</v>
      </c>
      <c r="I4" s="14">
        <f>IFERROR(H4/G4, "")</f>
        <v>-4.2118151209060303E-2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E4" activePane="bottomRight" state="frozen"/>
      <selection pane="bottomRight" activeCell="E10" sqref="E10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14773</v>
      </c>
      <c r="D2" s="5">
        <f>SUM(D4:D65)</f>
        <v>0</v>
      </c>
      <c r="E2" s="5">
        <f>C2-D2</f>
        <v>14773</v>
      </c>
      <c r="F2" s="6">
        <f>IFERROR(E2/D2, 0)</f>
        <v>0</v>
      </c>
      <c r="G2" s="5">
        <f>SUM(G4:G65)</f>
        <v>18226</v>
      </c>
      <c r="H2" s="7">
        <f>C2-G2</f>
        <v>-3453</v>
      </c>
      <c r="I2" s="6">
        <f>IFERROR(H2/G2, 0)</f>
        <v>-0.18945462526061671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14773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18226</v>
      </c>
      <c r="H4" s="13">
        <f>IF(AND(ISNUMBER(C4),ISNUMBER(G4)), C4-G4, "")</f>
        <v>-3453</v>
      </c>
      <c r="I4" s="14">
        <f>IFERROR(H4/G4, "")</f>
        <v>-0.18945462526061671</v>
      </c>
      <c r="J4" s="31" t="s">
        <v>32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J10" sqref="J10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33</v>
      </c>
      <c r="E1" s="43"/>
      <c r="F1" s="43"/>
      <c r="G1" s="41" t="s">
        <v>34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16490</v>
      </c>
      <c r="D2" s="5">
        <f>SUM(D4:D65)</f>
        <v>0</v>
      </c>
      <c r="E2" s="5">
        <f>C2-D2</f>
        <v>16490</v>
      </c>
      <c r="F2" s="6">
        <f>IFERROR(E2/D2, 0)</f>
        <v>0</v>
      </c>
      <c r="G2" s="5">
        <f>SUM(G4:G65)</f>
        <v>18222</v>
      </c>
      <c r="H2" s="7">
        <f>C2-G2</f>
        <v>-1732</v>
      </c>
      <c r="I2" s="6">
        <f>IFERROR(H2/G2, 0)</f>
        <v>-9.5049939633410158E-2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16490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18222</v>
      </c>
      <c r="H4" s="13">
        <f>IF(AND(ISNUMBER(C4),ISNUMBER(G4)), C4-G4, "")</f>
        <v>-1732</v>
      </c>
      <c r="I4" s="14">
        <f>IFERROR(H4/G4, "")</f>
        <v>-9.5049939633410158E-2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H4" sqref="H4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35</v>
      </c>
      <c r="E1" s="43"/>
      <c r="F1" s="43"/>
      <c r="G1" s="41" t="s">
        <v>36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18006</v>
      </c>
      <c r="D2" s="5">
        <f>SUM(D4:D65)</f>
        <v>0</v>
      </c>
      <c r="E2" s="5">
        <f>C2-D2</f>
        <v>18006</v>
      </c>
      <c r="F2" s="6">
        <f>IFERROR(E2/D2, 0)</f>
        <v>0</v>
      </c>
      <c r="G2" s="5">
        <f>SUM(G4:G65)</f>
        <v>17081.975999999999</v>
      </c>
      <c r="H2" s="7">
        <f>C2-G2</f>
        <v>924.02400000000125</v>
      </c>
      <c r="I2" s="6">
        <f>IFERROR(H2/G2, 0)</f>
        <v>5.4093507683186146E-2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18006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17081.975999999999</v>
      </c>
      <c r="H4" s="13">
        <f>IF(AND(ISNUMBER(C4),ISNUMBER(G4)), C4-G4, "")</f>
        <v>924.02400000000125</v>
      </c>
      <c r="I4" s="14">
        <f>IFERROR(H4/G4, "")</f>
        <v>5.4093507683186146E-2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G8" sqref="G8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37</v>
      </c>
      <c r="E1" s="43"/>
      <c r="F1" s="43"/>
      <c r="G1" s="41" t="s">
        <v>38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18726</v>
      </c>
      <c r="D2" s="5">
        <f>SUM(D4:D65)</f>
        <v>0</v>
      </c>
      <c r="E2" s="5">
        <f>C2-D2</f>
        <v>18726</v>
      </c>
      <c r="F2" s="6">
        <f>IFERROR(E2/D2, 0)</f>
        <v>0</v>
      </c>
      <c r="G2" s="5">
        <f>SUM(G4:G65)</f>
        <v>15638.369000000001</v>
      </c>
      <c r="H2" s="7">
        <f>C2-G2</f>
        <v>3087.6309999999994</v>
      </c>
      <c r="I2" s="6">
        <f>IFERROR(H2/G2, 0)</f>
        <v>0.1974394516461403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18726</v>
      </c>
      <c r="D4" s="11" t="s">
        <v>29</v>
      </c>
      <c r="E4" s="11" t="str">
        <f>IF(AND(ISNUMBER(C4),ISNUMBER(D4)), C4-D4, "")</f>
        <v/>
      </c>
      <c r="F4" s="12" t="str">
        <f>IFERROR(E4/D4, "")</f>
        <v/>
      </c>
      <c r="G4" s="13">
        <v>15638.369000000001</v>
      </c>
      <c r="H4" s="13">
        <f>IF(AND(ISNUMBER(C4),ISNUMBER(G4)), C4-G4, "")</f>
        <v>3087.6309999999994</v>
      </c>
      <c r="I4" s="14">
        <f>IFERROR(H4/G4, "")</f>
        <v>0.1974394516461403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39</v>
      </c>
      <c r="E1" s="43"/>
      <c r="F1" s="43"/>
      <c r="G1" s="41" t="s">
        <v>40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15182</v>
      </c>
      <c r="D2" s="5">
        <f>SUM(D4:D65)</f>
        <v>0</v>
      </c>
      <c r="E2" s="5">
        <f>C2-D2</f>
        <v>15182</v>
      </c>
      <c r="F2" s="6">
        <f>IFERROR(E2/D2, 0)</f>
        <v>0</v>
      </c>
      <c r="G2" s="5">
        <f>SUM(G4:G65)</f>
        <v>12777.955</v>
      </c>
      <c r="H2" s="7">
        <f>C2-G2</f>
        <v>2404.0450000000001</v>
      </c>
      <c r="I2" s="6">
        <f>IFERROR(H2/G2, 0)</f>
        <v>0.18814004275332008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15182</v>
      </c>
      <c r="D4" s="11">
        <v>0</v>
      </c>
      <c r="E4" s="11">
        <f>IF(AND(ISNUMBER(C4),ISNUMBER(D4)), C4-D4, "")</f>
        <v>15182</v>
      </c>
      <c r="F4" s="12" t="str">
        <f>IFERROR(E4/D4, "")</f>
        <v/>
      </c>
      <c r="G4" s="13">
        <v>12777.955</v>
      </c>
      <c r="H4" s="13">
        <f>IF(AND(ISNUMBER(C4),ISNUMBER(G4)), C4-G4, "")</f>
        <v>2404.0450000000001</v>
      </c>
      <c r="I4" s="14">
        <f>IFERROR(H4/G4, "")</f>
        <v>0.18814004275332008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41</v>
      </c>
      <c r="E1" s="43"/>
      <c r="F1" s="43"/>
      <c r="G1" s="41" t="s">
        <v>42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43</v>
      </c>
      <c r="E1" s="43"/>
      <c r="F1" s="43"/>
      <c r="G1" s="41" t="s">
        <v>44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I19" sqref="I19"/>
      <selection pane="bottomLeft" activeCell="I19" sqref="I19"/>
      <selection pane="topRight" activeCell="I19" sqref="I19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ESI</v>
      </c>
      <c r="B1" s="42"/>
      <c r="C1" s="42"/>
      <c r="D1" s="43" t="s">
        <v>45</v>
      </c>
      <c r="E1" s="43"/>
      <c r="F1" s="43"/>
      <c r="G1" s="41" t="s">
        <v>46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36" t="s">
        <v>48</v>
      </c>
      <c r="B4" t="s">
        <v>52</v>
      </c>
      <c r="C4" s="34" t="s">
        <v>53</v>
      </c>
      <c r="D4" s="33" t="s">
        <v>54</v>
      </c>
      <c r="E4" t="s">
        <v>55</v>
      </c>
      <c r="G4" s="3"/>
    </row>
    <row r="5" spans="1:12" ht="14.45">
      <c r="A5" s="36"/>
      <c r="C5" s="34"/>
      <c r="D5" s="33"/>
      <c r="G5" s="3"/>
    </row>
    <row r="6" spans="1:12" ht="14.4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3E616EB6-1D2F-49A2-B023-2EE35B3EC953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2025-10-29T23:15:49Z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48cbdea7-6746-491c-8ac3-9466bc8822c1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