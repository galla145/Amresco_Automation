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7F432E93-B025-44F5-A074-F6BCBC023D6C}" xr6:coauthVersionLast="47" xr6:coauthVersionMax="47" xr10:uidLastSave="{A66AF193-02AE-4E09-9E25-7C344DACEE22}"/>
  <bookViews>
    <workbookView xWindow="-108" yWindow="-108" windowWidth="23256" windowHeight="1389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28" l="1"/>
  <c r="L7" i="28"/>
  <c r="L8" i="28"/>
  <c r="L9" i="28"/>
  <c r="L10" i="28"/>
  <c r="L11" i="28"/>
  <c r="L12" i="28"/>
  <c r="L13" i="28"/>
  <c r="L14" i="28"/>
  <c r="L15" i="28"/>
  <c r="L16" i="28"/>
  <c r="L17" i="28"/>
  <c r="L18" i="28"/>
  <c r="L19" i="28"/>
  <c r="L20" i="28"/>
  <c r="L21" i="28"/>
  <c r="L22" i="28"/>
  <c r="L23" i="28"/>
  <c r="L5" i="28"/>
  <c r="L4" i="28"/>
  <c r="K4" i="27"/>
  <c r="K23" i="28"/>
  <c r="H23" i="28"/>
  <c r="E23" i="28"/>
  <c r="I6" i="28"/>
  <c r="I7" i="28"/>
  <c r="I8" i="28"/>
  <c r="I9" i="28"/>
  <c r="I10" i="28"/>
  <c r="I11" i="28"/>
  <c r="I12" i="28"/>
  <c r="I13" i="28"/>
  <c r="I14" i="28"/>
  <c r="I15" i="28"/>
  <c r="I23" i="28"/>
  <c r="I5" i="28"/>
  <c r="I4" i="28"/>
  <c r="F6" i="28"/>
  <c r="F7" i="28"/>
  <c r="F8" i="28"/>
  <c r="F9" i="28"/>
  <c r="F10" i="28"/>
  <c r="F11" i="28"/>
  <c r="F12" i="28"/>
  <c r="F13" i="28"/>
  <c r="F14" i="28"/>
  <c r="F15" i="28"/>
  <c r="F16" i="28"/>
  <c r="F17" i="28"/>
  <c r="F18" i="28"/>
  <c r="F19" i="28"/>
  <c r="F20" i="28"/>
  <c r="F21" i="28"/>
  <c r="F22" i="28"/>
  <c r="F5" i="28"/>
  <c r="F4" i="28"/>
  <c r="F2" i="18"/>
  <c r="F5" i="29"/>
  <c r="F6" i="29"/>
  <c r="F7" i="29"/>
  <c r="F8" i="29"/>
  <c r="F9" i="29"/>
  <c r="F10" i="29"/>
  <c r="F11" i="29"/>
  <c r="F12" i="29"/>
  <c r="F13" i="29"/>
  <c r="F14" i="29"/>
  <c r="F15" i="29"/>
  <c r="F16" i="29"/>
  <c r="F17" i="29"/>
  <c r="F18" i="29"/>
  <c r="F19" i="29"/>
  <c r="F20" i="29"/>
  <c r="F21" i="29"/>
  <c r="F22" i="29"/>
  <c r="F23" i="29"/>
  <c r="F4" i="29"/>
  <c r="I5" i="29"/>
  <c r="I6" i="29"/>
  <c r="I7" i="29"/>
  <c r="I8" i="29"/>
  <c r="I9" i="29"/>
  <c r="I10" i="29"/>
  <c r="I11" i="29"/>
  <c r="I12" i="29"/>
  <c r="I13" i="29"/>
  <c r="I14" i="29"/>
  <c r="I15" i="29"/>
  <c r="I16" i="29"/>
  <c r="I17" i="29"/>
  <c r="I18" i="29"/>
  <c r="I19" i="29"/>
  <c r="I20" i="29"/>
  <c r="I21" i="29"/>
  <c r="I22" i="29"/>
  <c r="I23" i="29"/>
  <c r="I4" i="29"/>
  <c r="I2" i="18"/>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G16" i="1" s="1"/>
  <c r="H16" i="1" s="1"/>
  <c r="F17" i="1"/>
  <c r="F18" i="1"/>
  <c r="F19" i="1"/>
  <c r="F20" i="1"/>
  <c r="F21" i="1"/>
  <c r="F22" i="1"/>
  <c r="I23" i="34"/>
  <c r="D5" i="29"/>
  <c r="D6" i="29"/>
  <c r="D7" i="29"/>
  <c r="D8" i="29"/>
  <c r="D9" i="29"/>
  <c r="D10" i="29"/>
  <c r="D11" i="29"/>
  <c r="D12" i="29"/>
  <c r="D13" i="29"/>
  <c r="D14" i="29"/>
  <c r="D15" i="29"/>
  <c r="D16" i="29"/>
  <c r="D17" i="29"/>
  <c r="D18" i="29"/>
  <c r="D19" i="29"/>
  <c r="D20" i="29"/>
  <c r="D21" i="29"/>
  <c r="D22" i="29"/>
  <c r="D23" i="29"/>
  <c r="D4" i="29"/>
  <c r="J6" i="27"/>
  <c r="J7" i="27"/>
  <c r="J8" i="27"/>
  <c r="J9" i="27"/>
  <c r="J10" i="27"/>
  <c r="J11" i="27"/>
  <c r="J12" i="27"/>
  <c r="J13" i="27"/>
  <c r="J14" i="27"/>
  <c r="J15" i="27"/>
  <c r="J16" i="27"/>
  <c r="J17" i="27"/>
  <c r="J18" i="27"/>
  <c r="J19" i="27"/>
  <c r="J20" i="27"/>
  <c r="J21" i="27"/>
  <c r="J22" i="27"/>
  <c r="J23" i="27"/>
  <c r="K23" i="27" s="1"/>
  <c r="J5" i="27"/>
  <c r="J5" i="26"/>
  <c r="J4" i="27"/>
  <c r="J4" i="26"/>
  <c r="G6" i="27"/>
  <c r="G7" i="27"/>
  <c r="G8" i="27"/>
  <c r="G9" i="27"/>
  <c r="G10" i="27"/>
  <c r="G11" i="27"/>
  <c r="G12" i="27"/>
  <c r="G13" i="27"/>
  <c r="G14" i="27"/>
  <c r="G15" i="27"/>
  <c r="G16" i="27"/>
  <c r="G17" i="27"/>
  <c r="G18" i="27"/>
  <c r="G19" i="27"/>
  <c r="G20" i="27"/>
  <c r="G21" i="27"/>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5" i="28"/>
  <c r="E4" i="28"/>
  <c r="E23" i="20"/>
  <c r="E23" i="19"/>
  <c r="E4" i="30"/>
  <c r="E5" i="30"/>
  <c r="E6" i="30"/>
  <c r="E7" i="30"/>
  <c r="E8" i="30"/>
  <c r="E9" i="30"/>
  <c r="E10" i="30"/>
  <c r="E11" i="30"/>
  <c r="E12" i="30"/>
  <c r="E13" i="30"/>
  <c r="E14" i="30"/>
  <c r="E15" i="30"/>
  <c r="E16" i="30"/>
  <c r="E17" i="30"/>
  <c r="E18" i="30"/>
  <c r="E19" i="30"/>
  <c r="E20" i="30"/>
  <c r="E21" i="30"/>
  <c r="E22" i="30"/>
  <c r="E23" i="30"/>
  <c r="E23" i="18"/>
  <c r="C6" i="29"/>
  <c r="E6" i="29"/>
  <c r="G6" i="29"/>
  <c r="H6" i="29"/>
  <c r="J6" i="29"/>
  <c r="C7" i="29"/>
  <c r="E7" i="29" s="1"/>
  <c r="C8" i="29"/>
  <c r="G8" i="29"/>
  <c r="H8" i="29" s="1"/>
  <c r="C9" i="29"/>
  <c r="J9" i="29" s="1"/>
  <c r="C10" i="29"/>
  <c r="J10" i="29" s="1"/>
  <c r="C11" i="29"/>
  <c r="G11" i="29"/>
  <c r="H11" i="29"/>
  <c r="C12" i="29"/>
  <c r="G12" i="29"/>
  <c r="H12" i="29" s="1"/>
  <c r="C13" i="29"/>
  <c r="G13" i="29"/>
  <c r="H13" i="29"/>
  <c r="C14" i="29"/>
  <c r="G14" i="29"/>
  <c r="H14" i="29" s="1"/>
  <c r="C15" i="29"/>
  <c r="C16" i="29"/>
  <c r="C17" i="29"/>
  <c r="C18" i="29"/>
  <c r="C19" i="29"/>
  <c r="C20" i="29"/>
  <c r="C21" i="29"/>
  <c r="E21" i="29" s="1"/>
  <c r="G21" i="29"/>
  <c r="H21" i="29"/>
  <c r="J21" i="29"/>
  <c r="J21" i="34" s="1"/>
  <c r="K21" i="29"/>
  <c r="C22" i="29"/>
  <c r="J22" i="29" s="1"/>
  <c r="E22" i="29"/>
  <c r="G22" i="29"/>
  <c r="H22" i="29" s="1"/>
  <c r="C23" i="29"/>
  <c r="G23" i="29"/>
  <c r="H23" i="29"/>
  <c r="J23" i="29"/>
  <c r="G6" i="26"/>
  <c r="G7" i="26"/>
  <c r="G8" i="26"/>
  <c r="G9" i="26"/>
  <c r="G10" i="26"/>
  <c r="G11" i="26"/>
  <c r="G12" i="26"/>
  <c r="G13" i="26"/>
  <c r="G14" i="26"/>
  <c r="G15" i="26"/>
  <c r="G16" i="26"/>
  <c r="G17" i="26"/>
  <c r="G18" i="26"/>
  <c r="G19" i="26"/>
  <c r="G20" i="26"/>
  <c r="G21" i="26"/>
  <c r="G22" i="26"/>
  <c r="G23" i="26"/>
  <c r="G4" i="20"/>
  <c r="H23" i="26"/>
  <c r="J6" i="26"/>
  <c r="J7" i="26"/>
  <c r="J8" i="26"/>
  <c r="J9" i="26"/>
  <c r="J10" i="26"/>
  <c r="J11" i="26"/>
  <c r="J12" i="26"/>
  <c r="J13" i="26"/>
  <c r="J14" i="26"/>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C23" i="34"/>
  <c r="F23" i="34"/>
  <c r="F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30"/>
  <c r="D8" i="30"/>
  <c r="D10" i="30"/>
  <c r="D12" i="30"/>
  <c r="D14" i="30"/>
  <c r="D16" i="30"/>
  <c r="D18" i="30"/>
  <c r="D20" i="30"/>
  <c r="D22" i="30"/>
  <c r="D4" i="30"/>
  <c r="D6" i="1"/>
  <c r="D7" i="1"/>
  <c r="D8" i="1"/>
  <c r="D9" i="1"/>
  <c r="D10" i="1"/>
  <c r="D11" i="1"/>
  <c r="D12" i="1"/>
  <c r="D13" i="1"/>
  <c r="D14" i="1"/>
  <c r="D15" i="1"/>
  <c r="D16" i="1"/>
  <c r="D17" i="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D2" i="28"/>
  <c r="K22" i="28"/>
  <c r="H22" i="28"/>
  <c r="I22" i="28"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F22" i="18"/>
  <c r="C22" i="18"/>
  <c r="H22" i="21"/>
  <c r="H22" i="4"/>
  <c r="K22" i="4"/>
  <c r="J22" i="3"/>
  <c r="J23" i="3"/>
  <c r="G22" i="3"/>
  <c r="H22" i="3" s="1"/>
  <c r="C22" i="1"/>
  <c r="J22" i="72"/>
  <c r="K22" i="72" s="1"/>
  <c r="G22" i="72"/>
  <c r="H22" i="72" s="1"/>
  <c r="G21" i="72"/>
  <c r="H21" i="72" s="1"/>
  <c r="C16" i="30"/>
  <c r="F16" i="30"/>
  <c r="C17" i="30"/>
  <c r="F17" i="30"/>
  <c r="C18" i="30"/>
  <c r="F18" i="30"/>
  <c r="C19" i="30"/>
  <c r="F19" i="30"/>
  <c r="K19" i="31"/>
  <c r="C20" i="30"/>
  <c r="F20" i="30"/>
  <c r="C21" i="30"/>
  <c r="F21" i="30"/>
  <c r="C16" i="18"/>
  <c r="F16" i="18"/>
  <c r="C17" i="18"/>
  <c r="F17" i="18"/>
  <c r="C18" i="18"/>
  <c r="F18" i="18"/>
  <c r="C19" i="18"/>
  <c r="F19" i="18"/>
  <c r="C20" i="18"/>
  <c r="F20" i="18"/>
  <c r="C21" i="18"/>
  <c r="E21" i="18" s="1"/>
  <c r="F21" i="18"/>
  <c r="C16" i="1"/>
  <c r="C17" i="1"/>
  <c r="C18" i="1"/>
  <c r="C19" i="1"/>
  <c r="C20" i="1"/>
  <c r="C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I16" i="28" s="1"/>
  <c r="K16" i="28"/>
  <c r="H17" i="28"/>
  <c r="I17" i="28" s="1"/>
  <c r="K17" i="28"/>
  <c r="H18" i="28"/>
  <c r="I18" i="28" s="1"/>
  <c r="K18" i="28"/>
  <c r="H19" i="28"/>
  <c r="I19" i="28" s="1"/>
  <c r="K19" i="28"/>
  <c r="H20" i="28"/>
  <c r="I20" i="28" s="1"/>
  <c r="K20" i="28"/>
  <c r="H21" i="28"/>
  <c r="I21" i="28" s="1"/>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3"/>
  <c r="G17" i="3"/>
  <c r="H17" i="3" s="1"/>
  <c r="J17" i="3"/>
  <c r="J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B4" i="34" a="1"/>
  <c r="B4" i="34" s="1"/>
  <c r="A4" i="34" a="1"/>
  <c r="A4" i="34" s="1"/>
  <c r="A1" i="34" a="1"/>
  <c r="A1" i="34" s="1"/>
  <c r="F15" i="30"/>
  <c r="C15" i="30"/>
  <c r="F14" i="30"/>
  <c r="C14" i="30"/>
  <c r="F13" i="30"/>
  <c r="C13" i="30"/>
  <c r="F12" i="30"/>
  <c r="C12" i="30"/>
  <c r="F11" i="30"/>
  <c r="C11" i="30"/>
  <c r="F10" i="30"/>
  <c r="C10" i="30"/>
  <c r="F9" i="30"/>
  <c r="C9" i="30"/>
  <c r="F8" i="30"/>
  <c r="C8" i="30"/>
  <c r="F7" i="30"/>
  <c r="C7" i="30"/>
  <c r="F6" i="30"/>
  <c r="C6" i="30"/>
  <c r="F5" i="30"/>
  <c r="C5" i="30"/>
  <c r="F4" i="30"/>
  <c r="C4" i="30"/>
  <c r="C5" i="29"/>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G12" i="1"/>
  <c r="H12" i="1" s="1"/>
  <c r="G14" i="1"/>
  <c r="H14" i="1" s="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G2" i="28"/>
  <c r="C2" i="28"/>
  <c r="A1" i="28" a="1"/>
  <c r="A1" i="28"/>
  <c r="K15" i="27"/>
  <c r="K14" i="27"/>
  <c r="K13" i="27"/>
  <c r="K11" i="27"/>
  <c r="K10" i="27"/>
  <c r="K9" i="27"/>
  <c r="K8" i="27"/>
  <c r="K7" i="27"/>
  <c r="K6" i="27"/>
  <c r="K5"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J16" i="18"/>
  <c r="J2" i="31"/>
  <c r="K2" i="31" s="1"/>
  <c r="L2" i="31"/>
  <c r="M2" i="28"/>
  <c r="H2" i="28"/>
  <c r="I2" i="28" s="1"/>
  <c r="J2" i="27"/>
  <c r="K2" i="27" s="1"/>
  <c r="J2" i="26"/>
  <c r="K2" i="26"/>
  <c r="L2" i="26"/>
  <c r="M2" i="19"/>
  <c r="K20" i="72"/>
  <c r="K18" i="72"/>
  <c r="K19" i="72"/>
  <c r="K17" i="72"/>
  <c r="K9" i="26"/>
  <c r="K12" i="26"/>
  <c r="K7" i="26"/>
  <c r="J7" i="18"/>
  <c r="J10" i="1"/>
  <c r="K10" i="1" s="1"/>
  <c r="J6" i="1"/>
  <c r="G2" i="31"/>
  <c r="H2" i="31" s="1"/>
  <c r="G2" i="26"/>
  <c r="H2" i="26" s="1"/>
  <c r="J2" i="72"/>
  <c r="K2" i="72" s="1"/>
  <c r="G2" i="72"/>
  <c r="H2" i="72"/>
  <c r="I2" i="29" l="1"/>
  <c r="F2" i="29"/>
  <c r="K22" i="29"/>
  <c r="J22" i="34"/>
  <c r="E20" i="29"/>
  <c r="J20" i="29"/>
  <c r="G20" i="29"/>
  <c r="H20" i="29" s="1"/>
  <c r="J18" i="29"/>
  <c r="G18" i="29"/>
  <c r="H18" i="29" s="1"/>
  <c r="J17" i="29"/>
  <c r="G17" i="29"/>
  <c r="H17" i="29" s="1"/>
  <c r="E15" i="29"/>
  <c r="G15" i="29"/>
  <c r="H15" i="29" s="1"/>
  <c r="E13" i="29"/>
  <c r="E11" i="29"/>
  <c r="K10" i="29"/>
  <c r="J10" i="34"/>
  <c r="G10" i="29"/>
  <c r="H10" i="29" s="1"/>
  <c r="K9" i="29"/>
  <c r="J9" i="34"/>
  <c r="G9" i="29"/>
  <c r="H9" i="29" s="1"/>
  <c r="E8" i="29"/>
  <c r="K6" i="29"/>
  <c r="J6" i="34"/>
  <c r="K2" i="28"/>
  <c r="L2" i="28" s="1"/>
  <c r="E2" i="28"/>
  <c r="K23" i="29"/>
  <c r="J23" i="34"/>
  <c r="K23" i="34"/>
  <c r="G19" i="29"/>
  <c r="H19" i="29" s="1"/>
  <c r="J8" i="29"/>
  <c r="K16" i="1"/>
  <c r="G22" i="1"/>
  <c r="K17" i="1"/>
  <c r="K16" i="18"/>
  <c r="K18" i="18"/>
  <c r="J19" i="29"/>
  <c r="E14" i="29"/>
  <c r="E10" i="29"/>
  <c r="J7" i="29"/>
  <c r="J14" i="29"/>
  <c r="J16" i="29"/>
  <c r="D16" i="34"/>
  <c r="J13" i="29"/>
  <c r="G7" i="29"/>
  <c r="H7" i="29" s="1"/>
  <c r="J15" i="29"/>
  <c r="E18" i="29"/>
  <c r="E9" i="29"/>
  <c r="J12" i="29"/>
  <c r="E19" i="29"/>
  <c r="G16" i="29"/>
  <c r="H16" i="29" s="1"/>
  <c r="E17" i="29"/>
  <c r="E12" i="29"/>
  <c r="J11" i="29"/>
  <c r="E16" i="29"/>
  <c r="D23" i="34"/>
  <c r="E23" i="34" s="1"/>
  <c r="D15" i="34"/>
  <c r="D17" i="34"/>
  <c r="L2" i="27"/>
  <c r="E2" i="27"/>
  <c r="B4" i="27"/>
  <c r="J4" i="29"/>
  <c r="G4" i="29"/>
  <c r="H4" i="29" s="1"/>
  <c r="E5" i="29"/>
  <c r="J5" i="29"/>
  <c r="J5" i="34" s="1"/>
  <c r="G2" i="27"/>
  <c r="H2" i="27" s="1"/>
  <c r="G23" i="34"/>
  <c r="H23" i="34" s="1"/>
  <c r="E23" i="29"/>
  <c r="B4" i="26"/>
  <c r="G5" i="29"/>
  <c r="H5" i="29" s="1"/>
  <c r="E4" i="29"/>
  <c r="D2"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J14" i="1"/>
  <c r="K14" i="1" s="1"/>
  <c r="K6" i="1"/>
  <c r="J5" i="1"/>
  <c r="K5" i="1"/>
  <c r="G4" i="1"/>
  <c r="H4" i="1" s="1"/>
  <c r="E9" i="1"/>
  <c r="G7" i="1"/>
  <c r="H7" i="1" s="1"/>
  <c r="G18" i="1"/>
  <c r="H18" i="1" s="1"/>
  <c r="E2" i="3"/>
  <c r="E18" i="1"/>
  <c r="G5" i="1"/>
  <c r="H5" i="1" s="1"/>
  <c r="E6" i="1"/>
  <c r="J18" i="1"/>
  <c r="K18" i="1" s="1"/>
  <c r="E14" i="1"/>
  <c r="E17" i="1"/>
  <c r="J21" i="1"/>
  <c r="G6" i="1"/>
  <c r="H6" i="1" s="1"/>
  <c r="E15" i="1"/>
  <c r="J22" i="1"/>
  <c r="J4" i="1"/>
  <c r="K4" i="1" s="1"/>
  <c r="G2" i="3"/>
  <c r="H2" i="3" s="1"/>
  <c r="K22" i="3"/>
  <c r="J2" i="3"/>
  <c r="K2" i="3" s="1"/>
  <c r="D2" i="30"/>
  <c r="C2" i="29"/>
  <c r="J2" i="29" s="1"/>
  <c r="D2" i="18"/>
  <c r="G6" i="18"/>
  <c r="H6" i="18" s="1"/>
  <c r="E17" i="18"/>
  <c r="E18" i="18"/>
  <c r="G7" i="18"/>
  <c r="H7" i="18" s="1"/>
  <c r="E19" i="18"/>
  <c r="E20" i="1"/>
  <c r="E11" i="1"/>
  <c r="E19" i="1"/>
  <c r="E12" i="1"/>
  <c r="E13" i="1"/>
  <c r="E21" i="1"/>
  <c r="D2" i="1"/>
  <c r="G19" i="1"/>
  <c r="H19" i="1" s="1"/>
  <c r="C9" i="34"/>
  <c r="C13" i="34"/>
  <c r="C20" i="34"/>
  <c r="G10" i="1"/>
  <c r="H10" i="1" s="1"/>
  <c r="E22" i="1"/>
  <c r="C22" i="34"/>
  <c r="F2" i="1"/>
  <c r="G4" i="18"/>
  <c r="H4" i="18" s="1"/>
  <c r="I17" i="34"/>
  <c r="K8" i="18"/>
  <c r="F17" i="34"/>
  <c r="F22" i="34"/>
  <c r="F20" i="34"/>
  <c r="J8" i="1"/>
  <c r="K8" i="1" s="1"/>
  <c r="K15" i="1"/>
  <c r="G10" i="18"/>
  <c r="H10" i="18" s="1"/>
  <c r="G14" i="18"/>
  <c r="H14" i="18" s="1"/>
  <c r="F19" i="34"/>
  <c r="J22" i="18"/>
  <c r="K22" i="18" s="1"/>
  <c r="F5" i="34"/>
  <c r="K16" i="72"/>
  <c r="K4" i="20"/>
  <c r="K12" i="27"/>
  <c r="C6" i="34"/>
  <c r="F9" i="34"/>
  <c r="F13"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H21" i="33"/>
  <c r="G21" i="1"/>
  <c r="H21" i="1" s="1"/>
  <c r="G22" i="30"/>
  <c r="H22" i="30" s="1"/>
  <c r="F10" i="34"/>
  <c r="F14" i="34"/>
  <c r="I20" i="34"/>
  <c r="J22" i="30"/>
  <c r="C7" i="34"/>
  <c r="C11" i="34"/>
  <c r="I16" i="34"/>
  <c r="C19" i="34"/>
  <c r="F16" i="34"/>
  <c r="E2" i="32"/>
  <c r="M2" i="4"/>
  <c r="I13" i="34"/>
  <c r="C4" i="34"/>
  <c r="F7" i="34"/>
  <c r="F11" i="34"/>
  <c r="F15" i="34"/>
  <c r="G20" i="30"/>
  <c r="H20" i="30" s="1"/>
  <c r="F21" i="34"/>
  <c r="C16" i="34"/>
  <c r="E16" i="34" s="1"/>
  <c r="C12" i="34"/>
  <c r="C21" i="34"/>
  <c r="F18" i="34"/>
  <c r="C17" i="34"/>
  <c r="K2" i="4"/>
  <c r="L2" i="4" s="1"/>
  <c r="I14" i="34"/>
  <c r="C5" i="34"/>
  <c r="F8" i="34"/>
  <c r="F12" i="34"/>
  <c r="E2" i="33"/>
  <c r="G10" i="30"/>
  <c r="H10" i="30" s="1"/>
  <c r="G19" i="30"/>
  <c r="H19" i="30" s="1"/>
  <c r="K17" i="33"/>
  <c r="H22" i="33"/>
  <c r="K15" i="33"/>
  <c r="I22" i="30"/>
  <c r="I22" i="34" s="1"/>
  <c r="K22" i="33"/>
  <c r="K20" i="33"/>
  <c r="I18" i="30"/>
  <c r="I18" i="34" s="1"/>
  <c r="G17" i="30"/>
  <c r="H17" i="30" s="1"/>
  <c r="J12" i="30"/>
  <c r="I8" i="30"/>
  <c r="I8" i="34" s="1"/>
  <c r="J10" i="30"/>
  <c r="J14" i="30"/>
  <c r="K14" i="30" s="1"/>
  <c r="G8" i="30"/>
  <c r="H8" i="30" s="1"/>
  <c r="K16" i="33"/>
  <c r="J7" i="30"/>
  <c r="C8" i="34"/>
  <c r="G6" i="30"/>
  <c r="H6" i="30" s="1"/>
  <c r="I7" i="30"/>
  <c r="I7" i="34" s="1"/>
  <c r="I9" i="30"/>
  <c r="I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J21" i="30"/>
  <c r="J4" i="30"/>
  <c r="G16" i="30"/>
  <c r="H16" i="30" s="1"/>
  <c r="C18" i="34"/>
  <c r="B4" i="33"/>
  <c r="I6" i="30"/>
  <c r="I6" i="34" s="1"/>
  <c r="K6" i="34" s="1"/>
  <c r="J9" i="30"/>
  <c r="G2" i="33"/>
  <c r="H2" i="33" s="1"/>
  <c r="K13" i="33"/>
  <c r="G13" i="30"/>
  <c r="H13" i="30" s="1"/>
  <c r="C15" i="34"/>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K20" i="29" l="1"/>
  <c r="J20" i="34"/>
  <c r="K19" i="29"/>
  <c r="J19" i="34"/>
  <c r="K18" i="29"/>
  <c r="J18" i="34"/>
  <c r="K17" i="29"/>
  <c r="J17" i="34"/>
  <c r="K16" i="29"/>
  <c r="J16" i="34"/>
  <c r="K15" i="29"/>
  <c r="J15" i="34"/>
  <c r="K14" i="29"/>
  <c r="J14" i="34"/>
  <c r="K13" i="29"/>
  <c r="J13" i="34"/>
  <c r="K12" i="29"/>
  <c r="J12" i="34"/>
  <c r="K11" i="29"/>
  <c r="J11" i="34"/>
  <c r="K8" i="29"/>
  <c r="J8" i="34"/>
  <c r="K7" i="29"/>
  <c r="J7" i="34"/>
  <c r="G2" i="29"/>
  <c r="H2" i="29" s="1"/>
  <c r="E11" i="34"/>
  <c r="K10" i="34"/>
  <c r="E19" i="34"/>
  <c r="K9" i="34"/>
  <c r="E17" i="34"/>
  <c r="K22" i="34"/>
  <c r="K15" i="34"/>
  <c r="E15" i="34"/>
  <c r="E5" i="34"/>
  <c r="E7" i="34"/>
  <c r="E9" i="34"/>
  <c r="E14" i="34"/>
  <c r="E13" i="34"/>
  <c r="E8" i="34"/>
  <c r="E21" i="34"/>
  <c r="E2" i="29"/>
  <c r="E4" i="34"/>
  <c r="E22" i="34"/>
  <c r="D2" i="34"/>
  <c r="E18" i="34"/>
  <c r="E10" i="34"/>
  <c r="E6" i="34"/>
  <c r="G9" i="34"/>
  <c r="H9" i="34" s="1"/>
  <c r="E12" i="34"/>
  <c r="K8" i="34"/>
  <c r="K14" i="34"/>
  <c r="K18" i="34"/>
  <c r="K17" i="34"/>
  <c r="K21" i="34"/>
  <c r="G13" i="34"/>
  <c r="H13" i="34" s="1"/>
  <c r="G6" i="34"/>
  <c r="H6" i="34" s="1"/>
  <c r="G20" i="34"/>
  <c r="H20" i="34" s="1"/>
  <c r="E20" i="34"/>
  <c r="E2" i="30"/>
  <c r="K7" i="34"/>
  <c r="G7" i="34"/>
  <c r="H7" i="34" s="1"/>
  <c r="E2" i="18"/>
  <c r="G17" i="34"/>
  <c r="H17" i="34" s="1"/>
  <c r="G11" i="34"/>
  <c r="H11" i="34" s="1"/>
  <c r="G22" i="34"/>
  <c r="H22" i="34" s="1"/>
  <c r="G16" i="34"/>
  <c r="H16" i="34" s="1"/>
  <c r="G19" i="34"/>
  <c r="H19" i="34" s="1"/>
  <c r="J2" i="18"/>
  <c r="K2" i="18" s="1"/>
  <c r="E2" i="1"/>
  <c r="G21" i="34"/>
  <c r="H21" i="34" s="1"/>
  <c r="K19" i="34"/>
  <c r="G18" i="34"/>
  <c r="H18" i="34" s="1"/>
  <c r="G5" i="34"/>
  <c r="H5" i="34" s="1"/>
  <c r="G8" i="34"/>
  <c r="H8" i="34" s="1"/>
  <c r="K2" i="29"/>
  <c r="G10" i="34"/>
  <c r="H10" i="34" s="1"/>
  <c r="K13" i="34"/>
  <c r="I11" i="34"/>
  <c r="K11" i="34" s="1"/>
  <c r="K16" i="34"/>
  <c r="G14" i="34"/>
  <c r="H14" i="34" s="1"/>
  <c r="J2" i="1"/>
  <c r="K2" i="1" s="1"/>
  <c r="G2" i="1"/>
  <c r="H2" i="1" s="1"/>
  <c r="G15" i="34"/>
  <c r="H15" i="34" s="1"/>
  <c r="G12" i="34"/>
  <c r="H12" i="34" s="1"/>
  <c r="I12" i="34"/>
  <c r="K12" i="34" s="1"/>
  <c r="K20" i="34"/>
  <c r="G2" i="18"/>
  <c r="H2" i="18" s="1"/>
  <c r="K18" i="30"/>
  <c r="K10" i="30"/>
  <c r="K8" i="30"/>
  <c r="K22" i="30"/>
  <c r="K21" i="30"/>
  <c r="K11" i="30"/>
  <c r="K9" i="30"/>
  <c r="K7" i="30"/>
  <c r="K4" i="30"/>
  <c r="C2" i="34"/>
  <c r="K5" i="30"/>
  <c r="I5" i="34"/>
  <c r="I2" i="30"/>
  <c r="J2" i="30" s="1"/>
  <c r="K2" i="30" s="1"/>
  <c r="K12" i="30"/>
  <c r="K6" i="30"/>
  <c r="G2" i="30"/>
  <c r="H2" i="30" s="1"/>
  <c r="G4" i="34"/>
  <c r="H4" i="34" s="1"/>
  <c r="F2" i="34"/>
  <c r="E2" i="34" l="1"/>
  <c r="G2" i="34"/>
  <c r="H2" i="34" s="1"/>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<sst xmlns="http://schemas.openxmlformats.org/spreadsheetml/2006/main" count="629" uniqueCount="348">
  <si>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</si>
  <si>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</si>
  <si>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</si>
  <si>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</si>
  <si>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</si>
  <si>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</si>
  <si>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</si>
  <si>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</si>
  <si>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</si>
  <si>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</si>
  <si>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</si>
  <si>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</si>
  <si>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</si>
  <si>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</si>
  <si>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</si>
  <si>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</si>
  <si>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</si>
  <si>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</si>
  <si>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</si>
  <si>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</si>
  <si>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</si>
  <si>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</si>
  <si>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</si>
  <si>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</si>
  <si>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</si>
  <si>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</si>
  <si>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</si>
  <si>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</si>
  <si>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</si>
  <si>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</si>
  <si>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</si>
  <si>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</si>
  <si>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</si>
  <si>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</si>
  <si>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</si>
  <si>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</si>
  <si>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</si>
  <si>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</si>
  <si>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</si>
  <si>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</si>
  <si>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</si>
  <si>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</si>
  <si>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</si>
  <si>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</si>
  <si>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</si>
  <si>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</si>
  <si>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</si>
  <si>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</si>
  <si>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</si>
  <si>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</si>
  <si>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</si>
  <si>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</si>
  <si>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</si>
  <si>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</si>
  <si>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</si>
  <si>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</si>
  <si>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</si>
  <si>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</si>
  <si>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</si>
  <si>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</si>
  <si>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</si>
  <si>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</si>
  <si>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</si>
  <si>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</si>
  <si>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</si>
  <si>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</si>
  <si>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</si>
  <si>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</si>
  <si>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</si>
  <si>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</si>
  <si>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</si>
  <si>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</si>
  <si>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</si>
  <si>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</si>
  <si>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</si>
  <si>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</si>
  <si>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</si>
  <si>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</si>
  <si>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</si>
  <si>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</si>
  <si>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</si>
  <si>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</si>
  <si>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</si>
  <si>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</si>
  <si>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</si>
  <si>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</si>
  <si>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</si>
  <si>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</si>
  <si>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</si>
  <si>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</si>
  <si>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</si>
  <si>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</si>
  <si>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</si>
  <si>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</si>
  <si>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</si>
  <si>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</si>
  <si>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</si>
  <si>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</si>
  <si>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</si>
  <si>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</si>
  <si>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</si>
  <si>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</si>
  <si>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</si>
  <si>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</si>
  <si>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</si>
  <si>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</si>
  <si>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</si>
  <si>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</si>
  <si>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</si>
  <si>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</si>
  <si>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</si>
  <si>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</si>
  <si>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</si>
  <si>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</si>
  <si>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</si>
  <si>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</si>
  <si>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</si>
  <si>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</si>
  <si>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</si>
  <si>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</si>
  <si>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</si>
  <si>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</si>
  <si>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</si>
  <si>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</si>
  <si>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</si>
  <si>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</si>
  <si>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</si>
  <si>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</si>
  <si>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</si>
  <si>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</si>
  <si>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</si>
  <si>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</si>
  <si>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</si>
  <si>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</si>
  <si>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</si>
  <si>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</si>
  <si>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</si>
  <si>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</si>
  <si>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</si>
  <si>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</si>
  <si>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</si>
  <si>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</si>
  <si>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</si>
  <si>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</si>
  <si>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</si>
  <si>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</si>
  <si>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</si>
  <si>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</si>
  <si>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</si>
  <si>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</si>
  <si>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</si>
  <si>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</si>
  <si>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</si>
  <si>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</si>
  <si>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</si>
  <si>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</si>
  <si>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</si>
  <si>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</si>
  <si>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</si>
  <si>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</si>
  <si>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</si>
  <si>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</si>
  <si>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</si>
  <si>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</si>
  <si>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</si>
  <si>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</si>
  <si>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</si>
  <si>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</si>
  <si>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</si>
  <si>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</si>
  <si>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</si>
  <si>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</si>
  <si>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</si>
  <si>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</si>
  <si>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</si>
  <si>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</si>
  <si>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</si>
  <si>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</si>
  <si>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</si>
  <si>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</si>
  <si>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</si>
  <si>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</si>
  <si>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</si>
  <si>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</si>
  <si>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</si>
  <si>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</si>
  <si>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</si>
  <si>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</si>
  <si>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</si>
  <si>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</si>
  <si>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</si>
  <si>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</si>
  <si>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</si>
  <si>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</si>
  <si>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</si>
  <si>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</si>
  <si>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</si>
  <si>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</si>
  <si>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</si>
  <si>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</si>
  <si>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</si>
  <si>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</si>
  <si>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</si>
  <si>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</si>
  <si>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</si>
  <si>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</si>
  <si>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</si>
  <si>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</si>
  <si>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</si>
  <si>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</si>
  <si>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</si>
  <si>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</si>
  <si>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</si>
  <si>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</si>
  <si>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</si>
  <si>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</si>
  <si>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</si>
  <si>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</si>
  <si>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</si>
  <si>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</si>
  <si>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</si>
  <si>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</si>
  <si>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</si>
  <si>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</si>
  <si>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</si>
  <si>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</si>
  <si>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</si>
  <si>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</si>
  <si>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</si>
  <si>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</si>
  <si>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</si>
  <si>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</si>
  <si>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</si>
  <si>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</si>
  <si>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</si>
  <si>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</si>
  <si>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1. The weather station has been reporting erroneous values. Its graph shows continuous fluctuations throughout the day, indicating inconsistent readings. on 08/25 technician replaced Irradiance sensor and it is reporting as expected.
2.  Inverters 2, 3 and 6 has tripped offline at 17:15 on 08/23. All inverters are reporting "Steady state GFCI fault" and later back online at 07:00 on 08/24.
3. Inverter 1 has tripped offline at 21:40 on 08/26 and reporting "ARC protection"  and remained offline throughout the month.</t>
  </si>
  <si>
    <t>1. SR099622
2. SR106793
3. SR107034</t>
  </si>
  <si>
    <t>SR106793</t>
  </si>
  <si>
    <t>SR107034</t>
  </si>
  <si>
    <t>1. Due to seasonal changes, the performance of Inverter 6 has gradually decreased since August. A similar trend was also observed last year.</t>
  </si>
  <si>
    <t>1. Inverter 1 has tripped offline at 11:55 on 08/26. during a storm and reporting  "GFCI fault" and later back online at 07:00 on 08/27.</t>
  </si>
  <si>
    <t>1. SR106951</t>
  </si>
  <si>
    <t xml:space="preserve">1. The weather station has been reporting erroneous values  from 04/07. Its graph shows continuous fluctuations throughout the day, indicating inconsistent readings. On 08/06 technician recycled the reference cell and it is reporting as expected.
</t>
  </si>
  <si>
    <t>1. All inverters experiencing shading issue during evening hours.
2.  Inverter 4 has tripped offline at 16:00 on 08/24 and reporting "Bus Differential fault" and later self resolved and back online at 07:00 on 08/25.</t>
  </si>
  <si>
    <t>1. SR105795
2. SR106807</t>
  </si>
  <si>
    <t>SR106807</t>
  </si>
  <si>
    <t>1. Inverters 5 is underperforming by 3 kW. On 07/24 . The powerhead on Inverter 5 needs to be RMA'd.</t>
  </si>
  <si>
    <t>1. SR099433, 
SR104106, SR105254</t>
  </si>
  <si>
    <t>1. The site was offline at 22:50 on 08/07 due to potential breaker trip and later back online at 14:05 on 08/08.</t>
  </si>
  <si>
    <t>1. SR105911</t>
  </si>
  <si>
    <t>1. Inverter 3.4 was tripped offline at 16:50 on 07/27 and later back online at 11:15 on 08/13.
2. Inverter 5-1 is down a string (6kW) at 12:00 on 08/14.</t>
  </si>
  <si>
    <t>1. SR105142
2. SR107053</t>
  </si>
  <si>
    <t>SR107053</t>
  </si>
  <si>
    <t xml:space="preserve">1. Site is producing as expected possibly the issue is with the estimated value.
</t>
  </si>
  <si>
    <t>1. Inverter 5.4 didn't start for production and reporting " ARC Protection" since 02/22/25 and it's under RMA'd.
2. Inverter 1.3 is underperforming by about 10 kW compared to its peers since 03/25/25.</t>
  </si>
  <si>
    <t>1. Inverters 4, 6 and 8 have heavy morning shading issue until 10:00 AM.</t>
  </si>
  <si>
    <t>1. Inverter 1 is underperforming by 3 kW and is independent mode. Will be investigate in next month.
2. Inverter 13 has tripped offline at 12:25 on 08/20 and reporting " 0260 Error Code" and later back online at 15:00 on 08/26.</t>
  </si>
  <si>
    <t xml:space="preserve"> 1. SR104095, 
SR099435
2. SR106602</t>
  </si>
  <si>
    <t>SR106602</t>
  </si>
  <si>
    <t>1. Meter 2 Phase A current is approximately 65 amps lower than the Phase B and C currents, resulting in an 18% variance between total inverter power and meter power. Waiting for parts.
2.  inverters 9 to 34 not started for production and  reporting "Grid Line Voltage Out of Range" and later self resolved and back online at 11:05 on 08/07.</t>
  </si>
  <si>
    <t>1. SR100428, SR104327
2. SR105814</t>
  </si>
  <si>
    <t>SR104327</t>
  </si>
  <si>
    <t>SR105814</t>
  </si>
  <si>
    <t xml:space="preserve">1. Weather station is heavily shaded until around 10am each morning. On 08/19 technician installed replacement cable and sensors and weather station is reporting as expected.
</t>
  </si>
  <si>
    <t xml:space="preserve">1. Meter 1  had sustained thermal damage. The breaker and feeders connected 
to the meter were burnt and require replacement. on 08/26  meter 1 and inverters online are back online at 18:25. 
2.  Inverter 5.3 is intermittently derating in the morning since 08/15. on scheduled during PM on 09/18
</t>
  </si>
  <si>
    <t>1. SR102064
2. SR106356</t>
  </si>
  <si>
    <t>SR106356</t>
  </si>
  <si>
    <t>Q3 Production Vs PPA</t>
  </si>
  <si>
    <t>September Actual v. Expected</t>
  </si>
  <si>
    <t>September Actual v. Forecasted</t>
  </si>
  <si>
    <t>1. Inverter 1 was offline from 21:45 on 08/26 and came back online at 12:05 on 09/11.</t>
  </si>
  <si>
    <t>1. SR107034</t>
  </si>
  <si>
    <t>1.Weather station fluctuating alternate days on 09/03, 09/10 ,09/ 11 , 09/18 to 09/20 , 09/25,09/26 , 09/30 due to incosistent weather</t>
  </si>
  <si>
    <t xml:space="preserve">1. All inverters experiencing shading issue during evening hours.
2. Inverter 4 tripped offline at 10:00 on 09/07 and came back online at 06:30 on 09/08. It tripped offline again at 08:15 on 09/09 and came back online at 07:00 on 09/10. The inverter went offline again on 09/19 and came back online at 07:00 on 09/20, then went offline again on 09/25 and came back online at 07:00 on 09/26. It went offline once more on 09/30.
3. Inverter 5 was offline from 06:30 to 15:30 on 09/07, inverter tripped offline at 14:45 on 09/09 and came back online at 08:00 on 09/10, inverter again tripped offline at 12:15 on 09/10 and came back online at 17:30 on 09/10, inverter went offline on 09/19 and came back online at 10:15 on 09/20, inverter started for production late at 13:45 on 09/26. </t>
  </si>
  <si>
    <t>1. SR105795
2. SR106807, SR108584
3. SR108619, SR106807</t>
  </si>
  <si>
    <t>SR108584</t>
  </si>
  <si>
    <t>SR108619</t>
  </si>
  <si>
    <t>1. Inverters 5 is underperforming by 3 kW. On 07/24 . The powerhead on Inverter 5 needs to be RMA'd.
2. Inverter 17 tripped offline at 12:10 on 09/09 and came back online at 10:00 on 09/10. Since 09/18, it has been intermittently tripping on and offline daily and remained offline for several hours on 09/23.</t>
  </si>
  <si>
    <t>1. SR099433, SR104106, SR105254
2. SR107710</t>
  </si>
  <si>
    <t>SR107710</t>
  </si>
  <si>
    <t>1.Weather sttaion lost communication on 09/05 at 12:05 and came back online on 09/15 at 12:05</t>
  </si>
  <si>
    <t>1. Inverter 5-1 was down a string from 12:00 on 08/14 and resumed operating along with its peers from 18:10 on 09/24.</t>
  </si>
  <si>
    <t>1. SR107053</t>
  </si>
  <si>
    <t>1. Inverter 5.4 didn't start for production and reporting " ARC Protection" since 02/22/25 and it's under RMA'd.
2. Inverter 1.3 is underperforming by about 10 kW compared to its peers since 03/25/25.
3. Inverter 4.2 tripped offline at 12:15 on 09/16 and came back online at 15:00 on 09/24.</t>
  </si>
  <si>
    <t>1. SR097653
2. SR098986
3. SR108046</t>
  </si>
  <si>
    <t>SR108046</t>
  </si>
  <si>
    <t>1. All inverters experiencing morning shading issue.</t>
  </si>
  <si>
    <t>1. Inverter 12 experiencing morning to afternoon shading and inverter 14 had evening shading.</t>
  </si>
  <si>
    <t>1. Inverters 3 and 4 had morning shading.</t>
  </si>
  <si>
    <t>1. Inverter 3 was offline from 07:00 on 09/13 to 10:00 on 09/14.
2. Inverters 35 through 47 were offline for whole month and the breaker is LOTO's.
3. Meter 2 Phase A current is approximately 65 amps lower than the Phase B and C currents, resulting in an 18% variance between total inverter power and meter power. Waiting for parts.</t>
  </si>
  <si>
    <t>1. SR107928
2. SR107287
3. SR100428, SR104327</t>
  </si>
  <si>
    <t>SR107287</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</si>
  <si>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</si>
  <si>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4.1 was offline from 12:45 on 09/23 to end of the month.
2. Inverter 5.3 was derating intermittently.</t>
  </si>
  <si>
    <t>1. SR108432
2. SR106356</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</si>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</sst>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3">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
      <sz val="11"/>
      <color rgb="FF000000"/>
      <name val="Calibri"/>
    </font>
    <font>
      <b/>
      <sz val="11"/>
      <color rgb="FF000000"/>
      <name val="Calibri"/>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3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49" fontId="41" fillId="38" borderId="0" xfId="2" applyNumberFormat="1" applyFont="1" applyFill="1" applyBorder="1" applyAlignment="1">
      <alignment horizontal="left" vertical="top" wrapText="1"/>
    </xf>
    <xf numFmtId="165" fontId="28" fillId="47" borderId="0" xfId="1" applyNumberFormat="1" applyFont="1" applyFill="1" applyBorder="1" applyAlignment="1">
      <alignment horizontal="center" vertical="center" wrapText="1"/>
    </xf>
    <xf numFmtId="0" fontId="0" fillId="0" borderId="0" xfId="0" applyAlignment="1">
      <alignment vertical="top"/>
    </xf>
    <xf numFmtId="49" fontId="39" fillId="0" borderId="0" xfId="45" applyNumberFormat="1" applyAlignment="1">
      <alignment horizontal="lef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107053" TargetMode="External"/><Relationship Id="rId18" Type="http://schemas.openxmlformats.org/officeDocument/2006/relationships/hyperlink" Target="https://us3.assetplanner.com/service_request?ID=106602" TargetMode="External"/><Relationship Id="rId3" Type="http://schemas.openxmlformats.org/officeDocument/2006/relationships/hyperlink" Target="https://us3.assetplanner.com/service_request?ID=107034" TargetMode="External"/><Relationship Id="rId21" Type="http://schemas.openxmlformats.org/officeDocument/2006/relationships/hyperlink" Target="https://us3.assetplanner.com/service_request?ID=104327"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5142" TargetMode="External"/><Relationship Id="rId17" Type="http://schemas.openxmlformats.org/officeDocument/2006/relationships/hyperlink" Target="https://us3.assetplanner.com/service_request?ID=099435" TargetMode="External"/><Relationship Id="rId25"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6793" TargetMode="External"/><Relationship Id="rId16" Type="http://schemas.openxmlformats.org/officeDocument/2006/relationships/hyperlink" Target="https://us3.assetplanner.com/service_request?ID=104095" TargetMode="External"/><Relationship Id="rId20" Type="http://schemas.openxmlformats.org/officeDocument/2006/relationships/hyperlink" Target="https://us3.assetplanner.com/service_request?ID=100428"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5795" TargetMode="External"/><Relationship Id="rId11" Type="http://schemas.openxmlformats.org/officeDocument/2006/relationships/hyperlink" Target="https://us3.assetplanner.com/service_request?ID=105911" TargetMode="External"/><Relationship Id="rId24" Type="http://schemas.openxmlformats.org/officeDocument/2006/relationships/hyperlink" Target="https://us3.assetplanner.com/service_request?ID=102064" TargetMode="External"/><Relationship Id="rId5" Type="http://schemas.openxmlformats.org/officeDocument/2006/relationships/hyperlink" Target="https://us3.assetplanner.com/service_request?ID=099861" TargetMode="External"/><Relationship Id="rId15" Type="http://schemas.openxmlformats.org/officeDocument/2006/relationships/hyperlink" Target="https://us3.assetplanner.com/service_request?ID=098986" TargetMode="External"/><Relationship Id="rId23" Type="http://schemas.openxmlformats.org/officeDocument/2006/relationships/hyperlink" Target="https://us3.assetplanner.com/service_request?ID=099704"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1090" TargetMode="External"/><Relationship Id="rId4" Type="http://schemas.openxmlformats.org/officeDocument/2006/relationships/hyperlink" Target="https://us3.assetplanner.com/service_request?ID=106951"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7653" TargetMode="External"/><Relationship Id="rId22" Type="http://schemas.openxmlformats.org/officeDocument/2006/relationships/hyperlink" Target="https://us3.assetplanner.com/service_request?ID=105814"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097653"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5795" TargetMode="External"/><Relationship Id="rId21" Type="http://schemas.openxmlformats.org/officeDocument/2006/relationships/hyperlink" Target="https://us3.assetplanner.com/service_request?ID=106356"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7053" TargetMode="External"/><Relationship Id="rId17" Type="http://schemas.openxmlformats.org/officeDocument/2006/relationships/hyperlink" Target="https://us3.assetplanner.com/service_request?ID=107287" TargetMode="External"/><Relationship Id="rId2" Type="http://schemas.openxmlformats.org/officeDocument/2006/relationships/hyperlink" Target="https://us3.assetplanner.com/service_request?ID=099434" TargetMode="External"/><Relationship Id="rId16" Type="http://schemas.openxmlformats.org/officeDocument/2006/relationships/hyperlink" Target="https://us3.assetplanner.com/service_request?ID=107928" TargetMode="External"/><Relationship Id="rId20" Type="http://schemas.openxmlformats.org/officeDocument/2006/relationships/hyperlink" Target="https://us3.assetplanner.com/service_request?ID=108432" TargetMode="External"/><Relationship Id="rId1" Type="http://schemas.openxmlformats.org/officeDocument/2006/relationships/hyperlink" Target="https://us3.assetplanner.com/service_request?ID=1070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7710"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08046"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4327" TargetMode="External"/><Relationship Id="rId4" Type="http://schemas.openxmlformats.org/officeDocument/2006/relationships/hyperlink" Target="https://us3.assetplanner.com/service_request?ID=106807"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8986"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C23" sqref="C23"/>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2" t="str" cm="1">
        <f t="array" ref="A1">portfolio</f>
        <v>CITI</v>
      </c>
      <c r="B1" s="132"/>
      <c r="C1" s="132"/>
      <c r="D1" s="76" t="s">
        <v>0</v>
      </c>
      <c r="E1" s="76" t="s">
        <v>1</v>
      </c>
      <c r="F1" s="133" t="s">
        <v>2</v>
      </c>
      <c r="G1" s="133"/>
      <c r="H1" s="133"/>
      <c r="I1" s="131" t="s">
        <v>3</v>
      </c>
      <c r="J1" s="131"/>
      <c r="K1" s="131"/>
    </row>
    <row r="2" spans="1:11" ht="19.5" customHeight="1">
      <c r="A2" s="134" t="s">
        <v>4</v>
      </c>
      <c r="B2" s="134"/>
      <c r="C2" s="6">
        <f>SUM(C4:C100)</f>
        <v>19458737.73</v>
      </c>
      <c r="D2" s="6">
        <f>SUM(D4:D22)</f>
        <v>19837571.690000001</v>
      </c>
      <c r="E2" s="7">
        <f>C2/D2</f>
        <v>0.98090320902578165</v>
      </c>
      <c r="F2" s="6">
        <f>SUM(F4:F100)</f>
        <v>19587977.938999999</v>
      </c>
      <c r="G2" s="6">
        <f>C2-F2</f>
        <v>-129240.20899999887</v>
      </c>
      <c r="H2" s="7">
        <f>IFERROR(G2/F2, 0)</f>
        <v>-6.5979351928245437E-3</v>
      </c>
      <c r="I2" s="6">
        <f>SUM(I4:I100)</f>
        <v>22022686.932000004</v>
      </c>
      <c r="J2" s="8">
        <f>C2-I2</f>
        <v>-2563949.2020000033</v>
      </c>
      <c r="K2" s="7">
        <f>IFERROR(J2/I2, 0)</f>
        <v>-0.11642308724256821</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558908.25</v>
      </c>
      <c r="D4" s="111">
        <f>SUM('1st Qtr'!D4,'2nd Qtr'!D4,'3rd Qtr'!D4,'4th Qtr'!D4)</f>
        <v>547143.74</v>
      </c>
      <c r="E4" s="79">
        <f>C4/D4</f>
        <v>1.0215016807100818</v>
      </c>
      <c r="F4" s="14">
        <f>SUM('1st Qtr'!F4, '2nd Qtr'!F4, '3rd Qtr'!F4, '4th Qtr'!F4)</f>
        <v>550203.47100000002</v>
      </c>
      <c r="G4" s="14">
        <f>IF(AND(ISNUMBER(C4),ISNUMBER(F4)), C4-F4, "")</f>
        <v>8704.7789999999804</v>
      </c>
      <c r="H4" s="15">
        <f>IFERROR(G4/F4, "")</f>
        <v>1.5821017966642346E-2</v>
      </c>
      <c r="I4" s="16">
        <f>SUM('1st Qtr'!I4,'2nd Qtr'!I4,'3rd Qtr'!I4,'4th Qtr'!I4)</f>
        <v>561013.53200000001</v>
      </c>
      <c r="J4" s="16">
        <f>SUM('1st Qtr'!J4, '2nd Qtr'!J4, '3rd Qtr'!J4, '4th Qtr'!J4)</f>
        <v>-2105.2819999999992</v>
      </c>
      <c r="K4" s="17">
        <f>IFERROR(J4/I4, "")</f>
        <v>-3.7526403195564974E-3</v>
      </c>
    </row>
    <row r="5" spans="1:11" ht="15.6">
      <c r="A5" s="19" t="str">
        <v>CA: Antioch MC CUP - Citi</v>
      </c>
      <c r="B5" s="11" t="str">
        <v>CA</v>
      </c>
      <c r="C5" s="20">
        <f>SUM('1st Qtr'!C5, '2nd Qtr'!C5, '3rd Qtr'!C5, '4th Qtr'!C5)</f>
        <v>1872026</v>
      </c>
      <c r="D5" s="112">
        <f>SUM('1st Qtr'!D5,'2nd Qtr'!D5,'3rd Qtr'!D5,'4th Qtr'!D5)</f>
        <v>1852701.18</v>
      </c>
      <c r="E5" s="80">
        <f t="shared" ref="E5:E23" si="0">C5/D5</f>
        <v>1.0104306189301397</v>
      </c>
      <c r="F5" s="20">
        <f>SUM('1st Qtr'!F5, '2nd Qtr'!F5, '3rd Qtr'!F5, '4th Qtr'!F5)</f>
        <v>1866598.746</v>
      </c>
      <c r="G5" s="20">
        <f t="shared" ref="G5:G15" si="1">IF(AND(ISNUMBER(C5),ISNUMBER(F5)), C5-F5, "")</f>
        <v>5427.2539999999572</v>
      </c>
      <c r="H5" s="21">
        <f>IFERROR(G5/F5, "")</f>
        <v>2.9075632948057047E-3</v>
      </c>
      <c r="I5" s="22">
        <f>SUM('1st Qtr'!I5,'2nd Qtr'!I5,'3rd Qtr'!I5,'4th Qtr'!I5)</f>
        <v>1922781.9939999999</v>
      </c>
      <c r="J5" s="22">
        <f>SUM('1st Qtr'!J5, '2nd Qtr'!J5, '3rd Qtr'!J5, '4th Qtr'!J5)</f>
        <v>-50755.993999999962</v>
      </c>
      <c r="K5" s="21">
        <f>IFERROR(J5/I5, "")</f>
        <v>-2.6397165231619057E-2</v>
      </c>
    </row>
    <row r="6" spans="1:11" ht="15.6">
      <c r="A6" s="13" t="str">
        <v>CA: Clovis - Citi</v>
      </c>
      <c r="B6" s="10" t="str">
        <v>CA</v>
      </c>
      <c r="C6" s="26">
        <f>SUM('1st Qtr'!C6, '2nd Qtr'!C6, '3rd Qtr'!C6, '4th Qtr'!C6)</f>
        <v>768844.5</v>
      </c>
      <c r="D6" s="111">
        <f>SUM('1st Qtr'!D6,'2nd Qtr'!D6,'3rd Qtr'!D6,'4th Qtr'!D6)</f>
        <v>775984</v>
      </c>
      <c r="E6" s="79">
        <f t="shared" si="0"/>
        <v>0.99079942369945773</v>
      </c>
      <c r="F6" s="14">
        <f>SUM('1st Qtr'!F6, '2nd Qtr'!F6, '3rd Qtr'!F6, '4th Qtr'!F6)</f>
        <v>462542.53899999999</v>
      </c>
      <c r="G6" s="14">
        <f t="shared" si="1"/>
        <v>306301.96100000001</v>
      </c>
      <c r="H6" s="15">
        <f t="shared" ref="H6:H15" si="2">IFERROR(G6/F6, "")</f>
        <v>0.66221360236879756</v>
      </c>
      <c r="I6" s="16">
        <f>SUM('1st Qtr'!I6,'2nd Qtr'!I6,'3rd Qtr'!I6,'4th Qtr'!I6)</f>
        <v>559890.67099999997</v>
      </c>
      <c r="J6" s="16">
        <f>SUM('1st Qtr'!J6, '2nd Qtr'!J6, '3rd Qtr'!J6, '4th Qtr'!J6)</f>
        <v>208953.829</v>
      </c>
      <c r="K6" s="17">
        <f t="shared" ref="K6:K15" si="3">IFERROR(J6/I6, "")</f>
        <v>0.3732046983865534</v>
      </c>
    </row>
    <row r="7" spans="1:11" ht="15.6">
      <c r="A7" s="19" t="str">
        <v>CA: Elk Grove MOB - Citi</v>
      </c>
      <c r="B7" s="11" t="str">
        <v>CA</v>
      </c>
      <c r="C7" s="20">
        <f>SUM('1st Qtr'!C7, '2nd Qtr'!C7, '3rd Qtr'!C7, '4th Qtr'!C7)</f>
        <v>1203986.5</v>
      </c>
      <c r="D7" s="112">
        <f>SUM('1st Qtr'!D7,'2nd Qtr'!D7,'3rd Qtr'!D7,'4th Qtr'!D7)</f>
        <v>1261141</v>
      </c>
      <c r="E7" s="80">
        <f t="shared" si="0"/>
        <v>0.95468032519757906</v>
      </c>
      <c r="F7" s="20">
        <f>SUM('1st Qtr'!F7, '2nd Qtr'!F7, '3rd Qtr'!F7, '4th Qtr'!F7)</f>
        <v>1260748.22</v>
      </c>
      <c r="G7" s="20">
        <f t="shared" si="1"/>
        <v>-56761.719999999972</v>
      </c>
      <c r="H7" s="21">
        <f t="shared" si="2"/>
        <v>-4.502224877224096E-2</v>
      </c>
      <c r="I7" s="22">
        <f>SUM('1st Qtr'!I7,'2nd Qtr'!I7,'3rd Qtr'!I7,'4th Qtr'!I7)</f>
        <v>1295511.003</v>
      </c>
      <c r="J7" s="22">
        <f>SUM('1st Qtr'!J7, '2nd Qtr'!J7, '3rd Qtr'!J7, '4th Qtr'!J7)</f>
        <v>-91524.503000000012</v>
      </c>
      <c r="K7" s="21">
        <f t="shared" si="3"/>
        <v>-7.0647414640290798E-2</v>
      </c>
    </row>
    <row r="8" spans="1:11" ht="15.6">
      <c r="A8" s="13" t="str">
        <v>CA: Elk Grove Promenade - Citi</v>
      </c>
      <c r="B8" s="10" t="str">
        <v>CA</v>
      </c>
      <c r="C8" s="26">
        <f>SUM('1st Qtr'!C8, '2nd Qtr'!C8, '3rd Qtr'!C8, '4th Qtr'!C8)</f>
        <v>641700.75</v>
      </c>
      <c r="D8" s="111">
        <f>SUM('1st Qtr'!D8,'2nd Qtr'!D8,'3rd Qtr'!D8,'4th Qtr'!D8)</f>
        <v>671524.5</v>
      </c>
      <c r="E8" s="79">
        <f t="shared" si="0"/>
        <v>0.95558799418338425</v>
      </c>
      <c r="F8" s="14">
        <f>SUM('1st Qtr'!F8, '2nd Qtr'!F8, '3rd Qtr'!F8, '4th Qtr'!F8)</f>
        <v>654346.54700000002</v>
      </c>
      <c r="G8" s="14">
        <f t="shared" si="1"/>
        <v>-12645.79700000002</v>
      </c>
      <c r="H8" s="15">
        <f t="shared" si="2"/>
        <v>-1.9325840501455294E-2</v>
      </c>
      <c r="I8" s="16">
        <f>SUM('1st Qtr'!I8,'2nd Qtr'!I8,'3rd Qtr'!I8,'4th Qtr'!I8)</f>
        <v>692793.23900000006</v>
      </c>
      <c r="J8" s="16">
        <f>SUM('1st Qtr'!J8, '2nd Qtr'!J8, '3rd Qtr'!J8, '4th Qtr'!J8)</f>
        <v>-51092.489000000009</v>
      </c>
      <c r="K8" s="17">
        <f t="shared" si="3"/>
        <v>-7.3748538703623231E-2</v>
      </c>
    </row>
    <row r="9" spans="1:11" ht="15.6">
      <c r="A9" s="19" t="str">
        <v>CA: Fresno Sequioa - Citi</v>
      </c>
      <c r="B9" s="11" t="str">
        <v>CA</v>
      </c>
      <c r="C9" s="20">
        <f>SUM('1st Qtr'!C9, '2nd Qtr'!C9, '3rd Qtr'!C9, '4th Qtr'!C9)</f>
        <v>1252052.5</v>
      </c>
      <c r="D9" s="112">
        <f>SUM('1st Qtr'!D9,'2nd Qtr'!D9,'3rd Qtr'!D9,'4th Qtr'!D9)</f>
        <v>1306963.56</v>
      </c>
      <c r="E9" s="80">
        <f t="shared" si="0"/>
        <v>0.95798577582377276</v>
      </c>
      <c r="F9" s="20">
        <f>SUM('1st Qtr'!F9, '2nd Qtr'!F9, '3rd Qtr'!F9, '4th Qtr'!F9)</f>
        <v>1305996.442</v>
      </c>
      <c r="G9" s="20">
        <f t="shared" si="1"/>
        <v>-53943.942000000039</v>
      </c>
      <c r="H9" s="21">
        <f t="shared" si="2"/>
        <v>-4.130481543838696E-2</v>
      </c>
      <c r="I9" s="22">
        <f>SUM('1st Qtr'!I9,'2nd Qtr'!I9,'3rd Qtr'!I9,'4th Qtr'!I9)</f>
        <v>1344454.1089999999</v>
      </c>
      <c r="J9" s="22">
        <f>SUM('1st Qtr'!J9, '2nd Qtr'!J9, '3rd Qtr'!J9, '4th Qtr'!J9)</f>
        <v>-92401.608999999982</v>
      </c>
      <c r="K9" s="21">
        <f t="shared" si="3"/>
        <v>-6.8727975452228682E-2</v>
      </c>
    </row>
    <row r="10" spans="1:11" ht="15.6">
      <c r="A10" s="13" t="str">
        <v>CA: Fresno MOB - Citi</v>
      </c>
      <c r="B10" s="10" t="str">
        <v>CA</v>
      </c>
      <c r="C10" s="26">
        <f>SUM('1st Qtr'!C10, '2nd Qtr'!C10, '3rd Qtr'!C10, '4th Qtr'!C10)</f>
        <v>473735.38</v>
      </c>
      <c r="D10" s="111">
        <f>SUM('1st Qtr'!D10,'2nd Qtr'!D10,'3rd Qtr'!D10,'4th Qtr'!D10)</f>
        <v>527654.88</v>
      </c>
      <c r="E10" s="79">
        <f t="shared" si="0"/>
        <v>0.89781294167126813</v>
      </c>
      <c r="F10" s="14">
        <f>SUM('1st Qtr'!F10, '2nd Qtr'!F10, '3rd Qtr'!F10, '4th Qtr'!F10)</f>
        <v>506873.05300000001</v>
      </c>
      <c r="G10" s="14">
        <f t="shared" si="1"/>
        <v>-33137.67300000001</v>
      </c>
      <c r="H10" s="15">
        <f t="shared" si="2"/>
        <v>-6.5376671345754117E-2</v>
      </c>
      <c r="I10" s="16">
        <f>SUM('1st Qtr'!I10,'2nd Qtr'!I10,'3rd Qtr'!I10,'4th Qtr'!I10)</f>
        <v>514200.72400000005</v>
      </c>
      <c r="J10" s="16">
        <f>SUM('1st Qtr'!J10, '2nd Qtr'!J10, '3rd Qtr'!J10, '4th Qtr'!J10)</f>
        <v>-40465.343999999997</v>
      </c>
      <c r="K10" s="17">
        <f t="shared" si="3"/>
        <v>-7.869561848380438E-2</v>
      </c>
    </row>
    <row r="11" spans="1:11" ht="15.6">
      <c r="A11" s="19" t="str">
        <v>CA: Modesto Bangs - Citi</v>
      </c>
      <c r="B11" s="11" t="str">
        <v>CA</v>
      </c>
      <c r="C11" s="20">
        <f>SUM('1st Qtr'!C11, '2nd Qtr'!C11, '3rd Qtr'!C11, '4th Qtr'!C11)</f>
        <v>307783.88</v>
      </c>
      <c r="D11" s="112">
        <f>SUM('1st Qtr'!D11,'2nd Qtr'!D11,'3rd Qtr'!D11,'4th Qtr'!D11)</f>
        <v>357600.72</v>
      </c>
      <c r="E11" s="80">
        <f t="shared" si="0"/>
        <v>0.86069144379798801</v>
      </c>
      <c r="F11" s="20">
        <f>SUM('1st Qtr'!F11, '2nd Qtr'!F11, '3rd Qtr'!F11, '4th Qtr'!F11)</f>
        <v>231060.679</v>
      </c>
      <c r="G11" s="20">
        <f t="shared" si="1"/>
        <v>76723.201000000001</v>
      </c>
      <c r="H11" s="21">
        <f t="shared" si="2"/>
        <v>0.33204784705060092</v>
      </c>
      <c r="I11" s="22">
        <f>SUM('1st Qtr'!I11,'2nd Qtr'!I11,'3rd Qtr'!I11,'4th Qtr'!I11)</f>
        <v>272454.41500000004</v>
      </c>
      <c r="J11" s="22">
        <f>SUM('1st Qtr'!J11, '2nd Qtr'!J11, '3rd Qtr'!J11, '4th Qtr'!J11)</f>
        <v>35329.464999999997</v>
      </c>
      <c r="K11" s="21">
        <f t="shared" si="3"/>
        <v>0.1296711047974759</v>
      </c>
    </row>
    <row r="12" spans="1:11" ht="15.6">
      <c r="A12" s="13" t="str">
        <v>CA: Napa Data Center - Citi</v>
      </c>
      <c r="B12" s="10" t="str">
        <v>CA</v>
      </c>
      <c r="C12" s="26">
        <f>SUM('1st Qtr'!C12, '2nd Qtr'!C12, '3rd Qtr'!C12, '4th Qtr'!C12)</f>
        <v>328151</v>
      </c>
      <c r="D12" s="111">
        <f>SUM('1st Qtr'!D12,'2nd Qtr'!D12,'3rd Qtr'!D12,'4th Qtr'!D12)</f>
        <v>379794.29000000004</v>
      </c>
      <c r="E12" s="79">
        <f t="shared" si="0"/>
        <v>0.86402299518510395</v>
      </c>
      <c r="F12" s="14">
        <f>SUM('1st Qtr'!F12, '2nd Qtr'!F12, '3rd Qtr'!F12, '4th Qtr'!F12)</f>
        <v>413630.54200000002</v>
      </c>
      <c r="G12" s="14">
        <f t="shared" si="1"/>
        <v>-85479.542000000016</v>
      </c>
      <c r="H12" s="15">
        <f t="shared" si="2"/>
        <v>-0.20665674634829073</v>
      </c>
      <c r="I12" s="16">
        <f>SUM('1st Qtr'!I12,'2nd Qtr'!I12,'3rd Qtr'!I12,'4th Qtr'!I12)</f>
        <v>379291.18099999998</v>
      </c>
      <c r="J12" s="16">
        <f>SUM('1st Qtr'!J12, '2nd Qtr'!J12, '3rd Qtr'!J12, '4th Qtr'!J12)</f>
        <v>-51140.180999999997</v>
      </c>
      <c r="K12" s="17">
        <f t="shared" si="3"/>
        <v>-0.13483092558379309</v>
      </c>
    </row>
    <row r="13" spans="1:11" ht="15.6">
      <c r="A13" s="19" t="str">
        <v>CA: Petaluma MOB - Citi</v>
      </c>
      <c r="B13" s="11" t="str">
        <v>CA</v>
      </c>
      <c r="C13" s="20">
        <f>SUM('1st Qtr'!C13, '2nd Qtr'!C13, '3rd Qtr'!C13, '4th Qtr'!C13)</f>
        <v>722120</v>
      </c>
      <c r="D13" s="112">
        <f>SUM('1st Qtr'!D13,'2nd Qtr'!D13,'3rd Qtr'!D13,'4th Qtr'!D13)</f>
        <v>879976.5</v>
      </c>
      <c r="E13" s="80">
        <f t="shared" si="0"/>
        <v>0.82061282318334638</v>
      </c>
      <c r="F13" s="20">
        <f>SUM('1st Qtr'!F13, '2nd Qtr'!F13, '3rd Qtr'!F13, '4th Qtr'!F13)</f>
        <v>662926.76199999999</v>
      </c>
      <c r="G13" s="20">
        <f t="shared" si="1"/>
        <v>59193.238000000012</v>
      </c>
      <c r="H13" s="21">
        <f t="shared" si="2"/>
        <v>8.9290765425457386E-2</v>
      </c>
      <c r="I13" s="22">
        <f>SUM('1st Qtr'!I13,'2nd Qtr'!I13,'3rd Qtr'!I13,'4th Qtr'!I13)</f>
        <v>681977.41599999997</v>
      </c>
      <c r="J13" s="22">
        <f>SUM('1st Qtr'!J13, '2nd Qtr'!J13, '3rd Qtr'!J13, '4th Qtr'!J13)</f>
        <v>40142.583999999988</v>
      </c>
      <c r="K13" s="21">
        <f t="shared" si="3"/>
        <v>5.8862043021084429E-2</v>
      </c>
    </row>
    <row r="14" spans="1:11" ht="15.6">
      <c r="A14" s="13" t="str">
        <v>CA: Pleasanton Tec Ctr - Citi</v>
      </c>
      <c r="B14" s="10" t="str">
        <v>CA</v>
      </c>
      <c r="C14" s="26">
        <f>SUM('1st Qtr'!C14, '2nd Qtr'!C14, '3rd Qtr'!C14, '4th Qtr'!C14)</f>
        <v>1052594.5</v>
      </c>
      <c r="D14" s="111">
        <f>SUM('1st Qtr'!D14,'2nd Qtr'!D14,'3rd Qtr'!D14,'4th Qtr'!D14)</f>
        <v>1226923.3599999999</v>
      </c>
      <c r="E14" s="79">
        <f t="shared" si="0"/>
        <v>0.85791381460044913</v>
      </c>
      <c r="F14" s="14">
        <f>SUM('1st Qtr'!F14, '2nd Qtr'!F14, '3rd Qtr'!F14, '4th Qtr'!F14)</f>
        <v>1174822.797</v>
      </c>
      <c r="G14" s="14">
        <f t="shared" si="1"/>
        <v>-122228.29700000002</v>
      </c>
      <c r="H14" s="15">
        <f t="shared" si="2"/>
        <v>-0.10403977290202347</v>
      </c>
      <c r="I14" s="16">
        <f>SUM('1st Qtr'!I14,'2nd Qtr'!I14,'3rd Qtr'!I14,'4th Qtr'!I14)</f>
        <v>1239153.4840000002</v>
      </c>
      <c r="J14" s="16">
        <f>SUM('1st Qtr'!J14, '2nd Qtr'!J14, '3rd Qtr'!J14, '4th Qtr'!J14)</f>
        <v>-186558.984</v>
      </c>
      <c r="K14" s="17">
        <f t="shared" si="3"/>
        <v>-0.15055357258713883</v>
      </c>
    </row>
    <row r="15" spans="1:11" ht="15.6">
      <c r="A15" s="19" t="str">
        <v>CA: Rancho Cordova - Citi</v>
      </c>
      <c r="B15" s="11" t="str">
        <v>CA</v>
      </c>
      <c r="C15" s="20">
        <f>SUM('1st Qtr'!C15, '2nd Qtr'!C15, '3rd Qtr'!C15, '4th Qtr'!C15)</f>
        <v>1733084</v>
      </c>
      <c r="D15" s="112">
        <f>SUM('1st Qtr'!D15,'2nd Qtr'!D15,'3rd Qtr'!D15,'4th Qtr'!D15)</f>
        <v>1753526.78</v>
      </c>
      <c r="E15" s="80">
        <f t="shared" si="0"/>
        <v>0.98834190601868077</v>
      </c>
      <c r="F15" s="20">
        <f>SUM('1st Qtr'!F15, '2nd Qtr'!F15, '3rd Qtr'!F15, '4th Qtr'!F15)</f>
        <v>1755061.264</v>
      </c>
      <c r="G15" s="20">
        <f t="shared" si="1"/>
        <v>-21977.263999999966</v>
      </c>
      <c r="H15" s="21">
        <f t="shared" si="2"/>
        <v>-1.25222204209049E-2</v>
      </c>
      <c r="I15" s="22">
        <f>SUM('1st Qtr'!I15,'2nd Qtr'!I15,'3rd Qtr'!I15,'4th Qtr'!I15)</f>
        <v>1851484.6869999999</v>
      </c>
      <c r="J15" s="22">
        <f>SUM('1st Qtr'!J15, '2nd Qtr'!J15, '3rd Qtr'!J15, '4th Qtr'!J15)</f>
        <v>-118400.68700000002</v>
      </c>
      <c r="K15" s="21">
        <f t="shared" si="3"/>
        <v>-6.3949050095492371E-2</v>
      </c>
    </row>
    <row r="16" spans="1:11" ht="15.6">
      <c r="A16" s="13" t="str">
        <v>CA: S Sacramento Wyndham - Citi</v>
      </c>
      <c r="B16" s="10" t="str">
        <v>CA</v>
      </c>
      <c r="C16" s="26">
        <f>SUM('1st Qtr'!C16, '2nd Qtr'!C16, '3rd Qtr'!C16, '4th Qtr'!C16)</f>
        <v>959618.5</v>
      </c>
      <c r="D16" s="111">
        <f>SUM('1st Qtr'!D16,'2nd Qtr'!D16,'3rd Qtr'!D16,'4th Qtr'!D16)</f>
        <v>1091074.69</v>
      </c>
      <c r="E16" s="79">
        <f t="shared" si="0"/>
        <v>0.87951678175212744</v>
      </c>
      <c r="F16" s="14">
        <f>SUM('1st Qtr'!F16, '2nd Qtr'!F16, '3rd Qtr'!F16, '4th Qtr'!F16)</f>
        <v>1023097.093</v>
      </c>
      <c r="G16" s="14">
        <f t="shared" ref="G16:G22" si="4">IF(AND(ISNUMBER(C16),ISNUMBER(F16)), C16-F16, "")</f>
        <v>-63478.592999999993</v>
      </c>
      <c r="H16" s="38">
        <f t="shared" ref="H16:H22" si="5">IFERROR(G16/F16, "")</f>
        <v>-6.2045521812463984E-2</v>
      </c>
      <c r="I16" s="39">
        <f>SUM('1st Qtr'!I16,'2nd Qtr'!I16,'3rd Qtr'!I16,'4th Qtr'!I16)</f>
        <v>1081072.757</v>
      </c>
      <c r="J16" s="16">
        <f>SUM('1st Qtr'!J16, '2nd Qtr'!J16, '3rd Qtr'!J16, '4th Qtr'!J16)</f>
        <v>-121454.25699999998</v>
      </c>
      <c r="K16" s="40">
        <f t="shared" ref="K16:K22" si="6">IFERROR(J16/I16, "")</f>
        <v>-0.11234605276432841</v>
      </c>
    </row>
    <row r="17" spans="1:11" ht="15.6">
      <c r="A17" s="19" t="str">
        <v>CA: Sacramento Point West - Citi</v>
      </c>
      <c r="B17" s="11" t="str">
        <v>CA</v>
      </c>
      <c r="C17" s="20">
        <f>SUM('1st Qtr'!C17, '2nd Qtr'!C17, '3rd Qtr'!C17, '4th Qtr'!C17)</f>
        <v>1901044</v>
      </c>
      <c r="D17" s="112">
        <f>SUM('1st Qtr'!D17,'2nd Qtr'!D17,'3rd Qtr'!D17,'4th Qtr'!D17)</f>
        <v>2086919.9</v>
      </c>
      <c r="E17" s="80">
        <f t="shared" si="0"/>
        <v>0.91093290164131369</v>
      </c>
      <c r="F17" s="20">
        <f>SUM('1st Qtr'!F17, '2nd Qtr'!F17, '3rd Qtr'!F17, '4th Qtr'!F17)</f>
        <v>2037055.4550000001</v>
      </c>
      <c r="G17" s="20">
        <f t="shared" si="4"/>
        <v>-136011.45500000007</v>
      </c>
      <c r="H17" s="43">
        <f t="shared" si="5"/>
        <v>-6.6768656035434276E-2</v>
      </c>
      <c r="I17" s="44">
        <f>SUM('1st Qtr'!I17,'2nd Qtr'!I17,'3rd Qtr'!I17,'4th Qtr'!I17)</f>
        <v>2154980.5609999998</v>
      </c>
      <c r="J17" s="22">
        <f>SUM('1st Qtr'!J17, '2nd Qtr'!J17, '3rd Qtr'!J17, '4th Qtr'!J17)</f>
        <v>-253936.56100000002</v>
      </c>
      <c r="K17" s="43">
        <f t="shared" si="6"/>
        <v>-0.11783705412273557</v>
      </c>
    </row>
    <row r="18" spans="1:11" ht="12.75" customHeight="1">
      <c r="A18" s="13" t="str">
        <v>CA: San Jose FHC - Citi</v>
      </c>
      <c r="B18" s="10" t="str">
        <v>CA</v>
      </c>
      <c r="C18" s="26">
        <f>SUM('1st Qtr'!C18, '2nd Qtr'!C18, '3rd Qtr'!C18, '4th Qtr'!C18)</f>
        <v>368237.25</v>
      </c>
      <c r="D18" s="111">
        <f>SUM('1st Qtr'!D18,'2nd Qtr'!D18,'3rd Qtr'!D18,'4th Qtr'!D18)</f>
        <v>425304.35</v>
      </c>
      <c r="E18" s="79">
        <f t="shared" si="0"/>
        <v>0.86582055885391251</v>
      </c>
      <c r="F18" s="14">
        <f>SUM('1st Qtr'!F18, '2nd Qtr'!F18, '3rd Qtr'!F18, '4th Qtr'!F18)</f>
        <v>416774.859</v>
      </c>
      <c r="G18" s="14">
        <f t="shared" si="4"/>
        <v>-48537.608999999997</v>
      </c>
      <c r="H18" s="38">
        <f t="shared" si="5"/>
        <v>-0.11646002140450606</v>
      </c>
      <c r="I18" s="39">
        <f>SUM('1st Qtr'!I18,'2nd Qtr'!I18,'3rd Qtr'!I18,'4th Qtr'!I18)</f>
        <v>434359.87199999997</v>
      </c>
      <c r="J18" s="16">
        <f>SUM('1st Qtr'!J18, '2nd Qtr'!J18, '3rd Qtr'!J18, '4th Qtr'!J18)</f>
        <v>-66122.622000000003</v>
      </c>
      <c r="K18" s="40">
        <f t="shared" si="6"/>
        <v>-0.15223004301833851</v>
      </c>
    </row>
    <row r="19" spans="1:11" ht="15.6">
      <c r="A19" s="19" t="str">
        <v>CA: San Jose MOB - Citi</v>
      </c>
      <c r="B19" s="11" t="str">
        <v>CA</v>
      </c>
      <c r="C19" s="20">
        <f>SUM('1st Qtr'!C19, '2nd Qtr'!C19, '3rd Qtr'!C19, '4th Qtr'!C19)</f>
        <v>566692</v>
      </c>
      <c r="D19" s="112">
        <f>SUM('1st Qtr'!D19,'2nd Qtr'!D19,'3rd Qtr'!D19,'4th Qtr'!D19)</f>
        <v>679227.84000000008</v>
      </c>
      <c r="E19" s="80">
        <f t="shared" si="0"/>
        <v>0.83431798084130349</v>
      </c>
      <c r="F19" s="20">
        <f>SUM('1st Qtr'!F19, '2nd Qtr'!F19, '3rd Qtr'!F19, '4th Qtr'!F19)</f>
        <v>661116.34600000002</v>
      </c>
      <c r="G19" s="20">
        <f t="shared" si="4"/>
        <v>-94424.34600000002</v>
      </c>
      <c r="H19" s="43">
        <f t="shared" si="5"/>
        <v>-0.14282561090994417</v>
      </c>
      <c r="I19" s="44">
        <f>SUM('1st Qtr'!I19,'2nd Qtr'!I19,'3rd Qtr'!I19,'4th Qtr'!I19)</f>
        <v>694518.85400000005</v>
      </c>
      <c r="J19" s="22">
        <f>SUM('1st Qtr'!J19, '2nd Qtr'!J19, '3rd Qtr'!J19, '4th Qtr'!J19)</f>
        <v>-127826.85399999999</v>
      </c>
      <c r="K19" s="43">
        <f t="shared" si="6"/>
        <v>-0.18405094874501418</v>
      </c>
    </row>
    <row r="20" spans="1:11" ht="15.6">
      <c r="A20" s="13" t="str">
        <v>CA: Selma - Citi</v>
      </c>
      <c r="B20" s="10" t="str">
        <v>CA</v>
      </c>
      <c r="C20" s="26">
        <f>SUM('1st Qtr'!C20, '2nd Qtr'!C20, '3rd Qtr'!C20, '4th Qtr'!C20)</f>
        <v>357925.87</v>
      </c>
      <c r="D20" s="111">
        <f>SUM('1st Qtr'!D20,'2nd Qtr'!D20,'3rd Qtr'!D20,'4th Qtr'!D20)</f>
        <v>393713.96</v>
      </c>
      <c r="E20" s="79">
        <f t="shared" si="0"/>
        <v>0.90910129272530737</v>
      </c>
      <c r="F20" s="14">
        <f>SUM('1st Qtr'!F20, '2nd Qtr'!F20, '3rd Qtr'!F20, '4th Qtr'!F20)</f>
        <v>392667.02</v>
      </c>
      <c r="G20" s="14">
        <f t="shared" si="4"/>
        <v>-34741.150000000023</v>
      </c>
      <c r="H20" s="38">
        <f t="shared" si="5"/>
        <v>-8.8474835498025844E-2</v>
      </c>
      <c r="I20" s="39">
        <f>SUM('1st Qtr'!I20,'2nd Qtr'!I20,'3rd Qtr'!I20,'4th Qtr'!I20)</f>
        <v>410362.359</v>
      </c>
      <c r="J20" s="16">
        <f>SUM('1st Qtr'!J20, '2nd Qtr'!J20, '3rd Qtr'!J20, '4th Qtr'!J20)</f>
        <v>-52436.489000000001</v>
      </c>
      <c r="K20" s="40">
        <f t="shared" si="6"/>
        <v>-0.12778094250111277</v>
      </c>
    </row>
    <row r="21" spans="1:11" ht="15.6">
      <c r="A21" s="19" t="str">
        <v>CA: Vacaville Hospital</v>
      </c>
      <c r="B21" s="11" t="str">
        <v>CA</v>
      </c>
      <c r="C21" s="20">
        <f>SUM('1st Qtr'!C21, '2nd Qtr'!C21, '3rd Qtr'!C21, '4th Qtr'!C21)</f>
        <v>1964510.75</v>
      </c>
      <c r="D21" s="112">
        <f>SUM('1st Qtr'!D21,'2nd Qtr'!D21,'3rd Qtr'!D21,'4th Qtr'!D21)</f>
        <v>2744999.4400000004</v>
      </c>
      <c r="E21" s="80">
        <f t="shared" si="0"/>
        <v>0.71566890738600653</v>
      </c>
      <c r="F21" s="20">
        <f>SUM('1st Qtr'!F21, '2nd Qtr'!F21, '3rd Qtr'!F21, '4th Qtr'!F21)</f>
        <v>2798567.9920000001</v>
      </c>
      <c r="G21" s="20">
        <f t="shared" si="4"/>
        <v>-834057.24200000009</v>
      </c>
      <c r="H21" s="43">
        <f t="shared" si="5"/>
        <v>-0.29803000834149468</v>
      </c>
      <c r="I21" s="44">
        <f>SUM('1st Qtr'!I21,'2nd Qtr'!I21,'3rd Qtr'!I21,'4th Qtr'!I21)</f>
        <v>2824166.5180000002</v>
      </c>
      <c r="J21" s="22">
        <f>SUM('1st Qtr'!J21, '2nd Qtr'!J21, '3rd Qtr'!J21, '4th Qtr'!J21)</f>
        <v>-859655.76799999992</v>
      </c>
      <c r="K21" s="43">
        <f t="shared" si="6"/>
        <v>-0.30439273411143808</v>
      </c>
    </row>
    <row r="22" spans="1:11" ht="15.6">
      <c r="A22" s="13" t="str">
        <v>CA: Manteca - KP Manteca Hospital</v>
      </c>
      <c r="B22" s="10" t="str">
        <v>CA</v>
      </c>
      <c r="C22" s="26">
        <f>SUM('1st Qtr'!C22, '2nd Qtr'!C22, '3rd Qtr'!C22, '4th Qtr'!C22)</f>
        <v>714287.25</v>
      </c>
      <c r="D22" s="111">
        <f>SUM('1st Qtr'!D22,'2nd Qtr'!D22,'3rd Qtr'!D22,'4th Qtr'!D22)</f>
        <v>875397</v>
      </c>
      <c r="E22" s="79">
        <f t="shared" si="0"/>
        <v>0.8159580738796226</v>
      </c>
      <c r="F22" s="14">
        <f>SUM('1st Qtr'!F22, '2nd Qtr'!F22, '3rd Qtr'!F22, '4th Qtr'!F22)</f>
        <v>750465.71600000001</v>
      </c>
      <c r="G22" s="14">
        <f t="shared" si="4"/>
        <v>-36178.466000000015</v>
      </c>
      <c r="H22" s="38">
        <f t="shared" si="5"/>
        <v>-4.8208019671880674E-2</v>
      </c>
      <c r="I22" s="39">
        <f>SUM('1st Qtr'!I22,'2nd Qtr'!I22,'3rd Qtr'!I22,'4th Qtr'!I22)</f>
        <v>831440.55599999998</v>
      </c>
      <c r="J22" s="16">
        <f>SUM('1st Qtr'!J22, '2nd Qtr'!J22, '3rd Qtr'!J22, '4th Qtr'!J22)</f>
        <v>-117153.30600000001</v>
      </c>
      <c r="K22" s="40">
        <f t="shared" si="6"/>
        <v>-0.14090400709296169</v>
      </c>
    </row>
    <row r="23" spans="1:11" ht="15.6">
      <c r="A23" s="19" t="str">
        <v>Sacramento - KP South Sacramento HSP</v>
      </c>
      <c r="B23" s="11" t="str">
        <v>CA</v>
      </c>
      <c r="C23" s="20">
        <f>SUM('1st Qtr'!C23, '2nd Qtr'!C23, '3rd Qtr'!C23, '4th Qtr'!C23)</f>
        <v>1711434.8499999999</v>
      </c>
      <c r="D23" s="112">
        <f>SUM('1st Qtr'!D23,'2nd Qtr'!D23,'3rd Qtr'!D23,'4th Qtr'!D23)</f>
        <v>0</v>
      </c>
      <c r="E23" s="80" t="e">
        <f t="shared" si="0"/>
        <v>#DIV/0!</v>
      </c>
      <c r="F23" s="20">
        <f>SUM('1st Qtr'!F23, '2nd Qtr'!F23, '3rd Qtr'!F23, '4th Qtr'!F23)</f>
        <v>663422.39599999995</v>
      </c>
      <c r="G23" s="20">
        <f t="shared" ref="G23" si="7">IF(AND(ISNUMBER(C23),ISNUMBER(F23)), C23-F23, "")</f>
        <v>1048012.4539999999</v>
      </c>
      <c r="H23" s="43">
        <f t="shared" ref="H23" si="8">IFERROR(G23/F23, "")</f>
        <v>1.5797061725965609</v>
      </c>
      <c r="I23" s="44">
        <f>SUM('1st Qtr'!I23,'2nd Qtr'!I23,'3rd Qtr'!I23,'4th Qtr'!I23)</f>
        <v>2276779</v>
      </c>
      <c r="J23" s="22">
        <f>SUM('1st Qtr'!J23, '2nd Qtr'!J23, '3rd Qtr'!J23, '4th Qtr'!J23)</f>
        <v>-565344.15</v>
      </c>
      <c r="K23" s="43">
        <f t="shared" ref="K23" si="9">IFERROR(J23/I23, "")</f>
        <v>-0.24830875109090519</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40" priority="1" stopIfTrue="1" operator="lessThanOrEqual">
      <formula>-0.1</formula>
    </cfRule>
    <cfRule type="expression" dxfId="39"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E33" sqref="E33"/>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32" t="str" cm="1">
        <f t="array" ref="A1">portfolio</f>
        <v>CITI</v>
      </c>
      <c r="B1" s="132"/>
      <c r="C1" s="132"/>
      <c r="D1" s="76" t="s">
        <v>0</v>
      </c>
      <c r="E1" s="76" t="s">
        <v>1</v>
      </c>
      <c r="F1" s="133" t="s">
        <v>12</v>
      </c>
      <c r="G1" s="133"/>
      <c r="H1" s="133"/>
      <c r="I1" s="131" t="s">
        <v>13</v>
      </c>
      <c r="J1" s="131"/>
      <c r="K1" s="131"/>
    </row>
    <row r="2" spans="1:11" ht="19.5" customHeight="1">
      <c r="A2" s="134" t="s">
        <v>4</v>
      </c>
      <c r="B2" s="134"/>
      <c r="C2" s="6">
        <f>SUM(C4:C100)</f>
        <v>4011350.76</v>
      </c>
      <c r="D2" s="6">
        <f>SUM(D4:D22)</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c r="D23" s="42"/>
      <c r="E23" s="117"/>
      <c r="F23" s="20"/>
      <c r="G23" s="20"/>
      <c r="H23" s="43"/>
      <c r="I23" s="44"/>
      <c r="J23" s="44"/>
      <c r="K23" s="40"/>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8" priority="1" stopIfTrue="1" operator="lessThanOrEqual">
      <formula>-0.1</formula>
    </cfRule>
    <cfRule type="expression" dxfId="37"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F3" sqref="F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32" t="str" cm="1">
        <f t="array" ref="A1">portfolio</f>
        <v>CITI</v>
      </c>
      <c r="B1" s="132"/>
      <c r="C1" s="132"/>
      <c r="D1" s="76" t="s">
        <v>0</v>
      </c>
      <c r="E1" s="76" t="s">
        <v>1</v>
      </c>
      <c r="F1" s="133" t="s">
        <v>14</v>
      </c>
      <c r="G1" s="133"/>
      <c r="H1" s="133"/>
      <c r="I1" s="131" t="s">
        <v>15</v>
      </c>
      <c r="J1" s="131"/>
      <c r="K1" s="131"/>
    </row>
    <row r="2" spans="1:14" ht="19.5" customHeight="1">
      <c r="A2" s="134" t="s">
        <v>4</v>
      </c>
      <c r="B2" s="134"/>
      <c r="C2" s="6">
        <f>SUM(C4:C99)</f>
        <v>8281607.71</v>
      </c>
      <c r="D2" s="6">
        <f>SUM(D4:D22)</f>
        <v>7975892.5499999989</v>
      </c>
      <c r="E2" s="7">
        <f>C2/D2</f>
        <v>1.038329899517014</v>
      </c>
      <c r="F2" s="6">
        <f>SUM(F4:F99)</f>
        <v>7665622.5479999995</v>
      </c>
      <c r="G2" s="6">
        <f>C2-F2</f>
        <v>615985.16200000048</v>
      </c>
      <c r="H2" s="7">
        <f>IFERROR(G2/F2, 0)</f>
        <v>8.0356834444022321E-2</v>
      </c>
      <c r="I2" s="6">
        <f>SUM(I4:I99)</f>
        <v>8826489.4800000004</v>
      </c>
      <c r="J2" s="8">
        <f>C2-I2</f>
        <v>-544881.77000000048</v>
      </c>
      <c r="K2" s="7">
        <f>IFERROR(J2/I2, 0)</f>
        <v>-6.1732557573954128E-2</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K8" sqref="K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32" t="str" cm="1">
        <f t="array" ref="A1">portfolio</f>
        <v>CITI</v>
      </c>
      <c r="B1" s="132"/>
      <c r="C1" s="132"/>
      <c r="D1" s="74" t="s">
        <v>0</v>
      </c>
      <c r="E1" s="75" t="s">
        <v>1</v>
      </c>
      <c r="F1" s="133" t="s">
        <v>16</v>
      </c>
      <c r="G1" s="133"/>
      <c r="H1" s="133"/>
      <c r="I1" s="131" t="s">
        <v>17</v>
      </c>
      <c r="J1" s="131"/>
      <c r="K1" s="131"/>
    </row>
    <row r="2" spans="1:13" ht="19.5" customHeight="1">
      <c r="A2" s="134" t="s">
        <v>4</v>
      </c>
      <c r="B2" s="134"/>
      <c r="C2" s="6">
        <f>SUM(C4:C95)</f>
        <v>7165779.2599999998</v>
      </c>
      <c r="D2" s="6">
        <f>SUM(D3:D22)</f>
        <v>7850811</v>
      </c>
      <c r="E2" s="68">
        <f>C2/D2</f>
        <v>0.91274382480994631</v>
      </c>
      <c r="F2" s="6">
        <f>SUM(F4:F95)</f>
        <v>7934631.5699999994</v>
      </c>
      <c r="G2" s="6">
        <f>C2-F2</f>
        <v>-768852.30999999959</v>
      </c>
      <c r="H2" s="7">
        <f>IFERROR(G2/F2, 0)</f>
        <v>-9.6898299967316526E-2</v>
      </c>
      <c r="I2" s="6">
        <f>SUM(I4:I95)</f>
        <v>8905756.125</v>
      </c>
      <c r="J2" s="8">
        <f>C2-I2</f>
        <v>-1739976.8650000002</v>
      </c>
      <c r="K2" s="7">
        <f>IFERROR(J2/I2, 0)</f>
        <v>-0.19537665758840889</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213439.75</v>
      </c>
      <c r="D4" s="128">
        <f>SUM(Jul!D4,Aug!D4,Sep!D4)</f>
        <v>215398</v>
      </c>
      <c r="E4" s="82">
        <f>C4/D4</f>
        <v>0.99090868995998105</v>
      </c>
      <c r="F4" s="14">
        <f>SUM(Jul!F4, Aug!F4, Sep!G4)</f>
        <v>215815.47100000002</v>
      </c>
      <c r="G4" s="14">
        <f>IF(AND(ISNUMBER(C4),ISNUMBER(F4)), C4-F4, "")</f>
        <v>-2375.7210000000196</v>
      </c>
      <c r="H4" s="15">
        <f>IFERROR(G4/F4, "")</f>
        <v>-1.1008112574098172E-2</v>
      </c>
      <c r="I4" s="16">
        <f>SUM(Jul!I4, Aug!I4, Sep!J4)</f>
        <v>213742</v>
      </c>
      <c r="J4" s="16">
        <f>IF(AND(ISNUMBER(C4),ISNUMBER(I4)), C4-I4, "")</f>
        <v>-302.25</v>
      </c>
      <c r="K4" s="17">
        <f>IFERROR(J4/I4, "")</f>
        <v>-1.4140880126507658E-3</v>
      </c>
    </row>
    <row r="5" spans="1:13" ht="15.6">
      <c r="A5" s="19" t="str">
        <v>CA: Antioch MC CUP - Citi</v>
      </c>
      <c r="B5" s="11" t="str">
        <v>CA</v>
      </c>
      <c r="C5" s="12">
        <f>SUM(Jul!C5, Aug!C5, Sep!C5)</f>
        <v>704779</v>
      </c>
      <c r="D5" s="12">
        <f>SUM(Jul!D5,Aug!D5,Sep!D5)</f>
        <v>732026</v>
      </c>
      <c r="E5" s="80">
        <f t="shared" ref="E5:E6" si="0">C5/D5</f>
        <v>0.96277864447437655</v>
      </c>
      <c r="F5" s="20">
        <f>SUM(Jul!F5, Aug!F5, Sep!G5)</f>
        <v>734468.74600000004</v>
      </c>
      <c r="G5" s="20">
        <f t="shared" ref="G5:G6" si="1">IF(AND(ISNUMBER(C5),ISNUMBER(F5)), C5-F5, "")</f>
        <v>-29689.746000000043</v>
      </c>
      <c r="H5" s="21">
        <f>IFERROR(G5/F5, "")</f>
        <v>-4.0423430080168507E-2</v>
      </c>
      <c r="I5" s="20">
        <f>SUM(Jul!I5, Aug!I5, Sep!J5)</f>
        <v>724714</v>
      </c>
      <c r="J5" s="20">
        <f>IF(AND(ISNUMBER(C5),ISNUMBER(I5)), C5-I5, "")</f>
        <v>-19935</v>
      </c>
      <c r="K5" s="21">
        <f>IFERROR(J5/I5, "")</f>
        <v>-2.7507402920324431E-2</v>
      </c>
    </row>
    <row r="6" spans="1:13" ht="15.6">
      <c r="A6" s="13" t="str">
        <v>CA: Clovis - Citi</v>
      </c>
      <c r="B6" s="10" t="str">
        <v>CA</v>
      </c>
      <c r="C6" s="26">
        <f>SUM(Jul!C6, Aug!C6, Sep!C6)</f>
        <v>284783</v>
      </c>
      <c r="D6" s="128">
        <f>SUM(Jul!D6,Aug!D6,Sep!D6)</f>
        <v>303873</v>
      </c>
      <c r="E6" s="82">
        <f t="shared" si="0"/>
        <v>0.93717770252704258</v>
      </c>
      <c r="F6" s="14">
        <f>SUM(Jul!F6, Aug!F6, Sep!G6)</f>
        <v>113620.53899999999</v>
      </c>
      <c r="G6" s="14">
        <f t="shared" si="1"/>
        <v>171162.46100000001</v>
      </c>
      <c r="H6" s="15">
        <f t="shared" ref="H6:H23" si="2">IFERROR(G6/F6, "")</f>
        <v>1.5064394387356324</v>
      </c>
      <c r="I6" s="16">
        <f>SUM(Jul!I6, Aug!I6, Sep!J6)</f>
        <v>293381</v>
      </c>
      <c r="J6" s="16">
        <f t="shared" ref="J6:J23" si="3">IF(AND(ISNUMBER(C6),ISNUMBER(I6)), C6-I6, "")</f>
        <v>-8598</v>
      </c>
      <c r="K6" s="17">
        <f t="shared" ref="K6:K23" si="4">IFERROR(J6/I6, "")</f>
        <v>-2.930660131365017E-2</v>
      </c>
    </row>
    <row r="7" spans="1:13" ht="15.6">
      <c r="A7" s="19" t="str">
        <v>CA: Elk Grove MOB - Citi</v>
      </c>
      <c r="B7" s="11" t="str">
        <v>CA</v>
      </c>
      <c r="C7" s="12">
        <f>SUM(Jul!C7, Aug!C7, Sep!C7)</f>
        <v>461498</v>
      </c>
      <c r="D7" s="12">
        <f>SUM(Jul!D7,Aug!D7,Sep!D7)</f>
        <v>506237</v>
      </c>
      <c r="E7" s="80">
        <f t="shared" ref="E7:E22" si="5">C7/D7</f>
        <v>0.91162439726847311</v>
      </c>
      <c r="F7" s="20">
        <f>SUM(Jul!F7, Aug!F7, Sep!G7)</f>
        <v>505327.22</v>
      </c>
      <c r="G7" s="20">
        <f t="shared" ref="G7:G23" si="6">IF(AND(ISNUMBER(C7),ISNUMBER(F7)), C7-F7, "")</f>
        <v>-43829.219999999972</v>
      </c>
      <c r="H7" s="21">
        <f t="shared" si="2"/>
        <v>-8.6734334239900984E-2</v>
      </c>
      <c r="I7" s="20">
        <f>SUM(Jul!I7, Aug!I7, Sep!J7)</f>
        <v>502741</v>
      </c>
      <c r="J7" s="20">
        <f t="shared" si="3"/>
        <v>-41243</v>
      </c>
      <c r="K7" s="21">
        <f t="shared" si="4"/>
        <v>-8.2036277128780033E-2</v>
      </c>
    </row>
    <row r="8" spans="1:13" ht="15.6">
      <c r="A8" s="13" t="str">
        <v>CA: Elk Grove Promenade - Citi</v>
      </c>
      <c r="B8" s="10" t="str">
        <v>CA</v>
      </c>
      <c r="C8" s="26">
        <f>SUM(Jul!C8, Aug!C8, Sep!C8)</f>
        <v>238397.75</v>
      </c>
      <c r="D8" s="128">
        <f>SUM(Jul!D8,Aug!D8,Sep!D8)</f>
        <v>269083</v>
      </c>
      <c r="E8" s="82">
        <f t="shared" si="5"/>
        <v>0.88596362460653399</v>
      </c>
      <c r="F8" s="14">
        <f>SUM(Jul!F8, Aug!F8, Sep!G8)</f>
        <v>254437.55800000002</v>
      </c>
      <c r="G8" s="14">
        <f t="shared" si="6"/>
        <v>-16039.808000000019</v>
      </c>
      <c r="H8" s="15">
        <f t="shared" si="2"/>
        <v>-6.3040252885936038E-2</v>
      </c>
      <c r="I8" s="16">
        <f>SUM(Jul!I8, Aug!I8, Sep!J8)</f>
        <v>267218.08600000001</v>
      </c>
      <c r="J8" s="16">
        <f t="shared" si="3"/>
        <v>-28820.33600000001</v>
      </c>
      <c r="K8" s="17">
        <f t="shared" si="4"/>
        <v>-0.10785323864642908</v>
      </c>
    </row>
    <row r="9" spans="1:13" ht="15.6">
      <c r="A9" s="19" t="str">
        <v>CA: Fresno Sequioa - Citi</v>
      </c>
      <c r="B9" s="11" t="str">
        <v>CA</v>
      </c>
      <c r="C9" s="12">
        <f>SUM(Jul!C9, Aug!C9, Sep!C9)</f>
        <v>467821.5</v>
      </c>
      <c r="D9" s="12">
        <f>SUM(Jul!D9,Aug!D9,Sep!D9)</f>
        <v>509820</v>
      </c>
      <c r="E9" s="80">
        <f t="shared" si="5"/>
        <v>0.91762092503236437</v>
      </c>
      <c r="F9" s="20">
        <f>SUM(Jul!F9, Aug!F9, Sep!G9)</f>
        <v>509125.44200000004</v>
      </c>
      <c r="G9" s="20">
        <f t="shared" si="6"/>
        <v>-41303.942000000039</v>
      </c>
      <c r="H9" s="21">
        <f t="shared" si="2"/>
        <v>-8.1127240150768262E-2</v>
      </c>
      <c r="I9" s="20">
        <f>SUM(Jul!I9, Aug!I9, Sep!J9)</f>
        <v>504875</v>
      </c>
      <c r="J9" s="20">
        <f t="shared" si="3"/>
        <v>-37053.5</v>
      </c>
      <c r="K9" s="21">
        <f t="shared" si="4"/>
        <v>-7.3391433523149294E-2</v>
      </c>
    </row>
    <row r="10" spans="1:13" ht="15.6">
      <c r="A10" s="13" t="str">
        <v>CA: Fresno MOB - Citi</v>
      </c>
      <c r="B10" s="10" t="str">
        <v>CA</v>
      </c>
      <c r="C10" s="26">
        <f>SUM(Jul!C10, Aug!C10, Sep!C10)</f>
        <v>183237.88</v>
      </c>
      <c r="D10" s="128">
        <f>SUM(Jul!D10,Aug!D10,Sep!D10)</f>
        <v>204972</v>
      </c>
      <c r="E10" s="82">
        <f t="shared" si="5"/>
        <v>0.89396541966707654</v>
      </c>
      <c r="F10" s="14">
        <f>SUM(Jul!F10, Aug!F10, Sep!G10)</f>
        <v>185174.05300000001</v>
      </c>
      <c r="G10" s="14">
        <f t="shared" si="6"/>
        <v>-1936.1730000000098</v>
      </c>
      <c r="H10" s="15">
        <f t="shared" si="2"/>
        <v>-1.0455962747653471E-2</v>
      </c>
      <c r="I10" s="16">
        <f>SUM(Jul!I10, Aug!I10, Sep!J10)</f>
        <v>205219</v>
      </c>
      <c r="J10" s="16">
        <f t="shared" si="3"/>
        <v>-21981.119999999995</v>
      </c>
      <c r="K10" s="17">
        <f t="shared" si="4"/>
        <v>-0.10711055019272092</v>
      </c>
    </row>
    <row r="11" spans="1:13" ht="15.6">
      <c r="A11" s="19" t="str">
        <v>CA: Modesto Bangs - Citi</v>
      </c>
      <c r="B11" s="11" t="str">
        <v>CA</v>
      </c>
      <c r="C11" s="12">
        <f>SUM(Jul!C11, Aug!C11, Sep!C11)</f>
        <v>107974.25</v>
      </c>
      <c r="D11" s="12">
        <f>SUM(Jul!D11,Aug!D11,Sep!D11)</f>
        <v>140504</v>
      </c>
      <c r="E11" s="80">
        <f t="shared" si="5"/>
        <v>0.76847812161931328</v>
      </c>
      <c r="F11" s="20">
        <f>SUM(Jul!F11, Aug!F11, Sep!G11)</f>
        <v>69396.679000000004</v>
      </c>
      <c r="G11" s="20">
        <f t="shared" si="6"/>
        <v>38577.570999999996</v>
      </c>
      <c r="H11" s="21">
        <f t="shared" si="2"/>
        <v>0.55589938244739345</v>
      </c>
      <c r="I11" s="20">
        <f>SUM(Jul!I11, Aug!I11, Sep!J11)</f>
        <v>139818</v>
      </c>
      <c r="J11" s="20">
        <f t="shared" si="3"/>
        <v>-31843.75</v>
      </c>
      <c r="K11" s="21">
        <f t="shared" si="4"/>
        <v>-0.22775143400706632</v>
      </c>
      <c r="M11" s="20"/>
    </row>
    <row r="12" spans="1:13" ht="15.6">
      <c r="A12" s="13" t="str">
        <v>CA: Napa Data Center - Citi</v>
      </c>
      <c r="B12" s="10" t="str">
        <v>CA</v>
      </c>
      <c r="C12" s="26">
        <f>SUM(Jul!C12, Aug!C12, Sep!C12)</f>
        <v>123767.75</v>
      </c>
      <c r="D12" s="128">
        <f>SUM(Jul!D12,Aug!D12,Sep!D12)</f>
        <v>147673</v>
      </c>
      <c r="E12" s="82">
        <f t="shared" si="5"/>
        <v>0.83812037406973516</v>
      </c>
      <c r="F12" s="14">
        <f>SUM(Jul!F12, Aug!F12, Sep!G12)</f>
        <v>186048.54199999999</v>
      </c>
      <c r="G12" s="14">
        <f t="shared" si="6"/>
        <v>-62280.791999999987</v>
      </c>
      <c r="H12" s="15">
        <f t="shared" si="2"/>
        <v>-0.33475560372840757</v>
      </c>
      <c r="I12" s="16">
        <f>SUM(Jul!I12, Aug!I12, Sep!J12)</f>
        <v>142169</v>
      </c>
      <c r="J12" s="16">
        <f t="shared" si="3"/>
        <v>-18401.25</v>
      </c>
      <c r="K12" s="17">
        <f t="shared" si="4"/>
        <v>-0.12943222502795967</v>
      </c>
    </row>
    <row r="13" spans="1:13" ht="15.6">
      <c r="A13" s="19" t="str">
        <v>CA: Petaluma MOB - Citi</v>
      </c>
      <c r="B13" s="11" t="str">
        <v>CA</v>
      </c>
      <c r="C13" s="12">
        <f>SUM(Jul!C13, Aug!C13, Sep!C13)</f>
        <v>253999</v>
      </c>
      <c r="D13" s="12">
        <f>SUM(Jul!D13,Aug!D13,Sep!D13)</f>
        <v>345890</v>
      </c>
      <c r="E13" s="80">
        <f t="shared" si="5"/>
        <v>0.73433461505102782</v>
      </c>
      <c r="F13" s="20">
        <f>SUM(Jul!F13, Aug!F13, Sep!G13)</f>
        <v>257129.76199999999</v>
      </c>
      <c r="G13" s="20">
        <f t="shared" si="6"/>
        <v>-3130.7619999999879</v>
      </c>
      <c r="H13" s="21">
        <f t="shared" si="2"/>
        <v>-1.2175805615220801E-2</v>
      </c>
      <c r="I13" s="20">
        <f>SUM(Jul!I13, Aug!I13, Sep!J13)</f>
        <v>332853</v>
      </c>
      <c r="J13" s="20">
        <f t="shared" si="3"/>
        <v>-78854</v>
      </c>
      <c r="K13" s="21">
        <f t="shared" si="4"/>
        <v>-0.23690337776736278</v>
      </c>
    </row>
    <row r="14" spans="1:13" ht="15.6">
      <c r="A14" s="13" t="str">
        <v>CA: Pleasanton Tec Ctr - Citi</v>
      </c>
      <c r="B14" s="10" t="str">
        <v>CA</v>
      </c>
      <c r="C14" s="26">
        <f>SUM(Jul!C14, Aug!C14, Sep!C14)</f>
        <v>407958.5</v>
      </c>
      <c r="D14" s="128">
        <f>SUM(Jul!D14,Aug!D14,Sep!D14)</f>
        <v>485068</v>
      </c>
      <c r="E14" s="82">
        <f t="shared" si="5"/>
        <v>0.84103362827479855</v>
      </c>
      <c r="F14" s="14">
        <f>SUM(Jul!F14, Aug!F14, Sep!G14)</f>
        <v>431869.79700000002</v>
      </c>
      <c r="G14" s="14">
        <f t="shared" si="6"/>
        <v>-23911.29700000002</v>
      </c>
      <c r="H14" s="15">
        <f t="shared" si="2"/>
        <v>-5.5366911893586342E-2</v>
      </c>
      <c r="I14" s="16">
        <f>SUM(Jul!I14, Aug!I14, Sep!J14)</f>
        <v>480567</v>
      </c>
      <c r="J14" s="16">
        <f t="shared" si="3"/>
        <v>-72608.5</v>
      </c>
      <c r="K14" s="17">
        <f t="shared" si="4"/>
        <v>-0.15108923417546358</v>
      </c>
    </row>
    <row r="15" spans="1:13" ht="15.6">
      <c r="A15" s="19" t="str">
        <v>CA: Rancho Cordova - Citi</v>
      </c>
      <c r="B15" s="11" t="str">
        <v>CA</v>
      </c>
      <c r="C15" s="12">
        <f>SUM(Jul!C15, Aug!C15, Sep!C15)</f>
        <v>611986</v>
      </c>
      <c r="D15" s="12">
        <f>SUM(Jul!D15,Aug!D15,Sep!D15)</f>
        <v>697236</v>
      </c>
      <c r="E15" s="80">
        <f t="shared" si="5"/>
        <v>0.87773149980781251</v>
      </c>
      <c r="F15" s="20">
        <f>SUM(Jul!F15, Aug!F15, Sep!G15)</f>
        <v>689583.26399999997</v>
      </c>
      <c r="G15" s="20">
        <f t="shared" si="6"/>
        <v>-77597.263999999966</v>
      </c>
      <c r="H15" s="21">
        <f t="shared" si="2"/>
        <v>-0.11252776575505749</v>
      </c>
      <c r="I15" s="20">
        <f>SUM(Jul!I15, Aug!I15, Sep!J15)</f>
        <v>693063</v>
      </c>
      <c r="J15" s="20">
        <f t="shared" si="3"/>
        <v>-81077</v>
      </c>
      <c r="K15" s="21">
        <f t="shared" si="4"/>
        <v>-0.11698359312212599</v>
      </c>
    </row>
    <row r="16" spans="1:13" ht="15.6">
      <c r="A16" s="13" t="str">
        <v>CA: S Sacramento Wyndham - Citi</v>
      </c>
      <c r="B16" s="10" t="str">
        <v>CA</v>
      </c>
      <c r="C16" s="26">
        <f>SUM(Jul!C16, Aug!C16, Sep!C16)</f>
        <v>353104</v>
      </c>
      <c r="D16" s="128">
        <f>SUM(Jul!D16,Aug!D16,Sep!D16)</f>
        <v>438015</v>
      </c>
      <c r="E16" s="82">
        <f t="shared" si="5"/>
        <v>0.80614590824515142</v>
      </c>
      <c r="F16" s="14">
        <f>SUM(Jul!F16, Aug!F16, Sep!G16)</f>
        <v>384673.09299999999</v>
      </c>
      <c r="G16" s="14">
        <f t="shared" si="6"/>
        <v>-31569.092999999993</v>
      </c>
      <c r="H16" s="15">
        <f t="shared" si="2"/>
        <v>-8.2067328270345116E-2</v>
      </c>
      <c r="I16" s="16">
        <f>SUM(Jul!I16, Aug!I16, Sep!J16)</f>
        <v>434991</v>
      </c>
      <c r="J16" s="16">
        <f t="shared" si="3"/>
        <v>-81887</v>
      </c>
      <c r="K16" s="17">
        <f t="shared" si="4"/>
        <v>-0.1882498718364288</v>
      </c>
    </row>
    <row r="17" spans="1:11" ht="15.6">
      <c r="A17" s="19" t="str">
        <v>CA: Sacramento Point West - Citi</v>
      </c>
      <c r="B17" s="11" t="str">
        <v>CA</v>
      </c>
      <c r="C17" s="12">
        <f>SUM(Jul!C17, Aug!C17, Sep!C17)</f>
        <v>693080</v>
      </c>
      <c r="D17" s="12">
        <f>SUM(Jul!D17,Aug!D17,Sep!D17)</f>
        <v>839782</v>
      </c>
      <c r="E17" s="80">
        <f t="shared" si="5"/>
        <v>0.82530942554139053</v>
      </c>
      <c r="F17" s="20">
        <f>SUM(Jul!F17, Aug!F17, Sep!G17)</f>
        <v>789406.45500000007</v>
      </c>
      <c r="G17" s="20">
        <f t="shared" si="6"/>
        <v>-96326.455000000075</v>
      </c>
      <c r="H17" s="21">
        <f t="shared" si="2"/>
        <v>-0.12202390085599195</v>
      </c>
      <c r="I17" s="20">
        <f>SUM(Jul!I17, Aug!I17, Sep!J17)</f>
        <v>832599</v>
      </c>
      <c r="J17" s="20">
        <f t="shared" si="3"/>
        <v>-139519</v>
      </c>
      <c r="K17" s="21">
        <f t="shared" si="4"/>
        <v>-0.16757046309207674</v>
      </c>
    </row>
    <row r="18" spans="1:11" ht="12.75" customHeight="1">
      <c r="A18" s="13" t="str">
        <v>CA: San Jose FHC - Citi</v>
      </c>
      <c r="B18" s="10" t="str">
        <v>CA</v>
      </c>
      <c r="C18" s="26">
        <f>SUM(Jul!C18, Aug!C18, Sep!C18)</f>
        <v>137568.25</v>
      </c>
      <c r="D18" s="128">
        <f>SUM(Jul!D18,Aug!D18,Sep!D18)</f>
        <v>167296</v>
      </c>
      <c r="E18" s="82">
        <f t="shared" si="5"/>
        <v>0.82230447828997699</v>
      </c>
      <c r="F18" s="14">
        <f>SUM(Jul!F18, Aug!F18, Sep!G18)</f>
        <v>154293.859</v>
      </c>
      <c r="G18" s="14">
        <f t="shared" si="6"/>
        <v>-16725.608999999997</v>
      </c>
      <c r="H18" s="15">
        <f t="shared" si="2"/>
        <v>-0.10840100253115062</v>
      </c>
      <c r="I18" s="16">
        <f>SUM(Jul!I18, Aug!I18, Sep!J18)</f>
        <v>171468</v>
      </c>
      <c r="J18" s="16">
        <f t="shared" si="3"/>
        <v>-33899.75</v>
      </c>
      <c r="K18" s="17">
        <f t="shared" si="4"/>
        <v>-0.19770306996057574</v>
      </c>
    </row>
    <row r="19" spans="1:11" ht="15.6">
      <c r="A19" s="19" t="str">
        <v>CA: San Jose MOB - Citi</v>
      </c>
      <c r="B19" s="11" t="str">
        <v>CA</v>
      </c>
      <c r="C19" s="12">
        <f>SUM(Jul!C19, Aug!C19, Sep!C19)</f>
        <v>215929.75</v>
      </c>
      <c r="D19" s="12">
        <f>SUM(Jul!D19,Aug!D19,Sep!D19)</f>
        <v>266797</v>
      </c>
      <c r="E19" s="80">
        <f t="shared" si="5"/>
        <v>0.80934099708767337</v>
      </c>
      <c r="F19" s="20">
        <f>SUM(Jul!F19, Aug!F19, Sep!G19)</f>
        <v>242061.34600000002</v>
      </c>
      <c r="G19" s="20">
        <f t="shared" si="6"/>
        <v>-26131.59600000002</v>
      </c>
      <c r="H19" s="21">
        <f t="shared" si="2"/>
        <v>-0.10795443564954818</v>
      </c>
      <c r="I19" s="20">
        <f>SUM(Jul!I19, Aug!I19, Sep!J19)</f>
        <v>269073</v>
      </c>
      <c r="J19" s="20">
        <f t="shared" si="3"/>
        <v>-53143.25</v>
      </c>
      <c r="K19" s="21">
        <f t="shared" si="4"/>
        <v>-0.19750495218769629</v>
      </c>
    </row>
    <row r="20" spans="1:11" ht="15.6">
      <c r="A20" s="13" t="str">
        <v>CA: Selma - Citi</v>
      </c>
      <c r="B20" s="10" t="str">
        <v>CA</v>
      </c>
      <c r="C20" s="26">
        <f>SUM(Jul!C20, Aug!C20, Sep!C20)</f>
        <v>127535.87</v>
      </c>
      <c r="D20" s="128">
        <f>SUM(Jul!D20,Aug!D20,Sep!D20)</f>
        <v>153772</v>
      </c>
      <c r="E20" s="82">
        <f t="shared" si="5"/>
        <v>0.82938291756626692</v>
      </c>
      <c r="F20" s="14">
        <f>SUM(Jul!F20, Aug!F20, Sep!G20)</f>
        <v>152910.02000000002</v>
      </c>
      <c r="G20" s="14">
        <f t="shared" si="6"/>
        <v>-25374.150000000023</v>
      </c>
      <c r="H20" s="15">
        <f t="shared" si="2"/>
        <v>-0.16594170872517067</v>
      </c>
      <c r="I20" s="16">
        <f>SUM(Jul!I20, Aug!I20, Sep!J20)</f>
        <v>152724</v>
      </c>
      <c r="J20" s="16">
        <f t="shared" si="3"/>
        <v>-25188.130000000005</v>
      </c>
      <c r="K20" s="17">
        <f t="shared" si="4"/>
        <v>-0.16492581388648808</v>
      </c>
    </row>
    <row r="21" spans="1:11" ht="15.6">
      <c r="A21" s="19" t="str">
        <v>CA: Vacaville Hospital</v>
      </c>
      <c r="B21" s="11" t="str">
        <v>CA</v>
      </c>
      <c r="C21" s="12">
        <f>SUM(Jul!C21, Aug!C21, Sep!C21)</f>
        <v>518760.25</v>
      </c>
      <c r="D21" s="12">
        <f>SUM(Jul!D21,Aug!D21,Sep!D21)</f>
        <v>1082113</v>
      </c>
      <c r="E21" s="80">
        <f t="shared" si="5"/>
        <v>0.47939563613042263</v>
      </c>
      <c r="F21" s="20">
        <f>SUM(Jul!F21, Aug!F21, Sep!G21)</f>
        <v>1093980.9920000001</v>
      </c>
      <c r="G21" s="20">
        <f t="shared" si="6"/>
        <v>-575220.74200000009</v>
      </c>
      <c r="H21" s="21">
        <f t="shared" si="2"/>
        <v>-0.52580506078847855</v>
      </c>
      <c r="I21" s="20">
        <f>SUM(Jul!I21, Aug!I21, Sep!J21)</f>
        <v>1068170</v>
      </c>
      <c r="J21" s="20">
        <f t="shared" si="3"/>
        <v>-549409.75</v>
      </c>
      <c r="K21" s="21">
        <f t="shared" si="4"/>
        <v>-0.51434673319789925</v>
      </c>
    </row>
    <row r="22" spans="1:11" ht="15.6">
      <c r="A22" s="13" t="str">
        <v>CA: Manteca - KP Manteca Hospital</v>
      </c>
      <c r="B22" s="10" t="str">
        <v>CA</v>
      </c>
      <c r="C22" s="26">
        <f>SUM(Jul!C22, Aug!C22, Sep!C22)</f>
        <v>302855.5</v>
      </c>
      <c r="D22" s="128">
        <f>SUM(Jul!D22,Aug!D22,Sep!D22)</f>
        <v>345256</v>
      </c>
      <c r="E22" s="82">
        <f t="shared" si="5"/>
        <v>0.87719112774289221</v>
      </c>
      <c r="F22" s="14">
        <f>SUM(Jul!F22, Aug!F22, Sep!G22)</f>
        <v>301886.33600000001</v>
      </c>
      <c r="G22" s="14">
        <f t="shared" si="6"/>
        <v>969.16399999998976</v>
      </c>
      <c r="H22" s="15">
        <f t="shared" si="2"/>
        <v>3.2103606040651991E-3</v>
      </c>
      <c r="I22" s="16">
        <f>SUM(Jul!I22, Aug!I22, Sep!J22)</f>
        <v>338437.03899999999</v>
      </c>
      <c r="J22" s="16">
        <f t="shared" si="3"/>
        <v>-35581.53899999999</v>
      </c>
      <c r="K22" s="17">
        <f t="shared" si="4"/>
        <v>-0.1051348844829008</v>
      </c>
    </row>
    <row r="23" spans="1:11" ht="15.6">
      <c r="A23" s="19" t="str">
        <v>Sacramento - KP South Sacramento HSP</v>
      </c>
      <c r="B23" s="11" t="str">
        <v>CA</v>
      </c>
      <c r="C23" s="12">
        <f>SUM(Jul!C23, Aug!C23, Sep!C23)</f>
        <v>757303.26</v>
      </c>
      <c r="D23" s="12">
        <f>SUM(Jul!D23,Aug!D23,Sep!D23)</f>
        <v>0</v>
      </c>
      <c r="E23" s="80" t="str">
        <f>IFERROR(C23/D23, "")</f>
        <v/>
      </c>
      <c r="F23" s="20">
        <f>SUM(Jul!F23, Aug!F23, Sep!G23)</f>
        <v>663422.39599999995</v>
      </c>
      <c r="G23" s="20">
        <f t="shared" si="6"/>
        <v>93880.86400000006</v>
      </c>
      <c r="H23" s="21">
        <f t="shared" si="2"/>
        <v>0.14150994082509097</v>
      </c>
      <c r="I23" s="20">
        <f>SUM(Jul!I23, Aug!I23, Sep!J23)</f>
        <v>1137934</v>
      </c>
      <c r="J23" s="20">
        <f t="shared" si="3"/>
        <v>-380630.74</v>
      </c>
      <c r="K23" s="21">
        <f t="shared" si="4"/>
        <v>-0.3344928088975283</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F24:F95 I24:I95">
    <cfRule type="cellIs" dxfId="34" priority="7" stopIfTrue="1" operator="lessThanOrEqual">
      <formula>-0.1</formula>
    </cfRule>
    <cfRule type="expression" dxfId="33"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I5" sqref="I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32" t="str" cm="1">
        <f t="array" ref="A1">portfolio</f>
        <v>CITI</v>
      </c>
      <c r="B1" s="132"/>
      <c r="C1" s="132"/>
      <c r="D1" s="74" t="s">
        <v>0</v>
      </c>
      <c r="E1" s="75" t="s">
        <v>1</v>
      </c>
      <c r="F1" s="133" t="s">
        <v>18</v>
      </c>
      <c r="G1" s="133"/>
      <c r="H1" s="133"/>
      <c r="I1" s="131" t="s">
        <v>19</v>
      </c>
      <c r="J1" s="131"/>
      <c r="K1" s="131"/>
    </row>
    <row r="2" spans="1:11" ht="19.5" customHeight="1">
      <c r="A2" s="134" t="s">
        <v>4</v>
      </c>
      <c r="B2" s="134"/>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str">
        <f t="shared" ref="E4:E21" si="0">IFERROR(C4/D4, "")</f>
        <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23" t="str">
        <f t="shared" si="0"/>
        <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str">
        <f t="shared" si="0"/>
        <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23" t="str">
        <f t="shared" si="0"/>
        <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str">
        <f t="shared" si="0"/>
        <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23" t="str">
        <f t="shared" si="0"/>
        <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str">
        <f t="shared" si="0"/>
        <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23" t="str">
        <f t="shared" si="0"/>
        <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str">
        <f t="shared" si="0"/>
        <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23" t="str">
        <f t="shared" si="0"/>
        <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str">
        <f t="shared" si="0"/>
        <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23" t="str">
        <f t="shared" si="0"/>
        <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str">
        <f t="shared" si="0"/>
        <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23" t="str">
        <f t="shared" si="0"/>
        <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str">
        <f t="shared" si="0"/>
        <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23" t="str">
        <f t="shared" si="0"/>
        <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str">
        <f t="shared" si="0"/>
        <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23" t="str">
        <f t="shared" si="0"/>
        <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str">
        <f>IFERROR(C22/D22, "")</f>
        <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t="str">
        <v>Sacramento - KP South Sacramento HSP</v>
      </c>
      <c r="B23" s="23" t="str">
        <v>CA</v>
      </c>
      <c r="C23" s="23"/>
      <c r="D23" s="23"/>
      <c r="E23" s="23" t="str">
        <f>IFERROR(C23/D23, "")</f>
        <v/>
      </c>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H4" sqref="H4"/>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32" t="str" cm="1">
        <f t="array" ref="A1">portfolio</f>
        <v>CITI</v>
      </c>
      <c r="B1" s="132"/>
      <c r="C1" s="132"/>
      <c r="D1" s="76" t="s">
        <v>0</v>
      </c>
      <c r="E1" s="76" t="s">
        <v>1</v>
      </c>
      <c r="F1" s="133" t="s">
        <v>20</v>
      </c>
      <c r="G1" s="133"/>
      <c r="H1" s="133"/>
      <c r="I1" s="131" t="s">
        <v>21</v>
      </c>
      <c r="J1" s="131"/>
      <c r="K1" s="131"/>
      <c r="L1" s="5"/>
      <c r="M1" s="5"/>
    </row>
    <row r="2" spans="1:14" ht="19.5" customHeight="1">
      <c r="A2" s="134" t="s">
        <v>4</v>
      </c>
      <c r="B2" s="134"/>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30" priority="2" stopIfTrue="1" operator="lessThanOrEqual">
      <formula>-0.1</formula>
    </cfRule>
    <cfRule type="expression" dxfId="29"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32" t="str" cm="1">
        <f t="array" ref="A1">portfolio</f>
        <v>CITI</v>
      </c>
      <c r="B1" s="132"/>
      <c r="C1" s="132"/>
      <c r="D1" s="76" t="s">
        <v>0</v>
      </c>
      <c r="E1" s="76" t="s">
        <v>1</v>
      </c>
      <c r="F1" s="133" t="s">
        <v>44</v>
      </c>
      <c r="G1" s="133"/>
      <c r="H1" s="133"/>
      <c r="I1" s="131" t="s">
        <v>45</v>
      </c>
      <c r="J1" s="131"/>
      <c r="K1" s="131"/>
      <c r="L1" s="5"/>
      <c r="M1" s="5"/>
    </row>
    <row r="2" spans="1:17" ht="19.5" customHeight="1">
      <c r="A2" s="134" t="s">
        <v>4</v>
      </c>
      <c r="B2" s="134"/>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8" priority="1" stopIfTrue="1" operator="lessThanOrEqual">
      <formula>-0.1</formula>
    </cfRule>
    <cfRule type="expression" dxfId="27"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F4" sqref="F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32" t="str" cm="1">
        <f t="array" ref="A1">portfolio</f>
        <v>CITI</v>
      </c>
      <c r="B1" s="132"/>
      <c r="C1" s="132"/>
      <c r="D1" s="76" t="s">
        <v>0</v>
      </c>
      <c r="E1" s="76" t="s">
        <v>1</v>
      </c>
      <c r="F1" s="76" t="s">
        <v>69</v>
      </c>
      <c r="G1" s="133" t="s">
        <v>70</v>
      </c>
      <c r="H1" s="133"/>
      <c r="I1" s="133"/>
      <c r="J1" s="131" t="s">
        <v>71</v>
      </c>
      <c r="K1" s="131"/>
      <c r="L1" s="131"/>
      <c r="M1" s="5"/>
      <c r="N1" s="5"/>
    </row>
    <row r="2" spans="1:17" ht="19.5" customHeight="1">
      <c r="A2" s="134" t="s">
        <v>4</v>
      </c>
      <c r="B2" s="134"/>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6" priority="1" stopIfTrue="1" operator="lessThanOrEqual">
      <formula>-0.1</formula>
    </cfRule>
    <cfRule type="expression" dxfId="25"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3" activePane="bottomLeft" state="frozen"/>
      <selection pane="bottomLeft" activeCell="E4" sqref="E4"/>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32" t="str" cm="1">
        <f t="array" ref="A1">portfolio</f>
        <v>CITI</v>
      </c>
      <c r="B1" s="132"/>
      <c r="C1" s="132"/>
      <c r="D1" s="76" t="s">
        <v>0</v>
      </c>
      <c r="E1" s="76" t="s">
        <v>1</v>
      </c>
      <c r="F1" s="133" t="s">
        <v>103</v>
      </c>
      <c r="G1" s="133"/>
      <c r="H1" s="133"/>
      <c r="I1" s="131" t="s">
        <v>104</v>
      </c>
      <c r="J1" s="131"/>
      <c r="K1" s="131"/>
      <c r="L1" s="5"/>
      <c r="M1" s="5"/>
    </row>
    <row r="2" spans="1:13" ht="19.5" customHeight="1">
      <c r="A2" s="134" t="s">
        <v>4</v>
      </c>
      <c r="B2" s="134"/>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7"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6" activePane="bottomLeft" state="frozen"/>
      <selection pane="bottomLeft" activeCell="D1" sqref="D1:E1"/>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32" t="str" cm="1">
        <f t="array" ref="A1">portfolio</f>
        <v>CITI</v>
      </c>
      <c r="B1" s="132"/>
      <c r="C1" s="132"/>
      <c r="D1" s="76" t="s">
        <v>0</v>
      </c>
      <c r="E1" s="76" t="s">
        <v>1</v>
      </c>
      <c r="F1" s="133" t="s">
        <v>135</v>
      </c>
      <c r="G1" s="133"/>
      <c r="H1" s="133"/>
      <c r="I1" s="131" t="s">
        <v>136</v>
      </c>
      <c r="J1" s="131"/>
      <c r="K1" s="131"/>
      <c r="L1" s="5"/>
      <c r="M1" s="64"/>
    </row>
    <row r="2" spans="1:15" ht="19.5" customHeight="1">
      <c r="A2" s="134" t="s">
        <v>4</v>
      </c>
      <c r="B2" s="134"/>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6.45">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8.9">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6">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1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5.15">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8.9">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5.15">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5.15">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2" priority="1" stopIfTrue="1" operator="lessThanOrEqual">
      <formula>-0.1</formula>
    </cfRule>
    <cfRule type="expression" dxfId="21"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50" zoomScaleNormal="50" workbookViewId="0">
      <pane ySplit="2" topLeftCell="A3" activePane="bottomLeft" state="frozen"/>
      <selection pane="bottomLeft" activeCell="L4" sqref="L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32" t="str" cm="1">
        <f t="array" ref="A1">portfolio</f>
        <v>CITI</v>
      </c>
      <c r="B1" s="132"/>
      <c r="C1" s="132"/>
      <c r="D1" s="76" t="s">
        <v>0</v>
      </c>
      <c r="E1" s="76" t="s">
        <v>1</v>
      </c>
      <c r="F1" s="76" t="s">
        <v>170</v>
      </c>
      <c r="G1" s="133" t="s">
        <v>171</v>
      </c>
      <c r="H1" s="133"/>
      <c r="I1" s="133"/>
      <c r="J1" s="131" t="s">
        <v>172</v>
      </c>
      <c r="K1" s="131"/>
      <c r="L1" s="131"/>
      <c r="M1" s="5"/>
      <c r="N1" s="5"/>
    </row>
    <row r="2" spans="1:18" ht="19.5" customHeight="1">
      <c r="A2" s="134" t="s">
        <v>4</v>
      </c>
      <c r="B2" s="134"/>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6.45">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86.45">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H4" sqref="H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9"/>
  </cols>
  <sheetData>
    <row r="1" spans="1:17" ht="19.5" customHeight="1">
      <c r="A1" s="132" t="str" cm="1">
        <f t="array" ref="A1">portfolio</f>
        <v>CITI</v>
      </c>
      <c r="B1" s="132"/>
      <c r="C1" s="132"/>
      <c r="D1" s="76" t="s">
        <v>0</v>
      </c>
      <c r="E1" s="76" t="s">
        <v>1</v>
      </c>
      <c r="F1" s="133" t="s">
        <v>202</v>
      </c>
      <c r="G1" s="133"/>
      <c r="H1" s="133"/>
      <c r="I1" s="131" t="s">
        <v>203</v>
      </c>
      <c r="J1" s="131"/>
      <c r="K1" s="131"/>
      <c r="L1" s="5"/>
      <c r="M1" s="5"/>
    </row>
    <row r="2" spans="1:17" ht="19.5" customHeight="1">
      <c r="A2" s="134" t="s">
        <v>4</v>
      </c>
      <c r="B2" s="134"/>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8.9">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8.9">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8.9">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1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8.9">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8.9">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9"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1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8" priority="5" stopIfTrue="1" operator="lessThanOrEqual">
      <formula>-0.1</formula>
    </cfRule>
    <cfRule type="expression" dxfId="17" priority="6">
      <formula>AND(ISNUMBER(H2), H2&gt;=0.1)</formula>
    </cfRule>
  </conditionalFormatting>
  <conditionalFormatting sqref="H4:H100 K4:K100">
    <cfRule type="cellIs" dxfId="16" priority="1" stopIfTrue="1" operator="lessThanOrEqual">
      <formula>-0.1</formula>
    </cfRule>
    <cfRule type="expression" dxfId="15"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50" zoomScaleNormal="50" workbookViewId="0">
      <pane ySplit="2" topLeftCell="A3" activePane="bottomLeft" state="frozen"/>
      <selection pane="bottomLeft" activeCell="L16" sqref="L16"/>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32" t="str" cm="1">
        <f t="array" ref="A1">portfolio</f>
        <v>CITI</v>
      </c>
      <c r="B1" s="132"/>
      <c r="C1" s="132"/>
      <c r="D1" s="76" t="s">
        <v>0</v>
      </c>
      <c r="E1" s="76" t="s">
        <v>1</v>
      </c>
      <c r="F1" s="135" t="s">
        <v>234</v>
      </c>
      <c r="G1" s="136"/>
      <c r="H1" s="137"/>
      <c r="I1" s="131" t="s">
        <v>235</v>
      </c>
      <c r="J1" s="131"/>
      <c r="K1" s="131"/>
      <c r="L1" s="5"/>
      <c r="M1" s="5"/>
    </row>
    <row r="2" spans="1:16" ht="19.5" customHeight="1">
      <c r="A2" s="134" t="s">
        <v>4</v>
      </c>
      <c r="B2" s="134"/>
      <c r="C2" s="6">
        <f>SUM(C4:C81)</f>
        <v>2436361.5799999996</v>
      </c>
      <c r="D2" s="6">
        <f>SUM(D4:D22)</f>
        <v>2706108</v>
      </c>
      <c r="E2" s="7">
        <f>C2/D2</f>
        <v>0.90031941814591276</v>
      </c>
      <c r="F2" s="6">
        <f>SUM(F4:F81)</f>
        <v>2978561.3200000003</v>
      </c>
      <c r="G2" s="6">
        <f>C2-F2</f>
        <v>-542199.74000000069</v>
      </c>
      <c r="H2" s="7">
        <f>IFERROR(G2/F2, 0)</f>
        <v>-0.1820341036322867</v>
      </c>
      <c r="I2" s="6">
        <f>SUM(I4:I81)</f>
        <v>3061726.1870000004</v>
      </c>
      <c r="J2" s="8">
        <f>C2-I2</f>
        <v>-625364.60700000077</v>
      </c>
      <c r="K2" s="7">
        <f>IFERROR(J2/I2, 0)</f>
        <v>-0.20425229716990387</v>
      </c>
      <c r="L2" s="28" t="str">
        <f ca="1">IF(AND(TODAY()&gt;DATE(2024, 8, 1), COUNTA(Sites[Site])&lt;&gt;(COUNT(C:C)-1)), "Some sites are missing actual data; if new sites were added, make sure they are aligned correctly (including prior months!)", "")</f>
        <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v>74969.5</v>
      </c>
      <c r="D4" s="78">
        <v>74036</v>
      </c>
      <c r="E4" s="79">
        <f t="shared" ref="E4:E22" si="0">C4/D4</f>
        <v>1.0126087308876763</v>
      </c>
      <c r="F4" s="14">
        <v>75945.850000000006</v>
      </c>
      <c r="G4" s="14">
        <f t="shared" ref="G4:G23" si="1">IF(AND(ISNUMBER(C4),ISNUMBER(F4)), C4-F4, "")</f>
        <v>-976.35000000000582</v>
      </c>
      <c r="H4" s="15">
        <f t="shared" ref="H4:H23" si="2">IFERROR(G4/F4, "")</f>
        <v>-1.2855870333928789E-2</v>
      </c>
      <c r="I4" s="16">
        <v>73471</v>
      </c>
      <c r="J4" s="16">
        <f t="shared" ref="J4:J23" si="3">IF(AND(ISNUMBER(C4),ISNUMBER(I4)), C4-I4, "")</f>
        <v>1498.5</v>
      </c>
      <c r="K4" s="17">
        <f>IFERROR(J4/I4, "")</f>
        <v>2.0395802425446776E-2</v>
      </c>
      <c r="L4" s="18"/>
      <c r="M4" s="58"/>
      <c r="N4" s="129"/>
      <c r="O4" s="129"/>
      <c r="P4" s="129"/>
    </row>
    <row r="5" spans="1:16" ht="15.6" customHeight="1">
      <c r="A5" s="32" t="str">
        <v>CA: Antioch MC CUP - Citi</v>
      </c>
      <c r="B5" s="33" t="str">
        <v>CA</v>
      </c>
      <c r="C5" s="12">
        <v>237085</v>
      </c>
      <c r="D5" s="12">
        <v>252293</v>
      </c>
      <c r="E5" s="80">
        <f t="shared" si="0"/>
        <v>0.93972088008783439</v>
      </c>
      <c r="F5" s="20">
        <v>259019.6</v>
      </c>
      <c r="G5" s="20">
        <f t="shared" si="1"/>
        <v>-21934.600000000006</v>
      </c>
      <c r="H5" s="21">
        <f t="shared" si="2"/>
        <v>-8.4683166833706816E-2</v>
      </c>
      <c r="I5" s="22">
        <v>249773</v>
      </c>
      <c r="J5" s="20">
        <f t="shared" si="3"/>
        <v>-12688</v>
      </c>
      <c r="K5" s="21">
        <f t="shared" ref="K5:K15" si="4">IFERROR(J5/I5, "")</f>
        <v>-5.0798124697225083E-2</v>
      </c>
      <c r="L5" s="57"/>
      <c r="M5" s="59"/>
      <c r="N5" s="129"/>
      <c r="O5" s="129"/>
      <c r="P5" s="129"/>
    </row>
    <row r="6" spans="1:16" ht="105.75" customHeight="1">
      <c r="A6" s="34" t="str">
        <v>CA: Clovis - Citi</v>
      </c>
      <c r="B6" s="31" t="str">
        <v>CA</v>
      </c>
      <c r="C6" s="37">
        <v>93874.25</v>
      </c>
      <c r="D6" s="78">
        <v>107365</v>
      </c>
      <c r="E6" s="79">
        <f t="shared" si="0"/>
        <v>0.8743468541889815</v>
      </c>
      <c r="F6" s="14">
        <v>22666.1</v>
      </c>
      <c r="G6" s="14">
        <f t="shared" si="1"/>
        <v>71208.149999999994</v>
      </c>
      <c r="H6" s="15">
        <f t="shared" si="2"/>
        <v>3.1416145697760092</v>
      </c>
      <c r="I6" s="16">
        <v>103658</v>
      </c>
      <c r="J6" s="16">
        <f t="shared" si="3"/>
        <v>-9783.75</v>
      </c>
      <c r="K6" s="17">
        <f t="shared" si="4"/>
        <v>-9.4384900345366493E-2</v>
      </c>
      <c r="L6" s="18" t="s">
        <v>236</v>
      </c>
      <c r="M6" s="101" t="s">
        <v>237</v>
      </c>
      <c r="N6" s="104" t="s">
        <v>238</v>
      </c>
      <c r="O6" s="104" t="s">
        <v>239</v>
      </c>
      <c r="P6" s="129"/>
    </row>
    <row r="7" spans="1:16" ht="39.75" customHeight="1">
      <c r="A7" s="32" t="str">
        <v>CA: Elk Grove MOB - Citi</v>
      </c>
      <c r="B7" s="33" t="str">
        <v>CA</v>
      </c>
      <c r="C7" s="12">
        <v>171267</v>
      </c>
      <c r="D7" s="12">
        <v>172569</v>
      </c>
      <c r="E7" s="80">
        <f t="shared" si="0"/>
        <v>0.99245519183630893</v>
      </c>
      <c r="F7" s="20">
        <v>180396.6</v>
      </c>
      <c r="G7" s="20">
        <f t="shared" si="1"/>
        <v>-9129.6000000000058</v>
      </c>
      <c r="H7" s="21">
        <f t="shared" si="2"/>
        <v>-5.0608492621257863E-2</v>
      </c>
      <c r="I7" s="22">
        <v>171449</v>
      </c>
      <c r="J7" s="20">
        <f t="shared" si="3"/>
        <v>-182</v>
      </c>
      <c r="K7" s="21">
        <f t="shared" si="4"/>
        <v>-1.0615401664634963E-3</v>
      </c>
      <c r="L7" s="84"/>
      <c r="M7" s="59"/>
      <c r="N7" s="129"/>
      <c r="O7" s="129"/>
      <c r="P7" s="129"/>
    </row>
    <row r="8" spans="1:16" ht="15.6" customHeight="1">
      <c r="A8" s="34" t="str">
        <v>CA: Elk Grove Promenade - Citi</v>
      </c>
      <c r="B8" s="31" t="str">
        <v>CA</v>
      </c>
      <c r="C8" s="37">
        <v>83452.5</v>
      </c>
      <c r="D8" s="78">
        <v>91788</v>
      </c>
      <c r="E8" s="79">
        <f t="shared" si="0"/>
        <v>0.90918747548699175</v>
      </c>
      <c r="F8" s="14">
        <v>87993.279999999999</v>
      </c>
      <c r="G8" s="14">
        <f t="shared" si="1"/>
        <v>-4540.7799999999988</v>
      </c>
      <c r="H8" s="15">
        <f t="shared" si="2"/>
        <v>-5.1603713374475856E-2</v>
      </c>
      <c r="I8" s="16">
        <v>91088.233999999997</v>
      </c>
      <c r="J8" s="16">
        <f t="shared" si="3"/>
        <v>-7635.7339999999967</v>
      </c>
      <c r="K8" s="17">
        <f t="shared" si="4"/>
        <v>-8.3827884949443598E-2</v>
      </c>
      <c r="L8" s="18"/>
      <c r="M8" s="58"/>
      <c r="N8" s="129"/>
      <c r="O8" s="129"/>
      <c r="P8" s="129"/>
    </row>
    <row r="9" spans="1:16" ht="70.5" customHeight="1">
      <c r="A9" s="32" t="str">
        <v>CA: Fresno Sequioa - Citi</v>
      </c>
      <c r="B9" s="33" t="str">
        <v>CA</v>
      </c>
      <c r="C9" s="12">
        <v>154583</v>
      </c>
      <c r="D9" s="12">
        <v>179046</v>
      </c>
      <c r="E9" s="80">
        <f t="shared" si="0"/>
        <v>0.86337030707192564</v>
      </c>
      <c r="F9" s="20">
        <v>173772.2</v>
      </c>
      <c r="G9" s="20">
        <f t="shared" si="1"/>
        <v>-19189.200000000012</v>
      </c>
      <c r="H9" s="21">
        <f t="shared" si="2"/>
        <v>-0.11042732957285463</v>
      </c>
      <c r="I9" s="22">
        <v>177309</v>
      </c>
      <c r="J9" s="20">
        <f t="shared" si="3"/>
        <v>-22726</v>
      </c>
      <c r="K9" s="21">
        <f t="shared" si="4"/>
        <v>-0.12817172281158881</v>
      </c>
      <c r="L9" s="84" t="s">
        <v>240</v>
      </c>
      <c r="M9" s="59"/>
      <c r="N9" s="129"/>
      <c r="O9" s="129"/>
      <c r="P9" s="129"/>
    </row>
    <row r="10" spans="1:16" ht="31.5" customHeight="1">
      <c r="A10" s="34" t="str">
        <v>CA: Fresno MOB - Citi</v>
      </c>
      <c r="B10" s="31" t="str">
        <v>CA</v>
      </c>
      <c r="C10" s="37">
        <v>62401.63</v>
      </c>
      <c r="D10" s="78">
        <v>72218</v>
      </c>
      <c r="E10" s="79">
        <f t="shared" si="0"/>
        <v>0.86407308427261897</v>
      </c>
      <c r="F10" s="14">
        <v>60214.48</v>
      </c>
      <c r="G10" s="14">
        <f t="shared" si="1"/>
        <v>2187.1499999999942</v>
      </c>
      <c r="H10" s="15">
        <f t="shared" si="2"/>
        <v>3.6322658603046877E-2</v>
      </c>
      <c r="I10" s="16">
        <v>72360</v>
      </c>
      <c r="J10" s="16">
        <f t="shared" si="3"/>
        <v>-9958.3700000000026</v>
      </c>
      <c r="K10" s="17">
        <f t="shared" si="4"/>
        <v>-0.13762258153676069</v>
      </c>
      <c r="L10" s="18" t="s">
        <v>241</v>
      </c>
      <c r="M10" s="101" t="s">
        <v>242</v>
      </c>
      <c r="N10" s="129"/>
      <c r="O10" s="129"/>
      <c r="P10" s="129"/>
    </row>
    <row r="11" spans="1:16" ht="57" customHeight="1">
      <c r="A11" s="32" t="str">
        <v>CA: Modesto Bangs - Citi</v>
      </c>
      <c r="B11" s="33" t="str">
        <v>CA</v>
      </c>
      <c r="C11" s="12">
        <v>37149.25</v>
      </c>
      <c r="D11" s="12">
        <v>49248</v>
      </c>
      <c r="E11" s="80">
        <f t="shared" si="0"/>
        <v>0.75433012508122155</v>
      </c>
      <c r="F11" s="20">
        <v>37576.22</v>
      </c>
      <c r="G11" s="20">
        <f t="shared" si="1"/>
        <v>-426.97000000000116</v>
      </c>
      <c r="H11" s="21">
        <f t="shared" si="2"/>
        <v>-1.1362771454925513E-2</v>
      </c>
      <c r="I11" s="22">
        <v>49007</v>
      </c>
      <c r="J11" s="20">
        <f t="shared" si="3"/>
        <v>-11857.75</v>
      </c>
      <c r="K11" s="21">
        <f t="shared" si="4"/>
        <v>-0.24196033219744117</v>
      </c>
      <c r="L11" s="84" t="s">
        <v>243</v>
      </c>
      <c r="M11" s="102" t="s">
        <v>178</v>
      </c>
      <c r="N11" s="129"/>
      <c r="O11" s="129"/>
      <c r="P11" s="129"/>
    </row>
    <row r="12" spans="1:16" ht="46.5" customHeight="1">
      <c r="A12" s="34" t="str">
        <v>CA: Napa Data Center - Citi</v>
      </c>
      <c r="B12" s="31" t="str">
        <v>CA</v>
      </c>
      <c r="C12" s="37">
        <v>43512.5</v>
      </c>
      <c r="D12" s="78">
        <v>50233</v>
      </c>
      <c r="E12" s="79">
        <f t="shared" si="0"/>
        <v>0.86621344534469369</v>
      </c>
      <c r="F12" s="14">
        <v>65876.740000000005</v>
      </c>
      <c r="G12" s="14">
        <f t="shared" si="1"/>
        <v>-22364.240000000005</v>
      </c>
      <c r="H12" s="15">
        <f t="shared" si="2"/>
        <v>-0.33948613729216115</v>
      </c>
      <c r="I12" s="16">
        <v>48341</v>
      </c>
      <c r="J12" s="16">
        <f t="shared" si="3"/>
        <v>-4828.5</v>
      </c>
      <c r="K12" s="17">
        <f t="shared" si="4"/>
        <v>-9.9884156306241076E-2</v>
      </c>
      <c r="L12" s="18" t="s">
        <v>244</v>
      </c>
      <c r="M12" s="101" t="s">
        <v>245</v>
      </c>
      <c r="N12" s="104" t="s">
        <v>246</v>
      </c>
      <c r="O12" s="129"/>
      <c r="P12" s="129"/>
    </row>
    <row r="13" spans="1:16" ht="72" customHeight="1">
      <c r="A13" s="32" t="str">
        <v>CA: Petaluma MOB - Citi</v>
      </c>
      <c r="B13" s="33" t="str">
        <v>CA</v>
      </c>
      <c r="C13" s="12">
        <v>91072.5</v>
      </c>
      <c r="D13" s="12">
        <v>119283</v>
      </c>
      <c r="E13" s="80">
        <f t="shared" si="0"/>
        <v>0.76349940896858726</v>
      </c>
      <c r="F13" s="20">
        <v>126782.39999999999</v>
      </c>
      <c r="G13" s="20">
        <f t="shared" si="1"/>
        <v>-35709.899999999994</v>
      </c>
      <c r="H13" s="21">
        <f t="shared" si="2"/>
        <v>-0.28166291220232459</v>
      </c>
      <c r="I13" s="22">
        <v>114787</v>
      </c>
      <c r="J13" s="20">
        <f t="shared" si="3"/>
        <v>-23714.5</v>
      </c>
      <c r="K13" s="21">
        <f t="shared" si="4"/>
        <v>-0.20659569463440983</v>
      </c>
      <c r="L13" s="84" t="s">
        <v>247</v>
      </c>
      <c r="M13" s="107" t="s">
        <v>248</v>
      </c>
      <c r="N13" s="104" t="s">
        <v>216</v>
      </c>
      <c r="O13" s="104" t="s">
        <v>217</v>
      </c>
      <c r="P13" s="129"/>
    </row>
    <row r="14" spans="1:16" ht="32.25" customHeight="1">
      <c r="A14" s="34" t="str">
        <v>CA: Pleasanton Tec Ctr - Citi</v>
      </c>
      <c r="B14" s="31" t="str">
        <v>CA</v>
      </c>
      <c r="C14" s="37">
        <v>147145.5</v>
      </c>
      <c r="D14" s="78">
        <v>168586</v>
      </c>
      <c r="E14" s="79">
        <f t="shared" si="0"/>
        <v>0.8728215866086152</v>
      </c>
      <c r="F14" s="14">
        <v>169457</v>
      </c>
      <c r="G14" s="14">
        <f t="shared" si="1"/>
        <v>-22311.5</v>
      </c>
      <c r="H14" s="15">
        <f t="shared" si="2"/>
        <v>-0.13166467009329799</v>
      </c>
      <c r="I14" s="16">
        <v>167017</v>
      </c>
      <c r="J14" s="16">
        <f t="shared" si="3"/>
        <v>-19871.5</v>
      </c>
      <c r="K14" s="17">
        <f t="shared" si="4"/>
        <v>-0.11897890633887569</v>
      </c>
      <c r="L14" s="18" t="s">
        <v>249</v>
      </c>
      <c r="M14" s="101" t="s">
        <v>250</v>
      </c>
      <c r="N14" s="129"/>
      <c r="O14" s="129"/>
      <c r="P14" s="129"/>
    </row>
    <row r="15" spans="1:16" ht="41.25" customHeight="1">
      <c r="A15" s="32" t="str">
        <v>CA: Rancho Cordova - Citi</v>
      </c>
      <c r="B15" s="33" t="str">
        <v>CA</v>
      </c>
      <c r="C15" s="12">
        <v>212613</v>
      </c>
      <c r="D15" s="12">
        <v>236652</v>
      </c>
      <c r="E15" s="80">
        <f t="shared" si="0"/>
        <v>0.89842046549363619</v>
      </c>
      <c r="F15" s="20">
        <v>246152.3</v>
      </c>
      <c r="G15" s="20">
        <f t="shared" si="1"/>
        <v>-33539.299999999988</v>
      </c>
      <c r="H15" s="21">
        <f t="shared" si="2"/>
        <v>-0.13625426209708374</v>
      </c>
      <c r="I15" s="22">
        <v>235236</v>
      </c>
      <c r="J15" s="20">
        <f t="shared" si="3"/>
        <v>-22623</v>
      </c>
      <c r="K15" s="21">
        <f t="shared" si="4"/>
        <v>-9.6171504361577315E-2</v>
      </c>
      <c r="L15" s="57" t="s">
        <v>251</v>
      </c>
      <c r="M15" s="107" t="s">
        <v>252</v>
      </c>
      <c r="N15" s="104" t="s">
        <v>253</v>
      </c>
      <c r="O15" s="129"/>
      <c r="P15" s="129"/>
    </row>
    <row r="16" spans="1:16" ht="15.6" customHeight="1">
      <c r="A16" s="34" t="str">
        <v>CA: S Sacramento Wyndham - Citi</v>
      </c>
      <c r="B16" s="31" t="str">
        <v>CA</v>
      </c>
      <c r="C16" s="37">
        <v>123325.5</v>
      </c>
      <c r="D16" s="78">
        <v>149229</v>
      </c>
      <c r="E16" s="79">
        <f t="shared" si="0"/>
        <v>0.8264177874273767</v>
      </c>
      <c r="F16" s="14">
        <v>132435.70000000001</v>
      </c>
      <c r="G16" s="14">
        <f t="shared" si="1"/>
        <v>-9110.2000000000116</v>
      </c>
      <c r="H16" s="15">
        <f t="shared" si="2"/>
        <v>-6.8789608844141051E-2</v>
      </c>
      <c r="I16" s="16">
        <v>148199</v>
      </c>
      <c r="J16" s="16">
        <f t="shared" si="3"/>
        <v>-24873.5</v>
      </c>
      <c r="K16" s="17">
        <f t="shared" ref="K16:K20" si="5">IFERROR(J16/I16, "")</f>
        <v>-0.16783851442992193</v>
      </c>
      <c r="L16" s="18" t="s">
        <v>254</v>
      </c>
      <c r="M16" s="58"/>
      <c r="N16" s="129"/>
      <c r="O16" s="129"/>
      <c r="P16" s="129"/>
    </row>
    <row r="17" spans="1:16" ht="33" customHeight="1">
      <c r="A17" s="32" t="str">
        <v>CA: Sacramento Point West - Citi</v>
      </c>
      <c r="B17" s="33" t="str">
        <v>CA</v>
      </c>
      <c r="C17" s="12">
        <v>243076</v>
      </c>
      <c r="D17" s="12">
        <v>286044</v>
      </c>
      <c r="E17" s="80">
        <f t="shared" si="0"/>
        <v>0.84978534770874414</v>
      </c>
      <c r="F17" s="20">
        <v>276686.40000000002</v>
      </c>
      <c r="G17" s="20">
        <f t="shared" si="1"/>
        <v>-33610.400000000023</v>
      </c>
      <c r="H17" s="21">
        <f t="shared" si="2"/>
        <v>-0.12147470927374826</v>
      </c>
      <c r="I17" s="22">
        <v>283690</v>
      </c>
      <c r="J17" s="20">
        <f t="shared" si="3"/>
        <v>-40614</v>
      </c>
      <c r="K17" s="21">
        <f t="shared" si="5"/>
        <v>-0.14316331206598751</v>
      </c>
      <c r="L17" s="84" t="s">
        <v>255</v>
      </c>
      <c r="M17" s="107" t="s">
        <v>93</v>
      </c>
      <c r="N17" s="104" t="s">
        <v>94</v>
      </c>
      <c r="O17" s="129"/>
      <c r="P17" s="129"/>
    </row>
    <row r="18" spans="1:16" ht="41.25" customHeight="1">
      <c r="A18" s="34" t="str">
        <v>CA: San Jose FHC - Citi</v>
      </c>
      <c r="B18" s="31" t="str">
        <v>CA</v>
      </c>
      <c r="C18" s="37">
        <v>48008.25</v>
      </c>
      <c r="D18" s="78">
        <v>57332</v>
      </c>
      <c r="E18" s="79">
        <f t="shared" si="0"/>
        <v>0.83737267145747574</v>
      </c>
      <c r="F18" s="14">
        <v>53385.25</v>
      </c>
      <c r="G18" s="14">
        <f t="shared" si="1"/>
        <v>-5377</v>
      </c>
      <c r="H18" s="15">
        <f t="shared" si="2"/>
        <v>-0.10072070468902927</v>
      </c>
      <c r="I18" s="16">
        <v>58762</v>
      </c>
      <c r="J18" s="16">
        <f t="shared" si="3"/>
        <v>-10753.75</v>
      </c>
      <c r="K18" s="17">
        <f t="shared" si="5"/>
        <v>-0.18300517341138831</v>
      </c>
      <c r="L18" s="18" t="s">
        <v>256</v>
      </c>
      <c r="M18" s="58"/>
      <c r="N18" s="129"/>
      <c r="O18" s="129"/>
      <c r="P18" s="129"/>
    </row>
    <row r="19" spans="1:16" ht="62.25" customHeight="1">
      <c r="A19" s="32" t="str">
        <v>CA: San Jose MOB - Citi</v>
      </c>
      <c r="B19" s="33" t="str">
        <v>CA</v>
      </c>
      <c r="C19" s="12">
        <v>74711.25</v>
      </c>
      <c r="D19" s="12">
        <v>91223</v>
      </c>
      <c r="E19" s="80">
        <f t="shared" si="0"/>
        <v>0.81899575764883858</v>
      </c>
      <c r="F19" s="20">
        <v>84294.44</v>
      </c>
      <c r="G19" s="20">
        <f t="shared" si="1"/>
        <v>-9583.1900000000023</v>
      </c>
      <c r="H19" s="21">
        <f t="shared" si="2"/>
        <v>-0.11368709490210745</v>
      </c>
      <c r="I19" s="22">
        <v>92001</v>
      </c>
      <c r="J19" s="20">
        <f t="shared" si="3"/>
        <v>-17289.75</v>
      </c>
      <c r="K19" s="21">
        <f t="shared" si="5"/>
        <v>-0.18793002249975543</v>
      </c>
      <c r="L19" s="84" t="s">
        <v>257</v>
      </c>
      <c r="M19" s="107" t="s">
        <v>258</v>
      </c>
      <c r="N19" s="104" t="s">
        <v>156</v>
      </c>
      <c r="O19" s="104" t="s">
        <v>259</v>
      </c>
      <c r="P19" s="129"/>
    </row>
    <row r="20" spans="1:16" ht="30" customHeight="1">
      <c r="A20" s="34" t="str">
        <v>CA: Selma - Citi</v>
      </c>
      <c r="B20" s="31" t="str">
        <v>CA</v>
      </c>
      <c r="C20" s="37">
        <v>41973.25</v>
      </c>
      <c r="D20" s="78">
        <v>54361</v>
      </c>
      <c r="E20" s="79">
        <f t="shared" si="0"/>
        <v>0.77212063795735919</v>
      </c>
      <c r="F20" s="14">
        <v>51426.16</v>
      </c>
      <c r="G20" s="14">
        <f t="shared" si="1"/>
        <v>-9452.9100000000035</v>
      </c>
      <c r="H20" s="15">
        <f t="shared" si="2"/>
        <v>-0.18381520222392655</v>
      </c>
      <c r="I20" s="16">
        <v>53941</v>
      </c>
      <c r="J20" s="16">
        <f t="shared" si="3"/>
        <v>-11967.75</v>
      </c>
      <c r="K20" s="17">
        <f t="shared" si="5"/>
        <v>-0.22186741068945701</v>
      </c>
      <c r="L20" s="18" t="s">
        <v>228</v>
      </c>
      <c r="M20" s="101" t="s">
        <v>128</v>
      </c>
      <c r="N20" s="129"/>
      <c r="O20" s="129"/>
      <c r="P20" s="129"/>
    </row>
    <row r="21" spans="1:16" ht="96" customHeight="1">
      <c r="A21" s="32" t="str">
        <v>CA: Vacaville Hospital</v>
      </c>
      <c r="B21" s="33" t="str">
        <v>CA</v>
      </c>
      <c r="C21" s="12">
        <v>142153.5</v>
      </c>
      <c r="D21" s="12">
        <v>372753</v>
      </c>
      <c r="E21" s="80">
        <f t="shared" si="0"/>
        <v>0.38136111580590903</v>
      </c>
      <c r="F21" s="20">
        <v>387141.7</v>
      </c>
      <c r="G21" s="20">
        <f t="shared" si="1"/>
        <v>-244988.2</v>
      </c>
      <c r="H21" s="21">
        <f t="shared" si="2"/>
        <v>-0.63281274014140043</v>
      </c>
      <c r="I21" s="22">
        <v>367738</v>
      </c>
      <c r="J21" s="20">
        <f t="shared" si="3"/>
        <v>-225584.5</v>
      </c>
      <c r="K21" s="21">
        <f>IFERROR(J21/I21, "")</f>
        <v>-0.61343809995159593</v>
      </c>
      <c r="L21" s="84" t="s">
        <v>260</v>
      </c>
      <c r="M21" s="107" t="s">
        <v>261</v>
      </c>
      <c r="N21" s="104" t="s">
        <v>262</v>
      </c>
      <c r="O21" s="104" t="s">
        <v>263</v>
      </c>
      <c r="P21" s="129"/>
    </row>
    <row r="22" spans="1:16" ht="50.45" customHeight="1">
      <c r="A22" s="34" t="str">
        <v>CA: Manteca - KP Manteca Hospital</v>
      </c>
      <c r="B22" s="31" t="str">
        <v>CA</v>
      </c>
      <c r="C22" s="37">
        <v>102640.13</v>
      </c>
      <c r="D22" s="78">
        <v>121849</v>
      </c>
      <c r="E22" s="79">
        <f t="shared" si="0"/>
        <v>0.84235512806834689</v>
      </c>
      <c r="F22" s="14">
        <v>104200.4</v>
      </c>
      <c r="G22" s="14">
        <f t="shared" si="1"/>
        <v>-1560.2699999999895</v>
      </c>
      <c r="H22" s="15">
        <f t="shared" si="2"/>
        <v>-1.497374290309816E-2</v>
      </c>
      <c r="I22" s="16">
        <v>115631.95299999999</v>
      </c>
      <c r="J22" s="16">
        <f t="shared" si="3"/>
        <v>-12991.822999999989</v>
      </c>
      <c r="K22" s="17">
        <f>IFERROR(J22/I22, "")</f>
        <v>-0.11235495607343059</v>
      </c>
      <c r="L22" s="18" t="s">
        <v>264</v>
      </c>
      <c r="M22" s="101" t="s">
        <v>232</v>
      </c>
      <c r="N22" s="129"/>
      <c r="O22" s="129"/>
      <c r="P22" s="129"/>
    </row>
    <row r="23" spans="1:16" ht="76.5" customHeight="1">
      <c r="A23" s="32" t="str">
        <v>Sacramento - KP South Sacramento HSP</v>
      </c>
      <c r="B23" s="33" t="str">
        <v>CA</v>
      </c>
      <c r="C23" s="12">
        <v>251348.07</v>
      </c>
      <c r="D23" s="12">
        <v>0</v>
      </c>
      <c r="E23" s="80" t="str">
        <f>IFERROR(C23/D23, "")</f>
        <v/>
      </c>
      <c r="F23" s="20">
        <v>383138.5</v>
      </c>
      <c r="G23" s="20">
        <f t="shared" si="1"/>
        <v>-131790.43</v>
      </c>
      <c r="H23" s="21">
        <f t="shared" si="2"/>
        <v>-0.3439759512552249</v>
      </c>
      <c r="I23" s="22">
        <v>388267</v>
      </c>
      <c r="J23" s="20">
        <f t="shared" si="3"/>
        <v>-136918.93</v>
      </c>
      <c r="K23" s="21">
        <f>IFERROR(J23/I23, "")</f>
        <v>-0.35264117218305957</v>
      </c>
      <c r="L23" s="84" t="s">
        <v>265</v>
      </c>
      <c r="M23" s="107" t="s">
        <v>266</v>
      </c>
      <c r="N23" s="104" t="s">
        <v>267</v>
      </c>
      <c r="O23" s="129"/>
      <c r="P23" s="129"/>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4" priority="3" stopIfTrue="1" operator="lessThanOrEqual">
      <formula>-0.1</formula>
    </cfRule>
    <cfRule type="expression" dxfId="13" priority="4">
      <formula>AND(ISNUMBER(H2), H2&gt;=0.1)</formula>
    </cfRule>
  </conditionalFormatting>
  <conditionalFormatting sqref="H4:H81 K4:K81">
    <cfRule type="cellIs" dxfId="12" priority="1" stopIfTrue="1" operator="lessThanOrEqual">
      <formula>-0.1</formula>
    </cfRule>
    <cfRule type="expression" dxfId="11" priority="2">
      <formula>AND(ISNUMBER(H4), H4&gt;=0.1)</formula>
    </cfRule>
  </conditionalFormatting>
  <hyperlinks>
    <hyperlink ref="M6" r:id="rId1" display="https://us3.assetplanner.com/service_request?ID=099622" xr:uid="{408A608B-A988-470B-9EE2-57E73314DDE0}"/>
    <hyperlink ref="N6" r:id="rId2" display="https://us3.assetplanner.com/service_request?ID=106793" xr:uid="{A63EC298-DB61-4375-8A21-D86094B555C8}"/>
    <hyperlink ref="O6" r:id="rId3" display="https://us3.assetplanner.com/service_request?ID=107034" xr:uid="{02719F11-4335-476F-B196-A951465B8321}"/>
    <hyperlink ref="M10" r:id="rId4" display="https://us3.assetplanner.com/service_request?ID=106951" xr:uid="{22C5522D-953F-47D7-9DF3-CB12B86EC17C}"/>
    <hyperlink ref="M11" r:id="rId5" display="https://us3.assetplanner.com/service_request?ID=099861" xr:uid="{F0020537-6082-4E47-B58D-0C4FD96D0B08}"/>
    <hyperlink ref="M12" r:id="rId6" display="https://us3.assetplanner.com/service_request?ID=105795" xr:uid="{72E7CD93-5430-4DBE-8F47-EC6DB9039CB4}"/>
    <hyperlink ref="N12" r:id="rId7" display="https://us3.assetplanner.com/service_request?ID=106807" xr:uid="{C243779A-C654-4588-B88D-6AE1D81FB72D}"/>
    <hyperlink ref="M13" r:id="rId8" display="https://us3.assetplanner.com/service_request?ID=099433" xr:uid="{E12431F5-C888-4372-B2FB-6324A1AB73F1}"/>
    <hyperlink ref="N13" r:id="rId9" display="https://us3.assetplanner.com/service_request?ID=104106" xr:uid="{6B10F8B9-E5D1-455E-8428-90928017EB9C}"/>
    <hyperlink ref="O13" r:id="rId10" display="https://us3.assetplanner.com/service_request?ID=105254" xr:uid="{8B88E410-4611-4099-9BB3-8DD2F32D2526}"/>
    <hyperlink ref="M14" r:id="rId11" display="https://us3.assetplanner.com/service_request?ID=105911" xr:uid="{DA875B92-566D-489C-AFAB-EE84262A99A7}"/>
    <hyperlink ref="M15" r:id="rId12" display="https://us3.assetplanner.com/service_request?ID=105142" xr:uid="{E2B94DCF-8485-4562-BDA4-2317E9E122B3}"/>
    <hyperlink ref="N15" r:id="rId13" display="https://us3.assetplanner.com/service_request?ID=107053" xr:uid="{CE0275FB-6A2B-423C-BC1B-F29BC0316818}"/>
    <hyperlink ref="M17" r:id="rId14" display="https://us3.assetplanner.com/service_request?ID=097653" xr:uid="{2A0965A7-438C-43CB-B10C-8378F077A0CC}"/>
    <hyperlink ref="N17" r:id="rId15" display="https://us3.assetplanner.com/service_request?ID=098986" xr:uid="{4D1FB095-BE43-4D31-B5F2-29E63A33897D}"/>
    <hyperlink ref="M19" r:id="rId16" display="https://us3.assetplanner.com/service_request?ID=104095" xr:uid="{31681F01-7E08-45E6-BA40-BAEF431392D7}"/>
    <hyperlink ref="N19" r:id="rId17" display="https://us3.assetplanner.com/service_request?ID=099435" xr:uid="{2B806524-7AD4-49EF-B920-6C97F5D0B199}"/>
    <hyperlink ref="O19" r:id="rId18" display="https://us3.assetplanner.com/service_request?ID=106602" xr:uid="{BFDB7DFE-AB7B-4EEF-AC2A-2BFE0BAF21FC}"/>
    <hyperlink ref="M20" r:id="rId19" display="https://us3.assetplanner.com/service_request?ID=101090" xr:uid="{2502F7C6-BB63-495B-81D7-B0672A847E3E}"/>
    <hyperlink ref="M21" r:id="rId20" display="https://us3.assetplanner.com/service_request?ID=100428" xr:uid="{D363792F-B307-4E43-A6F8-DC3DB1FFF5E8}"/>
    <hyperlink ref="N21" r:id="rId21" display="https://us3.assetplanner.com/service_request?ID=104327" xr:uid="{2D15F0AE-3CF8-4626-8D8D-990C4B662714}"/>
    <hyperlink ref="O21" r:id="rId22" display="https://us3.assetplanner.com/service_request?ID=105814" xr:uid="{236F91F8-72E1-41EF-8287-74679CE4F7AC}"/>
    <hyperlink ref="M22" r:id="rId23" display="https://us3.assetplanner.com/service_request?ID=099704" xr:uid="{23519412-A30D-4001-AAAF-E245F0AE0EE8}"/>
    <hyperlink ref="M23" r:id="rId24" display="https://us3.assetplanner.com/service_request?ID=102064" xr:uid="{CA4C2A5B-6A37-4631-8235-8D30DB283896}"/>
    <hyperlink ref="N23" r:id="rId25" display="https://us3.assetplanner.com/service_request?ID=106356" xr:uid="{D69E749F-D99E-42C5-BC2F-0152C3C7B78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42"/>
  <sheetViews>
    <sheetView tabSelected="1" topLeftCell="B1" zoomScale="85" zoomScaleNormal="85" workbookViewId="0">
      <pane ySplit="2" topLeftCell="A3" activePane="bottomLeft" state="frozen"/>
      <selection pane="bottomLeft" activeCell="O1" sqref="O1:R1048576"/>
      <selection activeCell="M45" sqref="M45"/>
    </sheetView>
  </sheetViews>
  <sheetFormatPr defaultRowHeight="14.25"/>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 min="15" max="18" width="9.140625" style="129"/>
  </cols>
  <sheetData>
    <row r="1" spans="1:18" ht="42">
      <c r="A1" s="132" t="str" cm="1">
        <f t="array" ref="A1">portfolio</f>
        <v>CITI</v>
      </c>
      <c r="B1" s="132"/>
      <c r="C1" s="132"/>
      <c r="D1" s="74" t="s">
        <v>0</v>
      </c>
      <c r="E1" s="75" t="s">
        <v>1</v>
      </c>
      <c r="F1" s="76" t="s">
        <v>268</v>
      </c>
      <c r="G1" s="133" t="s">
        <v>269</v>
      </c>
      <c r="H1" s="133"/>
      <c r="I1" s="133"/>
      <c r="J1" s="131" t="s">
        <v>270</v>
      </c>
      <c r="K1" s="131"/>
      <c r="L1" s="131"/>
      <c r="M1" s="5"/>
      <c r="N1" s="5"/>
    </row>
    <row r="2" spans="1:18" ht="19.5" customHeight="1">
      <c r="A2" s="134" t="s">
        <v>4</v>
      </c>
      <c r="B2" s="134"/>
      <c r="C2" s="6">
        <f>SUM(C4:C100)</f>
        <v>1986646.63</v>
      </c>
      <c r="D2" s="6">
        <f>SUM(D3:D22)</f>
        <v>2229628</v>
      </c>
      <c r="E2" s="68">
        <f>IFERROR(C2/D2, "")</f>
        <v>0.89102156503237306</v>
      </c>
      <c r="F2" s="7">
        <v>0.89</v>
      </c>
      <c r="G2" s="6">
        <f>SUM(G4:G100)</f>
        <v>2273246.25</v>
      </c>
      <c r="H2" s="6">
        <f>C2-G2</f>
        <v>-286599.62000000011</v>
      </c>
      <c r="I2" s="7">
        <f>IFERROR(H2/G2, 0)</f>
        <v>-0.12607504356380225</v>
      </c>
      <c r="J2" s="6">
        <f>SUM(J4:J100)</f>
        <v>2540725.9380000001</v>
      </c>
      <c r="K2" s="8">
        <f>C2-J2</f>
        <v>-554079.30800000019</v>
      </c>
      <c r="L2" s="7">
        <f>IFERROR(K2/J2, 0)</f>
        <v>-0.21807913231135762</v>
      </c>
      <c r="M2" s="28" t="str">
        <f ca="1">IF(AND(TODAY()&gt;DATE(2024, 9, 1), COUNTA(Sites[Site])&lt;&gt;(COUNT(C:C)-1)), "Some sites are missing actual data; if new sites were added, make sure they are aligned correctly (including prior months!)", "")</f>
        <v/>
      </c>
      <c r="N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8" ht="15.75">
      <c r="A4" s="34" t="str" cm="1">
        <f t="array" ref="A4:A23">Sites[Site]</f>
        <v>CA: Antioch Deer Valley - Citi</v>
      </c>
      <c r="B4" s="31" t="str" cm="1">
        <f t="array" ref="B4:B23">Sites[State]</f>
        <v>CA</v>
      </c>
      <c r="C4" s="26">
        <v>55847.25</v>
      </c>
      <c r="D4" s="78">
        <v>61034</v>
      </c>
      <c r="E4" s="79">
        <f>IFERROR(C4/D4, "")</f>
        <v>0.91501867811383819</v>
      </c>
      <c r="F4" s="79">
        <f>(SUM(C4,Aug!C4,Jul!C4))/(SUM(Jul!D4,Aug!D4,Sep!D4))</f>
        <v>0.99090868995998105</v>
      </c>
      <c r="G4" s="14">
        <v>58954.620999999999</v>
      </c>
      <c r="H4" s="14">
        <f t="shared" ref="H4:H22" si="0">IF(AND(ISNUMBER(C4),ISNUMBER(G4)), C4-G4, "")</f>
        <v>-3107.3709999999992</v>
      </c>
      <c r="I4" s="15">
        <f>IFERROR(H4/G4, "")</f>
        <v>-5.2707844564041879E-2</v>
      </c>
      <c r="J4" s="125">
        <v>60738</v>
      </c>
      <c r="K4" s="16">
        <f t="shared" ref="K4:K22" si="1">IF(AND(ISNUMBER(C4),ISNUMBER(J4)), C4-J4, "")</f>
        <v>-4890.75</v>
      </c>
      <c r="L4" s="17">
        <f>IFERROR(K4/J4, "")</f>
        <v>-8.0522078435246475E-2</v>
      </c>
      <c r="M4" s="18"/>
      <c r="N4" s="18"/>
    </row>
    <row r="5" spans="1:18" ht="39.6" customHeight="1">
      <c r="A5" s="32" t="str">
        <v>CA: Antioch MC CUP - Citi</v>
      </c>
      <c r="B5" s="33" t="str">
        <v>CA</v>
      </c>
      <c r="C5" s="12">
        <v>202819</v>
      </c>
      <c r="D5" s="12">
        <v>205187</v>
      </c>
      <c r="E5" s="80">
        <f>IFERROR(C5/D5,"")</f>
        <v>0.9884593078508872</v>
      </c>
      <c r="F5" s="80">
        <f>(SUM(C5,Aug!C5,Jul!C5))/(SUM(Jul!D5,Aug!D5,Sep!D5))</f>
        <v>0.96277864447437655</v>
      </c>
      <c r="G5" s="20">
        <v>198982.14600000001</v>
      </c>
      <c r="H5" s="20">
        <f t="shared" si="0"/>
        <v>3836.8539999999921</v>
      </c>
      <c r="I5" s="21">
        <f>IFERROR(H5/G5, "")</f>
        <v>1.9282403356932293E-2</v>
      </c>
      <c r="J5" s="126">
        <v>203137</v>
      </c>
      <c r="K5" s="22">
        <f t="shared" si="1"/>
        <v>-318</v>
      </c>
      <c r="L5" s="21">
        <f>IFERROR(K5/J5, "")</f>
        <v>-1.5654459798067314E-3</v>
      </c>
      <c r="M5" s="84"/>
      <c r="N5" s="86"/>
    </row>
    <row r="6" spans="1:18" ht="15.75">
      <c r="A6" s="34" t="str">
        <v>CA: Clovis - Citi</v>
      </c>
      <c r="B6" s="31" t="str">
        <v>CA</v>
      </c>
      <c r="C6" s="26">
        <v>78772.75</v>
      </c>
      <c r="D6" s="78">
        <v>83528</v>
      </c>
      <c r="E6" s="79">
        <f t="shared" ref="E6" si="2">IFERROR(C6/D6, "")</f>
        <v>0.94306998850684798</v>
      </c>
      <c r="F6" s="79">
        <f>(SUM(C6,Aug!C6,Jul!C6))/(SUM(Jul!D6,Aug!D6,Sep!D6))</f>
        <v>0.93717770252704258</v>
      </c>
      <c r="G6" s="14">
        <v>88919.438999999998</v>
      </c>
      <c r="H6" s="14">
        <f t="shared" si="0"/>
        <v>-10146.688999999998</v>
      </c>
      <c r="I6" s="15">
        <f t="shared" ref="I6:I23" si="3">IFERROR(H6/G6, "")</f>
        <v>-0.11411103257185415</v>
      </c>
      <c r="J6" s="125">
        <v>80644</v>
      </c>
      <c r="K6" s="16">
        <f t="shared" si="1"/>
        <v>-1871.25</v>
      </c>
      <c r="L6" s="17">
        <f t="shared" ref="L6:L23" si="4">IFERROR(K6/J6, "")</f>
        <v>-2.3203834135211546E-2</v>
      </c>
      <c r="M6" s="18" t="s">
        <v>271</v>
      </c>
      <c r="N6" s="99" t="s">
        <v>272</v>
      </c>
    </row>
    <row r="7" spans="1:18" ht="30.75">
      <c r="A7" s="32" t="str">
        <v>CA: Elk Grove MOB - Citi</v>
      </c>
      <c r="B7" s="33" t="str">
        <v>CA</v>
      </c>
      <c r="C7" s="12">
        <v>122435</v>
      </c>
      <c r="D7" s="12">
        <v>144942</v>
      </c>
      <c r="E7" s="80">
        <f t="shared" ref="E7" si="5">IFERROR(C7/D7,"")</f>
        <v>0.84471719722371708</v>
      </c>
      <c r="F7" s="80">
        <f>(SUM(C7,Aug!C7,Jul!C7))/(SUM(Jul!D7,Aug!D7,Sep!D7))</f>
        <v>0.91162439726847311</v>
      </c>
      <c r="G7" s="20">
        <v>129394.62</v>
      </c>
      <c r="H7" s="20">
        <f t="shared" si="0"/>
        <v>-6959.6199999999953</v>
      </c>
      <c r="I7" s="21">
        <f t="shared" si="3"/>
        <v>-5.3786007486246304E-2</v>
      </c>
      <c r="J7" s="126">
        <v>144239</v>
      </c>
      <c r="K7" s="22">
        <f t="shared" si="1"/>
        <v>-21804</v>
      </c>
      <c r="L7" s="21">
        <f t="shared" si="4"/>
        <v>-0.15116577347319379</v>
      </c>
      <c r="M7" s="85" t="s">
        <v>206</v>
      </c>
      <c r="N7" s="94"/>
    </row>
    <row r="8" spans="1:18" ht="30.75">
      <c r="A8" s="34" t="str">
        <v>CA: Elk Grove Promenade - Citi</v>
      </c>
      <c r="B8" s="31" t="str">
        <v>CA</v>
      </c>
      <c r="C8" s="26">
        <v>59990</v>
      </c>
      <c r="D8" s="78">
        <v>78204</v>
      </c>
      <c r="E8" s="79">
        <f t="shared" ref="E8" si="6">IFERROR(C8/D8, "")</f>
        <v>0.76709631220909413</v>
      </c>
      <c r="F8" s="79">
        <f>(SUM(C8,Aug!C8,Jul!C8))/(SUM(Jul!D8,Aug!D8,Sep!D8))</f>
        <v>0.88596362460653399</v>
      </c>
      <c r="G8" s="14">
        <v>68141.278000000006</v>
      </c>
      <c r="H8" s="14">
        <f t="shared" si="0"/>
        <v>-8151.2780000000057</v>
      </c>
      <c r="I8" s="15">
        <f t="shared" si="3"/>
        <v>-0.11962320401445956</v>
      </c>
      <c r="J8" s="125">
        <v>77824.851999999999</v>
      </c>
      <c r="K8" s="16">
        <f t="shared" si="1"/>
        <v>-17834.851999999999</v>
      </c>
      <c r="L8" s="17">
        <f t="shared" si="4"/>
        <v>-0.22916653924378808</v>
      </c>
      <c r="M8" s="18" t="s">
        <v>107</v>
      </c>
      <c r="N8" s="99" t="s">
        <v>77</v>
      </c>
    </row>
    <row r="9" spans="1:18" ht="15.75">
      <c r="A9" s="32" t="str">
        <v>CA: Fresno Sequioa - Citi</v>
      </c>
      <c r="B9" s="33" t="str">
        <v>CA</v>
      </c>
      <c r="C9" s="12">
        <v>129333.5</v>
      </c>
      <c r="D9" s="12">
        <v>144602</v>
      </c>
      <c r="E9" s="80">
        <f t="shared" ref="E9" si="7">IFERROR(C9/D9,"")</f>
        <v>0.89441017413313784</v>
      </c>
      <c r="F9" s="80">
        <f>(SUM(C9,Aug!C9,Jul!C9))/(SUM(Jul!D9,Aug!D9,Sep!D9))</f>
        <v>0.91762092503236437</v>
      </c>
      <c r="G9" s="20">
        <v>143301.242</v>
      </c>
      <c r="H9" s="20">
        <f t="shared" si="0"/>
        <v>-13967.741999999998</v>
      </c>
      <c r="I9" s="21">
        <f t="shared" si="3"/>
        <v>-9.7471185909191196E-2</v>
      </c>
      <c r="J9" s="126">
        <v>143200</v>
      </c>
      <c r="K9" s="22">
        <f t="shared" si="1"/>
        <v>-13866.5</v>
      </c>
      <c r="L9" s="21">
        <f t="shared" si="4"/>
        <v>-9.6833100558659221E-2</v>
      </c>
      <c r="M9" s="61"/>
      <c r="N9" s="62"/>
    </row>
    <row r="10" spans="1:18" ht="15.75">
      <c r="A10" s="34" t="str">
        <v>CA: Fresno MOB - Citi</v>
      </c>
      <c r="B10" s="31" t="str">
        <v>CA</v>
      </c>
      <c r="C10" s="26">
        <v>53728.75</v>
      </c>
      <c r="D10" s="78">
        <v>57847</v>
      </c>
      <c r="E10" s="79">
        <f t="shared" ref="E10" si="8">IFERROR(C10/D10, "")</f>
        <v>0.92880788977820805</v>
      </c>
      <c r="F10" s="79">
        <f>(SUM(C10,Aug!C10,Jul!C10))/(SUM(Jul!D10,Aug!D10,Sep!D10))</f>
        <v>0.89396541966707654</v>
      </c>
      <c r="G10" s="14">
        <v>54424.572999999997</v>
      </c>
      <c r="H10" s="14">
        <f t="shared" si="0"/>
        <v>-695.82299999999668</v>
      </c>
      <c r="I10" s="15">
        <f t="shared" si="3"/>
        <v>-1.2785088823756077E-2</v>
      </c>
      <c r="J10" s="125">
        <v>57838</v>
      </c>
      <c r="K10" s="16">
        <f t="shared" si="1"/>
        <v>-4109.25</v>
      </c>
      <c r="L10" s="17">
        <f t="shared" si="4"/>
        <v>-7.104758117500605E-2</v>
      </c>
      <c r="M10" s="18"/>
      <c r="N10" s="18"/>
    </row>
    <row r="11" spans="1:18" ht="30.75">
      <c r="A11" s="32" t="str">
        <v>CA: Modesto Bangs - Citi</v>
      </c>
      <c r="B11" s="33" t="str">
        <v>CA</v>
      </c>
      <c r="C11" s="12">
        <v>25510.880000000001</v>
      </c>
      <c r="D11" s="12">
        <v>37763</v>
      </c>
      <c r="E11" s="80">
        <f t="shared" ref="E11" si="9">IFERROR(C11/D11,"")</f>
        <v>0.67555226014882297</v>
      </c>
      <c r="F11" s="80">
        <f>(SUM(C11,Aug!C11,Jul!C11))/(SUM(Jul!D11,Aug!D11,Sep!D11))</f>
        <v>0.76847812161931328</v>
      </c>
      <c r="G11" s="20">
        <v>31696.458999999999</v>
      </c>
      <c r="H11" s="20">
        <f t="shared" si="0"/>
        <v>-6185.5789999999979</v>
      </c>
      <c r="I11" s="21">
        <f t="shared" si="3"/>
        <v>-0.19515047406399555</v>
      </c>
      <c r="J11" s="126">
        <v>37579</v>
      </c>
      <c r="K11" s="22">
        <f t="shared" si="1"/>
        <v>-12068.119999999999</v>
      </c>
      <c r="L11" s="21">
        <f t="shared" si="4"/>
        <v>-0.32113999840336355</v>
      </c>
      <c r="M11" s="84" t="s">
        <v>273</v>
      </c>
      <c r="N11" s="87"/>
    </row>
    <row r="12" spans="1:18" ht="167.25">
      <c r="A12" s="34" t="str">
        <v>CA: Napa Data Center - Citi</v>
      </c>
      <c r="B12" s="31" t="str">
        <v>CA</v>
      </c>
      <c r="C12" s="26">
        <v>34820.25</v>
      </c>
      <c r="D12" s="78">
        <v>42134</v>
      </c>
      <c r="E12" s="79">
        <f t="shared" ref="E12" si="10">IFERROR(C12/D12, "")</f>
        <v>0.82641690796031708</v>
      </c>
      <c r="F12" s="79">
        <f>(SUM(C12,Aug!C12,Jul!C12))/(SUM(Jul!D12,Aug!D12,Sep!D12))</f>
        <v>0.83812037406973516</v>
      </c>
      <c r="G12" s="14">
        <v>52991.802000000003</v>
      </c>
      <c r="H12" s="14">
        <f t="shared" si="0"/>
        <v>-18171.552000000003</v>
      </c>
      <c r="I12" s="15">
        <f t="shared" si="3"/>
        <v>-0.3429125131468449</v>
      </c>
      <c r="J12" s="125">
        <v>40640</v>
      </c>
      <c r="K12" s="16">
        <f t="shared" si="1"/>
        <v>-5819.75</v>
      </c>
      <c r="L12" s="17">
        <f t="shared" si="4"/>
        <v>-0.1432025098425197</v>
      </c>
      <c r="M12" s="18" t="s">
        <v>274</v>
      </c>
      <c r="N12" s="99" t="s">
        <v>275</v>
      </c>
      <c r="O12" s="104" t="s">
        <v>246</v>
      </c>
      <c r="P12" s="104" t="s">
        <v>276</v>
      </c>
      <c r="Q12" s="104" t="s">
        <v>277</v>
      </c>
      <c r="R12" s="104" t="s">
        <v>246</v>
      </c>
    </row>
    <row r="13" spans="1:18" ht="76.5">
      <c r="A13" s="32" t="str">
        <v>CA: Petaluma MOB - Citi</v>
      </c>
      <c r="B13" s="33" t="str">
        <v>CA</v>
      </c>
      <c r="C13" s="12">
        <v>63545</v>
      </c>
      <c r="D13" s="12">
        <v>97494</v>
      </c>
      <c r="E13" s="80">
        <f t="shared" ref="E13" si="11">IFERROR(C13/D13,"")</f>
        <v>0.65178369950971338</v>
      </c>
      <c r="F13" s="80">
        <f>(SUM(C13,Aug!C13,Jul!C13))/(SUM(Jul!D13,Aug!D13,Sep!D13))</f>
        <v>0.73433461505102782</v>
      </c>
      <c r="G13" s="20">
        <v>92354.361999999994</v>
      </c>
      <c r="H13" s="20">
        <f t="shared" si="0"/>
        <v>-28809.361999999994</v>
      </c>
      <c r="I13" s="21">
        <f t="shared" si="3"/>
        <v>-0.3119437065679691</v>
      </c>
      <c r="J13" s="126">
        <v>93819</v>
      </c>
      <c r="K13" s="22">
        <f t="shared" si="1"/>
        <v>-30274</v>
      </c>
      <c r="L13" s="21">
        <f t="shared" si="4"/>
        <v>-0.32268517038126604</v>
      </c>
      <c r="M13" s="84" t="s">
        <v>278</v>
      </c>
      <c r="N13" s="109" t="s">
        <v>279</v>
      </c>
      <c r="O13" s="104" t="s">
        <v>216</v>
      </c>
      <c r="P13" s="104" t="s">
        <v>217</v>
      </c>
      <c r="Q13" s="104" t="s">
        <v>280</v>
      </c>
    </row>
    <row r="14" spans="1:18" ht="30.75">
      <c r="A14" s="34" t="str">
        <v>CA: Pleasanton Tec Ctr - Citi</v>
      </c>
      <c r="B14" s="31" t="str">
        <v>CA</v>
      </c>
      <c r="C14" s="26">
        <v>112420.5</v>
      </c>
      <c r="D14" s="78">
        <v>134334</v>
      </c>
      <c r="E14" s="79">
        <f t="shared" ref="E14" si="12">IFERROR(C14/D14, "")</f>
        <v>0.83687301799991065</v>
      </c>
      <c r="F14" s="79">
        <f>(SUM(C14,Aug!C14,Jul!C14))/(SUM(Jul!D14,Aug!D14,Sep!D14))</f>
        <v>0.84103362827479855</v>
      </c>
      <c r="G14" s="14">
        <v>81305.797000000006</v>
      </c>
      <c r="H14" s="14">
        <f t="shared" si="0"/>
        <v>31114.702999999994</v>
      </c>
      <c r="I14" s="15">
        <f t="shared" si="3"/>
        <v>0.38268738697684734</v>
      </c>
      <c r="J14" s="125">
        <v>133104</v>
      </c>
      <c r="K14" s="16">
        <f t="shared" si="1"/>
        <v>-20683.5</v>
      </c>
      <c r="L14" s="17">
        <f t="shared" si="4"/>
        <v>-0.15539352686620989</v>
      </c>
      <c r="M14" s="18" t="s">
        <v>281</v>
      </c>
      <c r="N14" s="18"/>
    </row>
    <row r="15" spans="1:18" ht="30.75">
      <c r="A15" s="32" t="str">
        <v>CA: Rancho Cordova - Citi</v>
      </c>
      <c r="B15" s="33" t="str">
        <v>CA</v>
      </c>
      <c r="C15" s="12">
        <v>163345</v>
      </c>
      <c r="D15" s="12">
        <v>213480</v>
      </c>
      <c r="E15" s="80">
        <f t="shared" ref="E15" si="13">IFERROR(C15/D15,"")</f>
        <v>0.76515364436949596</v>
      </c>
      <c r="F15" s="80">
        <f>(SUM(C15,Aug!C15,Jul!C15))/(SUM(Jul!D15,Aug!D15,Sep!D15))</f>
        <v>0.87773149980781251</v>
      </c>
      <c r="G15" s="20">
        <v>184792.96400000001</v>
      </c>
      <c r="H15" s="20">
        <f t="shared" si="0"/>
        <v>-21447.964000000007</v>
      </c>
      <c r="I15" s="21">
        <f t="shared" si="3"/>
        <v>-0.11606483026052879</v>
      </c>
      <c r="J15" s="126">
        <v>212202</v>
      </c>
      <c r="K15" s="22">
        <f t="shared" si="1"/>
        <v>-48857</v>
      </c>
      <c r="L15" s="21">
        <f t="shared" si="4"/>
        <v>-0.2302381692915241</v>
      </c>
      <c r="M15" s="84" t="s">
        <v>282</v>
      </c>
      <c r="N15" s="100" t="s">
        <v>283</v>
      </c>
    </row>
    <row r="16" spans="1:18" ht="30.75">
      <c r="A16" s="34" t="str">
        <v>CA: S Sacramento Wyndham - Citi</v>
      </c>
      <c r="B16" s="31" t="str">
        <v>CA</v>
      </c>
      <c r="C16" s="26">
        <v>88004</v>
      </c>
      <c r="D16" s="78">
        <v>125147</v>
      </c>
      <c r="E16" s="79">
        <f t="shared" ref="E16" si="14">IFERROR(C16/D16, "")</f>
        <v>0.7032050308836808</v>
      </c>
      <c r="F16" s="79">
        <f>(SUM(C16,Aug!C16,Jul!C16))/(SUM(Jul!D16,Aug!D16,Sep!D16))</f>
        <v>0.80614590824515142</v>
      </c>
      <c r="G16" s="14">
        <v>100006.393</v>
      </c>
      <c r="H16" s="14">
        <f t="shared" si="0"/>
        <v>-12002.392999999996</v>
      </c>
      <c r="I16" s="15">
        <f t="shared" si="3"/>
        <v>-0.1200162573606669</v>
      </c>
      <c r="J16" s="125">
        <v>124283</v>
      </c>
      <c r="K16" s="16">
        <f t="shared" si="1"/>
        <v>-36279</v>
      </c>
      <c r="L16" s="17">
        <f t="shared" si="4"/>
        <v>-0.2919063749668096</v>
      </c>
      <c r="M16" s="18" t="s">
        <v>254</v>
      </c>
      <c r="N16" s="41"/>
    </row>
    <row r="17" spans="1:17" ht="91.5">
      <c r="A17" s="32" t="str">
        <v>CA: Sacramento Point West - Citi</v>
      </c>
      <c r="B17" s="33" t="str">
        <v>CA</v>
      </c>
      <c r="C17" s="12">
        <v>166903</v>
      </c>
      <c r="D17" s="12">
        <v>240439</v>
      </c>
      <c r="E17" s="80">
        <f t="shared" ref="E17" si="15">IFERROR(C17/D17,"")</f>
        <v>0.69415943336979447</v>
      </c>
      <c r="F17" s="80">
        <f>(SUM(C17,Aug!C17,Jul!C17))/(SUM(Jul!D17,Aug!D17,Sep!D17))</f>
        <v>0.82530942554139053</v>
      </c>
      <c r="G17" s="20">
        <v>199996.05499999999</v>
      </c>
      <c r="H17" s="20">
        <f t="shared" si="0"/>
        <v>-33093.054999999993</v>
      </c>
      <c r="I17" s="21">
        <f t="shared" si="3"/>
        <v>-0.16546853886692911</v>
      </c>
      <c r="J17" s="126">
        <v>238351</v>
      </c>
      <c r="K17" s="22">
        <f t="shared" si="1"/>
        <v>-71448</v>
      </c>
      <c r="L17" s="21">
        <f t="shared" si="4"/>
        <v>-0.29975959823957105</v>
      </c>
      <c r="M17" s="66" t="s">
        <v>284</v>
      </c>
      <c r="N17" s="109" t="s">
        <v>285</v>
      </c>
      <c r="O17" s="104" t="s">
        <v>94</v>
      </c>
      <c r="P17" s="104" t="s">
        <v>286</v>
      </c>
    </row>
    <row r="18" spans="1:17" ht="12.75" customHeight="1">
      <c r="A18" s="34" t="str">
        <v>CA: San Jose FHC - Citi</v>
      </c>
      <c r="B18" s="31" t="str">
        <v>CA</v>
      </c>
      <c r="C18" s="26">
        <v>33532</v>
      </c>
      <c r="D18" s="78">
        <v>47497</v>
      </c>
      <c r="E18" s="79">
        <f t="shared" ref="E18" si="16">IFERROR(C18/D18, "")</f>
        <v>0.70598143040613093</v>
      </c>
      <c r="F18" s="79">
        <f>(SUM(C18,Aug!C18,Jul!C18))/(SUM(Jul!D18,Aug!D18,Sep!D18))</f>
        <v>0.82230447828997699</v>
      </c>
      <c r="G18" s="14">
        <v>41629.608999999997</v>
      </c>
      <c r="H18" s="14">
        <f t="shared" si="0"/>
        <v>-8097.6089999999967</v>
      </c>
      <c r="I18" s="15">
        <f t="shared" si="3"/>
        <v>-0.19451561507579851</v>
      </c>
      <c r="J18" s="125">
        <v>48681</v>
      </c>
      <c r="K18" s="16">
        <f t="shared" si="1"/>
        <v>-15149</v>
      </c>
      <c r="L18" s="17">
        <f t="shared" si="4"/>
        <v>-0.31118917031285304</v>
      </c>
      <c r="M18" s="41" t="s">
        <v>287</v>
      </c>
      <c r="N18" s="41"/>
    </row>
    <row r="19" spans="1:17" ht="30.75">
      <c r="A19" s="32" t="str">
        <v>CA: San Jose MOB - Citi</v>
      </c>
      <c r="B19" s="33" t="str">
        <v>CA</v>
      </c>
      <c r="C19" s="12">
        <v>54270.5</v>
      </c>
      <c r="D19" s="12">
        <v>76541</v>
      </c>
      <c r="E19" s="80">
        <f t="shared" ref="E19" si="17">IFERROR(C19/D19,"")</f>
        <v>0.70903829320233602</v>
      </c>
      <c r="F19" s="80">
        <f>(SUM(C19,Aug!C19,Jul!C19))/(SUM(Jul!D19,Aug!D19,Sep!D19))</f>
        <v>0.80934099708767337</v>
      </c>
      <c r="G19" s="20">
        <v>64152.906000000003</v>
      </c>
      <c r="H19" s="20">
        <f t="shared" si="0"/>
        <v>-9882.4060000000027</v>
      </c>
      <c r="I19" s="21">
        <f t="shared" si="3"/>
        <v>-0.15404455723330759</v>
      </c>
      <c r="J19" s="126">
        <v>77194</v>
      </c>
      <c r="K19" s="22">
        <f t="shared" si="1"/>
        <v>-22923.5</v>
      </c>
      <c r="L19" s="21">
        <f t="shared" si="4"/>
        <v>-0.2969596082597093</v>
      </c>
      <c r="M19" s="85" t="s">
        <v>288</v>
      </c>
      <c r="N19" s="19"/>
    </row>
    <row r="20" spans="1:17" ht="15.75">
      <c r="A20" s="34" t="str">
        <v>CA: Selma - Citi</v>
      </c>
      <c r="B20" s="31" t="str">
        <v>CA</v>
      </c>
      <c r="C20" s="26">
        <v>33273.75</v>
      </c>
      <c r="D20" s="78">
        <v>42144</v>
      </c>
      <c r="E20" s="79">
        <f t="shared" ref="E20" si="18">IFERROR(C20/D20, "")</f>
        <v>0.78952519931662868</v>
      </c>
      <c r="F20" s="79">
        <f>(SUM(C20,Aug!C20,Jul!C20))/(SUM(Jul!D20,Aug!D20,Sep!D20))</f>
        <v>0.82938291756626692</v>
      </c>
      <c r="G20" s="14">
        <v>41648.86</v>
      </c>
      <c r="H20" s="14">
        <f t="shared" si="0"/>
        <v>-8375.11</v>
      </c>
      <c r="I20" s="15">
        <f t="shared" si="3"/>
        <v>-0.20108857721435833</v>
      </c>
      <c r="J20" s="125">
        <v>41994</v>
      </c>
      <c r="K20" s="16">
        <f t="shared" si="1"/>
        <v>-8720.25</v>
      </c>
      <c r="L20" s="17">
        <f t="shared" si="4"/>
        <v>-0.20765466495213603</v>
      </c>
      <c r="M20" s="41" t="s">
        <v>289</v>
      </c>
      <c r="N20" s="41"/>
    </row>
    <row r="21" spans="1:17" ht="76.5">
      <c r="A21" s="32" t="str">
        <v>CA: Vacaville Hospital</v>
      </c>
      <c r="B21" s="33" t="str">
        <v>CA</v>
      </c>
      <c r="C21" s="12">
        <v>193003.25</v>
      </c>
      <c r="D21" s="12">
        <v>304096</v>
      </c>
      <c r="E21" s="80">
        <f t="shared" ref="E21:E23" si="19">IFERROR(C21/D21,"")</f>
        <v>0.63467868699358099</v>
      </c>
      <c r="F21" s="80">
        <f>(SUM(C21,Aug!C21,Jul!C21))/(SUM(Jul!D21,Aug!D21,Sep!D21))</f>
        <v>0.47939563613042263</v>
      </c>
      <c r="G21" s="20">
        <v>267984.29200000002</v>
      </c>
      <c r="H21" s="20">
        <f t="shared" si="0"/>
        <v>-74981.042000000016</v>
      </c>
      <c r="I21" s="21">
        <f t="shared" si="3"/>
        <v>-0.27979640687298196</v>
      </c>
      <c r="J21" s="126">
        <v>300743</v>
      </c>
      <c r="K21" s="22">
        <f t="shared" si="1"/>
        <v>-107739.75</v>
      </c>
      <c r="L21" s="21">
        <f t="shared" si="4"/>
        <v>-0.35824524594088641</v>
      </c>
      <c r="M21" s="85" t="s">
        <v>290</v>
      </c>
      <c r="N21" s="130" t="s">
        <v>291</v>
      </c>
      <c r="O21" s="104" t="s">
        <v>292</v>
      </c>
      <c r="P21" s="104" t="s">
        <v>161</v>
      </c>
      <c r="Q21" s="104" t="s">
        <v>262</v>
      </c>
    </row>
    <row r="22" spans="1:17" ht="76.5">
      <c r="A22" s="34" t="str">
        <v>CA: Manteca - KP Manteca Hospital</v>
      </c>
      <c r="B22" s="31" t="str">
        <v>CA</v>
      </c>
      <c r="C22" s="26">
        <v>83879.37</v>
      </c>
      <c r="D22" s="78">
        <v>93215</v>
      </c>
      <c r="E22" s="79">
        <f t="shared" ref="E22" si="20">IFERROR(C22/D22, "")</f>
        <v>0.8998484149546746</v>
      </c>
      <c r="F22" s="79">
        <f>(SUM(C22,Aug!C22,Jul!C22))/(SUM(Jul!D22,Aug!D22,Sep!D22))</f>
        <v>0.87719112774289221</v>
      </c>
      <c r="G22" s="14">
        <v>92284.936000000002</v>
      </c>
      <c r="H22" s="14">
        <f t="shared" si="0"/>
        <v>-8405.5660000000062</v>
      </c>
      <c r="I22" s="15">
        <f t="shared" si="3"/>
        <v>-9.1082752660737676E-2</v>
      </c>
      <c r="J22" s="125">
        <v>96165.085999999996</v>
      </c>
      <c r="K22" s="16">
        <f t="shared" si="1"/>
        <v>-12285.716</v>
      </c>
      <c r="L22" s="17">
        <f t="shared" si="4"/>
        <v>-0.12775651237913935</v>
      </c>
      <c r="M22" s="41" t="s">
        <v>293</v>
      </c>
      <c r="N22" s="41"/>
    </row>
    <row r="23" spans="1:17" ht="30.75">
      <c r="A23" s="32" t="str">
        <v>Sacramento - KP South Sacramento HSP</v>
      </c>
      <c r="B23" s="33" t="str">
        <v>CA</v>
      </c>
      <c r="C23" s="12">
        <v>231212.88</v>
      </c>
      <c r="D23" s="12">
        <v>0</v>
      </c>
      <c r="E23" s="80" t="str">
        <f t="shared" si="19"/>
        <v/>
      </c>
      <c r="F23" s="80"/>
      <c r="G23" s="20">
        <v>280283.89600000001</v>
      </c>
      <c r="H23" s="20">
        <f>IF(AND(ISNUMBER(C23),ISNUMBER(G23)), C23-G23, "")</f>
        <v>-49071.016000000003</v>
      </c>
      <c r="I23" s="21">
        <f t="shared" si="3"/>
        <v>-0.17507611639592738</v>
      </c>
      <c r="J23" s="126">
        <v>328350</v>
      </c>
      <c r="K23" s="22">
        <f>IF(AND(ISNUMBER(C23),ISNUMBER(J23)), C23-J23, "")</f>
        <v>-97137.12</v>
      </c>
      <c r="L23" s="21">
        <f t="shared" si="4"/>
        <v>-0.29583407948835083</v>
      </c>
      <c r="M23" s="85" t="s">
        <v>294</v>
      </c>
      <c r="N23" s="130" t="s">
        <v>295</v>
      </c>
      <c r="O23" s="104" t="s">
        <v>267</v>
      </c>
    </row>
    <row r="24" spans="1:17" ht="15">
      <c r="A24" s="23"/>
      <c r="B24" s="35"/>
      <c r="C24" s="23"/>
      <c r="D24" s="23"/>
      <c r="E24" s="23"/>
      <c r="F24" s="23"/>
      <c r="G24" s="23"/>
      <c r="H24" s="23"/>
      <c r="I24" s="23"/>
      <c r="J24" s="23"/>
      <c r="K24" s="23"/>
      <c r="L24" s="23"/>
      <c r="M24" s="23"/>
      <c r="N24" s="23"/>
    </row>
    <row r="25" spans="1:17" ht="15">
      <c r="A25" s="23"/>
      <c r="B25" s="35"/>
      <c r="C25" s="23"/>
      <c r="D25" s="23"/>
      <c r="E25" s="73"/>
      <c r="F25" s="23"/>
      <c r="G25" s="23"/>
      <c r="H25" s="23"/>
      <c r="I25" s="23"/>
      <c r="J25" s="23"/>
      <c r="K25" s="23"/>
      <c r="L25" s="23"/>
      <c r="M25" s="23"/>
      <c r="N25" s="23"/>
    </row>
    <row r="26" spans="1:17" ht="15">
      <c r="A26" s="23"/>
      <c r="B26" s="35"/>
      <c r="C26" s="23"/>
      <c r="D26" s="23"/>
      <c r="E26" s="23"/>
      <c r="F26" s="23"/>
      <c r="G26" s="23"/>
      <c r="H26" s="23"/>
      <c r="I26" s="23"/>
      <c r="J26" s="23"/>
      <c r="K26" s="23"/>
      <c r="L26" s="23"/>
      <c r="M26" s="23"/>
      <c r="N26" s="23"/>
    </row>
    <row r="27" spans="1:17" ht="15">
      <c r="A27" s="23"/>
      <c r="B27" s="35"/>
      <c r="C27" s="23"/>
      <c r="D27" s="23"/>
      <c r="E27" s="23"/>
      <c r="F27" s="23"/>
      <c r="G27" s="23"/>
      <c r="H27" s="23"/>
      <c r="I27" s="23"/>
      <c r="J27" s="23"/>
      <c r="K27" s="23"/>
      <c r="L27" s="23"/>
      <c r="M27" s="23"/>
      <c r="N27" s="23"/>
    </row>
    <row r="28" spans="1:17" ht="15">
      <c r="A28" s="23"/>
      <c r="B28" s="35"/>
      <c r="C28" s="23"/>
      <c r="D28" s="23"/>
      <c r="E28" s="23"/>
      <c r="F28" s="23"/>
      <c r="G28" s="23"/>
      <c r="H28" s="23"/>
      <c r="I28" s="23"/>
      <c r="J28" s="23"/>
      <c r="K28" s="23"/>
      <c r="L28" s="23"/>
      <c r="M28" s="23"/>
      <c r="N28" s="23"/>
    </row>
    <row r="29" spans="1:17" ht="15">
      <c r="A29" s="23"/>
      <c r="B29" s="35"/>
      <c r="C29" s="23"/>
      <c r="D29" s="23"/>
      <c r="E29" s="23"/>
      <c r="F29" s="23"/>
      <c r="G29" s="23"/>
      <c r="H29" s="23"/>
      <c r="I29" s="23"/>
      <c r="J29" s="23"/>
      <c r="K29" s="23"/>
      <c r="L29" s="23"/>
      <c r="M29" s="23"/>
      <c r="N29" s="23"/>
    </row>
    <row r="30" spans="1:17" ht="15">
      <c r="A30" s="23"/>
      <c r="B30" s="35"/>
      <c r="C30" s="23"/>
      <c r="D30" s="23"/>
      <c r="E30" s="23"/>
      <c r="F30" s="23"/>
      <c r="G30" s="23"/>
      <c r="H30" s="23"/>
      <c r="I30" s="23"/>
      <c r="J30" s="23"/>
      <c r="K30" s="23"/>
      <c r="L30" s="23"/>
      <c r="M30" s="23"/>
      <c r="N30" s="23"/>
    </row>
    <row r="31" spans="1:17" ht="15">
      <c r="A31" s="23"/>
      <c r="B31" s="35"/>
      <c r="C31" s="23"/>
      <c r="D31" s="23"/>
      <c r="E31" s="23"/>
      <c r="F31" s="23"/>
      <c r="G31" s="23"/>
      <c r="H31" s="23"/>
      <c r="I31" s="23"/>
      <c r="J31" s="23"/>
      <c r="K31" s="23"/>
      <c r="L31" s="23"/>
      <c r="M31" s="23"/>
      <c r="N31" s="23"/>
    </row>
    <row r="32" spans="1:17" ht="15">
      <c r="A32" s="23"/>
      <c r="B32" s="35"/>
      <c r="C32" s="23"/>
      <c r="D32" s="23"/>
      <c r="E32" s="23"/>
      <c r="F32" s="23"/>
      <c r="G32" s="23"/>
      <c r="H32" s="23"/>
      <c r="I32" s="23"/>
      <c r="J32" s="23"/>
      <c r="K32" s="23"/>
      <c r="L32" s="23"/>
      <c r="M32" s="23"/>
      <c r="N32" s="23"/>
    </row>
    <row r="33" spans="1:14" ht="15">
      <c r="A33" s="23"/>
      <c r="B33" s="35"/>
      <c r="C33" s="23"/>
      <c r="D33" s="23"/>
      <c r="E33" s="23"/>
      <c r="F33" s="23"/>
      <c r="G33" s="23"/>
      <c r="H33" s="23"/>
      <c r="I33" s="24"/>
      <c r="J33" s="23"/>
      <c r="K33" s="23"/>
      <c r="L33" s="24"/>
      <c r="M33" s="23"/>
      <c r="N33" s="23"/>
    </row>
    <row r="34" spans="1:14" ht="15">
      <c r="A34" s="23"/>
      <c r="B34" s="35"/>
      <c r="C34" s="23"/>
      <c r="D34" s="23"/>
      <c r="E34" s="23"/>
      <c r="F34" s="23"/>
      <c r="G34" s="23"/>
      <c r="H34" s="23"/>
      <c r="I34" s="24"/>
      <c r="J34" s="23"/>
      <c r="K34" s="23"/>
      <c r="L34" s="24"/>
      <c r="M34" s="23"/>
      <c r="N34" s="23"/>
    </row>
    <row r="35" spans="1:14" ht="15">
      <c r="A35" s="23"/>
      <c r="B35" s="35"/>
      <c r="C35" s="23"/>
      <c r="D35" s="23"/>
      <c r="E35" s="23"/>
      <c r="F35" s="23"/>
      <c r="G35" s="23"/>
      <c r="H35" s="23"/>
      <c r="I35" s="24"/>
      <c r="J35" s="23"/>
      <c r="K35" s="23"/>
      <c r="L35" s="24"/>
      <c r="M35" s="23"/>
      <c r="N35" s="23"/>
    </row>
    <row r="36" spans="1:14" ht="15">
      <c r="A36" s="23"/>
      <c r="B36" s="35"/>
      <c r="C36" s="23"/>
      <c r="D36" s="23"/>
      <c r="E36" s="23"/>
      <c r="F36" s="23"/>
      <c r="G36" s="23"/>
      <c r="H36" s="23"/>
      <c r="I36" s="24"/>
      <c r="J36" s="23"/>
      <c r="K36" s="23"/>
      <c r="L36" s="24"/>
      <c r="M36" s="23"/>
      <c r="N36" s="23"/>
    </row>
    <row r="37" spans="1:14" ht="15">
      <c r="A37" s="23"/>
      <c r="B37" s="35"/>
      <c r="C37" s="23"/>
      <c r="D37" s="23"/>
      <c r="E37" s="23"/>
      <c r="F37" s="23"/>
      <c r="G37" s="23"/>
      <c r="H37" s="23"/>
      <c r="I37" s="24"/>
      <c r="J37" s="23"/>
      <c r="K37" s="23"/>
      <c r="L37" s="24"/>
      <c r="M37" s="23"/>
      <c r="N37" s="23"/>
    </row>
    <row r="38" spans="1:14" ht="15">
      <c r="A38" s="23"/>
      <c r="B38" s="35"/>
      <c r="C38" s="23"/>
      <c r="D38" s="23"/>
      <c r="E38" s="23"/>
      <c r="F38" s="23"/>
      <c r="G38" s="23"/>
      <c r="H38" s="23"/>
      <c r="I38" s="24"/>
      <c r="J38" s="23"/>
      <c r="K38" s="23"/>
      <c r="L38" s="24"/>
      <c r="M38" s="23"/>
      <c r="N38" s="23"/>
    </row>
    <row r="39" spans="1:14" ht="15">
      <c r="A39" s="23"/>
      <c r="B39" s="35"/>
      <c r="C39" s="23"/>
      <c r="D39" s="23"/>
      <c r="E39" s="23"/>
      <c r="F39" s="23"/>
      <c r="G39" s="23"/>
      <c r="H39" s="23"/>
      <c r="I39" s="24"/>
      <c r="J39" s="23"/>
      <c r="K39" s="23"/>
      <c r="L39" s="24"/>
      <c r="M39" s="23"/>
      <c r="N39" s="23"/>
    </row>
    <row r="40" spans="1:14" ht="15">
      <c r="A40" s="23"/>
      <c r="B40" s="35"/>
      <c r="C40" s="23"/>
      <c r="D40" s="23"/>
      <c r="E40" s="23"/>
      <c r="F40" s="23"/>
      <c r="G40" s="23"/>
      <c r="H40" s="23"/>
      <c r="I40" s="24"/>
      <c r="J40" s="23"/>
      <c r="K40" s="23"/>
      <c r="L40" s="24"/>
      <c r="M40" s="23"/>
      <c r="N40" s="23"/>
    </row>
    <row r="41" spans="1:14" ht="15">
      <c r="A41" s="23"/>
      <c r="B41" s="35"/>
      <c r="C41" s="23"/>
      <c r="D41" s="23"/>
      <c r="E41" s="23"/>
      <c r="F41" s="23"/>
      <c r="G41" s="23"/>
      <c r="H41" s="23"/>
      <c r="I41" s="24"/>
      <c r="J41" s="23"/>
      <c r="K41" s="23"/>
      <c r="L41" s="24"/>
      <c r="M41" s="23"/>
      <c r="N41" s="23"/>
    </row>
    <row r="42" spans="1:14" ht="15">
      <c r="A42" s="23"/>
      <c r="B42" s="35"/>
      <c r="C42" s="23"/>
      <c r="D42" s="23"/>
      <c r="E42" s="23"/>
      <c r="F42" s="23"/>
      <c r="G42" s="23"/>
      <c r="H42" s="23"/>
      <c r="I42" s="24"/>
      <c r="J42" s="23"/>
      <c r="K42" s="23"/>
      <c r="L42" s="24"/>
      <c r="M42" s="23"/>
      <c r="N42" s="23"/>
    </row>
    <row r="43" spans="1:14" ht="15">
      <c r="A43" s="23"/>
      <c r="B43" s="35"/>
      <c r="C43" s="23"/>
      <c r="D43" s="23"/>
      <c r="E43" s="23"/>
      <c r="F43" s="23"/>
      <c r="G43" s="23"/>
      <c r="H43" s="23"/>
      <c r="I43" s="24"/>
      <c r="J43" s="23"/>
      <c r="K43" s="23"/>
      <c r="L43" s="24"/>
      <c r="M43" s="23"/>
      <c r="N43" s="23"/>
    </row>
    <row r="44" spans="1:14" ht="15">
      <c r="A44" s="23"/>
      <c r="B44" s="35"/>
      <c r="C44" s="23"/>
      <c r="D44" s="23"/>
      <c r="E44" s="23"/>
      <c r="F44" s="23"/>
      <c r="G44" s="23"/>
      <c r="H44" s="23"/>
      <c r="I44" s="24"/>
      <c r="J44" s="23"/>
      <c r="K44" s="23"/>
      <c r="L44" s="24"/>
      <c r="M44" s="23"/>
      <c r="N44" s="23"/>
    </row>
    <row r="45" spans="1:14" ht="15">
      <c r="A45" s="23"/>
      <c r="B45" s="35"/>
      <c r="C45" s="23"/>
      <c r="D45" s="23"/>
      <c r="E45" s="23"/>
      <c r="F45" s="23"/>
      <c r="G45" s="23"/>
      <c r="H45" s="23"/>
      <c r="I45" s="24"/>
      <c r="J45" s="23"/>
      <c r="K45" s="23"/>
      <c r="L45" s="24"/>
      <c r="M45" s="23"/>
      <c r="N45" s="23"/>
    </row>
    <row r="46" spans="1:14" ht="15">
      <c r="A46" s="23"/>
      <c r="B46" s="35"/>
      <c r="C46" s="23"/>
      <c r="D46" s="23"/>
      <c r="E46" s="23"/>
      <c r="F46" s="23"/>
      <c r="G46" s="23"/>
      <c r="H46" s="23"/>
      <c r="I46" s="24"/>
      <c r="J46" s="23"/>
      <c r="K46" s="23"/>
      <c r="L46" s="24"/>
      <c r="M46" s="23"/>
      <c r="N46" s="23"/>
    </row>
    <row r="47" spans="1:14" ht="15">
      <c r="A47" s="23"/>
      <c r="B47" s="35"/>
      <c r="C47" s="23"/>
      <c r="D47" s="23"/>
      <c r="E47" s="23"/>
      <c r="F47" s="23"/>
      <c r="G47" s="23"/>
      <c r="H47" s="23"/>
      <c r="I47" s="24"/>
      <c r="J47" s="23"/>
      <c r="K47" s="23"/>
      <c r="L47" s="24"/>
      <c r="M47" s="23"/>
      <c r="N47" s="23"/>
    </row>
    <row r="48" spans="1:14" ht="15">
      <c r="A48" s="23"/>
      <c r="B48" s="35"/>
      <c r="C48" s="23"/>
      <c r="D48" s="23"/>
      <c r="E48" s="23"/>
      <c r="F48" s="23"/>
      <c r="G48" s="23"/>
      <c r="H48" s="23"/>
      <c r="I48" s="24"/>
      <c r="J48" s="23"/>
      <c r="K48" s="23"/>
      <c r="L48" s="24"/>
      <c r="M48" s="23"/>
      <c r="N48" s="23"/>
    </row>
    <row r="49" spans="1:14" ht="15">
      <c r="A49" s="23"/>
      <c r="B49" s="35"/>
      <c r="C49" s="23"/>
      <c r="D49" s="23"/>
      <c r="E49" s="23"/>
      <c r="F49" s="23"/>
      <c r="G49" s="23"/>
      <c r="H49" s="23"/>
      <c r="I49" s="24"/>
      <c r="J49" s="23"/>
      <c r="K49" s="23"/>
      <c r="L49" s="24"/>
      <c r="M49" s="23"/>
      <c r="N49" s="23"/>
    </row>
    <row r="50" spans="1:14" ht="15">
      <c r="A50" s="23"/>
      <c r="B50" s="35"/>
      <c r="C50" s="23"/>
      <c r="D50" s="23"/>
      <c r="E50" s="23"/>
      <c r="F50" s="23"/>
      <c r="G50" s="23"/>
      <c r="H50" s="23"/>
      <c r="I50" s="24"/>
      <c r="J50" s="23"/>
      <c r="K50" s="23"/>
      <c r="L50" s="24"/>
      <c r="M50" s="23"/>
      <c r="N50" s="23"/>
    </row>
    <row r="51" spans="1:14" ht="15">
      <c r="A51" s="23"/>
      <c r="B51" s="35"/>
      <c r="C51" s="23"/>
      <c r="D51" s="23"/>
      <c r="E51" s="23"/>
      <c r="F51" s="23"/>
      <c r="G51" s="23"/>
      <c r="H51" s="23"/>
      <c r="I51" s="24"/>
      <c r="J51" s="23"/>
      <c r="K51" s="23"/>
      <c r="L51" s="24"/>
      <c r="M51" s="23"/>
      <c r="N51" s="23"/>
    </row>
    <row r="52" spans="1:14" ht="15">
      <c r="A52" s="23"/>
      <c r="B52" s="35"/>
      <c r="C52" s="23"/>
      <c r="D52" s="23"/>
      <c r="E52" s="23"/>
      <c r="F52" s="23"/>
      <c r="G52" s="23"/>
      <c r="H52" s="23"/>
      <c r="I52" s="24"/>
      <c r="J52" s="23"/>
      <c r="K52" s="23"/>
      <c r="L52" s="24"/>
      <c r="M52" s="23"/>
      <c r="N52" s="23"/>
    </row>
    <row r="53" spans="1:14" ht="15">
      <c r="A53" s="23"/>
      <c r="B53" s="35"/>
      <c r="C53" s="23"/>
      <c r="D53" s="23"/>
      <c r="E53" s="23"/>
      <c r="F53" s="23"/>
      <c r="G53" s="23"/>
      <c r="H53" s="23"/>
      <c r="I53" s="24"/>
      <c r="J53" s="23"/>
      <c r="K53" s="23"/>
      <c r="L53" s="24"/>
      <c r="M53" s="23"/>
      <c r="N53" s="23"/>
    </row>
    <row r="54" spans="1:14" ht="15">
      <c r="A54" s="23"/>
      <c r="B54" s="35"/>
      <c r="C54" s="23"/>
      <c r="D54" s="23"/>
      <c r="E54" s="23"/>
      <c r="F54" s="23"/>
      <c r="G54" s="23"/>
      <c r="H54" s="23"/>
      <c r="I54" s="24"/>
      <c r="J54" s="23"/>
      <c r="K54" s="23"/>
      <c r="L54" s="24"/>
      <c r="M54" s="23"/>
      <c r="N54" s="23"/>
    </row>
    <row r="55" spans="1:14" ht="15">
      <c r="A55" s="23"/>
      <c r="B55" s="35"/>
      <c r="C55" s="23"/>
      <c r="D55" s="23"/>
      <c r="E55" s="23"/>
      <c r="F55" s="23"/>
      <c r="G55" s="23"/>
      <c r="H55" s="23"/>
      <c r="I55" s="24"/>
      <c r="J55" s="23"/>
      <c r="K55" s="23"/>
      <c r="L55" s="24"/>
      <c r="M55" s="23"/>
      <c r="N55" s="23"/>
    </row>
    <row r="56" spans="1:14" ht="15">
      <c r="A56" s="23"/>
      <c r="B56" s="35"/>
      <c r="C56" s="23"/>
      <c r="D56" s="23"/>
      <c r="E56" s="23"/>
      <c r="F56" s="23"/>
      <c r="G56" s="23"/>
      <c r="H56" s="23"/>
      <c r="I56" s="24"/>
      <c r="J56" s="23"/>
      <c r="K56" s="23"/>
      <c r="L56" s="24"/>
      <c r="M56" s="23"/>
      <c r="N56" s="23"/>
    </row>
    <row r="57" spans="1:14" ht="15">
      <c r="A57" s="23"/>
      <c r="B57" s="35"/>
      <c r="C57" s="23"/>
      <c r="D57" s="23"/>
      <c r="E57" s="23"/>
      <c r="F57" s="23"/>
      <c r="G57" s="23"/>
      <c r="H57" s="23"/>
      <c r="I57" s="24"/>
      <c r="J57" s="23"/>
      <c r="K57" s="23"/>
      <c r="L57" s="24"/>
      <c r="M57" s="23"/>
      <c r="N57" s="23"/>
    </row>
    <row r="58" spans="1:14" ht="15">
      <c r="A58" s="23"/>
      <c r="B58" s="35"/>
      <c r="C58" s="23"/>
      <c r="D58" s="23"/>
      <c r="E58" s="23"/>
      <c r="F58" s="23"/>
      <c r="G58" s="23"/>
      <c r="H58" s="23"/>
      <c r="I58" s="24"/>
      <c r="J58" s="23"/>
      <c r="K58" s="23"/>
      <c r="L58" s="24"/>
      <c r="M58" s="23"/>
      <c r="N58" s="23"/>
    </row>
    <row r="59" spans="1:14" ht="15">
      <c r="A59" s="23"/>
      <c r="B59" s="35"/>
      <c r="C59" s="23"/>
      <c r="D59" s="23"/>
      <c r="E59" s="23"/>
      <c r="F59" s="23"/>
      <c r="G59" s="23"/>
      <c r="H59" s="23"/>
      <c r="I59" s="24"/>
      <c r="J59" s="23"/>
      <c r="K59" s="23"/>
      <c r="L59" s="24"/>
      <c r="M59" s="23"/>
      <c r="N59" s="23"/>
    </row>
    <row r="60" spans="1:14" ht="15">
      <c r="A60" s="23"/>
      <c r="B60" s="35"/>
      <c r="C60" s="23"/>
      <c r="D60" s="23"/>
      <c r="E60" s="23"/>
      <c r="F60" s="23"/>
      <c r="G60" s="23"/>
      <c r="H60" s="23"/>
      <c r="I60" s="24"/>
      <c r="J60" s="23"/>
      <c r="K60" s="23"/>
      <c r="L60" s="24"/>
      <c r="M60" s="23"/>
      <c r="N60" s="23"/>
    </row>
    <row r="61" spans="1:14" ht="15">
      <c r="A61" s="23"/>
      <c r="B61" s="35"/>
      <c r="C61" s="23"/>
      <c r="D61" s="23"/>
      <c r="E61" s="23"/>
      <c r="F61" s="23"/>
      <c r="G61" s="23"/>
      <c r="H61" s="23"/>
      <c r="I61" s="24"/>
      <c r="J61" s="23"/>
      <c r="K61" s="23"/>
      <c r="L61" s="24"/>
      <c r="M61" s="23"/>
      <c r="N61" s="23"/>
    </row>
    <row r="62" spans="1:14" ht="15">
      <c r="A62" s="23"/>
      <c r="B62" s="35"/>
      <c r="C62" s="23"/>
      <c r="D62" s="23"/>
      <c r="E62" s="23"/>
      <c r="F62" s="23"/>
      <c r="G62" s="23"/>
      <c r="H62" s="23"/>
      <c r="I62" s="24"/>
      <c r="J62" s="23"/>
      <c r="K62" s="23"/>
      <c r="L62" s="24"/>
      <c r="M62" s="23"/>
      <c r="N62" s="23"/>
    </row>
    <row r="63" spans="1:14" ht="15">
      <c r="A63" s="23"/>
      <c r="B63" s="35"/>
      <c r="C63" s="23"/>
      <c r="D63" s="23"/>
      <c r="E63" s="23"/>
      <c r="F63" s="23"/>
      <c r="G63" s="23"/>
      <c r="H63" s="23"/>
      <c r="I63" s="24"/>
      <c r="J63" s="23"/>
      <c r="K63" s="23"/>
      <c r="L63" s="24"/>
      <c r="M63" s="23"/>
      <c r="N63" s="23"/>
    </row>
    <row r="64" spans="1:14" ht="15">
      <c r="A64" s="23"/>
      <c r="B64" s="35"/>
      <c r="C64" s="23"/>
      <c r="D64" s="23"/>
      <c r="E64" s="23"/>
      <c r="F64" s="23"/>
      <c r="G64" s="23"/>
      <c r="H64" s="23"/>
      <c r="I64" s="24"/>
      <c r="J64" s="23"/>
      <c r="K64" s="23"/>
      <c r="L64" s="24"/>
      <c r="M64" s="23"/>
      <c r="N64" s="23"/>
    </row>
    <row r="65" spans="1:14" ht="15">
      <c r="A65" s="23"/>
      <c r="B65" s="35"/>
      <c r="C65" s="23"/>
      <c r="D65" s="23"/>
      <c r="E65" s="23"/>
      <c r="F65" s="23"/>
      <c r="G65" s="23"/>
      <c r="H65" s="23"/>
      <c r="I65" s="24"/>
      <c r="J65" s="23"/>
      <c r="K65" s="23"/>
      <c r="L65" s="24"/>
      <c r="M65" s="23"/>
      <c r="N65" s="23"/>
    </row>
    <row r="66" spans="1:14" ht="15">
      <c r="A66" s="23"/>
      <c r="B66" s="35"/>
      <c r="C66" s="23"/>
      <c r="D66" s="23"/>
      <c r="E66" s="23"/>
      <c r="F66" s="23"/>
      <c r="G66" s="23"/>
      <c r="H66" s="23"/>
      <c r="I66" s="24"/>
      <c r="J66" s="23"/>
      <c r="K66" s="23"/>
      <c r="L66" s="24"/>
      <c r="M66" s="23"/>
      <c r="N66" s="23"/>
    </row>
    <row r="67" spans="1:14" ht="15">
      <c r="A67" s="23"/>
      <c r="B67" s="35"/>
      <c r="C67" s="23"/>
      <c r="D67" s="23"/>
      <c r="E67" s="23"/>
      <c r="F67" s="23"/>
      <c r="G67" s="23"/>
      <c r="H67" s="23"/>
      <c r="I67" s="24"/>
      <c r="J67" s="23"/>
      <c r="K67" s="23"/>
      <c r="L67" s="24"/>
      <c r="M67" s="23"/>
      <c r="N67" s="23"/>
    </row>
    <row r="68" spans="1:14" ht="15">
      <c r="A68" s="23"/>
      <c r="B68" s="35"/>
      <c r="C68" s="23"/>
      <c r="D68" s="23"/>
      <c r="E68" s="23"/>
      <c r="F68" s="23"/>
      <c r="G68" s="23"/>
      <c r="H68" s="23"/>
      <c r="I68" s="24"/>
      <c r="J68" s="23"/>
      <c r="K68" s="23"/>
      <c r="L68" s="24"/>
      <c r="M68" s="23"/>
      <c r="N68" s="23"/>
    </row>
    <row r="69" spans="1:14" ht="15">
      <c r="A69" s="23"/>
      <c r="B69" s="35"/>
      <c r="C69" s="23"/>
      <c r="D69" s="23"/>
      <c r="E69" s="23"/>
      <c r="F69" s="23"/>
      <c r="G69" s="23"/>
      <c r="H69" s="23"/>
      <c r="I69" s="24"/>
      <c r="J69" s="23"/>
      <c r="K69" s="23"/>
      <c r="L69" s="24"/>
      <c r="M69" s="23"/>
      <c r="N69" s="23"/>
    </row>
    <row r="70" spans="1:14" ht="15">
      <c r="A70" s="23"/>
      <c r="B70" s="35"/>
      <c r="C70" s="23"/>
      <c r="D70" s="23"/>
      <c r="E70" s="23"/>
      <c r="F70" s="23"/>
      <c r="G70" s="23"/>
      <c r="H70" s="23"/>
      <c r="I70" s="24"/>
      <c r="J70" s="23"/>
      <c r="K70" s="23"/>
      <c r="L70" s="24"/>
      <c r="M70" s="23"/>
      <c r="N70" s="23"/>
    </row>
    <row r="71" spans="1:14" ht="15">
      <c r="A71" s="23"/>
      <c r="B71" s="35"/>
      <c r="C71" s="23"/>
      <c r="D71" s="23"/>
      <c r="E71" s="23"/>
      <c r="F71" s="23"/>
      <c r="G71" s="23"/>
      <c r="H71" s="23"/>
      <c r="I71" s="24"/>
      <c r="J71" s="23"/>
      <c r="K71" s="23"/>
      <c r="L71" s="24"/>
      <c r="M71" s="23"/>
      <c r="N71" s="23"/>
    </row>
    <row r="72" spans="1:14" ht="15">
      <c r="A72" s="23"/>
      <c r="B72" s="35"/>
      <c r="C72" s="23"/>
      <c r="D72" s="23"/>
      <c r="E72" s="23"/>
      <c r="F72" s="23"/>
      <c r="G72" s="23"/>
      <c r="H72" s="23"/>
      <c r="I72" s="24"/>
      <c r="J72" s="23"/>
      <c r="K72" s="23"/>
      <c r="L72" s="24"/>
      <c r="M72" s="23"/>
      <c r="N72" s="23"/>
    </row>
    <row r="73" spans="1:14" ht="15">
      <c r="A73" s="23"/>
      <c r="B73" s="35"/>
      <c r="C73" s="23"/>
      <c r="D73" s="23"/>
      <c r="E73" s="23"/>
      <c r="F73" s="23"/>
      <c r="G73" s="23"/>
      <c r="H73" s="23"/>
      <c r="I73" s="24"/>
      <c r="J73" s="23"/>
      <c r="K73" s="23"/>
      <c r="L73" s="24"/>
      <c r="M73" s="23"/>
      <c r="N73" s="23"/>
    </row>
    <row r="74" spans="1:14" ht="15">
      <c r="A74" s="23"/>
      <c r="B74" s="35"/>
      <c r="C74" s="23"/>
      <c r="D74" s="23"/>
      <c r="E74" s="23"/>
      <c r="F74" s="23"/>
      <c r="G74" s="23"/>
      <c r="H74" s="23"/>
      <c r="I74" s="24"/>
      <c r="J74" s="23"/>
      <c r="K74" s="23"/>
      <c r="L74" s="24"/>
      <c r="M74" s="23"/>
      <c r="N74" s="23"/>
    </row>
    <row r="75" spans="1:14" ht="15">
      <c r="A75" s="23"/>
      <c r="B75" s="35"/>
      <c r="C75" s="23"/>
      <c r="D75" s="23"/>
      <c r="E75" s="23"/>
      <c r="F75" s="23"/>
      <c r="G75" s="23"/>
      <c r="H75" s="23"/>
      <c r="I75" s="24"/>
      <c r="J75" s="23"/>
      <c r="K75" s="23"/>
      <c r="L75" s="24"/>
      <c r="M75" s="23"/>
      <c r="N75" s="23"/>
    </row>
    <row r="76" spans="1:14" ht="15">
      <c r="A76" s="23"/>
      <c r="B76" s="35"/>
      <c r="C76" s="23"/>
      <c r="D76" s="23"/>
      <c r="E76" s="23"/>
      <c r="F76" s="23"/>
      <c r="G76" s="23"/>
      <c r="H76" s="23"/>
      <c r="I76" s="24"/>
      <c r="J76" s="23"/>
      <c r="K76" s="23"/>
      <c r="L76" s="24"/>
      <c r="M76" s="23"/>
      <c r="N76" s="23"/>
    </row>
    <row r="77" spans="1:14" ht="15">
      <c r="A77" s="23"/>
      <c r="B77" s="35"/>
      <c r="C77" s="23"/>
      <c r="D77" s="23"/>
      <c r="E77" s="23"/>
      <c r="F77" s="23"/>
      <c r="G77" s="23"/>
      <c r="H77" s="23"/>
      <c r="I77" s="24"/>
      <c r="J77" s="23"/>
      <c r="K77" s="23"/>
      <c r="L77" s="24"/>
      <c r="M77" s="23"/>
      <c r="N77" s="23"/>
    </row>
    <row r="78" spans="1:14" ht="15">
      <c r="A78" s="23"/>
      <c r="B78" s="35"/>
      <c r="C78" s="23"/>
      <c r="D78" s="23"/>
      <c r="E78" s="23"/>
      <c r="F78" s="23"/>
      <c r="G78" s="23"/>
      <c r="H78" s="23"/>
      <c r="I78" s="24"/>
      <c r="J78" s="23"/>
      <c r="K78" s="23"/>
      <c r="L78" s="24"/>
      <c r="M78" s="23"/>
      <c r="N78" s="23"/>
    </row>
    <row r="79" spans="1:14" ht="15">
      <c r="A79" s="23"/>
      <c r="B79" s="35"/>
      <c r="C79" s="23"/>
      <c r="D79" s="23"/>
      <c r="E79" s="23"/>
      <c r="F79" s="23"/>
      <c r="G79" s="23"/>
      <c r="H79" s="23"/>
      <c r="I79" s="24"/>
      <c r="J79" s="23"/>
      <c r="K79" s="23"/>
      <c r="L79" s="24"/>
      <c r="M79" s="23"/>
      <c r="N79" s="23"/>
    </row>
    <row r="80" spans="1:14" ht="15">
      <c r="A80" s="23"/>
      <c r="B80" s="35"/>
      <c r="C80" s="23"/>
      <c r="D80" s="23"/>
      <c r="E80" s="23"/>
      <c r="F80" s="23"/>
      <c r="G80" s="23"/>
      <c r="H80" s="23"/>
      <c r="I80" s="24"/>
      <c r="J80" s="23"/>
      <c r="K80" s="23"/>
      <c r="L80" s="24"/>
      <c r="M80" s="23"/>
      <c r="N80" s="23"/>
    </row>
    <row r="81" spans="1:14" ht="15">
      <c r="A81" s="23"/>
      <c r="B81" s="35"/>
      <c r="C81" s="23"/>
      <c r="D81" s="23"/>
      <c r="E81" s="23"/>
      <c r="F81" s="23"/>
      <c r="G81" s="23"/>
      <c r="H81" s="23"/>
      <c r="I81" s="24"/>
      <c r="J81" s="23"/>
      <c r="K81" s="23"/>
      <c r="L81" s="24"/>
      <c r="M81" s="23"/>
      <c r="N81" s="23"/>
    </row>
    <row r="82" spans="1:14" ht="15">
      <c r="A82" s="23"/>
      <c r="B82" s="35"/>
      <c r="C82" s="23"/>
      <c r="D82" s="23"/>
      <c r="E82" s="23"/>
      <c r="F82" s="23"/>
      <c r="G82" s="23"/>
      <c r="H82" s="23"/>
      <c r="I82" s="24"/>
      <c r="J82" s="23"/>
      <c r="K82" s="23"/>
      <c r="L82" s="24"/>
      <c r="M82" s="23"/>
      <c r="N82" s="23"/>
    </row>
    <row r="83" spans="1:14" ht="15">
      <c r="A83" s="23"/>
      <c r="B83" s="35"/>
      <c r="C83" s="23"/>
      <c r="D83" s="23"/>
      <c r="E83" s="23"/>
      <c r="F83" s="23"/>
      <c r="G83" s="23"/>
      <c r="H83" s="23"/>
      <c r="I83" s="24"/>
      <c r="J83" s="23"/>
      <c r="K83" s="23"/>
      <c r="L83" s="24"/>
      <c r="M83" s="23"/>
      <c r="N83" s="23"/>
    </row>
    <row r="84" spans="1:14" ht="15">
      <c r="A84" s="23"/>
      <c r="B84" s="35"/>
      <c r="C84" s="23"/>
      <c r="D84" s="23"/>
      <c r="E84" s="23"/>
      <c r="F84" s="23"/>
      <c r="G84" s="23"/>
      <c r="H84" s="23"/>
      <c r="I84" s="24"/>
      <c r="J84" s="23"/>
      <c r="K84" s="23"/>
      <c r="L84" s="24"/>
      <c r="M84" s="23"/>
      <c r="N84" s="23"/>
    </row>
    <row r="85" spans="1:14" ht="15">
      <c r="A85" s="23"/>
      <c r="B85" s="35"/>
      <c r="C85" s="23"/>
      <c r="D85" s="23"/>
      <c r="E85" s="23"/>
      <c r="F85" s="23"/>
      <c r="G85" s="23"/>
      <c r="H85" s="23"/>
      <c r="I85" s="24"/>
      <c r="J85" s="23"/>
      <c r="K85" s="23"/>
      <c r="L85" s="24"/>
      <c r="M85" s="23"/>
      <c r="N85" s="23"/>
    </row>
    <row r="86" spans="1:14" ht="15">
      <c r="A86" s="23"/>
      <c r="B86" s="35"/>
      <c r="C86" s="23"/>
      <c r="D86" s="23"/>
      <c r="E86" s="23"/>
      <c r="F86" s="23"/>
      <c r="G86" s="23"/>
      <c r="H86" s="23"/>
      <c r="I86" s="24"/>
      <c r="J86" s="23"/>
      <c r="K86" s="23"/>
      <c r="L86" s="24"/>
      <c r="M86" s="23"/>
      <c r="N86" s="23"/>
    </row>
    <row r="87" spans="1:14" ht="15">
      <c r="A87" s="23"/>
      <c r="B87" s="35"/>
      <c r="C87" s="23"/>
      <c r="D87" s="23"/>
      <c r="E87" s="23"/>
      <c r="F87" s="23"/>
      <c r="G87" s="23"/>
      <c r="H87" s="23"/>
      <c r="I87" s="24"/>
      <c r="J87" s="23"/>
      <c r="K87" s="23"/>
      <c r="L87" s="24"/>
      <c r="M87" s="23"/>
      <c r="N87" s="23"/>
    </row>
    <row r="88" spans="1:14" ht="15">
      <c r="A88" s="23"/>
      <c r="B88" s="35"/>
      <c r="C88" s="23"/>
      <c r="D88" s="23"/>
      <c r="E88" s="23"/>
      <c r="F88" s="23"/>
      <c r="G88" s="23"/>
      <c r="H88" s="23"/>
      <c r="I88" s="24"/>
      <c r="J88" s="23"/>
      <c r="K88" s="23"/>
      <c r="L88" s="24"/>
      <c r="M88" s="23"/>
      <c r="N88" s="23"/>
    </row>
    <row r="89" spans="1:14" ht="15">
      <c r="A89" s="23"/>
      <c r="B89" s="35"/>
      <c r="C89" s="23"/>
      <c r="D89" s="23"/>
      <c r="E89" s="23"/>
      <c r="F89" s="23"/>
      <c r="G89" s="23"/>
      <c r="H89" s="23"/>
      <c r="I89" s="24"/>
      <c r="J89" s="23"/>
      <c r="K89" s="23"/>
      <c r="L89" s="24"/>
      <c r="M89" s="23"/>
      <c r="N89" s="23"/>
    </row>
    <row r="90" spans="1:14" ht="15">
      <c r="A90" s="23"/>
      <c r="B90" s="35"/>
      <c r="C90" s="23"/>
      <c r="D90" s="23"/>
      <c r="E90" s="23"/>
      <c r="F90" s="23"/>
      <c r="G90" s="23"/>
      <c r="H90" s="23"/>
      <c r="I90" s="24"/>
      <c r="J90" s="23"/>
      <c r="K90" s="23"/>
      <c r="L90" s="24"/>
      <c r="M90" s="23"/>
      <c r="N90" s="23"/>
    </row>
    <row r="91" spans="1:14" ht="15">
      <c r="A91" s="23"/>
      <c r="B91" s="35"/>
      <c r="C91" s="23"/>
      <c r="D91" s="23"/>
      <c r="E91" s="23"/>
      <c r="F91" s="23"/>
      <c r="G91" s="23"/>
      <c r="H91" s="23"/>
      <c r="I91" s="24"/>
      <c r="J91" s="23"/>
      <c r="K91" s="23"/>
      <c r="L91" s="24"/>
      <c r="M91" s="23"/>
      <c r="N91" s="23"/>
    </row>
    <row r="92" spans="1:14" ht="15">
      <c r="A92" s="23"/>
      <c r="B92" s="35"/>
      <c r="C92" s="23"/>
      <c r="D92" s="23"/>
      <c r="E92" s="23"/>
      <c r="F92" s="23"/>
      <c r="G92" s="23"/>
      <c r="H92" s="23"/>
      <c r="I92" s="24"/>
      <c r="J92" s="23"/>
      <c r="K92" s="23"/>
      <c r="L92" s="24"/>
      <c r="M92" s="23"/>
      <c r="N92" s="23"/>
    </row>
    <row r="93" spans="1:14" ht="15">
      <c r="A93" s="23"/>
      <c r="B93" s="35"/>
      <c r="C93" s="23"/>
      <c r="D93" s="23"/>
      <c r="E93" s="23"/>
      <c r="F93" s="23"/>
      <c r="G93" s="23"/>
      <c r="H93" s="23"/>
      <c r="I93" s="24"/>
      <c r="J93" s="23"/>
      <c r="K93" s="23"/>
      <c r="L93" s="24"/>
      <c r="M93" s="23"/>
      <c r="N93" s="23"/>
    </row>
    <row r="94" spans="1:14" ht="15">
      <c r="A94" s="23"/>
      <c r="B94" s="35"/>
      <c r="C94" s="23"/>
      <c r="D94" s="23"/>
      <c r="E94" s="23"/>
      <c r="F94" s="23"/>
      <c r="G94" s="23"/>
      <c r="H94" s="23"/>
      <c r="I94" s="24"/>
      <c r="J94" s="23"/>
      <c r="K94" s="23"/>
      <c r="L94" s="24"/>
      <c r="M94" s="23"/>
      <c r="N94" s="23"/>
    </row>
    <row r="95" spans="1:14" ht="15">
      <c r="A95" s="23"/>
      <c r="B95" s="35"/>
      <c r="C95" s="23"/>
      <c r="D95" s="23"/>
      <c r="E95" s="23"/>
      <c r="F95" s="23"/>
      <c r="G95" s="23"/>
      <c r="H95" s="23"/>
      <c r="I95" s="24"/>
      <c r="J95" s="23"/>
      <c r="K95" s="23"/>
      <c r="L95" s="24"/>
      <c r="M95" s="23"/>
      <c r="N95" s="23"/>
    </row>
    <row r="96" spans="1:14" ht="15">
      <c r="A96" s="23"/>
      <c r="B96" s="35"/>
      <c r="C96" s="23"/>
      <c r="D96" s="23"/>
      <c r="E96" s="23"/>
      <c r="F96" s="23"/>
      <c r="G96" s="23"/>
      <c r="H96" s="23"/>
      <c r="I96" s="24"/>
      <c r="J96" s="23"/>
      <c r="K96" s="23"/>
      <c r="L96" s="24"/>
      <c r="M96" s="23"/>
      <c r="N96" s="23"/>
    </row>
    <row r="97" spans="1:14" ht="15">
      <c r="A97" s="23"/>
      <c r="B97" s="35"/>
      <c r="C97" s="23"/>
      <c r="D97" s="23"/>
      <c r="E97" s="23"/>
      <c r="F97" s="23"/>
      <c r="G97" s="23"/>
      <c r="H97" s="23"/>
      <c r="I97" s="24"/>
      <c r="J97" s="23"/>
      <c r="K97" s="23"/>
      <c r="L97" s="24"/>
      <c r="M97" s="23"/>
      <c r="N97" s="23"/>
    </row>
    <row r="98" spans="1:14" ht="15">
      <c r="A98" s="23"/>
      <c r="B98" s="35"/>
      <c r="C98" s="23"/>
      <c r="D98" s="23"/>
      <c r="E98" s="23"/>
      <c r="F98" s="23"/>
      <c r="G98" s="23"/>
      <c r="H98" s="23"/>
      <c r="I98" s="24"/>
      <c r="J98" s="23"/>
      <c r="K98" s="23"/>
      <c r="L98" s="24"/>
      <c r="M98" s="23"/>
      <c r="N98" s="23"/>
    </row>
    <row r="99" spans="1:14" ht="15">
      <c r="A99" s="23"/>
      <c r="B99" s="35"/>
      <c r="C99" s="23"/>
      <c r="D99" s="23"/>
      <c r="E99" s="23"/>
      <c r="F99" s="23"/>
      <c r="G99" s="23"/>
      <c r="H99" s="23"/>
      <c r="I99" s="24"/>
      <c r="J99" s="23"/>
      <c r="K99" s="23"/>
      <c r="L99" s="24"/>
      <c r="M99" s="23"/>
      <c r="N99" s="23"/>
    </row>
    <row r="100" spans="1:14" ht="15">
      <c r="A100" s="23"/>
      <c r="B100" s="35"/>
      <c r="C100" s="23"/>
      <c r="D100" s="23"/>
      <c r="E100" s="23"/>
      <c r="F100" s="23"/>
      <c r="G100" s="23"/>
      <c r="H100" s="23"/>
      <c r="I100" s="24"/>
      <c r="J100" s="23"/>
      <c r="K100" s="23"/>
      <c r="L100" s="24"/>
      <c r="M100" s="23"/>
      <c r="N100" s="23"/>
    </row>
    <row r="101" spans="1:14" ht="15">
      <c r="A101" s="23"/>
      <c r="B101" s="35"/>
      <c r="C101" s="23"/>
      <c r="D101" s="23"/>
      <c r="E101" s="23"/>
      <c r="F101" s="23"/>
      <c r="G101" s="23"/>
      <c r="H101" s="23"/>
      <c r="I101" s="24"/>
      <c r="J101" s="23"/>
      <c r="K101" s="23"/>
      <c r="L101" s="24"/>
      <c r="M101" s="23"/>
      <c r="N101" s="23"/>
    </row>
    <row r="102" spans="1:14" ht="15">
      <c r="A102" s="23"/>
      <c r="B102" s="35"/>
      <c r="C102" s="23"/>
      <c r="D102" s="23"/>
      <c r="E102" s="23"/>
      <c r="F102" s="23"/>
      <c r="G102" s="23"/>
      <c r="H102" s="23"/>
      <c r="I102" s="24"/>
      <c r="J102" s="23"/>
      <c r="K102" s="23"/>
      <c r="L102" s="24"/>
      <c r="M102" s="23"/>
      <c r="N102" s="23"/>
    </row>
    <row r="103" spans="1:14" ht="15">
      <c r="A103" s="23"/>
      <c r="B103" s="35"/>
      <c r="C103" s="23"/>
      <c r="D103" s="23"/>
      <c r="E103" s="23"/>
      <c r="F103" s="23"/>
      <c r="G103" s="23"/>
      <c r="H103" s="23"/>
      <c r="I103" s="24"/>
      <c r="J103" s="23"/>
      <c r="K103" s="23"/>
      <c r="L103" s="24"/>
      <c r="M103" s="23"/>
      <c r="N103" s="23"/>
    </row>
    <row r="104" spans="1:14" ht="15">
      <c r="A104" s="23"/>
      <c r="B104" s="35"/>
      <c r="C104" s="23"/>
      <c r="D104" s="23"/>
      <c r="E104" s="23"/>
      <c r="F104" s="23"/>
      <c r="G104" s="23"/>
      <c r="H104" s="23"/>
      <c r="I104" s="24"/>
      <c r="J104" s="23"/>
      <c r="K104" s="23"/>
      <c r="L104" s="24"/>
      <c r="M104" s="23"/>
      <c r="N104" s="23"/>
    </row>
    <row r="105" spans="1:14" ht="15">
      <c r="A105" s="23"/>
      <c r="B105" s="35"/>
      <c r="C105" s="23"/>
      <c r="D105" s="23"/>
      <c r="E105" s="23"/>
      <c r="F105" s="23"/>
      <c r="G105" s="23"/>
      <c r="H105" s="23"/>
      <c r="I105" s="24"/>
      <c r="J105" s="23"/>
      <c r="K105" s="23"/>
      <c r="L105" s="24"/>
      <c r="M105" s="23"/>
      <c r="N105" s="23"/>
    </row>
    <row r="106" spans="1:14" ht="15">
      <c r="A106" s="23"/>
      <c r="B106" s="35"/>
      <c r="C106" s="23"/>
      <c r="D106" s="23"/>
      <c r="E106" s="23"/>
      <c r="F106" s="23"/>
      <c r="G106" s="23"/>
      <c r="H106" s="23"/>
      <c r="I106" s="24"/>
      <c r="J106" s="23"/>
      <c r="K106" s="23"/>
      <c r="L106" s="24"/>
      <c r="M106" s="23"/>
      <c r="N106" s="23"/>
    </row>
    <row r="107" spans="1:14" ht="15">
      <c r="A107" s="23"/>
      <c r="B107" s="35"/>
      <c r="C107" s="23"/>
      <c r="D107" s="23"/>
      <c r="E107" s="23"/>
      <c r="F107" s="23"/>
      <c r="G107" s="23"/>
      <c r="H107" s="23"/>
      <c r="I107" s="24"/>
      <c r="J107" s="23"/>
      <c r="K107" s="23"/>
      <c r="L107" s="24"/>
      <c r="M107" s="23"/>
      <c r="N107" s="23"/>
    </row>
    <row r="108" spans="1:14" ht="15">
      <c r="A108" s="23"/>
      <c r="B108" s="35"/>
      <c r="C108" s="23"/>
      <c r="D108" s="23"/>
      <c r="E108" s="23"/>
      <c r="F108" s="23"/>
      <c r="G108" s="23"/>
      <c r="H108" s="23"/>
      <c r="I108" s="24"/>
      <c r="J108" s="23"/>
      <c r="K108" s="23"/>
      <c r="L108" s="24"/>
      <c r="M108" s="23"/>
      <c r="N108" s="23"/>
    </row>
    <row r="109" spans="1:14" ht="15">
      <c r="A109" s="23"/>
      <c r="B109" s="35"/>
      <c r="C109" s="23"/>
      <c r="D109" s="23"/>
      <c r="E109" s="23"/>
      <c r="F109" s="23"/>
      <c r="G109" s="23"/>
      <c r="H109" s="23"/>
      <c r="I109" s="24"/>
      <c r="J109" s="23"/>
      <c r="K109" s="23"/>
      <c r="L109" s="24"/>
      <c r="M109" s="23"/>
      <c r="N109" s="23"/>
    </row>
    <row r="110" spans="1:14" ht="15">
      <c r="A110" s="23"/>
      <c r="B110" s="35"/>
      <c r="C110" s="23"/>
      <c r="D110" s="23"/>
      <c r="E110" s="23"/>
      <c r="F110" s="23"/>
      <c r="G110" s="23"/>
      <c r="H110" s="23"/>
      <c r="I110" s="24"/>
      <c r="J110" s="23"/>
      <c r="K110" s="23"/>
      <c r="L110" s="24"/>
      <c r="M110" s="23"/>
      <c r="N110" s="23"/>
    </row>
    <row r="111" spans="1:14" ht="15">
      <c r="A111" s="23"/>
      <c r="B111" s="35"/>
      <c r="C111" s="23"/>
      <c r="D111" s="23"/>
      <c r="E111" s="23"/>
      <c r="F111" s="23"/>
      <c r="G111" s="23"/>
      <c r="H111" s="23"/>
      <c r="I111" s="24"/>
      <c r="J111" s="23"/>
      <c r="K111" s="23"/>
      <c r="L111" s="24"/>
      <c r="M111" s="23"/>
      <c r="N111" s="23"/>
    </row>
    <row r="112" spans="1:14" ht="15">
      <c r="A112" s="23"/>
      <c r="B112" s="35"/>
      <c r="C112" s="23"/>
      <c r="D112" s="23"/>
      <c r="E112" s="23"/>
      <c r="F112" s="23"/>
      <c r="G112" s="23"/>
      <c r="H112" s="23"/>
      <c r="I112" s="24"/>
      <c r="J112" s="23"/>
      <c r="K112" s="23"/>
      <c r="L112" s="24"/>
      <c r="M112" s="23"/>
      <c r="N112" s="23"/>
    </row>
    <row r="113" spans="1:14" ht="15">
      <c r="A113" s="23"/>
      <c r="B113" s="35"/>
      <c r="C113" s="23"/>
      <c r="D113" s="23"/>
      <c r="E113" s="23"/>
      <c r="F113" s="23"/>
      <c r="G113" s="23"/>
      <c r="H113" s="23"/>
      <c r="I113" s="24"/>
      <c r="J113" s="23"/>
      <c r="K113" s="23"/>
      <c r="L113" s="24"/>
      <c r="M113" s="23"/>
      <c r="N113" s="23"/>
    </row>
    <row r="114" spans="1:14" ht="15">
      <c r="A114" s="23"/>
      <c r="B114" s="35"/>
      <c r="C114" s="23"/>
      <c r="D114" s="23"/>
      <c r="E114" s="23"/>
      <c r="F114" s="23"/>
      <c r="G114" s="23"/>
      <c r="H114" s="23"/>
      <c r="I114" s="24"/>
      <c r="J114" s="23"/>
      <c r="K114" s="23"/>
      <c r="L114" s="24"/>
      <c r="M114" s="23"/>
      <c r="N114" s="23"/>
    </row>
    <row r="115" spans="1:14" ht="15">
      <c r="A115" s="23"/>
      <c r="B115" s="35"/>
      <c r="C115" s="23"/>
      <c r="D115" s="23"/>
      <c r="E115" s="23"/>
      <c r="F115" s="23"/>
      <c r="G115" s="23"/>
      <c r="H115" s="23"/>
      <c r="I115" s="24"/>
      <c r="J115" s="23"/>
      <c r="K115" s="23"/>
      <c r="L115" s="24"/>
      <c r="M115" s="23"/>
      <c r="N115" s="23"/>
    </row>
    <row r="116" spans="1:14" ht="15">
      <c r="A116" s="23"/>
      <c r="B116" s="35"/>
      <c r="C116" s="23"/>
      <c r="D116" s="23"/>
      <c r="E116" s="23"/>
      <c r="F116" s="23"/>
      <c r="G116" s="23"/>
      <c r="H116" s="23"/>
      <c r="I116" s="24"/>
      <c r="J116" s="23"/>
      <c r="K116" s="23"/>
      <c r="L116" s="24"/>
      <c r="M116" s="23"/>
      <c r="N116" s="23"/>
    </row>
    <row r="117" spans="1:14" ht="15">
      <c r="A117" s="23"/>
      <c r="B117" s="35"/>
      <c r="C117" s="23"/>
      <c r="D117" s="23"/>
      <c r="E117" s="23"/>
      <c r="F117" s="23"/>
      <c r="G117" s="23"/>
      <c r="H117" s="23"/>
      <c r="I117" s="24"/>
      <c r="J117" s="23"/>
      <c r="K117" s="23"/>
      <c r="L117" s="24"/>
      <c r="M117" s="23"/>
      <c r="N117" s="23"/>
    </row>
    <row r="118" spans="1:14" ht="15">
      <c r="A118" s="23"/>
      <c r="B118" s="35"/>
      <c r="C118" s="23"/>
      <c r="D118" s="23"/>
      <c r="E118" s="23"/>
      <c r="F118" s="23"/>
      <c r="G118" s="23"/>
      <c r="H118" s="23"/>
      <c r="I118" s="24"/>
      <c r="J118" s="23"/>
      <c r="K118" s="23"/>
      <c r="L118" s="24"/>
      <c r="M118" s="23"/>
      <c r="N118" s="23"/>
    </row>
    <row r="119" spans="1:14" ht="15">
      <c r="A119" s="23"/>
      <c r="B119" s="35"/>
      <c r="C119" s="23"/>
      <c r="D119" s="23"/>
      <c r="E119" s="23"/>
      <c r="F119" s="23"/>
      <c r="G119" s="23"/>
      <c r="H119" s="23"/>
      <c r="I119" s="24"/>
      <c r="J119" s="23"/>
      <c r="K119" s="23"/>
      <c r="L119" s="24"/>
      <c r="M119" s="23"/>
      <c r="N119" s="23"/>
    </row>
    <row r="120" spans="1:14" ht="15">
      <c r="A120" s="23"/>
      <c r="B120" s="35"/>
      <c r="C120" s="23"/>
      <c r="D120" s="23"/>
      <c r="E120" s="23"/>
      <c r="F120" s="23"/>
      <c r="G120" s="23"/>
      <c r="H120" s="23"/>
      <c r="I120" s="24"/>
      <c r="J120" s="23"/>
      <c r="K120" s="23"/>
      <c r="L120" s="24"/>
      <c r="M120" s="23"/>
      <c r="N120" s="23"/>
    </row>
    <row r="121" spans="1:14" ht="15">
      <c r="A121" s="23"/>
      <c r="B121" s="35"/>
      <c r="C121" s="23"/>
      <c r="D121" s="23"/>
      <c r="E121" s="23"/>
      <c r="F121" s="23"/>
      <c r="G121" s="23"/>
      <c r="H121" s="23"/>
      <c r="I121" s="24"/>
      <c r="J121" s="23"/>
      <c r="K121" s="23"/>
      <c r="L121" s="24"/>
      <c r="M121" s="23"/>
      <c r="N121" s="23"/>
    </row>
    <row r="122" spans="1:14" ht="15">
      <c r="A122" s="23"/>
      <c r="B122" s="35"/>
      <c r="C122" s="23"/>
      <c r="D122" s="23"/>
      <c r="E122" s="23"/>
      <c r="F122" s="23"/>
      <c r="G122" s="23"/>
      <c r="H122" s="23"/>
      <c r="I122" s="24"/>
      <c r="J122" s="23"/>
      <c r="K122" s="23"/>
      <c r="L122" s="24"/>
      <c r="M122" s="23"/>
      <c r="N122" s="23"/>
    </row>
    <row r="123" spans="1:14" ht="15">
      <c r="A123" s="23"/>
      <c r="B123" s="35"/>
      <c r="C123" s="23"/>
      <c r="D123" s="23"/>
      <c r="E123" s="23"/>
      <c r="F123" s="23"/>
      <c r="G123" s="23"/>
      <c r="H123" s="23"/>
      <c r="I123" s="24"/>
      <c r="J123" s="23"/>
      <c r="K123" s="23"/>
      <c r="L123" s="24"/>
      <c r="M123" s="23"/>
      <c r="N123" s="23"/>
    </row>
    <row r="124" spans="1:14" ht="15">
      <c r="A124" s="23"/>
      <c r="B124" s="35"/>
      <c r="C124" s="23"/>
      <c r="D124" s="23"/>
      <c r="E124" s="23"/>
      <c r="F124" s="23"/>
      <c r="G124" s="23"/>
      <c r="H124" s="23"/>
      <c r="I124" s="24"/>
      <c r="J124" s="23"/>
      <c r="K124" s="23"/>
      <c r="L124" s="24"/>
      <c r="M124" s="23"/>
      <c r="N124" s="23"/>
    </row>
    <row r="125" spans="1:14" ht="15">
      <c r="A125" s="23"/>
      <c r="B125" s="35"/>
      <c r="C125" s="23"/>
      <c r="D125" s="23"/>
      <c r="E125" s="23"/>
      <c r="F125" s="23"/>
      <c r="G125" s="23"/>
      <c r="H125" s="23"/>
      <c r="I125" s="24"/>
      <c r="J125" s="23"/>
      <c r="K125" s="23"/>
      <c r="L125" s="24"/>
      <c r="M125" s="23"/>
      <c r="N125" s="23"/>
    </row>
    <row r="126" spans="1:14" ht="15">
      <c r="A126" s="23"/>
      <c r="B126" s="35"/>
      <c r="C126" s="23"/>
      <c r="D126" s="23"/>
      <c r="E126" s="23"/>
      <c r="F126" s="23"/>
      <c r="G126" s="23"/>
      <c r="H126" s="23"/>
      <c r="I126" s="24"/>
      <c r="J126" s="23"/>
      <c r="K126" s="23"/>
      <c r="L126" s="24"/>
      <c r="M126" s="23"/>
      <c r="N126" s="23"/>
    </row>
    <row r="127" spans="1:14" ht="15">
      <c r="A127" s="23"/>
      <c r="B127" s="35"/>
      <c r="C127" s="23"/>
      <c r="D127" s="23"/>
      <c r="E127" s="23"/>
      <c r="F127" s="23"/>
      <c r="G127" s="23"/>
      <c r="H127" s="23"/>
      <c r="I127" s="24"/>
      <c r="J127" s="23"/>
      <c r="K127" s="23"/>
      <c r="L127" s="24"/>
      <c r="M127" s="23"/>
      <c r="N127" s="23"/>
    </row>
    <row r="128" spans="1:14" ht="15">
      <c r="A128" s="23"/>
      <c r="B128" s="35"/>
      <c r="C128" s="23"/>
      <c r="D128" s="23"/>
      <c r="E128" s="23"/>
      <c r="F128" s="23"/>
      <c r="G128" s="23"/>
      <c r="H128" s="23"/>
      <c r="I128" s="24"/>
      <c r="J128" s="23"/>
      <c r="K128" s="23"/>
      <c r="L128" s="24"/>
      <c r="M128" s="23"/>
      <c r="N128" s="23"/>
    </row>
    <row r="129" spans="1:14" ht="15">
      <c r="A129" s="23"/>
      <c r="B129" s="35"/>
      <c r="C129" s="23"/>
      <c r="D129" s="23"/>
      <c r="E129" s="23"/>
      <c r="F129" s="23"/>
      <c r="G129" s="23"/>
      <c r="H129" s="23"/>
      <c r="I129" s="24"/>
      <c r="J129" s="23"/>
      <c r="K129" s="23"/>
      <c r="L129" s="24"/>
      <c r="M129" s="23"/>
      <c r="N129" s="23"/>
    </row>
    <row r="130" spans="1:14" ht="15">
      <c r="A130" s="23"/>
      <c r="B130" s="35"/>
      <c r="C130" s="23"/>
      <c r="D130" s="23"/>
      <c r="E130" s="23"/>
      <c r="F130" s="23"/>
      <c r="G130" s="23"/>
      <c r="H130" s="23"/>
      <c r="I130" s="24"/>
      <c r="J130" s="23"/>
      <c r="K130" s="23"/>
      <c r="L130" s="24"/>
      <c r="M130" s="23"/>
      <c r="N130" s="23"/>
    </row>
    <row r="131" spans="1:14" ht="15">
      <c r="A131" s="23"/>
      <c r="B131" s="35"/>
      <c r="C131" s="23"/>
      <c r="D131" s="23"/>
      <c r="E131" s="23"/>
      <c r="F131" s="23"/>
      <c r="G131" s="23"/>
      <c r="H131" s="23"/>
      <c r="I131" s="24"/>
      <c r="J131" s="23"/>
      <c r="K131" s="23"/>
      <c r="L131" s="24"/>
      <c r="M131" s="23"/>
      <c r="N131" s="23"/>
    </row>
    <row r="132" spans="1:14" ht="15">
      <c r="A132" s="23"/>
      <c r="B132" s="35"/>
      <c r="C132" s="23"/>
      <c r="D132" s="23"/>
      <c r="E132" s="23"/>
      <c r="F132" s="23"/>
      <c r="G132" s="23"/>
      <c r="H132" s="23"/>
      <c r="I132" s="24"/>
      <c r="J132" s="23"/>
      <c r="K132" s="23"/>
      <c r="L132" s="24"/>
      <c r="M132" s="23"/>
      <c r="N132" s="23"/>
    </row>
    <row r="133" spans="1:14" ht="15">
      <c r="A133" s="23"/>
      <c r="B133" s="35"/>
      <c r="C133" s="23"/>
      <c r="D133" s="23"/>
      <c r="E133" s="23"/>
      <c r="F133" s="23"/>
      <c r="G133" s="23"/>
      <c r="H133" s="23"/>
      <c r="I133" s="24"/>
      <c r="J133" s="23"/>
      <c r="K133" s="23"/>
      <c r="L133" s="24"/>
      <c r="M133" s="23"/>
      <c r="N133" s="23"/>
    </row>
    <row r="134" spans="1:14" ht="15">
      <c r="A134" s="23"/>
      <c r="B134" s="35"/>
      <c r="C134" s="23"/>
      <c r="D134" s="23"/>
      <c r="E134" s="23"/>
      <c r="F134" s="23"/>
      <c r="G134" s="23"/>
      <c r="H134" s="23"/>
      <c r="I134" s="24"/>
      <c r="J134" s="23"/>
      <c r="K134" s="23"/>
      <c r="L134" s="24"/>
      <c r="M134" s="23"/>
      <c r="N134" s="23"/>
    </row>
    <row r="135" spans="1:14" ht="15">
      <c r="A135" s="23"/>
      <c r="B135" s="35"/>
      <c r="C135" s="23"/>
      <c r="D135" s="23"/>
      <c r="E135" s="23"/>
      <c r="F135" s="23"/>
      <c r="G135" s="23"/>
      <c r="H135" s="23"/>
      <c r="I135" s="24"/>
      <c r="J135" s="23"/>
      <c r="K135" s="23"/>
      <c r="L135" s="24"/>
      <c r="M135" s="23"/>
      <c r="N135" s="23"/>
    </row>
    <row r="136" spans="1:14" ht="15">
      <c r="A136" s="23"/>
      <c r="B136" s="35"/>
      <c r="C136" s="23"/>
      <c r="D136" s="23"/>
      <c r="E136" s="23"/>
      <c r="F136" s="23"/>
      <c r="G136" s="23"/>
      <c r="H136" s="23"/>
      <c r="I136" s="24"/>
      <c r="J136" s="23"/>
      <c r="K136" s="23"/>
      <c r="L136" s="24"/>
      <c r="M136" s="23"/>
      <c r="N136" s="23"/>
    </row>
    <row r="137" spans="1:14" ht="15">
      <c r="A137" s="23"/>
      <c r="B137" s="35"/>
      <c r="C137" s="23"/>
      <c r="D137" s="23"/>
      <c r="E137" s="23"/>
      <c r="F137" s="23"/>
      <c r="G137" s="23"/>
      <c r="H137" s="23"/>
      <c r="I137" s="24"/>
      <c r="J137" s="23"/>
      <c r="K137" s="23"/>
      <c r="L137" s="24"/>
      <c r="M137" s="23"/>
      <c r="N137" s="23"/>
    </row>
    <row r="138" spans="1:14" ht="15">
      <c r="A138" s="23"/>
      <c r="B138" s="35"/>
      <c r="C138" s="23"/>
      <c r="D138" s="23"/>
      <c r="E138" s="23"/>
      <c r="F138" s="23"/>
      <c r="G138" s="23"/>
      <c r="H138" s="23"/>
      <c r="I138" s="24"/>
      <c r="J138" s="23"/>
      <c r="K138" s="23"/>
      <c r="L138" s="24"/>
      <c r="M138" s="23"/>
      <c r="N138" s="23"/>
    </row>
    <row r="139" spans="1:14" ht="15">
      <c r="A139" s="23"/>
      <c r="B139" s="35"/>
      <c r="C139" s="23"/>
      <c r="D139" s="23"/>
      <c r="E139" s="23"/>
      <c r="F139" s="23"/>
      <c r="G139" s="23"/>
      <c r="H139" s="23"/>
      <c r="I139" s="24"/>
      <c r="J139" s="23"/>
      <c r="K139" s="23"/>
      <c r="L139" s="24"/>
      <c r="M139" s="23"/>
      <c r="N139" s="23"/>
    </row>
    <row r="140" spans="1:14" ht="15">
      <c r="A140" s="23"/>
      <c r="B140" s="35"/>
      <c r="C140" s="23"/>
      <c r="D140" s="23"/>
      <c r="E140" s="23"/>
      <c r="F140" s="23"/>
      <c r="G140" s="23"/>
      <c r="H140" s="23"/>
      <c r="I140" s="24"/>
      <c r="J140" s="23"/>
      <c r="K140" s="23"/>
      <c r="L140" s="24"/>
      <c r="M140" s="23"/>
      <c r="N140" s="23"/>
    </row>
    <row r="141" spans="1:14" ht="15">
      <c r="A141" s="23"/>
      <c r="B141" s="35"/>
      <c r="C141" s="23"/>
      <c r="D141" s="23"/>
      <c r="E141" s="23"/>
      <c r="F141" s="23"/>
      <c r="G141" s="23"/>
      <c r="H141" s="23"/>
      <c r="I141" s="24"/>
      <c r="J141" s="23"/>
      <c r="K141" s="23"/>
      <c r="L141" s="24"/>
      <c r="M141" s="23"/>
      <c r="N141" s="23"/>
    </row>
    <row r="142" spans="1:14" ht="15">
      <c r="A142" s="23"/>
      <c r="B142" s="35"/>
      <c r="C142" s="23"/>
      <c r="D142" s="23"/>
      <c r="E142" s="23"/>
      <c r="F142" s="23"/>
      <c r="G142" s="23"/>
      <c r="H142" s="23"/>
      <c r="I142" s="24"/>
      <c r="J142" s="23"/>
      <c r="K142" s="23"/>
      <c r="L142" s="24"/>
      <c r="M142" s="23"/>
      <c r="N142" s="23"/>
    </row>
    <row r="143" spans="1:14" ht="15">
      <c r="A143" s="23"/>
      <c r="B143" s="35"/>
      <c r="C143" s="23"/>
      <c r="D143" s="23"/>
      <c r="E143" s="23"/>
      <c r="F143" s="23"/>
      <c r="G143" s="23"/>
      <c r="H143" s="23"/>
      <c r="I143" s="24"/>
      <c r="J143" s="23"/>
      <c r="K143" s="23"/>
      <c r="L143" s="24"/>
      <c r="M143" s="23"/>
      <c r="N143" s="23"/>
    </row>
    <row r="144" spans="1:14" ht="15">
      <c r="A144" s="23"/>
      <c r="B144" s="35"/>
      <c r="C144" s="23"/>
      <c r="D144" s="23"/>
      <c r="E144" s="23"/>
      <c r="F144" s="23"/>
      <c r="G144" s="23"/>
      <c r="H144" s="23"/>
      <c r="I144" s="24"/>
      <c r="J144" s="23"/>
      <c r="K144" s="23"/>
      <c r="L144" s="24"/>
      <c r="M144" s="23"/>
      <c r="N144" s="23"/>
    </row>
    <row r="145" spans="1:14" ht="15">
      <c r="A145" s="23"/>
      <c r="B145" s="35"/>
      <c r="C145" s="23"/>
      <c r="D145" s="23"/>
      <c r="E145" s="23"/>
      <c r="F145" s="23"/>
      <c r="G145" s="23"/>
      <c r="H145" s="23"/>
      <c r="I145" s="24"/>
      <c r="J145" s="23"/>
      <c r="K145" s="23"/>
      <c r="L145" s="24"/>
      <c r="M145" s="23"/>
      <c r="N145" s="23"/>
    </row>
    <row r="146" spans="1:14" ht="15">
      <c r="A146" s="23"/>
      <c r="B146" s="35"/>
      <c r="C146" s="23"/>
      <c r="D146" s="23"/>
      <c r="E146" s="23"/>
      <c r="F146" s="23"/>
      <c r="G146" s="23"/>
      <c r="H146" s="23"/>
      <c r="I146" s="24"/>
      <c r="J146" s="23"/>
      <c r="K146" s="23"/>
      <c r="L146" s="24"/>
      <c r="M146" s="23"/>
      <c r="N146" s="23"/>
    </row>
    <row r="147" spans="1:14" ht="15">
      <c r="A147" s="23"/>
      <c r="B147" s="35"/>
      <c r="C147" s="23"/>
      <c r="D147" s="23"/>
      <c r="E147" s="23"/>
      <c r="F147" s="23"/>
      <c r="G147" s="23"/>
      <c r="H147" s="23"/>
      <c r="I147" s="24"/>
      <c r="J147" s="23"/>
      <c r="K147" s="23"/>
      <c r="L147" s="24"/>
      <c r="M147" s="23"/>
      <c r="N147" s="23"/>
    </row>
    <row r="148" spans="1:14" ht="15">
      <c r="A148" s="23"/>
      <c r="B148" s="35"/>
      <c r="C148" s="23"/>
      <c r="D148" s="23"/>
      <c r="E148" s="23"/>
      <c r="F148" s="23"/>
      <c r="G148" s="23"/>
      <c r="H148" s="23"/>
      <c r="I148" s="24"/>
      <c r="J148" s="23"/>
      <c r="K148" s="23"/>
      <c r="L148" s="24"/>
      <c r="M148" s="23"/>
      <c r="N148" s="23"/>
    </row>
    <row r="149" spans="1:14" ht="15">
      <c r="A149" s="23"/>
      <c r="B149" s="35"/>
      <c r="C149" s="23"/>
      <c r="D149" s="23"/>
      <c r="E149" s="23"/>
      <c r="F149" s="23"/>
      <c r="G149" s="23"/>
      <c r="H149" s="23"/>
      <c r="I149" s="24"/>
      <c r="J149" s="23"/>
      <c r="K149" s="23"/>
      <c r="L149" s="24"/>
      <c r="M149" s="23"/>
      <c r="N149" s="23"/>
    </row>
    <row r="150" spans="1:14" ht="15">
      <c r="A150" s="23"/>
      <c r="B150" s="35"/>
      <c r="C150" s="23"/>
      <c r="D150" s="23"/>
      <c r="E150" s="23"/>
      <c r="F150" s="23"/>
      <c r="G150" s="23"/>
      <c r="H150" s="23"/>
      <c r="I150" s="24"/>
      <c r="J150" s="23"/>
      <c r="K150" s="23"/>
      <c r="L150" s="24"/>
      <c r="M150" s="23"/>
      <c r="N150" s="23"/>
    </row>
    <row r="151" spans="1:14" ht="15">
      <c r="A151" s="23"/>
      <c r="B151" s="35"/>
      <c r="C151" s="23"/>
      <c r="D151" s="23"/>
      <c r="E151" s="23"/>
      <c r="F151" s="23"/>
      <c r="G151" s="23"/>
      <c r="H151" s="23"/>
      <c r="I151" s="24"/>
      <c r="J151" s="23"/>
      <c r="K151" s="23"/>
      <c r="L151" s="24"/>
      <c r="M151" s="23"/>
      <c r="N151" s="23"/>
    </row>
    <row r="152" spans="1:14" ht="15">
      <c r="A152" s="23"/>
      <c r="B152" s="35"/>
      <c r="C152" s="23"/>
      <c r="D152" s="23"/>
      <c r="E152" s="23"/>
      <c r="F152" s="23"/>
      <c r="G152" s="23"/>
      <c r="H152" s="23"/>
      <c r="I152" s="24"/>
      <c r="J152" s="23"/>
      <c r="K152" s="23"/>
      <c r="L152" s="24"/>
      <c r="M152" s="23"/>
      <c r="N152" s="23"/>
    </row>
    <row r="153" spans="1:14" ht="15">
      <c r="A153" s="23"/>
      <c r="B153" s="35"/>
      <c r="C153" s="23"/>
      <c r="D153" s="23"/>
      <c r="E153" s="23"/>
      <c r="F153" s="23"/>
      <c r="G153" s="23"/>
      <c r="H153" s="23"/>
      <c r="I153" s="24"/>
      <c r="J153" s="23"/>
      <c r="K153" s="23"/>
      <c r="L153" s="24"/>
      <c r="M153" s="23"/>
      <c r="N153" s="23"/>
    </row>
    <row r="154" spans="1:14" ht="15">
      <c r="A154" s="23"/>
      <c r="B154" s="35"/>
      <c r="C154" s="23"/>
      <c r="D154" s="23"/>
      <c r="E154" s="23"/>
      <c r="F154" s="23"/>
      <c r="G154" s="23"/>
      <c r="H154" s="23"/>
      <c r="I154" s="24"/>
      <c r="J154" s="23"/>
      <c r="K154" s="23"/>
      <c r="L154" s="24"/>
      <c r="M154" s="23"/>
      <c r="N154" s="23"/>
    </row>
    <row r="155" spans="1:14" ht="15">
      <c r="A155" s="23"/>
      <c r="B155" s="35"/>
      <c r="C155" s="23"/>
      <c r="D155" s="23"/>
      <c r="E155" s="23"/>
      <c r="F155" s="23"/>
      <c r="G155" s="23"/>
      <c r="H155" s="23"/>
      <c r="I155" s="24"/>
      <c r="J155" s="23"/>
      <c r="K155" s="23"/>
      <c r="L155" s="24"/>
      <c r="M155" s="23"/>
      <c r="N155" s="23"/>
    </row>
    <row r="156" spans="1:14" ht="15">
      <c r="A156" s="23"/>
      <c r="B156" s="35"/>
      <c r="C156" s="23"/>
      <c r="D156" s="23"/>
      <c r="E156" s="23"/>
      <c r="F156" s="23"/>
      <c r="G156" s="23"/>
      <c r="H156" s="23"/>
      <c r="I156" s="24"/>
      <c r="J156" s="23"/>
      <c r="K156" s="23"/>
      <c r="L156" s="24"/>
      <c r="M156" s="23"/>
      <c r="N156" s="23"/>
    </row>
    <row r="157" spans="1:14" ht="15">
      <c r="A157" s="23"/>
      <c r="B157" s="35"/>
      <c r="C157" s="23"/>
      <c r="D157" s="23"/>
      <c r="E157" s="23"/>
      <c r="F157" s="23"/>
      <c r="G157" s="23"/>
      <c r="H157" s="23"/>
      <c r="I157" s="24"/>
      <c r="J157" s="23"/>
      <c r="K157" s="23"/>
      <c r="L157" s="24"/>
      <c r="M157" s="23"/>
      <c r="N157" s="23"/>
    </row>
    <row r="158" spans="1:14" ht="15">
      <c r="A158" s="23"/>
      <c r="B158" s="35"/>
      <c r="C158" s="23"/>
      <c r="D158" s="23"/>
      <c r="E158" s="23"/>
      <c r="F158" s="23"/>
      <c r="G158" s="23"/>
      <c r="H158" s="23"/>
      <c r="I158" s="24"/>
      <c r="J158" s="23"/>
      <c r="K158" s="23"/>
      <c r="L158" s="24"/>
      <c r="M158" s="23"/>
      <c r="N158" s="23"/>
    </row>
    <row r="159" spans="1:14" ht="15">
      <c r="A159" s="23"/>
      <c r="B159" s="35"/>
      <c r="C159" s="23"/>
      <c r="D159" s="23"/>
      <c r="E159" s="23"/>
      <c r="F159" s="23"/>
      <c r="G159" s="23"/>
      <c r="H159" s="23"/>
      <c r="I159" s="24"/>
      <c r="J159" s="23"/>
      <c r="K159" s="23"/>
      <c r="L159" s="24"/>
      <c r="M159" s="23"/>
      <c r="N159" s="23"/>
    </row>
    <row r="160" spans="1:14" ht="15">
      <c r="A160" s="23"/>
      <c r="B160" s="35"/>
      <c r="C160" s="23"/>
      <c r="D160" s="23"/>
      <c r="E160" s="23"/>
      <c r="F160" s="23"/>
      <c r="G160" s="23"/>
      <c r="H160" s="23"/>
      <c r="I160" s="24"/>
      <c r="J160" s="23"/>
      <c r="K160" s="23"/>
      <c r="L160" s="24"/>
      <c r="M160" s="23"/>
      <c r="N160" s="23"/>
    </row>
    <row r="161" spans="1:14" ht="15">
      <c r="A161" s="23"/>
      <c r="B161" s="35"/>
      <c r="C161" s="23"/>
      <c r="D161" s="23"/>
      <c r="E161" s="23"/>
      <c r="F161" s="23"/>
      <c r="G161" s="23"/>
      <c r="H161" s="23"/>
      <c r="I161" s="24"/>
      <c r="J161" s="23"/>
      <c r="K161" s="23"/>
      <c r="L161" s="24"/>
      <c r="M161" s="23"/>
      <c r="N161" s="23"/>
    </row>
    <row r="162" spans="1:14" ht="15">
      <c r="A162" s="23"/>
      <c r="B162" s="35"/>
      <c r="C162" s="23"/>
      <c r="D162" s="23"/>
      <c r="E162" s="23"/>
      <c r="F162" s="23"/>
      <c r="G162" s="23"/>
      <c r="H162" s="23"/>
      <c r="I162" s="24"/>
      <c r="J162" s="23"/>
      <c r="K162" s="23"/>
      <c r="L162" s="24"/>
      <c r="M162" s="23"/>
      <c r="N162" s="23"/>
    </row>
    <row r="163" spans="1:14" ht="15">
      <c r="A163" s="23"/>
      <c r="B163" s="35"/>
      <c r="C163" s="23"/>
      <c r="D163" s="23"/>
      <c r="E163" s="23"/>
      <c r="F163" s="23"/>
      <c r="G163" s="23"/>
      <c r="H163" s="23"/>
      <c r="I163" s="24"/>
      <c r="J163" s="23"/>
      <c r="K163" s="23"/>
      <c r="L163" s="24"/>
      <c r="M163" s="23"/>
      <c r="N163" s="23"/>
    </row>
    <row r="164" spans="1:14" ht="15">
      <c r="A164" s="23"/>
      <c r="B164" s="35"/>
      <c r="C164" s="23"/>
      <c r="D164" s="23"/>
      <c r="E164" s="23"/>
      <c r="F164" s="23"/>
      <c r="G164" s="23"/>
      <c r="H164" s="23"/>
      <c r="I164" s="24"/>
      <c r="J164" s="23"/>
      <c r="K164" s="23"/>
      <c r="L164" s="24"/>
      <c r="M164" s="23"/>
      <c r="N164" s="23"/>
    </row>
    <row r="165" spans="1:14" ht="15">
      <c r="A165" s="23"/>
      <c r="B165" s="35"/>
      <c r="C165" s="23"/>
      <c r="D165" s="23"/>
      <c r="E165" s="23"/>
      <c r="F165" s="23"/>
      <c r="G165" s="23"/>
      <c r="H165" s="23"/>
      <c r="I165" s="24"/>
      <c r="J165" s="23"/>
      <c r="K165" s="23"/>
      <c r="L165" s="24"/>
      <c r="M165" s="23"/>
      <c r="N165" s="23"/>
    </row>
    <row r="166" spans="1:14" ht="15">
      <c r="A166" s="23"/>
      <c r="B166" s="35"/>
      <c r="C166" s="23"/>
      <c r="D166" s="23"/>
      <c r="E166" s="23"/>
      <c r="F166" s="23"/>
      <c r="G166" s="23"/>
      <c r="H166" s="23"/>
      <c r="I166" s="24"/>
      <c r="J166" s="23"/>
      <c r="K166" s="23"/>
      <c r="L166" s="24"/>
      <c r="M166" s="23"/>
      <c r="N166" s="23"/>
    </row>
    <row r="167" spans="1:14" ht="15">
      <c r="A167" s="23"/>
      <c r="B167" s="35"/>
      <c r="C167" s="23"/>
      <c r="D167" s="23"/>
      <c r="E167" s="23"/>
      <c r="F167" s="23"/>
      <c r="G167" s="23"/>
      <c r="H167" s="23"/>
      <c r="I167" s="24"/>
      <c r="J167" s="23"/>
      <c r="K167" s="23"/>
      <c r="L167" s="24"/>
      <c r="M167" s="23"/>
      <c r="N167" s="23"/>
    </row>
    <row r="168" spans="1:14" ht="15">
      <c r="A168" s="23"/>
      <c r="B168" s="35"/>
      <c r="C168" s="23"/>
      <c r="D168" s="23"/>
      <c r="E168" s="23"/>
      <c r="F168" s="23"/>
      <c r="G168" s="23"/>
      <c r="H168" s="23"/>
      <c r="I168" s="24"/>
      <c r="J168" s="23"/>
      <c r="K168" s="23"/>
      <c r="L168" s="24"/>
      <c r="M168" s="23"/>
      <c r="N168" s="23"/>
    </row>
    <row r="169" spans="1:14" ht="15">
      <c r="A169" s="23"/>
      <c r="B169" s="35"/>
      <c r="C169" s="23"/>
      <c r="D169" s="23"/>
      <c r="E169" s="23"/>
      <c r="F169" s="23"/>
      <c r="G169" s="23"/>
      <c r="H169" s="23"/>
      <c r="I169" s="24"/>
      <c r="J169" s="23"/>
      <c r="K169" s="23"/>
      <c r="L169" s="24"/>
      <c r="M169" s="23"/>
      <c r="N169" s="23"/>
    </row>
    <row r="170" spans="1:14" ht="15">
      <c r="A170" s="23"/>
      <c r="B170" s="35"/>
      <c r="C170" s="23"/>
      <c r="D170" s="23"/>
      <c r="E170" s="23"/>
      <c r="F170" s="23"/>
      <c r="G170" s="23"/>
      <c r="H170" s="23"/>
      <c r="I170" s="24"/>
      <c r="J170" s="23"/>
      <c r="K170" s="23"/>
      <c r="L170" s="24"/>
      <c r="M170" s="23"/>
      <c r="N170" s="23"/>
    </row>
    <row r="171" spans="1:14" ht="15">
      <c r="A171" s="23"/>
      <c r="B171" s="35"/>
      <c r="C171" s="23"/>
      <c r="D171" s="23"/>
      <c r="E171" s="23"/>
      <c r="F171" s="23"/>
      <c r="G171" s="23"/>
      <c r="H171" s="23"/>
      <c r="I171" s="24"/>
      <c r="J171" s="23"/>
      <c r="K171" s="23"/>
      <c r="L171" s="24"/>
      <c r="M171" s="23"/>
      <c r="N171" s="23"/>
    </row>
    <row r="172" spans="1:14" ht="15">
      <c r="A172" s="23"/>
      <c r="B172" s="35"/>
      <c r="C172" s="23"/>
      <c r="D172" s="23"/>
      <c r="E172" s="23"/>
      <c r="F172" s="23"/>
      <c r="G172" s="23"/>
      <c r="H172" s="23"/>
      <c r="I172" s="24"/>
      <c r="J172" s="23"/>
      <c r="K172" s="23"/>
      <c r="L172" s="24"/>
      <c r="M172" s="23"/>
      <c r="N172" s="23"/>
    </row>
    <row r="173" spans="1:14" ht="15">
      <c r="A173" s="23"/>
      <c r="B173" s="35"/>
      <c r="C173" s="23"/>
      <c r="D173" s="23"/>
      <c r="E173" s="23"/>
      <c r="F173" s="23"/>
      <c r="G173" s="23"/>
      <c r="H173" s="23"/>
      <c r="I173" s="24"/>
      <c r="J173" s="23"/>
      <c r="K173" s="23"/>
      <c r="L173" s="24"/>
      <c r="M173" s="23"/>
      <c r="N173" s="23"/>
    </row>
    <row r="174" spans="1:14" ht="15">
      <c r="A174" s="23"/>
      <c r="B174" s="35"/>
      <c r="C174" s="23"/>
      <c r="D174" s="23"/>
      <c r="E174" s="23"/>
      <c r="F174" s="23"/>
      <c r="G174" s="23"/>
      <c r="H174" s="23"/>
      <c r="I174" s="24"/>
      <c r="J174" s="23"/>
      <c r="K174" s="23"/>
      <c r="L174" s="24"/>
      <c r="M174" s="23"/>
      <c r="N174" s="23"/>
    </row>
    <row r="175" spans="1:14" ht="15">
      <c r="A175" s="23"/>
      <c r="B175" s="35"/>
      <c r="C175" s="23"/>
      <c r="D175" s="23"/>
      <c r="E175" s="23"/>
      <c r="F175" s="23"/>
      <c r="G175" s="23"/>
      <c r="H175" s="23"/>
      <c r="I175" s="24"/>
      <c r="J175" s="23"/>
      <c r="K175" s="23"/>
      <c r="L175" s="24"/>
      <c r="M175" s="23"/>
      <c r="N175" s="23"/>
    </row>
    <row r="176" spans="1:14" ht="15">
      <c r="A176" s="23"/>
      <c r="B176" s="35"/>
      <c r="C176" s="23"/>
      <c r="D176" s="23"/>
      <c r="E176" s="23"/>
      <c r="F176" s="23"/>
      <c r="G176" s="23"/>
      <c r="H176" s="23"/>
      <c r="I176" s="24"/>
      <c r="J176" s="23"/>
      <c r="K176" s="23"/>
      <c r="L176" s="24"/>
      <c r="M176" s="23"/>
      <c r="N176" s="23"/>
    </row>
    <row r="177" spans="1:14" ht="15">
      <c r="A177" s="23"/>
      <c r="B177" s="35"/>
      <c r="C177" s="23"/>
      <c r="D177" s="23"/>
      <c r="E177" s="23"/>
      <c r="F177" s="23"/>
      <c r="G177" s="23"/>
      <c r="H177" s="23"/>
      <c r="I177" s="24"/>
      <c r="J177" s="23"/>
      <c r="K177" s="23"/>
      <c r="L177" s="24"/>
      <c r="M177" s="23"/>
      <c r="N177" s="23"/>
    </row>
    <row r="178" spans="1:14" ht="15">
      <c r="A178" s="23"/>
      <c r="B178" s="35"/>
      <c r="C178" s="23"/>
      <c r="D178" s="23"/>
      <c r="E178" s="23"/>
      <c r="F178" s="23"/>
      <c r="G178" s="23"/>
      <c r="H178" s="23"/>
      <c r="I178" s="24"/>
      <c r="J178" s="23"/>
      <c r="K178" s="23"/>
      <c r="L178" s="24"/>
      <c r="M178" s="23"/>
      <c r="N178" s="23"/>
    </row>
    <row r="179" spans="1:14" ht="15">
      <c r="A179" s="23"/>
      <c r="B179" s="35"/>
      <c r="C179" s="23"/>
      <c r="D179" s="23"/>
      <c r="E179" s="23"/>
      <c r="F179" s="23"/>
      <c r="G179" s="23"/>
      <c r="H179" s="23"/>
      <c r="I179" s="24"/>
      <c r="J179" s="23"/>
      <c r="K179" s="23"/>
      <c r="L179" s="24"/>
      <c r="M179" s="23"/>
      <c r="N179" s="23"/>
    </row>
    <row r="180" spans="1:14" ht="15">
      <c r="A180" s="23"/>
      <c r="B180" s="35"/>
      <c r="C180" s="23"/>
      <c r="D180" s="23"/>
      <c r="E180" s="23"/>
      <c r="F180" s="23"/>
      <c r="G180" s="23"/>
      <c r="H180" s="23"/>
      <c r="I180" s="24"/>
      <c r="J180" s="23"/>
      <c r="K180" s="23"/>
      <c r="L180" s="24"/>
      <c r="M180" s="23"/>
      <c r="N180" s="23"/>
    </row>
    <row r="181" spans="1:14" ht="15">
      <c r="A181" s="23"/>
      <c r="B181" s="35"/>
      <c r="C181" s="23"/>
      <c r="D181" s="23"/>
      <c r="E181" s="23"/>
      <c r="F181" s="23"/>
      <c r="G181" s="23"/>
      <c r="H181" s="23"/>
      <c r="I181" s="24"/>
      <c r="J181" s="23"/>
      <c r="K181" s="23"/>
      <c r="L181" s="24"/>
      <c r="M181" s="23"/>
      <c r="N181" s="23"/>
    </row>
    <row r="182" spans="1:14" ht="15">
      <c r="A182" s="23"/>
      <c r="B182" s="35"/>
      <c r="C182" s="23"/>
      <c r="D182" s="23"/>
      <c r="E182" s="23"/>
      <c r="F182" s="23"/>
      <c r="G182" s="23"/>
      <c r="H182" s="23"/>
      <c r="I182" s="24"/>
      <c r="J182" s="23"/>
      <c r="K182" s="23"/>
      <c r="L182" s="24"/>
      <c r="M182" s="23"/>
      <c r="N182" s="23"/>
    </row>
    <row r="183" spans="1:14" ht="15">
      <c r="A183" s="23"/>
      <c r="B183" s="35"/>
      <c r="C183" s="23"/>
      <c r="D183" s="23"/>
      <c r="E183" s="23"/>
      <c r="F183" s="23"/>
      <c r="G183" s="23"/>
      <c r="H183" s="23"/>
      <c r="I183" s="24"/>
      <c r="J183" s="23"/>
      <c r="K183" s="23"/>
      <c r="L183" s="24"/>
      <c r="M183" s="23"/>
      <c r="N183" s="23"/>
    </row>
    <row r="184" spans="1:14" ht="15">
      <c r="A184" s="23"/>
      <c r="B184" s="35"/>
      <c r="C184" s="23"/>
      <c r="D184" s="23"/>
      <c r="E184" s="23"/>
      <c r="F184" s="23"/>
      <c r="G184" s="23"/>
      <c r="H184" s="23"/>
      <c r="I184" s="24"/>
      <c r="J184" s="23"/>
      <c r="K184" s="23"/>
      <c r="L184" s="24"/>
      <c r="M184" s="23"/>
      <c r="N184" s="23"/>
    </row>
    <row r="185" spans="1:14" ht="15">
      <c r="A185" s="23"/>
      <c r="B185" s="35"/>
      <c r="C185" s="23"/>
      <c r="D185" s="23"/>
      <c r="E185" s="23"/>
      <c r="F185" s="23"/>
      <c r="G185" s="23"/>
      <c r="H185" s="23"/>
      <c r="I185" s="24"/>
      <c r="J185" s="23"/>
      <c r="K185" s="23"/>
      <c r="L185" s="24"/>
      <c r="M185" s="23"/>
      <c r="N185" s="23"/>
    </row>
    <row r="186" spans="1:14" ht="15">
      <c r="A186" s="23"/>
      <c r="B186" s="35"/>
      <c r="C186" s="23"/>
      <c r="D186" s="23"/>
      <c r="E186" s="23"/>
      <c r="F186" s="23"/>
      <c r="G186" s="23"/>
      <c r="H186" s="23"/>
      <c r="I186" s="24"/>
      <c r="J186" s="23"/>
      <c r="K186" s="23"/>
      <c r="L186" s="24"/>
      <c r="M186" s="23"/>
      <c r="N186" s="23"/>
    </row>
    <row r="187" spans="1:14" ht="15">
      <c r="A187" s="23"/>
      <c r="B187" s="35"/>
      <c r="C187" s="23"/>
      <c r="D187" s="23"/>
      <c r="E187" s="23"/>
      <c r="F187" s="23"/>
      <c r="G187" s="23"/>
      <c r="H187" s="23"/>
      <c r="I187" s="24"/>
      <c r="J187" s="23"/>
      <c r="K187" s="23"/>
      <c r="L187" s="24"/>
      <c r="M187" s="23"/>
      <c r="N187" s="23"/>
    </row>
    <row r="188" spans="1:14" ht="15">
      <c r="A188" s="23"/>
      <c r="B188" s="35"/>
      <c r="C188" s="23"/>
      <c r="D188" s="23"/>
      <c r="E188" s="23"/>
      <c r="F188" s="23"/>
      <c r="G188" s="23"/>
      <c r="H188" s="23"/>
      <c r="I188" s="24"/>
      <c r="J188" s="23"/>
      <c r="K188" s="23"/>
      <c r="L188" s="24"/>
      <c r="M188" s="23"/>
      <c r="N188" s="23"/>
    </row>
    <row r="189" spans="1:14" ht="15">
      <c r="A189" s="23"/>
      <c r="B189" s="35"/>
      <c r="C189" s="23"/>
      <c r="D189" s="23"/>
      <c r="E189" s="23"/>
      <c r="F189" s="23"/>
      <c r="G189" s="23"/>
      <c r="H189" s="23"/>
      <c r="I189" s="24"/>
      <c r="J189" s="23"/>
      <c r="K189" s="23"/>
      <c r="L189" s="24"/>
      <c r="M189" s="23"/>
      <c r="N189" s="23"/>
    </row>
    <row r="190" spans="1:14" ht="15">
      <c r="A190" s="23"/>
      <c r="B190" s="35"/>
      <c r="C190" s="23"/>
      <c r="D190" s="23"/>
      <c r="E190" s="23"/>
      <c r="F190" s="23"/>
      <c r="G190" s="23"/>
      <c r="H190" s="23"/>
      <c r="I190" s="24"/>
      <c r="J190" s="23"/>
      <c r="K190" s="23"/>
      <c r="L190" s="24"/>
      <c r="M190" s="23"/>
      <c r="N190" s="23"/>
    </row>
    <row r="191" spans="1:14" ht="15">
      <c r="A191" s="23"/>
      <c r="B191" s="35"/>
      <c r="C191" s="23"/>
      <c r="D191" s="23"/>
      <c r="E191" s="23"/>
      <c r="F191" s="23"/>
      <c r="G191" s="23"/>
      <c r="H191" s="23"/>
      <c r="I191" s="24"/>
      <c r="J191" s="23"/>
      <c r="K191" s="23"/>
      <c r="L191" s="24"/>
      <c r="M191" s="23"/>
      <c r="N191" s="23"/>
    </row>
    <row r="192" spans="1:14" ht="15">
      <c r="A192" s="23"/>
      <c r="B192" s="35"/>
      <c r="C192" s="23"/>
      <c r="D192" s="23"/>
      <c r="E192" s="23"/>
      <c r="F192" s="23"/>
      <c r="G192" s="23"/>
      <c r="H192" s="23"/>
      <c r="I192" s="24"/>
      <c r="J192" s="23"/>
      <c r="K192" s="23"/>
      <c r="L192" s="24"/>
      <c r="M192" s="23"/>
      <c r="N192" s="23"/>
    </row>
    <row r="193" spans="1:14" ht="15">
      <c r="A193" s="23"/>
      <c r="B193" s="35"/>
      <c r="C193" s="23"/>
      <c r="D193" s="23"/>
      <c r="E193" s="23"/>
      <c r="F193" s="23"/>
      <c r="G193" s="23"/>
      <c r="H193" s="23"/>
      <c r="I193" s="24"/>
      <c r="J193" s="23"/>
      <c r="K193" s="23"/>
      <c r="L193" s="24"/>
      <c r="M193" s="23"/>
      <c r="N193" s="23"/>
    </row>
    <row r="194" spans="1:14" ht="15">
      <c r="A194" s="23"/>
      <c r="B194" s="35"/>
      <c r="C194" s="23"/>
      <c r="D194" s="23"/>
      <c r="E194" s="23"/>
      <c r="F194" s="23"/>
      <c r="G194" s="23"/>
      <c r="H194" s="23"/>
      <c r="I194" s="24"/>
      <c r="J194" s="23"/>
      <c r="K194" s="23"/>
      <c r="L194" s="24"/>
      <c r="M194" s="23"/>
      <c r="N194" s="23"/>
    </row>
    <row r="195" spans="1:14" ht="15">
      <c r="A195" s="23"/>
      <c r="B195" s="35"/>
      <c r="C195" s="23"/>
      <c r="D195" s="23"/>
      <c r="E195" s="23"/>
      <c r="F195" s="23"/>
      <c r="G195" s="23"/>
      <c r="H195" s="23"/>
      <c r="I195" s="24"/>
      <c r="J195" s="23"/>
      <c r="K195" s="23"/>
      <c r="L195" s="24"/>
      <c r="M195" s="23"/>
      <c r="N195" s="23"/>
    </row>
    <row r="196" spans="1:14" ht="15">
      <c r="A196" s="23"/>
      <c r="B196" s="35"/>
      <c r="C196" s="23"/>
      <c r="D196" s="23"/>
      <c r="E196" s="23"/>
      <c r="F196" s="23"/>
      <c r="G196" s="23"/>
      <c r="H196" s="23"/>
      <c r="I196" s="24"/>
      <c r="J196" s="23"/>
      <c r="K196" s="23"/>
      <c r="L196" s="24"/>
      <c r="M196" s="23"/>
      <c r="N196" s="23"/>
    </row>
    <row r="197" spans="1:14" ht="15">
      <c r="A197" s="23"/>
      <c r="B197" s="35"/>
      <c r="C197" s="23"/>
      <c r="D197" s="23"/>
      <c r="E197" s="23"/>
      <c r="F197" s="23"/>
      <c r="G197" s="23"/>
      <c r="H197" s="23"/>
      <c r="I197" s="24"/>
      <c r="J197" s="23"/>
      <c r="K197" s="23"/>
      <c r="L197" s="24"/>
      <c r="M197" s="23"/>
      <c r="N197" s="23"/>
    </row>
    <row r="198" spans="1:14" ht="15">
      <c r="A198" s="23"/>
      <c r="B198" s="35"/>
      <c r="C198" s="23"/>
      <c r="D198" s="23"/>
      <c r="E198" s="23"/>
      <c r="F198" s="23"/>
      <c r="G198" s="23"/>
      <c r="H198" s="23"/>
      <c r="I198" s="24"/>
      <c r="J198" s="23"/>
      <c r="K198" s="23"/>
      <c r="L198" s="24"/>
      <c r="M198" s="23"/>
      <c r="N198" s="23"/>
    </row>
    <row r="199" spans="1:14" ht="15">
      <c r="A199" s="23"/>
      <c r="B199" s="35"/>
      <c r="C199" s="23"/>
      <c r="D199" s="23"/>
      <c r="E199" s="23"/>
      <c r="F199" s="23"/>
      <c r="G199" s="23"/>
      <c r="H199" s="23"/>
      <c r="I199" s="24"/>
      <c r="J199" s="23"/>
      <c r="K199" s="23"/>
      <c r="L199" s="24"/>
      <c r="M199" s="23"/>
      <c r="N199" s="23"/>
    </row>
    <row r="200" spans="1:14" ht="15">
      <c r="A200" s="23"/>
      <c r="B200" s="35"/>
      <c r="C200" s="23"/>
      <c r="D200" s="23"/>
      <c r="E200" s="23"/>
      <c r="F200" s="23"/>
      <c r="G200" s="23"/>
      <c r="H200" s="23"/>
      <c r="I200" s="24"/>
      <c r="J200" s="23"/>
      <c r="K200" s="23"/>
      <c r="L200" s="24"/>
      <c r="M200" s="23"/>
      <c r="N200" s="23"/>
    </row>
    <row r="201" spans="1:14" ht="15">
      <c r="A201" s="23"/>
      <c r="B201" s="35"/>
      <c r="C201" s="23"/>
      <c r="D201" s="23"/>
      <c r="E201" s="23"/>
      <c r="F201" s="23"/>
      <c r="G201" s="23"/>
      <c r="H201" s="23"/>
      <c r="I201" s="24"/>
      <c r="J201" s="23"/>
      <c r="K201" s="23"/>
      <c r="L201" s="24"/>
      <c r="M201" s="23"/>
      <c r="N201" s="23"/>
    </row>
    <row r="202" spans="1:14" ht="15">
      <c r="A202" s="23"/>
      <c r="B202" s="35"/>
      <c r="C202" s="23"/>
      <c r="D202" s="23"/>
      <c r="E202" s="23"/>
      <c r="F202" s="23"/>
      <c r="G202" s="23"/>
      <c r="H202" s="23"/>
      <c r="I202" s="24"/>
      <c r="J202" s="23"/>
      <c r="K202" s="23"/>
      <c r="L202" s="24"/>
      <c r="M202" s="23"/>
      <c r="N202" s="23"/>
    </row>
    <row r="203" spans="1:14" ht="15">
      <c r="A203" s="23"/>
      <c r="B203" s="35"/>
      <c r="C203" s="23"/>
      <c r="D203" s="23"/>
      <c r="E203" s="23"/>
      <c r="F203" s="23"/>
      <c r="G203" s="23"/>
      <c r="H203" s="23"/>
      <c r="I203" s="24"/>
      <c r="J203" s="23"/>
      <c r="K203" s="23"/>
      <c r="L203" s="24"/>
      <c r="M203" s="23"/>
      <c r="N203" s="23"/>
    </row>
    <row r="204" spans="1:14" ht="15">
      <c r="A204" s="23"/>
      <c r="B204" s="35"/>
      <c r="C204" s="23"/>
      <c r="D204" s="23"/>
      <c r="E204" s="23"/>
      <c r="F204" s="23"/>
      <c r="G204" s="23"/>
      <c r="H204" s="23"/>
      <c r="I204" s="24"/>
      <c r="J204" s="23"/>
      <c r="K204" s="23"/>
      <c r="L204" s="24"/>
      <c r="M204" s="23"/>
      <c r="N204" s="23"/>
    </row>
    <row r="205" spans="1:14" ht="15">
      <c r="A205" s="23"/>
      <c r="B205" s="35"/>
      <c r="C205" s="23"/>
      <c r="D205" s="23"/>
      <c r="E205" s="23"/>
      <c r="F205" s="23"/>
      <c r="G205" s="23"/>
      <c r="H205" s="23"/>
      <c r="I205" s="24"/>
      <c r="J205" s="23"/>
      <c r="K205" s="23"/>
      <c r="L205" s="24"/>
      <c r="M205" s="23"/>
      <c r="N205" s="23"/>
    </row>
    <row r="206" spans="1:14" ht="15">
      <c r="A206" s="23"/>
      <c r="B206" s="35"/>
      <c r="C206" s="23"/>
      <c r="D206" s="23"/>
      <c r="E206" s="23"/>
      <c r="F206" s="23"/>
      <c r="G206" s="23"/>
      <c r="H206" s="23"/>
      <c r="I206" s="24"/>
      <c r="J206" s="23"/>
      <c r="K206" s="23"/>
      <c r="L206" s="24"/>
      <c r="M206" s="23"/>
      <c r="N206" s="23"/>
    </row>
    <row r="207" spans="1:14" ht="15">
      <c r="A207" s="23"/>
      <c r="B207" s="35"/>
      <c r="C207" s="23"/>
      <c r="D207" s="23"/>
      <c r="E207" s="23"/>
      <c r="F207" s="23"/>
      <c r="G207" s="23"/>
      <c r="H207" s="23"/>
      <c r="I207" s="24"/>
      <c r="J207" s="23"/>
      <c r="K207" s="23"/>
      <c r="L207" s="24"/>
      <c r="M207" s="23"/>
      <c r="N207" s="23"/>
    </row>
    <row r="208" spans="1:14" ht="15">
      <c r="A208" s="23"/>
      <c r="B208" s="35"/>
      <c r="C208" s="23"/>
      <c r="D208" s="23"/>
      <c r="E208" s="23"/>
      <c r="F208" s="23"/>
      <c r="G208" s="23"/>
      <c r="H208" s="23"/>
      <c r="I208" s="24"/>
      <c r="J208" s="23"/>
      <c r="K208" s="23"/>
      <c r="L208" s="24"/>
      <c r="M208" s="23"/>
      <c r="N208" s="23"/>
    </row>
    <row r="209" spans="1:14" ht="15">
      <c r="A209" s="23"/>
      <c r="B209" s="35"/>
      <c r="C209" s="23"/>
      <c r="D209" s="23"/>
      <c r="E209" s="23"/>
      <c r="F209" s="23"/>
      <c r="G209" s="23"/>
      <c r="H209" s="23"/>
      <c r="I209" s="24"/>
      <c r="J209" s="23"/>
      <c r="K209" s="23"/>
      <c r="L209" s="24"/>
      <c r="M209" s="23"/>
      <c r="N209" s="23"/>
    </row>
    <row r="210" spans="1:14" ht="15">
      <c r="A210" s="23"/>
      <c r="B210" s="35"/>
      <c r="C210" s="23"/>
      <c r="D210" s="23"/>
      <c r="E210" s="23"/>
      <c r="F210" s="23"/>
      <c r="G210" s="23"/>
      <c r="H210" s="23"/>
      <c r="I210" s="24"/>
      <c r="J210" s="23"/>
      <c r="K210" s="23"/>
      <c r="L210" s="24"/>
      <c r="M210" s="23"/>
      <c r="N210" s="23"/>
    </row>
    <row r="211" spans="1:14" ht="15">
      <c r="A211" s="23"/>
      <c r="B211" s="35"/>
      <c r="C211" s="23"/>
      <c r="D211" s="23"/>
      <c r="E211" s="23"/>
      <c r="F211" s="23"/>
      <c r="G211" s="23"/>
      <c r="H211" s="23"/>
      <c r="I211" s="24"/>
      <c r="J211" s="23"/>
      <c r="K211" s="23"/>
      <c r="L211" s="24"/>
      <c r="M211" s="23"/>
      <c r="N211" s="23"/>
    </row>
    <row r="212" spans="1:14" ht="15">
      <c r="A212" s="23"/>
      <c r="B212" s="35"/>
      <c r="C212" s="23"/>
      <c r="D212" s="23"/>
      <c r="E212" s="23"/>
      <c r="F212" s="23"/>
      <c r="G212" s="23"/>
      <c r="H212" s="23"/>
      <c r="I212" s="24"/>
      <c r="J212" s="23"/>
      <c r="K212" s="23"/>
      <c r="L212" s="24"/>
      <c r="M212" s="23"/>
      <c r="N212" s="23"/>
    </row>
    <row r="213" spans="1:14" ht="15">
      <c r="A213" s="23"/>
      <c r="B213" s="35"/>
      <c r="C213" s="23"/>
      <c r="D213" s="23"/>
      <c r="E213" s="23"/>
      <c r="F213" s="23"/>
      <c r="G213" s="23"/>
      <c r="H213" s="23"/>
      <c r="I213" s="24"/>
      <c r="J213" s="23"/>
      <c r="K213" s="23"/>
      <c r="L213" s="24"/>
      <c r="M213" s="23"/>
      <c r="N213" s="23"/>
    </row>
    <row r="214" spans="1:14" ht="15">
      <c r="A214" s="23"/>
      <c r="B214" s="35"/>
      <c r="C214" s="23"/>
      <c r="D214" s="23"/>
      <c r="E214" s="23"/>
      <c r="F214" s="23"/>
      <c r="G214" s="23"/>
      <c r="H214" s="23"/>
      <c r="I214" s="24"/>
      <c r="J214" s="23"/>
      <c r="K214" s="23"/>
      <c r="L214" s="24"/>
      <c r="M214" s="23"/>
      <c r="N214" s="23"/>
    </row>
    <row r="215" spans="1:14" ht="15">
      <c r="A215" s="23"/>
      <c r="B215" s="35"/>
      <c r="C215" s="23"/>
      <c r="D215" s="23"/>
      <c r="E215" s="23"/>
      <c r="F215" s="23"/>
      <c r="G215" s="23"/>
      <c r="H215" s="23"/>
      <c r="I215" s="24"/>
      <c r="J215" s="23"/>
      <c r="K215" s="23"/>
      <c r="L215" s="24"/>
      <c r="M215" s="23"/>
      <c r="N215" s="23"/>
    </row>
    <row r="216" spans="1:14" ht="15">
      <c r="A216" s="23"/>
      <c r="B216" s="35"/>
      <c r="C216" s="23"/>
      <c r="D216" s="23"/>
      <c r="E216" s="23"/>
      <c r="F216" s="23"/>
      <c r="G216" s="23"/>
      <c r="H216" s="23"/>
      <c r="I216" s="24"/>
      <c r="J216" s="23"/>
      <c r="K216" s="23"/>
      <c r="L216" s="24"/>
      <c r="M216" s="23"/>
      <c r="N216" s="23"/>
    </row>
    <row r="217" spans="1:14" ht="15">
      <c r="A217" s="23"/>
      <c r="B217" s="35"/>
      <c r="C217" s="23"/>
      <c r="D217" s="23"/>
      <c r="E217" s="23"/>
      <c r="F217" s="23"/>
      <c r="G217" s="23"/>
      <c r="H217" s="23"/>
      <c r="I217" s="24"/>
      <c r="J217" s="23"/>
      <c r="K217" s="23"/>
      <c r="L217" s="24"/>
      <c r="M217" s="23"/>
      <c r="N217" s="23"/>
    </row>
    <row r="218" spans="1:14" ht="15">
      <c r="A218" s="23"/>
      <c r="B218" s="35"/>
      <c r="C218" s="23"/>
      <c r="D218" s="23"/>
      <c r="E218" s="23"/>
      <c r="F218" s="23"/>
      <c r="G218" s="23"/>
      <c r="H218" s="23"/>
      <c r="I218" s="24"/>
      <c r="J218" s="23"/>
      <c r="K218" s="23"/>
      <c r="L218" s="24"/>
      <c r="M218" s="23"/>
      <c r="N218" s="23"/>
    </row>
    <row r="219" spans="1:14" ht="15">
      <c r="A219" s="23"/>
      <c r="B219" s="35"/>
      <c r="C219" s="23"/>
      <c r="D219" s="23"/>
      <c r="E219" s="23"/>
      <c r="F219" s="23"/>
      <c r="G219" s="23"/>
      <c r="H219" s="23"/>
      <c r="I219" s="24"/>
      <c r="J219" s="23"/>
      <c r="K219" s="23"/>
      <c r="L219" s="24"/>
      <c r="M219" s="23"/>
      <c r="N219" s="23"/>
    </row>
    <row r="220" spans="1:14" ht="15">
      <c r="A220" s="23"/>
      <c r="B220" s="35"/>
      <c r="C220" s="23"/>
      <c r="D220" s="23"/>
      <c r="E220" s="23"/>
      <c r="F220" s="23"/>
      <c r="G220" s="23"/>
      <c r="H220" s="23"/>
      <c r="I220" s="24"/>
      <c r="J220" s="23"/>
      <c r="K220" s="23"/>
      <c r="L220" s="24"/>
      <c r="M220" s="23"/>
      <c r="N220" s="23"/>
    </row>
    <row r="221" spans="1:14" ht="15">
      <c r="A221" s="23"/>
      <c r="B221" s="35"/>
      <c r="C221" s="23"/>
      <c r="D221" s="23"/>
      <c r="E221" s="23"/>
      <c r="F221" s="23"/>
      <c r="G221" s="23"/>
      <c r="H221" s="23"/>
      <c r="I221" s="24"/>
      <c r="J221" s="23"/>
      <c r="K221" s="23"/>
      <c r="L221" s="24"/>
      <c r="M221" s="23"/>
      <c r="N221" s="23"/>
    </row>
    <row r="222" spans="1:14" ht="15">
      <c r="A222" s="23"/>
      <c r="B222" s="35"/>
      <c r="C222" s="23"/>
      <c r="D222" s="23"/>
      <c r="E222" s="23"/>
      <c r="F222" s="23"/>
      <c r="G222" s="23"/>
      <c r="H222" s="23"/>
      <c r="I222" s="24"/>
      <c r="J222" s="23"/>
      <c r="K222" s="23"/>
      <c r="L222" s="24"/>
      <c r="M222" s="23"/>
      <c r="N222" s="23"/>
    </row>
    <row r="223" spans="1:14" ht="15">
      <c r="A223" s="23"/>
      <c r="B223" s="35"/>
      <c r="C223" s="23"/>
      <c r="D223" s="23"/>
      <c r="E223" s="23"/>
      <c r="F223" s="23"/>
      <c r="G223" s="23"/>
      <c r="H223" s="23"/>
      <c r="I223" s="24"/>
      <c r="J223" s="23"/>
      <c r="K223" s="23"/>
      <c r="L223" s="24"/>
      <c r="M223" s="23"/>
      <c r="N223" s="23"/>
    </row>
    <row r="224" spans="1:14" ht="15">
      <c r="A224" s="23"/>
      <c r="B224" s="35"/>
      <c r="C224" s="23"/>
      <c r="D224" s="23"/>
      <c r="E224" s="23"/>
      <c r="F224" s="23"/>
      <c r="G224" s="23"/>
      <c r="H224" s="23"/>
      <c r="I224" s="24"/>
      <c r="J224" s="23"/>
      <c r="K224" s="23"/>
      <c r="L224" s="24"/>
      <c r="M224" s="23"/>
      <c r="N224" s="23"/>
    </row>
    <row r="225" spans="1:14" ht="15">
      <c r="A225" s="23"/>
      <c r="B225" s="35"/>
      <c r="C225" s="23"/>
      <c r="D225" s="23"/>
      <c r="E225" s="23"/>
      <c r="F225" s="23"/>
      <c r="G225" s="23"/>
      <c r="H225" s="23"/>
      <c r="I225" s="24"/>
      <c r="J225" s="23"/>
      <c r="K225" s="23"/>
      <c r="L225" s="24"/>
      <c r="M225" s="23"/>
      <c r="N225" s="23"/>
    </row>
    <row r="226" spans="1:14" ht="15">
      <c r="A226" s="23"/>
      <c r="B226" s="35"/>
      <c r="C226" s="23"/>
      <c r="D226" s="23"/>
      <c r="E226" s="23"/>
      <c r="F226" s="23"/>
      <c r="G226" s="23"/>
      <c r="H226" s="23"/>
      <c r="I226" s="24"/>
      <c r="J226" s="23"/>
      <c r="K226" s="23"/>
      <c r="L226" s="24"/>
      <c r="M226" s="23"/>
      <c r="N226" s="23"/>
    </row>
    <row r="227" spans="1:14" ht="15">
      <c r="A227" s="23"/>
      <c r="B227" s="35"/>
      <c r="C227" s="23"/>
      <c r="D227" s="23"/>
      <c r="E227" s="23"/>
      <c r="F227" s="23"/>
      <c r="G227" s="23"/>
      <c r="H227" s="23"/>
      <c r="I227" s="24"/>
      <c r="J227" s="23"/>
      <c r="K227" s="23"/>
      <c r="L227" s="24"/>
      <c r="M227" s="23"/>
      <c r="N227" s="23"/>
    </row>
    <row r="228" spans="1:14" ht="15">
      <c r="A228" s="23"/>
      <c r="B228" s="35"/>
      <c r="C228" s="23"/>
      <c r="D228" s="23"/>
      <c r="E228" s="23"/>
      <c r="F228" s="23"/>
      <c r="G228" s="23"/>
      <c r="H228" s="23"/>
      <c r="I228" s="24"/>
      <c r="J228" s="23"/>
      <c r="K228" s="23"/>
      <c r="L228" s="24"/>
      <c r="M228" s="23"/>
      <c r="N228" s="23"/>
    </row>
    <row r="229" spans="1:14" ht="15">
      <c r="A229" s="23"/>
      <c r="B229" s="35"/>
      <c r="C229" s="23"/>
      <c r="D229" s="23"/>
      <c r="E229" s="23"/>
      <c r="F229" s="23"/>
      <c r="G229" s="23"/>
      <c r="H229" s="23"/>
      <c r="I229" s="24"/>
      <c r="J229" s="23"/>
      <c r="K229" s="23"/>
      <c r="L229" s="24"/>
      <c r="M229" s="23"/>
      <c r="N229" s="23"/>
    </row>
    <row r="230" spans="1:14" ht="15">
      <c r="A230" s="23"/>
      <c r="B230" s="35"/>
      <c r="C230" s="23"/>
      <c r="D230" s="23"/>
      <c r="E230" s="23"/>
      <c r="F230" s="23"/>
      <c r="G230" s="23"/>
      <c r="H230" s="23"/>
      <c r="I230" s="24"/>
      <c r="J230" s="23"/>
      <c r="K230" s="23"/>
      <c r="L230" s="24"/>
      <c r="M230" s="23"/>
      <c r="N230" s="23"/>
    </row>
    <row r="231" spans="1:14" ht="15">
      <c r="A231" s="23"/>
      <c r="B231" s="35"/>
      <c r="C231" s="23"/>
      <c r="D231" s="23"/>
      <c r="E231" s="23"/>
      <c r="F231" s="23"/>
      <c r="G231" s="23"/>
      <c r="H231" s="23"/>
      <c r="I231" s="24"/>
      <c r="J231" s="23"/>
      <c r="K231" s="23"/>
      <c r="L231" s="24"/>
      <c r="M231" s="23"/>
      <c r="N231" s="23"/>
    </row>
    <row r="232" spans="1:14" ht="15">
      <c r="A232" s="23"/>
      <c r="B232" s="35"/>
      <c r="C232" s="23"/>
      <c r="D232" s="23"/>
      <c r="E232" s="23"/>
      <c r="F232" s="23"/>
      <c r="G232" s="23"/>
      <c r="H232" s="23"/>
      <c r="I232" s="24"/>
      <c r="J232" s="23"/>
      <c r="K232" s="23"/>
      <c r="L232" s="24"/>
      <c r="M232" s="23"/>
      <c r="N232" s="23"/>
    </row>
    <row r="233" spans="1:14" ht="15">
      <c r="A233" s="23"/>
      <c r="B233" s="35"/>
      <c r="C233" s="23"/>
      <c r="D233" s="23"/>
      <c r="E233" s="23"/>
      <c r="F233" s="23"/>
      <c r="G233" s="23"/>
      <c r="H233" s="23"/>
      <c r="I233" s="24"/>
      <c r="J233" s="23"/>
      <c r="K233" s="23"/>
      <c r="L233" s="24"/>
      <c r="M233" s="23"/>
      <c r="N233" s="23"/>
    </row>
    <row r="234" spans="1:14" ht="15">
      <c r="A234" s="23"/>
      <c r="B234" s="35"/>
      <c r="C234" s="23"/>
      <c r="D234" s="23"/>
      <c r="E234" s="23"/>
      <c r="F234" s="23"/>
      <c r="G234" s="23"/>
      <c r="H234" s="23"/>
      <c r="I234" s="24"/>
      <c r="J234" s="23"/>
      <c r="K234" s="23"/>
      <c r="L234" s="24"/>
      <c r="M234" s="23"/>
      <c r="N234" s="23"/>
    </row>
    <row r="235" spans="1:14" ht="15">
      <c r="A235" s="23"/>
      <c r="B235" s="35"/>
      <c r="C235" s="23"/>
      <c r="D235" s="23"/>
      <c r="E235" s="23"/>
      <c r="F235" s="23"/>
      <c r="G235" s="23"/>
      <c r="H235" s="23"/>
      <c r="I235" s="24"/>
      <c r="J235" s="23"/>
      <c r="K235" s="23"/>
      <c r="L235" s="24"/>
      <c r="M235" s="23"/>
      <c r="N235" s="23"/>
    </row>
    <row r="236" spans="1:14" ht="15">
      <c r="A236" s="23"/>
      <c r="B236" s="35"/>
      <c r="C236" s="23"/>
      <c r="D236" s="23"/>
      <c r="E236" s="23"/>
      <c r="F236" s="23"/>
      <c r="G236" s="23"/>
      <c r="H236" s="23"/>
      <c r="I236" s="24"/>
      <c r="J236" s="23"/>
      <c r="K236" s="23"/>
      <c r="L236" s="24"/>
      <c r="M236" s="23"/>
      <c r="N236" s="23"/>
    </row>
    <row r="237" spans="1:14" ht="15">
      <c r="A237" s="23"/>
      <c r="B237" s="35"/>
      <c r="C237" s="23"/>
      <c r="D237" s="23"/>
      <c r="E237" s="23"/>
      <c r="F237" s="23"/>
      <c r="G237" s="23"/>
      <c r="H237" s="23"/>
      <c r="I237" s="24"/>
      <c r="J237" s="23"/>
      <c r="K237" s="23"/>
      <c r="L237" s="24"/>
      <c r="M237" s="23"/>
      <c r="N237" s="23"/>
    </row>
    <row r="238" spans="1:14" ht="15">
      <c r="A238" s="23"/>
      <c r="B238" s="35"/>
      <c r="C238" s="23"/>
      <c r="D238" s="23"/>
      <c r="E238" s="23"/>
      <c r="F238" s="23"/>
      <c r="G238" s="23"/>
      <c r="H238" s="23"/>
      <c r="I238" s="24"/>
      <c r="J238" s="23"/>
      <c r="K238" s="23"/>
      <c r="L238" s="24"/>
      <c r="M238" s="23"/>
      <c r="N238" s="23"/>
    </row>
    <row r="239" spans="1:14" ht="15">
      <c r="A239" s="23"/>
      <c r="B239" s="35"/>
      <c r="C239" s="23"/>
      <c r="D239" s="23"/>
      <c r="E239" s="23"/>
      <c r="F239" s="23"/>
      <c r="G239" s="23"/>
      <c r="H239" s="23"/>
      <c r="I239" s="24"/>
      <c r="J239" s="23"/>
      <c r="K239" s="23"/>
      <c r="L239" s="24"/>
      <c r="M239" s="23"/>
      <c r="N239" s="23"/>
    </row>
    <row r="240" spans="1:14" ht="15">
      <c r="A240" s="23"/>
      <c r="B240" s="35"/>
      <c r="C240" s="23"/>
      <c r="D240" s="23"/>
      <c r="E240" s="23"/>
      <c r="F240" s="23"/>
      <c r="G240" s="23"/>
      <c r="H240" s="23"/>
      <c r="I240" s="24"/>
      <c r="J240" s="23"/>
      <c r="K240" s="23"/>
      <c r="L240" s="24"/>
      <c r="M240" s="23"/>
      <c r="N240" s="23"/>
    </row>
    <row r="241" spans="1:14" ht="15">
      <c r="A241" s="23"/>
      <c r="B241" s="35"/>
      <c r="C241" s="23"/>
      <c r="D241" s="23"/>
      <c r="E241" s="23"/>
      <c r="F241" s="23"/>
      <c r="G241" s="23"/>
      <c r="H241" s="23"/>
      <c r="I241" s="24"/>
      <c r="J241" s="23"/>
      <c r="K241" s="23"/>
      <c r="L241" s="24"/>
      <c r="M241" s="23"/>
      <c r="N241" s="23"/>
    </row>
    <row r="242" spans="1:14" ht="15">
      <c r="A242" s="23"/>
      <c r="B242" s="35"/>
      <c r="C242" s="23"/>
      <c r="D242" s="23"/>
      <c r="E242" s="23"/>
      <c r="F242" s="23"/>
      <c r="G242" s="23"/>
      <c r="H242" s="23"/>
      <c r="I242" s="24"/>
      <c r="J242" s="23"/>
      <c r="K242" s="23"/>
      <c r="L242" s="24"/>
      <c r="M242" s="23"/>
      <c r="N242" s="23"/>
    </row>
    <row r="243" spans="1:14" ht="15">
      <c r="A243" s="23"/>
      <c r="B243" s="35"/>
      <c r="C243" s="23"/>
      <c r="D243" s="23"/>
      <c r="E243" s="23"/>
      <c r="F243" s="23"/>
      <c r="G243" s="23"/>
      <c r="H243" s="23"/>
      <c r="I243" s="24"/>
      <c r="J243" s="23"/>
      <c r="K243" s="23"/>
      <c r="L243" s="24"/>
      <c r="M243" s="23"/>
      <c r="N243" s="23"/>
    </row>
    <row r="244" spans="1:14" ht="15">
      <c r="A244" s="23"/>
      <c r="B244" s="35"/>
      <c r="C244" s="23"/>
      <c r="D244" s="23"/>
      <c r="E244" s="23"/>
      <c r="F244" s="23"/>
      <c r="G244" s="23"/>
      <c r="H244" s="23"/>
      <c r="I244" s="24"/>
      <c r="J244" s="23"/>
      <c r="K244" s="23"/>
      <c r="L244" s="24"/>
      <c r="M244" s="23"/>
      <c r="N244" s="23"/>
    </row>
    <row r="245" spans="1:14" ht="15">
      <c r="A245" s="23"/>
      <c r="B245" s="35"/>
      <c r="C245" s="23"/>
      <c r="D245" s="23"/>
      <c r="E245" s="23"/>
      <c r="F245" s="23"/>
      <c r="G245" s="23"/>
      <c r="H245" s="23"/>
      <c r="I245" s="24"/>
      <c r="J245" s="23"/>
      <c r="K245" s="23"/>
      <c r="L245" s="24"/>
      <c r="M245" s="23"/>
      <c r="N245" s="23"/>
    </row>
    <row r="246" spans="1:14" ht="15">
      <c r="A246" s="23"/>
      <c r="B246" s="35"/>
      <c r="C246" s="23"/>
      <c r="D246" s="23"/>
      <c r="E246" s="23"/>
      <c r="F246" s="23"/>
      <c r="G246" s="23"/>
      <c r="H246" s="23"/>
      <c r="I246" s="24"/>
      <c r="J246" s="23"/>
      <c r="K246" s="23"/>
      <c r="L246" s="24"/>
      <c r="M246" s="23"/>
      <c r="N246" s="23"/>
    </row>
    <row r="247" spans="1:14" ht="15">
      <c r="A247" s="23"/>
      <c r="B247" s="35"/>
      <c r="C247" s="23"/>
      <c r="D247" s="23"/>
      <c r="E247" s="23"/>
      <c r="F247" s="23"/>
      <c r="G247" s="23"/>
      <c r="H247" s="23"/>
      <c r="I247" s="24"/>
      <c r="J247" s="23"/>
      <c r="K247" s="23"/>
      <c r="L247" s="24"/>
      <c r="M247" s="23"/>
      <c r="N247" s="23"/>
    </row>
    <row r="248" spans="1:14" ht="15">
      <c r="A248" s="23"/>
      <c r="B248" s="35"/>
      <c r="C248" s="23"/>
      <c r="D248" s="23"/>
      <c r="E248" s="23"/>
      <c r="F248" s="23"/>
      <c r="G248" s="23"/>
      <c r="H248" s="23"/>
      <c r="I248" s="24"/>
      <c r="J248" s="23"/>
      <c r="K248" s="23"/>
      <c r="L248" s="24"/>
      <c r="M248" s="23"/>
      <c r="N248" s="23"/>
    </row>
    <row r="249" spans="1:14" ht="15">
      <c r="A249" s="23"/>
      <c r="B249" s="35"/>
      <c r="C249" s="23"/>
      <c r="D249" s="23"/>
      <c r="E249" s="23"/>
      <c r="F249" s="23"/>
      <c r="G249" s="23"/>
      <c r="H249" s="23"/>
      <c r="I249" s="24"/>
      <c r="J249" s="23"/>
      <c r="K249" s="23"/>
      <c r="L249" s="24"/>
      <c r="M249" s="23"/>
      <c r="N249" s="23"/>
    </row>
    <row r="250" spans="1:14" ht="15">
      <c r="A250" s="23"/>
      <c r="B250" s="35"/>
      <c r="C250" s="23"/>
      <c r="D250" s="23"/>
      <c r="E250" s="23"/>
      <c r="F250" s="23"/>
      <c r="G250" s="23"/>
      <c r="H250" s="23"/>
      <c r="I250" s="24"/>
      <c r="J250" s="23"/>
      <c r="K250" s="23"/>
      <c r="L250" s="24"/>
      <c r="M250" s="23"/>
      <c r="N250" s="23"/>
    </row>
    <row r="251" spans="1:14" ht="15">
      <c r="A251" s="23"/>
      <c r="B251" s="35"/>
      <c r="C251" s="23"/>
      <c r="D251" s="23"/>
      <c r="E251" s="23"/>
      <c r="F251" s="23"/>
      <c r="G251" s="23"/>
      <c r="H251" s="23"/>
      <c r="I251" s="24"/>
      <c r="J251" s="23"/>
      <c r="K251" s="23"/>
      <c r="L251" s="24"/>
      <c r="M251" s="23"/>
      <c r="N251" s="23"/>
    </row>
    <row r="252" spans="1:14" ht="15">
      <c r="A252" s="23"/>
      <c r="B252" s="35"/>
      <c r="C252" s="23"/>
      <c r="D252" s="23"/>
      <c r="E252" s="23"/>
      <c r="F252" s="23"/>
      <c r="G252" s="23"/>
      <c r="H252" s="23"/>
      <c r="I252" s="24"/>
      <c r="J252" s="23"/>
      <c r="K252" s="23"/>
      <c r="L252" s="24"/>
      <c r="M252" s="23"/>
      <c r="N252" s="23"/>
    </row>
    <row r="253" spans="1:14" ht="15">
      <c r="A253" s="23"/>
      <c r="B253" s="35"/>
      <c r="C253" s="23"/>
      <c r="D253" s="23"/>
      <c r="E253" s="23"/>
      <c r="F253" s="23"/>
      <c r="G253" s="23"/>
      <c r="H253" s="23"/>
      <c r="I253" s="24"/>
      <c r="J253" s="23"/>
      <c r="K253" s="23"/>
      <c r="L253" s="24"/>
      <c r="M253" s="23"/>
      <c r="N253" s="23"/>
    </row>
    <row r="254" spans="1:14" ht="15">
      <c r="A254" s="23"/>
      <c r="B254" s="35"/>
      <c r="C254" s="23"/>
      <c r="D254" s="23"/>
      <c r="E254" s="23"/>
      <c r="F254" s="23"/>
      <c r="G254" s="23"/>
      <c r="H254" s="23"/>
      <c r="I254" s="24"/>
      <c r="J254" s="23"/>
      <c r="K254" s="23"/>
      <c r="L254" s="24"/>
      <c r="M254" s="23"/>
      <c r="N254" s="23"/>
    </row>
    <row r="255" spans="1:14" ht="15">
      <c r="A255" s="23"/>
      <c r="B255" s="35"/>
      <c r="C255" s="23"/>
      <c r="D255" s="23"/>
      <c r="E255" s="23"/>
      <c r="F255" s="23"/>
      <c r="G255" s="23"/>
      <c r="H255" s="23"/>
      <c r="I255" s="24"/>
      <c r="J255" s="23"/>
      <c r="K255" s="23"/>
      <c r="L255" s="24"/>
      <c r="M255" s="23"/>
      <c r="N255" s="23"/>
    </row>
    <row r="256" spans="1:14" ht="15">
      <c r="A256" s="23"/>
      <c r="B256" s="35"/>
      <c r="C256" s="23"/>
      <c r="D256" s="23"/>
      <c r="E256" s="23"/>
      <c r="F256" s="23"/>
      <c r="G256" s="23"/>
      <c r="H256" s="23"/>
      <c r="I256" s="24"/>
      <c r="J256" s="23"/>
      <c r="K256" s="23"/>
      <c r="L256" s="24"/>
      <c r="M256" s="23"/>
      <c r="N256" s="23"/>
    </row>
    <row r="257" spans="1:14" ht="15">
      <c r="A257" s="23"/>
      <c r="B257" s="35"/>
      <c r="C257" s="23"/>
      <c r="D257" s="23"/>
      <c r="E257" s="23"/>
      <c r="F257" s="23"/>
      <c r="G257" s="23"/>
      <c r="H257" s="23"/>
      <c r="I257" s="24"/>
      <c r="J257" s="23"/>
      <c r="K257" s="23"/>
      <c r="L257" s="24"/>
      <c r="M257" s="23"/>
      <c r="N257" s="23"/>
    </row>
    <row r="258" spans="1:14" ht="15">
      <c r="A258" s="23"/>
      <c r="B258" s="35"/>
      <c r="C258" s="23"/>
      <c r="D258" s="23"/>
      <c r="E258" s="23"/>
      <c r="F258" s="23"/>
      <c r="G258" s="23"/>
      <c r="H258" s="23"/>
      <c r="I258" s="24"/>
      <c r="J258" s="23"/>
      <c r="K258" s="23"/>
      <c r="L258" s="24"/>
      <c r="M258" s="23"/>
      <c r="N258" s="23"/>
    </row>
    <row r="259" spans="1:14" ht="15">
      <c r="A259" s="23"/>
      <c r="B259" s="35"/>
      <c r="C259" s="23"/>
      <c r="D259" s="23"/>
      <c r="E259" s="23"/>
      <c r="F259" s="23"/>
      <c r="G259" s="23"/>
      <c r="H259" s="23"/>
      <c r="I259" s="24"/>
      <c r="J259" s="23"/>
      <c r="K259" s="23"/>
      <c r="L259" s="24"/>
      <c r="M259" s="23"/>
      <c r="N259" s="23"/>
    </row>
    <row r="260" spans="1:14" ht="15">
      <c r="A260" s="23"/>
      <c r="B260" s="35"/>
      <c r="C260" s="23"/>
      <c r="D260" s="23"/>
      <c r="E260" s="23"/>
      <c r="F260" s="23"/>
      <c r="G260" s="23"/>
      <c r="H260" s="23"/>
      <c r="I260" s="24"/>
      <c r="J260" s="23"/>
      <c r="K260" s="23"/>
      <c r="L260" s="24"/>
      <c r="M260" s="23"/>
      <c r="N260" s="23"/>
    </row>
    <row r="261" spans="1:14" ht="15">
      <c r="A261" s="23"/>
      <c r="B261" s="35"/>
      <c r="C261" s="23"/>
      <c r="D261" s="23"/>
      <c r="E261" s="23"/>
      <c r="F261" s="23"/>
      <c r="G261" s="23"/>
      <c r="H261" s="23"/>
      <c r="I261" s="24"/>
      <c r="J261" s="23"/>
      <c r="K261" s="23"/>
      <c r="L261" s="24"/>
      <c r="M261" s="23"/>
      <c r="N261" s="23"/>
    </row>
    <row r="262" spans="1:14" ht="15">
      <c r="A262" s="23"/>
      <c r="B262" s="35"/>
      <c r="C262" s="23"/>
      <c r="D262" s="23"/>
      <c r="E262" s="23"/>
      <c r="F262" s="23"/>
      <c r="G262" s="23"/>
      <c r="H262" s="23"/>
      <c r="I262" s="24"/>
      <c r="J262" s="23"/>
      <c r="K262" s="23"/>
      <c r="L262" s="24"/>
      <c r="M262" s="23"/>
      <c r="N262" s="23"/>
    </row>
    <row r="263" spans="1:14" ht="15">
      <c r="A263" s="23"/>
      <c r="B263" s="35"/>
      <c r="C263" s="23"/>
      <c r="D263" s="23"/>
      <c r="E263" s="23"/>
      <c r="F263" s="23"/>
      <c r="G263" s="23"/>
      <c r="H263" s="23"/>
      <c r="I263" s="24"/>
      <c r="J263" s="23"/>
      <c r="K263" s="23"/>
      <c r="L263" s="24"/>
      <c r="M263" s="23"/>
      <c r="N263" s="23"/>
    </row>
    <row r="264" spans="1:14" ht="15">
      <c r="A264" s="23"/>
      <c r="B264" s="35"/>
      <c r="C264" s="23"/>
      <c r="D264" s="23"/>
      <c r="E264" s="23"/>
      <c r="F264" s="23"/>
      <c r="G264" s="23"/>
      <c r="H264" s="23"/>
      <c r="I264" s="24"/>
      <c r="J264" s="23"/>
      <c r="K264" s="23"/>
      <c r="L264" s="24"/>
      <c r="M264" s="23"/>
      <c r="N264" s="23"/>
    </row>
    <row r="265" spans="1:14" ht="15">
      <c r="A265" s="23"/>
      <c r="B265" s="35"/>
      <c r="C265" s="23"/>
      <c r="D265" s="23"/>
      <c r="E265" s="23"/>
      <c r="F265" s="23"/>
      <c r="G265" s="23"/>
      <c r="H265" s="23"/>
      <c r="I265" s="24"/>
      <c r="J265" s="23"/>
      <c r="K265" s="23"/>
      <c r="L265" s="24"/>
      <c r="M265" s="23"/>
      <c r="N265" s="23"/>
    </row>
    <row r="266" spans="1:14" ht="15">
      <c r="A266" s="23"/>
      <c r="B266" s="35"/>
      <c r="C266" s="23"/>
      <c r="D266" s="23"/>
      <c r="E266" s="23"/>
      <c r="F266" s="23"/>
      <c r="G266" s="23"/>
      <c r="H266" s="23"/>
      <c r="I266" s="24"/>
      <c r="J266" s="23"/>
      <c r="K266" s="23"/>
      <c r="L266" s="24"/>
      <c r="M266" s="23"/>
      <c r="N266" s="23"/>
    </row>
    <row r="267" spans="1:14" ht="15">
      <c r="A267" s="23"/>
      <c r="B267" s="35"/>
      <c r="C267" s="23"/>
      <c r="D267" s="23"/>
      <c r="E267" s="23"/>
      <c r="F267" s="23"/>
      <c r="G267" s="23"/>
      <c r="H267" s="23"/>
      <c r="I267" s="24"/>
      <c r="J267" s="23"/>
      <c r="K267" s="23"/>
      <c r="L267" s="24"/>
      <c r="M267" s="23"/>
      <c r="N267" s="23"/>
    </row>
    <row r="268" spans="1:14" ht="15">
      <c r="A268" s="23"/>
      <c r="B268" s="35"/>
      <c r="C268" s="23"/>
      <c r="D268" s="23"/>
      <c r="E268" s="23"/>
      <c r="F268" s="23"/>
      <c r="G268" s="23"/>
      <c r="H268" s="23"/>
      <c r="I268" s="24"/>
      <c r="J268" s="23"/>
      <c r="K268" s="23"/>
      <c r="L268" s="24"/>
      <c r="M268" s="23"/>
      <c r="N268" s="23"/>
    </row>
    <row r="269" spans="1:14" ht="15">
      <c r="A269" s="23"/>
      <c r="B269" s="35"/>
      <c r="C269" s="23"/>
      <c r="D269" s="23"/>
      <c r="E269" s="23"/>
      <c r="F269" s="23"/>
      <c r="G269" s="23"/>
      <c r="H269" s="23"/>
      <c r="I269" s="24"/>
      <c r="J269" s="23"/>
      <c r="K269" s="23"/>
      <c r="L269" s="24"/>
      <c r="M269" s="23"/>
      <c r="N269" s="23"/>
    </row>
    <row r="270" spans="1:14" ht="15">
      <c r="A270" s="23"/>
      <c r="B270" s="35"/>
      <c r="C270" s="23"/>
      <c r="D270" s="23"/>
      <c r="E270" s="23"/>
      <c r="F270" s="23"/>
      <c r="G270" s="23"/>
      <c r="H270" s="23"/>
      <c r="I270" s="24"/>
      <c r="J270" s="23"/>
      <c r="K270" s="23"/>
      <c r="L270" s="24"/>
      <c r="M270" s="23"/>
      <c r="N270" s="23"/>
    </row>
    <row r="271" spans="1:14" ht="15">
      <c r="A271" s="23"/>
      <c r="B271" s="35"/>
      <c r="C271" s="23"/>
      <c r="D271" s="23"/>
      <c r="E271" s="23"/>
      <c r="F271" s="23"/>
      <c r="G271" s="23"/>
      <c r="H271" s="23"/>
      <c r="I271" s="24"/>
      <c r="J271" s="23"/>
      <c r="K271" s="23"/>
      <c r="L271" s="24"/>
      <c r="M271" s="23"/>
      <c r="N271" s="23"/>
    </row>
    <row r="272" spans="1:14" ht="15">
      <c r="A272" s="23"/>
      <c r="B272" s="35"/>
      <c r="C272" s="23"/>
      <c r="D272" s="23"/>
      <c r="E272" s="23"/>
      <c r="F272" s="23"/>
      <c r="G272" s="23"/>
      <c r="H272" s="23"/>
      <c r="I272" s="24"/>
      <c r="J272" s="23"/>
      <c r="K272" s="23"/>
      <c r="L272" s="24"/>
      <c r="M272" s="23"/>
      <c r="N272" s="23"/>
    </row>
    <row r="273" spans="1:14" ht="15">
      <c r="A273" s="23"/>
      <c r="B273" s="35"/>
      <c r="C273" s="23"/>
      <c r="D273" s="23"/>
      <c r="E273" s="23"/>
      <c r="F273" s="23"/>
      <c r="G273" s="23"/>
      <c r="H273" s="23"/>
      <c r="I273" s="24"/>
      <c r="J273" s="23"/>
      <c r="K273" s="23"/>
      <c r="L273" s="24"/>
      <c r="M273" s="23"/>
      <c r="N273" s="23"/>
    </row>
    <row r="274" spans="1:14" ht="15">
      <c r="A274" s="23"/>
      <c r="B274" s="35"/>
      <c r="C274" s="23"/>
      <c r="D274" s="23"/>
      <c r="E274" s="23"/>
      <c r="F274" s="23"/>
      <c r="G274" s="23"/>
      <c r="H274" s="23"/>
      <c r="I274" s="24"/>
      <c r="J274" s="23"/>
      <c r="K274" s="23"/>
      <c r="L274" s="24"/>
      <c r="M274" s="23"/>
      <c r="N274" s="23"/>
    </row>
    <row r="275" spans="1:14" ht="15">
      <c r="A275" s="23"/>
      <c r="B275" s="35"/>
      <c r="C275" s="23"/>
      <c r="D275" s="23"/>
      <c r="E275" s="23"/>
      <c r="F275" s="23"/>
      <c r="G275" s="23"/>
      <c r="H275" s="23"/>
      <c r="I275" s="24"/>
      <c r="J275" s="23"/>
      <c r="K275" s="23"/>
      <c r="L275" s="24"/>
      <c r="M275" s="23"/>
      <c r="N275" s="23"/>
    </row>
    <row r="276" spans="1:14" ht="15">
      <c r="A276" s="23"/>
      <c r="B276" s="35"/>
      <c r="C276" s="23"/>
      <c r="D276" s="23"/>
      <c r="E276" s="23"/>
      <c r="F276" s="23"/>
      <c r="G276" s="23"/>
      <c r="H276" s="23"/>
      <c r="I276" s="24"/>
      <c r="J276" s="23"/>
      <c r="K276" s="23"/>
      <c r="L276" s="24"/>
      <c r="M276" s="23"/>
      <c r="N276" s="23"/>
    </row>
    <row r="277" spans="1:14" ht="15">
      <c r="A277" s="23"/>
      <c r="B277" s="35"/>
      <c r="C277" s="23"/>
      <c r="D277" s="23"/>
      <c r="E277" s="23"/>
      <c r="F277" s="23"/>
      <c r="G277" s="23"/>
      <c r="H277" s="23"/>
      <c r="I277" s="24"/>
      <c r="J277" s="23"/>
      <c r="K277" s="23"/>
      <c r="L277" s="24"/>
      <c r="M277" s="23"/>
      <c r="N277" s="23"/>
    </row>
    <row r="278" spans="1:14" ht="15">
      <c r="A278" s="23"/>
      <c r="B278" s="35"/>
      <c r="C278" s="23"/>
      <c r="D278" s="23"/>
      <c r="E278" s="23"/>
      <c r="F278" s="23"/>
      <c r="G278" s="23"/>
      <c r="H278" s="23"/>
      <c r="I278" s="24"/>
      <c r="J278" s="23"/>
      <c r="K278" s="23"/>
      <c r="L278" s="24"/>
      <c r="M278" s="23"/>
      <c r="N278" s="23"/>
    </row>
    <row r="279" spans="1:14" ht="15">
      <c r="A279" s="23"/>
      <c r="B279" s="35"/>
      <c r="C279" s="23"/>
      <c r="D279" s="23"/>
      <c r="E279" s="23"/>
      <c r="F279" s="23"/>
      <c r="G279" s="23"/>
      <c r="H279" s="23"/>
      <c r="I279" s="24"/>
      <c r="J279" s="23"/>
      <c r="K279" s="23"/>
      <c r="L279" s="24"/>
      <c r="M279" s="23"/>
      <c r="N279" s="23"/>
    </row>
    <row r="280" spans="1:14" ht="15">
      <c r="A280" s="23"/>
      <c r="B280" s="35"/>
      <c r="C280" s="23"/>
      <c r="D280" s="23"/>
      <c r="E280" s="23"/>
      <c r="F280" s="23"/>
      <c r="G280" s="23"/>
      <c r="H280" s="23"/>
      <c r="I280" s="24"/>
      <c r="J280" s="23"/>
      <c r="K280" s="23"/>
      <c r="L280" s="24"/>
      <c r="M280" s="23"/>
      <c r="N280" s="23"/>
    </row>
    <row r="281" spans="1:14" ht="15">
      <c r="A281" s="23"/>
      <c r="B281" s="35"/>
      <c r="C281" s="23"/>
      <c r="D281" s="23"/>
      <c r="E281" s="23"/>
      <c r="F281" s="23"/>
      <c r="G281" s="23"/>
      <c r="H281" s="23"/>
      <c r="I281" s="24"/>
      <c r="J281" s="23"/>
      <c r="K281" s="23"/>
      <c r="L281" s="24"/>
      <c r="M281" s="23"/>
      <c r="N281" s="23"/>
    </row>
    <row r="282" spans="1:14" ht="15">
      <c r="A282" s="23"/>
      <c r="B282" s="35"/>
      <c r="C282" s="23"/>
      <c r="D282" s="23"/>
      <c r="E282" s="23"/>
      <c r="F282" s="23"/>
      <c r="G282" s="23"/>
      <c r="H282" s="23"/>
      <c r="I282" s="24"/>
      <c r="J282" s="23"/>
      <c r="K282" s="23"/>
      <c r="L282" s="24"/>
      <c r="M282" s="23"/>
      <c r="N282" s="23"/>
    </row>
    <row r="283" spans="1:14" ht="15">
      <c r="A283" s="23"/>
      <c r="B283" s="35"/>
      <c r="C283" s="23"/>
      <c r="D283" s="23"/>
      <c r="E283" s="23"/>
      <c r="F283" s="23"/>
      <c r="G283" s="23"/>
      <c r="H283" s="23"/>
      <c r="I283" s="24"/>
      <c r="J283" s="23"/>
      <c r="K283" s="23"/>
      <c r="L283" s="24"/>
      <c r="M283" s="23"/>
      <c r="N283" s="23"/>
    </row>
    <row r="284" spans="1:14" ht="15">
      <c r="A284" s="23"/>
      <c r="B284" s="35"/>
      <c r="C284" s="23"/>
      <c r="D284" s="23"/>
      <c r="E284" s="23"/>
      <c r="F284" s="23"/>
      <c r="G284" s="23"/>
      <c r="H284" s="23"/>
      <c r="I284" s="24"/>
      <c r="J284" s="23"/>
      <c r="K284" s="23"/>
      <c r="L284" s="24"/>
      <c r="M284" s="23"/>
      <c r="N284" s="23"/>
    </row>
    <row r="285" spans="1:14" ht="15">
      <c r="A285" s="23"/>
      <c r="B285" s="35"/>
      <c r="C285" s="23"/>
      <c r="D285" s="23"/>
      <c r="E285" s="23"/>
      <c r="F285" s="23"/>
      <c r="G285" s="23"/>
      <c r="H285" s="23"/>
      <c r="I285" s="24"/>
      <c r="J285" s="23"/>
      <c r="K285" s="23"/>
      <c r="L285" s="24"/>
      <c r="M285" s="23"/>
      <c r="N285" s="23"/>
    </row>
    <row r="286" spans="1:14" ht="15">
      <c r="A286" s="23"/>
      <c r="B286" s="35"/>
      <c r="C286" s="23"/>
      <c r="D286" s="23"/>
      <c r="E286" s="23"/>
      <c r="F286" s="23"/>
      <c r="G286" s="23"/>
      <c r="H286" s="23"/>
      <c r="I286" s="24"/>
      <c r="J286" s="23"/>
      <c r="K286" s="23"/>
      <c r="L286" s="24"/>
      <c r="M286" s="23"/>
      <c r="N286" s="23"/>
    </row>
    <row r="287" spans="1:14" ht="15">
      <c r="A287" s="23"/>
      <c r="B287" s="35"/>
      <c r="C287" s="23"/>
      <c r="D287" s="23"/>
      <c r="E287" s="23"/>
      <c r="F287" s="23"/>
      <c r="G287" s="23"/>
      <c r="H287" s="23"/>
      <c r="I287" s="24"/>
      <c r="J287" s="23"/>
      <c r="K287" s="23"/>
      <c r="L287" s="24"/>
      <c r="M287" s="23"/>
      <c r="N287" s="23"/>
    </row>
    <row r="288" spans="1:14" ht="15">
      <c r="A288" s="23"/>
      <c r="B288" s="35"/>
      <c r="C288" s="23"/>
      <c r="D288" s="23"/>
      <c r="E288" s="23"/>
      <c r="F288" s="23"/>
      <c r="G288" s="23"/>
      <c r="H288" s="23"/>
      <c r="I288" s="24"/>
      <c r="J288" s="23"/>
      <c r="K288" s="23"/>
      <c r="L288" s="24"/>
      <c r="M288" s="23"/>
      <c r="N288" s="23"/>
    </row>
    <row r="289" spans="1:14" ht="15">
      <c r="A289" s="23"/>
      <c r="B289" s="35"/>
      <c r="C289" s="23"/>
      <c r="D289" s="23"/>
      <c r="E289" s="23"/>
      <c r="F289" s="23"/>
      <c r="G289" s="23"/>
      <c r="H289" s="23"/>
      <c r="I289" s="24"/>
      <c r="J289" s="23"/>
      <c r="K289" s="23"/>
      <c r="L289" s="24"/>
      <c r="M289" s="23"/>
      <c r="N289" s="23"/>
    </row>
    <row r="290" spans="1:14" ht="15">
      <c r="A290" s="23"/>
      <c r="B290" s="35"/>
      <c r="C290" s="23"/>
      <c r="D290" s="23"/>
      <c r="E290" s="23"/>
      <c r="F290" s="23"/>
      <c r="G290" s="23"/>
      <c r="H290" s="23"/>
      <c r="I290" s="24"/>
      <c r="J290" s="23"/>
      <c r="K290" s="23"/>
      <c r="L290" s="24"/>
      <c r="M290" s="23"/>
      <c r="N290" s="23"/>
    </row>
    <row r="291" spans="1:14" ht="15">
      <c r="A291" s="23"/>
      <c r="B291" s="35"/>
      <c r="C291" s="23"/>
      <c r="D291" s="23"/>
      <c r="E291" s="23"/>
      <c r="F291" s="23"/>
      <c r="G291" s="23"/>
      <c r="H291" s="23"/>
      <c r="I291" s="24"/>
      <c r="J291" s="23"/>
      <c r="K291" s="23"/>
      <c r="L291" s="24"/>
      <c r="M291" s="23"/>
      <c r="N291" s="23"/>
    </row>
    <row r="292" spans="1:14" ht="15">
      <c r="A292" s="23"/>
      <c r="B292" s="35"/>
      <c r="C292" s="23"/>
      <c r="D292" s="23"/>
      <c r="E292" s="23"/>
      <c r="F292" s="23"/>
      <c r="G292" s="23"/>
      <c r="H292" s="23"/>
      <c r="I292" s="24"/>
      <c r="J292" s="23"/>
      <c r="K292" s="23"/>
      <c r="L292" s="24"/>
      <c r="M292" s="23"/>
      <c r="N292" s="23"/>
    </row>
    <row r="293" spans="1:14" ht="15">
      <c r="A293" s="23"/>
      <c r="B293" s="35"/>
      <c r="C293" s="23"/>
      <c r="D293" s="23"/>
      <c r="E293" s="23"/>
      <c r="F293" s="23"/>
      <c r="G293" s="23"/>
      <c r="H293" s="23"/>
      <c r="I293" s="24"/>
      <c r="J293" s="23"/>
      <c r="K293" s="23"/>
      <c r="L293" s="24"/>
      <c r="M293" s="23"/>
      <c r="N293" s="23"/>
    </row>
    <row r="294" spans="1:14" ht="15">
      <c r="A294" s="23"/>
      <c r="B294" s="35"/>
      <c r="C294" s="23"/>
      <c r="D294" s="23"/>
      <c r="E294" s="23"/>
      <c r="F294" s="23"/>
      <c r="G294" s="23"/>
      <c r="H294" s="23"/>
      <c r="I294" s="24"/>
      <c r="J294" s="23"/>
      <c r="K294" s="23"/>
      <c r="L294" s="24"/>
      <c r="M294" s="23"/>
      <c r="N294" s="23"/>
    </row>
    <row r="295" spans="1:14" ht="15">
      <c r="A295" s="23"/>
      <c r="B295" s="35"/>
      <c r="C295" s="23"/>
      <c r="D295" s="23"/>
      <c r="E295" s="23"/>
      <c r="F295" s="23"/>
      <c r="G295" s="23"/>
      <c r="H295" s="23"/>
      <c r="I295" s="24"/>
      <c r="J295" s="23"/>
      <c r="K295" s="23"/>
      <c r="L295" s="24"/>
      <c r="M295" s="23"/>
      <c r="N295" s="23"/>
    </row>
    <row r="296" spans="1:14" ht="15">
      <c r="A296" s="23"/>
      <c r="B296" s="35"/>
      <c r="C296" s="23"/>
      <c r="D296" s="23"/>
      <c r="E296" s="23"/>
      <c r="F296" s="23"/>
      <c r="G296" s="23"/>
      <c r="H296" s="23"/>
      <c r="I296" s="24"/>
      <c r="J296" s="23"/>
      <c r="K296" s="23"/>
      <c r="L296" s="24"/>
      <c r="M296" s="23"/>
      <c r="N296" s="23"/>
    </row>
    <row r="297" spans="1:14" ht="15">
      <c r="A297" s="23"/>
      <c r="B297" s="35"/>
      <c r="C297" s="23"/>
      <c r="D297" s="23"/>
      <c r="E297" s="23"/>
      <c r="F297" s="23"/>
      <c r="G297" s="23"/>
      <c r="H297" s="23"/>
      <c r="I297" s="24"/>
      <c r="J297" s="23"/>
      <c r="K297" s="23"/>
      <c r="L297" s="24"/>
      <c r="M297" s="23"/>
      <c r="N297" s="23"/>
    </row>
    <row r="298" spans="1:14" ht="15">
      <c r="A298" s="23"/>
      <c r="B298" s="35"/>
      <c r="C298" s="23"/>
      <c r="D298" s="23"/>
      <c r="E298" s="23"/>
      <c r="F298" s="23"/>
      <c r="G298" s="23"/>
      <c r="H298" s="23"/>
      <c r="I298" s="24"/>
      <c r="J298" s="23"/>
      <c r="K298" s="23"/>
      <c r="L298" s="24"/>
      <c r="M298" s="23"/>
      <c r="N298" s="23"/>
    </row>
    <row r="299" spans="1:14" ht="15">
      <c r="A299" s="23"/>
      <c r="B299" s="35"/>
      <c r="C299" s="23"/>
      <c r="D299" s="23"/>
      <c r="E299" s="23"/>
      <c r="F299" s="23"/>
      <c r="G299" s="23"/>
      <c r="H299" s="23"/>
      <c r="I299" s="24"/>
      <c r="J299" s="23"/>
      <c r="K299" s="23"/>
      <c r="L299" s="24"/>
      <c r="M299" s="23"/>
      <c r="N299" s="23"/>
    </row>
    <row r="300" spans="1:14" ht="15">
      <c r="A300" s="23"/>
      <c r="B300" s="35"/>
      <c r="C300" s="23"/>
      <c r="D300" s="23"/>
      <c r="E300" s="23"/>
      <c r="F300" s="23"/>
      <c r="G300" s="23"/>
      <c r="H300" s="23"/>
      <c r="I300" s="24"/>
      <c r="J300" s="23"/>
      <c r="K300" s="23"/>
      <c r="L300" s="24"/>
      <c r="M300" s="23"/>
      <c r="N300" s="23"/>
    </row>
    <row r="301" spans="1:14" ht="15">
      <c r="A301" s="23"/>
      <c r="B301" s="35"/>
      <c r="C301" s="23"/>
      <c r="D301" s="23"/>
      <c r="E301" s="23"/>
      <c r="F301" s="23"/>
      <c r="G301" s="23"/>
      <c r="H301" s="23"/>
      <c r="I301" s="24"/>
      <c r="J301" s="23"/>
      <c r="K301" s="23"/>
      <c r="L301" s="24"/>
      <c r="M301" s="23"/>
      <c r="N301" s="23"/>
    </row>
    <row r="302" spans="1:14" ht="15">
      <c r="A302" s="23"/>
      <c r="B302" s="35"/>
      <c r="C302" s="23"/>
      <c r="D302" s="23"/>
      <c r="E302" s="23"/>
      <c r="F302" s="23"/>
      <c r="G302" s="23"/>
      <c r="H302" s="23"/>
      <c r="I302" s="24"/>
      <c r="J302" s="23"/>
      <c r="K302" s="23"/>
      <c r="L302" s="24"/>
      <c r="M302" s="23"/>
      <c r="N302" s="23"/>
    </row>
    <row r="303" spans="1:14" ht="15">
      <c r="A303" s="23"/>
      <c r="B303" s="35"/>
      <c r="C303" s="23"/>
      <c r="D303" s="23"/>
      <c r="E303" s="23"/>
      <c r="F303" s="23"/>
      <c r="G303" s="23"/>
      <c r="H303" s="23"/>
      <c r="I303" s="24"/>
      <c r="J303" s="23"/>
      <c r="K303" s="23"/>
      <c r="L303" s="24"/>
      <c r="M303" s="23"/>
      <c r="N303" s="23"/>
    </row>
    <row r="304" spans="1:14" ht="15">
      <c r="A304" s="23"/>
      <c r="B304" s="35"/>
      <c r="C304" s="23"/>
      <c r="D304" s="23"/>
      <c r="E304" s="23"/>
      <c r="F304" s="23"/>
      <c r="G304" s="23"/>
      <c r="H304" s="23"/>
      <c r="I304" s="24"/>
      <c r="J304" s="23"/>
      <c r="K304" s="23"/>
      <c r="L304" s="24"/>
      <c r="M304" s="23"/>
      <c r="N304" s="23"/>
    </row>
    <row r="305" spans="1:14" ht="15">
      <c r="A305" s="23"/>
      <c r="B305" s="35"/>
      <c r="C305" s="23"/>
      <c r="D305" s="23"/>
      <c r="E305" s="23"/>
      <c r="F305" s="23"/>
      <c r="G305" s="23"/>
      <c r="H305" s="23"/>
      <c r="I305" s="24"/>
      <c r="J305" s="23"/>
      <c r="K305" s="23"/>
      <c r="L305" s="24"/>
      <c r="M305" s="23"/>
      <c r="N305" s="23"/>
    </row>
    <row r="306" spans="1:14" ht="15">
      <c r="A306" s="23"/>
      <c r="B306" s="35"/>
      <c r="C306" s="23"/>
      <c r="D306" s="23"/>
      <c r="E306" s="23"/>
      <c r="F306" s="23"/>
      <c r="G306" s="23"/>
      <c r="H306" s="23"/>
      <c r="I306" s="24"/>
      <c r="J306" s="23"/>
      <c r="K306" s="23"/>
      <c r="L306" s="24"/>
      <c r="M306" s="23"/>
      <c r="N306" s="23"/>
    </row>
    <row r="307" spans="1:14" ht="15">
      <c r="A307" s="23"/>
      <c r="B307" s="35"/>
      <c r="C307" s="23"/>
      <c r="D307" s="23"/>
      <c r="E307" s="23"/>
      <c r="F307" s="23"/>
      <c r="G307" s="23"/>
      <c r="H307" s="23"/>
      <c r="I307" s="24"/>
      <c r="J307" s="23"/>
      <c r="K307" s="23"/>
      <c r="L307" s="24"/>
      <c r="M307" s="23"/>
      <c r="N307" s="23"/>
    </row>
    <row r="308" spans="1:14" ht="15">
      <c r="A308" s="23"/>
      <c r="B308" s="35"/>
      <c r="C308" s="23"/>
      <c r="D308" s="23"/>
      <c r="E308" s="23"/>
      <c r="F308" s="23"/>
      <c r="G308" s="23"/>
      <c r="H308" s="23"/>
      <c r="I308" s="24"/>
      <c r="J308" s="23"/>
      <c r="K308" s="23"/>
      <c r="L308" s="24"/>
      <c r="M308" s="23"/>
      <c r="N308" s="23"/>
    </row>
    <row r="309" spans="1:14" ht="15">
      <c r="A309" s="23"/>
      <c r="B309" s="35"/>
      <c r="C309" s="23"/>
      <c r="D309" s="23"/>
      <c r="E309" s="23"/>
      <c r="F309" s="23"/>
      <c r="G309" s="23"/>
      <c r="H309" s="23"/>
      <c r="I309" s="24"/>
      <c r="J309" s="23"/>
      <c r="K309" s="23"/>
      <c r="L309" s="24"/>
      <c r="M309" s="23"/>
      <c r="N309" s="23"/>
    </row>
    <row r="310" spans="1:14" ht="15">
      <c r="A310" s="23"/>
      <c r="B310" s="35"/>
      <c r="C310" s="23"/>
      <c r="D310" s="23"/>
      <c r="E310" s="23"/>
      <c r="F310" s="23"/>
      <c r="G310" s="23"/>
      <c r="H310" s="23"/>
      <c r="I310" s="24"/>
      <c r="J310" s="23"/>
      <c r="K310" s="23"/>
      <c r="L310" s="24"/>
      <c r="M310" s="23"/>
      <c r="N310" s="23"/>
    </row>
    <row r="311" spans="1:14" ht="15">
      <c r="A311" s="23"/>
      <c r="B311" s="35"/>
      <c r="C311" s="23"/>
      <c r="D311" s="23"/>
      <c r="E311" s="23"/>
      <c r="F311" s="23"/>
      <c r="G311" s="23"/>
      <c r="H311" s="23"/>
      <c r="I311" s="24"/>
      <c r="J311" s="23"/>
      <c r="K311" s="23"/>
      <c r="L311" s="24"/>
      <c r="M311" s="23"/>
      <c r="N311" s="23"/>
    </row>
    <row r="312" spans="1:14" ht="15">
      <c r="A312" s="23"/>
      <c r="B312" s="35"/>
      <c r="C312" s="23"/>
      <c r="D312" s="23"/>
      <c r="E312" s="23"/>
      <c r="F312" s="23"/>
      <c r="G312" s="23"/>
      <c r="H312" s="23"/>
      <c r="I312" s="24"/>
      <c r="J312" s="23"/>
      <c r="K312" s="23"/>
      <c r="L312" s="24"/>
      <c r="M312" s="23"/>
      <c r="N312" s="23"/>
    </row>
    <row r="313" spans="1:14" ht="15">
      <c r="A313" s="23"/>
      <c r="B313" s="35"/>
      <c r="C313" s="23"/>
      <c r="D313" s="23"/>
      <c r="E313" s="23"/>
      <c r="F313" s="23"/>
      <c r="G313" s="23"/>
      <c r="H313" s="23"/>
      <c r="I313" s="24"/>
      <c r="J313" s="23"/>
      <c r="K313" s="23"/>
      <c r="L313" s="24"/>
      <c r="M313" s="23"/>
      <c r="N313" s="23"/>
    </row>
    <row r="314" spans="1:14" ht="15">
      <c r="A314" s="23"/>
      <c r="B314" s="35"/>
      <c r="C314" s="23"/>
      <c r="D314" s="23"/>
      <c r="E314" s="23"/>
      <c r="F314" s="23"/>
      <c r="G314" s="23"/>
      <c r="H314" s="23"/>
      <c r="I314" s="24"/>
      <c r="J314" s="23"/>
      <c r="K314" s="23"/>
      <c r="L314" s="24"/>
      <c r="M314" s="23"/>
      <c r="N314" s="23"/>
    </row>
    <row r="315" spans="1:14" ht="15">
      <c r="A315" s="23"/>
      <c r="B315" s="35"/>
      <c r="C315" s="23"/>
      <c r="D315" s="23"/>
      <c r="E315" s="23"/>
      <c r="F315" s="23"/>
      <c r="G315" s="23"/>
      <c r="H315" s="23"/>
      <c r="I315" s="24"/>
      <c r="J315" s="23"/>
      <c r="K315" s="23"/>
      <c r="L315" s="24"/>
      <c r="M315" s="23"/>
      <c r="N315" s="23"/>
    </row>
    <row r="316" spans="1:14" ht="15">
      <c r="A316" s="23"/>
      <c r="B316" s="35"/>
      <c r="C316" s="23"/>
      <c r="D316" s="23"/>
      <c r="E316" s="23"/>
      <c r="F316" s="23"/>
      <c r="G316" s="23"/>
      <c r="H316" s="23"/>
      <c r="I316" s="24"/>
      <c r="J316" s="23"/>
      <c r="K316" s="23"/>
      <c r="L316" s="24"/>
      <c r="M316" s="23"/>
      <c r="N316" s="23"/>
    </row>
    <row r="317" spans="1:14" ht="15">
      <c r="A317" s="23"/>
      <c r="B317" s="35"/>
      <c r="C317" s="23"/>
      <c r="D317" s="23"/>
      <c r="E317" s="23"/>
      <c r="F317" s="23"/>
      <c r="G317" s="23"/>
      <c r="H317" s="23"/>
      <c r="I317" s="24"/>
      <c r="J317" s="23"/>
      <c r="K317" s="23"/>
      <c r="L317" s="24"/>
      <c r="M317" s="23"/>
      <c r="N317" s="23"/>
    </row>
    <row r="318" spans="1:14" ht="15">
      <c r="A318" s="23"/>
      <c r="B318" s="35"/>
      <c r="C318" s="23"/>
      <c r="D318" s="23"/>
      <c r="E318" s="23"/>
      <c r="F318" s="23"/>
      <c r="G318" s="23"/>
      <c r="H318" s="23"/>
      <c r="I318" s="24"/>
      <c r="J318" s="23"/>
      <c r="K318" s="23"/>
      <c r="L318" s="24"/>
      <c r="M318" s="23"/>
      <c r="N318" s="23"/>
    </row>
    <row r="319" spans="1:14" ht="15">
      <c r="A319" s="23"/>
      <c r="B319" s="35"/>
      <c r="C319" s="23"/>
      <c r="D319" s="23"/>
      <c r="E319" s="23"/>
      <c r="F319" s="23"/>
      <c r="G319" s="23"/>
      <c r="H319" s="23"/>
      <c r="I319" s="24"/>
      <c r="J319" s="23"/>
      <c r="K319" s="23"/>
      <c r="L319" s="24"/>
      <c r="M319" s="23"/>
      <c r="N319" s="23"/>
    </row>
    <row r="320" spans="1:14" ht="15">
      <c r="A320" s="23"/>
      <c r="B320" s="35"/>
      <c r="C320" s="23"/>
      <c r="D320" s="23"/>
      <c r="E320" s="23"/>
      <c r="F320" s="23"/>
      <c r="G320" s="23"/>
      <c r="H320" s="23"/>
      <c r="I320" s="24"/>
      <c r="J320" s="23"/>
      <c r="K320" s="23"/>
      <c r="L320" s="24"/>
      <c r="M320" s="23"/>
      <c r="N320" s="23"/>
    </row>
    <row r="321" spans="1:14" ht="15">
      <c r="A321" s="23"/>
      <c r="B321" s="35"/>
      <c r="C321" s="23"/>
      <c r="D321" s="23"/>
      <c r="E321" s="23"/>
      <c r="F321" s="23"/>
      <c r="G321" s="23"/>
      <c r="H321" s="23"/>
      <c r="I321" s="24"/>
      <c r="J321" s="23"/>
      <c r="K321" s="23"/>
      <c r="L321" s="24"/>
      <c r="M321" s="23"/>
      <c r="N321" s="23"/>
    </row>
    <row r="322" spans="1:14" ht="15">
      <c r="A322" s="23"/>
      <c r="B322" s="35"/>
      <c r="C322" s="23"/>
      <c r="D322" s="23"/>
      <c r="E322" s="23"/>
      <c r="F322" s="23"/>
      <c r="G322" s="23"/>
      <c r="H322" s="23"/>
      <c r="I322" s="24"/>
      <c r="J322" s="23"/>
      <c r="K322" s="23"/>
      <c r="L322" s="24"/>
      <c r="M322" s="23"/>
      <c r="N322" s="23"/>
    </row>
    <row r="323" spans="1:14" ht="15">
      <c r="A323" s="23"/>
      <c r="B323" s="35"/>
      <c r="C323" s="23"/>
      <c r="D323" s="23"/>
      <c r="E323" s="23"/>
      <c r="F323" s="23"/>
      <c r="G323" s="23"/>
      <c r="H323" s="23"/>
      <c r="I323" s="24"/>
      <c r="J323" s="23"/>
      <c r="K323" s="23"/>
      <c r="L323" s="24"/>
      <c r="M323" s="23"/>
      <c r="N323" s="23"/>
    </row>
    <row r="324" spans="1:14" ht="15">
      <c r="A324" s="23"/>
      <c r="B324" s="35"/>
      <c r="C324" s="23"/>
      <c r="F324" s="23"/>
      <c r="G324" s="23"/>
      <c r="H324" s="23"/>
      <c r="I324" s="24"/>
      <c r="J324" s="23"/>
      <c r="K324" s="23"/>
      <c r="L324" s="24"/>
      <c r="M324" s="23"/>
      <c r="N324" s="23"/>
    </row>
    <row r="325" spans="1:14" ht="15">
      <c r="A325" s="23"/>
      <c r="B325" s="35"/>
      <c r="C325" s="23"/>
      <c r="F325" s="23"/>
      <c r="G325" s="23"/>
      <c r="H325" s="23"/>
      <c r="I325" s="24"/>
      <c r="J325" s="23"/>
      <c r="K325" s="23"/>
      <c r="L325" s="24"/>
      <c r="M325" s="23"/>
      <c r="N325" s="23"/>
    </row>
    <row r="326" spans="1:14" ht="15">
      <c r="A326" s="23"/>
      <c r="B326" s="35"/>
      <c r="C326" s="23"/>
      <c r="F326" s="23"/>
      <c r="G326" s="23"/>
      <c r="H326" s="23"/>
      <c r="I326" s="24"/>
      <c r="J326" s="23"/>
      <c r="K326" s="23"/>
      <c r="L326" s="24"/>
      <c r="M326" s="23"/>
      <c r="N326" s="23"/>
    </row>
    <row r="327" spans="1:14" ht="15">
      <c r="A327" s="23"/>
      <c r="B327" s="35"/>
      <c r="C327" s="23"/>
      <c r="F327" s="23"/>
      <c r="G327" s="23"/>
      <c r="H327" s="23"/>
      <c r="I327" s="24"/>
      <c r="J327" s="23"/>
      <c r="K327" s="23"/>
      <c r="L327" s="24"/>
      <c r="M327" s="23"/>
      <c r="N327" s="23"/>
    </row>
    <row r="328" spans="1:14" ht="15">
      <c r="A328" s="23"/>
      <c r="B328" s="35"/>
      <c r="C328" s="23"/>
      <c r="F328" s="23"/>
      <c r="G328" s="23"/>
      <c r="H328" s="23"/>
      <c r="I328" s="24"/>
      <c r="J328" s="23"/>
      <c r="K328" s="23"/>
      <c r="L328" s="24"/>
      <c r="M328" s="23"/>
      <c r="N328" s="23"/>
    </row>
    <row r="329" spans="1:14" ht="15">
      <c r="A329" s="23"/>
      <c r="B329" s="35"/>
      <c r="C329" s="23"/>
      <c r="F329" s="23"/>
      <c r="G329" s="23"/>
      <c r="H329" s="23"/>
      <c r="I329" s="24"/>
      <c r="J329" s="23"/>
      <c r="K329" s="23"/>
      <c r="L329" s="24"/>
      <c r="M329" s="23"/>
      <c r="N329" s="23"/>
    </row>
    <row r="330" spans="1:14" ht="15">
      <c r="A330" s="23"/>
      <c r="B330" s="35"/>
      <c r="C330" s="23"/>
      <c r="F330" s="23"/>
      <c r="G330" s="23"/>
      <c r="H330" s="23"/>
      <c r="I330" s="24"/>
      <c r="J330" s="23"/>
      <c r="K330" s="23"/>
      <c r="L330" s="24"/>
      <c r="M330" s="23"/>
      <c r="N330" s="23"/>
    </row>
    <row r="331" spans="1:14" ht="15">
      <c r="A331" s="23"/>
      <c r="B331" s="35"/>
      <c r="C331" s="23"/>
      <c r="F331" s="23"/>
      <c r="G331" s="23"/>
      <c r="H331" s="23"/>
      <c r="I331" s="24"/>
      <c r="J331" s="23"/>
      <c r="K331" s="23"/>
      <c r="L331" s="24"/>
      <c r="M331" s="23"/>
      <c r="N331" s="23"/>
    </row>
    <row r="332" spans="1:14" ht="15">
      <c r="A332" s="23"/>
      <c r="B332" s="35"/>
      <c r="C332" s="23"/>
      <c r="F332" s="23"/>
      <c r="G332" s="23"/>
      <c r="H332" s="23"/>
      <c r="I332" s="24"/>
      <c r="J332" s="23"/>
      <c r="K332" s="23"/>
      <c r="L332" s="24"/>
      <c r="M332" s="23"/>
      <c r="N332" s="23"/>
    </row>
    <row r="333" spans="1:14" ht="15">
      <c r="A333" s="23"/>
      <c r="B333" s="35"/>
      <c r="C333" s="23"/>
      <c r="F333" s="23"/>
      <c r="G333" s="23"/>
      <c r="H333" s="23"/>
      <c r="I333" s="24"/>
      <c r="J333" s="23"/>
      <c r="K333" s="23"/>
      <c r="L333" s="24"/>
      <c r="M333" s="23"/>
      <c r="N333" s="23"/>
    </row>
    <row r="334" spans="1:14" ht="15">
      <c r="A334" s="23"/>
      <c r="B334" s="35"/>
      <c r="C334" s="23"/>
      <c r="F334" s="23"/>
      <c r="G334" s="23"/>
      <c r="H334" s="23"/>
      <c r="I334" s="24"/>
      <c r="J334" s="23"/>
      <c r="K334" s="23"/>
      <c r="L334" s="24"/>
      <c r="M334" s="23"/>
      <c r="N334" s="23"/>
    </row>
    <row r="335" spans="1:14" ht="15">
      <c r="A335" s="23"/>
      <c r="B335" s="35"/>
      <c r="C335" s="23"/>
      <c r="F335" s="23"/>
      <c r="G335" s="23"/>
      <c r="H335" s="23"/>
      <c r="I335" s="24"/>
      <c r="J335" s="23"/>
      <c r="K335" s="23"/>
      <c r="L335" s="24"/>
      <c r="M335" s="23"/>
      <c r="N335" s="23"/>
    </row>
    <row r="336" spans="1:14" ht="15">
      <c r="A336" s="23"/>
      <c r="B336" s="35"/>
      <c r="C336" s="23"/>
      <c r="F336" s="23"/>
      <c r="G336" s="23"/>
      <c r="H336" s="23"/>
      <c r="I336" s="24"/>
      <c r="J336" s="23"/>
      <c r="K336" s="23"/>
      <c r="L336" s="24"/>
      <c r="M336" s="23"/>
      <c r="N336" s="23"/>
    </row>
    <row r="337" spans="1:14" ht="15">
      <c r="A337" s="23"/>
      <c r="B337" s="35"/>
      <c r="C337" s="23"/>
      <c r="F337" s="23"/>
      <c r="G337" s="23"/>
      <c r="H337" s="23"/>
      <c r="I337" s="24"/>
      <c r="J337" s="23"/>
      <c r="K337" s="23"/>
      <c r="L337" s="24"/>
      <c r="M337" s="23"/>
      <c r="N337" s="23"/>
    </row>
    <row r="338" spans="1:14" ht="15">
      <c r="A338" s="23"/>
      <c r="B338" s="35"/>
      <c r="C338" s="23"/>
      <c r="F338" s="23"/>
      <c r="G338" s="23"/>
      <c r="H338" s="23"/>
      <c r="I338" s="24"/>
      <c r="J338" s="23"/>
      <c r="K338" s="23"/>
      <c r="L338" s="24"/>
      <c r="M338" s="23"/>
      <c r="N338" s="23"/>
    </row>
    <row r="339" spans="1:14" ht="15">
      <c r="A339" s="23"/>
      <c r="B339" s="35"/>
      <c r="C339" s="23"/>
      <c r="F339" s="23"/>
      <c r="G339" s="23"/>
      <c r="H339" s="23"/>
      <c r="I339" s="24"/>
      <c r="J339" s="23"/>
      <c r="K339" s="23"/>
      <c r="L339" s="24"/>
      <c r="M339" s="23"/>
      <c r="N339" s="23"/>
    </row>
    <row r="340" spans="1:14" ht="15">
      <c r="A340" s="23"/>
      <c r="B340" s="35"/>
      <c r="C340" s="23"/>
      <c r="F340" s="23"/>
      <c r="G340" s="23"/>
      <c r="H340" s="23"/>
      <c r="I340" s="24"/>
      <c r="J340" s="23"/>
      <c r="K340" s="23"/>
      <c r="L340" s="24"/>
      <c r="M340" s="23"/>
      <c r="N340" s="23"/>
    </row>
    <row r="341" spans="1:14" ht="15">
      <c r="A341" s="23"/>
      <c r="B341" s="35"/>
      <c r="C341" s="23"/>
      <c r="F341" s="23"/>
      <c r="G341" s="23"/>
      <c r="H341" s="23"/>
      <c r="I341" s="24"/>
      <c r="J341" s="23"/>
      <c r="K341" s="23"/>
      <c r="L341" s="24"/>
      <c r="M341" s="23"/>
      <c r="N341" s="23"/>
    </row>
    <row r="342" spans="1:14">
      <c r="C342" s="23"/>
      <c r="F342" s="23"/>
      <c r="G342" s="23"/>
      <c r="H342" s="23"/>
      <c r="I342" s="24"/>
      <c r="J342" s="23"/>
      <c r="K342" s="23"/>
      <c r="L342" s="24"/>
      <c r="M342" s="23"/>
      <c r="N342" s="23"/>
    </row>
  </sheetData>
  <mergeCells count="4">
    <mergeCell ref="J1:L1"/>
    <mergeCell ref="A1:C1"/>
    <mergeCell ref="G1:I1"/>
    <mergeCell ref="A2:B2"/>
  </mergeCells>
  <conditionalFormatting sqref="I2 L2">
    <cfRule type="cellIs" dxfId="10" priority="3" stopIfTrue="1" operator="lessThanOrEqual">
      <formula>-0.1</formula>
    </cfRule>
    <cfRule type="expression" dxfId="9" priority="4">
      <formula>AND(ISNUMBER(I2), I2&gt;=0.1)</formula>
    </cfRule>
  </conditionalFormatting>
  <conditionalFormatting sqref="I4:I100 L4:L100">
    <cfRule type="cellIs" dxfId="8" priority="1" stopIfTrue="1" operator="lessThanOrEqual">
      <formula>-0.1</formula>
    </cfRule>
    <cfRule type="expression" dxfId="7" priority="2">
      <formula>AND(ISNUMBER(I4), I4&gt;=0.1)</formula>
    </cfRule>
  </conditionalFormatting>
  <hyperlinks>
    <hyperlink ref="N6" r:id="rId1" display="https://us3.assetplanner.com/service_request?ID=107034" xr:uid="{0682F28E-B39D-413B-9F01-4AC4E099CA44}"/>
    <hyperlink ref="N8" r:id="rId2" display="https://us3.assetplanner.com/service_request?ID=099434" xr:uid="{49EBE4B3-125A-4B4C-AAAA-869516521884}"/>
    <hyperlink ref="N12" r:id="rId3" display="https://us3.assetplanner.com/service_request?ID=105795" xr:uid="{C02EDBD3-2062-4C51-B807-E99ACE5801F5}"/>
    <hyperlink ref="O12" r:id="rId4" display="https://us3.assetplanner.com/service_request?ID=106807" xr:uid="{F7927AA1-1406-4E21-A2A3-A6894314DBFF}"/>
    <hyperlink ref="P12" r:id="rId5" display="https://us3.assetplanner.com/service_request?ID=108584" xr:uid="{B52A6353-2702-4075-9DD4-ABE71C7F1D59}"/>
    <hyperlink ref="Q12" r:id="rId6" display="https://us3.assetplanner.com/service_request?ID=108619" xr:uid="{002201DD-0F14-409B-B4BF-5F87EA6854C8}"/>
    <hyperlink ref="R12" r:id="rId7" display="https://us3.assetplanner.com/service_request?ID=106807" xr:uid="{F834A8DD-5908-4B79-A599-9326528D5691}"/>
    <hyperlink ref="N13" r:id="rId8" display="https://us3.assetplanner.com/service_request?ID=099433" xr:uid="{B021D326-95C3-407A-B95C-0E5396CEF4F8}"/>
    <hyperlink ref="O13" r:id="rId9" display="https://us3.assetplanner.com/service_request?ID=104106" xr:uid="{53F8AED7-69EA-47E6-8622-2BDCD8925B91}"/>
    <hyperlink ref="P13" r:id="rId10" display="https://us3.assetplanner.com/service_request?ID=105254" xr:uid="{30F6ADEC-DF02-4163-8BB4-DD088B2EE784}"/>
    <hyperlink ref="Q13" r:id="rId11" display="https://us3.assetplanner.com/service_request?ID=107710" xr:uid="{40A6C282-8BC7-4078-90E5-CB96233A44C9}"/>
    <hyperlink ref="N15" r:id="rId12" display="https://us3.assetplanner.com/service_request?ID=107053" xr:uid="{BA71A9CA-9D9E-44BB-B2CA-C3A25798831A}"/>
    <hyperlink ref="N17" r:id="rId13" display="https://us3.assetplanner.com/service_request?ID=097653" xr:uid="{F4F59766-60AF-423C-AA27-C04ECEC4E613}"/>
    <hyperlink ref="O17" r:id="rId14" display="https://us3.assetplanner.com/service_request?ID=098986" xr:uid="{966443FB-853E-4767-BFB7-5DC7B104AF2A}"/>
    <hyperlink ref="P17" r:id="rId15" display="https://us3.assetplanner.com/service_request?ID=108046" xr:uid="{F1EC9FA4-A452-4188-BD50-65FC1DFF15B8}"/>
    <hyperlink ref="N21" r:id="rId16" display="https://us3.assetplanner.com/service_request?ID=107928" xr:uid="{054990BF-0E4C-4290-A3F2-9928AA083E43}"/>
    <hyperlink ref="O21" r:id="rId17" display="https://us3.assetplanner.com/service_request?ID=107287" xr:uid="{AA2334E2-2B37-4CBF-B710-65E9A0BD54F9}"/>
    <hyperlink ref="P21" r:id="rId18" display="https://us3.assetplanner.com/service_request?ID=100428" xr:uid="{C5873A7E-C59B-4CB6-A27A-DB1E75DF20AE}"/>
    <hyperlink ref="Q21" r:id="rId19" display="https://us3.assetplanner.com/service_request?ID=104327" xr:uid="{6AD13D86-1E10-440F-9942-123073052F29}"/>
    <hyperlink ref="N23" r:id="rId20" display="https://us3.assetplanner.com/service_request?ID=108432" xr:uid="{F1312A82-7EC4-4356-8D77-C228B3159E0F}"/>
    <hyperlink ref="O23" r:id="rId21" display="https://us3.assetplanner.com/service_request?ID=106356" xr:uid="{E1A92015-19FA-46EA-BB5E-A06CA5775B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32" t="str" cm="1">
        <f t="array" ref="A1">portfolio</f>
        <v>CITI</v>
      </c>
      <c r="B1" s="132"/>
      <c r="C1" s="132"/>
      <c r="D1" s="74" t="s">
        <v>0</v>
      </c>
      <c r="E1" s="75" t="s">
        <v>1</v>
      </c>
      <c r="F1" s="133" t="s">
        <v>296</v>
      </c>
      <c r="G1" s="133"/>
      <c r="H1" s="133"/>
      <c r="I1" s="131" t="s">
        <v>297</v>
      </c>
      <c r="J1" s="131"/>
      <c r="K1" s="131"/>
      <c r="L1" s="88"/>
      <c r="M1" s="5"/>
    </row>
    <row r="2" spans="1:13" ht="19.5" customHeight="1">
      <c r="A2" s="134" t="s">
        <v>4</v>
      </c>
      <c r="B2" s="134"/>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ht="14.45">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32" t="str" cm="1">
        <f t="array" ref="A1">portfolio</f>
        <v>CITI</v>
      </c>
      <c r="B1" s="132"/>
      <c r="C1" s="132"/>
      <c r="D1" s="74" t="s">
        <v>0</v>
      </c>
      <c r="E1" s="75" t="s">
        <v>1</v>
      </c>
      <c r="F1" s="133" t="s">
        <v>298</v>
      </c>
      <c r="G1" s="133"/>
      <c r="H1" s="133"/>
      <c r="I1" s="131" t="s">
        <v>299</v>
      </c>
      <c r="J1" s="131"/>
      <c r="K1" s="131"/>
      <c r="L1" s="5"/>
      <c r="M1" s="5"/>
    </row>
    <row r="2" spans="1:13" ht="19.5" customHeight="1">
      <c r="A2" s="134" t="s">
        <v>4</v>
      </c>
      <c r="B2" s="134"/>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32" t="str" cm="1">
        <f t="array" ref="A1">portfolio</f>
        <v>CITI</v>
      </c>
      <c r="B1" s="132"/>
      <c r="C1" s="132"/>
      <c r="D1" s="74" t="s">
        <v>0</v>
      </c>
      <c r="E1" s="75" t="s">
        <v>1</v>
      </c>
      <c r="F1" s="133" t="s">
        <v>300</v>
      </c>
      <c r="G1" s="133"/>
      <c r="H1" s="133"/>
      <c r="I1" s="131" t="s">
        <v>301</v>
      </c>
      <c r="J1" s="131"/>
      <c r="K1" s="131"/>
      <c r="L1" s="5"/>
      <c r="M1" s="5"/>
    </row>
    <row r="2" spans="1:13" ht="19.5" customHeight="1">
      <c r="A2" s="134" t="s">
        <v>4</v>
      </c>
      <c r="B2" s="134"/>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B17" sqref="B17"/>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302</v>
      </c>
      <c r="B1" t="s">
        <v>303</v>
      </c>
    </row>
    <row r="3" spans="1:6" ht="13.15">
      <c r="A3" t="s">
        <v>304</v>
      </c>
      <c r="B3" t="s">
        <v>5</v>
      </c>
      <c r="C3" t="s">
        <v>6</v>
      </c>
      <c r="D3" t="s">
        <v>305</v>
      </c>
      <c r="E3" s="2" t="s">
        <v>306</v>
      </c>
    </row>
    <row r="4" spans="1:6" ht="14.45">
      <c r="A4" t="s">
        <v>307</v>
      </c>
      <c r="B4" t="s">
        <v>308</v>
      </c>
      <c r="C4" s="4" t="s">
        <v>309</v>
      </c>
      <c r="F4" s="3"/>
    </row>
    <row r="5" spans="1:6" ht="14.45">
      <c r="A5" t="s">
        <v>310</v>
      </c>
      <c r="B5" t="s">
        <v>311</v>
      </c>
      <c r="C5" s="4" t="s">
        <v>309</v>
      </c>
      <c r="F5" s="3"/>
    </row>
    <row r="6" spans="1:6" ht="14.45">
      <c r="A6" t="s">
        <v>312</v>
      </c>
      <c r="B6" t="s">
        <v>313</v>
      </c>
      <c r="C6" s="4" t="s">
        <v>309</v>
      </c>
      <c r="F6" s="3"/>
    </row>
    <row r="7" spans="1:6" ht="12.75" customHeight="1">
      <c r="A7" t="s">
        <v>314</v>
      </c>
      <c r="B7" t="s">
        <v>315</v>
      </c>
      <c r="C7" s="4" t="s">
        <v>309</v>
      </c>
    </row>
    <row r="8" spans="1:6" ht="12.75" customHeight="1">
      <c r="A8" t="s">
        <v>316</v>
      </c>
      <c r="B8" t="s">
        <v>317</v>
      </c>
      <c r="C8" s="4" t="s">
        <v>309</v>
      </c>
    </row>
    <row r="9" spans="1:6" ht="12.75" customHeight="1">
      <c r="A9" t="s">
        <v>318</v>
      </c>
      <c r="B9" t="s">
        <v>319</v>
      </c>
      <c r="C9" s="4" t="s">
        <v>309</v>
      </c>
    </row>
    <row r="10" spans="1:6" ht="12.75" customHeight="1">
      <c r="A10" t="s">
        <v>320</v>
      </c>
      <c r="B10" t="s">
        <v>321</v>
      </c>
      <c r="C10" s="4" t="s">
        <v>309</v>
      </c>
    </row>
    <row r="11" spans="1:6" ht="12.75" customHeight="1">
      <c r="A11" t="s">
        <v>322</v>
      </c>
      <c r="B11" t="s">
        <v>323</v>
      </c>
      <c r="C11" s="4" t="s">
        <v>309</v>
      </c>
    </row>
    <row r="12" spans="1:6" ht="12.75" customHeight="1">
      <c r="A12" t="s">
        <v>324</v>
      </c>
      <c r="B12" t="s">
        <v>325</v>
      </c>
      <c r="C12" s="4" t="s">
        <v>309</v>
      </c>
    </row>
    <row r="13" spans="1:6" ht="12.75" customHeight="1">
      <c r="A13" t="s">
        <v>326</v>
      </c>
      <c r="B13" t="s">
        <v>327</v>
      </c>
      <c r="C13" s="4" t="s">
        <v>309</v>
      </c>
    </row>
    <row r="14" spans="1:6" ht="12.75" customHeight="1">
      <c r="A14" t="s">
        <v>328</v>
      </c>
      <c r="B14" t="s">
        <v>329</v>
      </c>
      <c r="C14" s="4" t="s">
        <v>309</v>
      </c>
    </row>
    <row r="15" spans="1:6" ht="12.75" customHeight="1">
      <c r="A15" t="s">
        <v>330</v>
      </c>
      <c r="B15" t="s">
        <v>331</v>
      </c>
      <c r="C15" s="4" t="s">
        <v>309</v>
      </c>
    </row>
    <row r="16" spans="1:6" ht="12.75" customHeight="1">
      <c r="A16" t="s">
        <v>332</v>
      </c>
      <c r="B16" t="s">
        <v>333</v>
      </c>
      <c r="C16" s="4" t="s">
        <v>309</v>
      </c>
    </row>
    <row r="17" spans="1:3" ht="12.75" customHeight="1">
      <c r="A17" t="s">
        <v>334</v>
      </c>
      <c r="B17" t="s">
        <v>335</v>
      </c>
      <c r="C17" s="4" t="s">
        <v>309</v>
      </c>
    </row>
    <row r="18" spans="1:3" ht="12.75" customHeight="1">
      <c r="A18" t="s">
        <v>336</v>
      </c>
      <c r="B18" t="s">
        <v>337</v>
      </c>
      <c r="C18" s="4" t="s">
        <v>309</v>
      </c>
    </row>
    <row r="19" spans="1:3" ht="12.75" customHeight="1">
      <c r="A19" t="s">
        <v>338</v>
      </c>
      <c r="B19" t="s">
        <v>339</v>
      </c>
      <c r="C19" s="4" t="s">
        <v>309</v>
      </c>
    </row>
    <row r="20" spans="1:3" ht="12.75" customHeight="1">
      <c r="A20" t="s">
        <v>340</v>
      </c>
      <c r="B20" t="s">
        <v>341</v>
      </c>
      <c r="C20" s="4" t="s">
        <v>309</v>
      </c>
    </row>
    <row r="21" spans="1:3" ht="12.75" customHeight="1">
      <c r="A21" t="s">
        <v>342</v>
      </c>
      <c r="B21" t="s">
        <v>343</v>
      </c>
      <c r="C21" s="4" t="s">
        <v>309</v>
      </c>
    </row>
    <row r="22" spans="1:3" ht="12.75" customHeight="1">
      <c r="A22" s="56" t="s">
        <v>344</v>
      </c>
      <c r="B22" t="s">
        <v>345</v>
      </c>
      <c r="C22" s="4" t="s">
        <v>309</v>
      </c>
    </row>
    <row r="23" spans="1:3" ht="12.75" customHeight="1">
      <c r="A23" t="s">
        <v>346</v>
      </c>
      <c r="B23" t="s">
        <v>347</v>
      </c>
      <c r="C23" s="4" t="s">
        <v>309</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F3EAD0E0-75C0-4552-B8E2-59A3D29CAC47}"/>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2025-10-07T19:48:59Z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