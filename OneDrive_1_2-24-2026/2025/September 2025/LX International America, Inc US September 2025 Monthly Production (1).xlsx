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02E78CC-9683-4F80-9150-5900C4CF3626}" xr6:coauthVersionLast="47" xr6:coauthVersionMax="47" xr10:uidLastSave="{00000000-0000-0000-0000-000000000000}"/>
  <bookViews>
    <workbookView xWindow="4872" yWindow="1188" windowWidth="17280" windowHeight="888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9" l="1" a="1"/>
  <c r="A1" i="19" s="1"/>
  <c r="F4" i="4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7" i="18"/>
  <c r="G5" i="18"/>
  <c r="G4" i="18"/>
  <c r="G2" i="18" s="1"/>
  <c r="G6" i="30"/>
  <c r="G7" i="30"/>
  <c r="G5" i="30"/>
  <c r="G4" i="30"/>
  <c r="G6" i="29"/>
  <c r="G7" i="29"/>
  <c r="G4" i="29"/>
  <c r="G5" i="29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J2" i="33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7" i="1"/>
  <c r="G5" i="1"/>
  <c r="G4" i="1"/>
  <c r="B4" i="34" a="1"/>
  <c r="B4" i="34"/>
  <c r="A4" i="34" a="1"/>
  <c r="A4" i="34"/>
  <c r="A1" i="34" a="1"/>
  <c r="A1" i="34"/>
  <c r="D7" i="30"/>
  <c r="C7" i="30"/>
  <c r="D6" i="30"/>
  <c r="C6" i="30"/>
  <c r="D5" i="30"/>
  <c r="C5" i="30"/>
  <c r="D4" i="30"/>
  <c r="C4" i="30"/>
  <c r="D7" i="29"/>
  <c r="C7" i="29"/>
  <c r="D6" i="29"/>
  <c r="D6" i="34" s="1"/>
  <c r="C6" i="29"/>
  <c r="E6" i="29" s="1"/>
  <c r="F6" i="29" s="1"/>
  <c r="D5" i="29"/>
  <c r="C5" i="29"/>
  <c r="E5" i="29" s="1"/>
  <c r="F5" i="29" s="1"/>
  <c r="D4" i="29"/>
  <c r="C4" i="29"/>
  <c r="E4" i="29" s="1"/>
  <c r="F4" i="29" s="1"/>
  <c r="D7" i="18"/>
  <c r="C7" i="18"/>
  <c r="D6" i="18"/>
  <c r="C6" i="18"/>
  <c r="C6" i="34" s="1"/>
  <c r="D5" i="18"/>
  <c r="C5" i="18"/>
  <c r="D4" i="18"/>
  <c r="C4" i="18"/>
  <c r="C4" i="34" s="1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 s="1"/>
  <c r="C7" i="1"/>
  <c r="C6" i="1"/>
  <c r="C5" i="1"/>
  <c r="C4" i="1"/>
  <c r="D6" i="1"/>
  <c r="D7" i="1"/>
  <c r="D5" i="1"/>
  <c r="D4" i="1"/>
  <c r="B4" i="1" a="1"/>
  <c r="B4" i="1"/>
  <c r="A4" i="1" a="1"/>
  <c r="A4" i="1"/>
  <c r="A1" i="1" a="1"/>
  <c r="A1" i="1" s="1"/>
  <c r="H8" i="33"/>
  <c r="I8" i="33"/>
  <c r="E8" i="33"/>
  <c r="F8" i="33"/>
  <c r="H7" i="33"/>
  <c r="I7" i="33"/>
  <c r="E7" i="33"/>
  <c r="F7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 s="1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 s="1"/>
  <c r="H8" i="28"/>
  <c r="I8" i="28"/>
  <c r="E8" i="28"/>
  <c r="F8" i="28"/>
  <c r="H7" i="28"/>
  <c r="I7" i="28"/>
  <c r="E7" i="28"/>
  <c r="F7" i="28"/>
  <c r="H6" i="28"/>
  <c r="I6" i="28" s="1"/>
  <c r="E6" i="28"/>
  <c r="F6" i="28"/>
  <c r="H5" i="28"/>
  <c r="I5" i="28"/>
  <c r="E5" i="28"/>
  <c r="F5" i="28"/>
  <c r="H4" i="28"/>
  <c r="I4" i="28" s="1"/>
  <c r="E4" i="28"/>
  <c r="F4" i="28" s="1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E7" i="27"/>
  <c r="F7" i="27" s="1"/>
  <c r="H6" i="27"/>
  <c r="I6" i="27" s="1"/>
  <c r="E6" i="27"/>
  <c r="F6" i="27" s="1"/>
  <c r="H5" i="27"/>
  <c r="I5" i="27" s="1"/>
  <c r="E5" i="27"/>
  <c r="F5" i="27"/>
  <c r="H4" i="27"/>
  <c r="I4" i="27" s="1"/>
  <c r="E4" i="27"/>
  <c r="F4" i="27" s="1"/>
  <c r="G2" i="27"/>
  <c r="D2" i="27"/>
  <c r="C2" i="27"/>
  <c r="A1" i="27" a="1"/>
  <c r="A1" i="27"/>
  <c r="H8" i="26"/>
  <c r="E8" i="26"/>
  <c r="F8" i="26"/>
  <c r="H7" i="26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H2" i="26" s="1"/>
  <c r="I2" i="26" s="1"/>
  <c r="D2" i="26"/>
  <c r="E2" i="26" s="1"/>
  <c r="F2" i="26" s="1"/>
  <c r="C2" i="26"/>
  <c r="J2" i="26" s="1"/>
  <c r="A1" i="26" a="1"/>
  <c r="A1" i="26"/>
  <c r="H8" i="19"/>
  <c r="I8" i="19"/>
  <c r="E8" i="19"/>
  <c r="F8" i="19"/>
  <c r="H7" i="19"/>
  <c r="I7" i="19" s="1"/>
  <c r="E7" i="19"/>
  <c r="F7" i="19" s="1"/>
  <c r="H6" i="19"/>
  <c r="I6" i="19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E2" i="19" s="1"/>
  <c r="F2" i="19" s="1"/>
  <c r="H8" i="20"/>
  <c r="I8" i="20"/>
  <c r="E8" i="20"/>
  <c r="F8" i="20"/>
  <c r="H7" i="20"/>
  <c r="I7" i="20"/>
  <c r="E7" i="20"/>
  <c r="F7" i="20"/>
  <c r="H6" i="20"/>
  <c r="I6" i="20" s="1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J2" i="20" s="1"/>
  <c r="A1" i="20" a="1"/>
  <c r="A1" i="20" s="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 s="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 s="1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G4" i="34"/>
  <c r="H6" i="29"/>
  <c r="I6" i="29" s="1"/>
  <c r="G2" i="30"/>
  <c r="H2" i="33"/>
  <c r="I2" i="33"/>
  <c r="H2" i="32"/>
  <c r="I2" i="32"/>
  <c r="H2" i="31"/>
  <c r="I2" i="31"/>
  <c r="E6" i="18"/>
  <c r="F6" i="18" s="1"/>
  <c r="H2" i="21"/>
  <c r="I2" i="21"/>
  <c r="J2" i="21"/>
  <c r="E5" i="30"/>
  <c r="F5" i="30"/>
  <c r="I8" i="29"/>
  <c r="E5" i="18"/>
  <c r="F5" i="18" s="1"/>
  <c r="D2" i="30"/>
  <c r="J2" i="31"/>
  <c r="H6" i="30"/>
  <c r="J2" i="32"/>
  <c r="E6" i="30"/>
  <c r="F6" i="30"/>
  <c r="I6" i="33"/>
  <c r="D4" i="34"/>
  <c r="E4" i="30"/>
  <c r="F4" i="30"/>
  <c r="E6" i="1"/>
  <c r="H4" i="30"/>
  <c r="I4" i="30"/>
  <c r="E7" i="30"/>
  <c r="F7" i="30"/>
  <c r="H7" i="30"/>
  <c r="H5" i="30"/>
  <c r="I8" i="26"/>
  <c r="I7" i="26"/>
  <c r="C2" i="30"/>
  <c r="H4" i="1"/>
  <c r="H6" i="1"/>
  <c r="E2" i="3"/>
  <c r="F2" i="3" s="1"/>
  <c r="E4" i="1"/>
  <c r="E2" i="33"/>
  <c r="F2" i="33"/>
  <c r="E2" i="32"/>
  <c r="F2" i="32"/>
  <c r="E2" i="31"/>
  <c r="F2" i="31"/>
  <c r="E2" i="21"/>
  <c r="F2" i="21"/>
  <c r="I6" i="30"/>
  <c r="I5" i="30"/>
  <c r="I7" i="30"/>
  <c r="H2" i="30"/>
  <c r="I2" i="30"/>
  <c r="E2" i="30"/>
  <c r="F2" i="30"/>
  <c r="E2" i="72"/>
  <c r="F2" i="72" s="1"/>
  <c r="H7" i="29" l="1"/>
  <c r="I7" i="29" s="1"/>
  <c r="H2" i="28"/>
  <c r="I2" i="28" s="1"/>
  <c r="J2" i="28"/>
  <c r="E2" i="28"/>
  <c r="F2" i="28" s="1"/>
  <c r="G2" i="29"/>
  <c r="I7" i="27"/>
  <c r="H4" i="29"/>
  <c r="I4" i="29" s="1"/>
  <c r="E2" i="27"/>
  <c r="F2" i="27" s="1"/>
  <c r="J2" i="27"/>
  <c r="H2" i="27"/>
  <c r="I2" i="27" s="1"/>
  <c r="D2" i="29"/>
  <c r="E7" i="29"/>
  <c r="F7" i="29" s="1"/>
  <c r="G7" i="34"/>
  <c r="G6" i="34"/>
  <c r="H5" i="29"/>
  <c r="I5" i="29" s="1"/>
  <c r="C7" i="34"/>
  <c r="C2" i="29"/>
  <c r="H7" i="18"/>
  <c r="E7" i="18"/>
  <c r="F7" i="18" s="1"/>
  <c r="H4" i="18"/>
  <c r="I4" i="18" s="1"/>
  <c r="E4" i="18"/>
  <c r="F4" i="18" s="1"/>
  <c r="C2" i="18"/>
  <c r="J2" i="19"/>
  <c r="H2" i="19"/>
  <c r="I2" i="19" s="1"/>
  <c r="H5" i="18"/>
  <c r="C5" i="34"/>
  <c r="D2" i="18"/>
  <c r="E4" i="34"/>
  <c r="F4" i="34" s="1"/>
  <c r="E6" i="34"/>
  <c r="F6" i="34" s="1"/>
  <c r="D7" i="34"/>
  <c r="I7" i="18"/>
  <c r="G5" i="34"/>
  <c r="I5" i="18"/>
  <c r="H2" i="18"/>
  <c r="I2" i="18" s="1"/>
  <c r="H4" i="34"/>
  <c r="I4" i="34" s="1"/>
  <c r="E2" i="20"/>
  <c r="F2" i="20" s="1"/>
  <c r="H6" i="18"/>
  <c r="H2" i="20"/>
  <c r="I2" i="20" s="1"/>
  <c r="H2" i="72"/>
  <c r="I2" i="72" s="1"/>
  <c r="D2" i="1"/>
  <c r="E2" i="4"/>
  <c r="F2" i="4" s="1"/>
  <c r="G2" i="1"/>
  <c r="D5" i="34"/>
  <c r="E5" i="1"/>
  <c r="F5" i="1" s="1"/>
  <c r="C2" i="1"/>
  <c r="E7" i="1"/>
  <c r="F7" i="1" s="1"/>
  <c r="H2" i="3"/>
  <c r="I2" i="3" s="1"/>
  <c r="H7" i="34"/>
  <c r="H5" i="1"/>
  <c r="E7" i="34" l="1"/>
  <c r="F7" i="34" s="1"/>
  <c r="C2" i="34"/>
  <c r="I7" i="34"/>
  <c r="G2" i="34"/>
  <c r="H2" i="29"/>
  <c r="I2" i="29" s="1"/>
  <c r="E2" i="29"/>
  <c r="F2" i="29" s="1"/>
  <c r="E2" i="18"/>
  <c r="F2" i="18" s="1"/>
  <c r="D2" i="34"/>
  <c r="E2" i="34" s="1"/>
  <c r="F2" i="34" s="1"/>
  <c r="I6" i="18"/>
  <c r="H6" i="34"/>
  <c r="I6" i="34" s="1"/>
  <c r="E5" i="34"/>
  <c r="F5" i="34" s="1"/>
  <c r="E2" i="1"/>
  <c r="F2" i="1" s="1"/>
  <c r="H2" i="1"/>
  <c r="I2" i="1" s="1"/>
  <c r="H5" i="34"/>
  <c r="I5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<sst xmlns="http://schemas.openxmlformats.org/spreadsheetml/2006/main" count="367" uniqueCount="83">
  <si>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</si>
  <si>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</si>
  <si>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</si>
  <si>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</si>
  <si>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</si>
  <si>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</si>
  <si>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</si>
  <si>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</si>
  <si>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</si>
  <si>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</si>
  <si>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</si>
  <si>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</si>
  <si>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</si>
  <si>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</si>
  <si>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</si>
  <si>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</si>
  <si>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</si>
  <si>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</si>
  <si>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</si>
  <si>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</si>
  <si>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</si>
  <si>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</si>
  <si>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</si>
  <si>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</si>
  <si>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</si>
  <si>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</si>
  <si>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</si>
  <si>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</si>
  <si>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</si>
  <si>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</si>
  <si>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</si>
  <si>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</si>
  <si>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</si>
  <si>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</si>
  <si>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</si>
  <si>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</si>
  <si>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</si>
  <si>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</si>
  <si>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</si>
  <si>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</si>
  <si>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</si>
  <si>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</si>
  <si>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</si>
  <si>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N/A</t>
  </si>
  <si>
    <t>1.The weather station reported irradiance spike of 5697 W/m² during non-production hours on 04/08 and a spike of 6611 W/m² on 04/17 during production hours. We are working with Asset planner team on this issue.</t>
  </si>
  <si>
    <t>1. SR100810</t>
  </si>
  <si>
    <t>May Actual v. Expected</t>
  </si>
  <si>
    <t>May Actual v. Forecasted</t>
  </si>
  <si>
    <t>1. SR094976, SR092908</t>
  </si>
  <si>
    <t>1.The weather station reported irradiance spike of 5697 W/m² during non-production hours and a spike of 6611 W/m² during production hours. The issue was resolved on 05/01 after Asset planner added a filter to block these erraneous readings.</t>
  </si>
  <si>
    <t>June Actual v. Expected</t>
  </si>
  <si>
    <t>June Actual v. Forecasted</t>
  </si>
  <si>
    <t>1. We don’t have inverter communications or CB data; therefore, we’re unable to confirm the energy differential between actual and expected values.</t>
  </si>
  <si>
    <t>July Actual v. Expected</t>
  </si>
  <si>
    <t>July Actual v. Forecasted</t>
  </si>
  <si>
    <t>1.Weather station has not been reporting since 10/29/2024 due to the replacement of the GHI sensor and POA sensor.</t>
  </si>
  <si>
    <t>1. We don’t have inverter communications or CB data; therefore, 
we’re unable to confirm the energy differential between actual and expected values.</t>
  </si>
  <si>
    <t>August Actual v. Expected</t>
  </si>
  <si>
    <t>August Actual v. Forecasted</t>
  </si>
  <si>
    <t xml:space="preserve">1.Site stopped communicating at 11:00 MST on 08/26 and production cannot be confirmed. Site modem is offline.
2.We don’t have inverter communications or CB data; therefore, 
we’re unable to confirm the energy differential between actual and expected values.
 </t>
  </si>
  <si>
    <t>1.	SR106981</t>
  </si>
  <si>
    <t>September Actual v. Expected</t>
  </si>
  <si>
    <t>September Actual v. Forecasted</t>
  </si>
  <si>
    <t>1. Weather station has not been reporting since 10/29/2024 due to the replacement of 
the GHI sensor and POA sensor.</t>
  </si>
  <si>
    <t>1..SR094976</t>
  </si>
  <si>
    <t>1.Site stopped communicating on 09/27 at 08:30 and also We don’t have inverter communications or CB data; therefore, we’re unable to confirm the energy differential between actual and expected values(As the modem was offline on 08/26 the expected value also lost communication and later on 09/19 the expected value was showing in DAS). On 09/26 technician was  Confirmed production.  Aquisuite remote access to router is blocked but the site was not communicating to end of the month.</t>
  </si>
  <si>
    <t>1.SR106981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</si>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</sst>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7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49" fontId="35" fillId="0" borderId="0" xfId="45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D5" sqref="D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0</v>
      </c>
      <c r="E1" s="69"/>
      <c r="F1" s="69"/>
      <c r="G1" s="67" t="s">
        <v>1</v>
      </c>
      <c r="H1" s="67"/>
      <c r="I1" s="67"/>
    </row>
    <row r="2" spans="1:11" ht="19.5" customHeight="1">
      <c r="A2" s="70" t="s">
        <v>2</v>
      </c>
      <c r="B2" s="70"/>
      <c r="C2" s="6">
        <f>SUM(C4:C92)</f>
        <v>1064921.46</v>
      </c>
      <c r="D2" s="6">
        <f>SUM(D4:D92)</f>
        <v>94321.290000000008</v>
      </c>
      <c r="E2" s="6">
        <f>C2-D2</f>
        <v>970600.16999999993</v>
      </c>
      <c r="F2" s="7">
        <f>IFERROR(E2/D2, 0)</f>
        <v>10.29036148678628</v>
      </c>
      <c r="G2" s="6">
        <f>SUM(G4:G92)</f>
        <v>0</v>
      </c>
      <c r="H2" s="8">
        <f>C2-G2</f>
        <v>1064921.46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427513.75</v>
      </c>
      <c r="D4" s="14">
        <f>SUM('1st Qtr'!D4, '2nd Qtr'!D4, '3rd Qtr'!D4, '4th Qtr'!D4)</f>
        <v>0</v>
      </c>
      <c r="E4" s="14">
        <f>IF(AND(ISNUMBER(C4),ISNUMBER(D4)), C4-D4, "")</f>
        <v>427513.75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3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406086.5</v>
      </c>
      <c r="D5" s="20">
        <f>SUM('1st Qtr'!D5, '2nd Qtr'!D5, '3rd Qtr'!D5, '4th Qtr'!D5)</f>
        <v>0</v>
      </c>
      <c r="E5" s="20">
        <f t="shared" ref="E5:E7" si="0">IF(AND(ISNUMBER(C5),ISNUMBER(D5)), C5-D5, "")</f>
        <v>406086.5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146365.70000000001</v>
      </c>
      <c r="D6" s="14">
        <f>SUM('1st Qtr'!D6, '2nd Qtr'!D6, '3rd Qtr'!D6, '4th Qtr'!D6)</f>
        <v>0</v>
      </c>
      <c r="E6" s="14">
        <f t="shared" si="0"/>
        <v>146365.70000000001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84955.51</v>
      </c>
      <c r="D7" s="20">
        <f>SUM('1st Qtr'!D7, '2nd Qtr'!D7, '3rd Qtr'!D7, '4th Qtr'!D7)</f>
        <v>94321.290000000008</v>
      </c>
      <c r="E7" s="20">
        <f t="shared" si="0"/>
        <v>-9365.7800000000134</v>
      </c>
      <c r="F7" s="21">
        <f t="shared" si="1"/>
        <v>-9.9296563904077359E-2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7" activePane="bottomLeft" state="frozen"/>
      <selection pane="bottomLeft" activeCell="I7" sqref="I7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10</v>
      </c>
      <c r="E1" s="69"/>
      <c r="F1" s="69"/>
      <c r="G1" s="67" t="s">
        <v>11</v>
      </c>
      <c r="H1" s="67"/>
      <c r="I1" s="67"/>
    </row>
    <row r="2" spans="1:11" ht="19.5" customHeight="1">
      <c r="A2" s="70" t="s">
        <v>2</v>
      </c>
      <c r="B2" s="70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4" activePane="bottomLeft" state="frozen"/>
      <selection pane="bottomLeft" activeCell="D4" sqref="D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LX International America, Inc.</v>
      </c>
      <c r="B1" s="68"/>
      <c r="C1" s="68"/>
      <c r="D1" s="69" t="s">
        <v>12</v>
      </c>
      <c r="E1" s="69"/>
      <c r="F1" s="69"/>
      <c r="G1" s="67" t="s">
        <v>13</v>
      </c>
      <c r="H1" s="67"/>
      <c r="I1" s="67"/>
    </row>
    <row r="2" spans="1:9" ht="19.5" customHeight="1">
      <c r="A2" s="70" t="s">
        <v>2</v>
      </c>
      <c r="B2" s="70"/>
      <c r="C2" s="6">
        <f>SUM(C4:C93)</f>
        <v>420551.17</v>
      </c>
      <c r="D2" s="6">
        <f>SUM(D4:D93)</f>
        <v>40339.22</v>
      </c>
      <c r="E2" s="6">
        <f>C2-D2</f>
        <v>380211.94999999995</v>
      </c>
      <c r="F2" s="7">
        <f>IFERROR(E2/D2, 0)</f>
        <v>9.4253669257858714</v>
      </c>
      <c r="G2" s="6">
        <f>SUM(G4:G93)</f>
        <v>0</v>
      </c>
      <c r="H2" s="8">
        <f>C2-G2</f>
        <v>420551.17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166551.25</v>
      </c>
      <c r="D4" s="14">
        <f>SUM(Apr!D4, May!D4, Jun!D4)</f>
        <v>0</v>
      </c>
      <c r="E4" s="14">
        <f>IF(AND(ISNUMBER(C4),ISNUMBER(D4)), C4-D4, "")</f>
        <v>166551.25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161103</v>
      </c>
      <c r="D5" s="20">
        <f>SUM(Apr!D5, May!D5, Jun!D5)</f>
        <v>0</v>
      </c>
      <c r="E5" s="20">
        <f t="shared" ref="E5:E7" si="0">IF(AND(ISNUMBER(C5),ISNUMBER(D5)), C5-D5, "")</f>
        <v>161103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58469.25</v>
      </c>
      <c r="D6" s="14">
        <f>SUM(Apr!D6, May!D6, Jun!D6)</f>
        <v>0</v>
      </c>
      <c r="E6" s="14">
        <f t="shared" si="0"/>
        <v>58469.25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34427.67</v>
      </c>
      <c r="D7" s="20">
        <f>SUM(Apr!D7, May!D7, Jun!D7)</f>
        <v>40339.22</v>
      </c>
      <c r="E7" s="20">
        <f t="shared" si="0"/>
        <v>-5911.5500000000029</v>
      </c>
      <c r="F7" s="21">
        <f t="shared" si="1"/>
        <v>-0.14654596692747165</v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I6" sqref="I6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LX International America, Inc.</v>
      </c>
      <c r="B1" s="68"/>
      <c r="C1" s="68"/>
      <c r="D1" s="69" t="s">
        <v>14</v>
      </c>
      <c r="E1" s="69"/>
      <c r="F1" s="69"/>
      <c r="G1" s="67" t="s">
        <v>15</v>
      </c>
      <c r="H1" s="67"/>
      <c r="I1" s="67"/>
    </row>
    <row r="2" spans="1:9" ht="19.5" customHeight="1">
      <c r="A2" s="70" t="s">
        <v>2</v>
      </c>
      <c r="B2" s="70"/>
      <c r="C2" s="6">
        <f>SUM(C4:C93)</f>
        <v>386570.81</v>
      </c>
      <c r="D2" s="6">
        <f>SUM(D4:D93)</f>
        <v>26301.18</v>
      </c>
      <c r="E2" s="6">
        <f>C2-D2</f>
        <v>360269.63</v>
      </c>
      <c r="F2" s="7">
        <f>IFERROR(E2/D2, 0)</f>
        <v>13.697850438649521</v>
      </c>
      <c r="G2" s="6">
        <f>SUM(G4:G93)</f>
        <v>0</v>
      </c>
      <c r="H2" s="8">
        <f>C2-G2</f>
        <v>386570.81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168631.5</v>
      </c>
      <c r="D4" s="14">
        <f>SUM(Jul!D4, Aug!D4, Sep!D4)</f>
        <v>0</v>
      </c>
      <c r="E4" s="14">
        <f>IF(AND(ISNUMBER(C4),ISNUMBER(D4)), C4-D4, "")</f>
        <v>168631.5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140319.5</v>
      </c>
      <c r="D5" s="20">
        <f>SUM(Jul!D5, Aug!D5, Sep!D5)</f>
        <v>0</v>
      </c>
      <c r="E5" s="20">
        <f t="shared" ref="E5:E7" si="0">IF(AND(ISNUMBER(C5),ISNUMBER(D5)), C5-D5, "")</f>
        <v>140319.5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51109.2</v>
      </c>
      <c r="D6" s="14">
        <f>SUM(Jul!D6, Aug!D6, Sep!D6)</f>
        <v>0</v>
      </c>
      <c r="E6" s="14">
        <f t="shared" si="0"/>
        <v>51109.2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26510.609999999997</v>
      </c>
      <c r="D7" s="20">
        <f>SUM(Jul!D7, Aug!D7, Sep!D7)</f>
        <v>26301.18</v>
      </c>
      <c r="E7" s="20">
        <f t="shared" si="0"/>
        <v>209.42999999999665</v>
      </c>
      <c r="F7" s="21">
        <f t="shared" si="1"/>
        <v>7.9627606061779977E-3</v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F19" sqref="F19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8" t="str" cm="1">
        <f t="array" ref="A1">portfolio</f>
        <v>LX International America, Inc.</v>
      </c>
      <c r="B1" s="68"/>
      <c r="C1" s="68"/>
      <c r="D1" s="69" t="s">
        <v>16</v>
      </c>
      <c r="E1" s="69"/>
      <c r="F1" s="69"/>
      <c r="G1" s="67" t="s">
        <v>17</v>
      </c>
      <c r="H1" s="67"/>
      <c r="I1" s="67"/>
    </row>
    <row r="2" spans="1:9" ht="19.5" customHeight="1">
      <c r="A2" s="70" t="s">
        <v>2</v>
      </c>
      <c r="B2" s="7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zoomScale="70" zoomScaleNormal="70" workbookViewId="0">
      <pane ySplit="3" topLeftCell="A4" activePane="bottomLeft" state="frozen"/>
      <selection pane="bottomLeft" activeCell="F13" sqref="F13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18</v>
      </c>
      <c r="E1" s="69"/>
      <c r="F1" s="69"/>
      <c r="G1" s="67" t="s">
        <v>19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8" t="s">
        <v>23</v>
      </c>
      <c r="L4" s="51" t="s">
        <v>24</v>
      </c>
    </row>
    <row r="5" spans="1:12" ht="28.3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3" t="s">
        <v>26</v>
      </c>
      <c r="L5" s="51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8" t="s">
        <v>29</v>
      </c>
    </row>
    <row r="7" spans="1:12" ht="28.3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16" sqref="J16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32</v>
      </c>
      <c r="E1" s="69"/>
      <c r="F1" s="69"/>
      <c r="G1" s="67" t="s">
        <v>33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0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2" t="s">
        <v>23</v>
      </c>
      <c r="L4" s="51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3" t="s">
        <v>35</v>
      </c>
    </row>
    <row r="6" spans="1:12" ht="28.9">
      <c r="A6" s="49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2" t="s">
        <v>35</v>
      </c>
    </row>
    <row r="7" spans="1:12" ht="24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F22" sqref="F22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37</v>
      </c>
      <c r="E1" s="69"/>
      <c r="F1" s="69"/>
      <c r="G1" s="67" t="s">
        <v>38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5">
        <v>38400.25</v>
      </c>
      <c r="D4" s="14">
        <v>0</v>
      </c>
      <c r="E4" s="14">
        <f>IF(AND(ISNUMBER(C4),ISNUMBER(D4)), C4-D4, "")</f>
        <v>38400.25</v>
      </c>
      <c r="F4" s="57" t="str">
        <f>IFERROR(E4/D4,"")</f>
        <v/>
      </c>
      <c r="G4" s="56">
        <v>0</v>
      </c>
      <c r="H4" s="56">
        <f>IF(AND(ISNUMBER(C4),ISNUMBER(G4)), C4-G4, "")</f>
        <v>38400.25</v>
      </c>
      <c r="I4" s="17" t="str">
        <f>IFERROR(H4/G4,"")</f>
        <v/>
      </c>
      <c r="J4" s="18" t="s">
        <v>22</v>
      </c>
      <c r="K4" s="58" t="s">
        <v>23</v>
      </c>
      <c r="L4" s="59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55">
        <v>15087.75</v>
      </c>
      <c r="D6" s="14">
        <v>0</v>
      </c>
      <c r="E6" s="14">
        <f t="shared" si="0"/>
        <v>15087.75</v>
      </c>
      <c r="F6" s="57" t="str">
        <f t="shared" si="1"/>
        <v/>
      </c>
      <c r="G6" s="56">
        <v>0</v>
      </c>
      <c r="H6" s="56">
        <f t="shared" si="2"/>
        <v>15087.75</v>
      </c>
      <c r="I6" s="17" t="str">
        <f t="shared" si="3"/>
        <v/>
      </c>
      <c r="J6" s="54" t="s">
        <v>34</v>
      </c>
      <c r="K6" s="58" t="s">
        <v>39</v>
      </c>
    </row>
    <row r="7" spans="1:12" ht="35.1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zoomScale="80" zoomScaleNormal="80" workbookViewId="0">
      <pane ySplit="2" topLeftCell="A4" activePane="bottomLeft" state="frozen"/>
      <selection pane="bottomLeft" activeCell="K4" sqref="K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41</v>
      </c>
      <c r="E1" s="69"/>
      <c r="F1" s="69"/>
      <c r="G1" s="67" t="s">
        <v>42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46332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51606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18635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3" t="s">
        <v>39</v>
      </c>
    </row>
    <row r="7" spans="1:12" ht="43.15">
      <c r="A7" s="32" t="str">
        <v>AZ: Lake Havasu City - Public Works</v>
      </c>
      <c r="B7" s="33" t="str">
        <v>AZ</v>
      </c>
      <c r="C7" s="12">
        <v>11473.13</v>
      </c>
      <c r="D7" s="20">
        <v>13026.05</v>
      </c>
      <c r="E7" s="20">
        <f t="shared" si="0"/>
        <v>-1552.92</v>
      </c>
      <c r="F7" s="21">
        <f t="shared" si="3"/>
        <v>-0.11921649310420275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44</v>
      </c>
      <c r="K7" s="5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4976" xr:uid="{892590A7-C518-450D-8E7A-C165228E2DC1}"/>
    <hyperlink ref="L4" r:id="rId2" display="https://us3.assetplanner.com/service_request?ID=092908" xr:uid="{73A3B31C-8650-475D-B90E-4F132F31F671}"/>
    <hyperlink ref="K5" r:id="rId3" display="https://us3.assetplanner.com/service_request?ID=094976" xr:uid="{4FD60B4E-69EB-409B-A561-529770E34256}"/>
    <hyperlink ref="K6" r:id="rId4" display="https://us3.assetplanner.com/service_request?ID=094976" xr:uid="{020E1ADC-174D-4C2E-9927-D335C0564A1D}"/>
    <hyperlink ref="K7" r:id="rId5" display="https://us3.assetplanner.com/service_request?ID=100810" xr:uid="{736D3A8B-526C-417A-86B3-9F7EF3BF4CF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5"/>
  <sheetViews>
    <sheetView zoomScale="60" zoomScaleNormal="60" workbookViewId="0">
      <pane ySplit="2" topLeftCell="A3" activePane="bottomLeft" state="frozen"/>
      <selection pane="bottomLeft" activeCell="L7" sqref="L7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46</v>
      </c>
      <c r="E1" s="69"/>
      <c r="F1" s="69"/>
      <c r="G1" s="67" t="s">
        <v>47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140743.04000000001</v>
      </c>
      <c r="D2" s="6">
        <f>SUM(D4:D93)</f>
        <v>13586</v>
      </c>
      <c r="E2" s="6">
        <f>C2-D2</f>
        <v>127157.04000000001</v>
      </c>
      <c r="F2" s="7">
        <f>IFERROR(E2/D2, 0)</f>
        <v>9.3594170469601075</v>
      </c>
      <c r="G2" s="6">
        <f>SUM(G4:G93)</f>
        <v>0</v>
      </c>
      <c r="H2" s="8">
        <f>C2-G2</f>
        <v>140743.04000000001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40.5" customHeight="1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54988.25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1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48</v>
      </c>
      <c r="L4" s="52" t="s">
        <v>24</v>
      </c>
    </row>
    <row r="5" spans="1:12" ht="49.5" customHeight="1">
      <c r="A5" s="32" t="str">
        <v>AZ: Lake Havasu City - Aquatic Center</v>
      </c>
      <c r="B5" s="33" t="str">
        <v>AZ</v>
      </c>
      <c r="C5" s="12">
        <v>54353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2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35</v>
      </c>
    </row>
    <row r="6" spans="1:12" ht="43.5" customHeight="1">
      <c r="A6" s="30" t="str">
        <v>AZ: Lake Havasu City - City Hall</v>
      </c>
      <c r="B6" s="31" t="str">
        <v>AZ</v>
      </c>
      <c r="C6" s="26">
        <v>19897.25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16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8" t="s">
        <v>35</v>
      </c>
    </row>
    <row r="7" spans="1:12" ht="57.6">
      <c r="A7" s="32" t="str">
        <v>AZ: Lake Havasu City - Public Works</v>
      </c>
      <c r="B7" s="33" t="str">
        <v>AZ</v>
      </c>
      <c r="C7" s="12">
        <v>11504.540000000003</v>
      </c>
      <c r="D7" s="20">
        <v>13586</v>
      </c>
      <c r="E7" s="20">
        <f t="shared" si="0"/>
        <v>-2081.4599999999973</v>
      </c>
      <c r="F7" s="21">
        <f t="shared" si="3"/>
        <v>-0.15320624171941685</v>
      </c>
      <c r="G7" s="22" t="s">
        <v>43</v>
      </c>
      <c r="H7" s="22" t="str">
        <f t="shared" si="1"/>
        <v/>
      </c>
      <c r="I7" s="21" t="str">
        <f t="shared" si="2"/>
        <v/>
      </c>
      <c r="J7" s="43" t="s">
        <v>49</v>
      </c>
      <c r="K7" s="6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4976" xr:uid="{FB2CD118-627C-4538-9205-8575E5E187E3}"/>
    <hyperlink ref="L4" r:id="rId2" display="https://us3.assetplanner.com/service_request?ID=092908" xr:uid="{7A58BF09-198E-4334-92B7-F4A6F2E1C7A2}"/>
    <hyperlink ref="K5" r:id="rId3" display="https://us3.assetplanner.com/service_request?ID=094976" xr:uid="{CCD86660-B6C6-4368-BA17-FC45C4C2D50D}"/>
    <hyperlink ref="K6" r:id="rId4" display="https://us3.assetplanner.com/service_request?ID=094976" xr:uid="{7F79985A-5D2E-4EE7-B627-20A740F31596}"/>
    <hyperlink ref="K7" r:id="rId5" display="https://us3.assetplanner.com/service_request?ID=100810" xr:uid="{1272B4B0-4BB5-4B24-A1C9-AB8E5043CB3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J7" sqref="J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50</v>
      </c>
      <c r="E1" s="69"/>
      <c r="F1" s="69"/>
      <c r="G1" s="67" t="s">
        <v>51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151762</v>
      </c>
      <c r="D2" s="6">
        <f>SUM(D4:D93)</f>
        <v>13727.17</v>
      </c>
      <c r="E2" s="6">
        <f>C2-D2</f>
        <v>138034.82999999999</v>
      </c>
      <c r="F2" s="7">
        <f>IFERROR(E2/D2, 0)</f>
        <v>10.055592667680227</v>
      </c>
      <c r="G2" s="6">
        <f>SUM(G4:G93)</f>
        <v>0</v>
      </c>
      <c r="H2" s="8">
        <f>C2-G2</f>
        <v>151762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65231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55144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19937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34</v>
      </c>
      <c r="K6" s="58" t="s">
        <v>39</v>
      </c>
    </row>
    <row r="7" spans="1:12" ht="42.75" customHeight="1">
      <c r="A7" s="32" t="str">
        <v>AZ: Lake Havasu City - Public Works</v>
      </c>
      <c r="B7" s="33" t="str">
        <v>AZ</v>
      </c>
      <c r="C7" s="12">
        <v>11450</v>
      </c>
      <c r="D7" s="20">
        <v>13727.17</v>
      </c>
      <c r="E7" s="20">
        <f t="shared" si="0"/>
        <v>-2277.17</v>
      </c>
      <c r="F7" s="21">
        <f t="shared" si="3"/>
        <v>-0.1658877977033868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52</v>
      </c>
      <c r="K7" s="44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4976" xr:uid="{0D49DBB9-6BEA-426D-A930-549883E9D8E7}"/>
    <hyperlink ref="L4" r:id="rId2" display="https://us3.assetplanner.com/service_request?ID=092908" xr:uid="{2D78B7FC-88BD-4946-93F8-BBEC9AE4ECFA}"/>
    <hyperlink ref="K5" r:id="rId3" display="https://us3.assetplanner.com/service_request?ID=094976" xr:uid="{D9EE6373-D758-4588-BD85-2D59AB6155D6}"/>
    <hyperlink ref="K6" r:id="rId4" display="https://us3.assetplanner.com/service_request?ID=094976" xr:uid="{F2BF7041-2881-4C57-BBCE-EE4A4C3773D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H26" sqref="H26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4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53</v>
      </c>
      <c r="E1" s="69"/>
      <c r="F1" s="69"/>
      <c r="G1" s="67" t="s">
        <v>54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147170.19</v>
      </c>
      <c r="D2" s="6">
        <f>SUM(D4:D93)</f>
        <v>13633</v>
      </c>
      <c r="E2" s="6">
        <f>C2-D2</f>
        <v>133537.19</v>
      </c>
      <c r="F2" s="7">
        <f>IFERROR(E2/D2, 0)</f>
        <v>9.7951434020391694</v>
      </c>
      <c r="G2" s="6">
        <f>SUM(G4:G93)</f>
        <v>0</v>
      </c>
      <c r="H2" s="8">
        <f>C2-G2</f>
        <v>147170.19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63511.5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53265.5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19439.7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28.9">
      <c r="A7" s="32" t="str">
        <v>AZ: Lake Havasu City - Public Works</v>
      </c>
      <c r="B7" s="33" t="str">
        <v>AZ</v>
      </c>
      <c r="C7" s="12">
        <v>10953.49</v>
      </c>
      <c r="D7" s="20">
        <v>13633</v>
      </c>
      <c r="E7" s="20">
        <f t="shared" si="0"/>
        <v>-2679.51</v>
      </c>
      <c r="F7" s="21">
        <f t="shared" si="3"/>
        <v>-0.19654588131739165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56</v>
      </c>
      <c r="K7" s="45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4976" xr:uid="{FB9AB770-F092-4940-8046-648C586FB1FB}"/>
    <hyperlink ref="L4" r:id="rId2" display="https://us3.assetplanner.com/service_request?ID=092908" xr:uid="{E100B1D9-7316-49CE-8C92-9E82C2B17D55}"/>
    <hyperlink ref="K5" r:id="rId3" display="https://us3.assetplanner.com/service_request?ID=094976" xr:uid="{3AB46C4B-7216-4FA2-B4D3-5D973B7F1380}"/>
    <hyperlink ref="K6" r:id="rId4" display="https://us3.assetplanner.com/service_request?ID=094976" xr:uid="{8F25ECB1-8782-4E37-93C8-9FB1CC656F7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7" sqref="J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85546875" bestFit="1" customWidth="1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57</v>
      </c>
      <c r="E1" s="69"/>
      <c r="F1" s="69"/>
      <c r="G1" s="67" t="s">
        <v>58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127654</v>
      </c>
      <c r="D2" s="6">
        <f>SUM(D4:D93)</f>
        <v>10093</v>
      </c>
      <c r="E2" s="6">
        <f>C2-D2</f>
        <v>117561</v>
      </c>
      <c r="F2" s="7">
        <f>IFERROR(E2/D2, 0)</f>
        <v>11.647775686119093</v>
      </c>
      <c r="G2" s="6">
        <f>SUM(G4:G93)</f>
        <v>0</v>
      </c>
      <c r="H2" s="8">
        <f>C2-G2</f>
        <v>127654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47">
        <v>56060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46699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22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17007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72">
      <c r="A7" s="32" t="str">
        <v>AZ: Lake Havasu City - Public Works</v>
      </c>
      <c r="B7" s="33" t="str">
        <v>AZ</v>
      </c>
      <c r="C7" s="12">
        <v>7888</v>
      </c>
      <c r="D7" s="20">
        <v>10093</v>
      </c>
      <c r="E7" s="20">
        <f t="shared" si="0"/>
        <v>-2205</v>
      </c>
      <c r="F7" s="21">
        <f t="shared" si="3"/>
        <v>-0.21846824531853759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59</v>
      </c>
      <c r="K7" s="63" t="s">
        <v>60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094976" xr:uid="{7169C1C7-84F3-4077-806A-33CB30E3DBD5}"/>
    <hyperlink ref="L4" r:id="rId2" display="https://us3.assetplanner.com/service_request?ID=092908" xr:uid="{AB791F0D-0E4E-478C-B627-5BF994427E4A}"/>
    <hyperlink ref="K5" r:id="rId3" display="https://us3.assetplanner.com/service_request?ID=094976" xr:uid="{5C3456A3-6607-42B4-8EAC-5593ECC33513}"/>
    <hyperlink ref="K6" r:id="rId4" display="https://us3.assetplanner.com/service_request?ID=094976" xr:uid="{E5BFD451-F3EC-458E-AF7A-9909F9DF12D6}"/>
    <hyperlink ref="K7" r:id="rId5" display="https://us3.assetplanner.com/service_request?ID=106981" xr:uid="{DEBCCF30-7428-4822-9DA0-0404F1936AF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35"/>
  <sheetViews>
    <sheetView tabSelected="1" zoomScale="70" zoomScaleNormal="70" workbookViewId="0">
      <pane ySplit="2" topLeftCell="A3" activePane="bottomLeft" state="frozen"/>
      <selection pane="bottomLeft" activeCell="L1" sqref="L1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5703125" customWidth="1"/>
    <col min="11" max="11" width="20.5703125" bestFit="1" customWidth="1"/>
    <col min="12" max="12" width="8.85546875" style="64"/>
  </cols>
  <sheetData>
    <row r="1" spans="1:12" ht="19.5" customHeight="1">
      <c r="A1" s="68" t="str" cm="1">
        <f t="array" ref="A1">portfolio</f>
        <v>LX International America, Inc.</v>
      </c>
      <c r="B1" s="68"/>
      <c r="C1" s="68"/>
      <c r="D1" s="69" t="s">
        <v>61</v>
      </c>
      <c r="E1" s="69"/>
      <c r="F1" s="69"/>
      <c r="G1" s="67" t="s">
        <v>62</v>
      </c>
      <c r="H1" s="67"/>
      <c r="I1" s="67"/>
      <c r="J1" s="5"/>
      <c r="K1" s="5"/>
    </row>
    <row r="2" spans="1:12" ht="19.5" customHeight="1">
      <c r="A2" s="70" t="s">
        <v>2</v>
      </c>
      <c r="B2" s="70"/>
      <c r="C2" s="6">
        <f>SUM(C4:C93)</f>
        <v>111746.62</v>
      </c>
      <c r="D2" s="6">
        <f>SUM(D4:D93)</f>
        <v>2575.1799999999998</v>
      </c>
      <c r="E2" s="6">
        <f>C2-D2</f>
        <v>109171.44</v>
      </c>
      <c r="F2" s="7">
        <f>IFERROR(E2/D2, 0)</f>
        <v>42.393712284189846</v>
      </c>
      <c r="G2" s="6">
        <f>SUM(G4:G93)</f>
        <v>0</v>
      </c>
      <c r="H2" s="8">
        <f>C2-G2</f>
        <v>111746.62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49060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63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40355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 t="s">
        <v>63</v>
      </c>
      <c r="K5" s="63" t="s">
        <v>39</v>
      </c>
    </row>
    <row r="6" spans="1:12" ht="28.9">
      <c r="A6" s="30" t="str">
        <v>AZ: Lake Havasu City - City Hall</v>
      </c>
      <c r="B6" s="31" t="str">
        <v>AZ</v>
      </c>
      <c r="C6" s="26">
        <v>14662.5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63</v>
      </c>
      <c r="K6" s="58" t="s">
        <v>64</v>
      </c>
    </row>
    <row r="7" spans="1:12" ht="86.45">
      <c r="A7" s="32" t="str">
        <v>AZ: Lake Havasu City - Public Works</v>
      </c>
      <c r="B7" s="33" t="str">
        <v>AZ</v>
      </c>
      <c r="C7" s="12">
        <v>7669.12</v>
      </c>
      <c r="D7" s="20">
        <v>2575.1799999999998</v>
      </c>
      <c r="E7" s="20">
        <f t="shared" si="0"/>
        <v>5093.9400000000005</v>
      </c>
      <c r="F7" s="21">
        <f t="shared" si="3"/>
        <v>1.9780908519016149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65</v>
      </c>
      <c r="K7" s="63" t="s">
        <v>66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4" r:id="rId1" display="https://us3.assetplanner.com/service_request?ID=094976" xr:uid="{49E64659-C93F-4E5F-BDCA-40FC566100DC}"/>
    <hyperlink ref="L4" r:id="rId2" display="https://us3.assetplanner.com/service_request?ID=092908" xr:uid="{AD604AC4-5AFA-454A-A68C-7E89F37C7AA4}"/>
    <hyperlink ref="K5" r:id="rId3" display="https://us3.assetplanner.com/service_request?ID=094976" xr:uid="{9DB77F58-9180-4424-B9A9-ABFD9C58575C}"/>
    <hyperlink ref="K6" r:id="rId4" display="https://us3.assetplanner.com/service_request?ID=094976" xr:uid="{7BD61CF1-56D8-44CE-8494-AD4544486CBD}"/>
    <hyperlink ref="K7" r:id="rId5" display="https://us3.assetplanner.com/service_request?ID=106981" xr:uid="{291C5067-6CDE-4D44-A230-353E631B50CB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67</v>
      </c>
      <c r="E1" s="69"/>
      <c r="F1" s="69"/>
      <c r="G1" s="67" t="s">
        <v>68</v>
      </c>
      <c r="H1" s="67"/>
      <c r="I1" s="67"/>
      <c r="J1" s="5"/>
      <c r="K1" s="5"/>
    </row>
    <row r="2" spans="1:11" ht="19.5" customHeight="1">
      <c r="A2" s="70" t="s">
        <v>2</v>
      </c>
      <c r="B2" s="70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1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48"/>
      <c r="K5" s="44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4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>
      <c r="A11" s="23"/>
      <c r="B11" s="23"/>
      <c r="C11" s="23"/>
      <c r="F11" s="23"/>
      <c r="G11" s="23"/>
      <c r="H11" s="23"/>
      <c r="I11" s="23"/>
      <c r="J11" s="23"/>
      <c r="K11" s="23"/>
    </row>
    <row r="12" spans="1:11">
      <c r="A12" s="23"/>
      <c r="B12" s="23"/>
      <c r="F12" s="23"/>
      <c r="G12" s="23"/>
      <c r="H12" s="23"/>
      <c r="I12" s="23"/>
      <c r="J12" s="23"/>
      <c r="K12" s="23"/>
    </row>
    <row r="13" spans="1:11">
      <c r="A13" s="23"/>
      <c r="B13" s="23"/>
      <c r="F13" s="23"/>
      <c r="G13" s="23"/>
      <c r="H13" s="23"/>
      <c r="I13" s="23"/>
      <c r="J13" s="23"/>
      <c r="K13" s="23"/>
    </row>
    <row r="14" spans="1:11" ht="14.45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H25" s="23"/>
      <c r="I25" s="24"/>
      <c r="J25" s="23"/>
      <c r="K25" s="23"/>
    </row>
    <row r="26" spans="1:11" ht="14.4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4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4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4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4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4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4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4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4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4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4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4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4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4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4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69</v>
      </c>
      <c r="E1" s="69"/>
      <c r="F1" s="69"/>
      <c r="G1" s="67" t="s">
        <v>70</v>
      </c>
      <c r="H1" s="67"/>
      <c r="I1" s="67"/>
      <c r="J1" s="5"/>
      <c r="K1" s="5"/>
    </row>
    <row r="2" spans="1:11" ht="19.5" customHeight="1">
      <c r="A2" s="70" t="s">
        <v>2</v>
      </c>
      <c r="B2" s="70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8" t="str" cm="1">
        <f t="array" ref="A1">portfolio</f>
        <v>LX International America, Inc.</v>
      </c>
      <c r="B1" s="68"/>
      <c r="C1" s="68"/>
      <c r="D1" s="69" t="s">
        <v>71</v>
      </c>
      <c r="E1" s="69"/>
      <c r="F1" s="69"/>
      <c r="G1" s="67" t="s">
        <v>72</v>
      </c>
      <c r="H1" s="67"/>
      <c r="I1" s="67"/>
      <c r="J1" s="5"/>
      <c r="K1" s="5"/>
    </row>
    <row r="2" spans="1:11" ht="19.5" customHeight="1">
      <c r="A2" s="70" t="s">
        <v>2</v>
      </c>
      <c r="B2" s="70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73</v>
      </c>
      <c r="B1" t="s">
        <v>74</v>
      </c>
    </row>
    <row r="3" spans="1:7" ht="13.15">
      <c r="A3" t="s">
        <v>75</v>
      </c>
      <c r="B3" t="s">
        <v>3</v>
      </c>
      <c r="C3" t="s">
        <v>4</v>
      </c>
      <c r="D3" t="s">
        <v>76</v>
      </c>
      <c r="E3" s="2" t="s">
        <v>77</v>
      </c>
    </row>
    <row r="4" spans="1:7" ht="14.45">
      <c r="A4" t="s">
        <v>78</v>
      </c>
      <c r="B4" t="s">
        <v>78</v>
      </c>
      <c r="C4" s="4" t="s">
        <v>79</v>
      </c>
      <c r="G4" s="3"/>
    </row>
    <row r="5" spans="1:7" ht="14.45">
      <c r="A5" t="s">
        <v>80</v>
      </c>
      <c r="B5" t="s">
        <v>80</v>
      </c>
      <c r="C5" s="4" t="s">
        <v>79</v>
      </c>
      <c r="G5" s="3"/>
    </row>
    <row r="6" spans="1:7" ht="14.45">
      <c r="A6" t="s">
        <v>81</v>
      </c>
      <c r="B6" t="s">
        <v>81</v>
      </c>
      <c r="C6" s="4" t="s">
        <v>79</v>
      </c>
      <c r="G6" s="3"/>
    </row>
    <row r="7" spans="1:7" ht="12.75" customHeight="1">
      <c r="A7" t="s">
        <v>82</v>
      </c>
      <c r="B7" t="s">
        <v>82</v>
      </c>
      <c r="C7" s="4" t="s">
        <v>79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5B65BA57-9503-4E7A-90F9-9B724C4ACD0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Shank, Amy</cp:lastModifiedBy>
  <cp:revision/>
  <dcterms:created xsi:type="dcterms:W3CDTF">2021-01-01T16:39:53Z</dcterms:created>
  <dcterms:modified xsi:type="dcterms:W3CDTF">2025-11-03T18:12:03Z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