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FDB6C516-F345-423F-A1B6-666FCE0745AD}" xr6:coauthVersionLast="47" xr6:coauthVersionMax="47" xr10:uidLastSave="{00000000-0000-0000-0000-000000000000}"/>
  <bookViews>
    <workbookView xWindow="43080" yWindow="-120" windowWidth="29040" windowHeight="15720" tabRatio="866" activeTab="4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33" l="1"/>
  <c r="H4" i="32"/>
  <c r="H4" i="31"/>
  <c r="H4" i="28"/>
  <c r="H4" i="27"/>
  <c r="H4" i="26"/>
  <c r="H4" i="19"/>
  <c r="I4" i="19" s="1"/>
  <c r="H4" i="20"/>
  <c r="I4" i="20" s="1"/>
  <c r="H4" i="21"/>
  <c r="I4" i="21" s="1"/>
  <c r="H4" i="4"/>
  <c r="H4" i="3"/>
  <c r="H4" i="72"/>
  <c r="G4" i="30"/>
  <c r="G4" i="29"/>
  <c r="G4" i="18"/>
  <c r="G2" i="18" s="1"/>
  <c r="I4" i="4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I4" i="3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I4" i="33"/>
  <c r="E4" i="33"/>
  <c r="F4" i="33" s="1"/>
  <c r="G2" i="33"/>
  <c r="D2" i="33"/>
  <c r="C2" i="33"/>
  <c r="A1" i="33" a="1"/>
  <c r="A1" i="33" s="1"/>
  <c r="I4" i="32"/>
  <c r="E4" i="32"/>
  <c r="F4" i="32" s="1"/>
  <c r="G2" i="32"/>
  <c r="D2" i="32"/>
  <c r="C2" i="32"/>
  <c r="A1" i="32" a="1"/>
  <c r="A1" i="32" s="1"/>
  <c r="I4" i="31"/>
  <c r="E4" i="31"/>
  <c r="F4" i="31" s="1"/>
  <c r="G2" i="31"/>
  <c r="D2" i="31"/>
  <c r="C2" i="31"/>
  <c r="A1" i="31" a="1"/>
  <c r="A1" i="31" s="1"/>
  <c r="I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I4" i="27"/>
  <c r="E4" i="27"/>
  <c r="F4" i="27" s="1"/>
  <c r="G2" i="27"/>
  <c r="D2" i="27"/>
  <c r="C2" i="27"/>
  <c r="A1" i="27" a="1"/>
  <c r="A1" i="27" s="1"/>
  <c r="I4" i="26"/>
  <c r="E4" i="26"/>
  <c r="F4" i="26" s="1"/>
  <c r="G2" i="26"/>
  <c r="D2" i="26"/>
  <c r="C2" i="26"/>
  <c r="A1" i="26" a="1"/>
  <c r="A1" i="26" s="1"/>
  <c r="E4" i="19"/>
  <c r="F4" i="19" s="1"/>
  <c r="G2" i="19"/>
  <c r="D2" i="19"/>
  <c r="C2" i="19"/>
  <c r="A1" i="19" a="1"/>
  <c r="A1" i="19" s="1"/>
  <c r="E4" i="20"/>
  <c r="F4" i="20" s="1"/>
  <c r="G2" i="20"/>
  <c r="D2" i="20"/>
  <c r="C2" i="20"/>
  <c r="A1" i="20" a="1"/>
  <c r="A1" i="20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I4" i="72"/>
  <c r="G2" i="72"/>
  <c r="D2" i="72"/>
  <c r="C2" i="72"/>
  <c r="J2" i="72" s="1"/>
  <c r="A1" i="72" a="1"/>
  <c r="A1" i="72" s="1"/>
  <c r="G4" i="34" l="1"/>
  <c r="E4" i="18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<sst xmlns="http://schemas.openxmlformats.org/spreadsheetml/2006/main" count="284" uniqueCount="75">
  <si>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</si>
  <si>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</si>
  <si>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</si>
  <si>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</si>
  <si>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</si>
  <si>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</si>
  <si>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</si>
  <si>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</si>
  <si>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</si>
  <si>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</si>
  <si>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</si>
  <si>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</si>
  <si>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</si>
  <si>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</si>
  <si>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</si>
  <si>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</si>
  <si>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</si>
  <si>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</si>
  <si>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</si>
  <si>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</si>
  <si>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</si>
  <si>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</si>
  <si>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Weather station reporting erraneous values since 03/12/2024.</t>
  </si>
  <si>
    <t>1. SR081787</t>
  </si>
  <si>
    <t>February Actual v. Expected</t>
  </si>
  <si>
    <t>February Actual v. Forecasted</t>
  </si>
  <si>
    <t>N/A</t>
  </si>
  <si>
    <t>1.Inverter 16 went offline on 02/01 and came back online at 7:15 AM on 02/02. However, the inverter started production late at 2:25 PM on 02/04. It tripped offline again at 12:35 PM on 02/19. On 02/20, upon the technician's arrival, several faults were identified: "Isolation Error, grid voltage fault, and protect 0260." The inverter was brought back online on 02/20.
2.Inverter 16 was offline on 02/25 and back online at 02:35PM on same day.
3.Inverter 12 was taken offline from 09:15AM to 09:55AM on 02/26 to replace damaged screen
4. Weather station reporting erraneous values since 03/12/2024.</t>
  </si>
  <si>
    <t>1.SR096218
2.SR097773
3.SR097591
4. SR081787</t>
  </si>
  <si>
    <t>SR097773</t>
  </si>
  <si>
    <t>SR097591</t>
  </si>
  <si>
    <t>SR081787</t>
  </si>
  <si>
    <t>March Actual v. Expected</t>
  </si>
  <si>
    <t>March Actual v. Forecasted</t>
  </si>
  <si>
    <t>April Actual v. Expected</t>
  </si>
  <si>
    <t>April Actual v. Forecasted</t>
  </si>
  <si>
    <t>1. Inverter 16 was offline from 07:00 on 04/07 to 17:00 on 04/09; issue self-resolved.
2. Inverter 10 was offline on 04/21 and back online at 17:30 the same day, it again offline from 04/23 and back online on 04/27, and it was again offline on 04/29 and back online at 10:40 on 04/30.
3.  Inverter 12 went offline on 04/01, back online on 04/02, then offline again from 04/03 to 06:25 on 04/19. It tripped on 04/20, recovered on 04/23, late started on 04/24, and went offline again on 04/25, remaining down for the rest of the month. Parts are needed to restore operation.
4. Weather station reporting erraneous values since 03/12/2024.</t>
  </si>
  <si>
    <t>1. SR099479
2. SR100077
3. SR097591, PM4612, SR098351
4. SR081787</t>
  </si>
  <si>
    <t>SR100077</t>
  </si>
  <si>
    <t>SR098351</t>
  </si>
  <si>
    <t>May Actual v. Expected</t>
  </si>
  <si>
    <t>May Actual v. Forecasted</t>
  </si>
  <si>
    <t>1. Inverter 12 was offline from 04/25 and came back online at 11:35 on 05/20; issue self-resolved.
2. Invertre 10 is offline from 05/01 and back online at 08:15 on 05/06, it again offline from 05/07 and back online on 05/10; issue self-resolved. 
3. Weather station reporting erraneous values since 03/12/2024.</t>
  </si>
  <si>
    <t>1. SR098351
2. SR100077 
3. SR081787</t>
  </si>
  <si>
    <t>June Actual v. Expected</t>
  </si>
  <si>
    <t>June Actual v. Forecasted</t>
  </si>
  <si>
    <t>1.Weather station reporting erraneous values since 03/12/2024.</t>
  </si>
  <si>
    <t>1.	SR081787</t>
  </si>
  <si>
    <t>July Actual v. Expected</t>
  </si>
  <si>
    <t>July Actual v. Forecasted</t>
  </si>
  <si>
    <t>1. Weather station reporting erraneous values since 03/12/2024.
2. Inverter 1 has been operating with one string down since 07/08/25.</t>
  </si>
  <si>
    <t>1. SR081787
2. SR105558</t>
  </si>
  <si>
    <t>August Actual v. Expected</t>
  </si>
  <si>
    <t>August Actual v. Forecasted</t>
  </si>
  <si>
    <t>September Actual v. Expected</t>
  </si>
  <si>
    <t>September Actual v. Forecasted</t>
  </si>
  <si>
    <t xml:space="preserve">                   N/A</t>
  </si>
  <si>
    <t>1. Weather station reporting erraneous values since 03/12/2024.
2. Inverter 1 has been operating with one string down since 07/08/25.
3. Inverter 6 was offline on most of the days throughout the month.</t>
  </si>
  <si>
    <t>1. SR081787
2. SR105558
3. SR105141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</si>
  <si>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</si>
  <si>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</si>
  <si>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</si>
  <si>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</si>
  <si>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</si>
  <si>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</si>
  <si>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</si>
  <si>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MA: Norton - Wheaton College</t>
  </si>
  <si>
    <t>Site DAS Name</t>
  </si>
  <si>
    <t>Update</t>
  </si>
  <si>
    <t>DAS</t>
  </si>
  <si>
    <t>Wheaton College</t>
  </si>
  <si>
    <t>MA</t>
  </si>
  <si>
    <t>A</t>
  </si>
  <si>
    <t>Solrenview</t>
  </si>
  <si>
    <t>SR105558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</si>
</sst>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u/>
      <sz val="10"/>
      <color theme="10"/>
      <name val="Arial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6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35" fillId="46" borderId="0" xfId="0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35" fillId="47" borderId="0" xfId="0" applyNumberFormat="1" applyFont="1" applyFill="1" applyAlignment="1">
      <alignment vertical="center"/>
    </xf>
    <xf numFmtId="9" fontId="30" fillId="38" borderId="12" xfId="2" applyFont="1" applyFill="1" applyBorder="1" applyAlignment="1">
      <alignment horizontal="left" vertical="top" wrapText="1"/>
    </xf>
    <xf numFmtId="0" fontId="34" fillId="40" borderId="0" xfId="0" applyFont="1" applyFill="1" applyAlignment="1">
      <alignment horizontal="left" vertical="center"/>
    </xf>
    <xf numFmtId="3" fontId="30" fillId="4" borderId="0" xfId="1" applyNumberFormat="1" applyFont="1" applyFill="1" applyBorder="1" applyAlignment="1">
      <alignment horizontal="right" vertical="center"/>
    </xf>
    <xf numFmtId="0" fontId="34" fillId="40" borderId="0" xfId="0" applyFont="1" applyFill="1" applyAlignment="1">
      <alignment horizontal="center" vertical="center"/>
    </xf>
    <xf numFmtId="49" fontId="36" fillId="38" borderId="0" xfId="45" applyNumberFormat="1" applyFill="1" applyBorder="1" applyAlignment="1">
      <alignment vertical="top" wrapText="1"/>
    </xf>
    <xf numFmtId="0" fontId="0" fillId="0" borderId="0" xfId="0" applyAlignment="1">
      <alignment horizontal="left" vertical="top"/>
    </xf>
    <xf numFmtId="0" fontId="36" fillId="0" borderId="0" xfId="45" applyAlignment="1">
      <alignment horizontal="left" vertical="top"/>
    </xf>
    <xf numFmtId="9" fontId="36" fillId="38" borderId="12" xfId="45" applyNumberForma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36" fillId="0" borderId="0" xfId="45" applyAlignment="1">
      <alignment vertical="top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38" dataCellStyle="Normal 2"/>
    <tableColumn id="1" xr3:uid="{9A753695-C18C-437C-AD9C-C2CE5C1A806E}" name="Site" dataDxfId="37" dataCellStyle="Normal 2"/>
    <tableColumn id="2" xr3:uid="{250F229D-34D2-4043-BE8F-6D9C210E223F}" name="State" dataDxfId="36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81787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7591" TargetMode="External"/><Relationship Id="rId2" Type="http://schemas.openxmlformats.org/officeDocument/2006/relationships/hyperlink" Target="https://us3.assetplanner.com/service_request?ID=097773" TargetMode="External"/><Relationship Id="rId1" Type="http://schemas.openxmlformats.org/officeDocument/2006/relationships/hyperlink" Target="https://us3.assetplanner.com/service_request?ID=096218" TargetMode="External"/><Relationship Id="rId4" Type="http://schemas.openxmlformats.org/officeDocument/2006/relationships/hyperlink" Target="https://us3.assetplanner.com/service_request?ID=081787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81787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7591" TargetMode="External"/><Relationship Id="rId2" Type="http://schemas.openxmlformats.org/officeDocument/2006/relationships/hyperlink" Target="https://us3.assetplanner.com/service_request?ID=100077" TargetMode="External"/><Relationship Id="rId1" Type="http://schemas.openxmlformats.org/officeDocument/2006/relationships/hyperlink" Target="https://us3.assetplanner.com/service_request?ID=099479" TargetMode="External"/><Relationship Id="rId5" Type="http://schemas.openxmlformats.org/officeDocument/2006/relationships/hyperlink" Target="https://us3.assetplanner.com/service_request?ID=081787" TargetMode="External"/><Relationship Id="rId4" Type="http://schemas.openxmlformats.org/officeDocument/2006/relationships/hyperlink" Target="https://us3.assetplanner.com/service_request?ID=098351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81787" TargetMode="External"/><Relationship Id="rId2" Type="http://schemas.openxmlformats.org/officeDocument/2006/relationships/hyperlink" Target="https://us3.assetplanner.com/service_request?ID=100077" TargetMode="External"/><Relationship Id="rId1" Type="http://schemas.openxmlformats.org/officeDocument/2006/relationships/hyperlink" Target="https://us3.assetplanner.com/service_request?ID=098351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81787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105558" TargetMode="External"/><Relationship Id="rId1" Type="http://schemas.openxmlformats.org/officeDocument/2006/relationships/hyperlink" Target="https://us3.assetplanner.com/service_request?ID=081787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G14" sqref="G14"/>
    </sheetView>
  </sheetViews>
  <sheetFormatPr defaultRowHeight="12.75" x14ac:dyDescent="0.35"/>
  <cols>
    <col min="1" max="1" width="35.86328125" bestFit="1" customWidth="1"/>
    <col min="2" max="2" width="8.398437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</cols>
  <sheetData>
    <row r="1" spans="1:9" ht="19.5" customHeight="1" x14ac:dyDescent="0.35">
      <c r="A1" s="62" t="str" cm="1">
        <f t="array" ref="A1">portfolio</f>
        <v>MA: Norton - Wheaton College</v>
      </c>
      <c r="B1" s="62"/>
      <c r="C1" s="62"/>
      <c r="D1" s="63" t="s">
        <v>0</v>
      </c>
      <c r="E1" s="63"/>
      <c r="F1" s="63"/>
      <c r="G1" s="61" t="s">
        <v>1</v>
      </c>
      <c r="H1" s="61"/>
      <c r="I1" s="61"/>
    </row>
    <row r="2" spans="1:9" ht="19.5" customHeight="1" x14ac:dyDescent="0.35">
      <c r="A2" s="64" t="s">
        <v>2</v>
      </c>
      <c r="B2" s="64"/>
      <c r="C2" s="5">
        <f>SUM(C4:C79)</f>
        <v>321118</v>
      </c>
      <c r="D2" s="5">
        <f>SUM(D4:D79)</f>
        <v>0</v>
      </c>
      <c r="E2" s="5">
        <f>C2-D2</f>
        <v>321118</v>
      </c>
      <c r="F2" s="6">
        <f>IFERROR(E2/D2, 0)</f>
        <v>0</v>
      </c>
      <c r="G2" s="5">
        <f>SUM(G4:G79)</f>
        <v>0</v>
      </c>
      <c r="H2" s="7">
        <f>C2-G2</f>
        <v>321118</v>
      </c>
      <c r="I2" s="6">
        <f>IFERROR(H2/G2, 0)</f>
        <v>0</v>
      </c>
    </row>
    <row r="3" spans="1:9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 x14ac:dyDescent="0.35">
      <c r="A4" s="11" t="str" cm="1">
        <f t="array" ref="A4">Sites[Site]</f>
        <v>MA: Norton - Wheaton College</v>
      </c>
      <c r="B4" s="9" t="str" cm="1">
        <f t="array" ref="B4">Sites[State]</f>
        <v>MA</v>
      </c>
      <c r="C4" s="23">
        <f>SUM('1st Qtr'!C4, '2nd Qtr'!C4, '3rd Qtr'!C4, '4th Qtr'!C4)</f>
        <v>321118</v>
      </c>
      <c r="D4" s="12">
        <f>SUM('1st Qtr'!D4, '2nd Qtr'!D4, '3rd Qtr'!D4, '4th Qtr'!D4)</f>
        <v>0</v>
      </c>
      <c r="E4" s="12">
        <f>IF(AND(ISNUMBER(C4),ISNUMBER(D4)), C4-D4, "")</f>
        <v>321118</v>
      </c>
      <c r="F4" s="13" t="str">
        <f>IFERROR(E4/D4, "")</f>
        <v/>
      </c>
      <c r="G4" s="14">
        <f>SUM('1st Qtr'!G4, '2nd Qtr'!G4, '3rd Qtr'!G4, '4th Qtr'!G4)</f>
        <v>0</v>
      </c>
      <c r="H4" s="14">
        <f>SUM('1st Qtr'!H4, '2nd Qtr'!H4, '3rd Qtr'!H4, '4th Qtr'!H4)</f>
        <v>13777</v>
      </c>
      <c r="I4" s="15" t="str">
        <f>IFERROR(H4/G4, "")</f>
        <v/>
      </c>
    </row>
    <row r="5" spans="1:9" ht="13.15" x14ac:dyDescent="0.4">
      <c r="A5" s="20"/>
      <c r="B5" s="20"/>
      <c r="C5" s="20"/>
      <c r="D5" s="20"/>
      <c r="E5" s="20"/>
      <c r="F5" s="20"/>
      <c r="G5" s="20"/>
      <c r="H5" s="20"/>
      <c r="I5" s="20"/>
    </row>
    <row r="6" spans="1:9" ht="13.15" x14ac:dyDescent="0.4">
      <c r="A6" s="20"/>
      <c r="B6" s="20"/>
      <c r="C6" s="20"/>
      <c r="D6" s="20"/>
      <c r="E6" s="20"/>
      <c r="F6" s="20"/>
      <c r="G6" s="20"/>
      <c r="H6" s="20"/>
      <c r="I6" s="20"/>
    </row>
    <row r="7" spans="1:9" ht="13.15" x14ac:dyDescent="0.4">
      <c r="A7" s="20"/>
      <c r="B7" s="20"/>
      <c r="C7" s="20"/>
      <c r="D7" s="20"/>
      <c r="E7" s="20"/>
      <c r="F7" s="20"/>
      <c r="G7" s="20"/>
      <c r="H7" s="20"/>
      <c r="I7" s="20"/>
    </row>
    <row r="8" spans="1:9" ht="13.15" x14ac:dyDescent="0.4">
      <c r="A8" s="20"/>
      <c r="B8" s="20"/>
      <c r="C8" s="20"/>
      <c r="D8" s="20"/>
      <c r="E8" s="20"/>
      <c r="F8" s="20"/>
      <c r="G8" s="20"/>
      <c r="H8" s="20"/>
      <c r="I8" s="20"/>
    </row>
    <row r="9" spans="1:9" ht="13.15" x14ac:dyDescent="0.4">
      <c r="A9" s="20"/>
      <c r="B9" s="20"/>
      <c r="C9" s="20"/>
      <c r="D9" s="20"/>
      <c r="E9" s="20"/>
      <c r="F9" s="20"/>
      <c r="G9" s="20"/>
      <c r="H9" s="20"/>
      <c r="I9" s="20"/>
    </row>
    <row r="10" spans="1:9" ht="13.15" x14ac:dyDescent="0.4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 x14ac:dyDescent="0.4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 x14ac:dyDescent="0.4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 x14ac:dyDescent="0.4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 x14ac:dyDescent="0.4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 x14ac:dyDescent="0.4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 x14ac:dyDescent="0.4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 x14ac:dyDescent="0.4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 x14ac:dyDescent="0.4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 x14ac:dyDescent="0.4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 x14ac:dyDescent="0.4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 x14ac:dyDescent="0.4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 x14ac:dyDescent="0.4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 x14ac:dyDescent="0.4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 x14ac:dyDescent="0.4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 x14ac:dyDescent="0.4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 x14ac:dyDescent="0.4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 x14ac:dyDescent="0.4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 x14ac:dyDescent="0.4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 x14ac:dyDescent="0.4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 x14ac:dyDescent="0.4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 x14ac:dyDescent="0.4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 x14ac:dyDescent="0.4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 x14ac:dyDescent="0.4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 x14ac:dyDescent="0.4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 x14ac:dyDescent="0.4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 x14ac:dyDescent="0.4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 x14ac:dyDescent="0.4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 x14ac:dyDescent="0.4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 x14ac:dyDescent="0.4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 x14ac:dyDescent="0.4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 x14ac:dyDescent="0.4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 x14ac:dyDescent="0.4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 x14ac:dyDescent="0.4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 x14ac:dyDescent="0.4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 x14ac:dyDescent="0.4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 x14ac:dyDescent="0.4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 x14ac:dyDescent="0.4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 x14ac:dyDescent="0.4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 x14ac:dyDescent="0.4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 x14ac:dyDescent="0.4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 x14ac:dyDescent="0.4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 x14ac:dyDescent="0.4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 x14ac:dyDescent="0.4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 x14ac:dyDescent="0.4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 x14ac:dyDescent="0.4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 x14ac:dyDescent="0.4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 x14ac:dyDescent="0.4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 x14ac:dyDescent="0.4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 x14ac:dyDescent="0.4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 x14ac:dyDescent="0.4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 x14ac:dyDescent="0.4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 x14ac:dyDescent="0.4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 x14ac:dyDescent="0.4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 x14ac:dyDescent="0.4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 x14ac:dyDescent="0.4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 x14ac:dyDescent="0.4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 x14ac:dyDescent="0.4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 x14ac:dyDescent="0.4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 x14ac:dyDescent="0.4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 x14ac:dyDescent="0.4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 x14ac:dyDescent="0.4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 x14ac:dyDescent="0.4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 x14ac:dyDescent="0.4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 x14ac:dyDescent="0.4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 x14ac:dyDescent="0.4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 x14ac:dyDescent="0.4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 x14ac:dyDescent="0.4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 x14ac:dyDescent="0.4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 x14ac:dyDescent="0.4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 x14ac:dyDescent="0.4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 x14ac:dyDescent="0.4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 x14ac:dyDescent="0.4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 x14ac:dyDescent="0.4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 x14ac:dyDescent="0.4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 x14ac:dyDescent="0.4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 x14ac:dyDescent="0.4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 x14ac:dyDescent="0.4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 x14ac:dyDescent="0.4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 x14ac:dyDescent="0.4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 x14ac:dyDescent="0.4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 x14ac:dyDescent="0.4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 x14ac:dyDescent="0.4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 x14ac:dyDescent="0.4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 x14ac:dyDescent="0.4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 x14ac:dyDescent="0.4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 x14ac:dyDescent="0.4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 x14ac:dyDescent="0.4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 x14ac:dyDescent="0.4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 x14ac:dyDescent="0.4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 x14ac:dyDescent="0.4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 x14ac:dyDescent="0.4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 x14ac:dyDescent="0.4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 x14ac:dyDescent="0.4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 x14ac:dyDescent="0.4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 x14ac:dyDescent="0.4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 x14ac:dyDescent="0.4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 x14ac:dyDescent="0.4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 x14ac:dyDescent="0.4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 x14ac:dyDescent="0.4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 x14ac:dyDescent="0.4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 x14ac:dyDescent="0.4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 x14ac:dyDescent="0.4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 x14ac:dyDescent="0.4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 x14ac:dyDescent="0.4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 x14ac:dyDescent="0.4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 x14ac:dyDescent="0.4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 x14ac:dyDescent="0.4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 x14ac:dyDescent="0.4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 x14ac:dyDescent="0.4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 x14ac:dyDescent="0.4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 x14ac:dyDescent="0.4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 x14ac:dyDescent="0.4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 x14ac:dyDescent="0.4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 x14ac:dyDescent="0.4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 x14ac:dyDescent="0.4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 x14ac:dyDescent="0.4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 x14ac:dyDescent="0.4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 x14ac:dyDescent="0.4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 x14ac:dyDescent="0.4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 x14ac:dyDescent="0.4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 x14ac:dyDescent="0.4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 x14ac:dyDescent="0.4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 x14ac:dyDescent="0.4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 x14ac:dyDescent="0.4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 x14ac:dyDescent="0.4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 x14ac:dyDescent="0.4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 x14ac:dyDescent="0.4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 x14ac:dyDescent="0.4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 x14ac:dyDescent="0.4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 x14ac:dyDescent="0.4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 x14ac:dyDescent="0.4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 x14ac:dyDescent="0.4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 x14ac:dyDescent="0.4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 x14ac:dyDescent="0.4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 x14ac:dyDescent="0.4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 x14ac:dyDescent="0.4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 x14ac:dyDescent="0.4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 x14ac:dyDescent="0.4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 x14ac:dyDescent="0.4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 x14ac:dyDescent="0.4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 x14ac:dyDescent="0.4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 x14ac:dyDescent="0.4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 x14ac:dyDescent="0.4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 x14ac:dyDescent="0.4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 x14ac:dyDescent="0.4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 x14ac:dyDescent="0.4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 x14ac:dyDescent="0.4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 x14ac:dyDescent="0.4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 x14ac:dyDescent="0.4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 x14ac:dyDescent="0.4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 x14ac:dyDescent="0.4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 x14ac:dyDescent="0.4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 x14ac:dyDescent="0.4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 x14ac:dyDescent="0.4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 x14ac:dyDescent="0.4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 x14ac:dyDescent="0.4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 x14ac:dyDescent="0.4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 x14ac:dyDescent="0.4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 x14ac:dyDescent="0.4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 x14ac:dyDescent="0.4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 x14ac:dyDescent="0.4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 x14ac:dyDescent="0.4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 x14ac:dyDescent="0.4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 x14ac:dyDescent="0.4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 x14ac:dyDescent="0.4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 x14ac:dyDescent="0.4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 x14ac:dyDescent="0.4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 x14ac:dyDescent="0.4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 x14ac:dyDescent="0.4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 x14ac:dyDescent="0.4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 x14ac:dyDescent="0.4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 x14ac:dyDescent="0.4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 x14ac:dyDescent="0.4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 x14ac:dyDescent="0.4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 x14ac:dyDescent="0.4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 x14ac:dyDescent="0.4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 x14ac:dyDescent="0.4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 x14ac:dyDescent="0.4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 x14ac:dyDescent="0.4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 x14ac:dyDescent="0.4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 x14ac:dyDescent="0.4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 x14ac:dyDescent="0.4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 x14ac:dyDescent="0.4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 x14ac:dyDescent="0.4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 x14ac:dyDescent="0.4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 x14ac:dyDescent="0.4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 x14ac:dyDescent="0.4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 x14ac:dyDescent="0.4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 x14ac:dyDescent="0.4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 x14ac:dyDescent="0.4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 x14ac:dyDescent="0.4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 x14ac:dyDescent="0.4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 x14ac:dyDescent="0.4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 x14ac:dyDescent="0.4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 x14ac:dyDescent="0.4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 x14ac:dyDescent="0.4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 x14ac:dyDescent="0.4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 x14ac:dyDescent="0.4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 x14ac:dyDescent="0.4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 x14ac:dyDescent="0.4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 x14ac:dyDescent="0.4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 x14ac:dyDescent="0.4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 x14ac:dyDescent="0.4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 x14ac:dyDescent="0.4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 x14ac:dyDescent="0.4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 x14ac:dyDescent="0.4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 x14ac:dyDescent="0.4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 x14ac:dyDescent="0.4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 x14ac:dyDescent="0.4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 x14ac:dyDescent="0.4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 x14ac:dyDescent="0.4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 x14ac:dyDescent="0.4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 x14ac:dyDescent="0.4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 x14ac:dyDescent="0.4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 x14ac:dyDescent="0.4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 x14ac:dyDescent="0.4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 x14ac:dyDescent="0.4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 x14ac:dyDescent="0.4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 x14ac:dyDescent="0.4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 x14ac:dyDescent="0.4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 x14ac:dyDescent="0.4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 x14ac:dyDescent="0.4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 x14ac:dyDescent="0.4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 x14ac:dyDescent="0.4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 x14ac:dyDescent="0.4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 x14ac:dyDescent="0.4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 x14ac:dyDescent="0.4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 x14ac:dyDescent="0.4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 x14ac:dyDescent="0.4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 x14ac:dyDescent="0.4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 x14ac:dyDescent="0.4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 x14ac:dyDescent="0.4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 x14ac:dyDescent="0.4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 x14ac:dyDescent="0.4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 x14ac:dyDescent="0.4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 x14ac:dyDescent="0.4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 x14ac:dyDescent="0.4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 x14ac:dyDescent="0.4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 x14ac:dyDescent="0.4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 x14ac:dyDescent="0.4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 x14ac:dyDescent="0.4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 x14ac:dyDescent="0.4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 x14ac:dyDescent="0.4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 x14ac:dyDescent="0.4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 x14ac:dyDescent="0.4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 x14ac:dyDescent="0.4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 x14ac:dyDescent="0.4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 x14ac:dyDescent="0.4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 x14ac:dyDescent="0.4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 x14ac:dyDescent="0.4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 x14ac:dyDescent="0.4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 x14ac:dyDescent="0.4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 x14ac:dyDescent="0.4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 x14ac:dyDescent="0.4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 x14ac:dyDescent="0.4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 x14ac:dyDescent="0.4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 x14ac:dyDescent="0.4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 x14ac:dyDescent="0.4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 x14ac:dyDescent="0.4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 x14ac:dyDescent="0.4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 x14ac:dyDescent="0.4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 x14ac:dyDescent="0.4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 x14ac:dyDescent="0.4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 x14ac:dyDescent="0.4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 x14ac:dyDescent="0.4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 x14ac:dyDescent="0.4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 x14ac:dyDescent="0.4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 x14ac:dyDescent="0.4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 x14ac:dyDescent="0.4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 x14ac:dyDescent="0.4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 x14ac:dyDescent="0.4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 x14ac:dyDescent="0.4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 x14ac:dyDescent="0.4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 x14ac:dyDescent="0.4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 x14ac:dyDescent="0.4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 x14ac:dyDescent="0.4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 x14ac:dyDescent="0.4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 x14ac:dyDescent="0.4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 x14ac:dyDescent="0.4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 x14ac:dyDescent="0.4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 x14ac:dyDescent="0.4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 x14ac:dyDescent="0.4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 x14ac:dyDescent="0.4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 x14ac:dyDescent="0.4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 x14ac:dyDescent="0.4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 x14ac:dyDescent="0.4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 x14ac:dyDescent="0.4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 x14ac:dyDescent="0.4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 x14ac:dyDescent="0.4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 x14ac:dyDescent="0.4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 x14ac:dyDescent="0.4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 x14ac:dyDescent="0.4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 x14ac:dyDescent="0.4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 x14ac:dyDescent="0.4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 x14ac:dyDescent="0.4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 x14ac:dyDescent="0.4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 x14ac:dyDescent="0.4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 x14ac:dyDescent="0.4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 x14ac:dyDescent="0.4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 x14ac:dyDescent="0.4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 x14ac:dyDescent="0.4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 x14ac:dyDescent="0.4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 x14ac:dyDescent="0.4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 x14ac:dyDescent="0.4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 x14ac:dyDescent="0.4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 x14ac:dyDescent="0.4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 x14ac:dyDescent="0.4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 x14ac:dyDescent="0.4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 x14ac:dyDescent="0.4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 x14ac:dyDescent="0.4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 x14ac:dyDescent="0.4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5" priority="1" stopIfTrue="1" operator="lessThanOrEqual">
      <formula>-0.1</formula>
    </cfRule>
    <cfRule type="expression" dxfId="34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F19" sqref="F19"/>
    </sheetView>
  </sheetViews>
  <sheetFormatPr defaultRowHeight="12.75" x14ac:dyDescent="0.35"/>
  <cols>
    <col min="1" max="1" width="35.86328125" bestFit="1" customWidth="1"/>
    <col min="2" max="2" width="8.398437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</cols>
  <sheetData>
    <row r="1" spans="1:9" ht="19.5" customHeight="1" x14ac:dyDescent="0.35">
      <c r="A1" s="62" t="str" cm="1">
        <f t="array" ref="A1">portfolio</f>
        <v>MA: Norton - Wheaton College</v>
      </c>
      <c r="B1" s="62"/>
      <c r="C1" s="62"/>
      <c r="D1" s="63" t="s">
        <v>10</v>
      </c>
      <c r="E1" s="63"/>
      <c r="F1" s="63"/>
      <c r="G1" s="61" t="s">
        <v>11</v>
      </c>
      <c r="H1" s="61"/>
      <c r="I1" s="61"/>
    </row>
    <row r="2" spans="1:9" ht="19.5" customHeight="1" x14ac:dyDescent="0.35">
      <c r="A2" s="64" t="s">
        <v>2</v>
      </c>
      <c r="B2" s="64"/>
      <c r="C2" s="5">
        <f>SUM(C4:C79)</f>
        <v>67281</v>
      </c>
      <c r="D2" s="5">
        <f>SUM(D4:D79)</f>
        <v>0</v>
      </c>
      <c r="E2" s="5">
        <f>C2-D2</f>
        <v>67281</v>
      </c>
      <c r="F2" s="6">
        <f>IFERROR(E2/D2, 0)</f>
        <v>0</v>
      </c>
      <c r="G2" s="5">
        <f>SUM(G4:G79)</f>
        <v>0</v>
      </c>
      <c r="H2" s="7">
        <f>C2-G2</f>
        <v>67281</v>
      </c>
      <c r="I2" s="6">
        <f>IFERROR(H2/G2, 0)</f>
        <v>0</v>
      </c>
    </row>
    <row r="3" spans="1:9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 x14ac:dyDescent="0.35">
      <c r="A4" s="44" t="str" cm="1">
        <f t="array" ref="A4">Sites[Site]</f>
        <v>MA: Norton - Wheaton College</v>
      </c>
      <c r="B4" s="9" t="str" cm="1">
        <f t="array" ref="B4">Sites[State]</f>
        <v>MA</v>
      </c>
      <c r="C4" s="23">
        <f>SUM(Jan!C4, Feb!C4, Mar!C4)</f>
        <v>67281</v>
      </c>
      <c r="D4" s="12">
        <f>SUM(Jan!D4, Feb!D4, Mar!D4)</f>
        <v>0</v>
      </c>
      <c r="E4" s="12">
        <f>IF(AND(ISNUMBER(C4),ISNUMBER(D4)), C4-D4, "")</f>
        <v>67281</v>
      </c>
      <c r="F4" s="13" t="str">
        <f>IFERROR(E4/D4, "")</f>
        <v/>
      </c>
      <c r="G4" s="14">
        <f>SUM(Jan!G4, Feb!G4, Mar!G4)</f>
        <v>0</v>
      </c>
      <c r="H4" s="14">
        <f>SUM(Jan!H4, Feb!H4, Mar!H4)</f>
        <v>13777</v>
      </c>
      <c r="I4" s="15" t="str">
        <f>IFERROR(H4/G4, "")</f>
        <v/>
      </c>
    </row>
    <row r="5" spans="1:9" ht="14.25" x14ac:dyDescent="0.4">
      <c r="A5" s="20"/>
      <c r="B5" s="10"/>
      <c r="C5" s="20"/>
      <c r="D5" s="20"/>
      <c r="E5" s="20"/>
      <c r="F5" s="20"/>
      <c r="G5" s="20"/>
      <c r="H5" s="20"/>
      <c r="I5" s="20"/>
    </row>
    <row r="6" spans="1:9" ht="13.15" x14ac:dyDescent="0.4">
      <c r="A6" s="20"/>
      <c r="B6" s="20"/>
      <c r="C6" s="20"/>
      <c r="D6" s="20"/>
      <c r="E6" s="20"/>
      <c r="F6" s="20"/>
      <c r="G6" s="20"/>
      <c r="H6" s="20"/>
      <c r="I6" s="20"/>
    </row>
    <row r="7" spans="1:9" ht="13.15" x14ac:dyDescent="0.4">
      <c r="A7" s="20"/>
      <c r="B7" s="20"/>
      <c r="C7" s="20"/>
      <c r="D7" s="20"/>
      <c r="E7" s="20"/>
      <c r="F7" s="20"/>
      <c r="G7" s="20"/>
      <c r="H7" s="20"/>
      <c r="I7" s="20"/>
    </row>
    <row r="8" spans="1:9" ht="13.15" x14ac:dyDescent="0.4">
      <c r="A8" s="20"/>
      <c r="B8" s="20"/>
      <c r="C8" s="20"/>
      <c r="D8" s="20"/>
      <c r="E8" s="20"/>
      <c r="F8" s="20"/>
      <c r="G8" s="20"/>
      <c r="H8" s="20"/>
      <c r="I8" s="20"/>
    </row>
    <row r="9" spans="1:9" ht="13.15" x14ac:dyDescent="0.4">
      <c r="A9" s="20"/>
      <c r="B9" s="20"/>
      <c r="C9" s="20"/>
      <c r="D9" s="20"/>
      <c r="E9" s="20"/>
      <c r="F9" s="20"/>
      <c r="G9" s="20"/>
      <c r="H9" s="20"/>
      <c r="I9" s="20"/>
    </row>
    <row r="10" spans="1:9" ht="13.15" x14ac:dyDescent="0.4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 x14ac:dyDescent="0.4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 x14ac:dyDescent="0.4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 x14ac:dyDescent="0.4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 x14ac:dyDescent="0.4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 x14ac:dyDescent="0.4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 x14ac:dyDescent="0.4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 x14ac:dyDescent="0.4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 x14ac:dyDescent="0.4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 x14ac:dyDescent="0.4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 x14ac:dyDescent="0.4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 x14ac:dyDescent="0.4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 x14ac:dyDescent="0.4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 x14ac:dyDescent="0.4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 x14ac:dyDescent="0.4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 x14ac:dyDescent="0.4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 x14ac:dyDescent="0.4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 x14ac:dyDescent="0.4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 x14ac:dyDescent="0.4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 x14ac:dyDescent="0.4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 x14ac:dyDescent="0.4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 x14ac:dyDescent="0.4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 x14ac:dyDescent="0.4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 x14ac:dyDescent="0.4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 x14ac:dyDescent="0.4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 x14ac:dyDescent="0.4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 x14ac:dyDescent="0.4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 x14ac:dyDescent="0.4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 x14ac:dyDescent="0.4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 x14ac:dyDescent="0.4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 x14ac:dyDescent="0.4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 x14ac:dyDescent="0.4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 x14ac:dyDescent="0.4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 x14ac:dyDescent="0.4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 x14ac:dyDescent="0.4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 x14ac:dyDescent="0.4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 x14ac:dyDescent="0.4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 x14ac:dyDescent="0.4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 x14ac:dyDescent="0.4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 x14ac:dyDescent="0.4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 x14ac:dyDescent="0.4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 x14ac:dyDescent="0.4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 x14ac:dyDescent="0.4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 x14ac:dyDescent="0.4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 x14ac:dyDescent="0.4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 x14ac:dyDescent="0.4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 x14ac:dyDescent="0.4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 x14ac:dyDescent="0.4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 x14ac:dyDescent="0.4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 x14ac:dyDescent="0.4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 x14ac:dyDescent="0.4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 x14ac:dyDescent="0.4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 x14ac:dyDescent="0.4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 x14ac:dyDescent="0.4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 x14ac:dyDescent="0.4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 x14ac:dyDescent="0.4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 x14ac:dyDescent="0.4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 x14ac:dyDescent="0.4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 x14ac:dyDescent="0.4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 x14ac:dyDescent="0.4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 x14ac:dyDescent="0.4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 x14ac:dyDescent="0.4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 x14ac:dyDescent="0.4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 x14ac:dyDescent="0.4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 x14ac:dyDescent="0.4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 x14ac:dyDescent="0.4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 x14ac:dyDescent="0.4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 x14ac:dyDescent="0.4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 x14ac:dyDescent="0.4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 x14ac:dyDescent="0.4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 x14ac:dyDescent="0.4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 x14ac:dyDescent="0.4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 x14ac:dyDescent="0.4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 x14ac:dyDescent="0.4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 x14ac:dyDescent="0.4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 x14ac:dyDescent="0.4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 x14ac:dyDescent="0.4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 x14ac:dyDescent="0.4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 x14ac:dyDescent="0.4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 x14ac:dyDescent="0.4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 x14ac:dyDescent="0.4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 x14ac:dyDescent="0.4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 x14ac:dyDescent="0.4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 x14ac:dyDescent="0.4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 x14ac:dyDescent="0.4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 x14ac:dyDescent="0.4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 x14ac:dyDescent="0.4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 x14ac:dyDescent="0.4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 x14ac:dyDescent="0.4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 x14ac:dyDescent="0.4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 x14ac:dyDescent="0.4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 x14ac:dyDescent="0.4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 x14ac:dyDescent="0.4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 x14ac:dyDescent="0.4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 x14ac:dyDescent="0.4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 x14ac:dyDescent="0.4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 x14ac:dyDescent="0.4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 x14ac:dyDescent="0.4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 x14ac:dyDescent="0.4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 x14ac:dyDescent="0.4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 x14ac:dyDescent="0.4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 x14ac:dyDescent="0.4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 x14ac:dyDescent="0.4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 x14ac:dyDescent="0.4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 x14ac:dyDescent="0.4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 x14ac:dyDescent="0.4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 x14ac:dyDescent="0.4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 x14ac:dyDescent="0.4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 x14ac:dyDescent="0.4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 x14ac:dyDescent="0.4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 x14ac:dyDescent="0.4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 x14ac:dyDescent="0.4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 x14ac:dyDescent="0.4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 x14ac:dyDescent="0.4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 x14ac:dyDescent="0.4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 x14ac:dyDescent="0.4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 x14ac:dyDescent="0.4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 x14ac:dyDescent="0.4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 x14ac:dyDescent="0.4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 x14ac:dyDescent="0.4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 x14ac:dyDescent="0.4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 x14ac:dyDescent="0.4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 x14ac:dyDescent="0.4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 x14ac:dyDescent="0.4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 x14ac:dyDescent="0.4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 x14ac:dyDescent="0.4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 x14ac:dyDescent="0.4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 x14ac:dyDescent="0.4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 x14ac:dyDescent="0.4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 x14ac:dyDescent="0.4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 x14ac:dyDescent="0.4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 x14ac:dyDescent="0.4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 x14ac:dyDescent="0.4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 x14ac:dyDescent="0.4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 x14ac:dyDescent="0.4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 x14ac:dyDescent="0.4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 x14ac:dyDescent="0.4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 x14ac:dyDescent="0.4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 x14ac:dyDescent="0.4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 x14ac:dyDescent="0.4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 x14ac:dyDescent="0.4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 x14ac:dyDescent="0.4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 x14ac:dyDescent="0.4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 x14ac:dyDescent="0.4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 x14ac:dyDescent="0.4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 x14ac:dyDescent="0.4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 x14ac:dyDescent="0.4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 x14ac:dyDescent="0.4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 x14ac:dyDescent="0.4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 x14ac:dyDescent="0.4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 x14ac:dyDescent="0.4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 x14ac:dyDescent="0.4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 x14ac:dyDescent="0.4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 x14ac:dyDescent="0.4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 x14ac:dyDescent="0.4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 x14ac:dyDescent="0.4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 x14ac:dyDescent="0.4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 x14ac:dyDescent="0.4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 x14ac:dyDescent="0.4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 x14ac:dyDescent="0.4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 x14ac:dyDescent="0.4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 x14ac:dyDescent="0.4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 x14ac:dyDescent="0.4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 x14ac:dyDescent="0.4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 x14ac:dyDescent="0.4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 x14ac:dyDescent="0.4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 x14ac:dyDescent="0.4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 x14ac:dyDescent="0.4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 x14ac:dyDescent="0.4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 x14ac:dyDescent="0.4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 x14ac:dyDescent="0.4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 x14ac:dyDescent="0.4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 x14ac:dyDescent="0.4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 x14ac:dyDescent="0.4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 x14ac:dyDescent="0.4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 x14ac:dyDescent="0.4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 x14ac:dyDescent="0.4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 x14ac:dyDescent="0.4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 x14ac:dyDescent="0.4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 x14ac:dyDescent="0.4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 x14ac:dyDescent="0.4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 x14ac:dyDescent="0.4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 x14ac:dyDescent="0.4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 x14ac:dyDescent="0.4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 x14ac:dyDescent="0.4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 x14ac:dyDescent="0.4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 x14ac:dyDescent="0.4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 x14ac:dyDescent="0.4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 x14ac:dyDescent="0.4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 x14ac:dyDescent="0.4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 x14ac:dyDescent="0.4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 x14ac:dyDescent="0.4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 x14ac:dyDescent="0.4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 x14ac:dyDescent="0.4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 x14ac:dyDescent="0.4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 x14ac:dyDescent="0.4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 x14ac:dyDescent="0.4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 x14ac:dyDescent="0.4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 x14ac:dyDescent="0.4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 x14ac:dyDescent="0.4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 x14ac:dyDescent="0.4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 x14ac:dyDescent="0.4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 x14ac:dyDescent="0.4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 x14ac:dyDescent="0.4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 x14ac:dyDescent="0.4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 x14ac:dyDescent="0.4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 x14ac:dyDescent="0.4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 x14ac:dyDescent="0.4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 x14ac:dyDescent="0.4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 x14ac:dyDescent="0.4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 x14ac:dyDescent="0.4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 x14ac:dyDescent="0.4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 x14ac:dyDescent="0.4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 x14ac:dyDescent="0.4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 x14ac:dyDescent="0.4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 x14ac:dyDescent="0.4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 x14ac:dyDescent="0.4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 x14ac:dyDescent="0.4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 x14ac:dyDescent="0.4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 x14ac:dyDescent="0.4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 x14ac:dyDescent="0.4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 x14ac:dyDescent="0.4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 x14ac:dyDescent="0.4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 x14ac:dyDescent="0.4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 x14ac:dyDescent="0.4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 x14ac:dyDescent="0.4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 x14ac:dyDescent="0.4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 x14ac:dyDescent="0.4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 x14ac:dyDescent="0.4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 x14ac:dyDescent="0.4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 x14ac:dyDescent="0.4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 x14ac:dyDescent="0.4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 x14ac:dyDescent="0.4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 x14ac:dyDescent="0.4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 x14ac:dyDescent="0.4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 x14ac:dyDescent="0.4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 x14ac:dyDescent="0.4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 x14ac:dyDescent="0.4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 x14ac:dyDescent="0.4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 x14ac:dyDescent="0.4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 x14ac:dyDescent="0.4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 x14ac:dyDescent="0.4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 x14ac:dyDescent="0.4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 x14ac:dyDescent="0.4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 x14ac:dyDescent="0.4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 x14ac:dyDescent="0.4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 x14ac:dyDescent="0.4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 x14ac:dyDescent="0.4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 x14ac:dyDescent="0.4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 x14ac:dyDescent="0.4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 x14ac:dyDescent="0.4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 x14ac:dyDescent="0.4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 x14ac:dyDescent="0.4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 x14ac:dyDescent="0.4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 x14ac:dyDescent="0.4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 x14ac:dyDescent="0.4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 x14ac:dyDescent="0.4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 x14ac:dyDescent="0.4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 x14ac:dyDescent="0.4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 x14ac:dyDescent="0.4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 x14ac:dyDescent="0.4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 x14ac:dyDescent="0.4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 x14ac:dyDescent="0.4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 x14ac:dyDescent="0.4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 x14ac:dyDescent="0.4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 x14ac:dyDescent="0.4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 x14ac:dyDescent="0.4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 x14ac:dyDescent="0.4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 x14ac:dyDescent="0.4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 x14ac:dyDescent="0.4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 x14ac:dyDescent="0.4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 x14ac:dyDescent="0.4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 x14ac:dyDescent="0.4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 x14ac:dyDescent="0.4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 x14ac:dyDescent="0.4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 x14ac:dyDescent="0.4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 x14ac:dyDescent="0.4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 x14ac:dyDescent="0.4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 x14ac:dyDescent="0.4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 x14ac:dyDescent="0.4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 x14ac:dyDescent="0.4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 x14ac:dyDescent="0.4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 x14ac:dyDescent="0.4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 x14ac:dyDescent="0.4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 x14ac:dyDescent="0.4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 x14ac:dyDescent="0.4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 x14ac:dyDescent="0.4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 x14ac:dyDescent="0.4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 x14ac:dyDescent="0.4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 x14ac:dyDescent="0.4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 x14ac:dyDescent="0.4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 x14ac:dyDescent="0.4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 x14ac:dyDescent="0.4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 x14ac:dyDescent="0.4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 x14ac:dyDescent="0.4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 x14ac:dyDescent="0.4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 x14ac:dyDescent="0.4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 x14ac:dyDescent="0.4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 x14ac:dyDescent="0.4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 x14ac:dyDescent="0.4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 x14ac:dyDescent="0.4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 x14ac:dyDescent="0.4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 x14ac:dyDescent="0.4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 x14ac:dyDescent="0.4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 x14ac:dyDescent="0.4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 x14ac:dyDescent="0.4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 x14ac:dyDescent="0.4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 x14ac:dyDescent="0.4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 x14ac:dyDescent="0.4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 x14ac:dyDescent="0.4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 x14ac:dyDescent="0.4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 x14ac:dyDescent="0.4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F21" sqref="F21"/>
    </sheetView>
  </sheetViews>
  <sheetFormatPr defaultRowHeight="12.75" x14ac:dyDescent="0.35"/>
  <cols>
    <col min="1" max="1" width="35.86328125" bestFit="1" customWidth="1"/>
    <col min="2" max="2" width="8.398437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</cols>
  <sheetData>
    <row r="1" spans="1:9" ht="19.5" customHeight="1" x14ac:dyDescent="0.35">
      <c r="A1" s="62" t="str" cm="1">
        <f t="array" ref="A1">portfolio</f>
        <v>MA: Norton - Wheaton College</v>
      </c>
      <c r="B1" s="62"/>
      <c r="C1" s="62"/>
      <c r="D1" s="63" t="s">
        <v>12</v>
      </c>
      <c r="E1" s="63"/>
      <c r="F1" s="63"/>
      <c r="G1" s="61" t="s">
        <v>13</v>
      </c>
      <c r="H1" s="61"/>
      <c r="I1" s="61"/>
    </row>
    <row r="2" spans="1:9" ht="19.5" customHeight="1" x14ac:dyDescent="0.35">
      <c r="A2" s="64" t="s">
        <v>2</v>
      </c>
      <c r="B2" s="64"/>
      <c r="C2" s="5">
        <f>SUM(C4:C79)</f>
        <v>123905</v>
      </c>
      <c r="D2" s="5">
        <f>SUM(D4:D79)</f>
        <v>0</v>
      </c>
      <c r="E2" s="5">
        <f>C2-D2</f>
        <v>123905</v>
      </c>
      <c r="F2" s="6">
        <f>IFERROR(E2/D2, 0)</f>
        <v>0</v>
      </c>
      <c r="G2" s="5">
        <f>SUM(G4:G79)</f>
        <v>0</v>
      </c>
      <c r="H2" s="7">
        <f>C2-G2</f>
        <v>123905</v>
      </c>
      <c r="I2" s="6">
        <f>IFERROR(H2/G2, 0)</f>
        <v>0</v>
      </c>
    </row>
    <row r="3" spans="1:9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 x14ac:dyDescent="0.35">
      <c r="A4" s="44" t="str" cm="1">
        <f t="array" ref="A4">Sites[Site]</f>
        <v>MA: Norton - Wheaton College</v>
      </c>
      <c r="B4" s="9" t="str" cm="1">
        <f t="array" ref="B4">Sites[State]</f>
        <v>MA</v>
      </c>
      <c r="C4" s="23">
        <f>SUM(Apr!C4, May!C4, Jun!C4)</f>
        <v>123905</v>
      </c>
      <c r="D4" s="12">
        <f>SUM(Apr!D4, May!D4, Jun!D4)</f>
        <v>0</v>
      </c>
      <c r="E4" s="12">
        <f>IF(AND(ISNUMBER(C4),ISNUMBER(D4)), C4-D4, "")</f>
        <v>123905</v>
      </c>
      <c r="F4" s="13" t="str">
        <f>IFERROR(E4/D4, "")</f>
        <v/>
      </c>
      <c r="G4" s="14">
        <f>SUM(Apr!G4,May!G4,Jun!G4)</f>
        <v>0</v>
      </c>
      <c r="H4" s="14">
        <f>SUM(Apr!H4, May!H4, Jun!H4)</f>
        <v>0</v>
      </c>
      <c r="I4" s="15" t="str">
        <f>IFERROR(H4/G4, "")</f>
        <v/>
      </c>
    </row>
    <row r="5" spans="1:9" ht="13.15" x14ac:dyDescent="0.4">
      <c r="A5" s="20"/>
      <c r="B5" s="20"/>
      <c r="C5" s="20"/>
      <c r="D5" s="20"/>
      <c r="E5" s="20"/>
      <c r="F5" s="20"/>
      <c r="G5" s="20"/>
      <c r="H5" s="20"/>
      <c r="I5" s="20"/>
    </row>
    <row r="6" spans="1:9" ht="13.15" x14ac:dyDescent="0.4">
      <c r="A6" s="20"/>
      <c r="B6" s="20"/>
      <c r="C6" s="20"/>
      <c r="D6" s="20"/>
      <c r="E6" s="20"/>
      <c r="F6" s="20"/>
      <c r="G6" s="20"/>
      <c r="H6" s="20"/>
      <c r="I6" s="20"/>
    </row>
    <row r="7" spans="1:9" ht="13.15" x14ac:dyDescent="0.4">
      <c r="A7" s="20"/>
      <c r="B7" s="20"/>
      <c r="C7" s="20"/>
      <c r="D7" s="20"/>
      <c r="E7" s="20"/>
      <c r="F7" s="20"/>
      <c r="G7" s="20"/>
      <c r="H7" s="20"/>
      <c r="I7" s="20"/>
    </row>
    <row r="8" spans="1:9" ht="13.15" x14ac:dyDescent="0.4">
      <c r="A8" s="20"/>
      <c r="B8" s="20"/>
      <c r="C8" s="20"/>
      <c r="D8" s="20"/>
      <c r="E8" s="20"/>
      <c r="F8" s="20"/>
      <c r="G8" s="20"/>
      <c r="H8" s="20"/>
      <c r="I8" s="20"/>
    </row>
    <row r="9" spans="1:9" ht="13.15" x14ac:dyDescent="0.4">
      <c r="A9" s="20"/>
      <c r="B9" s="20"/>
      <c r="C9" s="20"/>
      <c r="D9" s="20"/>
      <c r="E9" s="20"/>
      <c r="F9" s="20"/>
      <c r="G9" s="20"/>
      <c r="H9" s="20"/>
      <c r="I9" s="20"/>
    </row>
    <row r="10" spans="1:9" ht="13.15" x14ac:dyDescent="0.4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 x14ac:dyDescent="0.4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 x14ac:dyDescent="0.4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 x14ac:dyDescent="0.4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 x14ac:dyDescent="0.4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 x14ac:dyDescent="0.4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 x14ac:dyDescent="0.4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 x14ac:dyDescent="0.4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 x14ac:dyDescent="0.4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 x14ac:dyDescent="0.4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 x14ac:dyDescent="0.4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 x14ac:dyDescent="0.4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 x14ac:dyDescent="0.4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 x14ac:dyDescent="0.4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 x14ac:dyDescent="0.4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 x14ac:dyDescent="0.4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 x14ac:dyDescent="0.4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 x14ac:dyDescent="0.4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 x14ac:dyDescent="0.4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 x14ac:dyDescent="0.4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 x14ac:dyDescent="0.4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 x14ac:dyDescent="0.4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 x14ac:dyDescent="0.4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 x14ac:dyDescent="0.4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 x14ac:dyDescent="0.4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 x14ac:dyDescent="0.4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 x14ac:dyDescent="0.4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 x14ac:dyDescent="0.4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 x14ac:dyDescent="0.4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 x14ac:dyDescent="0.4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 x14ac:dyDescent="0.4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 x14ac:dyDescent="0.4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 x14ac:dyDescent="0.4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 x14ac:dyDescent="0.4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 x14ac:dyDescent="0.4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 x14ac:dyDescent="0.4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 x14ac:dyDescent="0.4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 x14ac:dyDescent="0.4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 x14ac:dyDescent="0.4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 x14ac:dyDescent="0.4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 x14ac:dyDescent="0.4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 x14ac:dyDescent="0.4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 x14ac:dyDescent="0.4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 x14ac:dyDescent="0.4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 x14ac:dyDescent="0.4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 x14ac:dyDescent="0.4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 x14ac:dyDescent="0.4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 x14ac:dyDescent="0.4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 x14ac:dyDescent="0.4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 x14ac:dyDescent="0.4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 x14ac:dyDescent="0.4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 x14ac:dyDescent="0.4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 x14ac:dyDescent="0.4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 x14ac:dyDescent="0.4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 x14ac:dyDescent="0.4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 x14ac:dyDescent="0.4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 x14ac:dyDescent="0.4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 x14ac:dyDescent="0.4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 x14ac:dyDescent="0.4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 x14ac:dyDescent="0.4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 x14ac:dyDescent="0.4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 x14ac:dyDescent="0.4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 x14ac:dyDescent="0.4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 x14ac:dyDescent="0.4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 x14ac:dyDescent="0.4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 x14ac:dyDescent="0.4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 x14ac:dyDescent="0.4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 x14ac:dyDescent="0.4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 x14ac:dyDescent="0.4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 x14ac:dyDescent="0.4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 x14ac:dyDescent="0.4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 x14ac:dyDescent="0.4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 x14ac:dyDescent="0.4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 x14ac:dyDescent="0.4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 x14ac:dyDescent="0.4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 x14ac:dyDescent="0.4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 x14ac:dyDescent="0.4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 x14ac:dyDescent="0.4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 x14ac:dyDescent="0.4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 x14ac:dyDescent="0.4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 x14ac:dyDescent="0.4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 x14ac:dyDescent="0.4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 x14ac:dyDescent="0.4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 x14ac:dyDescent="0.4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 x14ac:dyDescent="0.4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 x14ac:dyDescent="0.4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 x14ac:dyDescent="0.4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 x14ac:dyDescent="0.4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 x14ac:dyDescent="0.4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 x14ac:dyDescent="0.4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 x14ac:dyDescent="0.4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 x14ac:dyDescent="0.4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 x14ac:dyDescent="0.4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 x14ac:dyDescent="0.4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 x14ac:dyDescent="0.4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 x14ac:dyDescent="0.4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 x14ac:dyDescent="0.4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 x14ac:dyDescent="0.4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 x14ac:dyDescent="0.4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 x14ac:dyDescent="0.4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 x14ac:dyDescent="0.4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 x14ac:dyDescent="0.4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 x14ac:dyDescent="0.4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 x14ac:dyDescent="0.4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 x14ac:dyDescent="0.4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 x14ac:dyDescent="0.4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 x14ac:dyDescent="0.4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 x14ac:dyDescent="0.4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 x14ac:dyDescent="0.4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 x14ac:dyDescent="0.4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 x14ac:dyDescent="0.4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 x14ac:dyDescent="0.4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 x14ac:dyDescent="0.4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 x14ac:dyDescent="0.4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 x14ac:dyDescent="0.4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 x14ac:dyDescent="0.4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 x14ac:dyDescent="0.4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 x14ac:dyDescent="0.4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 x14ac:dyDescent="0.4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 x14ac:dyDescent="0.4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 x14ac:dyDescent="0.4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 x14ac:dyDescent="0.4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 x14ac:dyDescent="0.4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 x14ac:dyDescent="0.4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 x14ac:dyDescent="0.4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 x14ac:dyDescent="0.4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 x14ac:dyDescent="0.4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 x14ac:dyDescent="0.4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 x14ac:dyDescent="0.4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 x14ac:dyDescent="0.4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 x14ac:dyDescent="0.4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 x14ac:dyDescent="0.4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 x14ac:dyDescent="0.4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 x14ac:dyDescent="0.4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 x14ac:dyDescent="0.4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 x14ac:dyDescent="0.4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 x14ac:dyDescent="0.4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 x14ac:dyDescent="0.4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 x14ac:dyDescent="0.4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 x14ac:dyDescent="0.4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 x14ac:dyDescent="0.4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 x14ac:dyDescent="0.4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 x14ac:dyDescent="0.4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 x14ac:dyDescent="0.4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 x14ac:dyDescent="0.4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 x14ac:dyDescent="0.4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 x14ac:dyDescent="0.4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 x14ac:dyDescent="0.4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 x14ac:dyDescent="0.4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 x14ac:dyDescent="0.4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 x14ac:dyDescent="0.4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 x14ac:dyDescent="0.4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 x14ac:dyDescent="0.4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 x14ac:dyDescent="0.4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 x14ac:dyDescent="0.4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 x14ac:dyDescent="0.4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 x14ac:dyDescent="0.4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 x14ac:dyDescent="0.4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 x14ac:dyDescent="0.4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 x14ac:dyDescent="0.4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 x14ac:dyDescent="0.4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 x14ac:dyDescent="0.4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 x14ac:dyDescent="0.4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 x14ac:dyDescent="0.4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 x14ac:dyDescent="0.4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 x14ac:dyDescent="0.4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 x14ac:dyDescent="0.4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 x14ac:dyDescent="0.4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 x14ac:dyDescent="0.4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 x14ac:dyDescent="0.4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 x14ac:dyDescent="0.4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 x14ac:dyDescent="0.4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 x14ac:dyDescent="0.4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 x14ac:dyDescent="0.4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 x14ac:dyDescent="0.4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 x14ac:dyDescent="0.4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 x14ac:dyDescent="0.4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 x14ac:dyDescent="0.4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 x14ac:dyDescent="0.4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 x14ac:dyDescent="0.4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 x14ac:dyDescent="0.4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 x14ac:dyDescent="0.4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 x14ac:dyDescent="0.4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 x14ac:dyDescent="0.4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 x14ac:dyDescent="0.4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 x14ac:dyDescent="0.4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 x14ac:dyDescent="0.4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 x14ac:dyDescent="0.4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 x14ac:dyDescent="0.4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 x14ac:dyDescent="0.4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 x14ac:dyDescent="0.4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 x14ac:dyDescent="0.4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 x14ac:dyDescent="0.4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 x14ac:dyDescent="0.4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 x14ac:dyDescent="0.4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 x14ac:dyDescent="0.4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 x14ac:dyDescent="0.4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 x14ac:dyDescent="0.4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 x14ac:dyDescent="0.4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 x14ac:dyDescent="0.4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 x14ac:dyDescent="0.4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 x14ac:dyDescent="0.4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 x14ac:dyDescent="0.4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 x14ac:dyDescent="0.4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 x14ac:dyDescent="0.4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 x14ac:dyDescent="0.4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 x14ac:dyDescent="0.4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 x14ac:dyDescent="0.4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 x14ac:dyDescent="0.4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 x14ac:dyDescent="0.4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 x14ac:dyDescent="0.4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 x14ac:dyDescent="0.4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 x14ac:dyDescent="0.4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 x14ac:dyDescent="0.4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 x14ac:dyDescent="0.4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 x14ac:dyDescent="0.4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 x14ac:dyDescent="0.4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 x14ac:dyDescent="0.4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 x14ac:dyDescent="0.4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 x14ac:dyDescent="0.4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 x14ac:dyDescent="0.4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 x14ac:dyDescent="0.4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 x14ac:dyDescent="0.4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 x14ac:dyDescent="0.4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 x14ac:dyDescent="0.4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 x14ac:dyDescent="0.4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 x14ac:dyDescent="0.4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 x14ac:dyDescent="0.4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 x14ac:dyDescent="0.4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 x14ac:dyDescent="0.4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 x14ac:dyDescent="0.4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 x14ac:dyDescent="0.4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 x14ac:dyDescent="0.4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 x14ac:dyDescent="0.4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 x14ac:dyDescent="0.4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 x14ac:dyDescent="0.4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 x14ac:dyDescent="0.4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 x14ac:dyDescent="0.4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 x14ac:dyDescent="0.4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 x14ac:dyDescent="0.4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 x14ac:dyDescent="0.4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 x14ac:dyDescent="0.4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 x14ac:dyDescent="0.4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 x14ac:dyDescent="0.4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 x14ac:dyDescent="0.4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 x14ac:dyDescent="0.4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 x14ac:dyDescent="0.4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 x14ac:dyDescent="0.4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 x14ac:dyDescent="0.4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 x14ac:dyDescent="0.4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 x14ac:dyDescent="0.4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 x14ac:dyDescent="0.4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 x14ac:dyDescent="0.4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 x14ac:dyDescent="0.4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 x14ac:dyDescent="0.4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 x14ac:dyDescent="0.4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 x14ac:dyDescent="0.4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 x14ac:dyDescent="0.4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 x14ac:dyDescent="0.4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 x14ac:dyDescent="0.4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 x14ac:dyDescent="0.4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 x14ac:dyDescent="0.4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 x14ac:dyDescent="0.4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 x14ac:dyDescent="0.4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 x14ac:dyDescent="0.4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 x14ac:dyDescent="0.4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 x14ac:dyDescent="0.4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 x14ac:dyDescent="0.4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 x14ac:dyDescent="0.4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 x14ac:dyDescent="0.4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 x14ac:dyDescent="0.4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 x14ac:dyDescent="0.4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 x14ac:dyDescent="0.4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 x14ac:dyDescent="0.4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 x14ac:dyDescent="0.4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 x14ac:dyDescent="0.4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 x14ac:dyDescent="0.4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 x14ac:dyDescent="0.4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 x14ac:dyDescent="0.4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 x14ac:dyDescent="0.4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 x14ac:dyDescent="0.4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 x14ac:dyDescent="0.4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 x14ac:dyDescent="0.4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 x14ac:dyDescent="0.4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 x14ac:dyDescent="0.4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 x14ac:dyDescent="0.4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 x14ac:dyDescent="0.4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 x14ac:dyDescent="0.4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 x14ac:dyDescent="0.4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 x14ac:dyDescent="0.4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 x14ac:dyDescent="0.4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 x14ac:dyDescent="0.4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 x14ac:dyDescent="0.4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 x14ac:dyDescent="0.4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 x14ac:dyDescent="0.4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 x14ac:dyDescent="0.4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 x14ac:dyDescent="0.4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 x14ac:dyDescent="0.4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 x14ac:dyDescent="0.4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 x14ac:dyDescent="0.4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 x14ac:dyDescent="0.4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 x14ac:dyDescent="0.4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 x14ac:dyDescent="0.4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 x14ac:dyDescent="0.4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 x14ac:dyDescent="0.4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 x14ac:dyDescent="0.4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 x14ac:dyDescent="0.4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 x14ac:dyDescent="0.4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 x14ac:dyDescent="0.4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 x14ac:dyDescent="0.4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 x14ac:dyDescent="0.4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 x14ac:dyDescent="0.4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E31" sqref="E31"/>
    </sheetView>
  </sheetViews>
  <sheetFormatPr defaultRowHeight="12.75" x14ac:dyDescent="0.35"/>
  <cols>
    <col min="1" max="1" width="35.86328125" bestFit="1" customWidth="1"/>
    <col min="2" max="2" width="8.398437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</cols>
  <sheetData>
    <row r="1" spans="1:9" ht="19.5" customHeight="1" x14ac:dyDescent="0.35">
      <c r="A1" s="62" t="str" cm="1">
        <f t="array" ref="A1">portfolio</f>
        <v>MA: Norton - Wheaton College</v>
      </c>
      <c r="B1" s="62"/>
      <c r="C1" s="62"/>
      <c r="D1" s="63" t="s">
        <v>14</v>
      </c>
      <c r="E1" s="63"/>
      <c r="F1" s="63"/>
      <c r="G1" s="61" t="s">
        <v>15</v>
      </c>
      <c r="H1" s="61"/>
      <c r="I1" s="61"/>
    </row>
    <row r="2" spans="1:9" ht="19.5" customHeight="1" x14ac:dyDescent="0.35">
      <c r="A2" s="64" t="s">
        <v>2</v>
      </c>
      <c r="B2" s="64"/>
      <c r="C2" s="5">
        <f>SUM(C4:C79)</f>
        <v>129932</v>
      </c>
      <c r="D2" s="5">
        <f>SUM(D4:D79)</f>
        <v>0</v>
      </c>
      <c r="E2" s="5">
        <f>C2-D2</f>
        <v>129932</v>
      </c>
      <c r="F2" s="6">
        <f>IFERROR(E2/D2, 0)</f>
        <v>0</v>
      </c>
      <c r="G2" s="5">
        <f>SUM(G4:G79)</f>
        <v>0</v>
      </c>
      <c r="H2" s="7">
        <f>C2-G2</f>
        <v>129932</v>
      </c>
      <c r="I2" s="6">
        <f>IFERROR(H2/G2, 0)</f>
        <v>0</v>
      </c>
    </row>
    <row r="3" spans="1:9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 x14ac:dyDescent="0.35">
      <c r="A4" s="44" t="str" cm="1">
        <f t="array" ref="A4">Sites[Site]</f>
        <v>MA: Norton - Wheaton College</v>
      </c>
      <c r="B4" s="9" t="str" cm="1">
        <f t="array" ref="B4">Sites[State]</f>
        <v>MA</v>
      </c>
      <c r="C4" s="23">
        <f>SUM(Jul!C4, Aug!C4, Sep!C4)</f>
        <v>129932</v>
      </c>
      <c r="D4" s="12">
        <f>SUM(Jul!D4, Aug!D4, Sep!D4)</f>
        <v>0</v>
      </c>
      <c r="E4" s="12">
        <f>IF(AND(ISNUMBER(C4),ISNUMBER(D4)), C4-D4, "")</f>
        <v>129932</v>
      </c>
      <c r="F4" s="13" t="str">
        <f>IFERROR(E4/D4, "")</f>
        <v/>
      </c>
      <c r="G4" s="14">
        <f>SUM(Jul!G4,Aug!G4,Sep!G4)</f>
        <v>0</v>
      </c>
      <c r="H4" s="14">
        <f>SUM(Jul!H4, Aug!H4, Sep!H4)</f>
        <v>0</v>
      </c>
      <c r="I4" s="15" t="str">
        <f>IFERROR(H4/G4, "")</f>
        <v/>
      </c>
    </row>
    <row r="5" spans="1:9" ht="15.75" x14ac:dyDescent="0.4">
      <c r="A5" s="16"/>
      <c r="B5" s="20"/>
      <c r="C5" s="20"/>
      <c r="D5" s="20"/>
      <c r="E5" s="20"/>
      <c r="F5" s="20"/>
      <c r="G5" s="20"/>
      <c r="H5" s="20"/>
      <c r="I5" s="20"/>
    </row>
    <row r="6" spans="1:9" ht="15.75" x14ac:dyDescent="0.4">
      <c r="A6" s="16"/>
      <c r="B6" s="20"/>
      <c r="C6" s="20"/>
      <c r="D6" s="20"/>
      <c r="E6" s="20"/>
      <c r="F6" s="20"/>
      <c r="G6" s="20"/>
      <c r="H6" s="20"/>
      <c r="I6" s="20"/>
    </row>
    <row r="7" spans="1:9" ht="15.75" x14ac:dyDescent="0.4">
      <c r="A7" s="16"/>
      <c r="B7" s="20"/>
      <c r="C7" s="20"/>
      <c r="D7" s="20"/>
      <c r="E7" s="20"/>
      <c r="F7" s="20"/>
      <c r="G7" s="20"/>
      <c r="H7" s="20"/>
      <c r="I7" s="20"/>
    </row>
    <row r="8" spans="1:9" ht="15.75" x14ac:dyDescent="0.4">
      <c r="A8" s="16"/>
      <c r="B8" s="20"/>
      <c r="C8" s="20"/>
      <c r="D8" s="20"/>
      <c r="E8" s="20"/>
      <c r="F8" s="20"/>
      <c r="G8" s="20"/>
      <c r="H8" s="20"/>
      <c r="I8" s="20"/>
    </row>
    <row r="9" spans="1:9" ht="15.75" x14ac:dyDescent="0.4">
      <c r="A9" s="16"/>
      <c r="B9" s="20"/>
      <c r="C9" s="20"/>
      <c r="D9" s="20"/>
      <c r="E9" s="20"/>
      <c r="F9" s="20"/>
      <c r="G9" s="20"/>
      <c r="H9" s="20"/>
      <c r="I9" s="20"/>
    </row>
    <row r="10" spans="1:9" ht="15.75" x14ac:dyDescent="0.4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15" x14ac:dyDescent="0.4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 x14ac:dyDescent="0.4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 x14ac:dyDescent="0.4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 x14ac:dyDescent="0.4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 x14ac:dyDescent="0.4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 x14ac:dyDescent="0.4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 x14ac:dyDescent="0.4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 x14ac:dyDescent="0.4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 x14ac:dyDescent="0.4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 x14ac:dyDescent="0.4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 x14ac:dyDescent="0.4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 x14ac:dyDescent="0.4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 x14ac:dyDescent="0.4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 x14ac:dyDescent="0.4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 x14ac:dyDescent="0.4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 x14ac:dyDescent="0.4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 x14ac:dyDescent="0.4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 x14ac:dyDescent="0.4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 x14ac:dyDescent="0.4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 x14ac:dyDescent="0.4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 x14ac:dyDescent="0.4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 x14ac:dyDescent="0.4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 x14ac:dyDescent="0.4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 x14ac:dyDescent="0.4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 x14ac:dyDescent="0.4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 x14ac:dyDescent="0.4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 x14ac:dyDescent="0.4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 x14ac:dyDescent="0.4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 x14ac:dyDescent="0.4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 x14ac:dyDescent="0.4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 x14ac:dyDescent="0.4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 x14ac:dyDescent="0.4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 x14ac:dyDescent="0.4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 x14ac:dyDescent="0.4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 x14ac:dyDescent="0.4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 x14ac:dyDescent="0.4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 x14ac:dyDescent="0.4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 x14ac:dyDescent="0.4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 x14ac:dyDescent="0.4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 x14ac:dyDescent="0.4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 x14ac:dyDescent="0.4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 x14ac:dyDescent="0.4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 x14ac:dyDescent="0.4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 x14ac:dyDescent="0.4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 x14ac:dyDescent="0.4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 x14ac:dyDescent="0.4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 x14ac:dyDescent="0.4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 x14ac:dyDescent="0.4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 x14ac:dyDescent="0.4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 x14ac:dyDescent="0.4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 x14ac:dyDescent="0.4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 x14ac:dyDescent="0.4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 x14ac:dyDescent="0.4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 x14ac:dyDescent="0.4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 x14ac:dyDescent="0.4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 x14ac:dyDescent="0.4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 x14ac:dyDescent="0.4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 x14ac:dyDescent="0.4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 x14ac:dyDescent="0.4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 x14ac:dyDescent="0.4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 x14ac:dyDescent="0.4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 x14ac:dyDescent="0.4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 x14ac:dyDescent="0.4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 x14ac:dyDescent="0.4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 x14ac:dyDescent="0.4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 x14ac:dyDescent="0.4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 x14ac:dyDescent="0.4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 x14ac:dyDescent="0.4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 x14ac:dyDescent="0.4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 x14ac:dyDescent="0.4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 x14ac:dyDescent="0.4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 x14ac:dyDescent="0.4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 x14ac:dyDescent="0.4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 x14ac:dyDescent="0.4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 x14ac:dyDescent="0.4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 x14ac:dyDescent="0.4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 x14ac:dyDescent="0.4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 x14ac:dyDescent="0.4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 x14ac:dyDescent="0.4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 x14ac:dyDescent="0.4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 x14ac:dyDescent="0.4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 x14ac:dyDescent="0.4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 x14ac:dyDescent="0.4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 x14ac:dyDescent="0.4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 x14ac:dyDescent="0.4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 x14ac:dyDescent="0.4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 x14ac:dyDescent="0.4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 x14ac:dyDescent="0.4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 x14ac:dyDescent="0.4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 x14ac:dyDescent="0.4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 x14ac:dyDescent="0.4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 x14ac:dyDescent="0.4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 x14ac:dyDescent="0.4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 x14ac:dyDescent="0.4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 x14ac:dyDescent="0.4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 x14ac:dyDescent="0.4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 x14ac:dyDescent="0.4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 x14ac:dyDescent="0.4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 x14ac:dyDescent="0.4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 x14ac:dyDescent="0.4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 x14ac:dyDescent="0.4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 x14ac:dyDescent="0.4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 x14ac:dyDescent="0.4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 x14ac:dyDescent="0.4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 x14ac:dyDescent="0.4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 x14ac:dyDescent="0.4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 x14ac:dyDescent="0.4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 x14ac:dyDescent="0.4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 x14ac:dyDescent="0.4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 x14ac:dyDescent="0.4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 x14ac:dyDescent="0.4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 x14ac:dyDescent="0.4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 x14ac:dyDescent="0.4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 x14ac:dyDescent="0.4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 x14ac:dyDescent="0.4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 x14ac:dyDescent="0.4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 x14ac:dyDescent="0.4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 x14ac:dyDescent="0.4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 x14ac:dyDescent="0.4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 x14ac:dyDescent="0.4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 x14ac:dyDescent="0.4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 x14ac:dyDescent="0.4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 x14ac:dyDescent="0.4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 x14ac:dyDescent="0.4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 x14ac:dyDescent="0.4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 x14ac:dyDescent="0.4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 x14ac:dyDescent="0.4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 x14ac:dyDescent="0.4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 x14ac:dyDescent="0.4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 x14ac:dyDescent="0.4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 x14ac:dyDescent="0.4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 x14ac:dyDescent="0.4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 x14ac:dyDescent="0.4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 x14ac:dyDescent="0.4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 x14ac:dyDescent="0.4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 x14ac:dyDescent="0.4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 x14ac:dyDescent="0.4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 x14ac:dyDescent="0.4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 x14ac:dyDescent="0.4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 x14ac:dyDescent="0.4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 x14ac:dyDescent="0.4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 x14ac:dyDescent="0.4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 x14ac:dyDescent="0.4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 x14ac:dyDescent="0.4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 x14ac:dyDescent="0.4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 x14ac:dyDescent="0.4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 x14ac:dyDescent="0.4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 x14ac:dyDescent="0.4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 x14ac:dyDescent="0.4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 x14ac:dyDescent="0.4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 x14ac:dyDescent="0.4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 x14ac:dyDescent="0.4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 x14ac:dyDescent="0.4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 x14ac:dyDescent="0.4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 x14ac:dyDescent="0.4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 x14ac:dyDescent="0.4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 x14ac:dyDescent="0.4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 x14ac:dyDescent="0.4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 x14ac:dyDescent="0.4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 x14ac:dyDescent="0.4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 x14ac:dyDescent="0.4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 x14ac:dyDescent="0.4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 x14ac:dyDescent="0.4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 x14ac:dyDescent="0.4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 x14ac:dyDescent="0.4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 x14ac:dyDescent="0.4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 x14ac:dyDescent="0.4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 x14ac:dyDescent="0.4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 x14ac:dyDescent="0.4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 x14ac:dyDescent="0.4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 x14ac:dyDescent="0.4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 x14ac:dyDescent="0.4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 x14ac:dyDescent="0.4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 x14ac:dyDescent="0.4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 x14ac:dyDescent="0.4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 x14ac:dyDescent="0.4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 x14ac:dyDescent="0.4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 x14ac:dyDescent="0.4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 x14ac:dyDescent="0.4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 x14ac:dyDescent="0.4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 x14ac:dyDescent="0.4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 x14ac:dyDescent="0.4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 x14ac:dyDescent="0.4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 x14ac:dyDescent="0.4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 x14ac:dyDescent="0.4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 x14ac:dyDescent="0.4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 x14ac:dyDescent="0.4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 x14ac:dyDescent="0.4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 x14ac:dyDescent="0.4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 x14ac:dyDescent="0.4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 x14ac:dyDescent="0.4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 x14ac:dyDescent="0.4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 x14ac:dyDescent="0.4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 x14ac:dyDescent="0.4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 x14ac:dyDescent="0.4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 x14ac:dyDescent="0.4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 x14ac:dyDescent="0.4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 x14ac:dyDescent="0.4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 x14ac:dyDescent="0.4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 x14ac:dyDescent="0.4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 x14ac:dyDescent="0.4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 x14ac:dyDescent="0.4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 x14ac:dyDescent="0.4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 x14ac:dyDescent="0.4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 x14ac:dyDescent="0.4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 x14ac:dyDescent="0.4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 x14ac:dyDescent="0.4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 x14ac:dyDescent="0.4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 x14ac:dyDescent="0.4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 x14ac:dyDescent="0.4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 x14ac:dyDescent="0.4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 x14ac:dyDescent="0.4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 x14ac:dyDescent="0.4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 x14ac:dyDescent="0.4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 x14ac:dyDescent="0.4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 x14ac:dyDescent="0.4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 x14ac:dyDescent="0.4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 x14ac:dyDescent="0.4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 x14ac:dyDescent="0.4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 x14ac:dyDescent="0.4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 x14ac:dyDescent="0.4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 x14ac:dyDescent="0.4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 x14ac:dyDescent="0.4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 x14ac:dyDescent="0.4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 x14ac:dyDescent="0.4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 x14ac:dyDescent="0.4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 x14ac:dyDescent="0.4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 x14ac:dyDescent="0.4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 x14ac:dyDescent="0.4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 x14ac:dyDescent="0.4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 x14ac:dyDescent="0.4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 x14ac:dyDescent="0.4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 x14ac:dyDescent="0.4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 x14ac:dyDescent="0.4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 x14ac:dyDescent="0.4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 x14ac:dyDescent="0.4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 x14ac:dyDescent="0.4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 x14ac:dyDescent="0.4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 x14ac:dyDescent="0.4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 x14ac:dyDescent="0.4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 x14ac:dyDescent="0.4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 x14ac:dyDescent="0.4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 x14ac:dyDescent="0.4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 x14ac:dyDescent="0.4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 x14ac:dyDescent="0.4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 x14ac:dyDescent="0.4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 x14ac:dyDescent="0.4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 x14ac:dyDescent="0.4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 x14ac:dyDescent="0.4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 x14ac:dyDescent="0.4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 x14ac:dyDescent="0.4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 x14ac:dyDescent="0.4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 x14ac:dyDescent="0.4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 x14ac:dyDescent="0.4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 x14ac:dyDescent="0.4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 x14ac:dyDescent="0.4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 x14ac:dyDescent="0.4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 x14ac:dyDescent="0.4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 x14ac:dyDescent="0.4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 x14ac:dyDescent="0.4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 x14ac:dyDescent="0.4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 x14ac:dyDescent="0.4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 x14ac:dyDescent="0.4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 x14ac:dyDescent="0.4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 x14ac:dyDescent="0.4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 x14ac:dyDescent="0.4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 x14ac:dyDescent="0.4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 x14ac:dyDescent="0.4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 x14ac:dyDescent="0.4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 x14ac:dyDescent="0.4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 x14ac:dyDescent="0.4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 x14ac:dyDescent="0.4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 x14ac:dyDescent="0.4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 x14ac:dyDescent="0.4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 x14ac:dyDescent="0.4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 x14ac:dyDescent="0.4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 x14ac:dyDescent="0.4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 x14ac:dyDescent="0.4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 x14ac:dyDescent="0.4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 x14ac:dyDescent="0.4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 x14ac:dyDescent="0.4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 x14ac:dyDescent="0.4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 x14ac:dyDescent="0.4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 x14ac:dyDescent="0.4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 x14ac:dyDescent="0.4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 x14ac:dyDescent="0.4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 x14ac:dyDescent="0.4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 x14ac:dyDescent="0.4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 x14ac:dyDescent="0.4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 x14ac:dyDescent="0.4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 x14ac:dyDescent="0.4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 x14ac:dyDescent="0.4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 x14ac:dyDescent="0.4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 x14ac:dyDescent="0.4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 x14ac:dyDescent="0.4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 x14ac:dyDescent="0.4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 x14ac:dyDescent="0.4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 x14ac:dyDescent="0.4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 x14ac:dyDescent="0.4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 x14ac:dyDescent="0.4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 x14ac:dyDescent="0.4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 x14ac:dyDescent="0.4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 x14ac:dyDescent="0.4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 x14ac:dyDescent="0.4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 x14ac:dyDescent="0.4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 x14ac:dyDescent="0.4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 x14ac:dyDescent="0.4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 x14ac:dyDescent="0.4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 x14ac:dyDescent="0.4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 x14ac:dyDescent="0.4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 x14ac:dyDescent="0.4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tabSelected="1"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H17" sqref="H17"/>
    </sheetView>
  </sheetViews>
  <sheetFormatPr defaultRowHeight="12.75" x14ac:dyDescent="0.35"/>
  <cols>
    <col min="1" max="1" width="35.86328125" bestFit="1" customWidth="1"/>
    <col min="2" max="2" width="8.398437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</cols>
  <sheetData>
    <row r="1" spans="1:9" ht="19.5" customHeight="1" x14ac:dyDescent="0.35">
      <c r="A1" s="62" t="str" cm="1">
        <f t="array" ref="A1">portfolio</f>
        <v>MA: Norton - Wheaton College</v>
      </c>
      <c r="B1" s="62"/>
      <c r="C1" s="62"/>
      <c r="D1" s="63" t="s">
        <v>16</v>
      </c>
      <c r="E1" s="63"/>
      <c r="F1" s="63"/>
      <c r="G1" s="61" t="s">
        <v>17</v>
      </c>
      <c r="H1" s="61"/>
      <c r="I1" s="61"/>
    </row>
    <row r="2" spans="1:9" ht="19.5" customHeight="1" x14ac:dyDescent="0.35">
      <c r="A2" s="64" t="s">
        <v>2</v>
      </c>
      <c r="B2" s="64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 x14ac:dyDescent="0.35">
      <c r="A4" s="44" t="str" cm="1">
        <f t="array" ref="A4">Sites[Site]</f>
        <v>MA: Norton - Wheaton College</v>
      </c>
      <c r="B4" s="9" t="str" cm="1">
        <f t="array" ref="B4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5.75" x14ac:dyDescent="0.35">
      <c r="A5" s="16"/>
      <c r="B5" s="10"/>
      <c r="C5" s="41"/>
      <c r="D5" s="17"/>
      <c r="E5" s="17"/>
      <c r="F5" s="18"/>
      <c r="G5" s="19"/>
      <c r="H5" s="19"/>
      <c r="I5" s="18"/>
    </row>
    <row r="6" spans="1:9" ht="14.25" x14ac:dyDescent="0.4">
      <c r="A6" s="20"/>
      <c r="B6" s="10"/>
      <c r="C6" s="41"/>
      <c r="D6" s="17"/>
      <c r="E6" s="17"/>
      <c r="F6" s="18"/>
      <c r="G6" s="19"/>
      <c r="H6" s="19"/>
      <c r="I6" s="18"/>
    </row>
    <row r="7" spans="1:9" ht="14.25" x14ac:dyDescent="0.4">
      <c r="A7" s="20"/>
      <c r="B7" s="10"/>
      <c r="C7" s="41"/>
      <c r="D7" s="17"/>
      <c r="E7" s="17"/>
      <c r="F7" s="18"/>
      <c r="G7" s="19"/>
      <c r="H7" s="19"/>
      <c r="I7" s="18"/>
    </row>
    <row r="8" spans="1:9" ht="14.25" x14ac:dyDescent="0.4">
      <c r="A8" s="20"/>
      <c r="B8" s="10"/>
      <c r="C8" s="41"/>
      <c r="D8" s="17"/>
      <c r="E8" s="17"/>
      <c r="F8" s="18"/>
      <c r="G8" s="19"/>
      <c r="H8" s="19"/>
      <c r="I8" s="18"/>
    </row>
    <row r="9" spans="1:9" ht="14.25" x14ac:dyDescent="0.4">
      <c r="A9" s="20"/>
      <c r="B9" s="10"/>
      <c r="C9" s="41"/>
      <c r="D9" s="17"/>
      <c r="E9" s="17"/>
      <c r="F9" s="18"/>
      <c r="G9" s="19"/>
      <c r="H9" s="19"/>
      <c r="I9" s="18"/>
    </row>
    <row r="10" spans="1:9" ht="13.15" x14ac:dyDescent="0.4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 x14ac:dyDescent="0.4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 x14ac:dyDescent="0.4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 x14ac:dyDescent="0.4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 x14ac:dyDescent="0.4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 x14ac:dyDescent="0.4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 x14ac:dyDescent="0.4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 x14ac:dyDescent="0.4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 x14ac:dyDescent="0.4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 x14ac:dyDescent="0.4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 x14ac:dyDescent="0.4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 x14ac:dyDescent="0.4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 x14ac:dyDescent="0.4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 x14ac:dyDescent="0.4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 x14ac:dyDescent="0.4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 x14ac:dyDescent="0.4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 x14ac:dyDescent="0.4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 x14ac:dyDescent="0.4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 x14ac:dyDescent="0.4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 x14ac:dyDescent="0.4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 x14ac:dyDescent="0.4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 x14ac:dyDescent="0.4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 x14ac:dyDescent="0.4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 x14ac:dyDescent="0.4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 x14ac:dyDescent="0.4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 x14ac:dyDescent="0.4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 x14ac:dyDescent="0.4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 x14ac:dyDescent="0.4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 x14ac:dyDescent="0.4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 x14ac:dyDescent="0.4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 x14ac:dyDescent="0.4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 x14ac:dyDescent="0.4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 x14ac:dyDescent="0.4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 x14ac:dyDescent="0.4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 x14ac:dyDescent="0.4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 x14ac:dyDescent="0.4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 x14ac:dyDescent="0.4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 x14ac:dyDescent="0.4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 x14ac:dyDescent="0.4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 x14ac:dyDescent="0.4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 x14ac:dyDescent="0.4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 x14ac:dyDescent="0.4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 x14ac:dyDescent="0.4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 x14ac:dyDescent="0.4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 x14ac:dyDescent="0.4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 x14ac:dyDescent="0.4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 x14ac:dyDescent="0.4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 x14ac:dyDescent="0.4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 x14ac:dyDescent="0.4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 x14ac:dyDescent="0.4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 x14ac:dyDescent="0.4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 x14ac:dyDescent="0.4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 x14ac:dyDescent="0.4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 x14ac:dyDescent="0.4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 x14ac:dyDescent="0.4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 x14ac:dyDescent="0.4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 x14ac:dyDescent="0.4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 x14ac:dyDescent="0.4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 x14ac:dyDescent="0.4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 x14ac:dyDescent="0.4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 x14ac:dyDescent="0.4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 x14ac:dyDescent="0.4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 x14ac:dyDescent="0.4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 x14ac:dyDescent="0.4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 x14ac:dyDescent="0.4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 x14ac:dyDescent="0.4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 x14ac:dyDescent="0.4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 x14ac:dyDescent="0.4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 x14ac:dyDescent="0.4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 x14ac:dyDescent="0.4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 x14ac:dyDescent="0.4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 x14ac:dyDescent="0.4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 x14ac:dyDescent="0.4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 x14ac:dyDescent="0.4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 x14ac:dyDescent="0.4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 x14ac:dyDescent="0.4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 x14ac:dyDescent="0.4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 x14ac:dyDescent="0.4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 x14ac:dyDescent="0.4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 x14ac:dyDescent="0.4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 x14ac:dyDescent="0.4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 x14ac:dyDescent="0.4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 x14ac:dyDescent="0.4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 x14ac:dyDescent="0.4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 x14ac:dyDescent="0.4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 x14ac:dyDescent="0.4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 x14ac:dyDescent="0.4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 x14ac:dyDescent="0.4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 x14ac:dyDescent="0.4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 x14ac:dyDescent="0.4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 x14ac:dyDescent="0.4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 x14ac:dyDescent="0.4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 x14ac:dyDescent="0.4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 x14ac:dyDescent="0.4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 x14ac:dyDescent="0.4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 x14ac:dyDescent="0.4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 x14ac:dyDescent="0.4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 x14ac:dyDescent="0.4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 x14ac:dyDescent="0.4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 x14ac:dyDescent="0.4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 x14ac:dyDescent="0.4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 x14ac:dyDescent="0.4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 x14ac:dyDescent="0.4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 x14ac:dyDescent="0.4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 x14ac:dyDescent="0.4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 x14ac:dyDescent="0.4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 x14ac:dyDescent="0.4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 x14ac:dyDescent="0.4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 x14ac:dyDescent="0.4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 x14ac:dyDescent="0.4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 x14ac:dyDescent="0.4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 x14ac:dyDescent="0.4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 x14ac:dyDescent="0.4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 x14ac:dyDescent="0.4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 x14ac:dyDescent="0.4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 x14ac:dyDescent="0.4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 x14ac:dyDescent="0.4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 x14ac:dyDescent="0.4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 x14ac:dyDescent="0.4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 x14ac:dyDescent="0.4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 x14ac:dyDescent="0.4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 x14ac:dyDescent="0.4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 x14ac:dyDescent="0.4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 x14ac:dyDescent="0.4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 x14ac:dyDescent="0.4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 x14ac:dyDescent="0.4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 x14ac:dyDescent="0.4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 x14ac:dyDescent="0.4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 x14ac:dyDescent="0.4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 x14ac:dyDescent="0.4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 x14ac:dyDescent="0.4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 x14ac:dyDescent="0.4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 x14ac:dyDescent="0.4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 x14ac:dyDescent="0.4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 x14ac:dyDescent="0.4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 x14ac:dyDescent="0.4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 x14ac:dyDescent="0.4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 x14ac:dyDescent="0.4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 x14ac:dyDescent="0.4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 x14ac:dyDescent="0.4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 x14ac:dyDescent="0.4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 x14ac:dyDescent="0.4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 x14ac:dyDescent="0.4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 x14ac:dyDescent="0.4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 x14ac:dyDescent="0.4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 x14ac:dyDescent="0.4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 x14ac:dyDescent="0.4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 x14ac:dyDescent="0.4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 x14ac:dyDescent="0.4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 x14ac:dyDescent="0.4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 x14ac:dyDescent="0.4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 x14ac:dyDescent="0.4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 x14ac:dyDescent="0.4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 x14ac:dyDescent="0.4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 x14ac:dyDescent="0.4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 x14ac:dyDescent="0.4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 x14ac:dyDescent="0.4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 x14ac:dyDescent="0.4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 x14ac:dyDescent="0.4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 x14ac:dyDescent="0.4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 x14ac:dyDescent="0.4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 x14ac:dyDescent="0.4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 x14ac:dyDescent="0.4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 x14ac:dyDescent="0.4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 x14ac:dyDescent="0.4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 x14ac:dyDescent="0.4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 x14ac:dyDescent="0.4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 x14ac:dyDescent="0.4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 x14ac:dyDescent="0.4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 x14ac:dyDescent="0.4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 x14ac:dyDescent="0.4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 x14ac:dyDescent="0.4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 x14ac:dyDescent="0.4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 x14ac:dyDescent="0.4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 x14ac:dyDescent="0.4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 x14ac:dyDescent="0.4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 x14ac:dyDescent="0.4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 x14ac:dyDescent="0.4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 x14ac:dyDescent="0.4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 x14ac:dyDescent="0.4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 x14ac:dyDescent="0.4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 x14ac:dyDescent="0.4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 x14ac:dyDescent="0.4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 x14ac:dyDescent="0.4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 x14ac:dyDescent="0.4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 x14ac:dyDescent="0.4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 x14ac:dyDescent="0.4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 x14ac:dyDescent="0.4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 x14ac:dyDescent="0.4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 x14ac:dyDescent="0.4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 x14ac:dyDescent="0.4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 x14ac:dyDescent="0.4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 x14ac:dyDescent="0.4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 x14ac:dyDescent="0.4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 x14ac:dyDescent="0.4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 x14ac:dyDescent="0.4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 x14ac:dyDescent="0.4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 x14ac:dyDescent="0.4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 x14ac:dyDescent="0.4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 x14ac:dyDescent="0.4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 x14ac:dyDescent="0.4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 x14ac:dyDescent="0.4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 x14ac:dyDescent="0.4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 x14ac:dyDescent="0.4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 x14ac:dyDescent="0.4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 x14ac:dyDescent="0.4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 x14ac:dyDescent="0.4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 x14ac:dyDescent="0.4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 x14ac:dyDescent="0.4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 x14ac:dyDescent="0.4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 x14ac:dyDescent="0.4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 x14ac:dyDescent="0.4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 x14ac:dyDescent="0.4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 x14ac:dyDescent="0.4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 x14ac:dyDescent="0.4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 x14ac:dyDescent="0.4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 x14ac:dyDescent="0.4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 x14ac:dyDescent="0.4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 x14ac:dyDescent="0.4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 x14ac:dyDescent="0.4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 x14ac:dyDescent="0.4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 x14ac:dyDescent="0.4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 x14ac:dyDescent="0.4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 x14ac:dyDescent="0.4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 x14ac:dyDescent="0.4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 x14ac:dyDescent="0.4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 x14ac:dyDescent="0.4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 x14ac:dyDescent="0.4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 x14ac:dyDescent="0.4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 x14ac:dyDescent="0.4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 x14ac:dyDescent="0.4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 x14ac:dyDescent="0.4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 x14ac:dyDescent="0.4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 x14ac:dyDescent="0.4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 x14ac:dyDescent="0.4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 x14ac:dyDescent="0.4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 x14ac:dyDescent="0.4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 x14ac:dyDescent="0.4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 x14ac:dyDescent="0.4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 x14ac:dyDescent="0.4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 x14ac:dyDescent="0.4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 x14ac:dyDescent="0.4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 x14ac:dyDescent="0.4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 x14ac:dyDescent="0.4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 x14ac:dyDescent="0.4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 x14ac:dyDescent="0.4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 x14ac:dyDescent="0.4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 x14ac:dyDescent="0.4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 x14ac:dyDescent="0.4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 x14ac:dyDescent="0.4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 x14ac:dyDescent="0.4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 x14ac:dyDescent="0.4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 x14ac:dyDescent="0.4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 x14ac:dyDescent="0.4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 x14ac:dyDescent="0.4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 x14ac:dyDescent="0.4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 x14ac:dyDescent="0.4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 x14ac:dyDescent="0.4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 x14ac:dyDescent="0.4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 x14ac:dyDescent="0.4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 x14ac:dyDescent="0.4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 x14ac:dyDescent="0.4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 x14ac:dyDescent="0.4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 x14ac:dyDescent="0.4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 x14ac:dyDescent="0.4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 x14ac:dyDescent="0.4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 x14ac:dyDescent="0.4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 x14ac:dyDescent="0.4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 x14ac:dyDescent="0.4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 x14ac:dyDescent="0.4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 x14ac:dyDescent="0.4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 x14ac:dyDescent="0.4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 x14ac:dyDescent="0.4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 x14ac:dyDescent="0.4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 x14ac:dyDescent="0.4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 x14ac:dyDescent="0.4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 x14ac:dyDescent="0.4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 x14ac:dyDescent="0.4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 x14ac:dyDescent="0.4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 x14ac:dyDescent="0.4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 x14ac:dyDescent="0.4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 x14ac:dyDescent="0.4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 x14ac:dyDescent="0.4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 x14ac:dyDescent="0.4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 x14ac:dyDescent="0.4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 x14ac:dyDescent="0.4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 x14ac:dyDescent="0.4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 x14ac:dyDescent="0.4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 x14ac:dyDescent="0.4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 x14ac:dyDescent="0.4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 x14ac:dyDescent="0.4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 x14ac:dyDescent="0.4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 x14ac:dyDescent="0.4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 x14ac:dyDescent="0.4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 x14ac:dyDescent="0.4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 x14ac:dyDescent="0.4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 x14ac:dyDescent="0.4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 x14ac:dyDescent="0.4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 x14ac:dyDescent="0.4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 x14ac:dyDescent="0.4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 x14ac:dyDescent="0.4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 x14ac:dyDescent="0.4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 x14ac:dyDescent="0.4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 x14ac:dyDescent="0.4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 x14ac:dyDescent="0.4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 x14ac:dyDescent="0.4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 x14ac:dyDescent="0.4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 x14ac:dyDescent="0.4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 x14ac:dyDescent="0.4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 x14ac:dyDescent="0.4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 x14ac:dyDescent="0.4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 x14ac:dyDescent="0.4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F4" activePane="bottomRight" state="frozen"/>
      <selection pane="topRight" activeCell="F16" sqref="F16"/>
      <selection pane="bottomLeft" activeCell="F16" sqref="F16"/>
      <selection pane="bottomRight" activeCell="K4" sqref="K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62" t="str" cm="1">
        <f t="array" ref="A1">portfolio</f>
        <v>MA: Norton - Wheaton College</v>
      </c>
      <c r="B1" s="62"/>
      <c r="C1" s="62"/>
      <c r="D1" s="63" t="s">
        <v>18</v>
      </c>
      <c r="E1" s="63"/>
      <c r="F1" s="63"/>
      <c r="G1" s="61" t="s">
        <v>19</v>
      </c>
      <c r="H1" s="61"/>
      <c r="I1" s="61"/>
      <c r="J1" s="4"/>
      <c r="K1" s="4"/>
    </row>
    <row r="2" spans="1:11" ht="19.5" customHeight="1" x14ac:dyDescent="0.35">
      <c r="A2" s="64" t="s">
        <v>2</v>
      </c>
      <c r="B2" s="64"/>
      <c r="C2" s="5">
        <f>SUM(C4:C78)</f>
        <v>13777</v>
      </c>
      <c r="D2" s="5">
        <f>SUM(D4:D78)</f>
        <v>0</v>
      </c>
      <c r="E2" s="5">
        <f>C2-D2</f>
        <v>13777</v>
      </c>
      <c r="F2" s="6">
        <f>IFERROR(E2/D2, 0)</f>
        <v>0</v>
      </c>
      <c r="G2" s="5">
        <f>SUM(G4:G78)</f>
        <v>0</v>
      </c>
      <c r="H2" s="7">
        <f>C2-G2</f>
        <v>13777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35">
      <c r="A3" s="26" t="s">
        <v>3</v>
      </c>
      <c r="B3" s="8" t="s">
        <v>4</v>
      </c>
      <c r="C3" s="47" t="s">
        <v>5</v>
      </c>
      <c r="D3" s="48" t="s">
        <v>6</v>
      </c>
      <c r="E3" s="31" t="s">
        <v>7</v>
      </c>
      <c r="F3" s="32" t="s">
        <v>8</v>
      </c>
      <c r="G3" s="51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46" t="str" cm="1">
        <f t="array" ref="A4">Sites[Site]</f>
        <v>MA: Norton - Wheaton College</v>
      </c>
      <c r="B4" s="27" t="str" cm="1">
        <f t="array" ref="B4">Sites[State]</f>
        <v>MA</v>
      </c>
      <c r="C4" s="49">
        <v>13777</v>
      </c>
      <c r="D4" s="50">
        <v>0</v>
      </c>
      <c r="E4" s="12">
        <f>IF(AND(ISNUMBER(C4),ISNUMBER(D4)), C4-D4, "")</f>
        <v>13777</v>
      </c>
      <c r="F4" s="40" t="str">
        <f>IFERROR(E4/D4, "")</f>
        <v/>
      </c>
      <c r="G4" s="52">
        <v>0</v>
      </c>
      <c r="H4" s="14">
        <f>IF(AND(ISNUMBER(C4),ISNUMBER(G4)), C4-G4, "")</f>
        <v>13777</v>
      </c>
      <c r="I4" s="15" t="str">
        <f>IFERROR(H4/G4, "")</f>
        <v/>
      </c>
      <c r="J4" s="53" t="s">
        <v>22</v>
      </c>
      <c r="K4" s="60" t="s">
        <v>23</v>
      </c>
    </row>
    <row r="5" spans="1:11" ht="14.25" x14ac:dyDescent="0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25" priority="4" stopIfTrue="1" operator="lessThanOrEqual">
      <formula>-0.1</formula>
    </cfRule>
    <cfRule type="expression" dxfId="24" priority="5">
      <formula>AND(ISNUMBER(F2), F2&gt;=0.1)</formula>
    </cfRule>
  </conditionalFormatting>
  <conditionalFormatting sqref="F5:F78">
    <cfRule type="cellIs" dxfId="23" priority="1" stopIfTrue="1" operator="lessThanOrEqual">
      <formula>-0.1</formula>
    </cfRule>
    <cfRule type="expression" dxfId="22" priority="2">
      <formula>AND(ISNUMBER(F5), F5&gt;=0.1)</formula>
    </cfRule>
  </conditionalFormatting>
  <hyperlinks>
    <hyperlink ref="K4" r:id="rId1" display="https://us3.assetplanner.com/service_request?ID=081787" xr:uid="{16B54B48-B702-4C3B-A4C8-C5FB2A17A0AB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P321"/>
  <sheetViews>
    <sheetView zoomScale="80" zoomScaleNormal="80" workbookViewId="0">
      <pane xSplit="2" ySplit="3" topLeftCell="C4" activePane="bottomRight" state="frozen"/>
      <selection pane="topRight" activeCell="D15" sqref="D15"/>
      <selection pane="bottomLeft" activeCell="D15" sqref="D15"/>
      <selection pane="bottomRight" activeCell="G36" sqref="G36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  <col min="12" max="16" width="8.86328125" style="58"/>
  </cols>
  <sheetData>
    <row r="1" spans="1:14" ht="19.5" customHeight="1" x14ac:dyDescent="0.35">
      <c r="A1" s="62" t="str" cm="1">
        <f t="array" ref="A1">portfolio</f>
        <v>MA: Norton - Wheaton College</v>
      </c>
      <c r="B1" s="62"/>
      <c r="C1" s="62"/>
      <c r="D1" s="63" t="s">
        <v>24</v>
      </c>
      <c r="E1" s="63"/>
      <c r="F1" s="63"/>
      <c r="G1" s="61" t="s">
        <v>25</v>
      </c>
      <c r="H1" s="61"/>
      <c r="I1" s="61"/>
      <c r="J1" s="4"/>
      <c r="K1" s="4"/>
    </row>
    <row r="2" spans="1:14" ht="19.5" customHeight="1" x14ac:dyDescent="0.35">
      <c r="A2" s="64" t="s">
        <v>2</v>
      </c>
      <c r="B2" s="64"/>
      <c r="C2" s="5">
        <f>SUM(C4:C79)</f>
        <v>18434</v>
      </c>
      <c r="D2" s="5">
        <f>SUM(D4:D79)</f>
        <v>0</v>
      </c>
      <c r="E2" s="5">
        <f>C2-D2</f>
        <v>18434</v>
      </c>
      <c r="F2" s="6">
        <f>IFERROR(E2/D2, 0)</f>
        <v>0</v>
      </c>
      <c r="G2" s="5">
        <f>SUM(G4:G79)</f>
        <v>0</v>
      </c>
      <c r="H2" s="7">
        <f>C2-G2</f>
        <v>18434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4" ht="133.5" customHeight="1" x14ac:dyDescent="0.35">
      <c r="A4" s="54" t="str" cm="1">
        <f t="array" ref="A4">Sites[Site]</f>
        <v>MA: Norton - Wheaton College</v>
      </c>
      <c r="B4" s="27" t="str" cm="1">
        <f t="array" ref="B4">Sites[State]</f>
        <v>MA</v>
      </c>
      <c r="C4" s="23">
        <v>18434</v>
      </c>
      <c r="D4" s="12" t="s">
        <v>26</v>
      </c>
      <c r="E4" s="12" t="str">
        <f>IF(AND(ISNUMBER(C4),ISNUMBER(D4)), C4-D4, "")</f>
        <v/>
      </c>
      <c r="F4" s="13" t="str">
        <f>IFERROR(E4/D4, "")</f>
        <v/>
      </c>
      <c r="G4" s="55" t="s">
        <v>26</v>
      </c>
      <c r="H4" s="14" t="str">
        <f>IF(AND(ISNUMBER(C4),ISNUMBER(G4)), C4-G4, "")</f>
        <v/>
      </c>
      <c r="I4" s="15" t="str">
        <f>IFERROR(H4/G4, "")</f>
        <v/>
      </c>
      <c r="J4" s="36" t="s">
        <v>27</v>
      </c>
      <c r="K4" s="57" t="s">
        <v>28</v>
      </c>
      <c r="L4" s="59" t="s">
        <v>29</v>
      </c>
      <c r="M4" s="59" t="s">
        <v>30</v>
      </c>
      <c r="N4" s="59" t="s">
        <v>31</v>
      </c>
    </row>
    <row r="5" spans="1:14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4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4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4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4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4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4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4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4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4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4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4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1" priority="1" stopIfTrue="1" operator="lessThanOrEqual">
      <formula>-0.1</formula>
    </cfRule>
    <cfRule type="expression" dxfId="20" priority="2">
      <formula>AND(ISNUMBER(F2), F2&gt;=0.1)</formula>
    </cfRule>
  </conditionalFormatting>
  <hyperlinks>
    <hyperlink ref="K4" r:id="rId1" display="https://us3.assetplanner.com/service_request?ID=096218" xr:uid="{4853CEAB-057E-4CB6-8242-E9F30BEB0FE4}"/>
    <hyperlink ref="L4" r:id="rId2" display="https://us3.assetplanner.com/service_request?ID=097773" xr:uid="{C6EE84D2-7377-4146-A836-5D5F7A9E7935}"/>
    <hyperlink ref="M4" r:id="rId3" display="https://us3.assetplanner.com/service_request?ID=097591" xr:uid="{9782D02F-A025-45C5-AD70-03DCED8D68F6}"/>
    <hyperlink ref="N4" r:id="rId4" display="https://us3.assetplanner.com/service_request?ID=081787" xr:uid="{6390B6E6-9E28-40A5-A93B-9986A4D6D448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zoomScale="90" zoomScaleNormal="90" workbookViewId="0">
      <pane xSplit="2" ySplit="3" topLeftCell="I4" activePane="bottomRight" state="frozen"/>
      <selection pane="topRight" activeCell="D15" sqref="D15"/>
      <selection pane="bottomLeft" activeCell="D15" sqref="D15"/>
      <selection pane="bottomRight" activeCell="K4" sqref="K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62" t="str" cm="1">
        <f t="array" ref="A1">portfolio</f>
        <v>MA: Norton - Wheaton College</v>
      </c>
      <c r="B1" s="62"/>
      <c r="C1" s="62"/>
      <c r="D1" s="63" t="s">
        <v>32</v>
      </c>
      <c r="E1" s="63"/>
      <c r="F1" s="63"/>
      <c r="G1" s="61" t="s">
        <v>33</v>
      </c>
      <c r="H1" s="61"/>
      <c r="I1" s="61"/>
      <c r="J1" s="4"/>
      <c r="K1" s="4"/>
    </row>
    <row r="2" spans="1:11" ht="19.5" customHeight="1" x14ac:dyDescent="0.35">
      <c r="A2" s="64" t="s">
        <v>2</v>
      </c>
      <c r="B2" s="64"/>
      <c r="C2" s="5">
        <f>SUM(C4:C79)</f>
        <v>35070</v>
      </c>
      <c r="D2" s="5">
        <f>SUM(D4:D79)</f>
        <v>0</v>
      </c>
      <c r="E2" s="5">
        <f>C2-D2</f>
        <v>35070</v>
      </c>
      <c r="F2" s="6">
        <f>IFERROR(E2/D2, 0)</f>
        <v>0</v>
      </c>
      <c r="G2" s="5">
        <f>SUM(G4:G79)</f>
        <v>0</v>
      </c>
      <c r="H2" s="7">
        <f>C2-G2</f>
        <v>35070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>
        <v>35070</v>
      </c>
      <c r="D4" s="12" t="s">
        <v>26</v>
      </c>
      <c r="E4" s="12" t="str">
        <f>IF(AND(ISNUMBER(C4),ISNUMBER(D4)), C4-D4, "")</f>
        <v/>
      </c>
      <c r="F4" s="13" t="str">
        <f>IFERROR(E4/D4, "")</f>
        <v/>
      </c>
      <c r="G4" s="55" t="s">
        <v>26</v>
      </c>
      <c r="H4" s="14" t="str">
        <f>IF(AND(ISNUMBER(C4),ISNUMBER(G4)), C4-G4, "")</f>
        <v/>
      </c>
      <c r="I4" s="15" t="str">
        <f>IFERROR(H4/G4, "")</f>
        <v/>
      </c>
      <c r="J4" s="36" t="s">
        <v>22</v>
      </c>
      <c r="K4" s="57" t="s">
        <v>23</v>
      </c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hyperlinks>
    <hyperlink ref="K4" r:id="rId1" display="https://us3.assetplanner.com/service_request?ID=081787" xr:uid="{CA9D4AE2-057C-4F93-8ABF-6712343FF6DC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O321"/>
  <sheetViews>
    <sheetView workbookViewId="0">
      <pane xSplit="2" ySplit="3" topLeftCell="C4" activePane="bottomRight" state="frozen"/>
      <selection pane="topRight" activeCell="D15" sqref="D15"/>
      <selection pane="bottomLeft" activeCell="D15" sqref="D15"/>
      <selection pane="bottomRight" activeCell="J8" sqref="J8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  <col min="12" max="15" width="8.86328125" style="58"/>
  </cols>
  <sheetData>
    <row r="1" spans="1:15" ht="19.5" customHeight="1" x14ac:dyDescent="0.35">
      <c r="A1" s="62" t="str" cm="1">
        <f t="array" ref="A1">portfolio</f>
        <v>MA: Norton - Wheaton College</v>
      </c>
      <c r="B1" s="62"/>
      <c r="C1" s="62"/>
      <c r="D1" s="63" t="s">
        <v>34</v>
      </c>
      <c r="E1" s="63"/>
      <c r="F1" s="63"/>
      <c r="G1" s="61" t="s">
        <v>35</v>
      </c>
      <c r="H1" s="61"/>
      <c r="I1" s="61"/>
      <c r="J1" s="4"/>
      <c r="K1" s="4"/>
    </row>
    <row r="2" spans="1:15" ht="19.5" customHeight="1" x14ac:dyDescent="0.35">
      <c r="A2" s="64" t="s">
        <v>2</v>
      </c>
      <c r="B2" s="64"/>
      <c r="C2" s="5">
        <f>SUM(C4:C79)</f>
        <v>38389</v>
      </c>
      <c r="D2" s="5">
        <f>SUM(D4:D79)</f>
        <v>0</v>
      </c>
      <c r="E2" s="5">
        <f>C2-D2</f>
        <v>38389</v>
      </c>
      <c r="F2" s="6">
        <f>IFERROR(E2/D2, 0)</f>
        <v>0</v>
      </c>
      <c r="G2" s="5">
        <f>SUM(G4:G79)</f>
        <v>0</v>
      </c>
      <c r="H2" s="7">
        <f>C2-G2</f>
        <v>38389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5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5" ht="174.75" customHeight="1" x14ac:dyDescent="0.35">
      <c r="A4" s="56" t="str" cm="1">
        <f t="array" ref="A4">Sites[Site]</f>
        <v>MA: Norton - Wheaton College</v>
      </c>
      <c r="B4" s="27" t="str" cm="1">
        <f t="array" ref="B4">Sites[State]</f>
        <v>MA</v>
      </c>
      <c r="C4" s="23">
        <v>38389</v>
      </c>
      <c r="D4" s="12" t="s">
        <v>26</v>
      </c>
      <c r="E4" s="12" t="str">
        <f>IF(AND(ISNUMBER(C4),ISNUMBER(D4)), C4-D4, "")</f>
        <v/>
      </c>
      <c r="F4" s="13" t="str">
        <f>IFERROR(E4/D4, "")</f>
        <v/>
      </c>
      <c r="G4" s="14" t="s">
        <v>26</v>
      </c>
      <c r="H4" s="14" t="str">
        <f>IF(AND(ISNUMBER(C4),ISNUMBER(G4)), C4-G4, "")</f>
        <v/>
      </c>
      <c r="I4" s="15" t="str">
        <f>IFERROR(H4/G4, "")</f>
        <v/>
      </c>
      <c r="J4" s="36" t="s">
        <v>36</v>
      </c>
      <c r="K4" s="57" t="s">
        <v>37</v>
      </c>
      <c r="L4" s="59" t="s">
        <v>38</v>
      </c>
      <c r="M4" s="59" t="s">
        <v>30</v>
      </c>
      <c r="N4" s="59" t="s">
        <v>39</v>
      </c>
      <c r="O4" s="59" t="s">
        <v>31</v>
      </c>
    </row>
    <row r="5" spans="1:15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5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5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5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5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5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5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5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5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5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5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5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7" priority="3" stopIfTrue="1" operator="lessThanOrEqual">
      <formula>-0.1</formula>
    </cfRule>
    <cfRule type="expression" dxfId="16" priority="4">
      <formula>AND(ISNUMBER(F2), F2&gt;=0.1)</formula>
    </cfRule>
  </conditionalFormatting>
  <hyperlinks>
    <hyperlink ref="K4" r:id="rId1" display="https://us3.assetplanner.com/service_request?ID=099479" xr:uid="{206FDDED-E3FF-49C2-A6A4-5B109D448D03}"/>
    <hyperlink ref="L4" r:id="rId2" display="https://us3.assetplanner.com/service_request?ID=100077" xr:uid="{DC71E34D-6A9E-4FC2-BE42-7A6AF4360223}"/>
    <hyperlink ref="M4" r:id="rId3" display="https://us3.assetplanner.com/service_request?ID=097591" xr:uid="{CEE489EB-9318-40C5-BFC7-8686C9307D3C}"/>
    <hyperlink ref="N4" r:id="rId4" display="https://us3.assetplanner.com/service_request?ID=098351" xr:uid="{28486D3B-0CC9-41C4-B664-946B0A97955A}"/>
    <hyperlink ref="O4" r:id="rId5" display="https://us3.assetplanner.com/service_request?ID=081787" xr:uid="{706EDD4B-09B9-48F8-96D4-C51622FD1073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N321"/>
  <sheetViews>
    <sheetView zoomScale="80" zoomScaleNormal="80" workbookViewId="0">
      <pane xSplit="2" ySplit="3" topLeftCell="C4" activePane="bottomRight" state="frozen"/>
      <selection pane="topRight" activeCell="D15" sqref="D15"/>
      <selection pane="bottomLeft" activeCell="D15" sqref="D15"/>
      <selection pane="bottomRight" activeCell="L1" sqref="L1:N1048576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  <col min="12" max="14" width="8.86328125" style="58"/>
  </cols>
  <sheetData>
    <row r="1" spans="1:13" ht="19.5" customHeight="1" x14ac:dyDescent="0.35">
      <c r="A1" s="62" t="str" cm="1">
        <f t="array" ref="A1">portfolio</f>
        <v>MA: Norton - Wheaton College</v>
      </c>
      <c r="B1" s="62"/>
      <c r="C1" s="62"/>
      <c r="D1" s="63" t="s">
        <v>40</v>
      </c>
      <c r="E1" s="63"/>
      <c r="F1" s="63"/>
      <c r="G1" s="61" t="s">
        <v>41</v>
      </c>
      <c r="H1" s="61"/>
      <c r="I1" s="61"/>
      <c r="J1" s="4"/>
      <c r="K1" s="4"/>
    </row>
    <row r="2" spans="1:13" ht="19.5" customHeight="1" x14ac:dyDescent="0.35">
      <c r="A2" s="64" t="s">
        <v>2</v>
      </c>
      <c r="B2" s="64"/>
      <c r="C2" s="5">
        <f>SUM(C4:C79)</f>
        <v>39667</v>
      </c>
      <c r="D2" s="5">
        <f>SUM(D4:D79)</f>
        <v>0</v>
      </c>
      <c r="E2" s="5">
        <f>C2-D2</f>
        <v>39667</v>
      </c>
      <c r="F2" s="6">
        <f>IFERROR(E2/D2, 0)</f>
        <v>0</v>
      </c>
      <c r="G2" s="5">
        <f>SUM(G4:G79)</f>
        <v>0</v>
      </c>
      <c r="H2" s="7">
        <f>C2-G2</f>
        <v>39667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3" ht="108.75" customHeight="1" x14ac:dyDescent="0.35">
      <c r="A4" s="56" t="str" cm="1">
        <f t="array" ref="A4">Sites[Site]</f>
        <v>MA: Norton - Wheaton College</v>
      </c>
      <c r="B4" s="27" t="str" cm="1">
        <f t="array" ref="B4">Sites[State]</f>
        <v>MA</v>
      </c>
      <c r="C4" s="23">
        <v>39667</v>
      </c>
      <c r="D4" s="12" t="s">
        <v>26</v>
      </c>
      <c r="E4" s="12" t="str">
        <f>IF(AND(ISNUMBER(C4),ISNUMBER(D4)), C4-D4, "")</f>
        <v/>
      </c>
      <c r="F4" s="13" t="str">
        <f>IFERROR(E4/D4, "")</f>
        <v/>
      </c>
      <c r="G4" s="14" t="s">
        <v>26</v>
      </c>
      <c r="H4" s="14" t="str">
        <f>IF(AND(ISNUMBER(C4),ISNUMBER(G4)), C4-G4, "")</f>
        <v/>
      </c>
      <c r="I4" s="15" t="str">
        <f>IFERROR(H4/G4, "")</f>
        <v/>
      </c>
      <c r="J4" s="36" t="s">
        <v>42</v>
      </c>
      <c r="K4" s="57" t="s">
        <v>43</v>
      </c>
      <c r="L4" s="59" t="s">
        <v>38</v>
      </c>
      <c r="M4" s="59" t="s">
        <v>31</v>
      </c>
    </row>
    <row r="5" spans="1:13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3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3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3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3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3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3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3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3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3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3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3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hyperlinks>
    <hyperlink ref="K4" r:id="rId1" display="https://us3.assetplanner.com/service_request?ID=098351" xr:uid="{4B5A71E6-A78D-42BC-95B7-4891AFA76D94}"/>
    <hyperlink ref="L4" r:id="rId2" display="https://us3.assetplanner.com/service_request?ID=100077" xr:uid="{024C44A5-9F8E-4729-B42D-495C97C8B858}"/>
    <hyperlink ref="M4" r:id="rId3" display="https://us3.assetplanner.com/service_request?ID=081787" xr:uid="{4E1E50AD-FE89-4E91-9F32-28433A36B14D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topRight" activeCell="D15" sqref="D15"/>
      <selection pane="bottomLeft" activeCell="D15" sqref="D15"/>
      <selection pane="bottomRight" activeCell="J4" sqref="J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62" t="str" cm="1">
        <f t="array" ref="A1">portfolio</f>
        <v>MA: Norton - Wheaton College</v>
      </c>
      <c r="B1" s="62"/>
      <c r="C1" s="62"/>
      <c r="D1" s="63" t="s">
        <v>44</v>
      </c>
      <c r="E1" s="63"/>
      <c r="F1" s="63"/>
      <c r="G1" s="61" t="s">
        <v>45</v>
      </c>
      <c r="H1" s="61"/>
      <c r="I1" s="61"/>
      <c r="J1" s="4"/>
      <c r="K1" s="4"/>
    </row>
    <row r="2" spans="1:11" ht="19.5" customHeight="1" x14ac:dyDescent="0.35">
      <c r="A2" s="64" t="s">
        <v>2</v>
      </c>
      <c r="B2" s="64"/>
      <c r="C2" s="5">
        <f>SUM(C4:C79)</f>
        <v>45849</v>
      </c>
      <c r="D2" s="5">
        <f>SUM(D4:D79)</f>
        <v>0</v>
      </c>
      <c r="E2" s="5">
        <f>C2-D2</f>
        <v>45849</v>
      </c>
      <c r="F2" s="6">
        <f>IFERROR(E2/D2, 0)</f>
        <v>0</v>
      </c>
      <c r="G2" s="5">
        <f>SUM(G4:G79)</f>
        <v>0</v>
      </c>
      <c r="H2" s="7">
        <f>C2-G2</f>
        <v>45849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>
        <v>45849</v>
      </c>
      <c r="D4" s="12" t="s">
        <v>26</v>
      </c>
      <c r="E4" s="12" t="str">
        <f>IF(AND(ISNUMBER(C4),ISNUMBER(D4)), C4-D4, "")</f>
        <v/>
      </c>
      <c r="F4" s="13" t="str">
        <f>IFERROR(E4/D4, "")</f>
        <v/>
      </c>
      <c r="G4" s="55" t="s">
        <v>26</v>
      </c>
      <c r="H4" s="14" t="str">
        <f>IF(AND(ISNUMBER(C4),ISNUMBER(G4)), C4-G4, "")</f>
        <v/>
      </c>
      <c r="I4" s="15" t="str">
        <f>IFERROR(H4/G4, "")</f>
        <v/>
      </c>
      <c r="J4" s="36" t="s">
        <v>46</v>
      </c>
      <c r="K4" s="57" t="s">
        <v>47</v>
      </c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hyperlinks>
    <hyperlink ref="K4" r:id="rId1" display="https://us3.assetplanner.com/service_request?ID=081787" xr:uid="{443D0C89-002D-4400-81AD-84AF35CC514E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L321"/>
  <sheetViews>
    <sheetView workbookViewId="0">
      <pane xSplit="2" ySplit="3" topLeftCell="C4" activePane="bottomRight" state="frozen"/>
      <selection activeCell="E14" sqref="E14"/>
      <selection pane="topRight" activeCell="E14" sqref="E14"/>
      <selection pane="bottomLeft" activeCell="E14" sqref="E14"/>
      <selection pane="bottomRight" activeCell="E14" sqref="E1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  <col min="12" max="12" width="9.06640625" style="65"/>
  </cols>
  <sheetData>
    <row r="1" spans="1:12" ht="19.5" customHeight="1" x14ac:dyDescent="0.35">
      <c r="A1" s="62" t="str" cm="1">
        <f t="array" ref="A1">portfolio</f>
        <v>MA: Norton - Wheaton College</v>
      </c>
      <c r="B1" s="62"/>
      <c r="C1" s="62"/>
      <c r="D1" s="63" t="s">
        <v>48</v>
      </c>
      <c r="E1" s="63"/>
      <c r="F1" s="63"/>
      <c r="G1" s="61" t="s">
        <v>49</v>
      </c>
      <c r="H1" s="61"/>
      <c r="I1" s="61"/>
      <c r="J1" s="4"/>
      <c r="K1" s="4"/>
    </row>
    <row r="2" spans="1:12" ht="19.5" customHeight="1" x14ac:dyDescent="0.35">
      <c r="A2" s="64" t="s">
        <v>2</v>
      </c>
      <c r="B2" s="64"/>
      <c r="C2" s="5">
        <f>SUM(C4:C79)</f>
        <v>47667</v>
      </c>
      <c r="D2" s="5">
        <f>SUM(D4:D79)</f>
        <v>0</v>
      </c>
      <c r="E2" s="5">
        <f>C2-D2</f>
        <v>47667</v>
      </c>
      <c r="F2" s="6">
        <f>IFERROR(E2/D2, 0)</f>
        <v>0</v>
      </c>
      <c r="G2" s="5">
        <f>SUM(G4:G79)</f>
        <v>0</v>
      </c>
      <c r="H2" s="7">
        <f>C2-G2</f>
        <v>47667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2" ht="28.5" x14ac:dyDescent="0.5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>
        <v>47667</v>
      </c>
      <c r="D4" s="12" t="s">
        <v>26</v>
      </c>
      <c r="E4" s="12" t="str">
        <f>IF(AND(ISNUMBER(C4),ISNUMBER(D4)), C4-D4, "")</f>
        <v/>
      </c>
      <c r="F4" s="13" t="str">
        <f>IFERROR(E4/D4, "")</f>
        <v/>
      </c>
      <c r="G4" s="55" t="s">
        <v>26</v>
      </c>
      <c r="H4" s="14" t="str">
        <f>IF(AND(ISNUMBER(C4),ISNUMBER(G4)), C4-G4, "")</f>
        <v/>
      </c>
      <c r="I4" s="15" t="str">
        <f>IFERROR(H4/G4, "")</f>
        <v/>
      </c>
      <c r="J4" s="36" t="s">
        <v>50</v>
      </c>
      <c r="K4" s="57" t="s">
        <v>51</v>
      </c>
      <c r="L4" s="66" t="s">
        <v>74</v>
      </c>
    </row>
    <row r="5" spans="1:12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2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2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2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2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2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2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2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hyperlinks>
    <hyperlink ref="K4" r:id="rId1" display="https://us3.assetplanner.com/service_request?ID=081787" xr:uid="{58A569B5-4915-44F7-A19D-85EFC565FD04}"/>
    <hyperlink ref="L4" r:id="rId2" display="https://us3.assetplanner.com/service_request?ID=105558" xr:uid="{87FD4423-1140-4A14-913F-7D6A23118EDD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L321"/>
  <sheetViews>
    <sheetView workbookViewId="0">
      <pane xSplit="2" ySplit="3" topLeftCell="G4" activePane="bottomRight" state="frozen"/>
      <selection activeCell="E14" sqref="E14"/>
      <selection pane="topRight" activeCell="E14" sqref="E14"/>
      <selection pane="bottomLeft" activeCell="E14" sqref="E14"/>
      <selection pane="bottomRight" activeCell="E14" sqref="E1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  <col min="12" max="12" width="9.06640625" style="65"/>
  </cols>
  <sheetData>
    <row r="1" spans="1:12" ht="19.5" customHeight="1" x14ac:dyDescent="0.35">
      <c r="A1" s="62" t="str" cm="1">
        <f t="array" ref="A1">portfolio</f>
        <v>MA: Norton - Wheaton College</v>
      </c>
      <c r="B1" s="62"/>
      <c r="C1" s="62"/>
      <c r="D1" s="63" t="s">
        <v>52</v>
      </c>
      <c r="E1" s="63"/>
      <c r="F1" s="63"/>
      <c r="G1" s="61" t="s">
        <v>53</v>
      </c>
      <c r="H1" s="61"/>
      <c r="I1" s="61"/>
      <c r="J1" s="4"/>
      <c r="K1" s="4"/>
    </row>
    <row r="2" spans="1:12" ht="19.5" customHeight="1" x14ac:dyDescent="0.35">
      <c r="A2" s="64" t="s">
        <v>2</v>
      </c>
      <c r="B2" s="64"/>
      <c r="C2" s="5">
        <f>SUM(C4:C79)</f>
        <v>47508</v>
      </c>
      <c r="D2" s="5">
        <f>SUM(D4:D79)</f>
        <v>0</v>
      </c>
      <c r="E2" s="5">
        <f>C2-D2</f>
        <v>47508</v>
      </c>
      <c r="F2" s="6">
        <f>IFERROR(E2/D2, 0)</f>
        <v>0</v>
      </c>
      <c r="G2" s="5">
        <f>SUM(G4:G79)</f>
        <v>0</v>
      </c>
      <c r="H2" s="7">
        <f>C2-G2</f>
        <v>47508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2" ht="28.5" x14ac:dyDescent="0.5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>
        <v>47508</v>
      </c>
      <c r="D4" s="12" t="s">
        <v>26</v>
      </c>
      <c r="E4" s="12" t="str">
        <f>IF(AND(ISNUMBER(C4),ISNUMBER(D4)), C4-D4, "")</f>
        <v/>
      </c>
      <c r="F4" s="13" t="str">
        <f>IFERROR(E4/D4, "")</f>
        <v/>
      </c>
      <c r="G4" s="55" t="s">
        <v>26</v>
      </c>
      <c r="H4" s="14" t="str">
        <f>IF(AND(ISNUMBER(C4),ISNUMBER(G4)), C4-G4, "")</f>
        <v/>
      </c>
      <c r="I4" s="15" t="str">
        <f>IFERROR(H4/G4, "")</f>
        <v/>
      </c>
      <c r="J4" s="36" t="s">
        <v>50</v>
      </c>
      <c r="K4" s="57" t="s">
        <v>51</v>
      </c>
      <c r="L4" s="66"/>
    </row>
    <row r="5" spans="1:12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2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2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2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2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2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2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2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9" priority="3" stopIfTrue="1" operator="lessThanOrEqual">
      <formula>-0.1</formula>
    </cfRule>
    <cfRule type="expression" dxfId="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L321"/>
  <sheetViews>
    <sheetView workbookViewId="0">
      <pane xSplit="2" topLeftCell="C1" activePane="topRight" state="frozen"/>
      <selection activeCell="H17" sqref="H17"/>
      <selection pane="topRight" activeCell="E14" sqref="E1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  <col min="12" max="12" width="9.06640625" style="65"/>
  </cols>
  <sheetData>
    <row r="1" spans="1:12" ht="19.5" customHeight="1" x14ac:dyDescent="0.35">
      <c r="A1" s="62" t="str" cm="1">
        <f t="array" ref="A1">portfolio</f>
        <v>MA: Norton - Wheaton College</v>
      </c>
      <c r="B1" s="62"/>
      <c r="C1" s="62"/>
      <c r="D1" s="63" t="s">
        <v>54</v>
      </c>
      <c r="E1" s="63"/>
      <c r="F1" s="63"/>
      <c r="G1" s="61" t="s">
        <v>55</v>
      </c>
      <c r="H1" s="61"/>
      <c r="I1" s="61"/>
      <c r="J1" s="4"/>
      <c r="K1" s="4"/>
    </row>
    <row r="2" spans="1:12" ht="19.5" customHeight="1" x14ac:dyDescent="0.35">
      <c r="A2" s="64" t="s">
        <v>2</v>
      </c>
      <c r="B2" s="64"/>
      <c r="C2" s="5">
        <f>SUM(C4:C79)</f>
        <v>34757</v>
      </c>
      <c r="D2" s="5">
        <f>SUM(D4:D79)</f>
        <v>0</v>
      </c>
      <c r="E2" s="5">
        <f>C2-D2</f>
        <v>34757</v>
      </c>
      <c r="F2" s="6">
        <f>IFERROR(E2/D2, 0)</f>
        <v>0</v>
      </c>
      <c r="G2" s="5">
        <f>SUM(G4:G79)</f>
        <v>0</v>
      </c>
      <c r="H2" s="7">
        <f>C2-G2</f>
        <v>34757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2" ht="42.75" x14ac:dyDescent="0.5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>
        <v>34757</v>
      </c>
      <c r="D4" s="12" t="s">
        <v>26</v>
      </c>
      <c r="E4" s="12" t="str">
        <f>IF(AND(ISNUMBER(C4),ISNUMBER(D4)), C4-D4, "")</f>
        <v/>
      </c>
      <c r="F4" s="13" t="str">
        <f>IFERROR(E4/D4, "")</f>
        <v/>
      </c>
      <c r="G4" s="14" t="s">
        <v>56</v>
      </c>
      <c r="H4" s="14" t="str">
        <f>IF(AND(ISNUMBER(C4),ISNUMBER(G4)), C4-G4, "")</f>
        <v/>
      </c>
      <c r="I4" s="15" t="str">
        <f>IFERROR(H4/G4, "")</f>
        <v/>
      </c>
      <c r="J4" s="36" t="s">
        <v>57</v>
      </c>
      <c r="K4" s="57" t="s">
        <v>58</v>
      </c>
      <c r="L4" s="66"/>
    </row>
    <row r="5" spans="1:12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2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2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2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2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2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2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2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H5" activePane="bottomRight" state="frozen"/>
      <selection pane="topRight" activeCell="D15" sqref="D15"/>
      <selection pane="bottomLeft" activeCell="D15" sqref="D15"/>
      <selection pane="bottomRight" activeCell="H5" sqref="H5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62" t="str" cm="1">
        <f t="array" ref="A1">portfolio</f>
        <v>MA: Norton - Wheaton College</v>
      </c>
      <c r="B1" s="62"/>
      <c r="C1" s="62"/>
      <c r="D1" s="63" t="s">
        <v>59</v>
      </c>
      <c r="E1" s="63"/>
      <c r="F1" s="63"/>
      <c r="G1" s="61" t="s">
        <v>60</v>
      </c>
      <c r="H1" s="61"/>
      <c r="I1" s="61"/>
      <c r="J1" s="4"/>
      <c r="K1" s="4"/>
    </row>
    <row r="2" spans="1:11" ht="19.5" customHeight="1" x14ac:dyDescent="0.35">
      <c r="A2" s="64" t="s">
        <v>2</v>
      </c>
      <c r="B2" s="64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D4" activePane="bottomRight" state="frozen"/>
      <selection pane="topRight" activeCell="D15" sqref="D15"/>
      <selection pane="bottomLeft" activeCell="D15" sqref="D15"/>
      <selection pane="bottomRight" activeCell="H5" sqref="H5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62" t="str" cm="1">
        <f t="array" ref="A1">portfolio</f>
        <v>MA: Norton - Wheaton College</v>
      </c>
      <c r="B1" s="62"/>
      <c r="C1" s="62"/>
      <c r="D1" s="63" t="s">
        <v>61</v>
      </c>
      <c r="E1" s="63"/>
      <c r="F1" s="63"/>
      <c r="G1" s="61" t="s">
        <v>62</v>
      </c>
      <c r="H1" s="61"/>
      <c r="I1" s="61"/>
      <c r="J1" s="4"/>
      <c r="K1" s="4"/>
    </row>
    <row r="2" spans="1:11" ht="19.5" customHeight="1" x14ac:dyDescent="0.35">
      <c r="A2" s="64" t="s">
        <v>2</v>
      </c>
      <c r="B2" s="64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3" priority="3" stopIfTrue="1" operator="lessThanOrEqual">
      <formula>-0.1</formula>
    </cfRule>
    <cfRule type="expression" dxfId="2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4" activePane="bottomRight" state="frozen"/>
      <selection pane="topRight" activeCell="D15" sqref="D15"/>
      <selection pane="bottomLeft" activeCell="D15" sqref="D15"/>
      <selection pane="bottomRight" activeCell="G14" sqref="G1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62" t="str" cm="1">
        <f t="array" ref="A1">portfolio</f>
        <v>MA: Norton - Wheaton College</v>
      </c>
      <c r="B1" s="62"/>
      <c r="C1" s="62"/>
      <c r="D1" s="63" t="s">
        <v>63</v>
      </c>
      <c r="E1" s="63"/>
      <c r="F1" s="63"/>
      <c r="G1" s="61" t="s">
        <v>64</v>
      </c>
      <c r="H1" s="61"/>
      <c r="I1" s="61"/>
      <c r="J1" s="4"/>
      <c r="K1" s="4"/>
    </row>
    <row r="2" spans="1:11" ht="19.5" customHeight="1" x14ac:dyDescent="0.35">
      <c r="A2" s="64" t="s">
        <v>2</v>
      </c>
      <c r="B2" s="64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" priority="3" stopIfTrue="1" operator="lessThanOrEqual">
      <formula>-0.1</formula>
    </cfRule>
    <cfRule type="expression" dxfId="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A4" sqref="A4"/>
    </sheetView>
  </sheetViews>
  <sheetFormatPr defaultRowHeight="12.75" customHeight="1" x14ac:dyDescent="0.35"/>
  <cols>
    <col min="1" max="2" width="41.86328125" customWidth="1"/>
    <col min="4" max="4" width="9.1328125" customWidth="1"/>
    <col min="5" max="5" width="24.1328125" customWidth="1"/>
    <col min="6" max="10" width="9.1328125" customWidth="1"/>
    <col min="11" max="12" width="22" bestFit="1" customWidth="1"/>
    <col min="13" max="14" width="9.1328125" customWidth="1"/>
  </cols>
  <sheetData>
    <row r="1" spans="1:12" ht="12.75" customHeight="1" x14ac:dyDescent="0.35">
      <c r="A1" t="s">
        <v>65</v>
      </c>
      <c r="B1" t="s">
        <v>66</v>
      </c>
    </row>
    <row r="3" spans="1:12" x14ac:dyDescent="0.35">
      <c r="A3" t="s">
        <v>67</v>
      </c>
      <c r="B3" t="s">
        <v>3</v>
      </c>
      <c r="C3" t="s">
        <v>4</v>
      </c>
      <c r="D3" t="s">
        <v>68</v>
      </c>
      <c r="E3" s="2" t="s">
        <v>69</v>
      </c>
    </row>
    <row r="4" spans="1:12" ht="14.25" x14ac:dyDescent="0.45">
      <c r="A4" s="45" t="s">
        <v>70</v>
      </c>
      <c r="B4" t="s">
        <v>66</v>
      </c>
      <c r="C4" s="43" t="s">
        <v>71</v>
      </c>
      <c r="D4" s="42" t="s">
        <v>72</v>
      </c>
      <c r="E4" t="s">
        <v>73</v>
      </c>
      <c r="G4" s="3"/>
    </row>
    <row r="5" spans="1:12" ht="14.25" x14ac:dyDescent="0.45">
      <c r="A5" s="45"/>
      <c r="C5" s="43"/>
      <c r="D5" s="42"/>
      <c r="G5" s="3"/>
    </row>
    <row r="6" spans="1:12" ht="14.25" x14ac:dyDescent="0.45">
      <c r="A6" s="45"/>
      <c r="C6" s="43"/>
      <c r="D6" s="42"/>
      <c r="G6" s="3"/>
    </row>
    <row r="7" spans="1:12" ht="12.75" customHeight="1" x14ac:dyDescent="0.35">
      <c r="A7" s="45"/>
      <c r="C7" s="43"/>
      <c r="D7" s="42"/>
    </row>
    <row r="8" spans="1:12" ht="12.75" customHeight="1" x14ac:dyDescent="0.35">
      <c r="A8" s="45"/>
      <c r="C8" s="43"/>
      <c r="D8" s="42"/>
    </row>
    <row r="9" spans="1:12" ht="12.75" customHeight="1" x14ac:dyDescent="0.35">
      <c r="A9" s="45"/>
      <c r="C9" s="43"/>
      <c r="D9" s="42"/>
    </row>
    <row r="10" spans="1:12" ht="12.75" customHeight="1" x14ac:dyDescent="0.35">
      <c r="A10" s="45"/>
      <c r="C10" s="43"/>
      <c r="D10" s="42"/>
      <c r="K10" s="38"/>
      <c r="L10" s="38"/>
    </row>
    <row r="11" spans="1:12" ht="12.75" customHeight="1" x14ac:dyDescent="0.35">
      <c r="A11" s="45"/>
      <c r="C11" s="43"/>
      <c r="D11" s="42"/>
      <c r="K11" s="38"/>
      <c r="L11" s="38"/>
    </row>
    <row r="12" spans="1:12" ht="12.75" customHeight="1" x14ac:dyDescent="0.35">
      <c r="A12" s="45"/>
      <c r="C12" s="43"/>
      <c r="D12" s="42"/>
      <c r="K12" s="38"/>
      <c r="L12" s="38"/>
    </row>
    <row r="13" spans="1:12" ht="12.75" customHeight="1" x14ac:dyDescent="0.35">
      <c r="A13" s="45"/>
      <c r="C13" s="43"/>
      <c r="D13" s="42"/>
      <c r="K13" s="38"/>
      <c r="L13" s="38"/>
    </row>
    <row r="14" spans="1:12" ht="12.75" customHeight="1" x14ac:dyDescent="0.35">
      <c r="A14" s="45"/>
      <c r="C14" s="43"/>
      <c r="D14" s="42"/>
      <c r="K14" s="38"/>
      <c r="L14" s="38"/>
    </row>
    <row r="15" spans="1:12" ht="12.75" customHeight="1" x14ac:dyDescent="0.35">
      <c r="A15" s="45"/>
      <c r="C15" s="43"/>
      <c r="D15" s="42"/>
      <c r="K15" s="38"/>
      <c r="L15" s="38"/>
    </row>
    <row r="16" spans="1:12" ht="12.75" customHeight="1" x14ac:dyDescent="0.35">
      <c r="A16" s="45"/>
      <c r="C16" s="43"/>
      <c r="D16" s="42"/>
      <c r="K16" s="38"/>
      <c r="L16" s="38"/>
    </row>
    <row r="17" spans="1:12" ht="12.75" customHeight="1" x14ac:dyDescent="0.35">
      <c r="A17" s="45"/>
      <c r="C17" s="43"/>
      <c r="D17" s="42"/>
      <c r="K17" s="38"/>
      <c r="L17" s="38"/>
    </row>
    <row r="18" spans="1:12" ht="12.75" customHeight="1" x14ac:dyDescent="0.35">
      <c r="A18" s="45"/>
      <c r="C18" s="43"/>
      <c r="D18" s="42"/>
      <c r="K18" s="38"/>
      <c r="L18" s="38"/>
    </row>
    <row r="19" spans="1:12" ht="12.75" customHeight="1" x14ac:dyDescent="0.35">
      <c r="A19" s="45"/>
      <c r="C19" s="43"/>
      <c r="D19" s="42"/>
      <c r="K19" s="38"/>
      <c r="L19" s="38"/>
    </row>
    <row r="20" spans="1:12" ht="12.75" customHeight="1" x14ac:dyDescent="0.35">
      <c r="A20" s="45"/>
      <c r="C20" s="43"/>
      <c r="D20" s="42"/>
      <c r="K20" s="38"/>
      <c r="L20" s="38"/>
    </row>
    <row r="21" spans="1:12" ht="12.75" customHeight="1" x14ac:dyDescent="0.35">
      <c r="A21" s="45"/>
      <c r="C21" s="43"/>
      <c r="D21" s="42"/>
      <c r="K21" s="38"/>
      <c r="L21" s="38"/>
    </row>
    <row r="22" spans="1:12" ht="12.75" customHeight="1" x14ac:dyDescent="0.35">
      <c r="A22" s="45"/>
      <c r="C22" s="43"/>
      <c r="D22" s="42"/>
      <c r="K22" s="38"/>
      <c r="L22" s="38"/>
    </row>
    <row r="23" spans="1:12" ht="12.75" customHeight="1" x14ac:dyDescent="0.35">
      <c r="A23" s="45"/>
      <c r="C23" s="43"/>
      <c r="D23" s="42"/>
      <c r="K23" s="38"/>
      <c r="L23" s="38"/>
    </row>
    <row r="24" spans="1:12" ht="12.75" customHeight="1" x14ac:dyDescent="0.35">
      <c r="A24" s="45"/>
      <c r="C24" s="43"/>
      <c r="D24" s="42"/>
      <c r="K24" s="38"/>
      <c r="L24" s="38"/>
    </row>
    <row r="25" spans="1:12" ht="12.75" customHeight="1" x14ac:dyDescent="0.35">
      <c r="A25" s="45"/>
      <c r="C25" s="43"/>
      <c r="D25" s="42"/>
      <c r="K25" s="38"/>
      <c r="L25" s="38"/>
    </row>
    <row r="26" spans="1:12" ht="12.75" customHeight="1" x14ac:dyDescent="0.35">
      <c r="K26" s="38"/>
      <c r="L26" s="38"/>
    </row>
    <row r="27" spans="1:12" ht="12.75" customHeight="1" x14ac:dyDescent="0.35">
      <c r="K27" s="38"/>
      <c r="L27" s="38"/>
    </row>
    <row r="28" spans="1:12" ht="12.75" customHeight="1" x14ac:dyDescent="0.35">
      <c r="K28" s="38"/>
      <c r="L28" s="38"/>
    </row>
    <row r="29" spans="1:12" ht="12.75" customHeight="1" x14ac:dyDescent="0.35">
      <c r="K29" s="38"/>
      <c r="L29" s="38"/>
    </row>
    <row r="30" spans="1:12" ht="12.75" customHeight="1" x14ac:dyDescent="0.35">
      <c r="K30" s="38"/>
      <c r="L30" s="38"/>
    </row>
    <row r="31" spans="1:12" ht="12.75" customHeight="1" x14ac:dyDescent="0.35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��
</file>

<file path=customXml/item4.xml>��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2A33E645-D795-4483-8612-D16FAD979C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3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4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5.xml><?xml version="1.0" encoding="utf-8"?>
<ds:datastoreItem xmlns:ds="http://schemas.openxmlformats.org/officeDocument/2006/customXml" ds:itemID="{8D732231-4216-4543-A665-18A2886B0EB7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ddcd8467-55ca-498e-a9f8-86795db5db7a"/>
    <ds:schemaRef ds:uri="7f39bfab-6331-41a1-b6d4-5b974a316951"/>
    <ds:schemaRef ds:uri="http://www.w3.org/XML/1998/namespace"/>
    <ds:schemaRef ds:uri="http://schemas.microsoft.com/sharepoint/v3"/>
    <ds:schemaRef ds:uri="http://schemas.microsoft.com/office/2006/metadata/properties"/>
    <ds:schemaRef ds:uri="http://purl.org/dc/terms/"/>
  </ds:schemaRefs>
</ds:datastoreItem>
</file>

<file path=customXml/itemProps6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7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8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9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customXml/itemProps10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11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customXml/itemProps12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13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14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15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customXml/itemProps16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17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18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19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20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 [AGS]</cp:lastModifiedBy>
  <cp:revision/>
  <dcterms:created xsi:type="dcterms:W3CDTF">2021-01-01T16:39:53Z</dcterms:created>
  <dcterms:modified xsi:type="dcterms:W3CDTF">2025-10-15T06:34:45Z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